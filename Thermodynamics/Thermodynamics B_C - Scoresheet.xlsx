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" sheetId="1" state="visible" r:id="rId3"/>
    <sheet name="Constants" sheetId="2" state="visible" r:id="rId4"/>
    <sheet name="Export" sheetId="3" state="visible" r:id="rId5"/>
    <sheet name="Changelog" sheetId="4" state="visible" r:id="rId6"/>
    <sheet name="Vers" sheetId="5" state="visible" r:id="rId7"/>
    <sheet name="Info." sheetId="6" state="visible" r:id="rId8"/>
    <sheet name="Dropdowns" sheetId="7" state="hidden" r:id="rId9"/>
    <sheet name="ExportRaw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<sst xmlns="http://schemas.openxmlformats.org/spreadsheetml/2006/main" count="140" uniqueCount="101">
  <si>
    <t xml:space="preserve">Im</t>
  </si>
  <si>
    <t xml:space="preserve">Check-in</t>
  </si>
  <si>
    <t xml:space="preserve">Device Testing</t>
  </si>
  <si>
    <t xml:space="preserve">Req*</t>
  </si>
  <si>
    <t xml:space="preserve">*Required only if device is allowed to run</t>
  </si>
  <si>
    <t xml:space="preserve">Rank for this team with row() bump</t>
  </si>
  <si>
    <t xml:space="preserve">Rank for this team with same ranks split</t>
  </si>
  <si>
    <t xml:space="preserve">Team Number of this team</t>
  </si>
  <si>
    <t xml:space="preserve">Name of this schoo</t>
  </si>
  <si>
    <t xml:space="preserve">Name of this team</t>
  </si>
  <si>
    <t xml:space="preserve">Tier for this Team</t>
  </si>
  <si>
    <t xml:space="preserve">Score for this team</t>
  </si>
  <si>
    <t xml:space="preserve">Actual Rank for this team</t>
  </si>
  <si>
    <t xml:space="preserve">Final Rankings</t>
  </si>
  <si>
    <t xml:space="preserve">Actual Ratio 1</t>
  </si>
  <si>
    <t xml:space="preserve">Actual Ratio 2</t>
  </si>
  <si>
    <t xml:space="preserve">1. Device Impounded (T/F)</t>
  </si>
  <si>
    <t xml:space="preserve">2. Device does not contain hazardous materials (T/F)</t>
  </si>
  <si>
    <t xml:space="preserve">3. Met all const para (T/F)</t>
  </si>
  <si>
    <t xml:space="preserve">4. Team does not touch their setup during the Heating Time (T/F)</t>
  </si>
  <si>
    <t xml:space="preserve">5. Met all comp para (T/F)</t>
  </si>
  <si>
    <t xml:space="preserve">6. Starting Water Temp</t>
  </si>
  <si>
    <t xml:space="preserve">7. Predicted Final Temp</t>
  </si>
  <si>
    <t xml:space="preserve">8. Actual Final Temp</t>
  </si>
  <si>
    <t xml:space="preserve">9. Part I Raw Score</t>
  </si>
  <si>
    <t xml:space="preserve">10. Tiebreak 3 Ranking (If blank, assumes rank 1)</t>
  </si>
  <si>
    <t xml:space="preserve">11. Disqualify (T/F)</t>
  </si>
  <si>
    <t xml:space="preserve">Errors</t>
  </si>
  <si>
    <t xml:space="preserve">Score</t>
  </si>
  <si>
    <t xml:space="preserve">Tier</t>
  </si>
  <si>
    <t xml:space="preserve">Tiebreaker</t>
  </si>
  <si>
    <t xml:space="preserve">Rank</t>
  </si>
  <si>
    <t xml:space="preserve">Points</t>
  </si>
  <si>
    <t xml:space="preserve">Team #</t>
  </si>
  <si>
    <t xml:space="preserve">School Name</t>
  </si>
  <si>
    <t xml:space="preserve">Team Name</t>
  </si>
  <si>
    <t xml:space="preserve">Highest TG</t>
  </si>
  <si>
    <t xml:space="preserve">Highest PE</t>
  </si>
  <si>
    <t xml:space="preserve">Part I Highest Raw Score</t>
  </si>
  <si>
    <t xml:space="preserve">Box 6 or Box 8 is missing.</t>
  </si>
  <si>
    <t xml:space="preserve">Box 8 cannot be 0.</t>
  </si>
  <si>
    <t xml:space="preserve">Status</t>
  </si>
  <si>
    <t xml:space="preserve">TS/PS Multiplier</t>
  </si>
  <si>
    <t xml:space="preserve">TG</t>
  </si>
  <si>
    <t xml:space="preserve">TG Error Check</t>
  </si>
  <si>
    <t xml:space="preserve">Raw TS</t>
  </si>
  <si>
    <t xml:space="preserve">TS</t>
  </si>
  <si>
    <t xml:space="preserve">PE</t>
  </si>
  <si>
    <t xml:space="preserve">PE Error Check</t>
  </si>
  <si>
    <t xml:space="preserve">Raw PS</t>
  </si>
  <si>
    <t xml:space="preserve">PS</t>
  </si>
  <si>
    <t xml:space="preserve">ES</t>
  </si>
  <si>
    <t xml:space="preserve">TB1 (Best TS)</t>
  </si>
  <si>
    <t xml:space="preserve">TB1 Rank</t>
  </si>
  <si>
    <t xml:space="preserve">TB2 (Best ES)</t>
  </si>
  <si>
    <t xml:space="preserve">TB2 Rank</t>
  </si>
  <si>
    <t xml:space="preserve">TB3 Rank</t>
  </si>
  <si>
    <t xml:space="preserve">Rank w/ TB</t>
  </si>
  <si>
    <t xml:space="preserve">Rank Diff</t>
  </si>
  <si>
    <t xml:space="preserve">Name Desc</t>
  </si>
  <si>
    <t xml:space="preserve">Value</t>
  </si>
  <si>
    <t xml:space="preserve">T</t>
  </si>
  <si>
    <t xml:space="preserve">F</t>
  </si>
  <si>
    <t xml:space="preserve">Disqualified</t>
  </si>
  <si>
    <t xml:space="preserve">DQ</t>
  </si>
  <si>
    <t xml:space="preserve">No-Show</t>
  </si>
  <si>
    <t xml:space="preserve">NS</t>
  </si>
  <si>
    <t xml:space="preserve">Participated</t>
  </si>
  <si>
    <t xml:space="preserve">P</t>
  </si>
  <si>
    <t xml:space="preserve">Competed</t>
  </si>
  <si>
    <t xml:space="preserve">C</t>
  </si>
  <si>
    <t xml:space="preserve">ES Multiplier</t>
  </si>
  <si>
    <t xml:space="preserve">TS Multiplier</t>
  </si>
  <si>
    <t xml:space="preserve">PS Multiplier</t>
  </si>
  <si>
    <t xml:space="preserve">Construction Penalty Multiplier</t>
  </si>
  <si>
    <t xml:space="preserve">Competition Penalty Multiplier</t>
  </si>
  <si>
    <t xml:space="preserve">Default TB3 Rank</t>
  </si>
  <si>
    <t xml:space="preserve">Date</t>
  </si>
  <si>
    <t xml:space="preserve">Version #</t>
  </si>
  <si>
    <t xml:space="preserve">Change</t>
  </si>
  <si>
    <t xml:space="preserve">Event</t>
  </si>
  <si>
    <t xml:space="preserve">Thermodynamics</t>
  </si>
  <si>
    <t xml:space="preserve">Last Updated</t>
  </si>
  <si>
    <t xml:space="preserve">Idx of first .</t>
  </si>
  <si>
    <t xml:space="preserve">Idx of second .</t>
  </si>
  <si>
    <t xml:space="preserve">Major Version</t>
  </si>
  <si>
    <t xml:space="preserve">Minor Version</t>
  </si>
  <si>
    <t xml:space="preserve">Minor Patch</t>
  </si>
  <si>
    <t xml:space="preserve">Version</t>
  </si>
  <si>
    <t xml:space="preserve">0.1.0</t>
  </si>
  <si>
    <t xml:space="preserve">Division</t>
  </si>
  <si>
    <t xml:space="preserve">B/C</t>
  </si>
  <si>
    <t xml:space="preserve">Year</t>
  </si>
  <si>
    <t xml:space="preserve">VLook</t>
  </si>
  <si>
    <t xml:space="preserve">Latest Version</t>
  </si>
  <si>
    <t xml:space="preserve">Outdated?</t>
  </si>
  <si>
    <t xml:space="preserve">Compliant</t>
  </si>
  <si>
    <t xml:space="preserve">Complete</t>
  </si>
  <si>
    <t xml:space="preserve">Incomplete</t>
  </si>
  <si>
    <t xml:space="preserve">Non-Compliant</t>
  </si>
  <si>
    <t xml:space="preserve">No Log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</si>
</sst>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"/>
    <numFmt numFmtId="167" formatCode="0.00"/>
    <numFmt numFmtId="168" formatCode="#,##0"/>
    <numFmt numFmtId="169" formatCode="&quot;TRUE&quot;;&quot;TRUE&quot;;&quot;FALSE&quot;"/>
    <numFmt numFmtId="170" formatCode="m/d/yyyy"/>
    <numFmt numFmtId="171" formatCode="mm/dd/yyyy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Overpass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Overpass"/>
      <family val="0"/>
      <charset val="1"/>
    </font>
    <font>
      <b val="true"/>
      <sz val="20"/>
      <color rgb="FF2280BD"/>
      <name val="Overpass"/>
      <family val="0"/>
      <charset val="1"/>
    </font>
    <font>
      <b val="true"/>
      <sz val="11"/>
      <color theme="1"/>
      <name val="Overpass"/>
      <family val="0"/>
      <charset val="1"/>
    </font>
    <font>
      <sz val="11"/>
      <color rgb="FF181A1B"/>
      <name val="Overpass"/>
      <family val="0"/>
      <charset val="1"/>
    </font>
    <font>
      <sz val="13"/>
      <color theme="1"/>
      <name val="Overpass"/>
      <family val="0"/>
      <charset val="1"/>
    </font>
    <font>
      <b val="true"/>
      <sz val="11"/>
      <color rgb="FF181A1B"/>
      <name val="Overpass"/>
      <family val="0"/>
      <charset val="1"/>
    </font>
    <font>
      <sz val="11"/>
      <color rgb="FF181A1B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theme="1"/>
      <name val="Inconsolata"/>
      <family val="0"/>
      <charset val="1"/>
    </font>
    <font>
      <sz val="11"/>
      <color theme="1"/>
      <name val="Inconsolat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5D3E6"/>
        <bgColor rgb="FF99CCFF"/>
      </patternFill>
    </fill>
    <fill>
      <patternFill patternType="solid">
        <fgColor rgb="FFD9D9D9"/>
        <bgColor rgb="FFDEEBF3"/>
      </patternFill>
    </fill>
    <fill>
      <patternFill patternType="solid">
        <fgColor rgb="FFFFB3B3"/>
        <bgColor rgb="FFF4C7C3"/>
      </patternFill>
    </fill>
    <fill>
      <patternFill patternType="solid">
        <fgColor rgb="FFCEEAAE"/>
        <bgColor rgb="FFD9D9D9"/>
      </patternFill>
    </fill>
    <fill>
      <patternFill patternType="solid">
        <fgColor rgb="FFDEEBF3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E5E5"/>
        <bgColor rgb="FFF2F2F2"/>
      </patternFill>
    </fill>
    <fill>
      <patternFill patternType="solid">
        <fgColor rgb="FFEBF1DE"/>
        <bgColor rgb="FFF2F2F2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9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6" fillId="0" borderId="1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6" fillId="0" borderId="1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6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9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left" vertical="bottom" textRotation="9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8" fillId="0" borderId="1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8" fillId="0" borderId="12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6" fontId="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7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7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7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7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1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000000"/>
      </font>
      <fill>
        <patternFill>
          <bgColor rgb="FFFFD966"/>
        </patternFill>
      </fill>
    </dxf>
    <dxf>
      <fill>
        <patternFill>
          <bgColor rgb="FFF4C7C3"/>
        </patternFill>
      </fill>
    </dxf>
    <dxf>
      <font>
        <color rgb="FF000000"/>
      </font>
      <fill>
        <patternFill>
          <bgColor rgb="FFFFB3B3"/>
        </patternFill>
      </fill>
    </dxf>
    <dxf>
      <font>
        <b val="1"/>
        <color rgb="FFFFFFFF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280BD"/>
      <rgbColor rgb="FFD9D9D9"/>
      <rgbColor rgb="FF808080"/>
      <rgbColor rgb="FF9999FF"/>
      <rgbColor rgb="FF993366"/>
      <rgbColor rgb="FFEBF1DE"/>
      <rgbColor rgb="FFDEEBF3"/>
      <rgbColor rgb="FF660066"/>
      <rgbColor rgb="FFFF8080"/>
      <rgbColor rgb="FF0066CC"/>
      <rgbColor rgb="FFB5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EEAAE"/>
      <rgbColor rgb="FFFFE5E5"/>
      <rgbColor rgb="FF99CCFF"/>
      <rgbColor rgb="FFFFB3B3"/>
      <rgbColor rgb="FFCC99FF"/>
      <rgbColor rgb="FFF4C7C3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181A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X507"/>
  <sheetViews>
    <sheetView showFormulas="false" showGridLines="true" showRowColHeaders="true" showZeros="true" rightToLeft="false" tabSelected="true" showOutlineSymbols="true" defaultGridColor="true" view="normal" topLeftCell="Z1" colorId="64" zoomScale="100" zoomScaleNormal="100" zoomScalePageLayoutView="100" workbookViewId="0">
      <pane xSplit="0" ySplit="7" topLeftCell="A8" activePane="bottomLeft" state="frozen"/>
      <selection pane="topLeft" activeCell="Z1" activeCellId="0" sqref="Z1"/>
      <selection pane="bottomLeft" activeCell="AM6" activeCellId="0" sqref="AM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.12"/>
    <col collapsed="false" customWidth="true" hidden="false" outlineLevel="0" max="2" min="2" style="1" width="6.88"/>
    <col collapsed="false" customWidth="true" hidden="false" outlineLevel="0" max="3" min="3" style="1" width="30.75"/>
    <col collapsed="false" customWidth="true" hidden="false" outlineLevel="0" max="4" min="4" style="1" width="15.63"/>
    <col collapsed="false" customWidth="true" hidden="true" outlineLevel="0" max="6" min="5" style="1" width="4.25"/>
    <col collapsed="false" customWidth="true" hidden="false" outlineLevel="0" max="7" min="7" style="1" width="4.5"/>
    <col collapsed="false" customWidth="true" hidden="false" outlineLevel="0" max="8" min="8" style="1" width="10.57"/>
    <col collapsed="false" customWidth="true" hidden="false" outlineLevel="0" max="9" min="9" style="1" width="4.5"/>
    <col collapsed="false" customWidth="true" hidden="false" outlineLevel="0" max="10" min="10" style="1" width="9.18"/>
    <col collapsed="false" customWidth="true" hidden="false" outlineLevel="0" max="11" min="11" style="1" width="4.31"/>
    <col collapsed="false" customWidth="true" hidden="false" outlineLevel="0" max="12" min="12" style="1" width="8.38"/>
    <col collapsed="false" customWidth="true" hidden="false" outlineLevel="0" max="13" min="13" style="1" width="8.75"/>
    <col collapsed="false" customWidth="true" hidden="false" outlineLevel="0" max="14" min="14" style="1" width="8.69"/>
    <col collapsed="false" customWidth="true" hidden="false" outlineLevel="0" max="15" min="15" style="1" width="7.5"/>
    <col collapsed="false" customWidth="true" hidden="false" outlineLevel="0" max="16" min="16" style="1" width="8.06"/>
    <col collapsed="false" customWidth="true" hidden="false" outlineLevel="0" max="17" min="17" style="1" width="4"/>
    <col collapsed="false" customWidth="true" hidden="false" outlineLevel="0" max="18" min="18" style="1" width="4.63"/>
    <col collapsed="false" customWidth="true" hidden="false" outlineLevel="0" max="19" min="19" style="1" width="5.75"/>
    <col collapsed="false" customWidth="true" hidden="false" outlineLevel="0" max="20" min="20" style="1" width="7.09"/>
    <col collapsed="false" customWidth="true" hidden="false" outlineLevel="0" max="21" min="21" style="1" width="6.96"/>
    <col collapsed="false" customWidth="true" hidden="false" outlineLevel="0" max="22" min="22" style="1" width="7.23"/>
    <col collapsed="false" customWidth="true" hidden="false" outlineLevel="0" max="23" min="23" style="1" width="9.04"/>
    <col collapsed="false" customWidth="true" hidden="false" outlineLevel="0" max="24" min="24" style="1" width="8.06"/>
    <col collapsed="false" customWidth="true" hidden="false" outlineLevel="0" max="27" min="25" style="1" width="5.75"/>
    <col collapsed="false" customWidth="true" hidden="false" outlineLevel="0" max="30" min="28" style="1" width="8.06"/>
    <col collapsed="false" customWidth="true" hidden="false" outlineLevel="0" max="31" min="31" style="1" width="7.37"/>
    <col collapsed="false" customWidth="true" hidden="false" outlineLevel="0" max="32" min="32" style="1" width="4.63"/>
    <col collapsed="false" customWidth="true" hidden="false" outlineLevel="0" max="33" min="33" style="1" width="16.97"/>
    <col collapsed="false" customWidth="true" hidden="false" outlineLevel="0" max="34" min="34" style="1" width="12.24"/>
    <col collapsed="false" customWidth="true" hidden="false" outlineLevel="0" max="35" min="35" style="1" width="16.83"/>
    <col collapsed="false" customWidth="true" hidden="false" outlineLevel="0" max="38" min="36" style="1" width="13.35"/>
    <col collapsed="false" customWidth="true" hidden="false" outlineLevel="0" max="39" min="39" style="1" width="15.72"/>
    <col collapsed="false" customWidth="true" hidden="false" outlineLevel="0" max="42" min="40" style="1" width="10.38"/>
    <col collapsed="false" customWidth="true" hidden="false" outlineLevel="0" max="44" min="43" style="1" width="8.38"/>
    <col collapsed="false" customWidth="true" hidden="false" outlineLevel="0" max="45" min="45" style="1" width="15.3"/>
    <col collapsed="false" customWidth="true" hidden="false" outlineLevel="0" max="46" min="46" style="1" width="10.57"/>
    <col collapsed="false" customWidth="true" hidden="false" outlineLevel="0" max="47" min="47" style="1" width="14.19"/>
    <col collapsed="false" customWidth="true" hidden="false" outlineLevel="0" max="48" min="48" style="1" width="10.29"/>
    <col collapsed="false" customWidth="true" hidden="false" outlineLevel="0" max="50" min="49" style="1" width="11.39"/>
    <col collapsed="false" customWidth="true" hidden="false" outlineLevel="0" max="51" min="51" style="1" width="10.29"/>
    <col collapsed="false" customWidth="true" hidden="false" outlineLevel="0" max="52" min="52" style="1" width="4.63"/>
    <col collapsed="false" customWidth="true" hidden="false" outlineLevel="0" max="53" min="53" style="1" width="30"/>
    <col collapsed="false" customWidth="true" hidden="false" outlineLevel="0" max="54" min="54" style="1" width="8.63"/>
    <col collapsed="false" customWidth="true" hidden="false" outlineLevel="0" max="58" min="55" style="1" width="4"/>
    <col collapsed="false" customWidth="true" hidden="false" outlineLevel="0" max="59" min="59" style="1" width="2"/>
    <col collapsed="false" customWidth="true" hidden="true" outlineLevel="0" max="69" min="60" style="1" width="4.63"/>
    <col collapsed="false" customWidth="true" hidden="false" outlineLevel="0" max="70" min="70" style="1" width="4.63"/>
    <col collapsed="false" customWidth="true" hidden="false" outlineLevel="0" max="71" min="71" style="1" width="6.88"/>
    <col collapsed="false" customWidth="true" hidden="false" outlineLevel="0" max="72" min="72" style="1" width="30.75"/>
    <col collapsed="false" customWidth="true" hidden="false" outlineLevel="0" max="73" min="73" style="1" width="15.63"/>
    <col collapsed="false" customWidth="true" hidden="false" outlineLevel="0" max="74" min="74" style="1" width="4.63"/>
    <col collapsed="false" customWidth="true" hidden="false" outlineLevel="0" max="75" min="75" style="1" width="8.63"/>
    <col collapsed="false" customWidth="true" hidden="true" outlineLevel="0" max="76" min="76" style="1" width="6.63"/>
  </cols>
  <sheetData>
    <row r="1" customFormat="false" ht="6" hidden="false" customHeight="true" outlineLevel="0" collapsed="false">
      <c r="A1" s="2"/>
      <c r="B1" s="2"/>
      <c r="C1" s="2"/>
      <c r="D1" s="2"/>
      <c r="E1" s="3"/>
      <c r="F1" s="3"/>
      <c r="G1" s="3"/>
      <c r="H1" s="3"/>
      <c r="I1" s="2"/>
      <c r="J1" s="2"/>
      <c r="K1" s="2"/>
      <c r="L1" s="3"/>
      <c r="M1" s="3"/>
      <c r="N1" s="3"/>
      <c r="O1" s="3"/>
      <c r="P1" s="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4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</row>
    <row r="2" customFormat="false" ht="15.75" hidden="false" customHeight="false" outlineLevel="0" collapsed="false">
      <c r="A2" s="5"/>
      <c r="B2" s="6" t="str">
        <f aca="false">'Info.'!B1&amp;" "&amp;'Info.'!B4</f>
        <v>Thermodynamics B/C</v>
      </c>
      <c r="C2" s="6"/>
      <c r="D2" s="6"/>
      <c r="E2" s="7"/>
      <c r="F2" s="7"/>
      <c r="G2" s="8" t="s">
        <v>0</v>
      </c>
      <c r="H2" s="9" t="s">
        <v>1</v>
      </c>
      <c r="I2" s="10" t="s">
        <v>2</v>
      </c>
      <c r="J2" s="10"/>
      <c r="K2" s="10"/>
      <c r="L2" s="10"/>
      <c r="M2" s="10"/>
      <c r="N2" s="10"/>
      <c r="O2" s="11"/>
      <c r="P2" s="11"/>
      <c r="Q2" s="12"/>
      <c r="R2" s="13"/>
      <c r="S2" s="14"/>
      <c r="T2" s="10"/>
      <c r="U2" s="10"/>
      <c r="V2" s="10"/>
      <c r="W2" s="10"/>
      <c r="X2" s="10"/>
      <c r="Y2" s="10" t="s">
        <v>3</v>
      </c>
      <c r="Z2" s="10"/>
      <c r="AA2" s="10" t="s">
        <v>3</v>
      </c>
      <c r="AB2" s="10"/>
      <c r="AC2" s="10"/>
      <c r="AD2" s="10"/>
      <c r="AE2" s="15" t="s">
        <v>4</v>
      </c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6"/>
      <c r="BA2" s="11"/>
      <c r="BB2" s="11"/>
      <c r="BC2" s="11"/>
      <c r="BD2" s="11"/>
      <c r="BE2" s="11"/>
      <c r="BF2" s="11"/>
      <c r="BG2" s="17"/>
      <c r="BH2" s="14"/>
      <c r="BI2" s="14"/>
      <c r="BJ2" s="18" t="s">
        <v>5</v>
      </c>
      <c r="BK2" s="19" t="s">
        <v>6</v>
      </c>
      <c r="BL2" s="19" t="s">
        <v>7</v>
      </c>
      <c r="BM2" s="19" t="s">
        <v>8</v>
      </c>
      <c r="BN2" s="19" t="s">
        <v>9</v>
      </c>
      <c r="BO2" s="19" t="s">
        <v>10</v>
      </c>
      <c r="BP2" s="19" t="s">
        <v>11</v>
      </c>
      <c r="BQ2" s="20" t="s">
        <v>12</v>
      </c>
      <c r="BR2" s="21" t="s">
        <v>13</v>
      </c>
      <c r="BS2" s="21"/>
      <c r="BT2" s="21"/>
      <c r="BU2" s="21"/>
      <c r="BV2" s="21"/>
      <c r="BW2" s="21"/>
      <c r="BX2" s="14"/>
    </row>
    <row r="3" customFormat="false" ht="20.25" hidden="false" customHeight="true" outlineLevel="0" collapsed="false">
      <c r="A3" s="5"/>
      <c r="B3" s="6"/>
      <c r="C3" s="6"/>
      <c r="D3" s="6"/>
      <c r="E3" s="22" t="s">
        <v>14</v>
      </c>
      <c r="F3" s="22" t="s">
        <v>15</v>
      </c>
      <c r="G3" s="23" t="s">
        <v>16</v>
      </c>
      <c r="H3" s="24" t="s">
        <v>17</v>
      </c>
      <c r="I3" s="25" t="s">
        <v>18</v>
      </c>
      <c r="J3" s="25" t="s">
        <v>19</v>
      </c>
      <c r="K3" s="26" t="s">
        <v>20</v>
      </c>
      <c r="L3" s="22" t="s">
        <v>21</v>
      </c>
      <c r="M3" s="22" t="s">
        <v>22</v>
      </c>
      <c r="N3" s="22" t="s">
        <v>23</v>
      </c>
      <c r="O3" s="27" t="s">
        <v>24</v>
      </c>
      <c r="P3" s="27" t="s">
        <v>25</v>
      </c>
      <c r="Q3" s="25" t="s">
        <v>26</v>
      </c>
      <c r="R3" s="13"/>
      <c r="S3" s="28"/>
      <c r="T3" s="29" t="str">
        <f aca="false">G3</f>
        <v>1. Device Impounded (T/F)</v>
      </c>
      <c r="U3" s="29" t="str">
        <f aca="false">H3</f>
        <v>2. Device does not contain hazardous materials (T/F)</v>
      </c>
      <c r="V3" s="25" t="str">
        <f aca="false">I3</f>
        <v>3. Met all const para (T/F)</v>
      </c>
      <c r="W3" s="25" t="str">
        <f aca="false">J3</f>
        <v>4. Team does not touch their setup during the Heating Time (T/F)</v>
      </c>
      <c r="X3" s="25" t="str">
        <f aca="false">K3</f>
        <v>5. Met all comp para (T/F)</v>
      </c>
      <c r="Y3" s="25" t="str">
        <f aca="false">L3</f>
        <v>6. Starting Water Temp</v>
      </c>
      <c r="Z3" s="25" t="str">
        <f aca="false">M3</f>
        <v>7. Predicted Final Temp</v>
      </c>
      <c r="AA3" s="26" t="str">
        <f aca="false">N3</f>
        <v>8. Actual Final Temp</v>
      </c>
      <c r="AB3" s="26" t="str">
        <f aca="false">O3</f>
        <v>9. Part I Raw Score</v>
      </c>
      <c r="AC3" s="26" t="str">
        <f aca="false">P3</f>
        <v>10. Tiebreak 3 Ranking (If blank, assumes rank 1)</v>
      </c>
      <c r="AD3" s="25" t="str">
        <f aca="false">Q3</f>
        <v>11. Disqualify (T/F)</v>
      </c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6"/>
      <c r="BA3" s="30" t="s">
        <v>27</v>
      </c>
      <c r="BB3" s="31" t="s">
        <v>28</v>
      </c>
      <c r="BC3" s="32" t="s">
        <v>29</v>
      </c>
      <c r="BD3" s="33" t="s">
        <v>30</v>
      </c>
      <c r="BE3" s="32" t="s">
        <v>31</v>
      </c>
      <c r="BF3" s="34" t="s">
        <v>32</v>
      </c>
      <c r="BG3" s="35"/>
      <c r="BH3" s="14"/>
      <c r="BI3" s="14"/>
      <c r="BJ3" s="18"/>
      <c r="BK3" s="19"/>
      <c r="BL3" s="19"/>
      <c r="BM3" s="19"/>
      <c r="BN3" s="19"/>
      <c r="BO3" s="19"/>
      <c r="BP3" s="19"/>
      <c r="BQ3" s="20"/>
      <c r="BR3" s="36" t="s">
        <v>31</v>
      </c>
      <c r="BS3" s="37" t="s">
        <v>33</v>
      </c>
      <c r="BT3" s="37" t="s">
        <v>34</v>
      </c>
      <c r="BU3" s="37" t="s">
        <v>35</v>
      </c>
      <c r="BV3" s="37" t="s">
        <v>29</v>
      </c>
      <c r="BW3" s="38" t="s">
        <v>28</v>
      </c>
      <c r="BX3" s="14"/>
    </row>
    <row r="4" customFormat="false" ht="18.65" hidden="false" customHeight="false" outlineLevel="0" collapsed="false">
      <c r="A4" s="5"/>
      <c r="B4" s="39" t="str">
        <f aca="false">"Event Scoresheet - "&amp;'Info.'!B5&amp;IF('Info.'!B8="T","
The scoresheet has been updated; please 
download version v"&amp;'Info.'!B7&amp;" from soinc.org/scoresheets.","")</f>
        <v>Event Scoresheet - 2026</v>
      </c>
      <c r="C4" s="39"/>
      <c r="D4" s="39"/>
      <c r="E4" s="22"/>
      <c r="F4" s="22"/>
      <c r="G4" s="23"/>
      <c r="H4" s="24"/>
      <c r="I4" s="25"/>
      <c r="J4" s="25"/>
      <c r="K4" s="25"/>
      <c r="L4" s="22"/>
      <c r="M4" s="22"/>
      <c r="N4" s="22"/>
      <c r="O4" s="27"/>
      <c r="P4" s="27"/>
      <c r="Q4" s="25"/>
      <c r="R4" s="13"/>
      <c r="S4" s="28"/>
      <c r="T4" s="29"/>
      <c r="U4" s="29"/>
      <c r="V4" s="25"/>
      <c r="W4" s="25"/>
      <c r="X4" s="25"/>
      <c r="Y4" s="25"/>
      <c r="Z4" s="25"/>
      <c r="AA4" s="25"/>
      <c r="AB4" s="25"/>
      <c r="AC4" s="25"/>
      <c r="AD4" s="25"/>
      <c r="AE4" s="14"/>
      <c r="AF4" s="14"/>
      <c r="AG4" s="14"/>
      <c r="AH4" s="14" t="s">
        <v>36</v>
      </c>
      <c r="AI4" s="14"/>
      <c r="AJ4" s="14"/>
      <c r="AK4" s="14"/>
      <c r="AL4" s="14" t="s">
        <v>37</v>
      </c>
      <c r="AM4" s="14"/>
      <c r="AN4" s="14"/>
      <c r="AO4" s="14"/>
      <c r="AP4" s="14" t="s">
        <v>38</v>
      </c>
      <c r="AQ4" s="14"/>
      <c r="AR4" s="14"/>
      <c r="AS4" s="14"/>
      <c r="AT4" s="14"/>
      <c r="AU4" s="14"/>
      <c r="AV4" s="14"/>
      <c r="AW4" s="14"/>
      <c r="AX4" s="14"/>
      <c r="AY4" s="14"/>
      <c r="AZ4" s="16"/>
      <c r="BA4" s="30"/>
      <c r="BB4" s="30"/>
      <c r="BC4" s="32"/>
      <c r="BD4" s="32"/>
      <c r="BE4" s="32"/>
      <c r="BF4" s="34"/>
      <c r="BG4" s="35"/>
      <c r="BH4" s="14"/>
      <c r="BI4" s="14"/>
      <c r="BJ4" s="18"/>
      <c r="BK4" s="19"/>
      <c r="BL4" s="19"/>
      <c r="BM4" s="19"/>
      <c r="BN4" s="19"/>
      <c r="BO4" s="19"/>
      <c r="BP4" s="19"/>
      <c r="BQ4" s="20"/>
      <c r="BR4" s="36"/>
      <c r="BS4" s="37"/>
      <c r="BT4" s="37"/>
      <c r="BU4" s="37"/>
      <c r="BV4" s="37"/>
      <c r="BW4" s="38"/>
      <c r="BX4" s="14"/>
    </row>
    <row r="5" customFormat="false" ht="118.5" hidden="true" customHeight="true" outlineLevel="0" collapsed="false">
      <c r="A5" s="5"/>
      <c r="B5" s="40"/>
      <c r="C5" s="40"/>
      <c r="D5" s="40"/>
      <c r="E5" s="22"/>
      <c r="F5" s="22"/>
      <c r="G5" s="23"/>
      <c r="H5" s="24"/>
      <c r="I5" s="25"/>
      <c r="J5" s="25"/>
      <c r="K5" s="25"/>
      <c r="L5" s="22"/>
      <c r="M5" s="22"/>
      <c r="N5" s="22"/>
      <c r="O5" s="27"/>
      <c r="P5" s="27"/>
      <c r="Q5" s="25"/>
      <c r="R5" s="13"/>
      <c r="S5" s="28"/>
      <c r="T5" s="29"/>
      <c r="U5" s="29"/>
      <c r="V5" s="25"/>
      <c r="W5" s="25"/>
      <c r="X5" s="25"/>
      <c r="Y5" s="25"/>
      <c r="Z5" s="25"/>
      <c r="AA5" s="25"/>
      <c r="AB5" s="25"/>
      <c r="AC5" s="25"/>
      <c r="AD5" s="25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6"/>
      <c r="BA5" s="30"/>
      <c r="BB5" s="30"/>
      <c r="BC5" s="32"/>
      <c r="BD5" s="32"/>
      <c r="BE5" s="32"/>
      <c r="BF5" s="34"/>
      <c r="BG5" s="35"/>
      <c r="BH5" s="14"/>
      <c r="BI5" s="14"/>
      <c r="BJ5" s="18"/>
      <c r="BK5" s="19"/>
      <c r="BL5" s="19"/>
      <c r="BM5" s="19"/>
      <c r="BN5" s="19"/>
      <c r="BO5" s="19"/>
      <c r="BP5" s="19"/>
      <c r="BQ5" s="20"/>
      <c r="BR5" s="36"/>
      <c r="BS5" s="37"/>
      <c r="BT5" s="37"/>
      <c r="BU5" s="37"/>
      <c r="BV5" s="37"/>
      <c r="BW5" s="38"/>
      <c r="BX5" s="14"/>
    </row>
    <row r="6" customFormat="false" ht="89.25" hidden="false" customHeight="true" outlineLevel="0" collapsed="false">
      <c r="A6" s="5"/>
      <c r="B6" s="41" t="str">
        <f aca="false">"Last Updated: "&amp;TEXT('Info.'!B2, "mm/dd/yyyy")&amp;" (v"&amp;'Info.'!B3&amp;")
Direct all questions to scoresheets@soinc.org."</f>
        <v>Last Updated: 09/10/2025 (v0.1.0)
Direct all questions to scoresheets@soinc.org.</v>
      </c>
      <c r="C6" s="41"/>
      <c r="D6" s="41"/>
      <c r="E6" s="22"/>
      <c r="F6" s="22"/>
      <c r="G6" s="23"/>
      <c r="H6" s="24"/>
      <c r="I6" s="25"/>
      <c r="J6" s="25"/>
      <c r="K6" s="25"/>
      <c r="L6" s="22"/>
      <c r="M6" s="22"/>
      <c r="N6" s="22"/>
      <c r="O6" s="27"/>
      <c r="P6" s="27"/>
      <c r="Q6" s="25"/>
      <c r="R6" s="13"/>
      <c r="S6" s="28"/>
      <c r="T6" s="29"/>
      <c r="U6" s="29"/>
      <c r="V6" s="25"/>
      <c r="W6" s="25"/>
      <c r="X6" s="25"/>
      <c r="Y6" s="25"/>
      <c r="Z6" s="25"/>
      <c r="AA6" s="25"/>
      <c r="AB6" s="25"/>
      <c r="AC6" s="25"/>
      <c r="AD6" s="25"/>
      <c r="AE6" s="42"/>
      <c r="AF6" s="43"/>
      <c r="AG6" s="43"/>
      <c r="AH6" s="43" t="n">
        <f aca="false">MAX(AH8:AH507)</f>
        <v>0</v>
      </c>
      <c r="AI6" s="43" t="s">
        <v>39</v>
      </c>
      <c r="AJ6" s="43"/>
      <c r="AK6" s="43"/>
      <c r="AL6" s="43" t="n">
        <f aca="false">MAX(AL8:AL507)</f>
        <v>0</v>
      </c>
      <c r="AM6" s="43" t="s">
        <v>40</v>
      </c>
      <c r="AN6" s="43"/>
      <c r="AO6" s="43"/>
      <c r="AP6" s="44" t="n">
        <f aca="false">MAX(AB8:AB507)</f>
        <v>0</v>
      </c>
      <c r="AQ6" s="14"/>
      <c r="AR6" s="14"/>
      <c r="AS6" s="14"/>
      <c r="AT6" s="14"/>
      <c r="AU6" s="14"/>
      <c r="AV6" s="14"/>
      <c r="AW6" s="14"/>
      <c r="AX6" s="14"/>
      <c r="AY6" s="14"/>
      <c r="AZ6" s="16"/>
      <c r="BA6" s="30"/>
      <c r="BB6" s="30"/>
      <c r="BC6" s="32"/>
      <c r="BD6" s="32"/>
      <c r="BE6" s="32"/>
      <c r="BF6" s="34"/>
      <c r="BG6" s="35"/>
      <c r="BH6" s="14"/>
      <c r="BI6" s="14"/>
      <c r="BJ6" s="18"/>
      <c r="BK6" s="19"/>
      <c r="BL6" s="19"/>
      <c r="BM6" s="19"/>
      <c r="BN6" s="19"/>
      <c r="BO6" s="19"/>
      <c r="BP6" s="19"/>
      <c r="BQ6" s="20"/>
      <c r="BR6" s="36"/>
      <c r="BS6" s="37"/>
      <c r="BT6" s="37"/>
      <c r="BU6" s="37"/>
      <c r="BV6" s="37"/>
      <c r="BW6" s="38"/>
      <c r="BX6" s="14"/>
    </row>
    <row r="7" customFormat="false" ht="15.75" hidden="false" customHeight="false" outlineLevel="0" collapsed="false">
      <c r="A7" s="5"/>
      <c r="B7" s="45" t="s">
        <v>33</v>
      </c>
      <c r="C7" s="46" t="s">
        <v>34</v>
      </c>
      <c r="D7" s="47" t="s">
        <v>35</v>
      </c>
      <c r="E7" s="22"/>
      <c r="F7" s="22"/>
      <c r="G7" s="23"/>
      <c r="H7" s="24"/>
      <c r="I7" s="25"/>
      <c r="J7" s="25"/>
      <c r="K7" s="25"/>
      <c r="L7" s="22"/>
      <c r="M7" s="22"/>
      <c r="N7" s="22"/>
      <c r="O7" s="27"/>
      <c r="P7" s="27"/>
      <c r="Q7" s="25"/>
      <c r="R7" s="48"/>
      <c r="S7" s="28"/>
      <c r="T7" s="29"/>
      <c r="U7" s="29"/>
      <c r="V7" s="25"/>
      <c r="W7" s="25"/>
      <c r="X7" s="25"/>
      <c r="Y7" s="25"/>
      <c r="Z7" s="25"/>
      <c r="AA7" s="25"/>
      <c r="AB7" s="25"/>
      <c r="AC7" s="25"/>
      <c r="AD7" s="25"/>
      <c r="AE7" s="43" t="s">
        <v>41</v>
      </c>
      <c r="AF7" s="43" t="s">
        <v>29</v>
      </c>
      <c r="AG7" s="43" t="s">
        <v>42</v>
      </c>
      <c r="AH7" s="43" t="s">
        <v>43</v>
      </c>
      <c r="AI7" s="43" t="s">
        <v>44</v>
      </c>
      <c r="AJ7" s="43" t="s">
        <v>45</v>
      </c>
      <c r="AK7" s="49" t="s">
        <v>46</v>
      </c>
      <c r="AL7" s="43" t="s">
        <v>47</v>
      </c>
      <c r="AM7" s="43" t="s">
        <v>48</v>
      </c>
      <c r="AN7" s="43" t="s">
        <v>49</v>
      </c>
      <c r="AO7" s="49" t="s">
        <v>50</v>
      </c>
      <c r="AP7" s="49" t="s">
        <v>51</v>
      </c>
      <c r="AQ7" s="49" t="s">
        <v>28</v>
      </c>
      <c r="AR7" s="49" t="s">
        <v>31</v>
      </c>
      <c r="AS7" s="43" t="s">
        <v>52</v>
      </c>
      <c r="AT7" s="43" t="s">
        <v>53</v>
      </c>
      <c r="AU7" s="43" t="s">
        <v>54</v>
      </c>
      <c r="AV7" s="43" t="s">
        <v>55</v>
      </c>
      <c r="AW7" s="43" t="s">
        <v>56</v>
      </c>
      <c r="AX7" s="43" t="s">
        <v>57</v>
      </c>
      <c r="AY7" s="43" t="s">
        <v>58</v>
      </c>
      <c r="AZ7" s="50"/>
      <c r="BA7" s="30" t="str">
        <f aca="false">IF(COUNTIF($BA$8:$BA$507,"?*")=0,"No input errors",COUNTIF($BA$8:$BA$507,"?*")&amp;" row(s) need attention")</f>
        <v>No input errors</v>
      </c>
      <c r="BB7" s="31"/>
      <c r="BC7" s="32"/>
      <c r="BD7" s="32"/>
      <c r="BE7" s="32"/>
      <c r="BF7" s="34"/>
      <c r="BG7" s="35"/>
      <c r="BH7" s="14" t="n">
        <f aca="false">SUM(BH8:BH507)</f>
        <v>0</v>
      </c>
      <c r="BI7" s="14"/>
      <c r="BJ7" s="18"/>
      <c r="BK7" s="19"/>
      <c r="BL7" s="19"/>
      <c r="BM7" s="19"/>
      <c r="BN7" s="19"/>
      <c r="BO7" s="19"/>
      <c r="BP7" s="19"/>
      <c r="BQ7" s="20"/>
      <c r="BR7" s="36"/>
      <c r="BS7" s="37"/>
      <c r="BT7" s="37"/>
      <c r="BU7" s="37"/>
      <c r="BV7" s="37"/>
      <c r="BW7" s="38"/>
      <c r="BX7" s="14"/>
    </row>
    <row r="8" customFormat="false" ht="15.75" hidden="false" customHeight="false" outlineLevel="0" collapsed="false">
      <c r="A8" s="5"/>
      <c r="B8" s="51"/>
      <c r="C8" s="52"/>
      <c r="D8" s="53"/>
      <c r="E8" s="54"/>
      <c r="F8" s="54"/>
      <c r="G8" s="55"/>
      <c r="H8" s="56"/>
      <c r="I8" s="57"/>
      <c r="J8" s="57"/>
      <c r="K8" s="57"/>
      <c r="L8" s="58"/>
      <c r="M8" s="58"/>
      <c r="N8" s="58"/>
      <c r="O8" s="59"/>
      <c r="P8" s="60"/>
      <c r="Q8" s="61"/>
      <c r="R8" s="62"/>
      <c r="S8" s="63"/>
      <c r="T8" s="64" t="str">
        <f aca="false">IF(ISBLANK($C8),"",IF(G8=Constants!$B$2, TRUE(), IF(G8=Constants!$B$3, FALSE(), TRUE())))</f>
        <v/>
      </c>
      <c r="U8" s="64" t="str">
        <f aca="false">IF(ISBLANK($C8),"",IF(H8=Constants!$B$2, TRUE(), IF(H8=Constants!$B$3, FALSE(), TRUE())))</f>
        <v/>
      </c>
      <c r="V8" s="63" t="str">
        <f aca="false">IF(ISBLANK($C8),"",IF(I8=Constants!$B$2, TRUE(), IF(I8=Constants!$B$3, FALSE(), TRUE())))</f>
        <v/>
      </c>
      <c r="W8" s="63" t="str">
        <f aca="false">IF(ISBLANK($C8),"",IF(J8=Constants!$B$2, TRUE(), IF(J8=Constants!$B$3, FALSE(), TRUE())))</f>
        <v/>
      </c>
      <c r="X8" s="63" t="str">
        <f aca="false">IF(ISBLANK($C8),"",IF(K8=Constants!$B$2, TRUE(), IF(K8=Constants!$B$3, FALSE(), TRUE())))</f>
        <v/>
      </c>
      <c r="Y8" s="65" t="str">
        <f aca="false">IF(ISBLANK($C8),"",IF(ISNUMBER(L8), L8, ""))</f>
        <v/>
      </c>
      <c r="Z8" s="65" t="str">
        <f aca="false">IF(ISBLANK($C8),"",IF(ISNUMBER(M8), M8, ""))</f>
        <v/>
      </c>
      <c r="AA8" s="65" t="str">
        <f aca="false">IF(ISBLANK($C8),"",IF(ISNUMBER(N8), N8, ""))</f>
        <v/>
      </c>
      <c r="AB8" s="66" t="str">
        <f aca="false">IF(ISBLANK($C8),"",IF(ISNUMBER(O8), O8, ""))</f>
        <v/>
      </c>
      <c r="AC8" s="66" t="str">
        <f aca="false">IF(ISBLANK($C8),"",IF(ISNUMBER(P8), P8, Constants!$B$13))</f>
        <v/>
      </c>
      <c r="AD8" s="63" t="str">
        <f aca="false">IF(ISBLANK($C8),"",IF(Q8=Constants!$B$2, TRUE(), IF(Q8=Constants!$B$3, FALSE(), FALSE())))</f>
        <v/>
      </c>
      <c r="AE8" s="63" t="str">
        <f aca="false">IF(ISBLANK(C8), "", IF(AD8, Constants!$B$4,IF(COUNTA(G8:O8)=0, Constants!$B$5, Constants!$B$7)))</f>
        <v/>
      </c>
      <c r="AF8" s="63" t="str">
        <f aca="false">IF(ISBLANK($C8), "",IF($AE8=Constants!$B$7,1,$AE8))</f>
        <v/>
      </c>
      <c r="AG8" s="63" t="str">
        <f aca="false">IF($AE8=Constants!$B$7,IF(V8, 1, Constants!$B$11) * IF(X8, 1, Constants!$B$12),"")</f>
        <v/>
      </c>
      <c r="AH8" s="63" t="str">
        <f aca="false">IF(AND($AE8=Constants!$B$7, T8, U8) ,MAX(0, $AA8-$Y8),"")</f>
        <v/>
      </c>
      <c r="AI8" s="63" t="str">
        <f aca="false">IF(ISERROR(AH8),$AI$6,"")</f>
        <v/>
      </c>
      <c r="AJ8" s="63" t="str">
        <f aca="false">IF($AE8=Constants!$B$7,IF(AND(T8,U8,W8),IF($AH$6=0,Constants!$B$9,Constants!$B$9*AH8/$AH$6), 0),"")</f>
        <v/>
      </c>
      <c r="AK8" s="63" t="str">
        <f aca="false">IF(AJ8&lt;&gt;"", AJ8*AG8,"")</f>
        <v/>
      </c>
      <c r="AL8" s="63" t="str">
        <f aca="false">IF(AND($AE8=Constants!$B$7, T8, U8) ,IF($Z8="", "", MAX(0,1-ABS($AA8-$Z8)/$AA8)),"")</f>
        <v/>
      </c>
      <c r="AM8" s="63" t="str">
        <f aca="false">IF(AND(NOT(ISERROR(AH8)),ISERROR(AL8)),$AM$6,"")</f>
        <v/>
      </c>
      <c r="AN8" s="63" t="str">
        <f aca="false">IF($AE8=Constants!$B$7 ,IF(AND(T8,U8,W8,ISNUMBER(Z8)),IF($AL$6=0,Constants!$B$10,Constants!$B$10*AL8/$AL$6), 0),"")</f>
        <v/>
      </c>
      <c r="AO8" s="63" t="str">
        <f aca="false">IF(AN8&lt;&gt;"", AN8*AG8,"")</f>
        <v/>
      </c>
      <c r="AP8" s="63" t="str">
        <f aca="false">IF($AE8=Constants!$B$7,IF($AP$6=0,Constants!$B$8,Constants!$B$8*AB8/$AP$6),"")</f>
        <v/>
      </c>
      <c r="AQ8" s="63" t="str">
        <f aca="false">IF($AE8&lt;&gt;Constants!$B$7,$AE8,AK8+AO8+AP8)</f>
        <v/>
      </c>
      <c r="AR8" s="63" t="str">
        <f aca="false">IF(ISBLANK($C8),"",IF($AE8=Constants!$B$7,RANK(AQ8,$AQ$8:$AQ$507),$AE8))</f>
        <v/>
      </c>
      <c r="AS8" s="63" t="str">
        <f aca="false">IF(ISBLANK($C8), "",AK8)</f>
        <v/>
      </c>
      <c r="AT8" s="63" t="str">
        <f aca="false">IF(ISBLANK($C8),"",IF($AE8=Constants!$B$7,RANK(AS8,AS$8:AS$507),$AE8))</f>
        <v/>
      </c>
      <c r="AU8" s="63" t="str">
        <f aca="false">IF(ISBLANK($C8), "",AP8)</f>
        <v/>
      </c>
      <c r="AV8" s="63" t="str">
        <f aca="false">IF(ISBLANK($C8),"",IF($AE8=Constants!$B$7,RANK(AU8,AU$8:AU$507),$AE8))</f>
        <v/>
      </c>
      <c r="AW8" s="63" t="str">
        <f aca="false">IF(ISBLANK($C8), "",AC8)</f>
        <v/>
      </c>
      <c r="AX8" s="63" t="str">
        <f aca="false">IF(ISBLANK($C8),"",
IF($AE8=Constants!$B$7,
  COUNTIFS($AR$8:$AR$507,"&lt;"&amp;$AR8)
  + COUNTIFS($AR$8:$AR$507,$AR8,$AT$8:$AT$507,"&lt;"&amp;$AT8)
  + COUNTIFS($AR$8:$AR$507,$AR8,$AT$8:$AT$507,$AT8,$AV$8:$AV$507,"&lt;"&amp;$AV8)
  + COUNTIFS($AR$8:$AR$507,$AR8,$AT$8:$AT$507,$AT8,$AV$8:$AV$507,$AV8,$AW$8:$AW$507,"&lt;"&amp;$AW8)
  + 1,
$AE8))</f>
        <v/>
      </c>
      <c r="AY8" s="63" t="str">
        <f aca="false">IF(ISBLANK(C8),"",IF($AE8=Constants!$B$7, AR8-AX8,$AE8))</f>
        <v/>
      </c>
      <c r="AZ8" s="67"/>
      <c r="BA8" s="68" t="str">
        <f aca="false">IF(ISBLANK($C8),"",TRIM(AI8&amp;" "&amp;AM8))</f>
        <v/>
      </c>
      <c r="BB8" s="69" t="str">
        <f aca="false">IF(ISBLANK($C8),"",IF($AE8&lt;&gt;Constants!$B$7, $AE8 ,AQ8))</f>
        <v/>
      </c>
      <c r="BC8" s="70" t="str">
        <f aca="false">IF(ISBLANK($C8),"",IF($AE8&lt;&gt;Constants!$B$7, $AE8 ,AF8))</f>
        <v/>
      </c>
      <c r="BD8" s="71" t="str">
        <f aca="false">IF(ISBLANK(C8),"",AY8)</f>
        <v/>
      </c>
      <c r="BE8" s="71" t="str">
        <f aca="false">IF(ISBLANK(C8),"",AX8)</f>
        <v/>
      </c>
      <c r="BF8" s="72" t="str">
        <f aca="false">IF(ISBLANK(C8),"",IFERROR(_xlfn.SWITCH(BE8, Constants!$B$4, COUNTA($C$8:$C507)+2, Constants!$B$5, COUNTA($C$8:$C507)+1, Constants!$B$6, COUNTA($C$8:$C507)),BE8))</f>
        <v/>
      </c>
      <c r="BG8" s="5"/>
      <c r="BH8" s="73" t="n">
        <f aca="false">IF(OR(ISNUMBER(BE8),BE8="DQ",BE8="P",BE8="NS"),
    1,
    0
)</f>
        <v>0</v>
      </c>
      <c r="BI8" s="73" t="n">
        <v>1</v>
      </c>
      <c r="BJ8" s="73" t="str">
        <f aca="false">IF(ISBLANK($C8),
    "",
   BF8+ROW($B8)/1000
)</f>
        <v/>
      </c>
      <c r="BK8" s="73" t="str">
        <f aca="false">IF(ISNUMBER(BJ8), RANK(BJ8,BJ$8:BJ$507,1), "")</f>
        <v/>
      </c>
      <c r="BL8" s="73" t="str">
        <f aca="false">IF(ISBLANK($C8),
    "",
    $B8
)</f>
        <v/>
      </c>
      <c r="BM8" s="73" t="str">
        <f aca="false">IF(ISBLANK($C8),
    "",
    $C8
)</f>
        <v/>
      </c>
      <c r="BN8" s="73" t="str">
        <f aca="false">IF(ISBLANK($C8),
    "",
    $D8
)</f>
        <v/>
      </c>
      <c r="BO8" s="74" t="str">
        <f aca="false">BC8</f>
        <v/>
      </c>
      <c r="BP8" s="75" t="str">
        <f aca="false">BB8</f>
        <v/>
      </c>
      <c r="BQ8" s="73" t="str">
        <f aca="false">IF(ISBLANK($C8),
    "",
    BE8
)</f>
        <v/>
      </c>
      <c r="BR8" s="76" t="str">
        <f aca="false">IF(BI8&gt;BH$7,
    "",
    VLOOKUP(BI8,BK$8:BQ507,7,FALSE())
)</f>
        <v/>
      </c>
      <c r="BS8" s="77" t="str">
        <f aca="false">IF(BI8&gt;BH$7,
    "",
    VLOOKUP(BI8,BK$8:BQ507,2,FALSE())
)</f>
        <v/>
      </c>
      <c r="BT8" s="77" t="str">
        <f aca="false">IF(BI8&gt;BH$7,
    "",
    VLOOKUP(BI8,BK$8:BQ507,3,FALSE())
)</f>
        <v/>
      </c>
      <c r="BU8" s="77" t="str">
        <f aca="false">IF(BI8&gt;BH$7,
    "",
    VLOOKUP(BI8,BK$8:BQ507,4,FALSE())
)</f>
        <v/>
      </c>
      <c r="BV8" s="77" t="str">
        <f aca="false">IF(BI8&gt;BH$7,
    "",
    VLOOKUP(BI8,BK$8:BQ507,5,FALSE())
)</f>
        <v/>
      </c>
      <c r="BW8" s="78" t="str">
        <f aca="false">IF(BI8&gt;BH$7,
    "",
    VLOOKUP(BI8,BK$8:BQ507,6,FALSE())
)</f>
        <v/>
      </c>
      <c r="BX8" s="50"/>
    </row>
    <row r="9" customFormat="false" ht="15.75" hidden="false" customHeight="false" outlineLevel="0" collapsed="false">
      <c r="A9" s="5"/>
      <c r="B9" s="79"/>
      <c r="C9" s="52"/>
      <c r="D9" s="53"/>
      <c r="E9" s="54"/>
      <c r="F9" s="54"/>
      <c r="G9" s="55"/>
      <c r="H9" s="56"/>
      <c r="I9" s="57"/>
      <c r="J9" s="57"/>
      <c r="K9" s="57"/>
      <c r="L9" s="58"/>
      <c r="M9" s="58"/>
      <c r="N9" s="58"/>
      <c r="O9" s="59"/>
      <c r="P9" s="60"/>
      <c r="Q9" s="80"/>
      <c r="R9" s="62"/>
      <c r="S9" s="63"/>
      <c r="T9" s="63" t="str">
        <f aca="false">IF(ISBLANK($C9),"",IF(G9=Constants!$B$2, TRUE(), IF(G9=Constants!$B$3, FALSE(), TRUE())))</f>
        <v/>
      </c>
      <c r="U9" s="63" t="str">
        <f aca="false">IF(ISBLANK($C9),"",IF(H9=Constants!$B$2, TRUE(), IF(H9=Constants!$B$3, FALSE(), TRUE())))</f>
        <v/>
      </c>
      <c r="V9" s="63" t="str">
        <f aca="false">IF(ISBLANK($C9),"",IF(I9=Constants!$B$2, TRUE(), IF(I9=Constants!$B$3, FALSE(), TRUE())))</f>
        <v/>
      </c>
      <c r="W9" s="63" t="str">
        <f aca="false">IF(ISBLANK($C9),"",IF(J9=Constants!$B$2, TRUE(), IF(J9=Constants!$B$3, FALSE(), TRUE())))</f>
        <v/>
      </c>
      <c r="X9" s="63" t="str">
        <f aca="false">IF(ISBLANK($C9),"",IF(K9=Constants!$B$2, TRUE(), IF(K9=Constants!$B$3, FALSE(), TRUE())))</f>
        <v/>
      </c>
      <c r="Y9" s="65" t="str">
        <f aca="false">IF(ISBLANK($C9),"",IF(ISNUMBER(L9), L9, ""))</f>
        <v/>
      </c>
      <c r="Z9" s="65" t="str">
        <f aca="false">IF(ISBLANK($C9),"",IF(ISNUMBER(M9), M9, ""))</f>
        <v/>
      </c>
      <c r="AA9" s="65" t="str">
        <f aca="false">IF(ISBLANK($C9),"",IF(ISNUMBER(N9), N9, ""))</f>
        <v/>
      </c>
      <c r="AB9" s="66" t="str">
        <f aca="false">IF(ISBLANK($C9),"",IF(ISNUMBER(O9), O9, ""))</f>
        <v/>
      </c>
      <c r="AC9" s="66" t="str">
        <f aca="false">IF(ISBLANK($C9),"",IF(ISNUMBER(P9), P9, Constants!$B$13))</f>
        <v/>
      </c>
      <c r="AD9" s="63" t="str">
        <f aca="false">IF(ISBLANK($C9),"",IF(Q9=Constants!$B$2, TRUE(), IF(Q9=Constants!$B$3, FALSE(), FALSE())))</f>
        <v/>
      </c>
      <c r="AE9" s="63" t="str">
        <f aca="false">IF(ISBLANK(C9), "", IF(AD9, Constants!$B$4,IF(COUNTA(G9:O9)=0, Constants!$B$5, Constants!$B$7)))</f>
        <v/>
      </c>
      <c r="AF9" s="63" t="str">
        <f aca="false">IF(ISBLANK($C9), "",IF($AE9=Constants!$B$7,1,$AE9))</f>
        <v/>
      </c>
      <c r="AG9" s="63" t="str">
        <f aca="false">IF($AE9=Constants!$B$7,IF(V9, 1, Constants!$B$11) * IF(X9, 1, Constants!$B$12),"")</f>
        <v/>
      </c>
      <c r="AH9" s="63" t="str">
        <f aca="false">IF(AND($AE9=Constants!$B$7, T9, U9) ,MAX(0, $AA9-$Y9),"")</f>
        <v/>
      </c>
      <c r="AI9" s="63" t="str">
        <f aca="false">IF(ISERROR(AH9),$AI$6,"")</f>
        <v/>
      </c>
      <c r="AJ9" s="63" t="str">
        <f aca="false">IF($AE9=Constants!$B$7,IF(AND(T9,U9,W9),IF($AH$6=0,Constants!$B$9,Constants!$B$9*AH9/$AH$6), 0),"")</f>
        <v/>
      </c>
      <c r="AK9" s="63" t="str">
        <f aca="false">IF(AJ9&lt;&gt;"", AJ9*AG9,"")</f>
        <v/>
      </c>
      <c r="AL9" s="63" t="str">
        <f aca="false">IF(AND($AE9=Constants!$B$7, T9, U9) ,IF($Z9="", "", MAX(0,1-ABS($AA9-$Z9)/$AA9)),"")</f>
        <v/>
      </c>
      <c r="AM9" s="63" t="str">
        <f aca="false">IF(AND(NOT(ISERROR(AH9)),ISERROR(AL9)),$AM$6,"")</f>
        <v/>
      </c>
      <c r="AN9" s="63" t="str">
        <f aca="false">IF($AE9=Constants!$B$7 ,IF(AND(T9,U9,W9,ISNUMBER(Z9)),IF($AL$6=0,Constants!$B$10,Constants!$B$10*AL9/$AL$6), 0),"")</f>
        <v/>
      </c>
      <c r="AO9" s="63" t="str">
        <f aca="false">IF(AN9&lt;&gt;"", AN9*AG9,"")</f>
        <v/>
      </c>
      <c r="AP9" s="63" t="str">
        <f aca="false">IF($AE9=Constants!$B$7,IF($AP$6=0,Constants!$B$8,Constants!$B$8*AB9/$AP$6),"")</f>
        <v/>
      </c>
      <c r="AQ9" s="63" t="str">
        <f aca="false">IF($AE9&lt;&gt;Constants!$B$7,$AE9,AK9+AO9+AP9)</f>
        <v/>
      </c>
      <c r="AR9" s="63" t="str">
        <f aca="false">IF(ISBLANK($C9),"",IF($AE9=Constants!$B$7,RANK(AQ9,$AQ$8:$AQ$507),$AE9))</f>
        <v/>
      </c>
      <c r="AS9" s="63" t="str">
        <f aca="false">IF(ISBLANK($C9), "",AK9)</f>
        <v/>
      </c>
      <c r="AT9" s="63" t="str">
        <f aca="false">IF(ISBLANK($C9),"",IF($AE9=Constants!$B$7,RANK(AS9,AS$8:AS$507),$AE9))</f>
        <v/>
      </c>
      <c r="AU9" s="63" t="str">
        <f aca="false">IF(ISBLANK($C9), "",AP9)</f>
        <v/>
      </c>
      <c r="AV9" s="63" t="str">
        <f aca="false">IF(ISBLANK($C9),"",IF($AE9=Constants!$B$7,RANK(AU9,AU$8:AU$507),$AE9))</f>
        <v/>
      </c>
      <c r="AW9" s="63" t="str">
        <f aca="false">IF(ISBLANK($C9), "",AC9)</f>
        <v/>
      </c>
      <c r="AX9" s="63" t="str">
        <f aca="false">IF(ISBLANK($C9),"",
IF($AE9=Constants!$B$7,
  COUNTIFS($AR$8:$AR$507,"&lt;"&amp;$AR9)
  + COUNTIFS($AR$8:$AR$507,$AR9,$AT$8:$AT$507,"&lt;"&amp;$AT9)
  + COUNTIFS($AR$8:$AR$507,$AR9,$AT$8:$AT$507,$AT9,$AV$8:$AV$507,"&lt;"&amp;$AV9)
  + COUNTIFS($AR$8:$AR$507,$AR9,$AT$8:$AT$507,$AT9,$AV$8:$AV$507,$AV9,$AW$8:$AW$507,"&lt;"&amp;$AW9)
  + 1,
$AE9))</f>
        <v/>
      </c>
      <c r="AY9" s="63" t="str">
        <f aca="false">IF(ISBLANK(C9),"",IF($AE9=Constants!$B$7, AR9-AX9,$AE9))</f>
        <v/>
      </c>
      <c r="AZ9" s="67"/>
      <c r="BA9" s="81" t="str">
        <f aca="false">IF(ISBLANK($C9),"",TRIM(AI9&amp;" "&amp;AM9))</f>
        <v/>
      </c>
      <c r="BB9" s="69" t="str">
        <f aca="false">IF(ISBLANK($C9),"",IF($AE9&lt;&gt;Constants!$B$7, $AE9 ,AQ9))</f>
        <v/>
      </c>
      <c r="BC9" s="70" t="str">
        <f aca="false">IF(ISBLANK($C9),"",IF($AE9&lt;&gt;Constants!$B$7, $AE9 ,AF9))</f>
        <v/>
      </c>
      <c r="BD9" s="71" t="str">
        <f aca="false">IF(ISBLANK(C9),"",AY9)</f>
        <v/>
      </c>
      <c r="BE9" s="71" t="str">
        <f aca="false">IF(ISBLANK(C9),"",AX9)</f>
        <v/>
      </c>
      <c r="BF9" s="72" t="str">
        <f aca="false">IF(ISBLANK(C9),"",IFERROR(_xlfn.SWITCH(BE9, Constants!$B$4, COUNTA($C$8:$C508)+2, Constants!$B$5, COUNTA($C$8:$C508)+1, Constants!$B$6, COUNTA($C$8:$C508)),BE9))</f>
        <v/>
      </c>
      <c r="BG9" s="5"/>
      <c r="BH9" s="73" t="n">
        <f aca="false">IF(OR(ISNUMBER(BE9),BE9="DQ",BE9="P",BE9="NS"),
    1,
    0
)</f>
        <v>0</v>
      </c>
      <c r="BI9" s="73" t="n">
        <v>2</v>
      </c>
      <c r="BJ9" s="73" t="str">
        <f aca="false">IF(ISBLANK($C9),
    "",
   BF9+ROW($B9)/1000
)</f>
        <v/>
      </c>
      <c r="BK9" s="73" t="str">
        <f aca="false">IF(ISNUMBER(BJ9), RANK(BJ9,BJ$8:BJ$507,1), "")</f>
        <v/>
      </c>
      <c r="BL9" s="73" t="str">
        <f aca="false">IF(ISBLANK($C9),
    "",
    $B9
)</f>
        <v/>
      </c>
      <c r="BM9" s="73" t="str">
        <f aca="false">IF(ISBLANK($C9),
    "",
    $C9
)</f>
        <v/>
      </c>
      <c r="BN9" s="73" t="str">
        <f aca="false">IF(ISBLANK($C9),
    "",
    $D9
)</f>
        <v/>
      </c>
      <c r="BO9" s="74" t="str">
        <f aca="false">BC9</f>
        <v/>
      </c>
      <c r="BP9" s="75" t="str">
        <f aca="false">BB9</f>
        <v/>
      </c>
      <c r="BQ9" s="73" t="str">
        <f aca="false">IF(ISBLANK($C9),
    "",
    BE9
)</f>
        <v/>
      </c>
      <c r="BR9" s="76" t="str">
        <f aca="false">IF(BI9&gt;BH$7,
    "",
    VLOOKUP(BI9,BK$8:BQ508,7,FALSE())
)</f>
        <v/>
      </c>
      <c r="BS9" s="77" t="str">
        <f aca="false">IF(BI9&gt;BH$7,
    "",
    VLOOKUP(BI9,BK$8:BQ508,2,FALSE())
)</f>
        <v/>
      </c>
      <c r="BT9" s="77" t="str">
        <f aca="false">IF(BI9&gt;BH$7,
    "",
    VLOOKUP(BI9,BK$8:BQ508,3,FALSE())
)</f>
        <v/>
      </c>
      <c r="BU9" s="77" t="str">
        <f aca="false">IF(BI9&gt;BH$7,
    "",
    VLOOKUP(BI9,BK$8:BQ508,4,FALSE())
)</f>
        <v/>
      </c>
      <c r="BV9" s="77" t="str">
        <f aca="false">IF(BI9&gt;BH$7,
    "",
    VLOOKUP(BI9,BK$8:BQ508,5,FALSE())
)</f>
        <v/>
      </c>
      <c r="BW9" s="78" t="str">
        <f aca="false">IF(BI9&gt;BH$7,
    "",
    VLOOKUP(BI9,BK$8:BQ508,6,FALSE())
)</f>
        <v/>
      </c>
      <c r="BX9" s="50"/>
    </row>
    <row r="10" customFormat="false" ht="15.75" hidden="false" customHeight="false" outlineLevel="0" collapsed="false">
      <c r="A10" s="5"/>
      <c r="B10" s="79"/>
      <c r="C10" s="82"/>
      <c r="D10" s="83"/>
      <c r="E10" s="54"/>
      <c r="F10" s="54"/>
      <c r="G10" s="55"/>
      <c r="H10" s="56"/>
      <c r="I10" s="57"/>
      <c r="J10" s="57"/>
      <c r="K10" s="57"/>
      <c r="L10" s="58"/>
      <c r="M10" s="58"/>
      <c r="N10" s="58"/>
      <c r="O10" s="59"/>
      <c r="P10" s="60"/>
      <c r="Q10" s="61"/>
      <c r="R10" s="62"/>
      <c r="S10" s="63"/>
      <c r="T10" s="63" t="str">
        <f aca="false">IF(ISBLANK($C10),"",IF(G10=Constants!$B$2, TRUE(), IF(G10=Constants!$B$3, FALSE(), TRUE())))</f>
        <v/>
      </c>
      <c r="U10" s="63" t="str">
        <f aca="false">IF(ISBLANK($C10),"",IF(H10=Constants!$B$2, TRUE(), IF(H10=Constants!$B$3, FALSE(), TRUE())))</f>
        <v/>
      </c>
      <c r="V10" s="63" t="str">
        <f aca="false">IF(ISBLANK($C10),"",IF(I10=Constants!$B$2, TRUE(), IF(I10=Constants!$B$3, FALSE(), TRUE())))</f>
        <v/>
      </c>
      <c r="W10" s="63" t="str">
        <f aca="false">IF(ISBLANK($C10),"",IF(J10=Constants!$B$2, TRUE(), IF(J10=Constants!$B$3, FALSE(), TRUE())))</f>
        <v/>
      </c>
      <c r="X10" s="63" t="str">
        <f aca="false">IF(ISBLANK($C10),"",IF(K10=Constants!$B$2, TRUE(), IF(K10=Constants!$B$3, FALSE(), TRUE())))</f>
        <v/>
      </c>
      <c r="Y10" s="65" t="str">
        <f aca="false">IF(ISBLANK($C10),"",IF(ISNUMBER(L10), L10, ""))</f>
        <v/>
      </c>
      <c r="Z10" s="65" t="str">
        <f aca="false">IF(ISBLANK($C10),"",IF(ISNUMBER(M10), M10, ""))</f>
        <v/>
      </c>
      <c r="AA10" s="65" t="str">
        <f aca="false">IF(ISBLANK($C10),"",IF(ISNUMBER(N10), N10, ""))</f>
        <v/>
      </c>
      <c r="AB10" s="66" t="str">
        <f aca="false">IF(ISBLANK($C10),"",IF(ISNUMBER(O10), O10, ""))</f>
        <v/>
      </c>
      <c r="AC10" s="66" t="str">
        <f aca="false">IF(ISBLANK($C10),"",IF(ISNUMBER(P10), P10, Constants!$B$13))</f>
        <v/>
      </c>
      <c r="AD10" s="63" t="str">
        <f aca="false">IF(ISBLANK($C10),"",IF(Q10=Constants!$B$2, TRUE(), IF(Q10=Constants!$B$3, FALSE(), FALSE())))</f>
        <v/>
      </c>
      <c r="AE10" s="63" t="str">
        <f aca="false">IF(ISBLANK(C10), "", IF(AD10, Constants!$B$4,IF(COUNTA(G10:O10)=0, Constants!$B$5, Constants!$B$7)))</f>
        <v/>
      </c>
      <c r="AF10" s="63" t="str">
        <f aca="false">IF(ISBLANK($C10), "",IF($AE10=Constants!$B$7,1,$AE10))</f>
        <v/>
      </c>
      <c r="AG10" s="63" t="str">
        <f aca="false">IF($AE10=Constants!$B$7,IF(V10, 1, Constants!$B$11) * IF(X10, 1, Constants!$B$12),"")</f>
        <v/>
      </c>
      <c r="AH10" s="63" t="str">
        <f aca="false">IF(AND($AE10=Constants!$B$7, T10, U10) ,MAX(0, $AA10-$Y10),"")</f>
        <v/>
      </c>
      <c r="AI10" s="63" t="str">
        <f aca="false">IF(ISERROR(AH10),$AI$6,"")</f>
        <v/>
      </c>
      <c r="AJ10" s="63" t="str">
        <f aca="false">IF($AE10=Constants!$B$7,IF(AND(T10,U10,W10),IF($AH$6=0,Constants!$B$9,Constants!$B$9*AH10/$AH$6), 0),"")</f>
        <v/>
      </c>
      <c r="AK10" s="63" t="str">
        <f aca="false">IF(AJ10&lt;&gt;"", AJ10*AG10,"")</f>
        <v/>
      </c>
      <c r="AL10" s="63" t="str">
        <f aca="false">IF(AND($AE10=Constants!$B$7, T10, U10) ,IF($Z10="", "", MAX(0,1-ABS($AA10-$Z10)/$AA10)),"")</f>
        <v/>
      </c>
      <c r="AM10" s="63" t="str">
        <f aca="false">IF(AND(NOT(ISERROR(AH10)),ISERROR(AL10)),$AM$6,"")</f>
        <v/>
      </c>
      <c r="AN10" s="63" t="str">
        <f aca="false">IF($AE10=Constants!$B$7 ,IF(AND(T10,U10,W10,ISNUMBER(Z10)),IF($AL$6=0,Constants!$B$10,Constants!$B$10*AL10/$AL$6), 0),"")</f>
        <v/>
      </c>
      <c r="AO10" s="63" t="str">
        <f aca="false">IF(AN10&lt;&gt;"", AN10*AG10,"")</f>
        <v/>
      </c>
      <c r="AP10" s="63" t="str">
        <f aca="false">IF($AE10=Constants!$B$7,IF($AP$6=0,Constants!$B$8,Constants!$B$8*AB10/$AP$6),"")</f>
        <v/>
      </c>
      <c r="AQ10" s="63" t="str">
        <f aca="false">IF($AE10&lt;&gt;Constants!$B$7,$AE10,AK10+AO10+AP10)</f>
        <v/>
      </c>
      <c r="AR10" s="63" t="str">
        <f aca="false">IF(ISBLANK($C10),"",IF($AE10=Constants!$B$7,RANK(AQ10,$AQ$8:$AQ$507),$AE10))</f>
        <v/>
      </c>
      <c r="AS10" s="63" t="str">
        <f aca="false">IF(ISBLANK($C10), "",AK10)</f>
        <v/>
      </c>
      <c r="AT10" s="63" t="str">
        <f aca="false">IF(ISBLANK($C10),"",IF($AE10=Constants!$B$7,RANK(AS10,AS$8:AS$507),$AE10))</f>
        <v/>
      </c>
      <c r="AU10" s="63" t="str">
        <f aca="false">IF(ISBLANK($C10), "",AP10)</f>
        <v/>
      </c>
      <c r="AV10" s="63" t="str">
        <f aca="false">IF(ISBLANK($C10),"",IF($AE10=Constants!$B$7,RANK(AU10,AU$8:AU$507),$AE10))</f>
        <v/>
      </c>
      <c r="AW10" s="63" t="str">
        <f aca="false">IF(ISBLANK($C10), "",AC10)</f>
        <v/>
      </c>
      <c r="AX10" s="63" t="str">
        <f aca="false">IF(ISBLANK($C10),"",
IF($AE10=Constants!$B$7,
  COUNTIFS($AR$8:$AR$507,"&lt;"&amp;$AR10)
  + COUNTIFS($AR$8:$AR$507,$AR10,$AT$8:$AT$507,"&lt;"&amp;$AT10)
  + COUNTIFS($AR$8:$AR$507,$AR10,$AT$8:$AT$507,$AT10,$AV$8:$AV$507,"&lt;"&amp;$AV10)
  + COUNTIFS($AR$8:$AR$507,$AR10,$AT$8:$AT$507,$AT10,$AV$8:$AV$507,$AV10,$AW$8:$AW$507,"&lt;"&amp;$AW10)
  + 1,
$AE10))</f>
        <v/>
      </c>
      <c r="AY10" s="63" t="str">
        <f aca="false">IF(ISBLANK(C10),"",IF($AE10=Constants!$B$7, AR10-AX10,$AE10))</f>
        <v/>
      </c>
      <c r="AZ10" s="67"/>
      <c r="BA10" s="81" t="str">
        <f aca="false">IF(ISBLANK($C10),"",TRIM(AI10&amp;" "&amp;AM10))</f>
        <v/>
      </c>
      <c r="BB10" s="69" t="str">
        <f aca="false">IF(ISBLANK($C10),"",IF($AE10&lt;&gt;Constants!$B$7, $AE10 ,AQ10))</f>
        <v/>
      </c>
      <c r="BC10" s="70" t="str">
        <f aca="false">IF(ISBLANK($C10),"",IF($AE10&lt;&gt;Constants!$B$7, $AE10 ,AF10))</f>
        <v/>
      </c>
      <c r="BD10" s="71" t="str">
        <f aca="false">IF(ISBLANK(C10),"",AY10)</f>
        <v/>
      </c>
      <c r="BE10" s="71" t="str">
        <f aca="false">IF(ISBLANK(C10),"",AX10)</f>
        <v/>
      </c>
      <c r="BF10" s="72" t="str">
        <f aca="false">IF(ISBLANK(C10),"",IFERROR(_xlfn.SWITCH(BE10, Constants!$B$4, COUNTA($C$8:$C509)+2, Constants!$B$5, COUNTA($C$8:$C509)+1, Constants!$B$6, COUNTA($C$8:$C509)),BE10))</f>
        <v/>
      </c>
      <c r="BG10" s="5"/>
      <c r="BH10" s="73" t="n">
        <f aca="false">IF(OR(ISNUMBER(BE10),BE10="DQ",BE10="P",BE10="NS"),
    1,
    0
)</f>
        <v>0</v>
      </c>
      <c r="BI10" s="73" t="n">
        <v>3</v>
      </c>
      <c r="BJ10" s="73" t="str">
        <f aca="false">IF(ISBLANK($C10),
    "",
   BF10+ROW($B10)/1000
)</f>
        <v/>
      </c>
      <c r="BK10" s="73" t="str">
        <f aca="false">IF(ISNUMBER(BJ10), RANK(BJ10,BJ$8:BJ$507,1), "")</f>
        <v/>
      </c>
      <c r="BL10" s="73" t="str">
        <f aca="false">IF(ISBLANK($C10),
    "",
    $B10
)</f>
        <v/>
      </c>
      <c r="BM10" s="73" t="str">
        <f aca="false">IF(ISBLANK($C10),
    "",
    $C10
)</f>
        <v/>
      </c>
      <c r="BN10" s="73" t="str">
        <f aca="false">IF(ISBLANK($C10),
    "",
    $D10
)</f>
        <v/>
      </c>
      <c r="BO10" s="74" t="str">
        <f aca="false">BC10</f>
        <v/>
      </c>
      <c r="BP10" s="75" t="str">
        <f aca="false">BB10</f>
        <v/>
      </c>
      <c r="BQ10" s="73" t="str">
        <f aca="false">IF(ISBLANK($C10),
    "",
    BE10
)</f>
        <v/>
      </c>
      <c r="BR10" s="76" t="str">
        <f aca="false">IF(BI10&gt;BH$7,
    "",
    VLOOKUP(BI10,BK$8:BQ509,7,FALSE())
)</f>
        <v/>
      </c>
      <c r="BS10" s="77" t="str">
        <f aca="false">IF(BI10&gt;BH$7,
    "",
    VLOOKUP(BI10,BK$8:BQ509,2,FALSE())
)</f>
        <v/>
      </c>
      <c r="BT10" s="77" t="str">
        <f aca="false">IF(BI10&gt;BH$7,
    "",
    VLOOKUP(BI10,BK$8:BQ509,3,FALSE())
)</f>
        <v/>
      </c>
      <c r="BU10" s="77" t="str">
        <f aca="false">IF(BI10&gt;BH$7,
    "",
    VLOOKUP(BI10,BK$8:BQ509,4,FALSE())
)</f>
        <v/>
      </c>
      <c r="BV10" s="77" t="str">
        <f aca="false">IF(BI10&gt;BH$7,
    "",
    VLOOKUP(BI10,BK$8:BQ509,5,FALSE())
)</f>
        <v/>
      </c>
      <c r="BW10" s="78" t="str">
        <f aca="false">IF(BI10&gt;BH$7,
    "",
    VLOOKUP(BI10,BK$8:BQ509,6,FALSE())
)</f>
        <v/>
      </c>
      <c r="BX10" s="50"/>
    </row>
    <row r="11" customFormat="false" ht="15.75" hidden="false" customHeight="false" outlineLevel="0" collapsed="false">
      <c r="A11" s="5"/>
      <c r="B11" s="84"/>
      <c r="C11" s="85"/>
      <c r="D11" s="86"/>
      <c r="E11" s="87"/>
      <c r="F11" s="87"/>
      <c r="G11" s="88"/>
      <c r="H11" s="89"/>
      <c r="I11" s="90"/>
      <c r="J11" s="90"/>
      <c r="K11" s="90"/>
      <c r="L11" s="91"/>
      <c r="M11" s="91"/>
      <c r="N11" s="91"/>
      <c r="O11" s="92"/>
      <c r="P11" s="93"/>
      <c r="Q11" s="94"/>
      <c r="R11" s="95"/>
      <c r="S11" s="96"/>
      <c r="T11" s="97" t="str">
        <f aca="false">IF(ISBLANK($C11),"",IF(G11=Constants!$B$2, TRUE(), IF(G11=Constants!$B$3, FALSE(), TRUE())))</f>
        <v/>
      </c>
      <c r="U11" s="97" t="str">
        <f aca="false">IF(ISBLANK($C11),"",IF(H11=Constants!$B$2, TRUE(), IF(H11=Constants!$B$3, FALSE(), TRUE())))</f>
        <v/>
      </c>
      <c r="V11" s="96" t="str">
        <f aca="false">IF(ISBLANK($C11),"",IF(I11=Constants!$B$2, TRUE(), IF(I11=Constants!$B$3, FALSE(), TRUE())))</f>
        <v/>
      </c>
      <c r="W11" s="96" t="str">
        <f aca="false">IF(ISBLANK($C11),"",IF(J11=Constants!$B$2, TRUE(), IF(J11=Constants!$B$3, FALSE(), TRUE())))</f>
        <v/>
      </c>
      <c r="X11" s="97" t="str">
        <f aca="false">IF(ISBLANK($C11),"",IF(K11=Constants!$B$2, TRUE(), IF(K11=Constants!$B$3, FALSE(), TRUE())))</f>
        <v/>
      </c>
      <c r="Y11" s="98" t="str">
        <f aca="false">IF(ISBLANK($C11),"",IF(ISNUMBER(L11), L11, ""))</f>
        <v/>
      </c>
      <c r="Z11" s="98" t="str">
        <f aca="false">IF(ISBLANK($C11),"",IF(ISNUMBER(M11), M11, ""))</f>
        <v/>
      </c>
      <c r="AA11" s="98" t="str">
        <f aca="false">IF(ISBLANK($C11),"",IF(ISNUMBER(N11), N11, ""))</f>
        <v/>
      </c>
      <c r="AB11" s="99" t="str">
        <f aca="false">IF(ISBLANK($C11),"",IF(ISNUMBER(O11), O11, ""))</f>
        <v/>
      </c>
      <c r="AC11" s="99" t="str">
        <f aca="false">IF(ISBLANK($C11),"",IF(ISNUMBER(P11), P11, Constants!$B$13))</f>
        <v/>
      </c>
      <c r="AD11" s="96" t="str">
        <f aca="false">IF(ISBLANK($C11),"",IF(Q11=Constants!$B$2, TRUE(), IF(Q11=Constants!$B$3, FALSE(), FALSE())))</f>
        <v/>
      </c>
      <c r="AE11" s="96" t="str">
        <f aca="false">IF(ISBLANK(C11), "", IF(AD11, Constants!$B$4,IF(COUNTA(G11:O11)=0, Constants!$B$5, Constants!$B$7)))</f>
        <v/>
      </c>
      <c r="AF11" s="96" t="str">
        <f aca="false">IF(ISBLANK($C11), "",IF($AE11=Constants!$B$7,1,$AE11))</f>
        <v/>
      </c>
      <c r="AG11" s="96" t="str">
        <f aca="false">IF($AE11=Constants!$B$7,IF(V11, 1, Constants!$B$11) * IF(X11, 1, Constants!$B$12),"")</f>
        <v/>
      </c>
      <c r="AH11" s="96" t="str">
        <f aca="false">IF(AND($AE11=Constants!$B$7, T11, U11) ,MAX(0, $AA11-$Y11),"")</f>
        <v/>
      </c>
      <c r="AI11" s="96" t="str">
        <f aca="false">IF(ISERROR(AH11),$AI$6,"")</f>
        <v/>
      </c>
      <c r="AJ11" s="96" t="str">
        <f aca="false">IF($AE11=Constants!$B$7,IF(AND(T11,U11,W11),IF($AH$6=0,Constants!$B$9,Constants!$B$9*AH11/$AH$6), 0),"")</f>
        <v/>
      </c>
      <c r="AK11" s="96" t="str">
        <f aca="false">IF(AJ11&lt;&gt;"", AJ11*AG11,"")</f>
        <v/>
      </c>
      <c r="AL11" s="96" t="str">
        <f aca="false">IF(AND($AE11=Constants!$B$7, T11, U11) ,IF($Z11="", "", MAX(0,1-ABS($AA11-$Z11)/$AA11)),"")</f>
        <v/>
      </c>
      <c r="AM11" s="96" t="str">
        <f aca="false">IF(AND(NOT(ISERROR(AH11)),ISERROR(AL11)),$AM$6,"")</f>
        <v/>
      </c>
      <c r="AN11" s="96" t="str">
        <f aca="false">IF($AE11=Constants!$B$7 ,IF(AND(T11,U11,W11,ISNUMBER(Z11)),IF($AL$6=0,Constants!$B$10,Constants!$B$10*AL11/$AL$6), 0),"")</f>
        <v/>
      </c>
      <c r="AO11" s="96" t="str">
        <f aca="false">IF(AN11&lt;&gt;"", AN11*AG11,"")</f>
        <v/>
      </c>
      <c r="AP11" s="96" t="str">
        <f aca="false">IF($AE11=Constants!$B$7,IF($AP$6=0,Constants!$B$8,Constants!$B$8*AB11/$AP$6),"")</f>
        <v/>
      </c>
      <c r="AQ11" s="96" t="str">
        <f aca="false">IF($AE11&lt;&gt;Constants!$B$7,$AE11,AK11+AO11+AP11)</f>
        <v/>
      </c>
      <c r="AR11" s="96" t="str">
        <f aca="false">IF(ISBLANK($C11),"",IF($AE11=Constants!$B$7,RANK(AQ11,$AQ$8:$AQ$507),$AE11))</f>
        <v/>
      </c>
      <c r="AS11" s="96" t="str">
        <f aca="false">IF(ISBLANK($C11), "",AK11)</f>
        <v/>
      </c>
      <c r="AT11" s="96" t="str">
        <f aca="false">IF(ISBLANK($C11),"",IF($AE11=Constants!$B$7,RANK(AS11,AS$8:AS$507),$AE11))</f>
        <v/>
      </c>
      <c r="AU11" s="96" t="str">
        <f aca="false">IF(ISBLANK($C11), "",AP11)</f>
        <v/>
      </c>
      <c r="AV11" s="96" t="str">
        <f aca="false">IF(ISBLANK($C11),"",IF($AE11=Constants!$B$7,RANK(AU11,AU$8:AU$507),$AE11))</f>
        <v/>
      </c>
      <c r="AW11" s="96" t="str">
        <f aca="false">IF(ISBLANK($C11), "",AC11)</f>
        <v/>
      </c>
      <c r="AX11" s="96" t="str">
        <f aca="false">IF(ISBLANK($C11),"",
IF($AE11=Constants!$B$7,
  COUNTIFS($AR$8:$AR$507,"&lt;"&amp;$AR11)
  + COUNTIFS($AR$8:$AR$507,$AR11,$AT$8:$AT$507,"&lt;"&amp;$AT11)
  + COUNTIFS($AR$8:$AR$507,$AR11,$AT$8:$AT$507,$AT11,$AV$8:$AV$507,"&lt;"&amp;$AV11)
  + COUNTIFS($AR$8:$AR$507,$AR11,$AT$8:$AT$507,$AT11,$AV$8:$AV$507,$AV11,$AW$8:$AW$507,"&lt;"&amp;$AW11)
  + 1,
$AE11))</f>
        <v/>
      </c>
      <c r="AY11" s="96" t="str">
        <f aca="false">IF(ISBLANK(C11),"",IF($AE11=Constants!$B$7, AR11-AX11,$AE11))</f>
        <v/>
      </c>
      <c r="AZ11" s="100"/>
      <c r="BA11" s="101" t="str">
        <f aca="false">IF(ISBLANK($C11),"",TRIM(AI11&amp;" "&amp;AM11))</f>
        <v/>
      </c>
      <c r="BB11" s="102" t="str">
        <f aca="false">IF(ISBLANK($C11),"",IF($AE11&lt;&gt;Constants!$B$7, $AE11 ,AQ11))</f>
        <v/>
      </c>
      <c r="BC11" s="103" t="str">
        <f aca="false">IF(ISBLANK($C11),"",IF($AE11&lt;&gt;Constants!$B$7, $AE11 ,AF11))</f>
        <v/>
      </c>
      <c r="BD11" s="104" t="str">
        <f aca="false">IF(ISBLANK(C11),"",AY11)</f>
        <v/>
      </c>
      <c r="BE11" s="104" t="str">
        <f aca="false">IF(ISBLANK(C11),"",AX11)</f>
        <v/>
      </c>
      <c r="BF11" s="105" t="str">
        <f aca="false">IF(ISBLANK(C11),"",IFERROR(_xlfn.SWITCH(BE11, Constants!$B$4, COUNTA($C$8:$C510)+2, Constants!$B$5, COUNTA($C$8:$C510)+1, Constants!$B$6, COUNTA($C$8:$C510)),BE11))</f>
        <v/>
      </c>
      <c r="BG11" s="5"/>
      <c r="BH11" s="106" t="n">
        <f aca="false">IF(OR(ISNUMBER(BE11),BE11="DQ",BE11="P",BE11="NS"),
    1,
    0
)</f>
        <v>0</v>
      </c>
      <c r="BI11" s="106" t="n">
        <v>4</v>
      </c>
      <c r="BJ11" s="106" t="str">
        <f aca="false">IF(ISBLANK($C11),
    "",
   BF11+ROW($B11)/1000
)</f>
        <v/>
      </c>
      <c r="BK11" s="106" t="str">
        <f aca="false">IF(ISNUMBER(BJ11), RANK(BJ11,BJ$8:BJ$507,1), "")</f>
        <v/>
      </c>
      <c r="BL11" s="106" t="str">
        <f aca="false">IF(ISBLANK($C11),
    "",
    $B11
)</f>
        <v/>
      </c>
      <c r="BM11" s="106" t="str">
        <f aca="false">IF(ISBLANK($C11),
    "",
    $C11
)</f>
        <v/>
      </c>
      <c r="BN11" s="106" t="str">
        <f aca="false">IF(ISBLANK($C11),
    "",
    $D11
)</f>
        <v/>
      </c>
      <c r="BO11" s="107" t="str">
        <f aca="false">BC11</f>
        <v/>
      </c>
      <c r="BP11" s="108" t="str">
        <f aca="false">BB11</f>
        <v/>
      </c>
      <c r="BQ11" s="106" t="str">
        <f aca="false">IF(ISBLANK($C11),
    "",
    BE11
)</f>
        <v/>
      </c>
      <c r="BR11" s="109" t="str">
        <f aca="false">IF(BI11&gt;BH$7,
    "",
    VLOOKUP(BI11,BK$8:BQ510,7,FALSE())
)</f>
        <v/>
      </c>
      <c r="BS11" s="110" t="str">
        <f aca="false">IF(BI11&gt;BH$7,
    "",
    VLOOKUP(BI11,BK$8:BQ510,2,FALSE())
)</f>
        <v/>
      </c>
      <c r="BT11" s="110" t="str">
        <f aca="false">IF(BI11&gt;BH$7,
    "",
    VLOOKUP(BI11,BK$8:BQ510,3,FALSE())
)</f>
        <v/>
      </c>
      <c r="BU11" s="110" t="str">
        <f aca="false">IF(BI11&gt;BH$7,
    "",
    VLOOKUP(BI11,BK$8:BQ510,4,FALSE())
)</f>
        <v/>
      </c>
      <c r="BV11" s="110" t="str">
        <f aca="false">IF(BI11&gt;BH$7,
    "",
    VLOOKUP(BI11,BK$8:BQ510,5,FALSE())
)</f>
        <v/>
      </c>
      <c r="BW11" s="111" t="str">
        <f aca="false">IF(BI11&gt;BH$7,
    "",
    VLOOKUP(BI11,BK$8:BQ510,6,FALSE())
)</f>
        <v/>
      </c>
      <c r="BX11" s="50"/>
    </row>
    <row r="12" customFormat="false" ht="15.75" hidden="false" customHeight="false" outlineLevel="0" collapsed="false">
      <c r="A12" s="5"/>
      <c r="B12" s="84"/>
      <c r="C12" s="85"/>
      <c r="D12" s="112"/>
      <c r="E12" s="87"/>
      <c r="F12" s="87"/>
      <c r="G12" s="88"/>
      <c r="H12" s="89"/>
      <c r="I12" s="90"/>
      <c r="J12" s="90"/>
      <c r="K12" s="90"/>
      <c r="L12" s="91"/>
      <c r="M12" s="91"/>
      <c r="N12" s="91"/>
      <c r="O12" s="92"/>
      <c r="P12" s="93"/>
      <c r="Q12" s="94"/>
      <c r="R12" s="95"/>
      <c r="S12" s="96"/>
      <c r="T12" s="96" t="str">
        <f aca="false">IF(ISBLANK($C12),"",IF(G12=Constants!$B$2, TRUE(), IF(G12=Constants!$B$3, FALSE(), TRUE())))</f>
        <v/>
      </c>
      <c r="U12" s="96" t="str">
        <f aca="false">IF(ISBLANK($C12),"",IF(H12=Constants!$B$2, TRUE(), IF(H12=Constants!$B$3, FALSE(), TRUE())))</f>
        <v/>
      </c>
      <c r="V12" s="96" t="str">
        <f aca="false">IF(ISBLANK($C12),"",IF(I12=Constants!$B$2, TRUE(), IF(I12=Constants!$B$3, FALSE(), TRUE())))</f>
        <v/>
      </c>
      <c r="W12" s="96" t="str">
        <f aca="false">IF(ISBLANK($C12),"",IF(J12=Constants!$B$2, TRUE(), IF(J12=Constants!$B$3, FALSE(), TRUE())))</f>
        <v/>
      </c>
      <c r="X12" s="97" t="str">
        <f aca="false">IF(ISBLANK($C12),"",IF(K12=Constants!$B$2, TRUE(), IF(K12=Constants!$B$3, FALSE(), TRUE())))</f>
        <v/>
      </c>
      <c r="Y12" s="98" t="str">
        <f aca="false">IF(ISBLANK($C12),"",IF(ISNUMBER(L12), L12, ""))</f>
        <v/>
      </c>
      <c r="Z12" s="98" t="str">
        <f aca="false">IF(ISBLANK($C12),"",IF(ISNUMBER(M12), M12, ""))</f>
        <v/>
      </c>
      <c r="AA12" s="98" t="str">
        <f aca="false">IF(ISBLANK($C12),"",IF(ISNUMBER(N12), N12, ""))</f>
        <v/>
      </c>
      <c r="AB12" s="99" t="str">
        <f aca="false">IF(ISBLANK($C12),"",IF(ISNUMBER(O12), O12, ""))</f>
        <v/>
      </c>
      <c r="AC12" s="99" t="str">
        <f aca="false">IF(ISBLANK($C12),"",IF(ISNUMBER(P12), P12, Constants!$B$13))</f>
        <v/>
      </c>
      <c r="AD12" s="96" t="str">
        <f aca="false">IF(ISBLANK($C12),"",IF(Q12=Constants!$B$2, TRUE(), IF(Q12=Constants!$B$3, FALSE(), FALSE())))</f>
        <v/>
      </c>
      <c r="AE12" s="96" t="str">
        <f aca="false">IF(ISBLANK(C12), "", IF(AD12, Constants!$B$4,IF(COUNTA(G12:O12)=0, Constants!$B$5, Constants!$B$7)))</f>
        <v/>
      </c>
      <c r="AF12" s="96" t="str">
        <f aca="false">IF(ISBLANK($C12), "",IF($AE12=Constants!$B$7,1,$AE12))</f>
        <v/>
      </c>
      <c r="AG12" s="96" t="str">
        <f aca="false">IF($AE12=Constants!$B$7,IF(V12, 1, Constants!$B$11) * IF(X12, 1, Constants!$B$12),"")</f>
        <v/>
      </c>
      <c r="AH12" s="96" t="str">
        <f aca="false">IF(AND($AE12=Constants!$B$7, T12, U12) ,MAX(0, $AA12-$Y12),"")</f>
        <v/>
      </c>
      <c r="AI12" s="96" t="str">
        <f aca="false">IF(ISERROR(AH12),$AI$6,"")</f>
        <v/>
      </c>
      <c r="AJ12" s="96" t="str">
        <f aca="false">IF($AE12=Constants!$B$7,IF(AND(T12,U12,W12),IF($AH$6=0,Constants!$B$9,Constants!$B$9*AH12/$AH$6), 0),"")</f>
        <v/>
      </c>
      <c r="AK12" s="96" t="str">
        <f aca="false">IF(AJ12&lt;&gt;"", AJ12*AG12,"")</f>
        <v/>
      </c>
      <c r="AL12" s="96" t="str">
        <f aca="false">IF(AND($AE12=Constants!$B$7, T12, U12) ,IF($Z12="", "", MAX(0,1-ABS($AA12-$Z12)/$AA12)),"")</f>
        <v/>
      </c>
      <c r="AM12" s="96" t="str">
        <f aca="false">IF(AND(NOT(ISERROR(AH12)),ISERROR(AL12)),$AM$6,"")</f>
        <v/>
      </c>
      <c r="AN12" s="96" t="str">
        <f aca="false">IF($AE12=Constants!$B$7 ,IF(AND(T12,U12,W12,ISNUMBER(Z12)),IF($AL$6=0,Constants!$B$10,Constants!$B$10*AL12/$AL$6), 0),"")</f>
        <v/>
      </c>
      <c r="AO12" s="96" t="str">
        <f aca="false">IF(AN12&lt;&gt;"", AN12*AG12,"")</f>
        <v/>
      </c>
      <c r="AP12" s="96" t="str">
        <f aca="false">IF($AE12=Constants!$B$7,IF($AP$6=0,Constants!$B$8,Constants!$B$8*AB12/$AP$6),"")</f>
        <v/>
      </c>
      <c r="AQ12" s="96" t="str">
        <f aca="false">IF($AE12&lt;&gt;Constants!$B$7,$AE12,AK12+AO12+AP12)</f>
        <v/>
      </c>
      <c r="AR12" s="96" t="str">
        <f aca="false">IF(ISBLANK($C12),"",IF($AE12=Constants!$B$7,RANK(AQ12,$AQ$8:$AQ$507),$AE12))</f>
        <v/>
      </c>
      <c r="AS12" s="96" t="str">
        <f aca="false">IF(ISBLANK($C12), "",AK12)</f>
        <v/>
      </c>
      <c r="AT12" s="96" t="str">
        <f aca="false">IF(ISBLANK($C12),"",IF($AE12=Constants!$B$7,RANK(AS12,AS$8:AS$507),$AE12))</f>
        <v/>
      </c>
      <c r="AU12" s="96" t="str">
        <f aca="false">IF(ISBLANK($C12), "",AP12)</f>
        <v/>
      </c>
      <c r="AV12" s="96" t="str">
        <f aca="false">IF(ISBLANK($C12),"",IF($AE12=Constants!$B$7,RANK(AU12,AU$8:AU$507),$AE12))</f>
        <v/>
      </c>
      <c r="AW12" s="96" t="str">
        <f aca="false">IF(ISBLANK($C12), "",AC12)</f>
        <v/>
      </c>
      <c r="AX12" s="96" t="str">
        <f aca="false">IF(ISBLANK($C12),"",
IF($AE12=Constants!$B$7,
  COUNTIFS($AR$8:$AR$507,"&lt;"&amp;$AR12)
  + COUNTIFS($AR$8:$AR$507,$AR12,$AT$8:$AT$507,"&lt;"&amp;$AT12)
  + COUNTIFS($AR$8:$AR$507,$AR12,$AT$8:$AT$507,$AT12,$AV$8:$AV$507,"&lt;"&amp;$AV12)
  + COUNTIFS($AR$8:$AR$507,$AR12,$AT$8:$AT$507,$AT12,$AV$8:$AV$507,$AV12,$AW$8:$AW$507,"&lt;"&amp;$AW12)
  + 1,
$AE12))</f>
        <v/>
      </c>
      <c r="AY12" s="96" t="str">
        <f aca="false">IF(ISBLANK(C12),"",IF($AE12=Constants!$B$7, AR12-AX12,$AE12))</f>
        <v/>
      </c>
      <c r="AZ12" s="100"/>
      <c r="BA12" s="101" t="str">
        <f aca="false">IF(ISBLANK($C12),"",TRIM(AI12&amp;" "&amp;AM12))</f>
        <v/>
      </c>
      <c r="BB12" s="102" t="str">
        <f aca="false">IF(ISBLANK($C12),"",IF($AE12&lt;&gt;Constants!$B$7, $AE12 ,AQ12))</f>
        <v/>
      </c>
      <c r="BC12" s="103" t="str">
        <f aca="false">IF(ISBLANK($C12),"",IF($AE12&lt;&gt;Constants!$B$7, $AE12 ,AF12))</f>
        <v/>
      </c>
      <c r="BD12" s="104" t="str">
        <f aca="false">IF(ISBLANK(C12),"",AY12)</f>
        <v/>
      </c>
      <c r="BE12" s="104" t="str">
        <f aca="false">IF(ISBLANK(C12),"",AX12)</f>
        <v/>
      </c>
      <c r="BF12" s="105" t="str">
        <f aca="false">IF(ISBLANK(C12),"",IFERROR(_xlfn.SWITCH(BE12, Constants!$B$4, COUNTA($C$8:$C511)+2, Constants!$B$5, COUNTA($C$8:$C511)+1, Constants!$B$6, COUNTA($C$8:$C511)),BE12))</f>
        <v/>
      </c>
      <c r="BG12" s="5"/>
      <c r="BH12" s="106" t="n">
        <f aca="false">IF(OR(ISNUMBER(BE12),BE12="DQ",BE12="P",BE12="NS"),
    1,
    0
)</f>
        <v>0</v>
      </c>
      <c r="BI12" s="106" t="n">
        <v>5</v>
      </c>
      <c r="BJ12" s="106" t="str">
        <f aca="false">IF(ISBLANK($C12),
    "",
   BF12+ROW($B12)/1000
)</f>
        <v/>
      </c>
      <c r="BK12" s="106" t="str">
        <f aca="false">IF(ISNUMBER(BJ12), RANK(BJ12,BJ$8:BJ$507,1), "")</f>
        <v/>
      </c>
      <c r="BL12" s="106" t="str">
        <f aca="false">IF(ISBLANK($C12),
    "",
    $B12
)</f>
        <v/>
      </c>
      <c r="BM12" s="106" t="str">
        <f aca="false">IF(ISBLANK($C12),
    "",
    $C12
)</f>
        <v/>
      </c>
      <c r="BN12" s="106" t="str">
        <f aca="false">IF(ISBLANK($C12),
    "",
    $D12
)</f>
        <v/>
      </c>
      <c r="BO12" s="107" t="str">
        <f aca="false">BC12</f>
        <v/>
      </c>
      <c r="BP12" s="108" t="str">
        <f aca="false">BB12</f>
        <v/>
      </c>
      <c r="BQ12" s="106" t="str">
        <f aca="false">IF(ISBLANK($C12),
    "",
    BE12
)</f>
        <v/>
      </c>
      <c r="BR12" s="109" t="str">
        <f aca="false">IF(BI12&gt;BH$7,
    "",
    VLOOKUP(BI12,BK$8:BQ511,7,FALSE())
)</f>
        <v/>
      </c>
      <c r="BS12" s="110" t="str">
        <f aca="false">IF(BI12&gt;BH$7,
    "",
    VLOOKUP(BI12,BK$8:BQ511,2,FALSE())
)</f>
        <v/>
      </c>
      <c r="BT12" s="110" t="str">
        <f aca="false">IF(BI12&gt;BH$7,
    "",
    VLOOKUP(BI12,BK$8:BQ511,3,FALSE())
)</f>
        <v/>
      </c>
      <c r="BU12" s="110" t="str">
        <f aca="false">IF(BI12&gt;BH$7,
    "",
    VLOOKUP(BI12,BK$8:BQ511,4,FALSE())
)</f>
        <v/>
      </c>
      <c r="BV12" s="110" t="str">
        <f aca="false">IF(BI12&gt;BH$7,
    "",
    VLOOKUP(BI12,BK$8:BQ511,5,FALSE())
)</f>
        <v/>
      </c>
      <c r="BW12" s="111" t="str">
        <f aca="false">IF(BI12&gt;BH$7,
    "",
    VLOOKUP(BI12,BK$8:BQ511,6,FALSE())
)</f>
        <v/>
      </c>
      <c r="BX12" s="50"/>
    </row>
    <row r="13" customFormat="false" ht="15.75" hidden="false" customHeight="false" outlineLevel="0" collapsed="false">
      <c r="A13" s="5"/>
      <c r="B13" s="113"/>
      <c r="C13" s="114"/>
      <c r="D13" s="115"/>
      <c r="E13" s="116"/>
      <c r="F13" s="116"/>
      <c r="G13" s="88"/>
      <c r="H13" s="89"/>
      <c r="I13" s="117"/>
      <c r="J13" s="117"/>
      <c r="K13" s="117"/>
      <c r="L13" s="91"/>
      <c r="M13" s="91"/>
      <c r="N13" s="91"/>
      <c r="O13" s="92"/>
      <c r="P13" s="93"/>
      <c r="Q13" s="118"/>
      <c r="R13" s="95"/>
      <c r="S13" s="96"/>
      <c r="T13" s="96" t="str">
        <f aca="false">IF(ISBLANK($C13),"",IF(G13=Constants!$B$2, TRUE(), IF(G13=Constants!$B$3, FALSE(), TRUE())))</f>
        <v/>
      </c>
      <c r="U13" s="96" t="str">
        <f aca="false">IF(ISBLANK($C13),"",IF(H13=Constants!$B$2, TRUE(), IF(H13=Constants!$B$3, FALSE(), TRUE())))</f>
        <v/>
      </c>
      <c r="V13" s="96" t="str">
        <f aca="false">IF(ISBLANK($C13),"",IF(I13=Constants!$B$2, TRUE(), IF(I13=Constants!$B$3, FALSE(), TRUE())))</f>
        <v/>
      </c>
      <c r="W13" s="96" t="str">
        <f aca="false">IF(ISBLANK($C13),"",IF(J13=Constants!$B$2, TRUE(), IF(J13=Constants!$B$3, FALSE(), TRUE())))</f>
        <v/>
      </c>
      <c r="X13" s="97" t="str">
        <f aca="false">IF(ISBLANK($C13),"",IF(K13=Constants!$B$2, TRUE(), IF(K13=Constants!$B$3, FALSE(), TRUE())))</f>
        <v/>
      </c>
      <c r="Y13" s="98" t="str">
        <f aca="false">IF(ISBLANK($C13),"",IF(ISNUMBER(L13), L13, ""))</f>
        <v/>
      </c>
      <c r="Z13" s="98" t="str">
        <f aca="false">IF(ISBLANK($C13),"",IF(ISNUMBER(M13), M13, ""))</f>
        <v/>
      </c>
      <c r="AA13" s="98" t="str">
        <f aca="false">IF(ISBLANK($C13),"",IF(ISNUMBER(N13), N13, ""))</f>
        <v/>
      </c>
      <c r="AB13" s="99" t="str">
        <f aca="false">IF(ISBLANK($C13),"",IF(ISNUMBER(O13), O13, ""))</f>
        <v/>
      </c>
      <c r="AC13" s="99" t="str">
        <f aca="false">IF(ISBLANK($C13),"",IF(ISNUMBER(P13), P13, Constants!$B$13))</f>
        <v/>
      </c>
      <c r="AD13" s="96" t="str">
        <f aca="false">IF(ISBLANK($C13),"",IF(Q13=Constants!$B$2, TRUE(), IF(Q13=Constants!$B$3, FALSE(), FALSE())))</f>
        <v/>
      </c>
      <c r="AE13" s="96" t="str">
        <f aca="false">IF(ISBLANK(C13), "", IF(AD13, Constants!$B$4,IF(COUNTA(G13:O13)=0, Constants!$B$5, Constants!$B$7)))</f>
        <v/>
      </c>
      <c r="AF13" s="96" t="str">
        <f aca="false">IF(ISBLANK($C13), "",IF($AE13=Constants!$B$7,1,$AE13))</f>
        <v/>
      </c>
      <c r="AG13" s="96" t="str">
        <f aca="false">IF($AE13=Constants!$B$7,IF(V13, 1, Constants!$B$11) * IF(X13, 1, Constants!$B$12),"")</f>
        <v/>
      </c>
      <c r="AH13" s="96" t="str">
        <f aca="false">IF(AND($AE13=Constants!$B$7, T13, U13) ,MAX(0, $AA13-$Y13),"")</f>
        <v/>
      </c>
      <c r="AI13" s="96" t="str">
        <f aca="false">IF(ISERROR(AH13),$AI$6,"")</f>
        <v/>
      </c>
      <c r="AJ13" s="96" t="str">
        <f aca="false">IF($AE13=Constants!$B$7,IF(AND(T13,U13,W13),IF($AH$6=0,Constants!$B$9,Constants!$B$9*AH13/$AH$6), 0),"")</f>
        <v/>
      </c>
      <c r="AK13" s="96" t="str">
        <f aca="false">IF(AJ13&lt;&gt;"", AJ13*AG13,"")</f>
        <v/>
      </c>
      <c r="AL13" s="96" t="str">
        <f aca="false">IF(AND($AE13=Constants!$B$7, T13, U13) ,IF($Z13="", "", MAX(0,1-ABS($AA13-$Z13)/$AA13)),"")</f>
        <v/>
      </c>
      <c r="AM13" s="96" t="str">
        <f aca="false">IF(AND(NOT(ISERROR(AH13)),ISERROR(AL13)),$AM$6,"")</f>
        <v/>
      </c>
      <c r="AN13" s="96" t="str">
        <f aca="false">IF($AE13=Constants!$B$7 ,IF(AND(T13,U13,W13,ISNUMBER(Z13)),IF($AL$6=0,Constants!$B$10,Constants!$B$10*AL13/$AL$6), 0),"")</f>
        <v/>
      </c>
      <c r="AO13" s="96" t="str">
        <f aca="false">IF(AN13&lt;&gt;"", AN13*AG13,"")</f>
        <v/>
      </c>
      <c r="AP13" s="96" t="str">
        <f aca="false">IF($AE13=Constants!$B$7,IF($AP$6=0,Constants!$B$8,Constants!$B$8*AB13/$AP$6),"")</f>
        <v/>
      </c>
      <c r="AQ13" s="96" t="str">
        <f aca="false">IF($AE13&lt;&gt;Constants!$B$7,$AE13,AK13+AO13+AP13)</f>
        <v/>
      </c>
      <c r="AR13" s="96" t="str">
        <f aca="false">IF(ISBLANK($C13),"",IF($AE13=Constants!$B$7,RANK(AQ13,$AQ$8:$AQ$507),$AE13))</f>
        <v/>
      </c>
      <c r="AS13" s="96" t="str">
        <f aca="false">IF(ISBLANK($C13), "",AK13)</f>
        <v/>
      </c>
      <c r="AT13" s="96" t="str">
        <f aca="false">IF(ISBLANK($C13),"",IF($AE13=Constants!$B$7,RANK(AS13,AS$8:AS$507),$AE13))</f>
        <v/>
      </c>
      <c r="AU13" s="96" t="str">
        <f aca="false">IF(ISBLANK($C13), "",AP13)</f>
        <v/>
      </c>
      <c r="AV13" s="96" t="str">
        <f aca="false">IF(ISBLANK($C13),"",IF($AE13=Constants!$B$7,RANK(AU13,AU$8:AU$507),$AE13))</f>
        <v/>
      </c>
      <c r="AW13" s="96" t="str">
        <f aca="false">IF(ISBLANK($C13), "",AC13)</f>
        <v/>
      </c>
      <c r="AX13" s="96" t="str">
        <f aca="false">IF(ISBLANK($C13),"",
IF($AE13=Constants!$B$7,
  COUNTIFS($AR$8:$AR$507,"&lt;"&amp;$AR13)
  + COUNTIFS($AR$8:$AR$507,$AR13,$AT$8:$AT$507,"&lt;"&amp;$AT13)
  + COUNTIFS($AR$8:$AR$507,$AR13,$AT$8:$AT$507,$AT13,$AV$8:$AV$507,"&lt;"&amp;$AV13)
  + COUNTIFS($AR$8:$AR$507,$AR13,$AT$8:$AT$507,$AT13,$AV$8:$AV$507,$AV13,$AW$8:$AW$507,"&lt;"&amp;$AW13)
  + 1,
$AE13))</f>
        <v/>
      </c>
      <c r="AY13" s="96" t="str">
        <f aca="false">IF(ISBLANK(C13),"",IF($AE13=Constants!$B$7, AR13-AX13,$AE13))</f>
        <v/>
      </c>
      <c r="AZ13" s="100"/>
      <c r="BA13" s="101" t="str">
        <f aca="false">IF(ISBLANK($C13),"",TRIM(AI13&amp;" "&amp;AM13))</f>
        <v/>
      </c>
      <c r="BB13" s="102" t="str">
        <f aca="false">IF(ISBLANK($C13),"",IF($AE13&lt;&gt;Constants!$B$7, $AE13 ,AQ13))</f>
        <v/>
      </c>
      <c r="BC13" s="103" t="str">
        <f aca="false">IF(ISBLANK($C13),"",IF($AE13&lt;&gt;Constants!$B$7, $AE13 ,AF13))</f>
        <v/>
      </c>
      <c r="BD13" s="104" t="str">
        <f aca="false">IF(ISBLANK(C13),"",AY13)</f>
        <v/>
      </c>
      <c r="BE13" s="104" t="str">
        <f aca="false">IF(ISBLANK(C13),"",AX13)</f>
        <v/>
      </c>
      <c r="BF13" s="105" t="str">
        <f aca="false">IF(ISBLANK(C13),"",IFERROR(_xlfn.SWITCH(BE13, Constants!$B$4, COUNTA($C$8:$C512)+2, Constants!$B$5, COUNTA($C$8:$C512)+1, Constants!$B$6, COUNTA($C$8:$C512)),BE13))</f>
        <v/>
      </c>
      <c r="BG13" s="5"/>
      <c r="BH13" s="106" t="n">
        <f aca="false">IF(OR(ISNUMBER(BE13),BE13="DQ",BE13="P",BE13="NS"),
    1,
    0
)</f>
        <v>0</v>
      </c>
      <c r="BI13" s="106" t="n">
        <v>6</v>
      </c>
      <c r="BJ13" s="106" t="str">
        <f aca="false">IF(ISBLANK($C13),
    "",
   BF13+ROW($B13)/1000
)</f>
        <v/>
      </c>
      <c r="BK13" s="106" t="str">
        <f aca="false">IF(ISNUMBER(BJ13), RANK(BJ13,BJ$8:BJ$507,1), "")</f>
        <v/>
      </c>
      <c r="BL13" s="106" t="str">
        <f aca="false">IF(ISBLANK($C13),
    "",
    $B13
)</f>
        <v/>
      </c>
      <c r="BM13" s="106" t="str">
        <f aca="false">IF(ISBLANK($C13),
    "",
    $C13
)</f>
        <v/>
      </c>
      <c r="BN13" s="106" t="str">
        <f aca="false">IF(ISBLANK($C13),
    "",
    $D13
)</f>
        <v/>
      </c>
      <c r="BO13" s="107" t="str">
        <f aca="false">BC13</f>
        <v/>
      </c>
      <c r="BP13" s="108" t="str">
        <f aca="false">BB13</f>
        <v/>
      </c>
      <c r="BQ13" s="106" t="str">
        <f aca="false">IF(ISBLANK($C13),
    "",
    BE13
)</f>
        <v/>
      </c>
      <c r="BR13" s="109" t="str">
        <f aca="false">IF(BI13&gt;BH$7,
    "",
    VLOOKUP(BI13,BK$8:BQ512,7,FALSE())
)</f>
        <v/>
      </c>
      <c r="BS13" s="110" t="str">
        <f aca="false">IF(BI13&gt;BH$7,
    "",
    VLOOKUP(BI13,BK$8:BQ512,2,FALSE())
)</f>
        <v/>
      </c>
      <c r="BT13" s="110" t="str">
        <f aca="false">IF(BI13&gt;BH$7,
    "",
    VLOOKUP(BI13,BK$8:BQ512,3,FALSE())
)</f>
        <v/>
      </c>
      <c r="BU13" s="110" t="str">
        <f aca="false">IF(BI13&gt;BH$7,
    "",
    VLOOKUP(BI13,BK$8:BQ512,4,FALSE())
)</f>
        <v/>
      </c>
      <c r="BV13" s="110" t="str">
        <f aca="false">IF(BI13&gt;BH$7,
    "",
    VLOOKUP(BI13,BK$8:BQ512,5,FALSE())
)</f>
        <v/>
      </c>
      <c r="BW13" s="111" t="str">
        <f aca="false">IF(BI13&gt;BH$7,
    "",
    VLOOKUP(BI13,BK$8:BQ512,6,FALSE())
)</f>
        <v/>
      </c>
      <c r="BX13" s="50"/>
    </row>
    <row r="14" customFormat="false" ht="15.75" hidden="false" customHeight="false" outlineLevel="0" collapsed="false">
      <c r="A14" s="5"/>
      <c r="B14" s="119"/>
      <c r="C14" s="82"/>
      <c r="D14" s="83"/>
      <c r="E14" s="120"/>
      <c r="F14" s="120"/>
      <c r="G14" s="55"/>
      <c r="H14" s="56"/>
      <c r="I14" s="57"/>
      <c r="J14" s="57"/>
      <c r="K14" s="57"/>
      <c r="L14" s="58"/>
      <c r="M14" s="58"/>
      <c r="N14" s="58"/>
      <c r="O14" s="59"/>
      <c r="P14" s="60"/>
      <c r="Q14" s="61"/>
      <c r="R14" s="62"/>
      <c r="S14" s="63"/>
      <c r="T14" s="63" t="str">
        <f aca="false">IF(ISBLANK($C14),"",IF(G14=Constants!$B$2, TRUE(), IF(G14=Constants!$B$3, FALSE(), TRUE())))</f>
        <v/>
      </c>
      <c r="U14" s="63" t="str">
        <f aca="false">IF(ISBLANK($C14),"",IF(H14=Constants!$B$2, TRUE(), IF(H14=Constants!$B$3, FALSE(), TRUE())))</f>
        <v/>
      </c>
      <c r="V14" s="63" t="str">
        <f aca="false">IF(ISBLANK($C14),"",IF(I14=Constants!$B$2, TRUE(), IF(I14=Constants!$B$3, FALSE(), TRUE())))</f>
        <v/>
      </c>
      <c r="W14" s="63" t="str">
        <f aca="false">IF(ISBLANK($C14),"",IF(J14=Constants!$B$2, TRUE(), IF(J14=Constants!$B$3, FALSE(), TRUE())))</f>
        <v/>
      </c>
      <c r="X14" s="63" t="str">
        <f aca="false">IF(ISBLANK($C14),"",IF(K14=Constants!$B$2, TRUE(), IF(K14=Constants!$B$3, FALSE(), TRUE())))</f>
        <v/>
      </c>
      <c r="Y14" s="65" t="str">
        <f aca="false">IF(ISBLANK($C14),"",IF(ISNUMBER(L14), L14, ""))</f>
        <v/>
      </c>
      <c r="Z14" s="65" t="str">
        <f aca="false">IF(ISBLANK($C14),"",IF(ISNUMBER(M14), M14, ""))</f>
        <v/>
      </c>
      <c r="AA14" s="65" t="str">
        <f aca="false">IF(ISBLANK($C14),"",IF(ISNUMBER(N14), N14, ""))</f>
        <v/>
      </c>
      <c r="AB14" s="66" t="str">
        <f aca="false">IF(ISBLANK($C14),"",IF(ISNUMBER(O14), O14, ""))</f>
        <v/>
      </c>
      <c r="AC14" s="66" t="str">
        <f aca="false">IF(ISBLANK($C14),"",IF(ISNUMBER(P14), P14, Constants!$B$13))</f>
        <v/>
      </c>
      <c r="AD14" s="63" t="str">
        <f aca="false">IF(ISBLANK($C14),"",IF(Q14=Constants!$B$2, TRUE(), IF(Q14=Constants!$B$3, FALSE(), FALSE())))</f>
        <v/>
      </c>
      <c r="AE14" s="63" t="str">
        <f aca="false">IF(ISBLANK(C14), "", IF(AD14, Constants!$B$4,IF(COUNTA(G14:O14)=0, Constants!$B$5, Constants!$B$7)))</f>
        <v/>
      </c>
      <c r="AF14" s="63" t="str">
        <f aca="false">IF(ISBLANK($C14), "",IF($AE14=Constants!$B$7,1,$AE14))</f>
        <v/>
      </c>
      <c r="AG14" s="63" t="str">
        <f aca="false">IF($AE14=Constants!$B$7,IF(V14, 1, Constants!$B$11) * IF(X14, 1, Constants!$B$12),"")</f>
        <v/>
      </c>
      <c r="AH14" s="63" t="str">
        <f aca="false">IF(AND($AE14=Constants!$B$7, T14, U14) ,MAX(0, $AA14-$Y14),"")</f>
        <v/>
      </c>
      <c r="AI14" s="63" t="str">
        <f aca="false">IF(ISERROR(AH14),$AI$6,"")</f>
        <v/>
      </c>
      <c r="AJ14" s="63" t="str">
        <f aca="false">IF($AE14=Constants!$B$7,IF(AND(T14,U14,W14),IF($AH$6=0,Constants!$B$9,Constants!$B$9*AH14/$AH$6), 0),"")</f>
        <v/>
      </c>
      <c r="AK14" s="63" t="str">
        <f aca="false">IF(AJ14&lt;&gt;"", AJ14*AG14,"")</f>
        <v/>
      </c>
      <c r="AL14" s="63" t="str">
        <f aca="false">IF(AND($AE14=Constants!$B$7, T14, U14) ,IF($Z14="", "", MAX(0,1-ABS($AA14-$Z14)/$AA14)),"")</f>
        <v/>
      </c>
      <c r="AM14" s="63" t="str">
        <f aca="false">IF(AND(NOT(ISERROR(AH14)),ISERROR(AL14)),$AM$6,"")</f>
        <v/>
      </c>
      <c r="AN14" s="63" t="str">
        <f aca="false">IF($AE14=Constants!$B$7 ,IF(AND(T14,U14,W14,ISNUMBER(Z14)),IF($AL$6=0,Constants!$B$10,Constants!$B$10*AL14/$AL$6), 0),"")</f>
        <v/>
      </c>
      <c r="AO14" s="63" t="str">
        <f aca="false">IF(AN14&lt;&gt;"", AN14*AG14,"")</f>
        <v/>
      </c>
      <c r="AP14" s="63" t="str">
        <f aca="false">IF($AE14=Constants!$B$7,IF($AP$6=0,Constants!$B$8,Constants!$B$8*AB14/$AP$6),"")</f>
        <v/>
      </c>
      <c r="AQ14" s="63" t="str">
        <f aca="false">IF($AE14&lt;&gt;Constants!$B$7,$AE14,AK14+AO14+AP14)</f>
        <v/>
      </c>
      <c r="AR14" s="63" t="str">
        <f aca="false">IF(ISBLANK($C14),"",IF($AE14=Constants!$B$7,RANK(AQ14,$AQ$8:$AQ$507),$AE14))</f>
        <v/>
      </c>
      <c r="AS14" s="63" t="str">
        <f aca="false">IF(ISBLANK($C14), "",AK14)</f>
        <v/>
      </c>
      <c r="AT14" s="63" t="str">
        <f aca="false">IF(ISBLANK($C14),"",IF($AE14=Constants!$B$7,RANK(AS14,AS$8:AS$507),$AE14))</f>
        <v/>
      </c>
      <c r="AU14" s="63" t="str">
        <f aca="false">IF(ISBLANK($C14), "",AP14)</f>
        <v/>
      </c>
      <c r="AV14" s="63" t="str">
        <f aca="false">IF(ISBLANK($C14),"",IF($AE14=Constants!$B$7,RANK(AU14,AU$8:AU$507),$AE14))</f>
        <v/>
      </c>
      <c r="AW14" s="63" t="str">
        <f aca="false">IF(ISBLANK($C14), "",AC14)</f>
        <v/>
      </c>
      <c r="AX14" s="63" t="str">
        <f aca="false">IF(ISBLANK($C14),"",
IF($AE14=Constants!$B$7,
  COUNTIFS($AR$8:$AR$507,"&lt;"&amp;$AR14)
  + COUNTIFS($AR$8:$AR$507,$AR14,$AT$8:$AT$507,"&lt;"&amp;$AT14)
  + COUNTIFS($AR$8:$AR$507,$AR14,$AT$8:$AT$507,$AT14,$AV$8:$AV$507,"&lt;"&amp;$AV14)
  + COUNTIFS($AR$8:$AR$507,$AR14,$AT$8:$AT$507,$AT14,$AV$8:$AV$507,$AV14,$AW$8:$AW$507,"&lt;"&amp;$AW14)
  + 1,
$AE14))</f>
        <v/>
      </c>
      <c r="AY14" s="63" t="str">
        <f aca="false">IF(ISBLANK(C14),"",IF($AE14=Constants!$B$7, AR14-AX14,$AE14))</f>
        <v/>
      </c>
      <c r="AZ14" s="67"/>
      <c r="BA14" s="81" t="str">
        <f aca="false">IF(ISBLANK($C14),"",TRIM(AI14&amp;" "&amp;AM14))</f>
        <v/>
      </c>
      <c r="BB14" s="69" t="str">
        <f aca="false">IF(ISBLANK($C14),"",IF($AE14&lt;&gt;Constants!$B$7, $AE14 ,AQ14))</f>
        <v/>
      </c>
      <c r="BC14" s="70" t="str">
        <f aca="false">IF(ISBLANK($C14),"",IF($AE14&lt;&gt;Constants!$B$7, $AE14 ,AF14))</f>
        <v/>
      </c>
      <c r="BD14" s="71" t="str">
        <f aca="false">IF(ISBLANK(C14),"",AY14)</f>
        <v/>
      </c>
      <c r="BE14" s="71" t="str">
        <f aca="false">IF(ISBLANK(C14),"",AX14)</f>
        <v/>
      </c>
      <c r="BF14" s="72" t="str">
        <f aca="false">IF(ISBLANK(C14),"",IFERROR(_xlfn.SWITCH(BE14, Constants!$B$4, COUNTA($C$8:$C513)+2, Constants!$B$5, COUNTA($C$8:$C513)+1, Constants!$B$6, COUNTA($C$8:$C513)),BE14))</f>
        <v/>
      </c>
      <c r="BG14" s="5"/>
      <c r="BH14" s="73" t="n">
        <f aca="false">IF(OR(ISNUMBER(BE14),BE14="DQ",BE14="P",BE14="NS"),
    1,
    0
)</f>
        <v>0</v>
      </c>
      <c r="BI14" s="73" t="n">
        <v>7</v>
      </c>
      <c r="BJ14" s="73" t="str">
        <f aca="false">IF(ISBLANK($C14),
    "",
   BF14+ROW($B14)/1000
)</f>
        <v/>
      </c>
      <c r="BK14" s="73" t="str">
        <f aca="false">IF(ISNUMBER(BJ14), RANK(BJ14,BJ$8:BJ$507,1), "")</f>
        <v/>
      </c>
      <c r="BL14" s="73" t="str">
        <f aca="false">IF(ISBLANK($C14),
    "",
    $B14
)</f>
        <v/>
      </c>
      <c r="BM14" s="73" t="str">
        <f aca="false">IF(ISBLANK($C14),
    "",
    $C14
)</f>
        <v/>
      </c>
      <c r="BN14" s="73" t="str">
        <f aca="false">IF(ISBLANK($C14),
    "",
    $D14
)</f>
        <v/>
      </c>
      <c r="BO14" s="74" t="str">
        <f aca="false">BC14</f>
        <v/>
      </c>
      <c r="BP14" s="75" t="str">
        <f aca="false">BB14</f>
        <v/>
      </c>
      <c r="BQ14" s="73" t="str">
        <f aca="false">IF(ISBLANK($C14),
    "",
    BE14
)</f>
        <v/>
      </c>
      <c r="BR14" s="76" t="str">
        <f aca="false">IF(BI14&gt;BH$7,
    "",
    VLOOKUP(BI14,BK$8:BQ513,7,FALSE())
)</f>
        <v/>
      </c>
      <c r="BS14" s="77" t="str">
        <f aca="false">IF(BI14&gt;BH$7,
    "",
    VLOOKUP(BI14,BK$8:BQ513,2,FALSE())
)</f>
        <v/>
      </c>
      <c r="BT14" s="77" t="str">
        <f aca="false">IF(BI14&gt;BH$7,
    "",
    VLOOKUP(BI14,BK$8:BQ513,3,FALSE())
)</f>
        <v/>
      </c>
      <c r="BU14" s="77" t="str">
        <f aca="false">IF(BI14&gt;BH$7,
    "",
    VLOOKUP(BI14,BK$8:BQ513,4,FALSE())
)</f>
        <v/>
      </c>
      <c r="BV14" s="77" t="str">
        <f aca="false">IF(BI14&gt;BH$7,
    "",
    VLOOKUP(BI14,BK$8:BQ513,5,FALSE())
)</f>
        <v/>
      </c>
      <c r="BW14" s="78" t="str">
        <f aca="false">IF(BI14&gt;BH$7,
    "",
    VLOOKUP(BI14,BK$8:BQ513,6,FALSE())
)</f>
        <v/>
      </c>
      <c r="BX14" s="50"/>
    </row>
    <row r="15" customFormat="false" ht="15.75" hidden="false" customHeight="false" outlineLevel="0" collapsed="false">
      <c r="A15" s="5"/>
      <c r="B15" s="119"/>
      <c r="C15" s="82"/>
      <c r="D15" s="53"/>
      <c r="E15" s="120"/>
      <c r="F15" s="120"/>
      <c r="G15" s="55"/>
      <c r="H15" s="56"/>
      <c r="I15" s="121"/>
      <c r="J15" s="121"/>
      <c r="K15" s="121"/>
      <c r="L15" s="58"/>
      <c r="M15" s="58"/>
      <c r="N15" s="58"/>
      <c r="O15" s="59"/>
      <c r="P15" s="60"/>
      <c r="Q15" s="61"/>
      <c r="R15" s="62"/>
      <c r="S15" s="63"/>
      <c r="T15" s="63" t="str">
        <f aca="false">IF(ISBLANK($C15),"",IF(G15=Constants!$B$2, TRUE(), IF(G15=Constants!$B$3, FALSE(), TRUE())))</f>
        <v/>
      </c>
      <c r="U15" s="63" t="str">
        <f aca="false">IF(ISBLANK($C15),"",IF(H15=Constants!$B$2, TRUE(), IF(H15=Constants!$B$3, FALSE(), TRUE())))</f>
        <v/>
      </c>
      <c r="V15" s="63" t="str">
        <f aca="false">IF(ISBLANK($C15),"",IF(I15=Constants!$B$2, TRUE(), IF(I15=Constants!$B$3, FALSE(), TRUE())))</f>
        <v/>
      </c>
      <c r="W15" s="63" t="str">
        <f aca="false">IF(ISBLANK($C15),"",IF(J15=Constants!$B$2, TRUE(), IF(J15=Constants!$B$3, FALSE(), TRUE())))</f>
        <v/>
      </c>
      <c r="X15" s="63" t="str">
        <f aca="false">IF(ISBLANK($C15),"",IF(K15=Constants!$B$2, TRUE(), IF(K15=Constants!$B$3, FALSE(), TRUE())))</f>
        <v/>
      </c>
      <c r="Y15" s="65" t="str">
        <f aca="false">IF(ISBLANK($C15),"",IF(ISNUMBER(L15), L15, ""))</f>
        <v/>
      </c>
      <c r="Z15" s="65" t="str">
        <f aca="false">IF(ISBLANK($C15),"",IF(ISNUMBER(M15), M15, ""))</f>
        <v/>
      </c>
      <c r="AA15" s="65" t="str">
        <f aca="false">IF(ISBLANK($C15),"",IF(ISNUMBER(N15), N15, ""))</f>
        <v/>
      </c>
      <c r="AB15" s="66" t="str">
        <f aca="false">IF(ISBLANK($C15),"",IF(ISNUMBER(O15), O15, ""))</f>
        <v/>
      </c>
      <c r="AC15" s="66" t="str">
        <f aca="false">IF(ISBLANK($C15),"",IF(ISNUMBER(P15), P15, Constants!$B$13))</f>
        <v/>
      </c>
      <c r="AD15" s="63" t="str">
        <f aca="false">IF(ISBLANK($C15),"",IF(Q15=Constants!$B$2, TRUE(), IF(Q15=Constants!$B$3, FALSE(), FALSE())))</f>
        <v/>
      </c>
      <c r="AE15" s="63" t="str">
        <f aca="false">IF(ISBLANK(C15), "", IF(AD15, Constants!$B$4,IF(COUNTA(G15:O15)=0, Constants!$B$5, Constants!$B$7)))</f>
        <v/>
      </c>
      <c r="AF15" s="63" t="str">
        <f aca="false">IF(ISBLANK($C15), "",IF($AE15=Constants!$B$7,1,$AE15))</f>
        <v/>
      </c>
      <c r="AG15" s="63" t="str">
        <f aca="false">IF($AE15=Constants!$B$7,IF(V15, 1, Constants!$B$11) * IF(X15, 1, Constants!$B$12),"")</f>
        <v/>
      </c>
      <c r="AH15" s="63" t="str">
        <f aca="false">IF(AND($AE15=Constants!$B$7, T15, U15) ,MAX(0, $AA15-$Y15),"")</f>
        <v/>
      </c>
      <c r="AI15" s="63" t="str">
        <f aca="false">IF(ISERROR(AH15),$AI$6,"")</f>
        <v/>
      </c>
      <c r="AJ15" s="63" t="str">
        <f aca="false">IF($AE15=Constants!$B$7,IF(AND(T15,U15,W15),IF($AH$6=0,Constants!$B$9,Constants!$B$9*AH15/$AH$6), 0),"")</f>
        <v/>
      </c>
      <c r="AK15" s="63" t="str">
        <f aca="false">IF(AJ15&lt;&gt;"", AJ15*AG15,"")</f>
        <v/>
      </c>
      <c r="AL15" s="63" t="str">
        <f aca="false">IF(AND($AE15=Constants!$B$7, T15, U15) ,IF($Z15="", "", MAX(0,1-ABS($AA15-$Z15)/$AA15)),"")</f>
        <v/>
      </c>
      <c r="AM15" s="63" t="str">
        <f aca="false">IF(AND(NOT(ISERROR(AH15)),ISERROR(AL15)),$AM$6,"")</f>
        <v/>
      </c>
      <c r="AN15" s="63" t="str">
        <f aca="false">IF($AE15=Constants!$B$7 ,IF(AND(T15,U15,W15,ISNUMBER(Z15)),IF($AL$6=0,Constants!$B$10,Constants!$B$10*AL15/$AL$6), 0),"")</f>
        <v/>
      </c>
      <c r="AO15" s="63" t="str">
        <f aca="false">IF(AN15&lt;&gt;"", AN15*AG15,"")</f>
        <v/>
      </c>
      <c r="AP15" s="63" t="str">
        <f aca="false">IF($AE15=Constants!$B$7,IF($AP$6=0,Constants!$B$8,Constants!$B$8*AB15/$AP$6),"")</f>
        <v/>
      </c>
      <c r="AQ15" s="63" t="str">
        <f aca="false">IF($AE15&lt;&gt;Constants!$B$7,$AE15,AK15+AO15+AP15)</f>
        <v/>
      </c>
      <c r="AR15" s="63" t="str">
        <f aca="false">IF(ISBLANK($C15),"",IF($AE15=Constants!$B$7,RANK(AQ15,$AQ$8:$AQ$507),$AE15))</f>
        <v/>
      </c>
      <c r="AS15" s="63" t="str">
        <f aca="false">IF(ISBLANK($C15), "",AK15)</f>
        <v/>
      </c>
      <c r="AT15" s="63" t="str">
        <f aca="false">IF(ISBLANK($C15),"",IF($AE15=Constants!$B$7,RANK(AS15,AS$8:AS$507),$AE15))</f>
        <v/>
      </c>
      <c r="AU15" s="63" t="str">
        <f aca="false">IF(ISBLANK($C15), "",AP15)</f>
        <v/>
      </c>
      <c r="AV15" s="63" t="str">
        <f aca="false">IF(ISBLANK($C15),"",IF($AE15=Constants!$B$7,RANK(AU15,AU$8:AU$507),$AE15))</f>
        <v/>
      </c>
      <c r="AW15" s="63" t="str">
        <f aca="false">IF(ISBLANK($C15), "",AC15)</f>
        <v/>
      </c>
      <c r="AX15" s="63" t="str">
        <f aca="false">IF(ISBLANK($C15),"",
IF($AE15=Constants!$B$7,
  COUNTIFS($AR$8:$AR$507,"&lt;"&amp;$AR15)
  + COUNTIFS($AR$8:$AR$507,$AR15,$AT$8:$AT$507,"&lt;"&amp;$AT15)
  + COUNTIFS($AR$8:$AR$507,$AR15,$AT$8:$AT$507,$AT15,$AV$8:$AV$507,"&lt;"&amp;$AV15)
  + COUNTIFS($AR$8:$AR$507,$AR15,$AT$8:$AT$507,$AT15,$AV$8:$AV$507,$AV15,$AW$8:$AW$507,"&lt;"&amp;$AW15)
  + 1,
$AE15))</f>
        <v/>
      </c>
      <c r="AY15" s="63" t="str">
        <f aca="false">IF(ISBLANK(C15),"",IF($AE15=Constants!$B$7, AR15-AX15,$AE15))</f>
        <v/>
      </c>
      <c r="AZ15" s="67"/>
      <c r="BA15" s="81" t="str">
        <f aca="false">IF(ISBLANK($C15),"",TRIM(AI15&amp;" "&amp;AM15))</f>
        <v/>
      </c>
      <c r="BB15" s="69" t="str">
        <f aca="false">IF(ISBLANK($C15),"",IF($AE15&lt;&gt;Constants!$B$7, $AE15 ,AQ15))</f>
        <v/>
      </c>
      <c r="BC15" s="70" t="str">
        <f aca="false">IF(ISBLANK($C15),"",IF($AE15&lt;&gt;Constants!$B$7, $AE15 ,AF15))</f>
        <v/>
      </c>
      <c r="BD15" s="71" t="str">
        <f aca="false">IF(ISBLANK(C15),"",AY15)</f>
        <v/>
      </c>
      <c r="BE15" s="71" t="str">
        <f aca="false">IF(ISBLANK(C15),"",AX15)</f>
        <v/>
      </c>
      <c r="BF15" s="72" t="str">
        <f aca="false">IF(ISBLANK(C15),"",IFERROR(_xlfn.SWITCH(BE15, Constants!$B$4, COUNTA($C$8:$C514)+2, Constants!$B$5, COUNTA($C$8:$C514)+1, Constants!$B$6, COUNTA($C$8:$C514)),BE15))</f>
        <v/>
      </c>
      <c r="BG15" s="5"/>
      <c r="BH15" s="73" t="n">
        <f aca="false">IF(OR(ISNUMBER(BE15),BE15="DQ",BE15="P",BE15="NS"),
    1,
    0
)</f>
        <v>0</v>
      </c>
      <c r="BI15" s="73" t="n">
        <v>8</v>
      </c>
      <c r="BJ15" s="73" t="str">
        <f aca="false">IF(ISBLANK($C15),
    "",
   BF15+ROW($B15)/1000
)</f>
        <v/>
      </c>
      <c r="BK15" s="73" t="str">
        <f aca="false">IF(ISNUMBER(BJ15), RANK(BJ15,BJ$8:BJ$507,1), "")</f>
        <v/>
      </c>
      <c r="BL15" s="73" t="str">
        <f aca="false">IF(ISBLANK($C15),
    "",
    $B15
)</f>
        <v/>
      </c>
      <c r="BM15" s="73" t="str">
        <f aca="false">IF(ISBLANK($C15),
    "",
    $C15
)</f>
        <v/>
      </c>
      <c r="BN15" s="73" t="str">
        <f aca="false">IF(ISBLANK($C15),
    "",
    $D15
)</f>
        <v/>
      </c>
      <c r="BO15" s="74" t="str">
        <f aca="false">BC15</f>
        <v/>
      </c>
      <c r="BP15" s="75" t="str">
        <f aca="false">BB15</f>
        <v/>
      </c>
      <c r="BQ15" s="73" t="str">
        <f aca="false">IF(ISBLANK($C15),
    "",
    BE15
)</f>
        <v/>
      </c>
      <c r="BR15" s="76" t="str">
        <f aca="false">IF(BI15&gt;BH$7,
    "",
    VLOOKUP(BI15,BK$8:BQ514,7,FALSE())
)</f>
        <v/>
      </c>
      <c r="BS15" s="77" t="str">
        <f aca="false">IF(BI15&gt;BH$7,
    "",
    VLOOKUP(BI15,BK$8:BQ514,2,FALSE())
)</f>
        <v/>
      </c>
      <c r="BT15" s="77" t="str">
        <f aca="false">IF(BI15&gt;BH$7,
    "",
    VLOOKUP(BI15,BK$8:BQ514,3,FALSE())
)</f>
        <v/>
      </c>
      <c r="BU15" s="77" t="str">
        <f aca="false">IF(BI15&gt;BH$7,
    "",
    VLOOKUP(BI15,BK$8:BQ514,4,FALSE())
)</f>
        <v/>
      </c>
      <c r="BV15" s="77" t="str">
        <f aca="false">IF(BI15&gt;BH$7,
    "",
    VLOOKUP(BI15,BK$8:BQ514,5,FALSE())
)</f>
        <v/>
      </c>
      <c r="BW15" s="78" t="str">
        <f aca="false">IF(BI15&gt;BH$7,
    "",
    VLOOKUP(BI15,BK$8:BQ514,6,FALSE())
)</f>
        <v/>
      </c>
      <c r="BX15" s="50"/>
    </row>
    <row r="16" customFormat="false" ht="15.75" hidden="false" customHeight="false" outlineLevel="0" collapsed="false">
      <c r="A16" s="5"/>
      <c r="B16" s="119"/>
      <c r="C16" s="82"/>
      <c r="D16" s="53"/>
      <c r="E16" s="120"/>
      <c r="F16" s="120"/>
      <c r="G16" s="55"/>
      <c r="H16" s="56"/>
      <c r="I16" s="57"/>
      <c r="J16" s="57"/>
      <c r="K16" s="57"/>
      <c r="L16" s="58"/>
      <c r="M16" s="58"/>
      <c r="N16" s="58"/>
      <c r="O16" s="59"/>
      <c r="P16" s="60"/>
      <c r="Q16" s="61"/>
      <c r="R16" s="62"/>
      <c r="S16" s="63"/>
      <c r="T16" s="63" t="str">
        <f aca="false">IF(ISBLANK($C16),"",IF(G16=Constants!$B$2, TRUE(), IF(G16=Constants!$B$3, FALSE(), TRUE())))</f>
        <v/>
      </c>
      <c r="U16" s="63" t="str">
        <f aca="false">IF(ISBLANK($C16),"",IF(H16=Constants!$B$2, TRUE(), IF(H16=Constants!$B$3, FALSE(), TRUE())))</f>
        <v/>
      </c>
      <c r="V16" s="63" t="str">
        <f aca="false">IF(ISBLANK($C16),"",IF(I16=Constants!$B$2, TRUE(), IF(I16=Constants!$B$3, FALSE(), TRUE())))</f>
        <v/>
      </c>
      <c r="W16" s="63" t="str">
        <f aca="false">IF(ISBLANK($C16),"",IF(J16=Constants!$B$2, TRUE(), IF(J16=Constants!$B$3, FALSE(), TRUE())))</f>
        <v/>
      </c>
      <c r="X16" s="63" t="str">
        <f aca="false">IF(ISBLANK($C16),"",IF(K16=Constants!$B$2, TRUE(), IF(K16=Constants!$B$3, FALSE(), TRUE())))</f>
        <v/>
      </c>
      <c r="Y16" s="65" t="str">
        <f aca="false">IF(ISBLANK($C16),"",IF(ISNUMBER(L16), L16, ""))</f>
        <v/>
      </c>
      <c r="Z16" s="65" t="str">
        <f aca="false">IF(ISBLANK($C16),"",IF(ISNUMBER(M16), M16, ""))</f>
        <v/>
      </c>
      <c r="AA16" s="65" t="str">
        <f aca="false">IF(ISBLANK($C16),"",IF(ISNUMBER(N16), N16, ""))</f>
        <v/>
      </c>
      <c r="AB16" s="66" t="str">
        <f aca="false">IF(ISBLANK($C16),"",IF(ISNUMBER(O16), O16, ""))</f>
        <v/>
      </c>
      <c r="AC16" s="66" t="str">
        <f aca="false">IF(ISBLANK($C16),"",IF(ISNUMBER(P16), P16, Constants!$B$13))</f>
        <v/>
      </c>
      <c r="AD16" s="63" t="str">
        <f aca="false">IF(ISBLANK($C16),"",IF(Q16=Constants!$B$2, TRUE(), IF(Q16=Constants!$B$3, FALSE(), FALSE())))</f>
        <v/>
      </c>
      <c r="AE16" s="63" t="str">
        <f aca="false">IF(ISBLANK(C16), "", IF(AD16, Constants!$B$4,IF(COUNTA(G16:O16)=0, Constants!$B$5, Constants!$B$7)))</f>
        <v/>
      </c>
      <c r="AF16" s="63" t="str">
        <f aca="false">IF(ISBLANK($C16), "",IF($AE16=Constants!$B$7,1,$AE16))</f>
        <v/>
      </c>
      <c r="AG16" s="63" t="str">
        <f aca="false">IF($AE16=Constants!$B$7,IF(V16, 1, Constants!$B$11) * IF(X16, 1, Constants!$B$12),"")</f>
        <v/>
      </c>
      <c r="AH16" s="63" t="str">
        <f aca="false">IF(AND($AE16=Constants!$B$7, T16, U16) ,MAX(0, $AA16-$Y16),"")</f>
        <v/>
      </c>
      <c r="AI16" s="63" t="str">
        <f aca="false">IF(ISERROR(AH16),$AI$6,"")</f>
        <v/>
      </c>
      <c r="AJ16" s="63" t="str">
        <f aca="false">IF($AE16=Constants!$B$7,IF(AND(T16,U16,W16),IF($AH$6=0,Constants!$B$9,Constants!$B$9*AH16/$AH$6), 0),"")</f>
        <v/>
      </c>
      <c r="AK16" s="63" t="str">
        <f aca="false">IF(AJ16&lt;&gt;"", AJ16*AG16,"")</f>
        <v/>
      </c>
      <c r="AL16" s="63" t="str">
        <f aca="false">IF(AND($AE16=Constants!$B$7, T16, U16) ,IF($Z16="", "", MAX(0,1-ABS($AA16-$Z16)/$AA16)),"")</f>
        <v/>
      </c>
      <c r="AM16" s="63" t="str">
        <f aca="false">IF(AND(NOT(ISERROR(AH16)),ISERROR(AL16)),$AM$6,"")</f>
        <v/>
      </c>
      <c r="AN16" s="63" t="str">
        <f aca="false">IF($AE16=Constants!$B$7 ,IF(AND(T16,U16,W16,ISNUMBER(Z16)),IF($AL$6=0,Constants!$B$10,Constants!$B$10*AL16/$AL$6), 0),"")</f>
        <v/>
      </c>
      <c r="AO16" s="63" t="str">
        <f aca="false">IF(AN16&lt;&gt;"", AN16*AG16,"")</f>
        <v/>
      </c>
      <c r="AP16" s="63" t="str">
        <f aca="false">IF($AE16=Constants!$B$7,IF($AP$6=0,Constants!$B$8,Constants!$B$8*AB16/$AP$6),"")</f>
        <v/>
      </c>
      <c r="AQ16" s="63" t="str">
        <f aca="false">IF($AE16&lt;&gt;Constants!$B$7,$AE16,AK16+AO16+AP16)</f>
        <v/>
      </c>
      <c r="AR16" s="63" t="str">
        <f aca="false">IF(ISBLANK($C16),"",IF($AE16=Constants!$B$7,RANK(AQ16,$AQ$8:$AQ$507),$AE16))</f>
        <v/>
      </c>
      <c r="AS16" s="63" t="str">
        <f aca="false">IF(ISBLANK($C16), "",AK16)</f>
        <v/>
      </c>
      <c r="AT16" s="63" t="str">
        <f aca="false">IF(ISBLANK($C16),"",IF($AE16=Constants!$B$7,RANK(AS16,AS$8:AS$507),$AE16))</f>
        <v/>
      </c>
      <c r="AU16" s="63" t="str">
        <f aca="false">IF(ISBLANK($C16), "",AP16)</f>
        <v/>
      </c>
      <c r="AV16" s="63" t="str">
        <f aca="false">IF(ISBLANK($C16),"",IF($AE16=Constants!$B$7,RANK(AU16,AU$8:AU$507),$AE16))</f>
        <v/>
      </c>
      <c r="AW16" s="63" t="str">
        <f aca="false">IF(ISBLANK($C16), "",AC16)</f>
        <v/>
      </c>
      <c r="AX16" s="63" t="str">
        <f aca="false">IF(ISBLANK($C16),"",
IF($AE16=Constants!$B$7,
  COUNTIFS($AR$8:$AR$507,"&lt;"&amp;$AR16)
  + COUNTIFS($AR$8:$AR$507,$AR16,$AT$8:$AT$507,"&lt;"&amp;$AT16)
  + COUNTIFS($AR$8:$AR$507,$AR16,$AT$8:$AT$507,$AT16,$AV$8:$AV$507,"&lt;"&amp;$AV16)
  + COUNTIFS($AR$8:$AR$507,$AR16,$AT$8:$AT$507,$AT16,$AV$8:$AV$507,$AV16,$AW$8:$AW$507,"&lt;"&amp;$AW16)
  + 1,
$AE16))</f>
        <v/>
      </c>
      <c r="AY16" s="63" t="str">
        <f aca="false">IF(ISBLANK(C16),"",IF($AE16=Constants!$B$7, AR16-AX16,$AE16))</f>
        <v/>
      </c>
      <c r="AZ16" s="67"/>
      <c r="BA16" s="81" t="str">
        <f aca="false">IF(ISBLANK($C16),"",TRIM(AI16&amp;" "&amp;AM16))</f>
        <v/>
      </c>
      <c r="BB16" s="69" t="str">
        <f aca="false">IF(ISBLANK($C16),"",IF($AE16&lt;&gt;Constants!$B$7, $AE16 ,AQ16))</f>
        <v/>
      </c>
      <c r="BC16" s="70" t="str">
        <f aca="false">IF(ISBLANK($C16),"",IF($AE16&lt;&gt;Constants!$B$7, $AE16 ,AF16))</f>
        <v/>
      </c>
      <c r="BD16" s="71" t="str">
        <f aca="false">IF(ISBLANK(C16),"",AY16)</f>
        <v/>
      </c>
      <c r="BE16" s="71" t="str">
        <f aca="false">IF(ISBLANK(C16),"",AX16)</f>
        <v/>
      </c>
      <c r="BF16" s="72" t="str">
        <f aca="false">IF(ISBLANK(C16),"",IFERROR(_xlfn.SWITCH(BE16, Constants!$B$4, COUNTA($C$8:$C515)+2, Constants!$B$5, COUNTA($C$8:$C515)+1, Constants!$B$6, COUNTA($C$8:$C515)),BE16))</f>
        <v/>
      </c>
      <c r="BG16" s="5"/>
      <c r="BH16" s="73" t="n">
        <f aca="false">IF(OR(ISNUMBER(BE16),BE16="DQ",BE16="P",BE16="NS"),
    1,
    0
)</f>
        <v>0</v>
      </c>
      <c r="BI16" s="73" t="n">
        <v>9</v>
      </c>
      <c r="BJ16" s="73" t="str">
        <f aca="false">IF(ISBLANK($C16),
    "",
   BF16+ROW($B16)/1000
)</f>
        <v/>
      </c>
      <c r="BK16" s="73" t="str">
        <f aca="false">IF(ISNUMBER(BJ16), RANK(BJ16,BJ$8:BJ$507,1), "")</f>
        <v/>
      </c>
      <c r="BL16" s="73" t="str">
        <f aca="false">IF(ISBLANK($C16),
    "",
    $B16
)</f>
        <v/>
      </c>
      <c r="BM16" s="73" t="str">
        <f aca="false">IF(ISBLANK($C16),
    "",
    $C16
)</f>
        <v/>
      </c>
      <c r="BN16" s="73" t="str">
        <f aca="false">IF(ISBLANK($C16),
    "",
    $D16
)</f>
        <v/>
      </c>
      <c r="BO16" s="74" t="str">
        <f aca="false">BC16</f>
        <v/>
      </c>
      <c r="BP16" s="75" t="str">
        <f aca="false">BB16</f>
        <v/>
      </c>
      <c r="BQ16" s="73" t="str">
        <f aca="false">IF(ISBLANK($C16),
    "",
    BE16
)</f>
        <v/>
      </c>
      <c r="BR16" s="76" t="str">
        <f aca="false">IF(BI16&gt;BH$7,
    "",
    VLOOKUP(BI16,BK$8:BQ515,7,FALSE())
)</f>
        <v/>
      </c>
      <c r="BS16" s="77" t="str">
        <f aca="false">IF(BI16&gt;BH$7,
    "",
    VLOOKUP(BI16,BK$8:BQ515,2,FALSE())
)</f>
        <v/>
      </c>
      <c r="BT16" s="77" t="str">
        <f aca="false">IF(BI16&gt;BH$7,
    "",
    VLOOKUP(BI16,BK$8:BQ515,3,FALSE())
)</f>
        <v/>
      </c>
      <c r="BU16" s="77" t="str">
        <f aca="false">IF(BI16&gt;BH$7,
    "",
    VLOOKUP(BI16,BK$8:BQ515,4,FALSE())
)</f>
        <v/>
      </c>
      <c r="BV16" s="77" t="str">
        <f aca="false">IF(BI16&gt;BH$7,
    "",
    VLOOKUP(BI16,BK$8:BQ515,5,FALSE())
)</f>
        <v/>
      </c>
      <c r="BW16" s="78" t="str">
        <f aca="false">IF(BI16&gt;BH$7,
    "",
    VLOOKUP(BI16,BK$8:BQ515,6,FALSE())
)</f>
        <v/>
      </c>
      <c r="BX16" s="50"/>
    </row>
    <row r="17" customFormat="false" ht="15.75" hidden="false" customHeight="false" outlineLevel="0" collapsed="false">
      <c r="A17" s="5"/>
      <c r="B17" s="122"/>
      <c r="C17" s="123"/>
      <c r="D17" s="112"/>
      <c r="E17" s="116"/>
      <c r="F17" s="116"/>
      <c r="G17" s="88"/>
      <c r="H17" s="89"/>
      <c r="I17" s="124"/>
      <c r="J17" s="124"/>
      <c r="K17" s="124"/>
      <c r="L17" s="91"/>
      <c r="M17" s="91"/>
      <c r="N17" s="91"/>
      <c r="O17" s="92"/>
      <c r="P17" s="93"/>
      <c r="Q17" s="125"/>
      <c r="R17" s="95"/>
      <c r="S17" s="96"/>
      <c r="T17" s="96" t="str">
        <f aca="false">IF(ISBLANK($C17),"",IF(G17=Constants!$B$2, TRUE(), IF(G17=Constants!$B$3, FALSE(), TRUE())))</f>
        <v/>
      </c>
      <c r="U17" s="96" t="str">
        <f aca="false">IF(ISBLANK($C17),"",IF(H17=Constants!$B$2, TRUE(), IF(H17=Constants!$B$3, FALSE(), TRUE())))</f>
        <v/>
      </c>
      <c r="V17" s="96" t="str">
        <f aca="false">IF(ISBLANK($C17),"",IF(I17=Constants!$B$2, TRUE(), IF(I17=Constants!$B$3, FALSE(), TRUE())))</f>
        <v/>
      </c>
      <c r="W17" s="96" t="str">
        <f aca="false">IF(ISBLANK($C17),"",IF(J17=Constants!$B$2, TRUE(), IF(J17=Constants!$B$3, FALSE(), TRUE())))</f>
        <v/>
      </c>
      <c r="X17" s="97" t="str">
        <f aca="false">IF(ISBLANK($C17),"",IF(K17=Constants!$B$2, TRUE(), IF(K17=Constants!$B$3, FALSE(), TRUE())))</f>
        <v/>
      </c>
      <c r="Y17" s="98" t="str">
        <f aca="false">IF(ISBLANK($C17),"",IF(ISNUMBER(L17), L17, ""))</f>
        <v/>
      </c>
      <c r="Z17" s="98" t="str">
        <f aca="false">IF(ISBLANK($C17),"",IF(ISNUMBER(M17), M17, ""))</f>
        <v/>
      </c>
      <c r="AA17" s="98" t="str">
        <f aca="false">IF(ISBLANK($C17),"",IF(ISNUMBER(N17), N17, ""))</f>
        <v/>
      </c>
      <c r="AB17" s="99" t="str">
        <f aca="false">IF(ISBLANK($C17),"",IF(ISNUMBER(O17), O17, ""))</f>
        <v/>
      </c>
      <c r="AC17" s="99" t="str">
        <f aca="false">IF(ISBLANK($C17),"",IF(ISNUMBER(P17), P17, Constants!$B$13))</f>
        <v/>
      </c>
      <c r="AD17" s="96" t="str">
        <f aca="false">IF(ISBLANK($C17),"",IF(Q17=Constants!$B$2, TRUE(), IF(Q17=Constants!$B$3, FALSE(), FALSE())))</f>
        <v/>
      </c>
      <c r="AE17" s="96" t="str">
        <f aca="false">IF(ISBLANK(C17), "", IF(AD17, Constants!$B$4,IF(COUNTA(G17:O17)=0, Constants!$B$5, Constants!$B$7)))</f>
        <v/>
      </c>
      <c r="AF17" s="96" t="str">
        <f aca="false">IF(ISBLANK($C17), "",IF($AE17=Constants!$B$7,1,$AE17))</f>
        <v/>
      </c>
      <c r="AG17" s="96" t="str">
        <f aca="false">IF($AE17=Constants!$B$7,IF(V17, 1, Constants!$B$11) * IF(X17, 1, Constants!$B$12),"")</f>
        <v/>
      </c>
      <c r="AH17" s="96" t="str">
        <f aca="false">IF(AND($AE17=Constants!$B$7, T17, U17) ,MAX(0, $AA17-$Y17),"")</f>
        <v/>
      </c>
      <c r="AI17" s="96" t="str">
        <f aca="false">IF(ISERROR(AH17),$AI$6,"")</f>
        <v/>
      </c>
      <c r="AJ17" s="96" t="str">
        <f aca="false">IF($AE17=Constants!$B$7,IF(AND(T17,U17,W17),IF($AH$6=0,Constants!$B$9,Constants!$B$9*AH17/$AH$6), 0),"")</f>
        <v/>
      </c>
      <c r="AK17" s="96" t="str">
        <f aca="false">IF(AJ17&lt;&gt;"", AJ17*AG17,"")</f>
        <v/>
      </c>
      <c r="AL17" s="96" t="str">
        <f aca="false">IF(AND($AE17=Constants!$B$7, T17, U17) ,IF($Z17="", "", MAX(0,1-ABS($AA17-$Z17)/$AA17)),"")</f>
        <v/>
      </c>
      <c r="AM17" s="96" t="str">
        <f aca="false">IF(AND(NOT(ISERROR(AH17)),ISERROR(AL17)),$AM$6,"")</f>
        <v/>
      </c>
      <c r="AN17" s="96" t="str">
        <f aca="false">IF($AE17=Constants!$B$7 ,IF(AND(T17,U17,W17,ISNUMBER(Z17)),IF($AL$6=0,Constants!$B$10,Constants!$B$10*AL17/$AL$6), 0),"")</f>
        <v/>
      </c>
      <c r="AO17" s="96" t="str">
        <f aca="false">IF(AN17&lt;&gt;"", AN17*AG17,"")</f>
        <v/>
      </c>
      <c r="AP17" s="96" t="str">
        <f aca="false">IF($AE17=Constants!$B$7,IF($AP$6=0,Constants!$B$8,Constants!$B$8*AB17/$AP$6),"")</f>
        <v/>
      </c>
      <c r="AQ17" s="96" t="str">
        <f aca="false">IF($AE17&lt;&gt;Constants!$B$7,$AE17,AK17+AO17+AP17)</f>
        <v/>
      </c>
      <c r="AR17" s="96" t="str">
        <f aca="false">IF(ISBLANK($C17),"",IF($AE17=Constants!$B$7,RANK(AQ17,$AQ$8:$AQ$507),$AE17))</f>
        <v/>
      </c>
      <c r="AS17" s="96" t="str">
        <f aca="false">IF(ISBLANK($C17), "",AK17)</f>
        <v/>
      </c>
      <c r="AT17" s="96" t="str">
        <f aca="false">IF(ISBLANK($C17),"",IF($AE17=Constants!$B$7,RANK(AS17,AS$8:AS$507),$AE17))</f>
        <v/>
      </c>
      <c r="AU17" s="96" t="str">
        <f aca="false">IF(ISBLANK($C17), "",AP17)</f>
        <v/>
      </c>
      <c r="AV17" s="96" t="str">
        <f aca="false">IF(ISBLANK($C17),"",IF($AE17=Constants!$B$7,RANK(AU17,AU$8:AU$507),$AE17))</f>
        <v/>
      </c>
      <c r="AW17" s="96" t="str">
        <f aca="false">IF(ISBLANK($C17), "",AC17)</f>
        <v/>
      </c>
      <c r="AX17" s="96" t="str">
        <f aca="false">IF(ISBLANK($C17),"",
IF($AE17=Constants!$B$7,
  COUNTIFS($AR$8:$AR$507,"&lt;"&amp;$AR17)
  + COUNTIFS($AR$8:$AR$507,$AR17,$AT$8:$AT$507,"&lt;"&amp;$AT17)
  + COUNTIFS($AR$8:$AR$507,$AR17,$AT$8:$AT$507,$AT17,$AV$8:$AV$507,"&lt;"&amp;$AV17)
  + COUNTIFS($AR$8:$AR$507,$AR17,$AT$8:$AT$507,$AT17,$AV$8:$AV$507,$AV17,$AW$8:$AW$507,"&lt;"&amp;$AW17)
  + 1,
$AE17))</f>
        <v/>
      </c>
      <c r="AY17" s="96" t="str">
        <f aca="false">IF(ISBLANK(C17),"",IF($AE17=Constants!$B$7, AR17-AX17,$AE17))</f>
        <v/>
      </c>
      <c r="AZ17" s="100"/>
      <c r="BA17" s="101" t="str">
        <f aca="false">IF(ISBLANK($C17),"",TRIM(AI17&amp;" "&amp;AM17))</f>
        <v/>
      </c>
      <c r="BB17" s="102" t="str">
        <f aca="false">IF(ISBLANK($C17),"",IF($AE17&lt;&gt;Constants!$B$7, $AE17 ,AQ17))</f>
        <v/>
      </c>
      <c r="BC17" s="103" t="str">
        <f aca="false">IF(ISBLANK($C17),"",IF($AE17&lt;&gt;Constants!$B$7, $AE17 ,AF17))</f>
        <v/>
      </c>
      <c r="BD17" s="104" t="str">
        <f aca="false">IF(ISBLANK(C17),"",AY17)</f>
        <v/>
      </c>
      <c r="BE17" s="104" t="str">
        <f aca="false">IF(ISBLANK(C17),"",AX17)</f>
        <v/>
      </c>
      <c r="BF17" s="105" t="str">
        <f aca="false">IF(ISBLANK(C17),"",IFERROR(_xlfn.SWITCH(BE17, Constants!$B$4, COUNTA($C$8:$C516)+2, Constants!$B$5, COUNTA($C$8:$C516)+1, Constants!$B$6, COUNTA($C$8:$C516)),BE17))</f>
        <v/>
      </c>
      <c r="BG17" s="5"/>
      <c r="BH17" s="106" t="n">
        <f aca="false">IF(OR(ISNUMBER(BE17),BE17="DQ",BE17="P",BE17="NS"),
    1,
    0
)</f>
        <v>0</v>
      </c>
      <c r="BI17" s="106" t="n">
        <v>10</v>
      </c>
      <c r="BJ17" s="106" t="str">
        <f aca="false">IF(ISBLANK($C17),
    "",
   BF17+ROW($B17)/1000
)</f>
        <v/>
      </c>
      <c r="BK17" s="106" t="str">
        <f aca="false">IF(ISNUMBER(BJ17), RANK(BJ17,BJ$8:BJ$507,1), "")</f>
        <v/>
      </c>
      <c r="BL17" s="106" t="str">
        <f aca="false">IF(ISBLANK($C17),
    "",
    $B17
)</f>
        <v/>
      </c>
      <c r="BM17" s="106" t="str">
        <f aca="false">IF(ISBLANK($C17),
    "",
    $C17
)</f>
        <v/>
      </c>
      <c r="BN17" s="106" t="str">
        <f aca="false">IF(ISBLANK($C17),
    "",
    $D17
)</f>
        <v/>
      </c>
      <c r="BO17" s="107" t="str">
        <f aca="false">BC17</f>
        <v/>
      </c>
      <c r="BP17" s="108" t="str">
        <f aca="false">BB17</f>
        <v/>
      </c>
      <c r="BQ17" s="106" t="str">
        <f aca="false">IF(ISBLANK($C17),
    "",
    BE17
)</f>
        <v/>
      </c>
      <c r="BR17" s="109" t="str">
        <f aca="false">IF(BI17&gt;BH$7,
    "",
    VLOOKUP(BI17,BK$8:BQ516,7,FALSE())
)</f>
        <v/>
      </c>
      <c r="BS17" s="110" t="str">
        <f aca="false">IF(BI17&gt;BH$7,
    "",
    VLOOKUP(BI17,BK$8:BQ516,2,FALSE())
)</f>
        <v/>
      </c>
      <c r="BT17" s="110" t="str">
        <f aca="false">IF(BI17&gt;BH$7,
    "",
    VLOOKUP(BI17,BK$8:BQ516,3,FALSE())
)</f>
        <v/>
      </c>
      <c r="BU17" s="110" t="str">
        <f aca="false">IF(BI17&gt;BH$7,
    "",
    VLOOKUP(BI17,BK$8:BQ516,4,FALSE())
)</f>
        <v/>
      </c>
      <c r="BV17" s="110" t="str">
        <f aca="false">IF(BI17&gt;BH$7,
    "",
    VLOOKUP(BI17,BK$8:BQ516,5,FALSE())
)</f>
        <v/>
      </c>
      <c r="BW17" s="111" t="str">
        <f aca="false">IF(BI17&gt;BH$7,
    "",
    VLOOKUP(BI17,BK$8:BQ516,6,FALSE())
)</f>
        <v/>
      </c>
      <c r="BX17" s="50"/>
    </row>
    <row r="18" customFormat="false" ht="15.75" hidden="false" customHeight="false" outlineLevel="0" collapsed="false">
      <c r="A18" s="5"/>
      <c r="B18" s="122"/>
      <c r="C18" s="123"/>
      <c r="D18" s="112"/>
      <c r="E18" s="116"/>
      <c r="F18" s="116"/>
      <c r="G18" s="88"/>
      <c r="H18" s="89"/>
      <c r="I18" s="124"/>
      <c r="J18" s="124"/>
      <c r="K18" s="124"/>
      <c r="L18" s="91"/>
      <c r="M18" s="91"/>
      <c r="N18" s="91"/>
      <c r="O18" s="92"/>
      <c r="P18" s="93"/>
      <c r="Q18" s="125"/>
      <c r="R18" s="95"/>
      <c r="S18" s="96"/>
      <c r="T18" s="96" t="str">
        <f aca="false">IF(ISBLANK($C18),"",IF(G18=Constants!$B$2, TRUE(), IF(G18=Constants!$B$3, FALSE(), TRUE())))</f>
        <v/>
      </c>
      <c r="U18" s="96" t="str">
        <f aca="false">IF(ISBLANK($C18),"",IF(H18=Constants!$B$2, TRUE(), IF(H18=Constants!$B$3, FALSE(), TRUE())))</f>
        <v/>
      </c>
      <c r="V18" s="96" t="str">
        <f aca="false">IF(ISBLANK($C18),"",IF(I18=Constants!$B$2, TRUE(), IF(I18=Constants!$B$3, FALSE(), TRUE())))</f>
        <v/>
      </c>
      <c r="W18" s="96" t="str">
        <f aca="false">IF(ISBLANK($C18),"",IF(J18=Constants!$B$2, TRUE(), IF(J18=Constants!$B$3, FALSE(), TRUE())))</f>
        <v/>
      </c>
      <c r="X18" s="97" t="str">
        <f aca="false">IF(ISBLANK($C18),"",IF(K18=Constants!$B$2, TRUE(), IF(K18=Constants!$B$3, FALSE(), TRUE())))</f>
        <v/>
      </c>
      <c r="Y18" s="98" t="str">
        <f aca="false">IF(ISBLANK($C18),"",IF(ISNUMBER(L18), L18, ""))</f>
        <v/>
      </c>
      <c r="Z18" s="98" t="str">
        <f aca="false">IF(ISBLANK($C18),"",IF(ISNUMBER(M18), M18, ""))</f>
        <v/>
      </c>
      <c r="AA18" s="98" t="str">
        <f aca="false">IF(ISBLANK($C18),"",IF(ISNUMBER(N18), N18, ""))</f>
        <v/>
      </c>
      <c r="AB18" s="99" t="str">
        <f aca="false">IF(ISBLANK($C18),"",IF(ISNUMBER(O18), O18, ""))</f>
        <v/>
      </c>
      <c r="AC18" s="99" t="str">
        <f aca="false">IF(ISBLANK($C18),"",IF(ISNUMBER(P18), P18, Constants!$B$13))</f>
        <v/>
      </c>
      <c r="AD18" s="96" t="str">
        <f aca="false">IF(ISBLANK($C18),"",IF(Q18=Constants!$B$2, TRUE(), IF(Q18=Constants!$B$3, FALSE(), FALSE())))</f>
        <v/>
      </c>
      <c r="AE18" s="96" t="str">
        <f aca="false">IF(ISBLANK(C18), "", IF(AD18, Constants!$B$4,IF(COUNTA(G18:O18)=0, Constants!$B$5, Constants!$B$7)))</f>
        <v/>
      </c>
      <c r="AF18" s="96" t="str">
        <f aca="false">IF(ISBLANK($C18), "",IF($AE18=Constants!$B$7,1,$AE18))</f>
        <v/>
      </c>
      <c r="AG18" s="96" t="str">
        <f aca="false">IF($AE18=Constants!$B$7,IF(V18, 1, Constants!$B$11) * IF(X18, 1, Constants!$B$12),"")</f>
        <v/>
      </c>
      <c r="AH18" s="96" t="str">
        <f aca="false">IF(AND($AE18=Constants!$B$7, T18, U18) ,MAX(0, $AA18-$Y18),"")</f>
        <v/>
      </c>
      <c r="AI18" s="96" t="str">
        <f aca="false">IF(ISERROR(AH18),$AI$6,"")</f>
        <v/>
      </c>
      <c r="AJ18" s="96" t="str">
        <f aca="false">IF($AE18=Constants!$B$7,IF(AND(T18,U18,W18),IF($AH$6=0,Constants!$B$9,Constants!$B$9*AH18/$AH$6), 0),"")</f>
        <v/>
      </c>
      <c r="AK18" s="96" t="str">
        <f aca="false">IF(AJ18&lt;&gt;"", AJ18*AG18,"")</f>
        <v/>
      </c>
      <c r="AL18" s="96" t="str">
        <f aca="false">IF(AND($AE18=Constants!$B$7, T18, U18) ,IF($Z18="", "", MAX(0,1-ABS($AA18-$Z18)/$AA18)),"")</f>
        <v/>
      </c>
      <c r="AM18" s="96" t="str">
        <f aca="false">IF(AND(NOT(ISERROR(AH18)),ISERROR(AL18)),$AM$6,"")</f>
        <v/>
      </c>
      <c r="AN18" s="96" t="str">
        <f aca="false">IF($AE18=Constants!$B$7 ,IF(AND(T18,U18,W18,ISNUMBER(Z18)),IF($AL$6=0,Constants!$B$10,Constants!$B$10*AL18/$AL$6), 0),"")</f>
        <v/>
      </c>
      <c r="AO18" s="96" t="str">
        <f aca="false">IF(AN18&lt;&gt;"", AN18*AG18,"")</f>
        <v/>
      </c>
      <c r="AP18" s="96" t="str">
        <f aca="false">IF($AE18=Constants!$B$7,IF($AP$6=0,Constants!$B$8,Constants!$B$8*AB18/$AP$6),"")</f>
        <v/>
      </c>
      <c r="AQ18" s="96" t="str">
        <f aca="false">IF($AE18&lt;&gt;Constants!$B$7,$AE18,AK18+AO18+AP18)</f>
        <v/>
      </c>
      <c r="AR18" s="96" t="str">
        <f aca="false">IF(ISBLANK($C18),"",IF($AE18=Constants!$B$7,RANK(AQ18,$AQ$8:$AQ$507),$AE18))</f>
        <v/>
      </c>
      <c r="AS18" s="96" t="str">
        <f aca="false">IF(ISBLANK($C18), "",AK18)</f>
        <v/>
      </c>
      <c r="AT18" s="96" t="str">
        <f aca="false">IF(ISBLANK($C18),"",IF($AE18=Constants!$B$7,RANK(AS18,AS$8:AS$507),$AE18))</f>
        <v/>
      </c>
      <c r="AU18" s="96" t="str">
        <f aca="false">IF(ISBLANK($C18), "",AP18)</f>
        <v/>
      </c>
      <c r="AV18" s="96" t="str">
        <f aca="false">IF(ISBLANK($C18),"",IF($AE18=Constants!$B$7,RANK(AU18,AU$8:AU$507),$AE18))</f>
        <v/>
      </c>
      <c r="AW18" s="96" t="str">
        <f aca="false">IF(ISBLANK($C18), "",AC18)</f>
        <v/>
      </c>
      <c r="AX18" s="96" t="str">
        <f aca="false">IF(ISBLANK($C18),"",
IF($AE18=Constants!$B$7,
  COUNTIFS($AR$8:$AR$507,"&lt;"&amp;$AR18)
  + COUNTIFS($AR$8:$AR$507,$AR18,$AT$8:$AT$507,"&lt;"&amp;$AT18)
  + COUNTIFS($AR$8:$AR$507,$AR18,$AT$8:$AT$507,$AT18,$AV$8:$AV$507,"&lt;"&amp;$AV18)
  + COUNTIFS($AR$8:$AR$507,$AR18,$AT$8:$AT$507,$AT18,$AV$8:$AV$507,$AV18,$AW$8:$AW$507,"&lt;"&amp;$AW18)
  + 1,
$AE18))</f>
        <v/>
      </c>
      <c r="AY18" s="96" t="str">
        <f aca="false">IF(ISBLANK(C18),"",IF($AE18=Constants!$B$7, AR18-AX18,$AE18))</f>
        <v/>
      </c>
      <c r="AZ18" s="100"/>
      <c r="BA18" s="101" t="str">
        <f aca="false">IF(ISBLANK($C18),"",TRIM(AI18&amp;" "&amp;AM18))</f>
        <v/>
      </c>
      <c r="BB18" s="102" t="str">
        <f aca="false">IF(ISBLANK($C18),"",IF($AE18&lt;&gt;Constants!$B$7, $AE18 ,AQ18))</f>
        <v/>
      </c>
      <c r="BC18" s="103" t="str">
        <f aca="false">IF(ISBLANK($C18),"",IF($AE18&lt;&gt;Constants!$B$7, $AE18 ,AF18))</f>
        <v/>
      </c>
      <c r="BD18" s="104" t="str">
        <f aca="false">IF(ISBLANK(C18),"",AY18)</f>
        <v/>
      </c>
      <c r="BE18" s="104" t="str">
        <f aca="false">IF(ISBLANK(C18),"",AX18)</f>
        <v/>
      </c>
      <c r="BF18" s="105" t="str">
        <f aca="false">IF(ISBLANK(C18),"",IFERROR(_xlfn.SWITCH(BE18, Constants!$B$4, COUNTA($C$8:$C517)+2, Constants!$B$5, COUNTA($C$8:$C517)+1, Constants!$B$6, COUNTA($C$8:$C517)),BE18))</f>
        <v/>
      </c>
      <c r="BG18" s="5"/>
      <c r="BH18" s="106" t="n">
        <f aca="false">IF(OR(ISNUMBER(BE18),BE18="DQ",BE18="P",BE18="NS"),
    1,
    0
)</f>
        <v>0</v>
      </c>
      <c r="BI18" s="106" t="n">
        <v>11</v>
      </c>
      <c r="BJ18" s="106" t="str">
        <f aca="false">IF(ISBLANK($C18),
    "",
   BF18+ROW($B18)/1000
)</f>
        <v/>
      </c>
      <c r="BK18" s="106" t="str">
        <f aca="false">IF(ISNUMBER(BJ18), RANK(BJ18,BJ$8:BJ$507,1), "")</f>
        <v/>
      </c>
      <c r="BL18" s="106" t="str">
        <f aca="false">IF(ISBLANK($C18),
    "",
    $B18
)</f>
        <v/>
      </c>
      <c r="BM18" s="106" t="str">
        <f aca="false">IF(ISBLANK($C18),
    "",
    $C18
)</f>
        <v/>
      </c>
      <c r="BN18" s="106" t="str">
        <f aca="false">IF(ISBLANK($C18),
    "",
    $D18
)</f>
        <v/>
      </c>
      <c r="BO18" s="107" t="str">
        <f aca="false">BC18</f>
        <v/>
      </c>
      <c r="BP18" s="108" t="str">
        <f aca="false">BB18</f>
        <v/>
      </c>
      <c r="BQ18" s="106" t="str">
        <f aca="false">IF(ISBLANK($C18),
    "",
    BE18
)</f>
        <v/>
      </c>
      <c r="BR18" s="109" t="str">
        <f aca="false">IF(BI18&gt;BH$7,
    "",
    VLOOKUP(BI18,BK$8:BQ517,7,FALSE())
)</f>
        <v/>
      </c>
      <c r="BS18" s="110" t="str">
        <f aca="false">IF(BI18&gt;BH$7,
    "",
    VLOOKUP(BI18,BK$8:BQ517,2,FALSE())
)</f>
        <v/>
      </c>
      <c r="BT18" s="110" t="str">
        <f aca="false">IF(BI18&gt;BH$7,
    "",
    VLOOKUP(BI18,BK$8:BQ517,3,FALSE())
)</f>
        <v/>
      </c>
      <c r="BU18" s="110" t="str">
        <f aca="false">IF(BI18&gt;BH$7,
    "",
    VLOOKUP(BI18,BK$8:BQ517,4,FALSE())
)</f>
        <v/>
      </c>
      <c r="BV18" s="110" t="str">
        <f aca="false">IF(BI18&gt;BH$7,
    "",
    VLOOKUP(BI18,BK$8:BQ517,5,FALSE())
)</f>
        <v/>
      </c>
      <c r="BW18" s="111" t="str">
        <f aca="false">IF(BI18&gt;BH$7,
    "",
    VLOOKUP(BI18,BK$8:BQ517,6,FALSE())
)</f>
        <v/>
      </c>
      <c r="BX18" s="50"/>
    </row>
    <row r="19" customFormat="false" ht="15.75" hidden="false" customHeight="false" outlineLevel="0" collapsed="false">
      <c r="A19" s="5"/>
      <c r="B19" s="122"/>
      <c r="C19" s="123"/>
      <c r="D19" s="112"/>
      <c r="E19" s="116"/>
      <c r="F19" s="116"/>
      <c r="G19" s="88"/>
      <c r="H19" s="89"/>
      <c r="I19" s="124"/>
      <c r="J19" s="124"/>
      <c r="K19" s="124"/>
      <c r="L19" s="91"/>
      <c r="M19" s="91"/>
      <c r="N19" s="91"/>
      <c r="O19" s="92"/>
      <c r="P19" s="93"/>
      <c r="Q19" s="125"/>
      <c r="R19" s="95"/>
      <c r="S19" s="96"/>
      <c r="T19" s="96" t="str">
        <f aca="false">IF(ISBLANK($C19),"",IF(G19=Constants!$B$2, TRUE(), IF(G19=Constants!$B$3, FALSE(), TRUE())))</f>
        <v/>
      </c>
      <c r="U19" s="96" t="str">
        <f aca="false">IF(ISBLANK($C19),"",IF(H19=Constants!$B$2, TRUE(), IF(H19=Constants!$B$3, FALSE(), TRUE())))</f>
        <v/>
      </c>
      <c r="V19" s="96" t="str">
        <f aca="false">IF(ISBLANK($C19),"",IF(I19=Constants!$B$2, TRUE(), IF(I19=Constants!$B$3, FALSE(), TRUE())))</f>
        <v/>
      </c>
      <c r="W19" s="96" t="str">
        <f aca="false">IF(ISBLANK($C19),"",IF(J19=Constants!$B$2, TRUE(), IF(J19=Constants!$B$3, FALSE(), TRUE())))</f>
        <v/>
      </c>
      <c r="X19" s="97" t="str">
        <f aca="false">IF(ISBLANK($C19),"",IF(K19=Constants!$B$2, TRUE(), IF(K19=Constants!$B$3, FALSE(), TRUE())))</f>
        <v/>
      </c>
      <c r="Y19" s="98" t="str">
        <f aca="false">IF(ISBLANK($C19),"",IF(ISNUMBER(L19), L19, ""))</f>
        <v/>
      </c>
      <c r="Z19" s="98" t="str">
        <f aca="false">IF(ISBLANK($C19),"",IF(ISNUMBER(M19), M19, ""))</f>
        <v/>
      </c>
      <c r="AA19" s="98" t="str">
        <f aca="false">IF(ISBLANK($C19),"",IF(ISNUMBER(N19), N19, ""))</f>
        <v/>
      </c>
      <c r="AB19" s="99" t="str">
        <f aca="false">IF(ISBLANK($C19),"",IF(ISNUMBER(O19), O19, ""))</f>
        <v/>
      </c>
      <c r="AC19" s="99" t="str">
        <f aca="false">IF(ISBLANK($C19),"",IF(ISNUMBER(P19), P19, Constants!$B$13))</f>
        <v/>
      </c>
      <c r="AD19" s="96" t="str">
        <f aca="false">IF(ISBLANK($C19),"",IF(Q19=Constants!$B$2, TRUE(), IF(Q19=Constants!$B$3, FALSE(), FALSE())))</f>
        <v/>
      </c>
      <c r="AE19" s="96" t="str">
        <f aca="false">IF(ISBLANK(C19), "", IF(AD19, Constants!$B$4,IF(COUNTA(G19:O19)=0, Constants!$B$5, Constants!$B$7)))</f>
        <v/>
      </c>
      <c r="AF19" s="96" t="str">
        <f aca="false">IF(ISBLANK($C19), "",IF($AE19=Constants!$B$7,1,$AE19))</f>
        <v/>
      </c>
      <c r="AG19" s="96" t="str">
        <f aca="false">IF($AE19=Constants!$B$7,IF(V19, 1, Constants!$B$11) * IF(X19, 1, Constants!$B$12),"")</f>
        <v/>
      </c>
      <c r="AH19" s="96" t="str">
        <f aca="false">IF(AND($AE19=Constants!$B$7, T19, U19) ,MAX(0, $AA19-$Y19),"")</f>
        <v/>
      </c>
      <c r="AI19" s="96" t="str">
        <f aca="false">IF(ISERROR(AH19),$AI$6,"")</f>
        <v/>
      </c>
      <c r="AJ19" s="96" t="str">
        <f aca="false">IF($AE19=Constants!$B$7,IF(AND(T19,U19,W19),IF($AH$6=0,Constants!$B$9,Constants!$B$9*AH19/$AH$6), 0),"")</f>
        <v/>
      </c>
      <c r="AK19" s="96" t="str">
        <f aca="false">IF(AJ19&lt;&gt;"", AJ19*AG19,"")</f>
        <v/>
      </c>
      <c r="AL19" s="96" t="str">
        <f aca="false">IF(AND($AE19=Constants!$B$7, T19, U19) ,IF($Z19="", "", MAX(0,1-ABS($AA19-$Z19)/$AA19)),"")</f>
        <v/>
      </c>
      <c r="AM19" s="96" t="str">
        <f aca="false">IF(AND(NOT(ISERROR(AH19)),ISERROR(AL19)),$AM$6,"")</f>
        <v/>
      </c>
      <c r="AN19" s="96" t="str">
        <f aca="false">IF($AE19=Constants!$B$7 ,IF(AND(T19,U19,W19,ISNUMBER(Z19)),IF($AL$6=0,Constants!$B$10,Constants!$B$10*AL19/$AL$6), 0),"")</f>
        <v/>
      </c>
      <c r="AO19" s="96" t="str">
        <f aca="false">IF(AN19&lt;&gt;"", AN19*AG19,"")</f>
        <v/>
      </c>
      <c r="AP19" s="96" t="str">
        <f aca="false">IF($AE19=Constants!$B$7,IF($AP$6=0,Constants!$B$8,Constants!$B$8*AB19/$AP$6),"")</f>
        <v/>
      </c>
      <c r="AQ19" s="96" t="str">
        <f aca="false">IF($AE19&lt;&gt;Constants!$B$7,$AE19,AK19+AO19+AP19)</f>
        <v/>
      </c>
      <c r="AR19" s="96" t="str">
        <f aca="false">IF(ISBLANK($C19),"",IF($AE19=Constants!$B$7,RANK(AQ19,$AQ$8:$AQ$507),$AE19))</f>
        <v/>
      </c>
      <c r="AS19" s="96" t="str">
        <f aca="false">IF(ISBLANK($C19), "",AK19)</f>
        <v/>
      </c>
      <c r="AT19" s="96" t="str">
        <f aca="false">IF(ISBLANK($C19),"",IF($AE19=Constants!$B$7,RANK(AS19,AS$8:AS$507),$AE19))</f>
        <v/>
      </c>
      <c r="AU19" s="96" t="str">
        <f aca="false">IF(ISBLANK($C19), "",AP19)</f>
        <v/>
      </c>
      <c r="AV19" s="96" t="str">
        <f aca="false">IF(ISBLANK($C19),"",IF($AE19=Constants!$B$7,RANK(AU19,AU$8:AU$507),$AE19))</f>
        <v/>
      </c>
      <c r="AW19" s="96" t="str">
        <f aca="false">IF(ISBLANK($C19), "",AC19)</f>
        <v/>
      </c>
      <c r="AX19" s="96" t="str">
        <f aca="false">IF(ISBLANK($C19),"",
IF($AE19=Constants!$B$7,
  COUNTIFS($AR$8:$AR$507,"&lt;"&amp;$AR19)
  + COUNTIFS($AR$8:$AR$507,$AR19,$AT$8:$AT$507,"&lt;"&amp;$AT19)
  + COUNTIFS($AR$8:$AR$507,$AR19,$AT$8:$AT$507,$AT19,$AV$8:$AV$507,"&lt;"&amp;$AV19)
  + COUNTIFS($AR$8:$AR$507,$AR19,$AT$8:$AT$507,$AT19,$AV$8:$AV$507,$AV19,$AW$8:$AW$507,"&lt;"&amp;$AW19)
  + 1,
$AE19))</f>
        <v/>
      </c>
      <c r="AY19" s="96" t="str">
        <f aca="false">IF(ISBLANK(C19),"",IF($AE19=Constants!$B$7, AR19-AX19,$AE19))</f>
        <v/>
      </c>
      <c r="AZ19" s="100"/>
      <c r="BA19" s="101" t="str">
        <f aca="false">IF(ISBLANK($C19),"",TRIM(AI19&amp;" "&amp;AM19))</f>
        <v/>
      </c>
      <c r="BB19" s="102" t="str">
        <f aca="false">IF(ISBLANK($C19),"",IF($AE19&lt;&gt;Constants!$B$7, $AE19 ,AQ19))</f>
        <v/>
      </c>
      <c r="BC19" s="103" t="str">
        <f aca="false">IF(ISBLANK($C19),"",IF($AE19&lt;&gt;Constants!$B$7, $AE19 ,AF19))</f>
        <v/>
      </c>
      <c r="BD19" s="104" t="str">
        <f aca="false">IF(ISBLANK(C19),"",AY19)</f>
        <v/>
      </c>
      <c r="BE19" s="104" t="str">
        <f aca="false">IF(ISBLANK(C19),"",AX19)</f>
        <v/>
      </c>
      <c r="BF19" s="105" t="str">
        <f aca="false">IF(ISBLANK(C19),"",IFERROR(_xlfn.SWITCH(BE19, Constants!$B$4, COUNTA($C$8:$C518)+2, Constants!$B$5, COUNTA($C$8:$C518)+1, Constants!$B$6, COUNTA($C$8:$C518)),BE19))</f>
        <v/>
      </c>
      <c r="BG19" s="5"/>
      <c r="BH19" s="106" t="n">
        <f aca="false">IF(OR(ISNUMBER(BE19),BE19="DQ",BE19="P",BE19="NS"),
    1,
    0
)</f>
        <v>0</v>
      </c>
      <c r="BI19" s="106" t="n">
        <v>12</v>
      </c>
      <c r="BJ19" s="106" t="str">
        <f aca="false">IF(ISBLANK($C19),
    "",
   BF19+ROW($B19)/1000
)</f>
        <v/>
      </c>
      <c r="BK19" s="106" t="str">
        <f aca="false">IF(ISNUMBER(BJ19), RANK(BJ19,BJ$8:BJ$507,1), "")</f>
        <v/>
      </c>
      <c r="BL19" s="106" t="str">
        <f aca="false">IF(ISBLANK($C19),
    "",
    $B19
)</f>
        <v/>
      </c>
      <c r="BM19" s="106" t="str">
        <f aca="false">IF(ISBLANK($C19),
    "",
    $C19
)</f>
        <v/>
      </c>
      <c r="BN19" s="106" t="str">
        <f aca="false">IF(ISBLANK($C19),
    "",
    $D19
)</f>
        <v/>
      </c>
      <c r="BO19" s="107" t="str">
        <f aca="false">BC19</f>
        <v/>
      </c>
      <c r="BP19" s="108" t="str">
        <f aca="false">BB19</f>
        <v/>
      </c>
      <c r="BQ19" s="106" t="str">
        <f aca="false">IF(ISBLANK($C19),
    "",
    BE19
)</f>
        <v/>
      </c>
      <c r="BR19" s="109" t="str">
        <f aca="false">IF(BI19&gt;BH$7,
    "",
    VLOOKUP(BI19,BK$8:BQ518,7,FALSE())
)</f>
        <v/>
      </c>
      <c r="BS19" s="110" t="str">
        <f aca="false">IF(BI19&gt;BH$7,
    "",
    VLOOKUP(BI19,BK$8:BQ518,2,FALSE())
)</f>
        <v/>
      </c>
      <c r="BT19" s="110" t="str">
        <f aca="false">IF(BI19&gt;BH$7,
    "",
    VLOOKUP(BI19,BK$8:BQ518,3,FALSE())
)</f>
        <v/>
      </c>
      <c r="BU19" s="110" t="str">
        <f aca="false">IF(BI19&gt;BH$7,
    "",
    VLOOKUP(BI19,BK$8:BQ518,4,FALSE())
)</f>
        <v/>
      </c>
      <c r="BV19" s="110" t="str">
        <f aca="false">IF(BI19&gt;BH$7,
    "",
    VLOOKUP(BI19,BK$8:BQ518,5,FALSE())
)</f>
        <v/>
      </c>
      <c r="BW19" s="111" t="str">
        <f aca="false">IF(BI19&gt;BH$7,
    "",
    VLOOKUP(BI19,BK$8:BQ518,6,FALSE())
)</f>
        <v/>
      </c>
      <c r="BX19" s="50"/>
    </row>
    <row r="20" customFormat="false" ht="15.75" hidden="false" customHeight="false" outlineLevel="0" collapsed="false">
      <c r="A20" s="5"/>
      <c r="B20" s="126"/>
      <c r="C20" s="52"/>
      <c r="D20" s="53"/>
      <c r="E20" s="120"/>
      <c r="F20" s="120"/>
      <c r="G20" s="55"/>
      <c r="H20" s="56"/>
      <c r="I20" s="121"/>
      <c r="J20" s="121"/>
      <c r="K20" s="121"/>
      <c r="L20" s="58"/>
      <c r="M20" s="58"/>
      <c r="N20" s="58"/>
      <c r="O20" s="59"/>
      <c r="P20" s="60"/>
      <c r="Q20" s="80"/>
      <c r="R20" s="62"/>
      <c r="S20" s="63"/>
      <c r="T20" s="63" t="str">
        <f aca="false">IF(ISBLANK($C20),"",IF(G20=Constants!$B$2, TRUE(), IF(G20=Constants!$B$3, FALSE(), TRUE())))</f>
        <v/>
      </c>
      <c r="U20" s="63" t="str">
        <f aca="false">IF(ISBLANK($C20),"",IF(H20=Constants!$B$2, TRUE(), IF(H20=Constants!$B$3, FALSE(), TRUE())))</f>
        <v/>
      </c>
      <c r="V20" s="63" t="str">
        <f aca="false">IF(ISBLANK($C20),"",IF(I20=Constants!$B$2, TRUE(), IF(I20=Constants!$B$3, FALSE(), TRUE())))</f>
        <v/>
      </c>
      <c r="W20" s="63" t="str">
        <f aca="false">IF(ISBLANK($C20),"",IF(J20=Constants!$B$2, TRUE(), IF(J20=Constants!$B$3, FALSE(), TRUE())))</f>
        <v/>
      </c>
      <c r="X20" s="63" t="str">
        <f aca="false">IF(ISBLANK($C20),"",IF(K20=Constants!$B$2, TRUE(), IF(K20=Constants!$B$3, FALSE(), TRUE())))</f>
        <v/>
      </c>
      <c r="Y20" s="65" t="str">
        <f aca="false">IF(ISBLANK($C20),"",IF(ISNUMBER(L20), L20, ""))</f>
        <v/>
      </c>
      <c r="Z20" s="65" t="str">
        <f aca="false">IF(ISBLANK($C20),"",IF(ISNUMBER(M20), M20, ""))</f>
        <v/>
      </c>
      <c r="AA20" s="65" t="str">
        <f aca="false">IF(ISBLANK($C20),"",IF(ISNUMBER(N20), N20, ""))</f>
        <v/>
      </c>
      <c r="AB20" s="66" t="str">
        <f aca="false">IF(ISBLANK($C20),"",IF(ISNUMBER(O20), O20, ""))</f>
        <v/>
      </c>
      <c r="AC20" s="66" t="str">
        <f aca="false">IF(ISBLANK($C20),"",IF(ISNUMBER(P20), P20, Constants!$B$13))</f>
        <v/>
      </c>
      <c r="AD20" s="63" t="str">
        <f aca="false">IF(ISBLANK($C20),"",IF(Q20=Constants!$B$2, TRUE(), IF(Q20=Constants!$B$3, FALSE(), FALSE())))</f>
        <v/>
      </c>
      <c r="AE20" s="63" t="str">
        <f aca="false">IF(ISBLANK(C20), "", IF(AD20, Constants!$B$4,IF(COUNTA(G20:O20)=0, Constants!$B$5, Constants!$B$7)))</f>
        <v/>
      </c>
      <c r="AF20" s="63" t="str">
        <f aca="false">IF(ISBLANK($C20), "",IF($AE20=Constants!$B$7,1,$AE20))</f>
        <v/>
      </c>
      <c r="AG20" s="63" t="str">
        <f aca="false">IF($AE20=Constants!$B$7,IF(V20, 1, Constants!$B$11) * IF(X20, 1, Constants!$B$12),"")</f>
        <v/>
      </c>
      <c r="AH20" s="63" t="str">
        <f aca="false">IF(AND($AE20=Constants!$B$7, T20, U20) ,MAX(0, $AA20-$Y20),"")</f>
        <v/>
      </c>
      <c r="AI20" s="63" t="str">
        <f aca="false">IF(ISERROR(AH20),$AI$6,"")</f>
        <v/>
      </c>
      <c r="AJ20" s="63" t="str">
        <f aca="false">IF($AE20=Constants!$B$7,IF(AND(T20,U20,W20),IF($AH$6=0,Constants!$B$9,Constants!$B$9*AH20/$AH$6), 0),"")</f>
        <v/>
      </c>
      <c r="AK20" s="63" t="str">
        <f aca="false">IF(AJ20&lt;&gt;"", AJ20*AG20,"")</f>
        <v/>
      </c>
      <c r="AL20" s="63" t="str">
        <f aca="false">IF(AND($AE20=Constants!$B$7, T20, U20) ,IF($Z20="", "", MAX(0,1-ABS($AA20-$Z20)/$AA20)),"")</f>
        <v/>
      </c>
      <c r="AM20" s="63" t="str">
        <f aca="false">IF(AND(NOT(ISERROR(AH20)),ISERROR(AL20)),$AM$6,"")</f>
        <v/>
      </c>
      <c r="AN20" s="63" t="str">
        <f aca="false">IF($AE20=Constants!$B$7 ,IF(AND(T20,U20,W20,ISNUMBER(Z20)),IF($AL$6=0,Constants!$B$10,Constants!$B$10*AL20/$AL$6), 0),"")</f>
        <v/>
      </c>
      <c r="AO20" s="63" t="str">
        <f aca="false">IF(AN20&lt;&gt;"", AN20*AG20,"")</f>
        <v/>
      </c>
      <c r="AP20" s="63" t="str">
        <f aca="false">IF($AE20=Constants!$B$7,IF($AP$6=0,Constants!$B$8,Constants!$B$8*AB20/$AP$6),"")</f>
        <v/>
      </c>
      <c r="AQ20" s="63" t="str">
        <f aca="false">IF($AE20&lt;&gt;Constants!$B$7,$AE20,AK20+AO20+AP20)</f>
        <v/>
      </c>
      <c r="AR20" s="63" t="str">
        <f aca="false">IF(ISBLANK($C20),"",IF($AE20=Constants!$B$7,RANK(AQ20,$AQ$8:$AQ$507),$AE20))</f>
        <v/>
      </c>
      <c r="AS20" s="63" t="str">
        <f aca="false">IF(ISBLANK($C20), "",AK20)</f>
        <v/>
      </c>
      <c r="AT20" s="63" t="str">
        <f aca="false">IF(ISBLANK($C20),"",IF($AE20=Constants!$B$7,RANK(AS20,AS$8:AS$507),$AE20))</f>
        <v/>
      </c>
      <c r="AU20" s="63" t="str">
        <f aca="false">IF(ISBLANK($C20), "",AP20)</f>
        <v/>
      </c>
      <c r="AV20" s="63" t="str">
        <f aca="false">IF(ISBLANK($C20),"",IF($AE20=Constants!$B$7,RANK(AU20,AU$8:AU$507),$AE20))</f>
        <v/>
      </c>
      <c r="AW20" s="63" t="str">
        <f aca="false">IF(ISBLANK($C20), "",AC20)</f>
        <v/>
      </c>
      <c r="AX20" s="63" t="str">
        <f aca="false">IF(ISBLANK($C20),"",
IF($AE20=Constants!$B$7,
  COUNTIFS($AR$8:$AR$507,"&lt;"&amp;$AR20)
  + COUNTIFS($AR$8:$AR$507,$AR20,$AT$8:$AT$507,"&lt;"&amp;$AT20)
  + COUNTIFS($AR$8:$AR$507,$AR20,$AT$8:$AT$507,$AT20,$AV$8:$AV$507,"&lt;"&amp;$AV20)
  + COUNTIFS($AR$8:$AR$507,$AR20,$AT$8:$AT$507,$AT20,$AV$8:$AV$507,$AV20,$AW$8:$AW$507,"&lt;"&amp;$AW20)
  + 1,
$AE20))</f>
        <v/>
      </c>
      <c r="AY20" s="63" t="str">
        <f aca="false">IF(ISBLANK(C20),"",IF($AE20=Constants!$B$7, AR20-AX20,$AE20))</f>
        <v/>
      </c>
      <c r="AZ20" s="67"/>
      <c r="BA20" s="81" t="str">
        <f aca="false">IF(ISBLANK($C20),"",TRIM(AI20&amp;" "&amp;AM20))</f>
        <v/>
      </c>
      <c r="BB20" s="69" t="str">
        <f aca="false">IF(ISBLANK($C20),"",IF($AE20&lt;&gt;Constants!$B$7, $AE20 ,AQ20))</f>
        <v/>
      </c>
      <c r="BC20" s="70" t="str">
        <f aca="false">IF(ISBLANK($C20),"",IF($AE20&lt;&gt;Constants!$B$7, $AE20 ,AF20))</f>
        <v/>
      </c>
      <c r="BD20" s="71" t="str">
        <f aca="false">IF(ISBLANK(C20),"",AY20)</f>
        <v/>
      </c>
      <c r="BE20" s="71" t="str">
        <f aca="false">IF(ISBLANK(C20),"",AX20)</f>
        <v/>
      </c>
      <c r="BF20" s="72" t="str">
        <f aca="false">IF(ISBLANK(C20),"",IFERROR(_xlfn.SWITCH(BE20, Constants!$B$4, COUNTA($C$8:$C519)+2, Constants!$B$5, COUNTA($C$8:$C519)+1, Constants!$B$6, COUNTA($C$8:$C519)),BE20))</f>
        <v/>
      </c>
      <c r="BG20" s="5"/>
      <c r="BH20" s="73" t="n">
        <f aca="false">IF(OR(ISNUMBER(BE20),BE20="DQ",BE20="P",BE20="NS"),
    1,
    0
)</f>
        <v>0</v>
      </c>
      <c r="BI20" s="73" t="n">
        <v>13</v>
      </c>
      <c r="BJ20" s="73" t="str">
        <f aca="false">IF(ISBLANK($C20),
    "",
   BF20+ROW($B20)/1000
)</f>
        <v/>
      </c>
      <c r="BK20" s="73" t="str">
        <f aca="false">IF(ISNUMBER(BJ20), RANK(BJ20,BJ$8:BJ$507,1), "")</f>
        <v/>
      </c>
      <c r="BL20" s="73" t="str">
        <f aca="false">IF(ISBLANK($C20),
    "",
    $B20
)</f>
        <v/>
      </c>
      <c r="BM20" s="73" t="str">
        <f aca="false">IF(ISBLANK($C20),
    "",
    $C20
)</f>
        <v/>
      </c>
      <c r="BN20" s="73" t="str">
        <f aca="false">IF(ISBLANK($C20),
    "",
    $D20
)</f>
        <v/>
      </c>
      <c r="BO20" s="74" t="str">
        <f aca="false">BC20</f>
        <v/>
      </c>
      <c r="BP20" s="75" t="str">
        <f aca="false">BB20</f>
        <v/>
      </c>
      <c r="BQ20" s="73" t="str">
        <f aca="false">IF(ISBLANK($C20),
    "",
    BE20
)</f>
        <v/>
      </c>
      <c r="BR20" s="76" t="str">
        <f aca="false">IF(BI20&gt;BH$7,
    "",
    VLOOKUP(BI20,BK$8:BQ519,7,FALSE())
)</f>
        <v/>
      </c>
      <c r="BS20" s="77" t="str">
        <f aca="false">IF(BI20&gt;BH$7,
    "",
    VLOOKUP(BI20,BK$8:BQ519,2,FALSE())
)</f>
        <v/>
      </c>
      <c r="BT20" s="77" t="str">
        <f aca="false">IF(BI20&gt;BH$7,
    "",
    VLOOKUP(BI20,BK$8:BQ519,3,FALSE())
)</f>
        <v/>
      </c>
      <c r="BU20" s="77" t="str">
        <f aca="false">IF(BI20&gt;BH$7,
    "",
    VLOOKUP(BI20,BK$8:BQ519,4,FALSE())
)</f>
        <v/>
      </c>
      <c r="BV20" s="77" t="str">
        <f aca="false">IF(BI20&gt;BH$7,
    "",
    VLOOKUP(BI20,BK$8:BQ519,5,FALSE())
)</f>
        <v/>
      </c>
      <c r="BW20" s="78" t="str">
        <f aca="false">IF(BI20&gt;BH$7,
    "",
    VLOOKUP(BI20,BK$8:BQ519,6,FALSE())
)</f>
        <v/>
      </c>
      <c r="BX20" s="50"/>
    </row>
    <row r="21" customFormat="false" ht="15.75" hidden="false" customHeight="false" outlineLevel="0" collapsed="false">
      <c r="A21" s="5"/>
      <c r="B21" s="126"/>
      <c r="C21" s="52"/>
      <c r="D21" s="53"/>
      <c r="E21" s="120"/>
      <c r="F21" s="120"/>
      <c r="G21" s="55"/>
      <c r="H21" s="56"/>
      <c r="I21" s="121"/>
      <c r="J21" s="121"/>
      <c r="K21" s="121"/>
      <c r="L21" s="58"/>
      <c r="M21" s="58"/>
      <c r="N21" s="58"/>
      <c r="O21" s="59"/>
      <c r="P21" s="60"/>
      <c r="Q21" s="80"/>
      <c r="R21" s="62"/>
      <c r="S21" s="63"/>
      <c r="T21" s="63" t="str">
        <f aca="false">IF(ISBLANK($C21),"",IF(G21=Constants!$B$2, TRUE(), IF(G21=Constants!$B$3, FALSE(), TRUE())))</f>
        <v/>
      </c>
      <c r="U21" s="63" t="str">
        <f aca="false">IF(ISBLANK($C21),"",IF(H21=Constants!$B$2, TRUE(), IF(H21=Constants!$B$3, FALSE(), TRUE())))</f>
        <v/>
      </c>
      <c r="V21" s="63" t="str">
        <f aca="false">IF(ISBLANK($C21),"",IF(I21=Constants!$B$2, TRUE(), IF(I21=Constants!$B$3, FALSE(), TRUE())))</f>
        <v/>
      </c>
      <c r="W21" s="63" t="str">
        <f aca="false">IF(ISBLANK($C21),"",IF(J21=Constants!$B$2, TRUE(), IF(J21=Constants!$B$3, FALSE(), TRUE())))</f>
        <v/>
      </c>
      <c r="X21" s="63" t="str">
        <f aca="false">IF(ISBLANK($C21),"",IF(K21=Constants!$B$2, TRUE(), IF(K21=Constants!$B$3, FALSE(), TRUE())))</f>
        <v/>
      </c>
      <c r="Y21" s="65" t="str">
        <f aca="false">IF(ISBLANK($C21),"",IF(ISNUMBER(L21), L21, ""))</f>
        <v/>
      </c>
      <c r="Z21" s="65" t="str">
        <f aca="false">IF(ISBLANK($C21),"",IF(ISNUMBER(M21), M21, ""))</f>
        <v/>
      </c>
      <c r="AA21" s="65" t="str">
        <f aca="false">IF(ISBLANK($C21),"",IF(ISNUMBER(N21), N21, ""))</f>
        <v/>
      </c>
      <c r="AB21" s="66" t="str">
        <f aca="false">IF(ISBLANK($C21),"",IF(ISNUMBER(O21), O21, ""))</f>
        <v/>
      </c>
      <c r="AC21" s="66" t="str">
        <f aca="false">IF(ISBLANK($C21),"",IF(ISNUMBER(P21), P21, Constants!$B$13))</f>
        <v/>
      </c>
      <c r="AD21" s="63" t="str">
        <f aca="false">IF(ISBLANK($C21),"",IF(Q21=Constants!$B$2, TRUE(), IF(Q21=Constants!$B$3, FALSE(), FALSE())))</f>
        <v/>
      </c>
      <c r="AE21" s="63" t="str">
        <f aca="false">IF(ISBLANK(C21), "", IF(AD21, Constants!$B$4,IF(COUNTA(G21:O21)=0, Constants!$B$5, Constants!$B$7)))</f>
        <v/>
      </c>
      <c r="AF21" s="63" t="str">
        <f aca="false">IF(ISBLANK($C21), "",IF($AE21=Constants!$B$7,1,$AE21))</f>
        <v/>
      </c>
      <c r="AG21" s="63" t="str">
        <f aca="false">IF($AE21=Constants!$B$7,IF(V21, 1, Constants!$B$11) * IF(X21, 1, Constants!$B$12),"")</f>
        <v/>
      </c>
      <c r="AH21" s="63" t="str">
        <f aca="false">IF(AND($AE21=Constants!$B$7, T21, U21) ,MAX(0, $AA21-$Y21),"")</f>
        <v/>
      </c>
      <c r="AI21" s="63" t="str">
        <f aca="false">IF(ISERROR(AH21),$AI$6,"")</f>
        <v/>
      </c>
      <c r="AJ21" s="63" t="str">
        <f aca="false">IF($AE21=Constants!$B$7,IF(AND(T21,U21,W21),IF($AH$6=0,Constants!$B$9,Constants!$B$9*AH21/$AH$6), 0),"")</f>
        <v/>
      </c>
      <c r="AK21" s="63" t="str">
        <f aca="false">IF(AJ21&lt;&gt;"", AJ21*AG21,"")</f>
        <v/>
      </c>
      <c r="AL21" s="63" t="str">
        <f aca="false">IF(AND($AE21=Constants!$B$7, T21, U21) ,IF($Z21="", "", MAX(0,1-ABS($AA21-$Z21)/$AA21)),"")</f>
        <v/>
      </c>
      <c r="AM21" s="63" t="str">
        <f aca="false">IF(AND(NOT(ISERROR(AH21)),ISERROR(AL21)),$AM$6,"")</f>
        <v/>
      </c>
      <c r="AN21" s="63" t="str">
        <f aca="false">IF($AE21=Constants!$B$7 ,IF(AND(T21,U21,W21,ISNUMBER(Z21)),IF($AL$6=0,Constants!$B$10,Constants!$B$10*AL21/$AL$6), 0),"")</f>
        <v/>
      </c>
      <c r="AO21" s="63" t="str">
        <f aca="false">IF(AN21&lt;&gt;"", AN21*AG21,"")</f>
        <v/>
      </c>
      <c r="AP21" s="63" t="str">
        <f aca="false">IF($AE21=Constants!$B$7,IF($AP$6=0,Constants!$B$8,Constants!$B$8*AB21/$AP$6),"")</f>
        <v/>
      </c>
      <c r="AQ21" s="63" t="str">
        <f aca="false">IF($AE21&lt;&gt;Constants!$B$7,$AE21,AK21+AO21+AP21)</f>
        <v/>
      </c>
      <c r="AR21" s="63" t="str">
        <f aca="false">IF(ISBLANK($C21),"",IF($AE21=Constants!$B$7,RANK(AQ21,$AQ$8:$AQ$507),$AE21))</f>
        <v/>
      </c>
      <c r="AS21" s="63" t="str">
        <f aca="false">IF(ISBLANK($C21), "",AK21)</f>
        <v/>
      </c>
      <c r="AT21" s="63" t="str">
        <f aca="false">IF(ISBLANK($C21),"",IF($AE21=Constants!$B$7,RANK(AS21,AS$8:AS$507),$AE21))</f>
        <v/>
      </c>
      <c r="AU21" s="63" t="str">
        <f aca="false">IF(ISBLANK($C21), "",AP21)</f>
        <v/>
      </c>
      <c r="AV21" s="63" t="str">
        <f aca="false">IF(ISBLANK($C21),"",IF($AE21=Constants!$B$7,RANK(AU21,AU$8:AU$507),$AE21))</f>
        <v/>
      </c>
      <c r="AW21" s="63" t="str">
        <f aca="false">IF(ISBLANK($C21), "",AC21)</f>
        <v/>
      </c>
      <c r="AX21" s="63" t="str">
        <f aca="false">IF(ISBLANK($C21),"",
IF($AE21=Constants!$B$7,
  COUNTIFS($AR$8:$AR$507,"&lt;"&amp;$AR21)
  + COUNTIFS($AR$8:$AR$507,$AR21,$AT$8:$AT$507,"&lt;"&amp;$AT21)
  + COUNTIFS($AR$8:$AR$507,$AR21,$AT$8:$AT$507,$AT21,$AV$8:$AV$507,"&lt;"&amp;$AV21)
  + COUNTIFS($AR$8:$AR$507,$AR21,$AT$8:$AT$507,$AT21,$AV$8:$AV$507,$AV21,$AW$8:$AW$507,"&lt;"&amp;$AW21)
  + 1,
$AE21))</f>
        <v/>
      </c>
      <c r="AY21" s="63" t="str">
        <f aca="false">IF(ISBLANK(C21),"",IF($AE21=Constants!$B$7, AR21-AX21,$AE21))</f>
        <v/>
      </c>
      <c r="AZ21" s="67"/>
      <c r="BA21" s="81" t="str">
        <f aca="false">IF(ISBLANK($C21),"",TRIM(AI21&amp;" "&amp;AM21))</f>
        <v/>
      </c>
      <c r="BB21" s="69" t="str">
        <f aca="false">IF(ISBLANK($C21),"",IF($AE21&lt;&gt;Constants!$B$7, $AE21 ,AQ21))</f>
        <v/>
      </c>
      <c r="BC21" s="70" t="str">
        <f aca="false">IF(ISBLANK($C21),"",IF($AE21&lt;&gt;Constants!$B$7, $AE21 ,AF21))</f>
        <v/>
      </c>
      <c r="BD21" s="71" t="str">
        <f aca="false">IF(ISBLANK(C21),"",AY21)</f>
        <v/>
      </c>
      <c r="BE21" s="71" t="str">
        <f aca="false">IF(ISBLANK(C21),"",AX21)</f>
        <v/>
      </c>
      <c r="BF21" s="72" t="str">
        <f aca="false">IF(ISBLANK(C21),"",IFERROR(_xlfn.SWITCH(BE21, Constants!$B$4, COUNTA($C$8:$C520)+2, Constants!$B$5, COUNTA($C$8:$C520)+1, Constants!$B$6, COUNTA($C$8:$C520)),BE21))</f>
        <v/>
      </c>
      <c r="BG21" s="5"/>
      <c r="BH21" s="73" t="n">
        <f aca="false">IF(OR(ISNUMBER(BE21),BE21="DQ",BE21="P",BE21="NS"),
    1,
    0
)</f>
        <v>0</v>
      </c>
      <c r="BI21" s="73" t="n">
        <v>14</v>
      </c>
      <c r="BJ21" s="73" t="str">
        <f aca="false">IF(ISBLANK($C21),
    "",
   BF21+ROW($B21)/1000
)</f>
        <v/>
      </c>
      <c r="BK21" s="73" t="str">
        <f aca="false">IF(ISNUMBER(BJ21), RANK(BJ21,BJ$8:BJ$507,1), "")</f>
        <v/>
      </c>
      <c r="BL21" s="73" t="str">
        <f aca="false">IF(ISBLANK($C21),
    "",
    $B21
)</f>
        <v/>
      </c>
      <c r="BM21" s="73" t="str">
        <f aca="false">IF(ISBLANK($C21),
    "",
    $C21
)</f>
        <v/>
      </c>
      <c r="BN21" s="73" t="str">
        <f aca="false">IF(ISBLANK($C21),
    "",
    $D21
)</f>
        <v/>
      </c>
      <c r="BO21" s="74" t="str">
        <f aca="false">BC21</f>
        <v/>
      </c>
      <c r="BP21" s="75" t="str">
        <f aca="false">BB21</f>
        <v/>
      </c>
      <c r="BQ21" s="73" t="str">
        <f aca="false">IF(ISBLANK($C21),
    "",
    BE21
)</f>
        <v/>
      </c>
      <c r="BR21" s="76" t="str">
        <f aca="false">IF(BI21&gt;BH$7,
    "",
    VLOOKUP(BI21,BK$8:BQ520,7,FALSE())
)</f>
        <v/>
      </c>
      <c r="BS21" s="77" t="str">
        <f aca="false">IF(BI21&gt;BH$7,
    "",
    VLOOKUP(BI21,BK$8:BQ520,2,FALSE())
)</f>
        <v/>
      </c>
      <c r="BT21" s="77" t="str">
        <f aca="false">IF(BI21&gt;BH$7,
    "",
    VLOOKUP(BI21,BK$8:BQ520,3,FALSE())
)</f>
        <v/>
      </c>
      <c r="BU21" s="77" t="str">
        <f aca="false">IF(BI21&gt;BH$7,
    "",
    VLOOKUP(BI21,BK$8:BQ520,4,FALSE())
)</f>
        <v/>
      </c>
      <c r="BV21" s="77" t="str">
        <f aca="false">IF(BI21&gt;BH$7,
    "",
    VLOOKUP(BI21,BK$8:BQ520,5,FALSE())
)</f>
        <v/>
      </c>
      <c r="BW21" s="78" t="str">
        <f aca="false">IF(BI21&gt;BH$7,
    "",
    VLOOKUP(BI21,BK$8:BQ520,6,FALSE())
)</f>
        <v/>
      </c>
      <c r="BX21" s="50"/>
    </row>
    <row r="22" customFormat="false" ht="15.75" hidden="false" customHeight="false" outlineLevel="0" collapsed="false">
      <c r="A22" s="5"/>
      <c r="B22" s="126"/>
      <c r="C22" s="52"/>
      <c r="D22" s="53"/>
      <c r="E22" s="120"/>
      <c r="F22" s="120"/>
      <c r="G22" s="55"/>
      <c r="H22" s="56"/>
      <c r="I22" s="121"/>
      <c r="J22" s="121"/>
      <c r="K22" s="121"/>
      <c r="L22" s="58"/>
      <c r="M22" s="58"/>
      <c r="N22" s="58"/>
      <c r="O22" s="59"/>
      <c r="P22" s="60"/>
      <c r="Q22" s="80"/>
      <c r="R22" s="62"/>
      <c r="S22" s="63"/>
      <c r="T22" s="63" t="str">
        <f aca="false">IF(ISBLANK($C22),"",IF(G22=Constants!$B$2, TRUE(), IF(G22=Constants!$B$3, FALSE(), TRUE())))</f>
        <v/>
      </c>
      <c r="U22" s="63" t="str">
        <f aca="false">IF(ISBLANK($C22),"",IF(H22=Constants!$B$2, TRUE(), IF(H22=Constants!$B$3, FALSE(), TRUE())))</f>
        <v/>
      </c>
      <c r="V22" s="63" t="str">
        <f aca="false">IF(ISBLANK($C22),"",IF(I22=Constants!$B$2, TRUE(), IF(I22=Constants!$B$3, FALSE(), TRUE())))</f>
        <v/>
      </c>
      <c r="W22" s="63" t="str">
        <f aca="false">IF(ISBLANK($C22),"",IF(J22=Constants!$B$2, TRUE(), IF(J22=Constants!$B$3, FALSE(), TRUE())))</f>
        <v/>
      </c>
      <c r="X22" s="63" t="str">
        <f aca="false">IF(ISBLANK($C22),"",IF(K22=Constants!$B$2, TRUE(), IF(K22=Constants!$B$3, FALSE(), TRUE())))</f>
        <v/>
      </c>
      <c r="Y22" s="65" t="str">
        <f aca="false">IF(ISBLANK($C22),"",IF(ISNUMBER(L22), L22, ""))</f>
        <v/>
      </c>
      <c r="Z22" s="65" t="str">
        <f aca="false">IF(ISBLANK($C22),"",IF(ISNUMBER(M22), M22, ""))</f>
        <v/>
      </c>
      <c r="AA22" s="65" t="str">
        <f aca="false">IF(ISBLANK($C22),"",IF(ISNUMBER(N22), N22, ""))</f>
        <v/>
      </c>
      <c r="AB22" s="66" t="str">
        <f aca="false">IF(ISBLANK($C22),"",IF(ISNUMBER(O22), O22, ""))</f>
        <v/>
      </c>
      <c r="AC22" s="66" t="str">
        <f aca="false">IF(ISBLANK($C22),"",IF(ISNUMBER(P22), P22, Constants!$B$13))</f>
        <v/>
      </c>
      <c r="AD22" s="63" t="str">
        <f aca="false">IF(ISBLANK($C22),"",IF(Q22=Constants!$B$2, TRUE(), IF(Q22=Constants!$B$3, FALSE(), FALSE())))</f>
        <v/>
      </c>
      <c r="AE22" s="63" t="str">
        <f aca="false">IF(ISBLANK(C22), "", IF(AD22, Constants!$B$4,IF(COUNTA(G22:O22)=0, Constants!$B$5, Constants!$B$7)))</f>
        <v/>
      </c>
      <c r="AF22" s="63" t="str">
        <f aca="false">IF(ISBLANK($C22), "",IF($AE22=Constants!$B$7,1,$AE22))</f>
        <v/>
      </c>
      <c r="AG22" s="63" t="str">
        <f aca="false">IF($AE22=Constants!$B$7,IF(V22, 1, Constants!$B$11) * IF(X22, 1, Constants!$B$12),"")</f>
        <v/>
      </c>
      <c r="AH22" s="63" t="str">
        <f aca="false">IF(AND($AE22=Constants!$B$7, T22, U22) ,MAX(0, $AA22-$Y22),"")</f>
        <v/>
      </c>
      <c r="AI22" s="63" t="str">
        <f aca="false">IF(ISERROR(AH22),$AI$6,"")</f>
        <v/>
      </c>
      <c r="AJ22" s="63" t="str">
        <f aca="false">IF($AE22=Constants!$B$7,IF(AND(T22,U22,W22),IF($AH$6=0,Constants!$B$9,Constants!$B$9*AH22/$AH$6), 0),"")</f>
        <v/>
      </c>
      <c r="AK22" s="63" t="str">
        <f aca="false">IF(AJ22&lt;&gt;"", AJ22*AG22,"")</f>
        <v/>
      </c>
      <c r="AL22" s="63" t="str">
        <f aca="false">IF(AND($AE22=Constants!$B$7, T22, U22) ,IF($Z22="", "", MAX(0,1-ABS($AA22-$Z22)/$AA22)),"")</f>
        <v/>
      </c>
      <c r="AM22" s="63" t="str">
        <f aca="false">IF(AND(NOT(ISERROR(AH22)),ISERROR(AL22)),$AM$6,"")</f>
        <v/>
      </c>
      <c r="AN22" s="63" t="str">
        <f aca="false">IF($AE22=Constants!$B$7 ,IF(AND(T22,U22,W22,ISNUMBER(Z22)),IF($AL$6=0,Constants!$B$10,Constants!$B$10*AL22/$AL$6), 0),"")</f>
        <v/>
      </c>
      <c r="AO22" s="63" t="str">
        <f aca="false">IF(AN22&lt;&gt;"", AN22*AG22,"")</f>
        <v/>
      </c>
      <c r="AP22" s="63" t="str">
        <f aca="false">IF($AE22=Constants!$B$7,IF($AP$6=0,Constants!$B$8,Constants!$B$8*AB22/$AP$6),"")</f>
        <v/>
      </c>
      <c r="AQ22" s="63" t="str">
        <f aca="false">IF($AE22&lt;&gt;Constants!$B$7,$AE22,AK22+AO22+AP22)</f>
        <v/>
      </c>
      <c r="AR22" s="63" t="str">
        <f aca="false">IF(ISBLANK($C22),"",IF($AE22=Constants!$B$7,RANK(AQ22,$AQ$8:$AQ$507),$AE22))</f>
        <v/>
      </c>
      <c r="AS22" s="63" t="str">
        <f aca="false">IF(ISBLANK($C22), "",AK22)</f>
        <v/>
      </c>
      <c r="AT22" s="63" t="str">
        <f aca="false">IF(ISBLANK($C22),"",IF($AE22=Constants!$B$7,RANK(AS22,AS$8:AS$507),$AE22))</f>
        <v/>
      </c>
      <c r="AU22" s="63" t="str">
        <f aca="false">IF(ISBLANK($C22), "",AP22)</f>
        <v/>
      </c>
      <c r="AV22" s="63" t="str">
        <f aca="false">IF(ISBLANK($C22),"",IF($AE22=Constants!$B$7,RANK(AU22,AU$8:AU$507),$AE22))</f>
        <v/>
      </c>
      <c r="AW22" s="63" t="str">
        <f aca="false">IF(ISBLANK($C22), "",AC22)</f>
        <v/>
      </c>
      <c r="AX22" s="63" t="str">
        <f aca="false">IF(ISBLANK($C22),"",
IF($AE22=Constants!$B$7,
  COUNTIFS($AR$8:$AR$507,"&lt;"&amp;$AR22)
  + COUNTIFS($AR$8:$AR$507,$AR22,$AT$8:$AT$507,"&lt;"&amp;$AT22)
  + COUNTIFS($AR$8:$AR$507,$AR22,$AT$8:$AT$507,$AT22,$AV$8:$AV$507,"&lt;"&amp;$AV22)
  + COUNTIFS($AR$8:$AR$507,$AR22,$AT$8:$AT$507,$AT22,$AV$8:$AV$507,$AV22,$AW$8:$AW$507,"&lt;"&amp;$AW22)
  + 1,
$AE22))</f>
        <v/>
      </c>
      <c r="AY22" s="63" t="str">
        <f aca="false">IF(ISBLANK(C22),"",IF($AE22=Constants!$B$7, AR22-AX22,$AE22))</f>
        <v/>
      </c>
      <c r="AZ22" s="67"/>
      <c r="BA22" s="81" t="str">
        <f aca="false">IF(ISBLANK($C22),"",TRIM(AI22&amp;" "&amp;AM22))</f>
        <v/>
      </c>
      <c r="BB22" s="69" t="str">
        <f aca="false">IF(ISBLANK($C22),"",IF($AE22&lt;&gt;Constants!$B$7, $AE22 ,AQ22))</f>
        <v/>
      </c>
      <c r="BC22" s="70" t="str">
        <f aca="false">IF(ISBLANK($C22),"",IF($AE22&lt;&gt;Constants!$B$7, $AE22 ,AF22))</f>
        <v/>
      </c>
      <c r="BD22" s="71" t="str">
        <f aca="false">IF(ISBLANK(C22),"",AY22)</f>
        <v/>
      </c>
      <c r="BE22" s="71" t="str">
        <f aca="false">IF(ISBLANK(C22),"",AX22)</f>
        <v/>
      </c>
      <c r="BF22" s="72" t="str">
        <f aca="false">IF(ISBLANK(C22),"",IFERROR(_xlfn.SWITCH(BE22, Constants!$B$4, COUNTA($C$8:$C521)+2, Constants!$B$5, COUNTA($C$8:$C521)+1, Constants!$B$6, COUNTA($C$8:$C521)),BE22))</f>
        <v/>
      </c>
      <c r="BG22" s="5"/>
      <c r="BH22" s="73" t="n">
        <f aca="false">IF(OR(ISNUMBER(BE22),BE22="DQ",BE22="P",BE22="NS"),
    1,
    0
)</f>
        <v>0</v>
      </c>
      <c r="BI22" s="73" t="n">
        <v>15</v>
      </c>
      <c r="BJ22" s="73" t="str">
        <f aca="false">IF(ISBLANK($C22),
    "",
   BF22+ROW($B22)/1000
)</f>
        <v/>
      </c>
      <c r="BK22" s="73" t="str">
        <f aca="false">IF(ISNUMBER(BJ22), RANK(BJ22,BJ$8:BJ$507,1), "")</f>
        <v/>
      </c>
      <c r="BL22" s="73" t="str">
        <f aca="false">IF(ISBLANK($C22),
    "",
    $B22
)</f>
        <v/>
      </c>
      <c r="BM22" s="73" t="str">
        <f aca="false">IF(ISBLANK($C22),
    "",
    $C22
)</f>
        <v/>
      </c>
      <c r="BN22" s="73" t="str">
        <f aca="false">IF(ISBLANK($C22),
    "",
    $D22
)</f>
        <v/>
      </c>
      <c r="BO22" s="74" t="str">
        <f aca="false">BC22</f>
        <v/>
      </c>
      <c r="BP22" s="75" t="str">
        <f aca="false">BB22</f>
        <v/>
      </c>
      <c r="BQ22" s="73" t="str">
        <f aca="false">IF(ISBLANK($C22),
    "",
    BE22
)</f>
        <v/>
      </c>
      <c r="BR22" s="76" t="str">
        <f aca="false">IF(BI22&gt;BH$7,
    "",
    VLOOKUP(BI22,BK$8:BQ521,7,FALSE())
)</f>
        <v/>
      </c>
      <c r="BS22" s="77" t="str">
        <f aca="false">IF(BI22&gt;BH$7,
    "",
    VLOOKUP(BI22,BK$8:BQ521,2,FALSE())
)</f>
        <v/>
      </c>
      <c r="BT22" s="77" t="str">
        <f aca="false">IF(BI22&gt;BH$7,
    "",
    VLOOKUP(BI22,BK$8:BQ521,3,FALSE())
)</f>
        <v/>
      </c>
      <c r="BU22" s="77" t="str">
        <f aca="false">IF(BI22&gt;BH$7,
    "",
    VLOOKUP(BI22,BK$8:BQ521,4,FALSE())
)</f>
        <v/>
      </c>
      <c r="BV22" s="77" t="str">
        <f aca="false">IF(BI22&gt;BH$7,
    "",
    VLOOKUP(BI22,BK$8:BQ521,5,FALSE())
)</f>
        <v/>
      </c>
      <c r="BW22" s="78" t="str">
        <f aca="false">IF(BI22&gt;BH$7,
    "",
    VLOOKUP(BI22,BK$8:BQ521,6,FALSE())
)</f>
        <v/>
      </c>
      <c r="BX22" s="50"/>
    </row>
    <row r="23" customFormat="false" ht="15.75" hidden="false" customHeight="false" outlineLevel="0" collapsed="false">
      <c r="A23" s="5"/>
      <c r="B23" s="122"/>
      <c r="C23" s="123"/>
      <c r="D23" s="112"/>
      <c r="E23" s="116"/>
      <c r="F23" s="116"/>
      <c r="G23" s="88"/>
      <c r="H23" s="89"/>
      <c r="I23" s="124"/>
      <c r="J23" s="124"/>
      <c r="K23" s="124"/>
      <c r="L23" s="91"/>
      <c r="M23" s="91"/>
      <c r="N23" s="91"/>
      <c r="O23" s="92"/>
      <c r="P23" s="93"/>
      <c r="Q23" s="125"/>
      <c r="R23" s="95"/>
      <c r="S23" s="96"/>
      <c r="T23" s="96" t="str">
        <f aca="false">IF(ISBLANK($C23),"",IF(G23=Constants!$B$2, TRUE(), IF(G23=Constants!$B$3, FALSE(), TRUE())))</f>
        <v/>
      </c>
      <c r="U23" s="96" t="str">
        <f aca="false">IF(ISBLANK($C23),"",IF(H23=Constants!$B$2, TRUE(), IF(H23=Constants!$B$3, FALSE(), TRUE())))</f>
        <v/>
      </c>
      <c r="V23" s="96" t="str">
        <f aca="false">IF(ISBLANK($C23),"",IF(I23=Constants!$B$2, TRUE(), IF(I23=Constants!$B$3, FALSE(), TRUE())))</f>
        <v/>
      </c>
      <c r="W23" s="96" t="str">
        <f aca="false">IF(ISBLANK($C23),"",IF(J23=Constants!$B$2, TRUE(), IF(J23=Constants!$B$3, FALSE(), TRUE())))</f>
        <v/>
      </c>
      <c r="X23" s="97" t="str">
        <f aca="false">IF(ISBLANK($C23),"",IF(K23=Constants!$B$2, TRUE(), IF(K23=Constants!$B$3, FALSE(), TRUE())))</f>
        <v/>
      </c>
      <c r="Y23" s="98" t="str">
        <f aca="false">IF(ISBLANK($C23),"",IF(ISNUMBER(L23), L23, ""))</f>
        <v/>
      </c>
      <c r="Z23" s="98" t="str">
        <f aca="false">IF(ISBLANK($C23),"",IF(ISNUMBER(M23), M23, ""))</f>
        <v/>
      </c>
      <c r="AA23" s="98" t="str">
        <f aca="false">IF(ISBLANK($C23),"",IF(ISNUMBER(N23), N23, ""))</f>
        <v/>
      </c>
      <c r="AB23" s="99" t="str">
        <f aca="false">IF(ISBLANK($C23),"",IF(ISNUMBER(O23), O23, ""))</f>
        <v/>
      </c>
      <c r="AC23" s="99" t="str">
        <f aca="false">IF(ISBLANK($C23),"",IF(ISNUMBER(P23), P23, Constants!$B$13))</f>
        <v/>
      </c>
      <c r="AD23" s="96" t="str">
        <f aca="false">IF(ISBLANK($C23),"",IF(Q23=Constants!$B$2, TRUE(), IF(Q23=Constants!$B$3, FALSE(), FALSE())))</f>
        <v/>
      </c>
      <c r="AE23" s="96" t="str">
        <f aca="false">IF(ISBLANK(C23), "", IF(AD23, Constants!$B$4,IF(COUNTA(G23:O23)=0, Constants!$B$5, Constants!$B$7)))</f>
        <v/>
      </c>
      <c r="AF23" s="96" t="str">
        <f aca="false">IF(ISBLANK($C23), "",IF($AE23=Constants!$B$7,1,$AE23))</f>
        <v/>
      </c>
      <c r="AG23" s="96" t="str">
        <f aca="false">IF($AE23=Constants!$B$7,IF(V23, 1, Constants!$B$11) * IF(X23, 1, Constants!$B$12),"")</f>
        <v/>
      </c>
      <c r="AH23" s="96" t="str">
        <f aca="false">IF(AND($AE23=Constants!$B$7, T23, U23) ,MAX(0, $AA23-$Y23),"")</f>
        <v/>
      </c>
      <c r="AI23" s="96" t="str">
        <f aca="false">IF(ISERROR(AH23),$AI$6,"")</f>
        <v/>
      </c>
      <c r="AJ23" s="96" t="str">
        <f aca="false">IF($AE23=Constants!$B$7,IF(AND(T23,U23,W23),IF($AH$6=0,Constants!$B$9,Constants!$B$9*AH23/$AH$6), 0),"")</f>
        <v/>
      </c>
      <c r="AK23" s="96" t="str">
        <f aca="false">IF(AJ23&lt;&gt;"", AJ23*AG23,"")</f>
        <v/>
      </c>
      <c r="AL23" s="96" t="str">
        <f aca="false">IF(AND($AE23=Constants!$B$7, T23, U23) ,IF($Z23="", "", MAX(0,1-ABS($AA23-$Z23)/$AA23)),"")</f>
        <v/>
      </c>
      <c r="AM23" s="96" t="str">
        <f aca="false">IF(AND(NOT(ISERROR(AH23)),ISERROR(AL23)),$AM$6,"")</f>
        <v/>
      </c>
      <c r="AN23" s="96" t="str">
        <f aca="false">IF($AE23=Constants!$B$7 ,IF(AND(T23,U23,W23,ISNUMBER(Z23)),IF($AL$6=0,Constants!$B$10,Constants!$B$10*AL23/$AL$6), 0),"")</f>
        <v/>
      </c>
      <c r="AO23" s="96" t="str">
        <f aca="false">IF(AN23&lt;&gt;"", AN23*AG23,"")</f>
        <v/>
      </c>
      <c r="AP23" s="96" t="str">
        <f aca="false">IF($AE23=Constants!$B$7,IF($AP$6=0,Constants!$B$8,Constants!$B$8*AB23/$AP$6),"")</f>
        <v/>
      </c>
      <c r="AQ23" s="96" t="str">
        <f aca="false">IF($AE23&lt;&gt;Constants!$B$7,$AE23,AK23+AO23+AP23)</f>
        <v/>
      </c>
      <c r="AR23" s="96" t="str">
        <f aca="false">IF(ISBLANK($C23),"",IF($AE23=Constants!$B$7,RANK(AQ23,$AQ$8:$AQ$507),$AE23))</f>
        <v/>
      </c>
      <c r="AS23" s="96" t="str">
        <f aca="false">IF(ISBLANK($C23), "",AK23)</f>
        <v/>
      </c>
      <c r="AT23" s="96" t="str">
        <f aca="false">IF(ISBLANK($C23),"",IF($AE23=Constants!$B$7,RANK(AS23,AS$8:AS$507),$AE23))</f>
        <v/>
      </c>
      <c r="AU23" s="96" t="str">
        <f aca="false">IF(ISBLANK($C23), "",AP23)</f>
        <v/>
      </c>
      <c r="AV23" s="96" t="str">
        <f aca="false">IF(ISBLANK($C23),"",IF($AE23=Constants!$B$7,RANK(AU23,AU$8:AU$507),$AE23))</f>
        <v/>
      </c>
      <c r="AW23" s="96" t="str">
        <f aca="false">IF(ISBLANK($C23), "",AC23)</f>
        <v/>
      </c>
      <c r="AX23" s="96" t="str">
        <f aca="false">IF(ISBLANK($C23),"",
IF($AE23=Constants!$B$7,
  COUNTIFS($AR$8:$AR$507,"&lt;"&amp;$AR23)
  + COUNTIFS($AR$8:$AR$507,$AR23,$AT$8:$AT$507,"&lt;"&amp;$AT23)
  + COUNTIFS($AR$8:$AR$507,$AR23,$AT$8:$AT$507,$AT23,$AV$8:$AV$507,"&lt;"&amp;$AV23)
  + COUNTIFS($AR$8:$AR$507,$AR23,$AT$8:$AT$507,$AT23,$AV$8:$AV$507,$AV23,$AW$8:$AW$507,"&lt;"&amp;$AW23)
  + 1,
$AE23))</f>
        <v/>
      </c>
      <c r="AY23" s="96" t="str">
        <f aca="false">IF(ISBLANK(C23),"",IF($AE23=Constants!$B$7, AR23-AX23,$AE23))</f>
        <v/>
      </c>
      <c r="AZ23" s="100"/>
      <c r="BA23" s="101" t="str">
        <f aca="false">IF(ISBLANK($C23),"",TRIM(AI23&amp;" "&amp;AM23))</f>
        <v/>
      </c>
      <c r="BB23" s="102" t="str">
        <f aca="false">IF(ISBLANK($C23),"",IF($AE23&lt;&gt;Constants!$B$7, $AE23 ,AQ23))</f>
        <v/>
      </c>
      <c r="BC23" s="103" t="str">
        <f aca="false">IF(ISBLANK($C23),"",IF($AE23&lt;&gt;Constants!$B$7, $AE23 ,AF23))</f>
        <v/>
      </c>
      <c r="BD23" s="104" t="str">
        <f aca="false">IF(ISBLANK(C23),"",AY23)</f>
        <v/>
      </c>
      <c r="BE23" s="104" t="str">
        <f aca="false">IF(ISBLANK(C23),"",AX23)</f>
        <v/>
      </c>
      <c r="BF23" s="105" t="str">
        <f aca="false">IF(ISBLANK(C23),"",IFERROR(_xlfn.SWITCH(BE23, Constants!$B$4, COUNTA($C$8:$C522)+2, Constants!$B$5, COUNTA($C$8:$C522)+1, Constants!$B$6, COUNTA($C$8:$C522)),BE23))</f>
        <v/>
      </c>
      <c r="BG23" s="5"/>
      <c r="BH23" s="106" t="n">
        <f aca="false">IF(OR(ISNUMBER(BE23),BE23="DQ",BE23="P",BE23="NS"),
    1,
    0
)</f>
        <v>0</v>
      </c>
      <c r="BI23" s="106" t="n">
        <v>16</v>
      </c>
      <c r="BJ23" s="106" t="str">
        <f aca="false">IF(ISBLANK($C23),
    "",
   BF23+ROW($B23)/1000
)</f>
        <v/>
      </c>
      <c r="BK23" s="106" t="str">
        <f aca="false">IF(ISNUMBER(BJ23), RANK(BJ23,BJ$8:BJ$507,1), "")</f>
        <v/>
      </c>
      <c r="BL23" s="106" t="str">
        <f aca="false">IF(ISBLANK($C23),
    "",
    $B23
)</f>
        <v/>
      </c>
      <c r="BM23" s="106" t="str">
        <f aca="false">IF(ISBLANK($C23),
    "",
    $C23
)</f>
        <v/>
      </c>
      <c r="BN23" s="106" t="str">
        <f aca="false">IF(ISBLANK($C23),
    "",
    $D23
)</f>
        <v/>
      </c>
      <c r="BO23" s="107" t="str">
        <f aca="false">BC23</f>
        <v/>
      </c>
      <c r="BP23" s="108" t="str">
        <f aca="false">BB23</f>
        <v/>
      </c>
      <c r="BQ23" s="106" t="str">
        <f aca="false">IF(ISBLANK($C23),
    "",
    BE23
)</f>
        <v/>
      </c>
      <c r="BR23" s="109" t="str">
        <f aca="false">IF(BI23&gt;BH$7,
    "",
    VLOOKUP(BI23,BK$8:BQ522,7,FALSE())
)</f>
        <v/>
      </c>
      <c r="BS23" s="110" t="str">
        <f aca="false">IF(BI23&gt;BH$7,
    "",
    VLOOKUP(BI23,BK$8:BQ522,2,FALSE())
)</f>
        <v/>
      </c>
      <c r="BT23" s="110" t="str">
        <f aca="false">IF(BI23&gt;BH$7,
    "",
    VLOOKUP(BI23,BK$8:BQ522,3,FALSE())
)</f>
        <v/>
      </c>
      <c r="BU23" s="110" t="str">
        <f aca="false">IF(BI23&gt;BH$7,
    "",
    VLOOKUP(BI23,BK$8:BQ522,4,FALSE())
)</f>
        <v/>
      </c>
      <c r="BV23" s="110" t="str">
        <f aca="false">IF(BI23&gt;BH$7,
    "",
    VLOOKUP(BI23,BK$8:BQ522,5,FALSE())
)</f>
        <v/>
      </c>
      <c r="BW23" s="111" t="str">
        <f aca="false">IF(BI23&gt;BH$7,
    "",
    VLOOKUP(BI23,BK$8:BQ522,6,FALSE())
)</f>
        <v/>
      </c>
      <c r="BX23" s="50"/>
    </row>
    <row r="24" customFormat="false" ht="15.75" hidden="false" customHeight="false" outlineLevel="0" collapsed="false">
      <c r="A24" s="5"/>
      <c r="B24" s="122"/>
      <c r="C24" s="123"/>
      <c r="D24" s="112"/>
      <c r="E24" s="116"/>
      <c r="F24" s="116"/>
      <c r="G24" s="88"/>
      <c r="H24" s="89"/>
      <c r="I24" s="124"/>
      <c r="J24" s="124"/>
      <c r="K24" s="124"/>
      <c r="L24" s="91"/>
      <c r="M24" s="91"/>
      <c r="N24" s="91"/>
      <c r="O24" s="92"/>
      <c r="P24" s="93"/>
      <c r="Q24" s="125"/>
      <c r="R24" s="95"/>
      <c r="S24" s="96"/>
      <c r="T24" s="96" t="str">
        <f aca="false">IF(ISBLANK($C24),"",IF(G24=Constants!$B$2, TRUE(), IF(G24=Constants!$B$3, FALSE(), TRUE())))</f>
        <v/>
      </c>
      <c r="U24" s="96" t="str">
        <f aca="false">IF(ISBLANK($C24),"",IF(H24=Constants!$B$2, TRUE(), IF(H24=Constants!$B$3, FALSE(), TRUE())))</f>
        <v/>
      </c>
      <c r="V24" s="96" t="str">
        <f aca="false">IF(ISBLANK($C24),"",IF(I24=Constants!$B$2, TRUE(), IF(I24=Constants!$B$3, FALSE(), TRUE())))</f>
        <v/>
      </c>
      <c r="W24" s="96" t="str">
        <f aca="false">IF(ISBLANK($C24),"",IF(J24=Constants!$B$2, TRUE(), IF(J24=Constants!$B$3, FALSE(), TRUE())))</f>
        <v/>
      </c>
      <c r="X24" s="97" t="str">
        <f aca="false">IF(ISBLANK($C24),"",IF(K24=Constants!$B$2, TRUE(), IF(K24=Constants!$B$3, FALSE(), TRUE())))</f>
        <v/>
      </c>
      <c r="Y24" s="98" t="str">
        <f aca="false">IF(ISBLANK($C24),"",IF(ISNUMBER(L24), L24, ""))</f>
        <v/>
      </c>
      <c r="Z24" s="98" t="str">
        <f aca="false">IF(ISBLANK($C24),"",IF(ISNUMBER(M24), M24, ""))</f>
        <v/>
      </c>
      <c r="AA24" s="98" t="str">
        <f aca="false">IF(ISBLANK($C24),"",IF(ISNUMBER(N24), N24, ""))</f>
        <v/>
      </c>
      <c r="AB24" s="99" t="str">
        <f aca="false">IF(ISBLANK($C24),"",IF(ISNUMBER(O24), O24, ""))</f>
        <v/>
      </c>
      <c r="AC24" s="99" t="str">
        <f aca="false">IF(ISBLANK($C24),"",IF(ISNUMBER(P24), P24, Constants!$B$13))</f>
        <v/>
      </c>
      <c r="AD24" s="96" t="str">
        <f aca="false">IF(ISBLANK($C24),"",IF(Q24=Constants!$B$2, TRUE(), IF(Q24=Constants!$B$3, FALSE(), FALSE())))</f>
        <v/>
      </c>
      <c r="AE24" s="96" t="str">
        <f aca="false">IF(ISBLANK(C24), "", IF(AD24, Constants!$B$4,IF(COUNTA(G24:O24)=0, Constants!$B$5, Constants!$B$7)))</f>
        <v/>
      </c>
      <c r="AF24" s="96" t="str">
        <f aca="false">IF(ISBLANK($C24), "",IF($AE24=Constants!$B$7,1,$AE24))</f>
        <v/>
      </c>
      <c r="AG24" s="96" t="str">
        <f aca="false">IF($AE24=Constants!$B$7,IF(V24, 1, Constants!$B$11) * IF(X24, 1, Constants!$B$12),"")</f>
        <v/>
      </c>
      <c r="AH24" s="96" t="str">
        <f aca="false">IF(AND($AE24=Constants!$B$7, T24, U24) ,MAX(0, $AA24-$Y24),"")</f>
        <v/>
      </c>
      <c r="AI24" s="96" t="str">
        <f aca="false">IF(ISERROR(AH24),$AI$6,"")</f>
        <v/>
      </c>
      <c r="AJ24" s="96" t="str">
        <f aca="false">IF($AE24=Constants!$B$7,IF(AND(T24,U24,W24),IF($AH$6=0,Constants!$B$9,Constants!$B$9*AH24/$AH$6), 0),"")</f>
        <v/>
      </c>
      <c r="AK24" s="96" t="str">
        <f aca="false">IF(AJ24&lt;&gt;"", AJ24*AG24,"")</f>
        <v/>
      </c>
      <c r="AL24" s="96" t="str">
        <f aca="false">IF(AND($AE24=Constants!$B$7, T24, U24) ,IF($Z24="", "", MAX(0,1-ABS($AA24-$Z24)/$AA24)),"")</f>
        <v/>
      </c>
      <c r="AM24" s="96" t="str">
        <f aca="false">IF(AND(NOT(ISERROR(AH24)),ISERROR(AL24)),$AM$6,"")</f>
        <v/>
      </c>
      <c r="AN24" s="96" t="str">
        <f aca="false">IF($AE24=Constants!$B$7 ,IF(AND(T24,U24,W24,ISNUMBER(Z24)),IF($AL$6=0,Constants!$B$10,Constants!$B$10*AL24/$AL$6), 0),"")</f>
        <v/>
      </c>
      <c r="AO24" s="96" t="str">
        <f aca="false">IF(AN24&lt;&gt;"", AN24*AG24,"")</f>
        <v/>
      </c>
      <c r="AP24" s="96" t="str">
        <f aca="false">IF($AE24=Constants!$B$7,IF($AP$6=0,Constants!$B$8,Constants!$B$8*AB24/$AP$6),"")</f>
        <v/>
      </c>
      <c r="AQ24" s="96" t="str">
        <f aca="false">IF($AE24&lt;&gt;Constants!$B$7,$AE24,AK24+AO24+AP24)</f>
        <v/>
      </c>
      <c r="AR24" s="96" t="str">
        <f aca="false">IF(ISBLANK($C24),"",IF($AE24=Constants!$B$7,RANK(AQ24,$AQ$8:$AQ$507),$AE24))</f>
        <v/>
      </c>
      <c r="AS24" s="96" t="str">
        <f aca="false">IF(ISBLANK($C24), "",AK24)</f>
        <v/>
      </c>
      <c r="AT24" s="96" t="str">
        <f aca="false">IF(ISBLANK($C24),"",IF($AE24=Constants!$B$7,RANK(AS24,AS$8:AS$507),$AE24))</f>
        <v/>
      </c>
      <c r="AU24" s="96" t="str">
        <f aca="false">IF(ISBLANK($C24), "",AP24)</f>
        <v/>
      </c>
      <c r="AV24" s="96" t="str">
        <f aca="false">IF(ISBLANK($C24),"",IF($AE24=Constants!$B$7,RANK(AU24,AU$8:AU$507),$AE24))</f>
        <v/>
      </c>
      <c r="AW24" s="96" t="str">
        <f aca="false">IF(ISBLANK($C24), "",AC24)</f>
        <v/>
      </c>
      <c r="AX24" s="96" t="str">
        <f aca="false">IF(ISBLANK($C24),"",
IF($AE24=Constants!$B$7,
  COUNTIFS($AR$8:$AR$507,"&lt;"&amp;$AR24)
  + COUNTIFS($AR$8:$AR$507,$AR24,$AT$8:$AT$507,"&lt;"&amp;$AT24)
  + COUNTIFS($AR$8:$AR$507,$AR24,$AT$8:$AT$507,$AT24,$AV$8:$AV$507,"&lt;"&amp;$AV24)
  + COUNTIFS($AR$8:$AR$507,$AR24,$AT$8:$AT$507,$AT24,$AV$8:$AV$507,$AV24,$AW$8:$AW$507,"&lt;"&amp;$AW24)
  + 1,
$AE24))</f>
        <v/>
      </c>
      <c r="AY24" s="96" t="str">
        <f aca="false">IF(ISBLANK(C24),"",IF($AE24=Constants!$B$7, AR24-AX24,$AE24))</f>
        <v/>
      </c>
      <c r="AZ24" s="100"/>
      <c r="BA24" s="101" t="str">
        <f aca="false">IF(ISBLANK($C24),"",TRIM(AI24&amp;" "&amp;AM24))</f>
        <v/>
      </c>
      <c r="BB24" s="102" t="str">
        <f aca="false">IF(ISBLANK($C24),"",IF($AE24&lt;&gt;Constants!$B$7, $AE24 ,AQ24))</f>
        <v/>
      </c>
      <c r="BC24" s="103" t="str">
        <f aca="false">IF(ISBLANK($C24),"",IF($AE24&lt;&gt;Constants!$B$7, $AE24 ,AF24))</f>
        <v/>
      </c>
      <c r="BD24" s="104" t="str">
        <f aca="false">IF(ISBLANK(C24),"",AY24)</f>
        <v/>
      </c>
      <c r="BE24" s="104" t="str">
        <f aca="false">IF(ISBLANK(C24),"",AX24)</f>
        <v/>
      </c>
      <c r="BF24" s="105" t="str">
        <f aca="false">IF(ISBLANK(C24),"",IFERROR(_xlfn.SWITCH(BE24, Constants!$B$4, COUNTA($C$8:$C523)+2, Constants!$B$5, COUNTA($C$8:$C523)+1, Constants!$B$6, COUNTA($C$8:$C523)),BE24))</f>
        <v/>
      </c>
      <c r="BG24" s="5"/>
      <c r="BH24" s="106" t="n">
        <f aca="false">IF(OR(ISNUMBER(BE24),BE24="DQ",BE24="P",BE24="NS"),
    1,
    0
)</f>
        <v>0</v>
      </c>
      <c r="BI24" s="106" t="n">
        <v>17</v>
      </c>
      <c r="BJ24" s="106" t="str">
        <f aca="false">IF(ISBLANK($C24),
    "",
   BF24+ROW($B24)/1000
)</f>
        <v/>
      </c>
      <c r="BK24" s="106" t="str">
        <f aca="false">IF(ISNUMBER(BJ24), RANK(BJ24,BJ$8:BJ$507,1), "")</f>
        <v/>
      </c>
      <c r="BL24" s="106" t="str">
        <f aca="false">IF(ISBLANK($C24),
    "",
    $B24
)</f>
        <v/>
      </c>
      <c r="BM24" s="106" t="str">
        <f aca="false">IF(ISBLANK($C24),
    "",
    $C24
)</f>
        <v/>
      </c>
      <c r="BN24" s="106" t="str">
        <f aca="false">IF(ISBLANK($C24),
    "",
    $D24
)</f>
        <v/>
      </c>
      <c r="BO24" s="107" t="str">
        <f aca="false">BC24</f>
        <v/>
      </c>
      <c r="BP24" s="108" t="str">
        <f aca="false">BB24</f>
        <v/>
      </c>
      <c r="BQ24" s="106" t="str">
        <f aca="false">IF(ISBLANK($C24),
    "",
    BE24
)</f>
        <v/>
      </c>
      <c r="BR24" s="109" t="str">
        <f aca="false">IF(BI24&gt;BH$7,
    "",
    VLOOKUP(BI24,BK$8:BQ523,7,FALSE())
)</f>
        <v/>
      </c>
      <c r="BS24" s="110" t="str">
        <f aca="false">IF(BI24&gt;BH$7,
    "",
    VLOOKUP(BI24,BK$8:BQ523,2,FALSE())
)</f>
        <v/>
      </c>
      <c r="BT24" s="110" t="str">
        <f aca="false">IF(BI24&gt;BH$7,
    "",
    VLOOKUP(BI24,BK$8:BQ523,3,FALSE())
)</f>
        <v/>
      </c>
      <c r="BU24" s="110" t="str">
        <f aca="false">IF(BI24&gt;BH$7,
    "",
    VLOOKUP(BI24,BK$8:BQ523,4,FALSE())
)</f>
        <v/>
      </c>
      <c r="BV24" s="110" t="str">
        <f aca="false">IF(BI24&gt;BH$7,
    "",
    VLOOKUP(BI24,BK$8:BQ523,5,FALSE())
)</f>
        <v/>
      </c>
      <c r="BW24" s="111" t="str">
        <f aca="false">IF(BI24&gt;BH$7,
    "",
    VLOOKUP(BI24,BK$8:BQ523,6,FALSE())
)</f>
        <v/>
      </c>
      <c r="BX24" s="50"/>
    </row>
    <row r="25" customFormat="false" ht="15.75" hidden="false" customHeight="false" outlineLevel="0" collapsed="false">
      <c r="A25" s="5"/>
      <c r="B25" s="122"/>
      <c r="C25" s="123"/>
      <c r="D25" s="112"/>
      <c r="E25" s="116"/>
      <c r="F25" s="116"/>
      <c r="G25" s="88"/>
      <c r="H25" s="89"/>
      <c r="I25" s="124"/>
      <c r="J25" s="124"/>
      <c r="K25" s="124"/>
      <c r="L25" s="91"/>
      <c r="M25" s="91"/>
      <c r="N25" s="91"/>
      <c r="O25" s="92"/>
      <c r="P25" s="93"/>
      <c r="Q25" s="125"/>
      <c r="R25" s="95"/>
      <c r="S25" s="96"/>
      <c r="T25" s="96" t="str">
        <f aca="false">IF(ISBLANK($C25),"",IF(G25=Constants!$B$2, TRUE(), IF(G25=Constants!$B$3, FALSE(), TRUE())))</f>
        <v/>
      </c>
      <c r="U25" s="96" t="str">
        <f aca="false">IF(ISBLANK($C25),"",IF(H25=Constants!$B$2, TRUE(), IF(H25=Constants!$B$3, FALSE(), TRUE())))</f>
        <v/>
      </c>
      <c r="V25" s="96" t="str">
        <f aca="false">IF(ISBLANK($C25),"",IF(I25=Constants!$B$2, TRUE(), IF(I25=Constants!$B$3, FALSE(), TRUE())))</f>
        <v/>
      </c>
      <c r="W25" s="96" t="str">
        <f aca="false">IF(ISBLANK($C25),"",IF(J25=Constants!$B$2, TRUE(), IF(J25=Constants!$B$3, FALSE(), TRUE())))</f>
        <v/>
      </c>
      <c r="X25" s="97" t="str">
        <f aca="false">IF(ISBLANK($C25),"",IF(K25=Constants!$B$2, TRUE(), IF(K25=Constants!$B$3, FALSE(), TRUE())))</f>
        <v/>
      </c>
      <c r="Y25" s="98" t="str">
        <f aca="false">IF(ISBLANK($C25),"",IF(ISNUMBER(L25), L25, ""))</f>
        <v/>
      </c>
      <c r="Z25" s="98" t="str">
        <f aca="false">IF(ISBLANK($C25),"",IF(ISNUMBER(M25), M25, ""))</f>
        <v/>
      </c>
      <c r="AA25" s="98" t="str">
        <f aca="false">IF(ISBLANK($C25),"",IF(ISNUMBER(N25), N25, ""))</f>
        <v/>
      </c>
      <c r="AB25" s="99" t="str">
        <f aca="false">IF(ISBLANK($C25),"",IF(ISNUMBER(O25), O25, ""))</f>
        <v/>
      </c>
      <c r="AC25" s="99" t="str">
        <f aca="false">IF(ISBLANK($C25),"",IF(ISNUMBER(P25), P25, Constants!$B$13))</f>
        <v/>
      </c>
      <c r="AD25" s="96" t="str">
        <f aca="false">IF(ISBLANK($C25),"",IF(Q25=Constants!$B$2, TRUE(), IF(Q25=Constants!$B$3, FALSE(), FALSE())))</f>
        <v/>
      </c>
      <c r="AE25" s="96" t="str">
        <f aca="false">IF(ISBLANK(C25), "", IF(AD25, Constants!$B$4,IF(COUNTA(G25:O25)=0, Constants!$B$5, Constants!$B$7)))</f>
        <v/>
      </c>
      <c r="AF25" s="96" t="str">
        <f aca="false">IF(ISBLANK($C25), "",IF($AE25=Constants!$B$7,1,$AE25))</f>
        <v/>
      </c>
      <c r="AG25" s="96" t="str">
        <f aca="false">IF($AE25=Constants!$B$7,IF(V25, 1, Constants!$B$11) * IF(X25, 1, Constants!$B$12),"")</f>
        <v/>
      </c>
      <c r="AH25" s="96" t="str">
        <f aca="false">IF(AND($AE25=Constants!$B$7, T25, U25) ,MAX(0, $AA25-$Y25),"")</f>
        <v/>
      </c>
      <c r="AI25" s="96" t="str">
        <f aca="false">IF(ISERROR(AH25),$AI$6,"")</f>
        <v/>
      </c>
      <c r="AJ25" s="96" t="str">
        <f aca="false">IF($AE25=Constants!$B$7,IF(AND(T25,U25,W25),IF($AH$6=0,Constants!$B$9,Constants!$B$9*AH25/$AH$6), 0),"")</f>
        <v/>
      </c>
      <c r="AK25" s="96" t="str">
        <f aca="false">IF(AJ25&lt;&gt;"", AJ25*AG25,"")</f>
        <v/>
      </c>
      <c r="AL25" s="96" t="str">
        <f aca="false">IF(AND($AE25=Constants!$B$7, T25, U25) ,IF($Z25="", "", MAX(0,1-ABS($AA25-$Z25)/$AA25)),"")</f>
        <v/>
      </c>
      <c r="AM25" s="96" t="str">
        <f aca="false">IF(AND(NOT(ISERROR(AH25)),ISERROR(AL25)),$AM$6,"")</f>
        <v/>
      </c>
      <c r="AN25" s="96" t="str">
        <f aca="false">IF($AE25=Constants!$B$7 ,IF(AND(T25,U25,W25,ISNUMBER(Z25)),IF($AL$6=0,Constants!$B$10,Constants!$B$10*AL25/$AL$6), 0),"")</f>
        <v/>
      </c>
      <c r="AO25" s="96" t="str">
        <f aca="false">IF(AN25&lt;&gt;"", AN25*AG25,"")</f>
        <v/>
      </c>
      <c r="AP25" s="96" t="str">
        <f aca="false">IF($AE25=Constants!$B$7,IF($AP$6=0,Constants!$B$8,Constants!$B$8*AB25/$AP$6),"")</f>
        <v/>
      </c>
      <c r="AQ25" s="96" t="str">
        <f aca="false">IF($AE25&lt;&gt;Constants!$B$7,$AE25,AK25+AO25+AP25)</f>
        <v/>
      </c>
      <c r="AR25" s="96" t="str">
        <f aca="false">IF(ISBLANK($C25),"",IF($AE25=Constants!$B$7,RANK(AQ25,$AQ$8:$AQ$507),$AE25))</f>
        <v/>
      </c>
      <c r="AS25" s="96" t="str">
        <f aca="false">IF(ISBLANK($C25), "",AK25)</f>
        <v/>
      </c>
      <c r="AT25" s="96" t="str">
        <f aca="false">IF(ISBLANK($C25),"",IF($AE25=Constants!$B$7,RANK(AS25,AS$8:AS$507),$AE25))</f>
        <v/>
      </c>
      <c r="AU25" s="96" t="str">
        <f aca="false">IF(ISBLANK($C25), "",AP25)</f>
        <v/>
      </c>
      <c r="AV25" s="96" t="str">
        <f aca="false">IF(ISBLANK($C25),"",IF($AE25=Constants!$B$7,RANK(AU25,AU$8:AU$507),$AE25))</f>
        <v/>
      </c>
      <c r="AW25" s="96" t="str">
        <f aca="false">IF(ISBLANK($C25), "",AC25)</f>
        <v/>
      </c>
      <c r="AX25" s="96" t="str">
        <f aca="false">IF(ISBLANK($C25),"",
IF($AE25=Constants!$B$7,
  COUNTIFS($AR$8:$AR$507,"&lt;"&amp;$AR25)
  + COUNTIFS($AR$8:$AR$507,$AR25,$AT$8:$AT$507,"&lt;"&amp;$AT25)
  + COUNTIFS($AR$8:$AR$507,$AR25,$AT$8:$AT$507,$AT25,$AV$8:$AV$507,"&lt;"&amp;$AV25)
  + COUNTIFS($AR$8:$AR$507,$AR25,$AT$8:$AT$507,$AT25,$AV$8:$AV$507,$AV25,$AW$8:$AW$507,"&lt;"&amp;$AW25)
  + 1,
$AE25))</f>
        <v/>
      </c>
      <c r="AY25" s="96" t="str">
        <f aca="false">IF(ISBLANK(C25),"",IF($AE25=Constants!$B$7, AR25-AX25,$AE25))</f>
        <v/>
      </c>
      <c r="AZ25" s="100"/>
      <c r="BA25" s="101" t="str">
        <f aca="false">IF(ISBLANK($C25),"",TRIM(AI25&amp;" "&amp;AM25))</f>
        <v/>
      </c>
      <c r="BB25" s="102" t="str">
        <f aca="false">IF(ISBLANK($C25),"",IF($AE25&lt;&gt;Constants!$B$7, $AE25 ,AQ25))</f>
        <v/>
      </c>
      <c r="BC25" s="103" t="str">
        <f aca="false">IF(ISBLANK($C25),"",IF($AE25&lt;&gt;Constants!$B$7, $AE25 ,AF25))</f>
        <v/>
      </c>
      <c r="BD25" s="104" t="str">
        <f aca="false">IF(ISBLANK(C25),"",AY25)</f>
        <v/>
      </c>
      <c r="BE25" s="104" t="str">
        <f aca="false">IF(ISBLANK(C25),"",AX25)</f>
        <v/>
      </c>
      <c r="BF25" s="105" t="str">
        <f aca="false">IF(ISBLANK(C25),"",IFERROR(_xlfn.SWITCH(BE25, Constants!$B$4, COUNTA($C$8:$C524)+2, Constants!$B$5, COUNTA($C$8:$C524)+1, Constants!$B$6, COUNTA($C$8:$C524)),BE25))</f>
        <v/>
      </c>
      <c r="BG25" s="5"/>
      <c r="BH25" s="106" t="n">
        <f aca="false">IF(OR(ISNUMBER(BE25),BE25="DQ",BE25="P",BE25="NS"),
    1,
    0
)</f>
        <v>0</v>
      </c>
      <c r="BI25" s="106" t="n">
        <v>18</v>
      </c>
      <c r="BJ25" s="106" t="str">
        <f aca="false">IF(ISBLANK($C25),
    "",
   BF25+ROW($B25)/1000
)</f>
        <v/>
      </c>
      <c r="BK25" s="106" t="str">
        <f aca="false">IF(ISNUMBER(BJ25), RANK(BJ25,BJ$8:BJ$507,1), "")</f>
        <v/>
      </c>
      <c r="BL25" s="106" t="str">
        <f aca="false">IF(ISBLANK($C25),
    "",
    $B25
)</f>
        <v/>
      </c>
      <c r="BM25" s="106" t="str">
        <f aca="false">IF(ISBLANK($C25),
    "",
    $C25
)</f>
        <v/>
      </c>
      <c r="BN25" s="106" t="str">
        <f aca="false">IF(ISBLANK($C25),
    "",
    $D25
)</f>
        <v/>
      </c>
      <c r="BO25" s="107" t="str">
        <f aca="false">BC25</f>
        <v/>
      </c>
      <c r="BP25" s="108" t="str">
        <f aca="false">BB25</f>
        <v/>
      </c>
      <c r="BQ25" s="106" t="str">
        <f aca="false">IF(ISBLANK($C25),
    "",
    BE25
)</f>
        <v/>
      </c>
      <c r="BR25" s="109" t="str">
        <f aca="false">IF(BI25&gt;BH$7,
    "",
    VLOOKUP(BI25,BK$8:BQ524,7,FALSE())
)</f>
        <v/>
      </c>
      <c r="BS25" s="110" t="str">
        <f aca="false">IF(BI25&gt;BH$7,
    "",
    VLOOKUP(BI25,BK$8:BQ524,2,FALSE())
)</f>
        <v/>
      </c>
      <c r="BT25" s="110" t="str">
        <f aca="false">IF(BI25&gt;BH$7,
    "",
    VLOOKUP(BI25,BK$8:BQ524,3,FALSE())
)</f>
        <v/>
      </c>
      <c r="BU25" s="110" t="str">
        <f aca="false">IF(BI25&gt;BH$7,
    "",
    VLOOKUP(BI25,BK$8:BQ524,4,FALSE())
)</f>
        <v/>
      </c>
      <c r="BV25" s="110" t="str">
        <f aca="false">IF(BI25&gt;BH$7,
    "",
    VLOOKUP(BI25,BK$8:BQ524,5,FALSE())
)</f>
        <v/>
      </c>
      <c r="BW25" s="111" t="str">
        <f aca="false">IF(BI25&gt;BH$7,
    "",
    VLOOKUP(BI25,BK$8:BQ524,6,FALSE())
)</f>
        <v/>
      </c>
      <c r="BX25" s="50"/>
    </row>
    <row r="26" customFormat="false" ht="15.75" hidden="false" customHeight="false" outlineLevel="0" collapsed="false">
      <c r="A26" s="5"/>
      <c r="B26" s="126"/>
      <c r="C26" s="52"/>
      <c r="D26" s="53"/>
      <c r="E26" s="120"/>
      <c r="F26" s="120"/>
      <c r="G26" s="55"/>
      <c r="H26" s="56"/>
      <c r="I26" s="121"/>
      <c r="J26" s="121"/>
      <c r="K26" s="121"/>
      <c r="L26" s="58"/>
      <c r="M26" s="58"/>
      <c r="N26" s="58"/>
      <c r="O26" s="59"/>
      <c r="P26" s="60"/>
      <c r="Q26" s="80"/>
      <c r="R26" s="62"/>
      <c r="S26" s="63"/>
      <c r="T26" s="63" t="str">
        <f aca="false">IF(ISBLANK($C26),"",IF(G26=Constants!$B$2, TRUE(), IF(G26=Constants!$B$3, FALSE(), TRUE())))</f>
        <v/>
      </c>
      <c r="U26" s="63" t="str">
        <f aca="false">IF(ISBLANK($C26),"",IF(H26=Constants!$B$2, TRUE(), IF(H26=Constants!$B$3, FALSE(), TRUE())))</f>
        <v/>
      </c>
      <c r="V26" s="63" t="str">
        <f aca="false">IF(ISBLANK($C26),"",IF(I26=Constants!$B$2, TRUE(), IF(I26=Constants!$B$3, FALSE(), TRUE())))</f>
        <v/>
      </c>
      <c r="W26" s="63" t="str">
        <f aca="false">IF(ISBLANK($C26),"",IF(J26=Constants!$B$2, TRUE(), IF(J26=Constants!$B$3, FALSE(), TRUE())))</f>
        <v/>
      </c>
      <c r="X26" s="63" t="str">
        <f aca="false">IF(ISBLANK($C26),"",IF(K26=Constants!$B$2, TRUE(), IF(K26=Constants!$B$3, FALSE(), TRUE())))</f>
        <v/>
      </c>
      <c r="Y26" s="65" t="str">
        <f aca="false">IF(ISBLANK($C26),"",IF(ISNUMBER(L26), L26, ""))</f>
        <v/>
      </c>
      <c r="Z26" s="65" t="str">
        <f aca="false">IF(ISBLANK($C26),"",IF(ISNUMBER(M26), M26, ""))</f>
        <v/>
      </c>
      <c r="AA26" s="65" t="str">
        <f aca="false">IF(ISBLANK($C26),"",IF(ISNUMBER(N26), N26, ""))</f>
        <v/>
      </c>
      <c r="AB26" s="66" t="str">
        <f aca="false">IF(ISBLANK($C26),"",IF(ISNUMBER(O26), O26, ""))</f>
        <v/>
      </c>
      <c r="AC26" s="66" t="str">
        <f aca="false">IF(ISBLANK($C26),"",IF(ISNUMBER(P26), P26, Constants!$B$13))</f>
        <v/>
      </c>
      <c r="AD26" s="63" t="str">
        <f aca="false">IF(ISBLANK($C26),"",IF(Q26=Constants!$B$2, TRUE(), IF(Q26=Constants!$B$3, FALSE(), FALSE())))</f>
        <v/>
      </c>
      <c r="AE26" s="63" t="str">
        <f aca="false">IF(ISBLANK(C26), "", IF(AD26, Constants!$B$4,IF(COUNTA(G26:O26)=0, Constants!$B$5, Constants!$B$7)))</f>
        <v/>
      </c>
      <c r="AF26" s="63" t="str">
        <f aca="false">IF(ISBLANK($C26), "",IF($AE26=Constants!$B$7,1,$AE26))</f>
        <v/>
      </c>
      <c r="AG26" s="63" t="str">
        <f aca="false">IF($AE26=Constants!$B$7,IF(V26, 1, Constants!$B$11) * IF(X26, 1, Constants!$B$12),"")</f>
        <v/>
      </c>
      <c r="AH26" s="63" t="str">
        <f aca="false">IF(AND($AE26=Constants!$B$7, T26, U26) ,MAX(0, $AA26-$Y26),"")</f>
        <v/>
      </c>
      <c r="AI26" s="63" t="str">
        <f aca="false">IF(ISERROR(AH26),$AI$6,"")</f>
        <v/>
      </c>
      <c r="AJ26" s="63" t="str">
        <f aca="false">IF($AE26=Constants!$B$7,IF(AND(T26,U26,W26),IF($AH$6=0,Constants!$B$9,Constants!$B$9*AH26/$AH$6), 0),"")</f>
        <v/>
      </c>
      <c r="AK26" s="63" t="str">
        <f aca="false">IF(AJ26&lt;&gt;"", AJ26*AG26,"")</f>
        <v/>
      </c>
      <c r="AL26" s="63" t="str">
        <f aca="false">IF(AND($AE26=Constants!$B$7, T26, U26) ,IF($Z26="", "", MAX(0,1-ABS($AA26-$Z26)/$AA26)),"")</f>
        <v/>
      </c>
      <c r="AM26" s="63" t="str">
        <f aca="false">IF(AND(NOT(ISERROR(AH26)),ISERROR(AL26)),$AM$6,"")</f>
        <v/>
      </c>
      <c r="AN26" s="63" t="str">
        <f aca="false">IF($AE26=Constants!$B$7 ,IF(AND(T26,U26,W26,ISNUMBER(Z26)),IF($AL$6=0,Constants!$B$10,Constants!$B$10*AL26/$AL$6), 0),"")</f>
        <v/>
      </c>
      <c r="AO26" s="63" t="str">
        <f aca="false">IF(AN26&lt;&gt;"", AN26*AG26,"")</f>
        <v/>
      </c>
      <c r="AP26" s="63" t="str">
        <f aca="false">IF($AE26=Constants!$B$7,IF($AP$6=0,Constants!$B$8,Constants!$B$8*AB26/$AP$6),"")</f>
        <v/>
      </c>
      <c r="AQ26" s="63" t="str">
        <f aca="false">IF($AE26&lt;&gt;Constants!$B$7,$AE26,AK26+AO26+AP26)</f>
        <v/>
      </c>
      <c r="AR26" s="63" t="str">
        <f aca="false">IF(ISBLANK($C26),"",IF($AE26=Constants!$B$7,RANK(AQ26,$AQ$8:$AQ$507),$AE26))</f>
        <v/>
      </c>
      <c r="AS26" s="63" t="str">
        <f aca="false">IF(ISBLANK($C26), "",AK26)</f>
        <v/>
      </c>
      <c r="AT26" s="63" t="str">
        <f aca="false">IF(ISBLANK($C26),"",IF($AE26=Constants!$B$7,RANK(AS26,AS$8:AS$507),$AE26))</f>
        <v/>
      </c>
      <c r="AU26" s="63" t="str">
        <f aca="false">IF(ISBLANK($C26), "",AP26)</f>
        <v/>
      </c>
      <c r="AV26" s="63" t="str">
        <f aca="false">IF(ISBLANK($C26),"",IF($AE26=Constants!$B$7,RANK(AU26,AU$8:AU$507),$AE26))</f>
        <v/>
      </c>
      <c r="AW26" s="63" t="str">
        <f aca="false">IF(ISBLANK($C26), "",AC26)</f>
        <v/>
      </c>
      <c r="AX26" s="63" t="str">
        <f aca="false">IF(ISBLANK($C26),"",
IF($AE26=Constants!$B$7,
  COUNTIFS($AR$8:$AR$507,"&lt;"&amp;$AR26)
  + COUNTIFS($AR$8:$AR$507,$AR26,$AT$8:$AT$507,"&lt;"&amp;$AT26)
  + COUNTIFS($AR$8:$AR$507,$AR26,$AT$8:$AT$507,$AT26,$AV$8:$AV$507,"&lt;"&amp;$AV26)
  + COUNTIFS($AR$8:$AR$507,$AR26,$AT$8:$AT$507,$AT26,$AV$8:$AV$507,$AV26,$AW$8:$AW$507,"&lt;"&amp;$AW26)
  + 1,
$AE26))</f>
        <v/>
      </c>
      <c r="AY26" s="63" t="str">
        <f aca="false">IF(ISBLANK(C26),"",IF($AE26=Constants!$B$7, AR26-AX26,$AE26))</f>
        <v/>
      </c>
      <c r="AZ26" s="67"/>
      <c r="BA26" s="81" t="str">
        <f aca="false">IF(ISBLANK($C26),"",TRIM(AI26&amp;" "&amp;AM26))</f>
        <v/>
      </c>
      <c r="BB26" s="69" t="str">
        <f aca="false">IF(ISBLANK($C26),"",IF($AE26&lt;&gt;Constants!$B$7, $AE26 ,AQ26))</f>
        <v/>
      </c>
      <c r="BC26" s="70" t="str">
        <f aca="false">IF(ISBLANK($C26),"",IF($AE26&lt;&gt;Constants!$B$7, $AE26 ,AF26))</f>
        <v/>
      </c>
      <c r="BD26" s="71" t="str">
        <f aca="false">IF(ISBLANK(C26),"",AY26)</f>
        <v/>
      </c>
      <c r="BE26" s="71" t="str">
        <f aca="false">IF(ISBLANK(C26),"",AX26)</f>
        <v/>
      </c>
      <c r="BF26" s="72" t="str">
        <f aca="false">IF(ISBLANK(C26),"",IFERROR(_xlfn.SWITCH(BE26, Constants!$B$4, COUNTA($C$8:$C525)+2, Constants!$B$5, COUNTA($C$8:$C525)+1, Constants!$B$6, COUNTA($C$8:$C525)),BE26))</f>
        <v/>
      </c>
      <c r="BG26" s="5"/>
      <c r="BH26" s="73" t="n">
        <f aca="false">IF(OR(ISNUMBER(BE26),BE26="DQ",BE26="P",BE26="NS"),
    1,
    0
)</f>
        <v>0</v>
      </c>
      <c r="BI26" s="73" t="n">
        <v>19</v>
      </c>
      <c r="BJ26" s="73" t="str">
        <f aca="false">IF(ISBLANK($C26),
    "",
   BF26+ROW($B26)/1000
)</f>
        <v/>
      </c>
      <c r="BK26" s="73" t="str">
        <f aca="false">IF(ISNUMBER(BJ26), RANK(BJ26,BJ$8:BJ$507,1), "")</f>
        <v/>
      </c>
      <c r="BL26" s="73" t="str">
        <f aca="false">IF(ISBLANK($C26),
    "",
    $B26
)</f>
        <v/>
      </c>
      <c r="BM26" s="73" t="str">
        <f aca="false">IF(ISBLANK($C26),
    "",
    $C26
)</f>
        <v/>
      </c>
      <c r="BN26" s="73" t="str">
        <f aca="false">IF(ISBLANK($C26),
    "",
    $D26
)</f>
        <v/>
      </c>
      <c r="BO26" s="74" t="str">
        <f aca="false">BC26</f>
        <v/>
      </c>
      <c r="BP26" s="75" t="str">
        <f aca="false">BB26</f>
        <v/>
      </c>
      <c r="BQ26" s="73" t="str">
        <f aca="false">IF(ISBLANK($C26),
    "",
    BE26
)</f>
        <v/>
      </c>
      <c r="BR26" s="76" t="str">
        <f aca="false">IF(BI26&gt;BH$7,
    "",
    VLOOKUP(BI26,BK$8:BQ525,7,FALSE())
)</f>
        <v/>
      </c>
      <c r="BS26" s="77" t="str">
        <f aca="false">IF(BI26&gt;BH$7,
    "",
    VLOOKUP(BI26,BK$8:BQ525,2,FALSE())
)</f>
        <v/>
      </c>
      <c r="BT26" s="77" t="str">
        <f aca="false">IF(BI26&gt;BH$7,
    "",
    VLOOKUP(BI26,BK$8:BQ525,3,FALSE())
)</f>
        <v/>
      </c>
      <c r="BU26" s="77" t="str">
        <f aca="false">IF(BI26&gt;BH$7,
    "",
    VLOOKUP(BI26,BK$8:BQ525,4,FALSE())
)</f>
        <v/>
      </c>
      <c r="BV26" s="77" t="str">
        <f aca="false">IF(BI26&gt;BH$7,
    "",
    VLOOKUP(BI26,BK$8:BQ525,5,FALSE())
)</f>
        <v/>
      </c>
      <c r="BW26" s="78" t="str">
        <f aca="false">IF(BI26&gt;BH$7,
    "",
    VLOOKUP(BI26,BK$8:BQ525,6,FALSE())
)</f>
        <v/>
      </c>
      <c r="BX26" s="50"/>
    </row>
    <row r="27" customFormat="false" ht="15.75" hidden="false" customHeight="false" outlineLevel="0" collapsed="false">
      <c r="A27" s="5"/>
      <c r="B27" s="126"/>
      <c r="C27" s="52"/>
      <c r="D27" s="53"/>
      <c r="E27" s="120"/>
      <c r="F27" s="120"/>
      <c r="G27" s="55"/>
      <c r="H27" s="56"/>
      <c r="I27" s="121"/>
      <c r="J27" s="121"/>
      <c r="K27" s="121"/>
      <c r="L27" s="58"/>
      <c r="M27" s="58"/>
      <c r="N27" s="58"/>
      <c r="O27" s="59"/>
      <c r="P27" s="60"/>
      <c r="Q27" s="80"/>
      <c r="R27" s="62"/>
      <c r="S27" s="63"/>
      <c r="T27" s="63" t="str">
        <f aca="false">IF(ISBLANK($C27),"",IF(G27=Constants!$B$2, TRUE(), IF(G27=Constants!$B$3, FALSE(), TRUE())))</f>
        <v/>
      </c>
      <c r="U27" s="63" t="str">
        <f aca="false">IF(ISBLANK($C27),"",IF(H27=Constants!$B$2, TRUE(), IF(H27=Constants!$B$3, FALSE(), TRUE())))</f>
        <v/>
      </c>
      <c r="V27" s="63" t="str">
        <f aca="false">IF(ISBLANK($C27),"",IF(I27=Constants!$B$2, TRUE(), IF(I27=Constants!$B$3, FALSE(), TRUE())))</f>
        <v/>
      </c>
      <c r="W27" s="63" t="str">
        <f aca="false">IF(ISBLANK($C27),"",IF(J27=Constants!$B$2, TRUE(), IF(J27=Constants!$B$3, FALSE(), TRUE())))</f>
        <v/>
      </c>
      <c r="X27" s="63" t="str">
        <f aca="false">IF(ISBLANK($C27),"",IF(K27=Constants!$B$2, TRUE(), IF(K27=Constants!$B$3, FALSE(), TRUE())))</f>
        <v/>
      </c>
      <c r="Y27" s="65" t="str">
        <f aca="false">IF(ISBLANK($C27),"",IF(ISNUMBER(L27), L27, ""))</f>
        <v/>
      </c>
      <c r="Z27" s="65" t="str">
        <f aca="false">IF(ISBLANK($C27),"",IF(ISNUMBER(M27), M27, ""))</f>
        <v/>
      </c>
      <c r="AA27" s="65" t="str">
        <f aca="false">IF(ISBLANK($C27),"",IF(ISNUMBER(N27), N27, ""))</f>
        <v/>
      </c>
      <c r="AB27" s="66" t="str">
        <f aca="false">IF(ISBLANK($C27),"",IF(ISNUMBER(O27), O27, ""))</f>
        <v/>
      </c>
      <c r="AC27" s="66" t="str">
        <f aca="false">IF(ISBLANK($C27),"",IF(ISNUMBER(P27), P27, Constants!$B$13))</f>
        <v/>
      </c>
      <c r="AD27" s="63" t="str">
        <f aca="false">IF(ISBLANK($C27),"",IF(Q27=Constants!$B$2, TRUE(), IF(Q27=Constants!$B$3, FALSE(), FALSE())))</f>
        <v/>
      </c>
      <c r="AE27" s="63" t="str">
        <f aca="false">IF(ISBLANK(C27), "", IF(AD27, Constants!$B$4,IF(COUNTA(G27:O27)=0, Constants!$B$5, Constants!$B$7)))</f>
        <v/>
      </c>
      <c r="AF27" s="63" t="str">
        <f aca="false">IF(ISBLANK($C27), "",IF($AE27=Constants!$B$7,1,$AE27))</f>
        <v/>
      </c>
      <c r="AG27" s="63" t="str">
        <f aca="false">IF($AE27=Constants!$B$7,IF(V27, 1, Constants!$B$11) * IF(X27, 1, Constants!$B$12),"")</f>
        <v/>
      </c>
      <c r="AH27" s="63" t="str">
        <f aca="false">IF(AND($AE27=Constants!$B$7, T27, U27) ,MAX(0, $AA27-$Y27),"")</f>
        <v/>
      </c>
      <c r="AI27" s="63" t="str">
        <f aca="false">IF(ISERROR(AH27),$AI$6,"")</f>
        <v/>
      </c>
      <c r="AJ27" s="63" t="str">
        <f aca="false">IF($AE27=Constants!$B$7,IF(AND(T27,U27,W27),IF($AH$6=0,Constants!$B$9,Constants!$B$9*AH27/$AH$6), 0),"")</f>
        <v/>
      </c>
      <c r="AK27" s="63" t="str">
        <f aca="false">IF(AJ27&lt;&gt;"", AJ27*AG27,"")</f>
        <v/>
      </c>
      <c r="AL27" s="63" t="str">
        <f aca="false">IF(AND($AE27=Constants!$B$7, T27, U27) ,IF($Z27="", "", MAX(0,1-ABS($AA27-$Z27)/$AA27)),"")</f>
        <v/>
      </c>
      <c r="AM27" s="63" t="str">
        <f aca="false">IF(AND(NOT(ISERROR(AH27)),ISERROR(AL27)),$AM$6,"")</f>
        <v/>
      </c>
      <c r="AN27" s="63" t="str">
        <f aca="false">IF($AE27=Constants!$B$7 ,IF(AND(T27,U27,W27,ISNUMBER(Z27)),IF($AL$6=0,Constants!$B$10,Constants!$B$10*AL27/$AL$6), 0),"")</f>
        <v/>
      </c>
      <c r="AO27" s="63" t="str">
        <f aca="false">IF(AN27&lt;&gt;"", AN27*AG27,"")</f>
        <v/>
      </c>
      <c r="AP27" s="63" t="str">
        <f aca="false">IF($AE27=Constants!$B$7,IF($AP$6=0,Constants!$B$8,Constants!$B$8*AB27/$AP$6),"")</f>
        <v/>
      </c>
      <c r="AQ27" s="63" t="str">
        <f aca="false">IF($AE27&lt;&gt;Constants!$B$7,$AE27,AK27+AO27+AP27)</f>
        <v/>
      </c>
      <c r="AR27" s="63" t="str">
        <f aca="false">IF(ISBLANK($C27),"",IF($AE27=Constants!$B$7,RANK(AQ27,$AQ$8:$AQ$507),$AE27))</f>
        <v/>
      </c>
      <c r="AS27" s="63" t="str">
        <f aca="false">IF(ISBLANK($C27), "",AK27)</f>
        <v/>
      </c>
      <c r="AT27" s="63" t="str">
        <f aca="false">IF(ISBLANK($C27),"",IF($AE27=Constants!$B$7,RANK(AS27,AS$8:AS$507),$AE27))</f>
        <v/>
      </c>
      <c r="AU27" s="63" t="str">
        <f aca="false">IF(ISBLANK($C27), "",AP27)</f>
        <v/>
      </c>
      <c r="AV27" s="63" t="str">
        <f aca="false">IF(ISBLANK($C27),"",IF($AE27=Constants!$B$7,RANK(AU27,AU$8:AU$507),$AE27))</f>
        <v/>
      </c>
      <c r="AW27" s="63" t="str">
        <f aca="false">IF(ISBLANK($C27), "",AC27)</f>
        <v/>
      </c>
      <c r="AX27" s="63" t="str">
        <f aca="false">IF(ISBLANK($C27),"",
IF($AE27=Constants!$B$7,
  COUNTIFS($AR$8:$AR$507,"&lt;"&amp;$AR27)
  + COUNTIFS($AR$8:$AR$507,$AR27,$AT$8:$AT$507,"&lt;"&amp;$AT27)
  + COUNTIFS($AR$8:$AR$507,$AR27,$AT$8:$AT$507,$AT27,$AV$8:$AV$507,"&lt;"&amp;$AV27)
  + COUNTIFS($AR$8:$AR$507,$AR27,$AT$8:$AT$507,$AT27,$AV$8:$AV$507,$AV27,$AW$8:$AW$507,"&lt;"&amp;$AW27)
  + 1,
$AE27))</f>
        <v/>
      </c>
      <c r="AY27" s="63" t="str">
        <f aca="false">IF(ISBLANK(C27),"",IF($AE27=Constants!$B$7, AR27-AX27,$AE27))</f>
        <v/>
      </c>
      <c r="AZ27" s="67"/>
      <c r="BA27" s="81" t="str">
        <f aca="false">IF(ISBLANK($C27),"",TRIM(AI27&amp;" "&amp;AM27))</f>
        <v/>
      </c>
      <c r="BB27" s="69" t="str">
        <f aca="false">IF(ISBLANK($C27),"",IF($AE27&lt;&gt;Constants!$B$7, $AE27 ,AQ27))</f>
        <v/>
      </c>
      <c r="BC27" s="70" t="str">
        <f aca="false">IF(ISBLANK($C27),"",IF($AE27&lt;&gt;Constants!$B$7, $AE27 ,AF27))</f>
        <v/>
      </c>
      <c r="BD27" s="71" t="str">
        <f aca="false">IF(ISBLANK(C27),"",AY27)</f>
        <v/>
      </c>
      <c r="BE27" s="71" t="str">
        <f aca="false">IF(ISBLANK(C27),"",AX27)</f>
        <v/>
      </c>
      <c r="BF27" s="72" t="str">
        <f aca="false">IF(ISBLANK(C27),"",IFERROR(_xlfn.SWITCH(BE27, Constants!$B$4, COUNTA($C$8:$C526)+2, Constants!$B$5, COUNTA($C$8:$C526)+1, Constants!$B$6, COUNTA($C$8:$C526)),BE27))</f>
        <v/>
      </c>
      <c r="BG27" s="5"/>
      <c r="BH27" s="73" t="n">
        <f aca="false">IF(OR(ISNUMBER(BE27),BE27="DQ",BE27="P",BE27="NS"),
    1,
    0
)</f>
        <v>0</v>
      </c>
      <c r="BI27" s="73" t="n">
        <v>20</v>
      </c>
      <c r="BJ27" s="73" t="str">
        <f aca="false">IF(ISBLANK($C27),
    "",
   BF27+ROW($B27)/1000
)</f>
        <v/>
      </c>
      <c r="BK27" s="73" t="str">
        <f aca="false">IF(ISNUMBER(BJ27), RANK(BJ27,BJ$8:BJ$507,1), "")</f>
        <v/>
      </c>
      <c r="BL27" s="73" t="str">
        <f aca="false">IF(ISBLANK($C27),
    "",
    $B27
)</f>
        <v/>
      </c>
      <c r="BM27" s="73" t="str">
        <f aca="false">IF(ISBLANK($C27),
    "",
    $C27
)</f>
        <v/>
      </c>
      <c r="BN27" s="73" t="str">
        <f aca="false">IF(ISBLANK($C27),
    "",
    $D27
)</f>
        <v/>
      </c>
      <c r="BO27" s="74" t="str">
        <f aca="false">BC27</f>
        <v/>
      </c>
      <c r="BP27" s="75" t="str">
        <f aca="false">BB27</f>
        <v/>
      </c>
      <c r="BQ27" s="73" t="str">
        <f aca="false">IF(ISBLANK($C27),
    "",
    BE27
)</f>
        <v/>
      </c>
      <c r="BR27" s="76" t="str">
        <f aca="false">IF(BI27&gt;BH$7,
    "",
    VLOOKUP(BI27,BK$8:BQ526,7,FALSE())
)</f>
        <v/>
      </c>
      <c r="BS27" s="77" t="str">
        <f aca="false">IF(BI27&gt;BH$7,
    "",
    VLOOKUP(BI27,BK$8:BQ526,2,FALSE())
)</f>
        <v/>
      </c>
      <c r="BT27" s="77" t="str">
        <f aca="false">IF(BI27&gt;BH$7,
    "",
    VLOOKUP(BI27,BK$8:BQ526,3,FALSE())
)</f>
        <v/>
      </c>
      <c r="BU27" s="77" t="str">
        <f aca="false">IF(BI27&gt;BH$7,
    "",
    VLOOKUP(BI27,BK$8:BQ526,4,FALSE())
)</f>
        <v/>
      </c>
      <c r="BV27" s="77" t="str">
        <f aca="false">IF(BI27&gt;BH$7,
    "",
    VLOOKUP(BI27,BK$8:BQ526,5,FALSE())
)</f>
        <v/>
      </c>
      <c r="BW27" s="78" t="str">
        <f aca="false">IF(BI27&gt;BH$7,
    "",
    VLOOKUP(BI27,BK$8:BQ526,6,FALSE())
)</f>
        <v/>
      </c>
      <c r="BX27" s="50"/>
    </row>
    <row r="28" customFormat="false" ht="15.75" hidden="false" customHeight="false" outlineLevel="0" collapsed="false">
      <c r="A28" s="5"/>
      <c r="B28" s="126"/>
      <c r="C28" s="52"/>
      <c r="D28" s="53"/>
      <c r="E28" s="120"/>
      <c r="F28" s="120"/>
      <c r="G28" s="55"/>
      <c r="H28" s="56"/>
      <c r="I28" s="121"/>
      <c r="J28" s="121"/>
      <c r="K28" s="121"/>
      <c r="L28" s="58"/>
      <c r="M28" s="58"/>
      <c r="N28" s="58"/>
      <c r="O28" s="59"/>
      <c r="P28" s="60"/>
      <c r="Q28" s="80"/>
      <c r="R28" s="62"/>
      <c r="S28" s="63"/>
      <c r="T28" s="63" t="str">
        <f aca="false">IF(ISBLANK($C28),"",IF(G28=Constants!$B$2, TRUE(), IF(G28=Constants!$B$3, FALSE(), TRUE())))</f>
        <v/>
      </c>
      <c r="U28" s="63" t="str">
        <f aca="false">IF(ISBLANK($C28),"",IF(H28=Constants!$B$2, TRUE(), IF(H28=Constants!$B$3, FALSE(), TRUE())))</f>
        <v/>
      </c>
      <c r="V28" s="63" t="str">
        <f aca="false">IF(ISBLANK($C28),"",IF(I28=Constants!$B$2, TRUE(), IF(I28=Constants!$B$3, FALSE(), TRUE())))</f>
        <v/>
      </c>
      <c r="W28" s="63" t="str">
        <f aca="false">IF(ISBLANK($C28),"",IF(J28=Constants!$B$2, TRUE(), IF(J28=Constants!$B$3, FALSE(), TRUE())))</f>
        <v/>
      </c>
      <c r="X28" s="63" t="str">
        <f aca="false">IF(ISBLANK($C28),"",IF(K28=Constants!$B$2, TRUE(), IF(K28=Constants!$B$3, FALSE(), TRUE())))</f>
        <v/>
      </c>
      <c r="Y28" s="65" t="str">
        <f aca="false">IF(ISBLANK($C28),"",IF(ISNUMBER(L28), L28, ""))</f>
        <v/>
      </c>
      <c r="Z28" s="65" t="str">
        <f aca="false">IF(ISBLANK($C28),"",IF(ISNUMBER(M28), M28, ""))</f>
        <v/>
      </c>
      <c r="AA28" s="65" t="str">
        <f aca="false">IF(ISBLANK($C28),"",IF(ISNUMBER(N28), N28, ""))</f>
        <v/>
      </c>
      <c r="AB28" s="66" t="str">
        <f aca="false">IF(ISBLANK($C28),"",IF(ISNUMBER(O28), O28, ""))</f>
        <v/>
      </c>
      <c r="AC28" s="66" t="str">
        <f aca="false">IF(ISBLANK($C28),"",IF(ISNUMBER(P28), P28, Constants!$B$13))</f>
        <v/>
      </c>
      <c r="AD28" s="63" t="str">
        <f aca="false">IF(ISBLANK($C28),"",IF(Q28=Constants!$B$2, TRUE(), IF(Q28=Constants!$B$3, FALSE(), FALSE())))</f>
        <v/>
      </c>
      <c r="AE28" s="63" t="str">
        <f aca="false">IF(ISBLANK(C28), "", IF(AD28, Constants!$B$4,IF(COUNTA(G28:O28)=0, Constants!$B$5, Constants!$B$7)))</f>
        <v/>
      </c>
      <c r="AF28" s="63" t="str">
        <f aca="false">IF(ISBLANK($C28), "",IF($AE28=Constants!$B$7,1,$AE28))</f>
        <v/>
      </c>
      <c r="AG28" s="63" t="str">
        <f aca="false">IF($AE28=Constants!$B$7,IF(V28, 1, Constants!$B$11) * IF(X28, 1, Constants!$B$12),"")</f>
        <v/>
      </c>
      <c r="AH28" s="63" t="str">
        <f aca="false">IF(AND($AE28=Constants!$B$7, T28, U28) ,MAX(0, $AA28-$Y28),"")</f>
        <v/>
      </c>
      <c r="AI28" s="63" t="str">
        <f aca="false">IF(ISERROR(AH28),$AI$6,"")</f>
        <v/>
      </c>
      <c r="AJ28" s="63" t="str">
        <f aca="false">IF($AE28=Constants!$B$7,IF(AND(T28,U28,W28),IF($AH$6=0,Constants!$B$9,Constants!$B$9*AH28/$AH$6), 0),"")</f>
        <v/>
      </c>
      <c r="AK28" s="63" t="str">
        <f aca="false">IF(AJ28&lt;&gt;"", AJ28*AG28,"")</f>
        <v/>
      </c>
      <c r="AL28" s="63" t="str">
        <f aca="false">IF(AND($AE28=Constants!$B$7, T28, U28) ,IF($Z28="", "", MAX(0,1-ABS($AA28-$Z28)/$AA28)),"")</f>
        <v/>
      </c>
      <c r="AM28" s="63" t="str">
        <f aca="false">IF(AND(NOT(ISERROR(AH28)),ISERROR(AL28)),$AM$6,"")</f>
        <v/>
      </c>
      <c r="AN28" s="63" t="str">
        <f aca="false">IF($AE28=Constants!$B$7 ,IF(AND(T28,U28,W28,ISNUMBER(Z28)),IF($AL$6=0,Constants!$B$10,Constants!$B$10*AL28/$AL$6), 0),"")</f>
        <v/>
      </c>
      <c r="AO28" s="63" t="str">
        <f aca="false">IF(AN28&lt;&gt;"", AN28*AG28,"")</f>
        <v/>
      </c>
      <c r="AP28" s="63" t="str">
        <f aca="false">IF($AE28=Constants!$B$7,IF($AP$6=0,Constants!$B$8,Constants!$B$8*AB28/$AP$6),"")</f>
        <v/>
      </c>
      <c r="AQ28" s="63" t="str">
        <f aca="false">IF($AE28&lt;&gt;Constants!$B$7,$AE28,AK28+AO28+AP28)</f>
        <v/>
      </c>
      <c r="AR28" s="63" t="str">
        <f aca="false">IF(ISBLANK($C28),"",IF($AE28=Constants!$B$7,RANK(AQ28,$AQ$8:$AQ$507),$AE28))</f>
        <v/>
      </c>
      <c r="AS28" s="63" t="str">
        <f aca="false">IF(ISBLANK($C28), "",AK28)</f>
        <v/>
      </c>
      <c r="AT28" s="63" t="str">
        <f aca="false">IF(ISBLANK($C28),"",IF($AE28=Constants!$B$7,RANK(AS28,AS$8:AS$507),$AE28))</f>
        <v/>
      </c>
      <c r="AU28" s="63" t="str">
        <f aca="false">IF(ISBLANK($C28), "",AP28)</f>
        <v/>
      </c>
      <c r="AV28" s="63" t="str">
        <f aca="false">IF(ISBLANK($C28),"",IF($AE28=Constants!$B$7,RANK(AU28,AU$8:AU$507),$AE28))</f>
        <v/>
      </c>
      <c r="AW28" s="63" t="str">
        <f aca="false">IF(ISBLANK($C28), "",AC28)</f>
        <v/>
      </c>
      <c r="AX28" s="63" t="str">
        <f aca="false">IF(ISBLANK($C28),"",
IF($AE28=Constants!$B$7,
  COUNTIFS($AR$8:$AR$507,"&lt;"&amp;$AR28)
  + COUNTIFS($AR$8:$AR$507,$AR28,$AT$8:$AT$507,"&lt;"&amp;$AT28)
  + COUNTIFS($AR$8:$AR$507,$AR28,$AT$8:$AT$507,$AT28,$AV$8:$AV$507,"&lt;"&amp;$AV28)
  + COUNTIFS($AR$8:$AR$507,$AR28,$AT$8:$AT$507,$AT28,$AV$8:$AV$507,$AV28,$AW$8:$AW$507,"&lt;"&amp;$AW28)
  + 1,
$AE28))</f>
        <v/>
      </c>
      <c r="AY28" s="63" t="str">
        <f aca="false">IF(ISBLANK(C28),"",IF($AE28=Constants!$B$7, AR28-AX28,$AE28))</f>
        <v/>
      </c>
      <c r="AZ28" s="67"/>
      <c r="BA28" s="81" t="str">
        <f aca="false">IF(ISBLANK($C28),"",TRIM(AI28&amp;" "&amp;AM28))</f>
        <v/>
      </c>
      <c r="BB28" s="69" t="str">
        <f aca="false">IF(ISBLANK($C28),"",IF($AE28&lt;&gt;Constants!$B$7, $AE28 ,AQ28))</f>
        <v/>
      </c>
      <c r="BC28" s="70" t="str">
        <f aca="false">IF(ISBLANK($C28),"",IF($AE28&lt;&gt;Constants!$B$7, $AE28 ,AF28))</f>
        <v/>
      </c>
      <c r="BD28" s="71" t="str">
        <f aca="false">IF(ISBLANK(C28),"",AY28)</f>
        <v/>
      </c>
      <c r="BE28" s="71" t="str">
        <f aca="false">IF(ISBLANK(C28),"",AX28)</f>
        <v/>
      </c>
      <c r="BF28" s="72" t="str">
        <f aca="false">IF(ISBLANK(C28),"",IFERROR(_xlfn.SWITCH(BE28, Constants!$B$4, COUNTA($C$8:$C527)+2, Constants!$B$5, COUNTA($C$8:$C527)+1, Constants!$B$6, COUNTA($C$8:$C527)),BE28))</f>
        <v/>
      </c>
      <c r="BG28" s="5"/>
      <c r="BH28" s="73" t="n">
        <f aca="false">IF(OR(ISNUMBER(BE28),BE28="DQ",BE28="P",BE28="NS"),
    1,
    0
)</f>
        <v>0</v>
      </c>
      <c r="BI28" s="73" t="n">
        <v>21</v>
      </c>
      <c r="BJ28" s="73" t="str">
        <f aca="false">IF(ISBLANK($C28),
    "",
   BF28+ROW($B28)/1000
)</f>
        <v/>
      </c>
      <c r="BK28" s="73" t="str">
        <f aca="false">IF(ISNUMBER(BJ28), RANK(BJ28,BJ$8:BJ$507,1), "")</f>
        <v/>
      </c>
      <c r="BL28" s="73" t="str">
        <f aca="false">IF(ISBLANK($C28),
    "",
    $B28
)</f>
        <v/>
      </c>
      <c r="BM28" s="73" t="str">
        <f aca="false">IF(ISBLANK($C28),
    "",
    $C28
)</f>
        <v/>
      </c>
      <c r="BN28" s="73" t="str">
        <f aca="false">IF(ISBLANK($C28),
    "",
    $D28
)</f>
        <v/>
      </c>
      <c r="BO28" s="74" t="str">
        <f aca="false">BC28</f>
        <v/>
      </c>
      <c r="BP28" s="75" t="str">
        <f aca="false">BB28</f>
        <v/>
      </c>
      <c r="BQ28" s="73" t="str">
        <f aca="false">IF(ISBLANK($C28),
    "",
    BE28
)</f>
        <v/>
      </c>
      <c r="BR28" s="76" t="str">
        <f aca="false">IF(BI28&gt;BH$7,
    "",
    VLOOKUP(BI28,BK$8:BQ527,7,FALSE())
)</f>
        <v/>
      </c>
      <c r="BS28" s="77" t="str">
        <f aca="false">IF(BI28&gt;BH$7,
    "",
    VLOOKUP(BI28,BK$8:BQ527,2,FALSE())
)</f>
        <v/>
      </c>
      <c r="BT28" s="77" t="str">
        <f aca="false">IF(BI28&gt;BH$7,
    "",
    VLOOKUP(BI28,BK$8:BQ527,3,FALSE())
)</f>
        <v/>
      </c>
      <c r="BU28" s="77" t="str">
        <f aca="false">IF(BI28&gt;BH$7,
    "",
    VLOOKUP(BI28,BK$8:BQ527,4,FALSE())
)</f>
        <v/>
      </c>
      <c r="BV28" s="77" t="str">
        <f aca="false">IF(BI28&gt;BH$7,
    "",
    VLOOKUP(BI28,BK$8:BQ527,5,FALSE())
)</f>
        <v/>
      </c>
      <c r="BW28" s="78" t="str">
        <f aca="false">IF(BI28&gt;BH$7,
    "",
    VLOOKUP(BI28,BK$8:BQ527,6,FALSE())
)</f>
        <v/>
      </c>
      <c r="BX28" s="50"/>
    </row>
    <row r="29" customFormat="false" ht="15.75" hidden="false" customHeight="false" outlineLevel="0" collapsed="false">
      <c r="A29" s="5"/>
      <c r="B29" s="122"/>
      <c r="C29" s="123"/>
      <c r="D29" s="112"/>
      <c r="E29" s="116"/>
      <c r="F29" s="116"/>
      <c r="G29" s="88"/>
      <c r="H29" s="89"/>
      <c r="I29" s="124"/>
      <c r="J29" s="124"/>
      <c r="K29" s="124"/>
      <c r="L29" s="91"/>
      <c r="M29" s="91"/>
      <c r="N29" s="91"/>
      <c r="O29" s="92"/>
      <c r="P29" s="93"/>
      <c r="Q29" s="125"/>
      <c r="R29" s="95"/>
      <c r="S29" s="96"/>
      <c r="T29" s="96" t="str">
        <f aca="false">IF(ISBLANK($C29),"",IF(G29=Constants!$B$2, TRUE(), IF(G29=Constants!$B$3, FALSE(), TRUE())))</f>
        <v/>
      </c>
      <c r="U29" s="96" t="str">
        <f aca="false">IF(ISBLANK($C29),"",IF(H29=Constants!$B$2, TRUE(), IF(H29=Constants!$B$3, FALSE(), TRUE())))</f>
        <v/>
      </c>
      <c r="V29" s="96" t="str">
        <f aca="false">IF(ISBLANK($C29),"",IF(I29=Constants!$B$2, TRUE(), IF(I29=Constants!$B$3, FALSE(), TRUE())))</f>
        <v/>
      </c>
      <c r="W29" s="96" t="str">
        <f aca="false">IF(ISBLANK($C29),"",IF(J29=Constants!$B$2, TRUE(), IF(J29=Constants!$B$3, FALSE(), TRUE())))</f>
        <v/>
      </c>
      <c r="X29" s="97" t="str">
        <f aca="false">IF(ISBLANK($C29),"",IF(K29=Constants!$B$2, TRUE(), IF(K29=Constants!$B$3, FALSE(), TRUE())))</f>
        <v/>
      </c>
      <c r="Y29" s="98" t="str">
        <f aca="false">IF(ISBLANK($C29),"",IF(ISNUMBER(L29), L29, ""))</f>
        <v/>
      </c>
      <c r="Z29" s="98" t="str">
        <f aca="false">IF(ISBLANK($C29),"",IF(ISNUMBER(M29), M29, ""))</f>
        <v/>
      </c>
      <c r="AA29" s="98" t="str">
        <f aca="false">IF(ISBLANK($C29),"",IF(ISNUMBER(N29), N29, ""))</f>
        <v/>
      </c>
      <c r="AB29" s="99" t="str">
        <f aca="false">IF(ISBLANK($C29),"",IF(ISNUMBER(O29), O29, ""))</f>
        <v/>
      </c>
      <c r="AC29" s="99" t="str">
        <f aca="false">IF(ISBLANK($C29),"",IF(ISNUMBER(P29), P29, Constants!$B$13))</f>
        <v/>
      </c>
      <c r="AD29" s="96" t="str">
        <f aca="false">IF(ISBLANK($C29),"",IF(Q29=Constants!$B$2, TRUE(), IF(Q29=Constants!$B$3, FALSE(), FALSE())))</f>
        <v/>
      </c>
      <c r="AE29" s="96" t="str">
        <f aca="false">IF(ISBLANK(C29), "", IF(AD29, Constants!$B$4,IF(COUNTA(G29:O29)=0, Constants!$B$5, Constants!$B$7)))</f>
        <v/>
      </c>
      <c r="AF29" s="96" t="str">
        <f aca="false">IF(ISBLANK($C29), "",IF($AE29=Constants!$B$7,1,$AE29))</f>
        <v/>
      </c>
      <c r="AG29" s="96" t="str">
        <f aca="false">IF($AE29=Constants!$B$7,IF(V29, 1, Constants!$B$11) * IF(X29, 1, Constants!$B$12),"")</f>
        <v/>
      </c>
      <c r="AH29" s="96" t="str">
        <f aca="false">IF(AND($AE29=Constants!$B$7, T29, U29) ,MAX(0, $AA29-$Y29),"")</f>
        <v/>
      </c>
      <c r="AI29" s="96" t="str">
        <f aca="false">IF(ISERROR(AH29),$AI$6,"")</f>
        <v/>
      </c>
      <c r="AJ29" s="96" t="str">
        <f aca="false">IF($AE29=Constants!$B$7,IF(AND(T29,U29,W29),IF($AH$6=0,Constants!$B$9,Constants!$B$9*AH29/$AH$6), 0),"")</f>
        <v/>
      </c>
      <c r="AK29" s="96" t="str">
        <f aca="false">IF(AJ29&lt;&gt;"", AJ29*AG29,"")</f>
        <v/>
      </c>
      <c r="AL29" s="96" t="str">
        <f aca="false">IF(AND($AE29=Constants!$B$7, T29, U29) ,IF($Z29="", "", MAX(0,1-ABS($AA29-$Z29)/$AA29)),"")</f>
        <v/>
      </c>
      <c r="AM29" s="96" t="str">
        <f aca="false">IF(AND(NOT(ISERROR(AH29)),ISERROR(AL29)),$AM$6,"")</f>
        <v/>
      </c>
      <c r="AN29" s="96" t="str">
        <f aca="false">IF($AE29=Constants!$B$7 ,IF(AND(T29,U29,W29,ISNUMBER(Z29)),IF($AL$6=0,Constants!$B$10,Constants!$B$10*AL29/$AL$6), 0),"")</f>
        <v/>
      </c>
      <c r="AO29" s="96" t="str">
        <f aca="false">IF(AN29&lt;&gt;"", AN29*AG29,"")</f>
        <v/>
      </c>
      <c r="AP29" s="96" t="str">
        <f aca="false">IF($AE29=Constants!$B$7,IF($AP$6=0,Constants!$B$8,Constants!$B$8*AB29/$AP$6),"")</f>
        <v/>
      </c>
      <c r="AQ29" s="96" t="str">
        <f aca="false">IF($AE29&lt;&gt;Constants!$B$7,$AE29,AK29+AO29+AP29)</f>
        <v/>
      </c>
      <c r="AR29" s="96" t="str">
        <f aca="false">IF(ISBLANK($C29),"",IF($AE29=Constants!$B$7,RANK(AQ29,$AQ$8:$AQ$507),$AE29))</f>
        <v/>
      </c>
      <c r="AS29" s="96" t="str">
        <f aca="false">IF(ISBLANK($C29), "",AK29)</f>
        <v/>
      </c>
      <c r="AT29" s="96" t="str">
        <f aca="false">IF(ISBLANK($C29),"",IF($AE29=Constants!$B$7,RANK(AS29,AS$8:AS$507),$AE29))</f>
        <v/>
      </c>
      <c r="AU29" s="96" t="str">
        <f aca="false">IF(ISBLANK($C29), "",AP29)</f>
        <v/>
      </c>
      <c r="AV29" s="96" t="str">
        <f aca="false">IF(ISBLANK($C29),"",IF($AE29=Constants!$B$7,RANK(AU29,AU$8:AU$507),$AE29))</f>
        <v/>
      </c>
      <c r="AW29" s="96" t="str">
        <f aca="false">IF(ISBLANK($C29), "",AC29)</f>
        <v/>
      </c>
      <c r="AX29" s="96" t="str">
        <f aca="false">IF(ISBLANK($C29),"",
IF($AE29=Constants!$B$7,
  COUNTIFS($AR$8:$AR$507,"&lt;"&amp;$AR29)
  + COUNTIFS($AR$8:$AR$507,$AR29,$AT$8:$AT$507,"&lt;"&amp;$AT29)
  + COUNTIFS($AR$8:$AR$507,$AR29,$AT$8:$AT$507,$AT29,$AV$8:$AV$507,"&lt;"&amp;$AV29)
  + COUNTIFS($AR$8:$AR$507,$AR29,$AT$8:$AT$507,$AT29,$AV$8:$AV$507,$AV29,$AW$8:$AW$507,"&lt;"&amp;$AW29)
  + 1,
$AE29))</f>
        <v/>
      </c>
      <c r="AY29" s="96" t="str">
        <f aca="false">IF(ISBLANK(C29),"",IF($AE29=Constants!$B$7, AR29-AX29,$AE29))</f>
        <v/>
      </c>
      <c r="AZ29" s="100"/>
      <c r="BA29" s="101" t="str">
        <f aca="false">IF(ISBLANK($C29),"",TRIM(AI29&amp;" "&amp;AM29))</f>
        <v/>
      </c>
      <c r="BB29" s="102" t="str">
        <f aca="false">IF(ISBLANK($C29),"",IF($AE29&lt;&gt;Constants!$B$7, $AE29 ,AQ29))</f>
        <v/>
      </c>
      <c r="BC29" s="103" t="str">
        <f aca="false">IF(ISBLANK($C29),"",IF($AE29&lt;&gt;Constants!$B$7, $AE29 ,AF29))</f>
        <v/>
      </c>
      <c r="BD29" s="104" t="str">
        <f aca="false">IF(ISBLANK(C29),"",AY29)</f>
        <v/>
      </c>
      <c r="BE29" s="104" t="str">
        <f aca="false">IF(ISBLANK(C29),"",AX29)</f>
        <v/>
      </c>
      <c r="BF29" s="105" t="str">
        <f aca="false">IF(ISBLANK(C29),"",IFERROR(_xlfn.SWITCH(BE29, Constants!$B$4, COUNTA($C$8:$C528)+2, Constants!$B$5, COUNTA($C$8:$C528)+1, Constants!$B$6, COUNTA($C$8:$C528)),BE29))</f>
        <v/>
      </c>
      <c r="BG29" s="5"/>
      <c r="BH29" s="106" t="n">
        <f aca="false">IF(OR(ISNUMBER(BE29),BE29="DQ",BE29="P",BE29="NS"),
    1,
    0
)</f>
        <v>0</v>
      </c>
      <c r="BI29" s="106" t="n">
        <v>22</v>
      </c>
      <c r="BJ29" s="106" t="str">
        <f aca="false">IF(ISBLANK($C29),
    "",
   BF29+ROW($B29)/1000
)</f>
        <v/>
      </c>
      <c r="BK29" s="106" t="str">
        <f aca="false">IF(ISNUMBER(BJ29), RANK(BJ29,BJ$8:BJ$507,1), "")</f>
        <v/>
      </c>
      <c r="BL29" s="106" t="str">
        <f aca="false">IF(ISBLANK($C29),
    "",
    $B29
)</f>
        <v/>
      </c>
      <c r="BM29" s="106" t="str">
        <f aca="false">IF(ISBLANK($C29),
    "",
    $C29
)</f>
        <v/>
      </c>
      <c r="BN29" s="106" t="str">
        <f aca="false">IF(ISBLANK($C29),
    "",
    $D29
)</f>
        <v/>
      </c>
      <c r="BO29" s="107" t="str">
        <f aca="false">BC29</f>
        <v/>
      </c>
      <c r="BP29" s="108" t="str">
        <f aca="false">BB29</f>
        <v/>
      </c>
      <c r="BQ29" s="106" t="str">
        <f aca="false">IF(ISBLANK($C29),
    "",
    BE29
)</f>
        <v/>
      </c>
      <c r="BR29" s="109" t="str">
        <f aca="false">IF(BI29&gt;BH$7,
    "",
    VLOOKUP(BI29,BK$8:BQ528,7,FALSE())
)</f>
        <v/>
      </c>
      <c r="BS29" s="110" t="str">
        <f aca="false">IF(BI29&gt;BH$7,
    "",
    VLOOKUP(BI29,BK$8:BQ528,2,FALSE())
)</f>
        <v/>
      </c>
      <c r="BT29" s="110" t="str">
        <f aca="false">IF(BI29&gt;BH$7,
    "",
    VLOOKUP(BI29,BK$8:BQ528,3,FALSE())
)</f>
        <v/>
      </c>
      <c r="BU29" s="110" t="str">
        <f aca="false">IF(BI29&gt;BH$7,
    "",
    VLOOKUP(BI29,BK$8:BQ528,4,FALSE())
)</f>
        <v/>
      </c>
      <c r="BV29" s="110" t="str">
        <f aca="false">IF(BI29&gt;BH$7,
    "",
    VLOOKUP(BI29,BK$8:BQ528,5,FALSE())
)</f>
        <v/>
      </c>
      <c r="BW29" s="111" t="str">
        <f aca="false">IF(BI29&gt;BH$7,
    "",
    VLOOKUP(BI29,BK$8:BQ528,6,FALSE())
)</f>
        <v/>
      </c>
      <c r="BX29" s="50"/>
    </row>
    <row r="30" customFormat="false" ht="15.75" hidden="false" customHeight="false" outlineLevel="0" collapsed="false">
      <c r="A30" s="5"/>
      <c r="B30" s="122"/>
      <c r="C30" s="123"/>
      <c r="D30" s="112"/>
      <c r="E30" s="116"/>
      <c r="F30" s="116"/>
      <c r="G30" s="88"/>
      <c r="H30" s="89"/>
      <c r="I30" s="124"/>
      <c r="J30" s="124"/>
      <c r="K30" s="124"/>
      <c r="L30" s="91"/>
      <c r="M30" s="91"/>
      <c r="N30" s="91"/>
      <c r="O30" s="92"/>
      <c r="P30" s="93"/>
      <c r="Q30" s="125"/>
      <c r="R30" s="95"/>
      <c r="S30" s="96"/>
      <c r="T30" s="96" t="str">
        <f aca="false">IF(ISBLANK($C30),"",IF(G30=Constants!$B$2, TRUE(), IF(G30=Constants!$B$3, FALSE(), TRUE())))</f>
        <v/>
      </c>
      <c r="U30" s="96" t="str">
        <f aca="false">IF(ISBLANK($C30),"",IF(H30=Constants!$B$2, TRUE(), IF(H30=Constants!$B$3, FALSE(), TRUE())))</f>
        <v/>
      </c>
      <c r="V30" s="96" t="str">
        <f aca="false">IF(ISBLANK($C30),"",IF(I30=Constants!$B$2, TRUE(), IF(I30=Constants!$B$3, FALSE(), TRUE())))</f>
        <v/>
      </c>
      <c r="W30" s="96" t="str">
        <f aca="false">IF(ISBLANK($C30),"",IF(J30=Constants!$B$2, TRUE(), IF(J30=Constants!$B$3, FALSE(), TRUE())))</f>
        <v/>
      </c>
      <c r="X30" s="97" t="str">
        <f aca="false">IF(ISBLANK($C30),"",IF(K30=Constants!$B$2, TRUE(), IF(K30=Constants!$B$3, FALSE(), TRUE())))</f>
        <v/>
      </c>
      <c r="Y30" s="98" t="str">
        <f aca="false">IF(ISBLANK($C30),"",IF(ISNUMBER(L30), L30, ""))</f>
        <v/>
      </c>
      <c r="Z30" s="98" t="str">
        <f aca="false">IF(ISBLANK($C30),"",IF(ISNUMBER(M30), M30, ""))</f>
        <v/>
      </c>
      <c r="AA30" s="98" t="str">
        <f aca="false">IF(ISBLANK($C30),"",IF(ISNUMBER(N30), N30, ""))</f>
        <v/>
      </c>
      <c r="AB30" s="99" t="str">
        <f aca="false">IF(ISBLANK($C30),"",IF(ISNUMBER(O30), O30, ""))</f>
        <v/>
      </c>
      <c r="AC30" s="99" t="str">
        <f aca="false">IF(ISBLANK($C30),"",IF(ISNUMBER(P30), P30, Constants!$B$13))</f>
        <v/>
      </c>
      <c r="AD30" s="96" t="str">
        <f aca="false">IF(ISBLANK($C30),"",IF(Q30=Constants!$B$2, TRUE(), IF(Q30=Constants!$B$3, FALSE(), FALSE())))</f>
        <v/>
      </c>
      <c r="AE30" s="96" t="str">
        <f aca="false">IF(ISBLANK(C30), "", IF(AD30, Constants!$B$4,IF(COUNTA(G30:O30)=0, Constants!$B$5, Constants!$B$7)))</f>
        <v/>
      </c>
      <c r="AF30" s="96" t="str">
        <f aca="false">IF(ISBLANK($C30), "",IF($AE30=Constants!$B$7,1,$AE30))</f>
        <v/>
      </c>
      <c r="AG30" s="96" t="str">
        <f aca="false">IF($AE30=Constants!$B$7,IF(V30, 1, Constants!$B$11) * IF(X30, 1, Constants!$B$12),"")</f>
        <v/>
      </c>
      <c r="AH30" s="96" t="str">
        <f aca="false">IF(AND($AE30=Constants!$B$7, T30, U30) ,MAX(0, $AA30-$Y30),"")</f>
        <v/>
      </c>
      <c r="AI30" s="96" t="str">
        <f aca="false">IF(ISERROR(AH30),$AI$6,"")</f>
        <v/>
      </c>
      <c r="AJ30" s="96" t="str">
        <f aca="false">IF($AE30=Constants!$B$7,IF(AND(T30,U30,W30),IF($AH$6=0,Constants!$B$9,Constants!$B$9*AH30/$AH$6), 0),"")</f>
        <v/>
      </c>
      <c r="AK30" s="96" t="str">
        <f aca="false">IF(AJ30&lt;&gt;"", AJ30*AG30,"")</f>
        <v/>
      </c>
      <c r="AL30" s="96" t="str">
        <f aca="false">IF(AND($AE30=Constants!$B$7, T30, U30) ,IF($Z30="", "", MAX(0,1-ABS($AA30-$Z30)/$AA30)),"")</f>
        <v/>
      </c>
      <c r="AM30" s="96" t="str">
        <f aca="false">IF(AND(NOT(ISERROR(AH30)),ISERROR(AL30)),$AM$6,"")</f>
        <v/>
      </c>
      <c r="AN30" s="96" t="str">
        <f aca="false">IF($AE30=Constants!$B$7 ,IF(AND(T30,U30,W30,ISNUMBER(Z30)),IF($AL$6=0,Constants!$B$10,Constants!$B$10*AL30/$AL$6), 0),"")</f>
        <v/>
      </c>
      <c r="AO30" s="96" t="str">
        <f aca="false">IF(AN30&lt;&gt;"", AN30*AG30,"")</f>
        <v/>
      </c>
      <c r="AP30" s="96" t="str">
        <f aca="false">IF($AE30=Constants!$B$7,IF($AP$6=0,Constants!$B$8,Constants!$B$8*AB30/$AP$6),"")</f>
        <v/>
      </c>
      <c r="AQ30" s="96" t="str">
        <f aca="false">IF($AE30&lt;&gt;Constants!$B$7,$AE30,AK30+AO30+AP30)</f>
        <v/>
      </c>
      <c r="AR30" s="96" t="str">
        <f aca="false">IF(ISBLANK($C30),"",IF($AE30=Constants!$B$7,RANK(AQ30,$AQ$8:$AQ$507),$AE30))</f>
        <v/>
      </c>
      <c r="AS30" s="96" t="str">
        <f aca="false">IF(ISBLANK($C30), "",AK30)</f>
        <v/>
      </c>
      <c r="AT30" s="96" t="str">
        <f aca="false">IF(ISBLANK($C30),"",IF($AE30=Constants!$B$7,RANK(AS30,AS$8:AS$507),$AE30))</f>
        <v/>
      </c>
      <c r="AU30" s="96" t="str">
        <f aca="false">IF(ISBLANK($C30), "",AP30)</f>
        <v/>
      </c>
      <c r="AV30" s="96" t="str">
        <f aca="false">IF(ISBLANK($C30),"",IF($AE30=Constants!$B$7,RANK(AU30,AU$8:AU$507),$AE30))</f>
        <v/>
      </c>
      <c r="AW30" s="96" t="str">
        <f aca="false">IF(ISBLANK($C30), "",AC30)</f>
        <v/>
      </c>
      <c r="AX30" s="96" t="str">
        <f aca="false">IF(ISBLANK($C30),"",
IF($AE30=Constants!$B$7,
  COUNTIFS($AR$8:$AR$507,"&lt;"&amp;$AR30)
  + COUNTIFS($AR$8:$AR$507,$AR30,$AT$8:$AT$507,"&lt;"&amp;$AT30)
  + COUNTIFS($AR$8:$AR$507,$AR30,$AT$8:$AT$507,$AT30,$AV$8:$AV$507,"&lt;"&amp;$AV30)
  + COUNTIFS($AR$8:$AR$507,$AR30,$AT$8:$AT$507,$AT30,$AV$8:$AV$507,$AV30,$AW$8:$AW$507,"&lt;"&amp;$AW30)
  + 1,
$AE30))</f>
        <v/>
      </c>
      <c r="AY30" s="96" t="str">
        <f aca="false">IF(ISBLANK(C30),"",IF($AE30=Constants!$B$7, AR30-AX30,$AE30))</f>
        <v/>
      </c>
      <c r="AZ30" s="100"/>
      <c r="BA30" s="101" t="str">
        <f aca="false">IF(ISBLANK($C30),"",TRIM(AI30&amp;" "&amp;AM30))</f>
        <v/>
      </c>
      <c r="BB30" s="102" t="str">
        <f aca="false">IF(ISBLANK($C30),"",IF($AE30&lt;&gt;Constants!$B$7, $AE30 ,AQ30))</f>
        <v/>
      </c>
      <c r="BC30" s="103" t="str">
        <f aca="false">IF(ISBLANK($C30),"",IF($AE30&lt;&gt;Constants!$B$7, $AE30 ,AF30))</f>
        <v/>
      </c>
      <c r="BD30" s="104" t="str">
        <f aca="false">IF(ISBLANK(C30),"",AY30)</f>
        <v/>
      </c>
      <c r="BE30" s="104" t="str">
        <f aca="false">IF(ISBLANK(C30),"",AX30)</f>
        <v/>
      </c>
      <c r="BF30" s="105" t="str">
        <f aca="false">IF(ISBLANK(C30),"",IFERROR(_xlfn.SWITCH(BE30, Constants!$B$4, COUNTA($C$8:$C529)+2, Constants!$B$5, COUNTA($C$8:$C529)+1, Constants!$B$6, COUNTA($C$8:$C529)),BE30))</f>
        <v/>
      </c>
      <c r="BG30" s="5"/>
      <c r="BH30" s="106" t="n">
        <f aca="false">IF(OR(ISNUMBER(BE30),BE30="DQ",BE30="P",BE30="NS"),
    1,
    0
)</f>
        <v>0</v>
      </c>
      <c r="BI30" s="106" t="n">
        <v>23</v>
      </c>
      <c r="BJ30" s="106" t="str">
        <f aca="false">IF(ISBLANK($C30),
    "",
   BF30+ROW($B30)/1000
)</f>
        <v/>
      </c>
      <c r="BK30" s="106" t="str">
        <f aca="false">IF(ISNUMBER(BJ30), RANK(BJ30,BJ$8:BJ$507,1), "")</f>
        <v/>
      </c>
      <c r="BL30" s="106" t="str">
        <f aca="false">IF(ISBLANK($C30),
    "",
    $B30
)</f>
        <v/>
      </c>
      <c r="BM30" s="106" t="str">
        <f aca="false">IF(ISBLANK($C30),
    "",
    $C30
)</f>
        <v/>
      </c>
      <c r="BN30" s="106" t="str">
        <f aca="false">IF(ISBLANK($C30),
    "",
    $D30
)</f>
        <v/>
      </c>
      <c r="BO30" s="107" t="str">
        <f aca="false">BC30</f>
        <v/>
      </c>
      <c r="BP30" s="108" t="str">
        <f aca="false">BB30</f>
        <v/>
      </c>
      <c r="BQ30" s="106" t="str">
        <f aca="false">IF(ISBLANK($C30),
    "",
    BE30
)</f>
        <v/>
      </c>
      <c r="BR30" s="109" t="str">
        <f aca="false">IF(BI30&gt;BH$7,
    "",
    VLOOKUP(BI30,BK$8:BQ529,7,FALSE())
)</f>
        <v/>
      </c>
      <c r="BS30" s="110" t="str">
        <f aca="false">IF(BI30&gt;BH$7,
    "",
    VLOOKUP(BI30,BK$8:BQ529,2,FALSE())
)</f>
        <v/>
      </c>
      <c r="BT30" s="110" t="str">
        <f aca="false">IF(BI30&gt;BH$7,
    "",
    VLOOKUP(BI30,BK$8:BQ529,3,FALSE())
)</f>
        <v/>
      </c>
      <c r="BU30" s="110" t="str">
        <f aca="false">IF(BI30&gt;BH$7,
    "",
    VLOOKUP(BI30,BK$8:BQ529,4,FALSE())
)</f>
        <v/>
      </c>
      <c r="BV30" s="110" t="str">
        <f aca="false">IF(BI30&gt;BH$7,
    "",
    VLOOKUP(BI30,BK$8:BQ529,5,FALSE())
)</f>
        <v/>
      </c>
      <c r="BW30" s="111" t="str">
        <f aca="false">IF(BI30&gt;BH$7,
    "",
    VLOOKUP(BI30,BK$8:BQ529,6,FALSE())
)</f>
        <v/>
      </c>
      <c r="BX30" s="50"/>
    </row>
    <row r="31" customFormat="false" ht="15.75" hidden="false" customHeight="false" outlineLevel="0" collapsed="false">
      <c r="A31" s="5"/>
      <c r="B31" s="122"/>
      <c r="C31" s="123"/>
      <c r="D31" s="112"/>
      <c r="E31" s="116"/>
      <c r="F31" s="116"/>
      <c r="G31" s="88"/>
      <c r="H31" s="89"/>
      <c r="I31" s="124"/>
      <c r="J31" s="124"/>
      <c r="K31" s="124"/>
      <c r="L31" s="91"/>
      <c r="M31" s="91"/>
      <c r="N31" s="91"/>
      <c r="O31" s="92"/>
      <c r="P31" s="93"/>
      <c r="Q31" s="125"/>
      <c r="R31" s="95"/>
      <c r="S31" s="96"/>
      <c r="T31" s="96" t="str">
        <f aca="false">IF(ISBLANK($C31),"",IF(G31=Constants!$B$2, TRUE(), IF(G31=Constants!$B$3, FALSE(), TRUE())))</f>
        <v/>
      </c>
      <c r="U31" s="96" t="str">
        <f aca="false">IF(ISBLANK($C31),"",IF(H31=Constants!$B$2, TRUE(), IF(H31=Constants!$B$3, FALSE(), TRUE())))</f>
        <v/>
      </c>
      <c r="V31" s="96" t="str">
        <f aca="false">IF(ISBLANK($C31),"",IF(I31=Constants!$B$2, TRUE(), IF(I31=Constants!$B$3, FALSE(), TRUE())))</f>
        <v/>
      </c>
      <c r="W31" s="96" t="str">
        <f aca="false">IF(ISBLANK($C31),"",IF(J31=Constants!$B$2, TRUE(), IF(J31=Constants!$B$3, FALSE(), TRUE())))</f>
        <v/>
      </c>
      <c r="X31" s="97" t="str">
        <f aca="false">IF(ISBLANK($C31),"",IF(K31=Constants!$B$2, TRUE(), IF(K31=Constants!$B$3, FALSE(), TRUE())))</f>
        <v/>
      </c>
      <c r="Y31" s="98" t="str">
        <f aca="false">IF(ISBLANK($C31),"",IF(ISNUMBER(L31), L31, ""))</f>
        <v/>
      </c>
      <c r="Z31" s="98" t="str">
        <f aca="false">IF(ISBLANK($C31),"",IF(ISNUMBER(M31), M31, ""))</f>
        <v/>
      </c>
      <c r="AA31" s="98" t="str">
        <f aca="false">IF(ISBLANK($C31),"",IF(ISNUMBER(N31), N31, ""))</f>
        <v/>
      </c>
      <c r="AB31" s="99" t="str">
        <f aca="false">IF(ISBLANK($C31),"",IF(ISNUMBER(O31), O31, ""))</f>
        <v/>
      </c>
      <c r="AC31" s="99" t="str">
        <f aca="false">IF(ISBLANK($C31),"",IF(ISNUMBER(P31), P31, Constants!$B$13))</f>
        <v/>
      </c>
      <c r="AD31" s="96" t="str">
        <f aca="false">IF(ISBLANK($C31),"",IF(Q31=Constants!$B$2, TRUE(), IF(Q31=Constants!$B$3, FALSE(), FALSE())))</f>
        <v/>
      </c>
      <c r="AE31" s="96" t="str">
        <f aca="false">IF(ISBLANK(C31), "", IF(AD31, Constants!$B$4,IF(COUNTA(G31:O31)=0, Constants!$B$5, Constants!$B$7)))</f>
        <v/>
      </c>
      <c r="AF31" s="96" t="str">
        <f aca="false">IF(ISBLANK($C31), "",IF($AE31=Constants!$B$7,1,$AE31))</f>
        <v/>
      </c>
      <c r="AG31" s="96" t="str">
        <f aca="false">IF($AE31=Constants!$B$7,IF(V31, 1, Constants!$B$11) * IF(X31, 1, Constants!$B$12),"")</f>
        <v/>
      </c>
      <c r="AH31" s="96" t="str">
        <f aca="false">IF(AND($AE31=Constants!$B$7, T31, U31) ,MAX(0, $AA31-$Y31),"")</f>
        <v/>
      </c>
      <c r="AI31" s="96" t="str">
        <f aca="false">IF(ISERROR(AH31),$AI$6,"")</f>
        <v/>
      </c>
      <c r="AJ31" s="96" t="str">
        <f aca="false">IF($AE31=Constants!$B$7,IF(AND(T31,U31,W31),IF($AH$6=0,Constants!$B$9,Constants!$B$9*AH31/$AH$6), 0),"")</f>
        <v/>
      </c>
      <c r="AK31" s="96" t="str">
        <f aca="false">IF(AJ31&lt;&gt;"", AJ31*AG31,"")</f>
        <v/>
      </c>
      <c r="AL31" s="96" t="str">
        <f aca="false">IF(AND($AE31=Constants!$B$7, T31, U31) ,IF($Z31="", "", MAX(0,1-ABS($AA31-$Z31)/$AA31)),"")</f>
        <v/>
      </c>
      <c r="AM31" s="96" t="str">
        <f aca="false">IF(AND(NOT(ISERROR(AH31)),ISERROR(AL31)),$AM$6,"")</f>
        <v/>
      </c>
      <c r="AN31" s="96" t="str">
        <f aca="false">IF($AE31=Constants!$B$7 ,IF(AND(T31,U31,W31,ISNUMBER(Z31)),IF($AL$6=0,Constants!$B$10,Constants!$B$10*AL31/$AL$6), 0),"")</f>
        <v/>
      </c>
      <c r="AO31" s="96" t="str">
        <f aca="false">IF(AN31&lt;&gt;"", AN31*AG31,"")</f>
        <v/>
      </c>
      <c r="AP31" s="96" t="str">
        <f aca="false">IF($AE31=Constants!$B$7,IF($AP$6=0,Constants!$B$8,Constants!$B$8*AB31/$AP$6),"")</f>
        <v/>
      </c>
      <c r="AQ31" s="96" t="str">
        <f aca="false">IF($AE31&lt;&gt;Constants!$B$7,$AE31,AK31+AO31+AP31)</f>
        <v/>
      </c>
      <c r="AR31" s="96" t="str">
        <f aca="false">IF(ISBLANK($C31),"",IF($AE31=Constants!$B$7,RANK(AQ31,$AQ$8:$AQ$507),$AE31))</f>
        <v/>
      </c>
      <c r="AS31" s="96" t="str">
        <f aca="false">IF(ISBLANK($C31), "",AK31)</f>
        <v/>
      </c>
      <c r="AT31" s="96" t="str">
        <f aca="false">IF(ISBLANK($C31),"",IF($AE31=Constants!$B$7,RANK(AS31,AS$8:AS$507),$AE31))</f>
        <v/>
      </c>
      <c r="AU31" s="96" t="str">
        <f aca="false">IF(ISBLANK($C31), "",AP31)</f>
        <v/>
      </c>
      <c r="AV31" s="96" t="str">
        <f aca="false">IF(ISBLANK($C31),"",IF($AE31=Constants!$B$7,RANK(AU31,AU$8:AU$507),$AE31))</f>
        <v/>
      </c>
      <c r="AW31" s="96" t="str">
        <f aca="false">IF(ISBLANK($C31), "",AC31)</f>
        <v/>
      </c>
      <c r="AX31" s="96" t="str">
        <f aca="false">IF(ISBLANK($C31),"",
IF($AE31=Constants!$B$7,
  COUNTIFS($AR$8:$AR$507,"&lt;"&amp;$AR31)
  + COUNTIFS($AR$8:$AR$507,$AR31,$AT$8:$AT$507,"&lt;"&amp;$AT31)
  + COUNTIFS($AR$8:$AR$507,$AR31,$AT$8:$AT$507,$AT31,$AV$8:$AV$507,"&lt;"&amp;$AV31)
  + COUNTIFS($AR$8:$AR$507,$AR31,$AT$8:$AT$507,$AT31,$AV$8:$AV$507,$AV31,$AW$8:$AW$507,"&lt;"&amp;$AW31)
  + 1,
$AE31))</f>
        <v/>
      </c>
      <c r="AY31" s="96" t="str">
        <f aca="false">IF(ISBLANK(C31),"",IF($AE31=Constants!$B$7, AR31-AX31,$AE31))</f>
        <v/>
      </c>
      <c r="AZ31" s="100"/>
      <c r="BA31" s="101" t="str">
        <f aca="false">IF(ISBLANK($C31),"",TRIM(AI31&amp;" "&amp;AM31))</f>
        <v/>
      </c>
      <c r="BB31" s="102" t="str">
        <f aca="false">IF(ISBLANK($C31),"",IF($AE31&lt;&gt;Constants!$B$7, $AE31 ,AQ31))</f>
        <v/>
      </c>
      <c r="BC31" s="103" t="str">
        <f aca="false">IF(ISBLANK($C31),"",IF($AE31&lt;&gt;Constants!$B$7, $AE31 ,AF31))</f>
        <v/>
      </c>
      <c r="BD31" s="104" t="str">
        <f aca="false">IF(ISBLANK(C31),"",AY31)</f>
        <v/>
      </c>
      <c r="BE31" s="104" t="str">
        <f aca="false">IF(ISBLANK(C31),"",AX31)</f>
        <v/>
      </c>
      <c r="BF31" s="105" t="str">
        <f aca="false">IF(ISBLANK(C31),"",IFERROR(_xlfn.SWITCH(BE31, Constants!$B$4, COUNTA($C$8:$C530)+2, Constants!$B$5, COUNTA($C$8:$C530)+1, Constants!$B$6, COUNTA($C$8:$C530)),BE31))</f>
        <v/>
      </c>
      <c r="BG31" s="5"/>
      <c r="BH31" s="106" t="n">
        <f aca="false">IF(OR(ISNUMBER(BE31),BE31="DQ",BE31="P",BE31="NS"),
    1,
    0
)</f>
        <v>0</v>
      </c>
      <c r="BI31" s="106" t="n">
        <v>24</v>
      </c>
      <c r="BJ31" s="106" t="str">
        <f aca="false">IF(ISBLANK($C31),
    "",
   BF31+ROW($B31)/1000
)</f>
        <v/>
      </c>
      <c r="BK31" s="106" t="str">
        <f aca="false">IF(ISNUMBER(BJ31), RANK(BJ31,BJ$8:BJ$507,1), "")</f>
        <v/>
      </c>
      <c r="BL31" s="106" t="str">
        <f aca="false">IF(ISBLANK($C31),
    "",
    $B31
)</f>
        <v/>
      </c>
      <c r="BM31" s="106" t="str">
        <f aca="false">IF(ISBLANK($C31),
    "",
    $C31
)</f>
        <v/>
      </c>
      <c r="BN31" s="106" t="str">
        <f aca="false">IF(ISBLANK($C31),
    "",
    $D31
)</f>
        <v/>
      </c>
      <c r="BO31" s="107" t="str">
        <f aca="false">BC31</f>
        <v/>
      </c>
      <c r="BP31" s="108" t="str">
        <f aca="false">BB31</f>
        <v/>
      </c>
      <c r="BQ31" s="106" t="str">
        <f aca="false">IF(ISBLANK($C31),
    "",
    BE31
)</f>
        <v/>
      </c>
      <c r="BR31" s="109" t="str">
        <f aca="false">IF(BI31&gt;BH$7,
    "",
    VLOOKUP(BI31,BK$8:BQ530,7,FALSE())
)</f>
        <v/>
      </c>
      <c r="BS31" s="110" t="str">
        <f aca="false">IF(BI31&gt;BH$7,
    "",
    VLOOKUP(BI31,BK$8:BQ530,2,FALSE())
)</f>
        <v/>
      </c>
      <c r="BT31" s="110" t="str">
        <f aca="false">IF(BI31&gt;BH$7,
    "",
    VLOOKUP(BI31,BK$8:BQ530,3,FALSE())
)</f>
        <v/>
      </c>
      <c r="BU31" s="110" t="str">
        <f aca="false">IF(BI31&gt;BH$7,
    "",
    VLOOKUP(BI31,BK$8:BQ530,4,FALSE())
)</f>
        <v/>
      </c>
      <c r="BV31" s="110" t="str">
        <f aca="false">IF(BI31&gt;BH$7,
    "",
    VLOOKUP(BI31,BK$8:BQ530,5,FALSE())
)</f>
        <v/>
      </c>
      <c r="BW31" s="111" t="str">
        <f aca="false">IF(BI31&gt;BH$7,
    "",
    VLOOKUP(BI31,BK$8:BQ530,6,FALSE())
)</f>
        <v/>
      </c>
      <c r="BX31" s="50"/>
    </row>
    <row r="32" customFormat="false" ht="15.75" hidden="false" customHeight="false" outlineLevel="0" collapsed="false">
      <c r="A32" s="5"/>
      <c r="B32" s="126"/>
      <c r="C32" s="52"/>
      <c r="D32" s="53"/>
      <c r="E32" s="120"/>
      <c r="F32" s="120"/>
      <c r="G32" s="55"/>
      <c r="H32" s="56"/>
      <c r="I32" s="121"/>
      <c r="J32" s="121"/>
      <c r="K32" s="121"/>
      <c r="L32" s="58"/>
      <c r="M32" s="58"/>
      <c r="N32" s="58"/>
      <c r="O32" s="59"/>
      <c r="P32" s="60"/>
      <c r="Q32" s="80"/>
      <c r="R32" s="62"/>
      <c r="S32" s="63"/>
      <c r="T32" s="63" t="str">
        <f aca="false">IF(ISBLANK($C32),"",IF(G32=Constants!$B$2, TRUE(), IF(G32=Constants!$B$3, FALSE(), TRUE())))</f>
        <v/>
      </c>
      <c r="U32" s="63" t="str">
        <f aca="false">IF(ISBLANK($C32),"",IF(H32=Constants!$B$2, TRUE(), IF(H32=Constants!$B$3, FALSE(), TRUE())))</f>
        <v/>
      </c>
      <c r="V32" s="63" t="str">
        <f aca="false">IF(ISBLANK($C32),"",IF(I32=Constants!$B$2, TRUE(), IF(I32=Constants!$B$3, FALSE(), TRUE())))</f>
        <v/>
      </c>
      <c r="W32" s="63" t="str">
        <f aca="false">IF(ISBLANK($C32),"",IF(J32=Constants!$B$2, TRUE(), IF(J32=Constants!$B$3, FALSE(), TRUE())))</f>
        <v/>
      </c>
      <c r="X32" s="63" t="str">
        <f aca="false">IF(ISBLANK($C32),"",IF(K32=Constants!$B$2, TRUE(), IF(K32=Constants!$B$3, FALSE(), TRUE())))</f>
        <v/>
      </c>
      <c r="Y32" s="65" t="str">
        <f aca="false">IF(ISBLANK($C32),"",IF(ISNUMBER(L32), L32, ""))</f>
        <v/>
      </c>
      <c r="Z32" s="65" t="str">
        <f aca="false">IF(ISBLANK($C32),"",IF(ISNUMBER(M32), M32, ""))</f>
        <v/>
      </c>
      <c r="AA32" s="65" t="str">
        <f aca="false">IF(ISBLANK($C32),"",IF(ISNUMBER(N32), N32, ""))</f>
        <v/>
      </c>
      <c r="AB32" s="66" t="str">
        <f aca="false">IF(ISBLANK($C32),"",IF(ISNUMBER(O32), O32, ""))</f>
        <v/>
      </c>
      <c r="AC32" s="66" t="str">
        <f aca="false">IF(ISBLANK($C32),"",IF(ISNUMBER(P32), P32, Constants!$B$13))</f>
        <v/>
      </c>
      <c r="AD32" s="63" t="str">
        <f aca="false">IF(ISBLANK($C32),"",IF(Q32=Constants!$B$2, TRUE(), IF(Q32=Constants!$B$3, FALSE(), FALSE())))</f>
        <v/>
      </c>
      <c r="AE32" s="63" t="str">
        <f aca="false">IF(ISBLANK(C32), "", IF(AD32, Constants!$B$4,IF(COUNTA(G32:O32)=0, Constants!$B$5, Constants!$B$7)))</f>
        <v/>
      </c>
      <c r="AF32" s="63" t="str">
        <f aca="false">IF(ISBLANK($C32), "",IF($AE32=Constants!$B$7,1,$AE32))</f>
        <v/>
      </c>
      <c r="AG32" s="63" t="str">
        <f aca="false">IF($AE32=Constants!$B$7,IF(V32, 1, Constants!$B$11) * IF(X32, 1, Constants!$B$12),"")</f>
        <v/>
      </c>
      <c r="AH32" s="63" t="str">
        <f aca="false">IF(AND($AE32=Constants!$B$7, T32, U32) ,MAX(0, $AA32-$Y32),"")</f>
        <v/>
      </c>
      <c r="AI32" s="63" t="str">
        <f aca="false">IF(ISERROR(AH32),$AI$6,"")</f>
        <v/>
      </c>
      <c r="AJ32" s="63" t="str">
        <f aca="false">IF($AE32=Constants!$B$7,IF(AND(T32,U32,W32),IF($AH$6=0,Constants!$B$9,Constants!$B$9*AH32/$AH$6), 0),"")</f>
        <v/>
      </c>
      <c r="AK32" s="63" t="str">
        <f aca="false">IF(AJ32&lt;&gt;"", AJ32*AG32,"")</f>
        <v/>
      </c>
      <c r="AL32" s="63" t="str">
        <f aca="false">IF(AND($AE32=Constants!$B$7, T32, U32) ,IF($Z32="", "", MAX(0,1-ABS($AA32-$Z32)/$AA32)),"")</f>
        <v/>
      </c>
      <c r="AM32" s="63" t="str">
        <f aca="false">IF(AND(NOT(ISERROR(AH32)),ISERROR(AL32)),$AM$6,"")</f>
        <v/>
      </c>
      <c r="AN32" s="63" t="str">
        <f aca="false">IF($AE32=Constants!$B$7 ,IF(AND(T32,U32,W32,ISNUMBER(Z32)),IF($AL$6=0,Constants!$B$10,Constants!$B$10*AL32/$AL$6), 0),"")</f>
        <v/>
      </c>
      <c r="AO32" s="63" t="str">
        <f aca="false">IF(AN32&lt;&gt;"", AN32*AG32,"")</f>
        <v/>
      </c>
      <c r="AP32" s="63" t="str">
        <f aca="false">IF($AE32=Constants!$B$7,IF($AP$6=0,Constants!$B$8,Constants!$B$8*AB32/$AP$6),"")</f>
        <v/>
      </c>
      <c r="AQ32" s="63" t="str">
        <f aca="false">IF($AE32&lt;&gt;Constants!$B$7,$AE32,AK32+AO32+AP32)</f>
        <v/>
      </c>
      <c r="AR32" s="63" t="str">
        <f aca="false">IF(ISBLANK($C32),"",IF($AE32=Constants!$B$7,RANK(AQ32,$AQ$8:$AQ$507),$AE32))</f>
        <v/>
      </c>
      <c r="AS32" s="63" t="str">
        <f aca="false">IF(ISBLANK($C32), "",AK32)</f>
        <v/>
      </c>
      <c r="AT32" s="63" t="str">
        <f aca="false">IF(ISBLANK($C32),"",IF($AE32=Constants!$B$7,RANK(AS32,AS$8:AS$507),$AE32))</f>
        <v/>
      </c>
      <c r="AU32" s="63" t="str">
        <f aca="false">IF(ISBLANK($C32), "",AP32)</f>
        <v/>
      </c>
      <c r="AV32" s="63" t="str">
        <f aca="false">IF(ISBLANK($C32),"",IF($AE32=Constants!$B$7,RANK(AU32,AU$8:AU$507),$AE32))</f>
        <v/>
      </c>
      <c r="AW32" s="63" t="str">
        <f aca="false">IF(ISBLANK($C32), "",AC32)</f>
        <v/>
      </c>
      <c r="AX32" s="63" t="str">
        <f aca="false">IF(ISBLANK($C32),"",
IF($AE32=Constants!$B$7,
  COUNTIFS($AR$8:$AR$507,"&lt;"&amp;$AR32)
  + COUNTIFS($AR$8:$AR$507,$AR32,$AT$8:$AT$507,"&lt;"&amp;$AT32)
  + COUNTIFS($AR$8:$AR$507,$AR32,$AT$8:$AT$507,$AT32,$AV$8:$AV$507,"&lt;"&amp;$AV32)
  + COUNTIFS($AR$8:$AR$507,$AR32,$AT$8:$AT$507,$AT32,$AV$8:$AV$507,$AV32,$AW$8:$AW$507,"&lt;"&amp;$AW32)
  + 1,
$AE32))</f>
        <v/>
      </c>
      <c r="AY32" s="63" t="str">
        <f aca="false">IF(ISBLANK(C32),"",IF($AE32=Constants!$B$7, AR32-AX32,$AE32))</f>
        <v/>
      </c>
      <c r="AZ32" s="67"/>
      <c r="BA32" s="81" t="str">
        <f aca="false">IF(ISBLANK($C32),"",TRIM(AI32&amp;" "&amp;AM32))</f>
        <v/>
      </c>
      <c r="BB32" s="69" t="str">
        <f aca="false">IF(ISBLANK($C32),"",IF($AE32&lt;&gt;Constants!$B$7, $AE32 ,AQ32))</f>
        <v/>
      </c>
      <c r="BC32" s="70" t="str">
        <f aca="false">IF(ISBLANK($C32),"",IF($AE32&lt;&gt;Constants!$B$7, $AE32 ,AF32))</f>
        <v/>
      </c>
      <c r="BD32" s="71" t="str">
        <f aca="false">IF(ISBLANK(C32),"",AY32)</f>
        <v/>
      </c>
      <c r="BE32" s="71" t="str">
        <f aca="false">IF(ISBLANK(C32),"",AX32)</f>
        <v/>
      </c>
      <c r="BF32" s="72" t="str">
        <f aca="false">IF(ISBLANK(C32),"",IFERROR(_xlfn.SWITCH(BE32, Constants!$B$4, COUNTA($C$8:$C531)+2, Constants!$B$5, COUNTA($C$8:$C531)+1, Constants!$B$6, COUNTA($C$8:$C531)),BE32))</f>
        <v/>
      </c>
      <c r="BG32" s="5"/>
      <c r="BH32" s="73" t="n">
        <f aca="false">IF(OR(ISNUMBER(BE32),BE32="DQ",BE32="P",BE32="NS"),
    1,
    0
)</f>
        <v>0</v>
      </c>
      <c r="BI32" s="73" t="n">
        <v>25</v>
      </c>
      <c r="BJ32" s="73" t="str">
        <f aca="false">IF(ISBLANK($C32),
    "",
   BF32+ROW($B32)/1000
)</f>
        <v/>
      </c>
      <c r="BK32" s="73" t="str">
        <f aca="false">IF(ISNUMBER(BJ32), RANK(BJ32,BJ$8:BJ$507,1), "")</f>
        <v/>
      </c>
      <c r="BL32" s="73" t="str">
        <f aca="false">IF(ISBLANK($C32),
    "",
    $B32
)</f>
        <v/>
      </c>
      <c r="BM32" s="73" t="str">
        <f aca="false">IF(ISBLANK($C32),
    "",
    $C32
)</f>
        <v/>
      </c>
      <c r="BN32" s="73" t="str">
        <f aca="false">IF(ISBLANK($C32),
    "",
    $D32
)</f>
        <v/>
      </c>
      <c r="BO32" s="74" t="str">
        <f aca="false">BC32</f>
        <v/>
      </c>
      <c r="BP32" s="75" t="str">
        <f aca="false">BB32</f>
        <v/>
      </c>
      <c r="BQ32" s="73" t="str">
        <f aca="false">IF(ISBLANK($C32),
    "",
    BE32
)</f>
        <v/>
      </c>
      <c r="BR32" s="76" t="str">
        <f aca="false">IF(BI32&gt;BH$7,
    "",
    VLOOKUP(BI32,BK$8:BQ531,7,FALSE())
)</f>
        <v/>
      </c>
      <c r="BS32" s="77" t="str">
        <f aca="false">IF(BI32&gt;BH$7,
    "",
    VLOOKUP(BI32,BK$8:BQ531,2,FALSE())
)</f>
        <v/>
      </c>
      <c r="BT32" s="77" t="str">
        <f aca="false">IF(BI32&gt;BH$7,
    "",
    VLOOKUP(BI32,BK$8:BQ531,3,FALSE())
)</f>
        <v/>
      </c>
      <c r="BU32" s="77" t="str">
        <f aca="false">IF(BI32&gt;BH$7,
    "",
    VLOOKUP(BI32,BK$8:BQ531,4,FALSE())
)</f>
        <v/>
      </c>
      <c r="BV32" s="77" t="str">
        <f aca="false">IF(BI32&gt;BH$7,
    "",
    VLOOKUP(BI32,BK$8:BQ531,5,FALSE())
)</f>
        <v/>
      </c>
      <c r="BW32" s="78" t="str">
        <f aca="false">IF(BI32&gt;BH$7,
    "",
    VLOOKUP(BI32,BK$8:BQ531,6,FALSE())
)</f>
        <v/>
      </c>
      <c r="BX32" s="50"/>
    </row>
    <row r="33" customFormat="false" ht="15.75" hidden="false" customHeight="false" outlineLevel="0" collapsed="false">
      <c r="A33" s="5"/>
      <c r="B33" s="126"/>
      <c r="C33" s="52"/>
      <c r="D33" s="53"/>
      <c r="E33" s="120"/>
      <c r="F33" s="120"/>
      <c r="G33" s="55"/>
      <c r="H33" s="56"/>
      <c r="I33" s="121"/>
      <c r="J33" s="121"/>
      <c r="K33" s="121"/>
      <c r="L33" s="58"/>
      <c r="M33" s="58"/>
      <c r="N33" s="58"/>
      <c r="O33" s="59"/>
      <c r="P33" s="60"/>
      <c r="Q33" s="80"/>
      <c r="R33" s="62"/>
      <c r="S33" s="63"/>
      <c r="T33" s="63" t="str">
        <f aca="false">IF(ISBLANK($C33),"",IF(G33=Constants!$B$2, TRUE(), IF(G33=Constants!$B$3, FALSE(), TRUE())))</f>
        <v/>
      </c>
      <c r="U33" s="63" t="str">
        <f aca="false">IF(ISBLANK($C33),"",IF(H33=Constants!$B$2, TRUE(), IF(H33=Constants!$B$3, FALSE(), TRUE())))</f>
        <v/>
      </c>
      <c r="V33" s="63" t="str">
        <f aca="false">IF(ISBLANK($C33),"",IF(I33=Constants!$B$2, TRUE(), IF(I33=Constants!$B$3, FALSE(), TRUE())))</f>
        <v/>
      </c>
      <c r="W33" s="63" t="str">
        <f aca="false">IF(ISBLANK($C33),"",IF(J33=Constants!$B$2, TRUE(), IF(J33=Constants!$B$3, FALSE(), TRUE())))</f>
        <v/>
      </c>
      <c r="X33" s="63" t="str">
        <f aca="false">IF(ISBLANK($C33),"",IF(K33=Constants!$B$2, TRUE(), IF(K33=Constants!$B$3, FALSE(), TRUE())))</f>
        <v/>
      </c>
      <c r="Y33" s="65" t="str">
        <f aca="false">IF(ISBLANK($C33),"",IF(ISNUMBER(L33), L33, ""))</f>
        <v/>
      </c>
      <c r="Z33" s="65" t="str">
        <f aca="false">IF(ISBLANK($C33),"",IF(ISNUMBER(M33), M33, ""))</f>
        <v/>
      </c>
      <c r="AA33" s="65" t="str">
        <f aca="false">IF(ISBLANK($C33),"",IF(ISNUMBER(N33), N33, ""))</f>
        <v/>
      </c>
      <c r="AB33" s="66" t="str">
        <f aca="false">IF(ISBLANK($C33),"",IF(ISNUMBER(O33), O33, ""))</f>
        <v/>
      </c>
      <c r="AC33" s="66" t="str">
        <f aca="false">IF(ISBLANK($C33),"",IF(ISNUMBER(P33), P33, Constants!$B$13))</f>
        <v/>
      </c>
      <c r="AD33" s="63" t="str">
        <f aca="false">IF(ISBLANK($C33),"",IF(Q33=Constants!$B$2, TRUE(), IF(Q33=Constants!$B$3, FALSE(), FALSE())))</f>
        <v/>
      </c>
      <c r="AE33" s="63" t="str">
        <f aca="false">IF(ISBLANK(C33), "", IF(AD33, Constants!$B$4,IF(COUNTA(G33:O33)=0, Constants!$B$5, Constants!$B$7)))</f>
        <v/>
      </c>
      <c r="AF33" s="63" t="str">
        <f aca="false">IF(ISBLANK($C33), "",IF($AE33=Constants!$B$7,1,$AE33))</f>
        <v/>
      </c>
      <c r="AG33" s="63" t="str">
        <f aca="false">IF($AE33=Constants!$B$7,IF(V33, 1, Constants!$B$11) * IF(X33, 1, Constants!$B$12),"")</f>
        <v/>
      </c>
      <c r="AH33" s="63" t="str">
        <f aca="false">IF(AND($AE33=Constants!$B$7, T33, U33) ,MAX(0, $AA33-$Y33),"")</f>
        <v/>
      </c>
      <c r="AI33" s="63" t="str">
        <f aca="false">IF(ISERROR(AH33),$AI$6,"")</f>
        <v/>
      </c>
      <c r="AJ33" s="63" t="str">
        <f aca="false">IF($AE33=Constants!$B$7,IF(AND(T33,U33,W33),IF($AH$6=0,Constants!$B$9,Constants!$B$9*AH33/$AH$6), 0),"")</f>
        <v/>
      </c>
      <c r="AK33" s="63" t="str">
        <f aca="false">IF(AJ33&lt;&gt;"", AJ33*AG33,"")</f>
        <v/>
      </c>
      <c r="AL33" s="63" t="str">
        <f aca="false">IF(AND($AE33=Constants!$B$7, T33, U33) ,IF($Z33="", "", MAX(0,1-ABS($AA33-$Z33)/$AA33)),"")</f>
        <v/>
      </c>
      <c r="AM33" s="63" t="str">
        <f aca="false">IF(AND(NOT(ISERROR(AH33)),ISERROR(AL33)),$AM$6,"")</f>
        <v/>
      </c>
      <c r="AN33" s="63" t="str">
        <f aca="false">IF($AE33=Constants!$B$7 ,IF(AND(T33,U33,W33,ISNUMBER(Z33)),IF($AL$6=0,Constants!$B$10,Constants!$B$10*AL33/$AL$6), 0),"")</f>
        <v/>
      </c>
      <c r="AO33" s="63" t="str">
        <f aca="false">IF(AN33&lt;&gt;"", AN33*AG33,"")</f>
        <v/>
      </c>
      <c r="AP33" s="63" t="str">
        <f aca="false">IF($AE33=Constants!$B$7,IF($AP$6=0,Constants!$B$8,Constants!$B$8*AB33/$AP$6),"")</f>
        <v/>
      </c>
      <c r="AQ33" s="63" t="str">
        <f aca="false">IF($AE33&lt;&gt;Constants!$B$7,$AE33,AK33+AO33+AP33)</f>
        <v/>
      </c>
      <c r="AR33" s="63" t="str">
        <f aca="false">IF(ISBLANK($C33),"",IF($AE33=Constants!$B$7,RANK(AQ33,$AQ$8:$AQ$507),$AE33))</f>
        <v/>
      </c>
      <c r="AS33" s="63" t="str">
        <f aca="false">IF(ISBLANK($C33), "",AK33)</f>
        <v/>
      </c>
      <c r="AT33" s="63" t="str">
        <f aca="false">IF(ISBLANK($C33),"",IF($AE33=Constants!$B$7,RANK(AS33,AS$8:AS$507),$AE33))</f>
        <v/>
      </c>
      <c r="AU33" s="63" t="str">
        <f aca="false">IF(ISBLANK($C33), "",AP33)</f>
        <v/>
      </c>
      <c r="AV33" s="63" t="str">
        <f aca="false">IF(ISBLANK($C33),"",IF($AE33=Constants!$B$7,RANK(AU33,AU$8:AU$507),$AE33))</f>
        <v/>
      </c>
      <c r="AW33" s="63" t="str">
        <f aca="false">IF(ISBLANK($C33), "",AC33)</f>
        <v/>
      </c>
      <c r="AX33" s="63" t="str">
        <f aca="false">IF(ISBLANK($C33),"",
IF($AE33=Constants!$B$7,
  COUNTIFS($AR$8:$AR$507,"&lt;"&amp;$AR33)
  + COUNTIFS($AR$8:$AR$507,$AR33,$AT$8:$AT$507,"&lt;"&amp;$AT33)
  + COUNTIFS($AR$8:$AR$507,$AR33,$AT$8:$AT$507,$AT33,$AV$8:$AV$507,"&lt;"&amp;$AV33)
  + COUNTIFS($AR$8:$AR$507,$AR33,$AT$8:$AT$507,$AT33,$AV$8:$AV$507,$AV33,$AW$8:$AW$507,"&lt;"&amp;$AW33)
  + 1,
$AE33))</f>
        <v/>
      </c>
      <c r="AY33" s="63" t="str">
        <f aca="false">IF(ISBLANK(C33),"",IF($AE33=Constants!$B$7, AR33-AX33,$AE33))</f>
        <v/>
      </c>
      <c r="AZ33" s="67"/>
      <c r="BA33" s="81" t="str">
        <f aca="false">IF(ISBLANK($C33),"",TRIM(AI33&amp;" "&amp;AM33))</f>
        <v/>
      </c>
      <c r="BB33" s="69" t="str">
        <f aca="false">IF(ISBLANK($C33),"",IF($AE33&lt;&gt;Constants!$B$7, $AE33 ,AQ33))</f>
        <v/>
      </c>
      <c r="BC33" s="70" t="str">
        <f aca="false">IF(ISBLANK($C33),"",IF($AE33&lt;&gt;Constants!$B$7, $AE33 ,AF33))</f>
        <v/>
      </c>
      <c r="BD33" s="71" t="str">
        <f aca="false">IF(ISBLANK(C33),"",AY33)</f>
        <v/>
      </c>
      <c r="BE33" s="71" t="str">
        <f aca="false">IF(ISBLANK(C33),"",AX33)</f>
        <v/>
      </c>
      <c r="BF33" s="72" t="str">
        <f aca="false">IF(ISBLANK(C33),"",IFERROR(_xlfn.SWITCH(BE33, Constants!$B$4, COUNTA($C$8:$C532)+2, Constants!$B$5, COUNTA($C$8:$C532)+1, Constants!$B$6, COUNTA($C$8:$C532)),BE33))</f>
        <v/>
      </c>
      <c r="BG33" s="5"/>
      <c r="BH33" s="73" t="n">
        <f aca="false">IF(OR(ISNUMBER(BE33),BE33="DQ",BE33="P",BE33="NS"),
    1,
    0
)</f>
        <v>0</v>
      </c>
      <c r="BI33" s="73" t="n">
        <v>26</v>
      </c>
      <c r="BJ33" s="73" t="str">
        <f aca="false">IF(ISBLANK($C33),
    "",
   BF33+ROW($B33)/1000
)</f>
        <v/>
      </c>
      <c r="BK33" s="73" t="str">
        <f aca="false">IF(ISNUMBER(BJ33), RANK(BJ33,BJ$8:BJ$507,1), "")</f>
        <v/>
      </c>
      <c r="BL33" s="73" t="str">
        <f aca="false">IF(ISBLANK($C33),
    "",
    $B33
)</f>
        <v/>
      </c>
      <c r="BM33" s="73" t="str">
        <f aca="false">IF(ISBLANK($C33),
    "",
    $C33
)</f>
        <v/>
      </c>
      <c r="BN33" s="73" t="str">
        <f aca="false">IF(ISBLANK($C33),
    "",
    $D33
)</f>
        <v/>
      </c>
      <c r="BO33" s="74" t="str">
        <f aca="false">BC33</f>
        <v/>
      </c>
      <c r="BP33" s="75" t="str">
        <f aca="false">BB33</f>
        <v/>
      </c>
      <c r="BQ33" s="73" t="str">
        <f aca="false">IF(ISBLANK($C33),
    "",
    BE33
)</f>
        <v/>
      </c>
      <c r="BR33" s="76" t="str">
        <f aca="false">IF(BI33&gt;BH$7,
    "",
    VLOOKUP(BI33,BK$8:BQ532,7,FALSE())
)</f>
        <v/>
      </c>
      <c r="BS33" s="77" t="str">
        <f aca="false">IF(BI33&gt;BH$7,
    "",
    VLOOKUP(BI33,BK$8:BQ532,2,FALSE())
)</f>
        <v/>
      </c>
      <c r="BT33" s="77" t="str">
        <f aca="false">IF(BI33&gt;BH$7,
    "",
    VLOOKUP(BI33,BK$8:BQ532,3,FALSE())
)</f>
        <v/>
      </c>
      <c r="BU33" s="77" t="str">
        <f aca="false">IF(BI33&gt;BH$7,
    "",
    VLOOKUP(BI33,BK$8:BQ532,4,FALSE())
)</f>
        <v/>
      </c>
      <c r="BV33" s="77" t="str">
        <f aca="false">IF(BI33&gt;BH$7,
    "",
    VLOOKUP(BI33,BK$8:BQ532,5,FALSE())
)</f>
        <v/>
      </c>
      <c r="BW33" s="78" t="str">
        <f aca="false">IF(BI33&gt;BH$7,
    "",
    VLOOKUP(BI33,BK$8:BQ532,6,FALSE())
)</f>
        <v/>
      </c>
      <c r="BX33" s="50"/>
    </row>
    <row r="34" customFormat="false" ht="15.75" hidden="false" customHeight="false" outlineLevel="0" collapsed="false">
      <c r="A34" s="5"/>
      <c r="B34" s="126"/>
      <c r="C34" s="52"/>
      <c r="D34" s="53"/>
      <c r="E34" s="120"/>
      <c r="F34" s="120"/>
      <c r="G34" s="55"/>
      <c r="H34" s="56"/>
      <c r="I34" s="121"/>
      <c r="J34" s="121"/>
      <c r="K34" s="121"/>
      <c r="L34" s="58"/>
      <c r="M34" s="58"/>
      <c r="N34" s="58"/>
      <c r="O34" s="59"/>
      <c r="P34" s="60"/>
      <c r="Q34" s="80"/>
      <c r="R34" s="62"/>
      <c r="S34" s="63"/>
      <c r="T34" s="63" t="str">
        <f aca="false">IF(ISBLANK($C34),"",IF(G34=Constants!$B$2, TRUE(), IF(G34=Constants!$B$3, FALSE(), TRUE())))</f>
        <v/>
      </c>
      <c r="U34" s="63" t="str">
        <f aca="false">IF(ISBLANK($C34),"",IF(H34=Constants!$B$2, TRUE(), IF(H34=Constants!$B$3, FALSE(), TRUE())))</f>
        <v/>
      </c>
      <c r="V34" s="63" t="str">
        <f aca="false">IF(ISBLANK($C34),"",IF(I34=Constants!$B$2, TRUE(), IF(I34=Constants!$B$3, FALSE(), TRUE())))</f>
        <v/>
      </c>
      <c r="W34" s="63" t="str">
        <f aca="false">IF(ISBLANK($C34),"",IF(J34=Constants!$B$2, TRUE(), IF(J34=Constants!$B$3, FALSE(), TRUE())))</f>
        <v/>
      </c>
      <c r="X34" s="63" t="str">
        <f aca="false">IF(ISBLANK($C34),"",IF(K34=Constants!$B$2, TRUE(), IF(K34=Constants!$B$3, FALSE(), TRUE())))</f>
        <v/>
      </c>
      <c r="Y34" s="65" t="str">
        <f aca="false">IF(ISBLANK($C34),"",IF(ISNUMBER(L34), L34, ""))</f>
        <v/>
      </c>
      <c r="Z34" s="65" t="str">
        <f aca="false">IF(ISBLANK($C34),"",IF(ISNUMBER(M34), M34, ""))</f>
        <v/>
      </c>
      <c r="AA34" s="65" t="str">
        <f aca="false">IF(ISBLANK($C34),"",IF(ISNUMBER(N34), N34, ""))</f>
        <v/>
      </c>
      <c r="AB34" s="66" t="str">
        <f aca="false">IF(ISBLANK($C34),"",IF(ISNUMBER(O34), O34, ""))</f>
        <v/>
      </c>
      <c r="AC34" s="66" t="str">
        <f aca="false">IF(ISBLANK($C34),"",IF(ISNUMBER(P34), P34, Constants!$B$13))</f>
        <v/>
      </c>
      <c r="AD34" s="63" t="str">
        <f aca="false">IF(ISBLANK($C34),"",IF(Q34=Constants!$B$2, TRUE(), IF(Q34=Constants!$B$3, FALSE(), FALSE())))</f>
        <v/>
      </c>
      <c r="AE34" s="63" t="str">
        <f aca="false">IF(ISBLANK(C34), "", IF(AD34, Constants!$B$4,IF(COUNTA(G34:O34)=0, Constants!$B$5, Constants!$B$7)))</f>
        <v/>
      </c>
      <c r="AF34" s="63" t="str">
        <f aca="false">IF(ISBLANK($C34), "",IF($AE34=Constants!$B$7,1,$AE34))</f>
        <v/>
      </c>
      <c r="AG34" s="63" t="str">
        <f aca="false">IF($AE34=Constants!$B$7,IF(V34, 1, Constants!$B$11) * IF(X34, 1, Constants!$B$12),"")</f>
        <v/>
      </c>
      <c r="AH34" s="63" t="str">
        <f aca="false">IF(AND($AE34=Constants!$B$7, T34, U34) ,MAX(0, $AA34-$Y34),"")</f>
        <v/>
      </c>
      <c r="AI34" s="63" t="str">
        <f aca="false">IF(ISERROR(AH34),$AI$6,"")</f>
        <v/>
      </c>
      <c r="AJ34" s="63" t="str">
        <f aca="false">IF($AE34=Constants!$B$7,IF(AND(T34,U34,W34),IF($AH$6=0,Constants!$B$9,Constants!$B$9*AH34/$AH$6), 0),"")</f>
        <v/>
      </c>
      <c r="AK34" s="63" t="str">
        <f aca="false">IF(AJ34&lt;&gt;"", AJ34*AG34,"")</f>
        <v/>
      </c>
      <c r="AL34" s="63" t="str">
        <f aca="false">IF(AND($AE34=Constants!$B$7, T34, U34) ,IF($Z34="", "", MAX(0,1-ABS($AA34-$Z34)/$AA34)),"")</f>
        <v/>
      </c>
      <c r="AM34" s="63" t="str">
        <f aca="false">IF(AND(NOT(ISERROR(AH34)),ISERROR(AL34)),$AM$6,"")</f>
        <v/>
      </c>
      <c r="AN34" s="63" t="str">
        <f aca="false">IF($AE34=Constants!$B$7 ,IF(AND(T34,U34,W34,ISNUMBER(Z34)),IF($AL$6=0,Constants!$B$10,Constants!$B$10*AL34/$AL$6), 0),"")</f>
        <v/>
      </c>
      <c r="AO34" s="63" t="str">
        <f aca="false">IF(AN34&lt;&gt;"", AN34*AG34,"")</f>
        <v/>
      </c>
      <c r="AP34" s="63" t="str">
        <f aca="false">IF($AE34=Constants!$B$7,IF($AP$6=0,Constants!$B$8,Constants!$B$8*AB34/$AP$6),"")</f>
        <v/>
      </c>
      <c r="AQ34" s="63" t="str">
        <f aca="false">IF($AE34&lt;&gt;Constants!$B$7,$AE34,AK34+AO34+AP34)</f>
        <v/>
      </c>
      <c r="AR34" s="63" t="str">
        <f aca="false">IF(ISBLANK($C34),"",IF($AE34=Constants!$B$7,RANK(AQ34,$AQ$8:$AQ$507),$AE34))</f>
        <v/>
      </c>
      <c r="AS34" s="63" t="str">
        <f aca="false">IF(ISBLANK($C34), "",AK34)</f>
        <v/>
      </c>
      <c r="AT34" s="63" t="str">
        <f aca="false">IF(ISBLANK($C34),"",IF($AE34=Constants!$B$7,RANK(AS34,AS$8:AS$507),$AE34))</f>
        <v/>
      </c>
      <c r="AU34" s="63" t="str">
        <f aca="false">IF(ISBLANK($C34), "",AP34)</f>
        <v/>
      </c>
      <c r="AV34" s="63" t="str">
        <f aca="false">IF(ISBLANK($C34),"",IF($AE34=Constants!$B$7,RANK(AU34,AU$8:AU$507),$AE34))</f>
        <v/>
      </c>
      <c r="AW34" s="63" t="str">
        <f aca="false">IF(ISBLANK($C34), "",AC34)</f>
        <v/>
      </c>
      <c r="AX34" s="63" t="str">
        <f aca="false">IF(ISBLANK($C34),"",
IF($AE34=Constants!$B$7,
  COUNTIFS($AR$8:$AR$507,"&lt;"&amp;$AR34)
  + COUNTIFS($AR$8:$AR$507,$AR34,$AT$8:$AT$507,"&lt;"&amp;$AT34)
  + COUNTIFS($AR$8:$AR$507,$AR34,$AT$8:$AT$507,$AT34,$AV$8:$AV$507,"&lt;"&amp;$AV34)
  + COUNTIFS($AR$8:$AR$507,$AR34,$AT$8:$AT$507,$AT34,$AV$8:$AV$507,$AV34,$AW$8:$AW$507,"&lt;"&amp;$AW34)
  + 1,
$AE34))</f>
        <v/>
      </c>
      <c r="AY34" s="63" t="str">
        <f aca="false">IF(ISBLANK(C34),"",IF($AE34=Constants!$B$7, AR34-AX34,$AE34))</f>
        <v/>
      </c>
      <c r="AZ34" s="67"/>
      <c r="BA34" s="81" t="str">
        <f aca="false">IF(ISBLANK($C34),"",TRIM(AI34&amp;" "&amp;AM34))</f>
        <v/>
      </c>
      <c r="BB34" s="69" t="str">
        <f aca="false">IF(ISBLANK($C34),"",IF($AE34&lt;&gt;Constants!$B$7, $AE34 ,AQ34))</f>
        <v/>
      </c>
      <c r="BC34" s="70" t="str">
        <f aca="false">IF(ISBLANK($C34),"",IF($AE34&lt;&gt;Constants!$B$7, $AE34 ,AF34))</f>
        <v/>
      </c>
      <c r="BD34" s="71" t="str">
        <f aca="false">IF(ISBLANK(C34),"",AY34)</f>
        <v/>
      </c>
      <c r="BE34" s="71" t="str">
        <f aca="false">IF(ISBLANK(C34),"",AX34)</f>
        <v/>
      </c>
      <c r="BF34" s="72" t="str">
        <f aca="false">IF(ISBLANK(C34),"",IFERROR(_xlfn.SWITCH(BE34, Constants!$B$4, COUNTA($C$8:$C533)+2, Constants!$B$5, COUNTA($C$8:$C533)+1, Constants!$B$6, COUNTA($C$8:$C533)),BE34))</f>
        <v/>
      </c>
      <c r="BG34" s="5"/>
      <c r="BH34" s="73" t="n">
        <f aca="false">IF(OR(ISNUMBER(BE34),BE34="DQ",BE34="P",BE34="NS"),
    1,
    0
)</f>
        <v>0</v>
      </c>
      <c r="BI34" s="73" t="n">
        <v>27</v>
      </c>
      <c r="BJ34" s="73" t="str">
        <f aca="false">IF(ISBLANK($C34),
    "",
   BF34+ROW($B34)/1000
)</f>
        <v/>
      </c>
      <c r="BK34" s="73" t="str">
        <f aca="false">IF(ISNUMBER(BJ34), RANK(BJ34,BJ$8:BJ$507,1), "")</f>
        <v/>
      </c>
      <c r="BL34" s="73" t="str">
        <f aca="false">IF(ISBLANK($C34),
    "",
    $B34
)</f>
        <v/>
      </c>
      <c r="BM34" s="73" t="str">
        <f aca="false">IF(ISBLANK($C34),
    "",
    $C34
)</f>
        <v/>
      </c>
      <c r="BN34" s="73" t="str">
        <f aca="false">IF(ISBLANK($C34),
    "",
    $D34
)</f>
        <v/>
      </c>
      <c r="BO34" s="74" t="str">
        <f aca="false">BC34</f>
        <v/>
      </c>
      <c r="BP34" s="75" t="str">
        <f aca="false">BB34</f>
        <v/>
      </c>
      <c r="BQ34" s="73" t="str">
        <f aca="false">IF(ISBLANK($C34),
    "",
    BE34
)</f>
        <v/>
      </c>
      <c r="BR34" s="76" t="str">
        <f aca="false">IF(BI34&gt;BH$7,
    "",
    VLOOKUP(BI34,BK$8:BQ533,7,FALSE())
)</f>
        <v/>
      </c>
      <c r="BS34" s="77" t="str">
        <f aca="false">IF(BI34&gt;BH$7,
    "",
    VLOOKUP(BI34,BK$8:BQ533,2,FALSE())
)</f>
        <v/>
      </c>
      <c r="BT34" s="77" t="str">
        <f aca="false">IF(BI34&gt;BH$7,
    "",
    VLOOKUP(BI34,BK$8:BQ533,3,FALSE())
)</f>
        <v/>
      </c>
      <c r="BU34" s="77" t="str">
        <f aca="false">IF(BI34&gt;BH$7,
    "",
    VLOOKUP(BI34,BK$8:BQ533,4,FALSE())
)</f>
        <v/>
      </c>
      <c r="BV34" s="77" t="str">
        <f aca="false">IF(BI34&gt;BH$7,
    "",
    VLOOKUP(BI34,BK$8:BQ533,5,FALSE())
)</f>
        <v/>
      </c>
      <c r="BW34" s="78" t="str">
        <f aca="false">IF(BI34&gt;BH$7,
    "",
    VLOOKUP(BI34,BK$8:BQ533,6,FALSE())
)</f>
        <v/>
      </c>
      <c r="BX34" s="50"/>
    </row>
    <row r="35" customFormat="false" ht="15.75" hidden="false" customHeight="false" outlineLevel="0" collapsed="false">
      <c r="A35" s="5"/>
      <c r="B35" s="122"/>
      <c r="C35" s="123"/>
      <c r="D35" s="112"/>
      <c r="E35" s="116"/>
      <c r="F35" s="116"/>
      <c r="G35" s="88"/>
      <c r="H35" s="89"/>
      <c r="I35" s="124"/>
      <c r="J35" s="124"/>
      <c r="K35" s="124"/>
      <c r="L35" s="91"/>
      <c r="M35" s="91"/>
      <c r="N35" s="91"/>
      <c r="O35" s="92"/>
      <c r="P35" s="93"/>
      <c r="Q35" s="125"/>
      <c r="R35" s="95"/>
      <c r="S35" s="96"/>
      <c r="T35" s="96" t="str">
        <f aca="false">IF(ISBLANK($C35),"",IF(G35=Constants!$B$2, TRUE(), IF(G35=Constants!$B$3, FALSE(), TRUE())))</f>
        <v/>
      </c>
      <c r="U35" s="96" t="str">
        <f aca="false">IF(ISBLANK($C35),"",IF(H35=Constants!$B$2, TRUE(), IF(H35=Constants!$B$3, FALSE(), TRUE())))</f>
        <v/>
      </c>
      <c r="V35" s="96" t="str">
        <f aca="false">IF(ISBLANK($C35),"",IF(I35=Constants!$B$2, TRUE(), IF(I35=Constants!$B$3, FALSE(), TRUE())))</f>
        <v/>
      </c>
      <c r="W35" s="96" t="str">
        <f aca="false">IF(ISBLANK($C35),"",IF(J35=Constants!$B$2, TRUE(), IF(J35=Constants!$B$3, FALSE(), TRUE())))</f>
        <v/>
      </c>
      <c r="X35" s="97" t="str">
        <f aca="false">IF(ISBLANK($C35),"",IF(K35=Constants!$B$2, TRUE(), IF(K35=Constants!$B$3, FALSE(), TRUE())))</f>
        <v/>
      </c>
      <c r="Y35" s="98" t="str">
        <f aca="false">IF(ISBLANK($C35),"",IF(ISNUMBER(L35), L35, ""))</f>
        <v/>
      </c>
      <c r="Z35" s="98" t="str">
        <f aca="false">IF(ISBLANK($C35),"",IF(ISNUMBER(M35), M35, ""))</f>
        <v/>
      </c>
      <c r="AA35" s="98" t="str">
        <f aca="false">IF(ISBLANK($C35),"",IF(ISNUMBER(N35), N35, ""))</f>
        <v/>
      </c>
      <c r="AB35" s="99" t="str">
        <f aca="false">IF(ISBLANK($C35),"",IF(ISNUMBER(O35), O35, ""))</f>
        <v/>
      </c>
      <c r="AC35" s="99" t="str">
        <f aca="false">IF(ISBLANK($C35),"",IF(ISNUMBER(P35), P35, Constants!$B$13))</f>
        <v/>
      </c>
      <c r="AD35" s="96" t="str">
        <f aca="false">IF(ISBLANK($C35),"",IF(Q35=Constants!$B$2, TRUE(), IF(Q35=Constants!$B$3, FALSE(), FALSE())))</f>
        <v/>
      </c>
      <c r="AE35" s="96" t="str">
        <f aca="false">IF(ISBLANK(C35), "", IF(AD35, Constants!$B$4,IF(COUNTA(G35:O35)=0, Constants!$B$5, Constants!$B$7)))</f>
        <v/>
      </c>
      <c r="AF35" s="96" t="str">
        <f aca="false">IF(ISBLANK($C35), "",IF($AE35=Constants!$B$7,1,$AE35))</f>
        <v/>
      </c>
      <c r="AG35" s="96" t="str">
        <f aca="false">IF($AE35=Constants!$B$7,IF(V35, 1, Constants!$B$11) * IF(X35, 1, Constants!$B$12),"")</f>
        <v/>
      </c>
      <c r="AH35" s="96" t="str">
        <f aca="false">IF(AND($AE35=Constants!$B$7, T35, U35) ,MAX(0, $AA35-$Y35),"")</f>
        <v/>
      </c>
      <c r="AI35" s="96" t="str">
        <f aca="false">IF(ISERROR(AH35),$AI$6,"")</f>
        <v/>
      </c>
      <c r="AJ35" s="96" t="str">
        <f aca="false">IF($AE35=Constants!$B$7,IF(AND(T35,U35,W35),IF($AH$6=0,Constants!$B$9,Constants!$B$9*AH35/$AH$6), 0),"")</f>
        <v/>
      </c>
      <c r="AK35" s="96" t="str">
        <f aca="false">IF(AJ35&lt;&gt;"", AJ35*AG35,"")</f>
        <v/>
      </c>
      <c r="AL35" s="96" t="str">
        <f aca="false">IF(AND($AE35=Constants!$B$7, T35, U35) ,IF($Z35="", "", MAX(0,1-ABS($AA35-$Z35)/$AA35)),"")</f>
        <v/>
      </c>
      <c r="AM35" s="96" t="str">
        <f aca="false">IF(AND(NOT(ISERROR(AH35)),ISERROR(AL35)),$AM$6,"")</f>
        <v/>
      </c>
      <c r="AN35" s="96" t="str">
        <f aca="false">IF($AE35=Constants!$B$7 ,IF(AND(T35,U35,W35,ISNUMBER(Z35)),IF($AL$6=0,Constants!$B$10,Constants!$B$10*AL35/$AL$6), 0),"")</f>
        <v/>
      </c>
      <c r="AO35" s="96" t="str">
        <f aca="false">IF(AN35&lt;&gt;"", AN35*AG35,"")</f>
        <v/>
      </c>
      <c r="AP35" s="96" t="str">
        <f aca="false">IF($AE35=Constants!$B$7,IF($AP$6=0,Constants!$B$8,Constants!$B$8*AB35/$AP$6),"")</f>
        <v/>
      </c>
      <c r="AQ35" s="96" t="str">
        <f aca="false">IF($AE35&lt;&gt;Constants!$B$7,$AE35,AK35+AO35+AP35)</f>
        <v/>
      </c>
      <c r="AR35" s="96" t="str">
        <f aca="false">IF(ISBLANK($C35),"",IF($AE35=Constants!$B$7,RANK(AQ35,$AQ$8:$AQ$507),$AE35))</f>
        <v/>
      </c>
      <c r="AS35" s="96" t="str">
        <f aca="false">IF(ISBLANK($C35), "",AK35)</f>
        <v/>
      </c>
      <c r="AT35" s="96" t="str">
        <f aca="false">IF(ISBLANK($C35),"",IF($AE35=Constants!$B$7,RANK(AS35,AS$8:AS$507),$AE35))</f>
        <v/>
      </c>
      <c r="AU35" s="96" t="str">
        <f aca="false">IF(ISBLANK($C35), "",AP35)</f>
        <v/>
      </c>
      <c r="AV35" s="96" t="str">
        <f aca="false">IF(ISBLANK($C35),"",IF($AE35=Constants!$B$7,RANK(AU35,AU$8:AU$507),$AE35))</f>
        <v/>
      </c>
      <c r="AW35" s="96" t="str">
        <f aca="false">IF(ISBLANK($C35), "",AC35)</f>
        <v/>
      </c>
      <c r="AX35" s="96" t="str">
        <f aca="false">IF(ISBLANK($C35),"",
IF($AE35=Constants!$B$7,
  COUNTIFS($AR$8:$AR$507,"&lt;"&amp;$AR35)
  + COUNTIFS($AR$8:$AR$507,$AR35,$AT$8:$AT$507,"&lt;"&amp;$AT35)
  + COUNTIFS($AR$8:$AR$507,$AR35,$AT$8:$AT$507,$AT35,$AV$8:$AV$507,"&lt;"&amp;$AV35)
  + COUNTIFS($AR$8:$AR$507,$AR35,$AT$8:$AT$507,$AT35,$AV$8:$AV$507,$AV35,$AW$8:$AW$507,"&lt;"&amp;$AW35)
  + 1,
$AE35))</f>
        <v/>
      </c>
      <c r="AY35" s="96" t="str">
        <f aca="false">IF(ISBLANK(C35),"",IF($AE35=Constants!$B$7, AR35-AX35,$AE35))</f>
        <v/>
      </c>
      <c r="AZ35" s="100"/>
      <c r="BA35" s="101" t="str">
        <f aca="false">IF(ISBLANK($C35),"",TRIM(AI35&amp;" "&amp;AM35))</f>
        <v/>
      </c>
      <c r="BB35" s="102" t="str">
        <f aca="false">IF(ISBLANK($C35),"",IF($AE35&lt;&gt;Constants!$B$7, $AE35 ,AQ35))</f>
        <v/>
      </c>
      <c r="BC35" s="103" t="str">
        <f aca="false">IF(ISBLANK($C35),"",IF($AE35&lt;&gt;Constants!$B$7, $AE35 ,AF35))</f>
        <v/>
      </c>
      <c r="BD35" s="104" t="str">
        <f aca="false">IF(ISBLANK(C35),"",AY35)</f>
        <v/>
      </c>
      <c r="BE35" s="104" t="str">
        <f aca="false">IF(ISBLANK(C35),"",AX35)</f>
        <v/>
      </c>
      <c r="BF35" s="105" t="str">
        <f aca="false">IF(ISBLANK(C35),"",IFERROR(_xlfn.SWITCH(BE35, Constants!$B$4, COUNTA($C$8:$C534)+2, Constants!$B$5, COUNTA($C$8:$C534)+1, Constants!$B$6, COUNTA($C$8:$C534)),BE35))</f>
        <v/>
      </c>
      <c r="BG35" s="5"/>
      <c r="BH35" s="106" t="n">
        <f aca="false">IF(OR(ISNUMBER(BE35),BE35="DQ",BE35="P",BE35="NS"),
    1,
    0
)</f>
        <v>0</v>
      </c>
      <c r="BI35" s="106" t="n">
        <v>28</v>
      </c>
      <c r="BJ35" s="106" t="str">
        <f aca="false">IF(ISBLANK($C35),
    "",
   BF35+ROW($B35)/1000
)</f>
        <v/>
      </c>
      <c r="BK35" s="106" t="str">
        <f aca="false">IF(ISNUMBER(BJ35), RANK(BJ35,BJ$8:BJ$507,1), "")</f>
        <v/>
      </c>
      <c r="BL35" s="106" t="str">
        <f aca="false">IF(ISBLANK($C35),
    "",
    $B35
)</f>
        <v/>
      </c>
      <c r="BM35" s="106" t="str">
        <f aca="false">IF(ISBLANK($C35),
    "",
    $C35
)</f>
        <v/>
      </c>
      <c r="BN35" s="106" t="str">
        <f aca="false">IF(ISBLANK($C35),
    "",
    $D35
)</f>
        <v/>
      </c>
      <c r="BO35" s="107" t="str">
        <f aca="false">BC35</f>
        <v/>
      </c>
      <c r="BP35" s="108" t="str">
        <f aca="false">BB35</f>
        <v/>
      </c>
      <c r="BQ35" s="106" t="str">
        <f aca="false">IF(ISBLANK($C35),
    "",
    BE35
)</f>
        <v/>
      </c>
      <c r="BR35" s="109" t="str">
        <f aca="false">IF(BI35&gt;BH$7,
    "",
    VLOOKUP(BI35,BK$8:BQ534,7,FALSE())
)</f>
        <v/>
      </c>
      <c r="BS35" s="110" t="str">
        <f aca="false">IF(BI35&gt;BH$7,
    "",
    VLOOKUP(BI35,BK$8:BQ534,2,FALSE())
)</f>
        <v/>
      </c>
      <c r="BT35" s="110" t="str">
        <f aca="false">IF(BI35&gt;BH$7,
    "",
    VLOOKUP(BI35,BK$8:BQ534,3,FALSE())
)</f>
        <v/>
      </c>
      <c r="BU35" s="110" t="str">
        <f aca="false">IF(BI35&gt;BH$7,
    "",
    VLOOKUP(BI35,BK$8:BQ534,4,FALSE())
)</f>
        <v/>
      </c>
      <c r="BV35" s="110" t="str">
        <f aca="false">IF(BI35&gt;BH$7,
    "",
    VLOOKUP(BI35,BK$8:BQ534,5,FALSE())
)</f>
        <v/>
      </c>
      <c r="BW35" s="111" t="str">
        <f aca="false">IF(BI35&gt;BH$7,
    "",
    VLOOKUP(BI35,BK$8:BQ534,6,FALSE())
)</f>
        <v/>
      </c>
      <c r="BX35" s="50"/>
    </row>
    <row r="36" customFormat="false" ht="15.75" hidden="false" customHeight="false" outlineLevel="0" collapsed="false">
      <c r="A36" s="5"/>
      <c r="B36" s="122"/>
      <c r="C36" s="123"/>
      <c r="D36" s="112"/>
      <c r="E36" s="116"/>
      <c r="F36" s="116"/>
      <c r="G36" s="88"/>
      <c r="H36" s="89"/>
      <c r="I36" s="124"/>
      <c r="J36" s="124"/>
      <c r="K36" s="124"/>
      <c r="L36" s="91"/>
      <c r="M36" s="91"/>
      <c r="N36" s="91"/>
      <c r="O36" s="92"/>
      <c r="P36" s="93"/>
      <c r="Q36" s="125"/>
      <c r="R36" s="95"/>
      <c r="S36" s="96"/>
      <c r="T36" s="96" t="str">
        <f aca="false">IF(ISBLANK($C36),"",IF(G36=Constants!$B$2, TRUE(), IF(G36=Constants!$B$3, FALSE(), TRUE())))</f>
        <v/>
      </c>
      <c r="U36" s="96" t="str">
        <f aca="false">IF(ISBLANK($C36),"",IF(H36=Constants!$B$2, TRUE(), IF(H36=Constants!$B$3, FALSE(), TRUE())))</f>
        <v/>
      </c>
      <c r="V36" s="96" t="str">
        <f aca="false">IF(ISBLANK($C36),"",IF(I36=Constants!$B$2, TRUE(), IF(I36=Constants!$B$3, FALSE(), TRUE())))</f>
        <v/>
      </c>
      <c r="W36" s="96" t="str">
        <f aca="false">IF(ISBLANK($C36),"",IF(J36=Constants!$B$2, TRUE(), IF(J36=Constants!$B$3, FALSE(), TRUE())))</f>
        <v/>
      </c>
      <c r="X36" s="97" t="str">
        <f aca="false">IF(ISBLANK($C36),"",IF(K36=Constants!$B$2, TRUE(), IF(K36=Constants!$B$3, FALSE(), TRUE())))</f>
        <v/>
      </c>
      <c r="Y36" s="98" t="str">
        <f aca="false">IF(ISBLANK($C36),"",IF(ISNUMBER(L36), L36, ""))</f>
        <v/>
      </c>
      <c r="Z36" s="98" t="str">
        <f aca="false">IF(ISBLANK($C36),"",IF(ISNUMBER(M36), M36, ""))</f>
        <v/>
      </c>
      <c r="AA36" s="98" t="str">
        <f aca="false">IF(ISBLANK($C36),"",IF(ISNUMBER(N36), N36, ""))</f>
        <v/>
      </c>
      <c r="AB36" s="99" t="str">
        <f aca="false">IF(ISBLANK($C36),"",IF(ISNUMBER(O36), O36, ""))</f>
        <v/>
      </c>
      <c r="AC36" s="99" t="str">
        <f aca="false">IF(ISBLANK($C36),"",IF(ISNUMBER(P36), P36, Constants!$B$13))</f>
        <v/>
      </c>
      <c r="AD36" s="96" t="str">
        <f aca="false">IF(ISBLANK($C36),"",IF(Q36=Constants!$B$2, TRUE(), IF(Q36=Constants!$B$3, FALSE(), FALSE())))</f>
        <v/>
      </c>
      <c r="AE36" s="96" t="str">
        <f aca="false">IF(ISBLANK(C36), "", IF(AD36, Constants!$B$4,IF(COUNTA(G36:O36)=0, Constants!$B$5, Constants!$B$7)))</f>
        <v/>
      </c>
      <c r="AF36" s="96" t="str">
        <f aca="false">IF(ISBLANK($C36), "",IF($AE36=Constants!$B$7,1,$AE36))</f>
        <v/>
      </c>
      <c r="AG36" s="96" t="str">
        <f aca="false">IF($AE36=Constants!$B$7,IF(V36, 1, Constants!$B$11) * IF(X36, 1, Constants!$B$12),"")</f>
        <v/>
      </c>
      <c r="AH36" s="96" t="str">
        <f aca="false">IF(AND($AE36=Constants!$B$7, T36, U36) ,MAX(0, $AA36-$Y36),"")</f>
        <v/>
      </c>
      <c r="AI36" s="96" t="str">
        <f aca="false">IF(ISERROR(AH36),$AI$6,"")</f>
        <v/>
      </c>
      <c r="AJ36" s="96" t="str">
        <f aca="false">IF($AE36=Constants!$B$7,IF(AND(T36,U36,W36),IF($AH$6=0,Constants!$B$9,Constants!$B$9*AH36/$AH$6), 0),"")</f>
        <v/>
      </c>
      <c r="AK36" s="96" t="str">
        <f aca="false">IF(AJ36&lt;&gt;"", AJ36*AG36,"")</f>
        <v/>
      </c>
      <c r="AL36" s="96" t="str">
        <f aca="false">IF(AND($AE36=Constants!$B$7, T36, U36) ,IF($Z36="", "", MAX(0,1-ABS($AA36-$Z36)/$AA36)),"")</f>
        <v/>
      </c>
      <c r="AM36" s="96" t="str">
        <f aca="false">IF(AND(NOT(ISERROR(AH36)),ISERROR(AL36)),$AM$6,"")</f>
        <v/>
      </c>
      <c r="AN36" s="96" t="str">
        <f aca="false">IF($AE36=Constants!$B$7 ,IF(AND(T36,U36,W36,ISNUMBER(Z36)),IF($AL$6=0,Constants!$B$10,Constants!$B$10*AL36/$AL$6), 0),"")</f>
        <v/>
      </c>
      <c r="AO36" s="96" t="str">
        <f aca="false">IF(AN36&lt;&gt;"", AN36*AG36,"")</f>
        <v/>
      </c>
      <c r="AP36" s="96" t="str">
        <f aca="false">IF($AE36=Constants!$B$7,IF($AP$6=0,Constants!$B$8,Constants!$B$8*AB36/$AP$6),"")</f>
        <v/>
      </c>
      <c r="AQ36" s="96" t="str">
        <f aca="false">IF($AE36&lt;&gt;Constants!$B$7,$AE36,AK36+AO36+AP36)</f>
        <v/>
      </c>
      <c r="AR36" s="96" t="str">
        <f aca="false">IF(ISBLANK($C36),"",IF($AE36=Constants!$B$7,RANK(AQ36,$AQ$8:$AQ$507),$AE36))</f>
        <v/>
      </c>
      <c r="AS36" s="96" t="str">
        <f aca="false">IF(ISBLANK($C36), "",AK36)</f>
        <v/>
      </c>
      <c r="AT36" s="96" t="str">
        <f aca="false">IF(ISBLANK($C36),"",IF($AE36=Constants!$B$7,RANK(AS36,AS$8:AS$507),$AE36))</f>
        <v/>
      </c>
      <c r="AU36" s="96" t="str">
        <f aca="false">IF(ISBLANK($C36), "",AP36)</f>
        <v/>
      </c>
      <c r="AV36" s="96" t="str">
        <f aca="false">IF(ISBLANK($C36),"",IF($AE36=Constants!$B$7,RANK(AU36,AU$8:AU$507),$AE36))</f>
        <v/>
      </c>
      <c r="AW36" s="96" t="str">
        <f aca="false">IF(ISBLANK($C36), "",AC36)</f>
        <v/>
      </c>
      <c r="AX36" s="96" t="str">
        <f aca="false">IF(ISBLANK($C36),"",
IF($AE36=Constants!$B$7,
  COUNTIFS($AR$8:$AR$507,"&lt;"&amp;$AR36)
  + COUNTIFS($AR$8:$AR$507,$AR36,$AT$8:$AT$507,"&lt;"&amp;$AT36)
  + COUNTIFS($AR$8:$AR$507,$AR36,$AT$8:$AT$507,$AT36,$AV$8:$AV$507,"&lt;"&amp;$AV36)
  + COUNTIFS($AR$8:$AR$507,$AR36,$AT$8:$AT$507,$AT36,$AV$8:$AV$507,$AV36,$AW$8:$AW$507,"&lt;"&amp;$AW36)
  + 1,
$AE36))</f>
        <v/>
      </c>
      <c r="AY36" s="96" t="str">
        <f aca="false">IF(ISBLANK(C36),"",IF($AE36=Constants!$B$7, AR36-AX36,$AE36))</f>
        <v/>
      </c>
      <c r="AZ36" s="100"/>
      <c r="BA36" s="101" t="str">
        <f aca="false">IF(ISBLANK($C36),"",TRIM(AI36&amp;" "&amp;AM36))</f>
        <v/>
      </c>
      <c r="BB36" s="102" t="str">
        <f aca="false">IF(ISBLANK($C36),"",IF($AE36&lt;&gt;Constants!$B$7, $AE36 ,AQ36))</f>
        <v/>
      </c>
      <c r="BC36" s="103" t="str">
        <f aca="false">IF(ISBLANK($C36),"",IF($AE36&lt;&gt;Constants!$B$7, $AE36 ,AF36))</f>
        <v/>
      </c>
      <c r="BD36" s="104" t="str">
        <f aca="false">IF(ISBLANK(C36),"",AY36)</f>
        <v/>
      </c>
      <c r="BE36" s="104" t="str">
        <f aca="false">IF(ISBLANK(C36),"",AX36)</f>
        <v/>
      </c>
      <c r="BF36" s="105" t="str">
        <f aca="false">IF(ISBLANK(C36),"",IFERROR(_xlfn.SWITCH(BE36, Constants!$B$4, COUNTA($C$8:$C535)+2, Constants!$B$5, COUNTA($C$8:$C535)+1, Constants!$B$6, COUNTA($C$8:$C535)),BE36))</f>
        <v/>
      </c>
      <c r="BG36" s="5"/>
      <c r="BH36" s="106" t="n">
        <f aca="false">IF(OR(ISNUMBER(BE36),BE36="DQ",BE36="P",BE36="NS"),
    1,
    0
)</f>
        <v>0</v>
      </c>
      <c r="BI36" s="106" t="n">
        <v>29</v>
      </c>
      <c r="BJ36" s="106" t="str">
        <f aca="false">IF(ISBLANK($C36),
    "",
   BF36+ROW($B36)/1000
)</f>
        <v/>
      </c>
      <c r="BK36" s="106" t="str">
        <f aca="false">IF(ISNUMBER(BJ36), RANK(BJ36,BJ$8:BJ$507,1), "")</f>
        <v/>
      </c>
      <c r="BL36" s="106" t="str">
        <f aca="false">IF(ISBLANK($C36),
    "",
    $B36
)</f>
        <v/>
      </c>
      <c r="BM36" s="106" t="str">
        <f aca="false">IF(ISBLANK($C36),
    "",
    $C36
)</f>
        <v/>
      </c>
      <c r="BN36" s="106" t="str">
        <f aca="false">IF(ISBLANK($C36),
    "",
    $D36
)</f>
        <v/>
      </c>
      <c r="BO36" s="107" t="str">
        <f aca="false">BC36</f>
        <v/>
      </c>
      <c r="BP36" s="108" t="str">
        <f aca="false">BB36</f>
        <v/>
      </c>
      <c r="BQ36" s="106" t="str">
        <f aca="false">IF(ISBLANK($C36),
    "",
    BE36
)</f>
        <v/>
      </c>
      <c r="BR36" s="109" t="str">
        <f aca="false">IF(BI36&gt;BH$7,
    "",
    VLOOKUP(BI36,BK$8:BQ535,7,FALSE())
)</f>
        <v/>
      </c>
      <c r="BS36" s="110" t="str">
        <f aca="false">IF(BI36&gt;BH$7,
    "",
    VLOOKUP(BI36,BK$8:BQ535,2,FALSE())
)</f>
        <v/>
      </c>
      <c r="BT36" s="110" t="str">
        <f aca="false">IF(BI36&gt;BH$7,
    "",
    VLOOKUP(BI36,BK$8:BQ535,3,FALSE())
)</f>
        <v/>
      </c>
      <c r="BU36" s="110" t="str">
        <f aca="false">IF(BI36&gt;BH$7,
    "",
    VLOOKUP(BI36,BK$8:BQ535,4,FALSE())
)</f>
        <v/>
      </c>
      <c r="BV36" s="110" t="str">
        <f aca="false">IF(BI36&gt;BH$7,
    "",
    VLOOKUP(BI36,BK$8:BQ535,5,FALSE())
)</f>
        <v/>
      </c>
      <c r="BW36" s="111" t="str">
        <f aca="false">IF(BI36&gt;BH$7,
    "",
    VLOOKUP(BI36,BK$8:BQ535,6,FALSE())
)</f>
        <v/>
      </c>
      <c r="BX36" s="50"/>
    </row>
    <row r="37" customFormat="false" ht="15.75" hidden="false" customHeight="false" outlineLevel="0" collapsed="false">
      <c r="A37" s="5"/>
      <c r="B37" s="122"/>
      <c r="C37" s="123"/>
      <c r="D37" s="112"/>
      <c r="E37" s="116"/>
      <c r="F37" s="116"/>
      <c r="G37" s="88"/>
      <c r="H37" s="89"/>
      <c r="I37" s="124"/>
      <c r="J37" s="124"/>
      <c r="K37" s="124"/>
      <c r="L37" s="91"/>
      <c r="M37" s="91"/>
      <c r="N37" s="91"/>
      <c r="O37" s="92"/>
      <c r="P37" s="93"/>
      <c r="Q37" s="125"/>
      <c r="R37" s="95"/>
      <c r="S37" s="96"/>
      <c r="T37" s="96" t="str">
        <f aca="false">IF(ISBLANK($C37),"",IF(G37=Constants!$B$2, TRUE(), IF(G37=Constants!$B$3, FALSE(), TRUE())))</f>
        <v/>
      </c>
      <c r="U37" s="96" t="str">
        <f aca="false">IF(ISBLANK($C37),"",IF(H37=Constants!$B$2, TRUE(), IF(H37=Constants!$B$3, FALSE(), TRUE())))</f>
        <v/>
      </c>
      <c r="V37" s="96" t="str">
        <f aca="false">IF(ISBLANK($C37),"",IF(I37=Constants!$B$2, TRUE(), IF(I37=Constants!$B$3, FALSE(), TRUE())))</f>
        <v/>
      </c>
      <c r="W37" s="96" t="str">
        <f aca="false">IF(ISBLANK($C37),"",IF(J37=Constants!$B$2, TRUE(), IF(J37=Constants!$B$3, FALSE(), TRUE())))</f>
        <v/>
      </c>
      <c r="X37" s="97" t="str">
        <f aca="false">IF(ISBLANK($C37),"",IF(K37=Constants!$B$2, TRUE(), IF(K37=Constants!$B$3, FALSE(), TRUE())))</f>
        <v/>
      </c>
      <c r="Y37" s="98" t="str">
        <f aca="false">IF(ISBLANK($C37),"",IF(ISNUMBER(L37), L37, ""))</f>
        <v/>
      </c>
      <c r="Z37" s="98" t="str">
        <f aca="false">IF(ISBLANK($C37),"",IF(ISNUMBER(M37), M37, ""))</f>
        <v/>
      </c>
      <c r="AA37" s="98" t="str">
        <f aca="false">IF(ISBLANK($C37),"",IF(ISNUMBER(N37), N37, ""))</f>
        <v/>
      </c>
      <c r="AB37" s="99" t="str">
        <f aca="false">IF(ISBLANK($C37),"",IF(ISNUMBER(O37), O37, ""))</f>
        <v/>
      </c>
      <c r="AC37" s="99" t="str">
        <f aca="false">IF(ISBLANK($C37),"",IF(ISNUMBER(P37), P37, Constants!$B$13))</f>
        <v/>
      </c>
      <c r="AD37" s="96" t="str">
        <f aca="false">IF(ISBLANK($C37),"",IF(Q37=Constants!$B$2, TRUE(), IF(Q37=Constants!$B$3, FALSE(), FALSE())))</f>
        <v/>
      </c>
      <c r="AE37" s="96" t="str">
        <f aca="false">IF(ISBLANK(C37), "", IF(AD37, Constants!$B$4,IF(COUNTA(G37:O37)=0, Constants!$B$5, Constants!$B$7)))</f>
        <v/>
      </c>
      <c r="AF37" s="96" t="str">
        <f aca="false">IF(ISBLANK($C37), "",IF($AE37=Constants!$B$7,1,$AE37))</f>
        <v/>
      </c>
      <c r="AG37" s="96" t="str">
        <f aca="false">IF($AE37=Constants!$B$7,IF(V37, 1, Constants!$B$11) * IF(X37, 1, Constants!$B$12),"")</f>
        <v/>
      </c>
      <c r="AH37" s="96" t="str">
        <f aca="false">IF(AND($AE37=Constants!$B$7, T37, U37) ,MAX(0, $AA37-$Y37),"")</f>
        <v/>
      </c>
      <c r="AI37" s="96" t="str">
        <f aca="false">IF(ISERROR(AH37),$AI$6,"")</f>
        <v/>
      </c>
      <c r="AJ37" s="96" t="str">
        <f aca="false">IF($AE37=Constants!$B$7,IF(AND(T37,U37,W37),IF($AH$6=0,Constants!$B$9,Constants!$B$9*AH37/$AH$6), 0),"")</f>
        <v/>
      </c>
      <c r="AK37" s="96" t="str">
        <f aca="false">IF(AJ37&lt;&gt;"", AJ37*AG37,"")</f>
        <v/>
      </c>
      <c r="AL37" s="96" t="str">
        <f aca="false">IF(AND($AE37=Constants!$B$7, T37, U37) ,IF($Z37="", "", MAX(0,1-ABS($AA37-$Z37)/$AA37)),"")</f>
        <v/>
      </c>
      <c r="AM37" s="96" t="str">
        <f aca="false">IF(AND(NOT(ISERROR(AH37)),ISERROR(AL37)),$AM$6,"")</f>
        <v/>
      </c>
      <c r="AN37" s="96" t="str">
        <f aca="false">IF($AE37=Constants!$B$7 ,IF(AND(T37,U37,W37,ISNUMBER(Z37)),IF($AL$6=0,Constants!$B$10,Constants!$B$10*AL37/$AL$6), 0),"")</f>
        <v/>
      </c>
      <c r="AO37" s="96" t="str">
        <f aca="false">IF(AN37&lt;&gt;"", AN37*AG37,"")</f>
        <v/>
      </c>
      <c r="AP37" s="96" t="str">
        <f aca="false">IF($AE37=Constants!$B$7,IF($AP$6=0,Constants!$B$8,Constants!$B$8*AB37/$AP$6),"")</f>
        <v/>
      </c>
      <c r="AQ37" s="96" t="str">
        <f aca="false">IF($AE37&lt;&gt;Constants!$B$7,$AE37,AK37+AO37+AP37)</f>
        <v/>
      </c>
      <c r="AR37" s="96" t="str">
        <f aca="false">IF(ISBLANK($C37),"",IF($AE37=Constants!$B$7,RANK(AQ37,$AQ$8:$AQ$507),$AE37))</f>
        <v/>
      </c>
      <c r="AS37" s="96" t="str">
        <f aca="false">IF(ISBLANK($C37), "",AK37)</f>
        <v/>
      </c>
      <c r="AT37" s="96" t="str">
        <f aca="false">IF(ISBLANK($C37),"",IF($AE37=Constants!$B$7,RANK(AS37,AS$8:AS$507),$AE37))</f>
        <v/>
      </c>
      <c r="AU37" s="96" t="str">
        <f aca="false">IF(ISBLANK($C37), "",AP37)</f>
        <v/>
      </c>
      <c r="AV37" s="96" t="str">
        <f aca="false">IF(ISBLANK($C37),"",IF($AE37=Constants!$B$7,RANK(AU37,AU$8:AU$507),$AE37))</f>
        <v/>
      </c>
      <c r="AW37" s="96" t="str">
        <f aca="false">IF(ISBLANK($C37), "",AC37)</f>
        <v/>
      </c>
      <c r="AX37" s="96" t="str">
        <f aca="false">IF(ISBLANK($C37),"",
IF($AE37=Constants!$B$7,
  COUNTIFS($AR$8:$AR$507,"&lt;"&amp;$AR37)
  + COUNTIFS($AR$8:$AR$507,$AR37,$AT$8:$AT$507,"&lt;"&amp;$AT37)
  + COUNTIFS($AR$8:$AR$507,$AR37,$AT$8:$AT$507,$AT37,$AV$8:$AV$507,"&lt;"&amp;$AV37)
  + COUNTIFS($AR$8:$AR$507,$AR37,$AT$8:$AT$507,$AT37,$AV$8:$AV$507,$AV37,$AW$8:$AW$507,"&lt;"&amp;$AW37)
  + 1,
$AE37))</f>
        <v/>
      </c>
      <c r="AY37" s="96" t="str">
        <f aca="false">IF(ISBLANK(C37),"",IF($AE37=Constants!$B$7, AR37-AX37,$AE37))</f>
        <v/>
      </c>
      <c r="AZ37" s="100"/>
      <c r="BA37" s="101" t="str">
        <f aca="false">IF(ISBLANK($C37),"",TRIM(AI37&amp;" "&amp;AM37))</f>
        <v/>
      </c>
      <c r="BB37" s="102" t="str">
        <f aca="false">IF(ISBLANK($C37),"",IF($AE37&lt;&gt;Constants!$B$7, $AE37 ,AQ37))</f>
        <v/>
      </c>
      <c r="BC37" s="103" t="str">
        <f aca="false">IF(ISBLANK($C37),"",IF($AE37&lt;&gt;Constants!$B$7, $AE37 ,AF37))</f>
        <v/>
      </c>
      <c r="BD37" s="104" t="str">
        <f aca="false">IF(ISBLANK(C37),"",AY37)</f>
        <v/>
      </c>
      <c r="BE37" s="104" t="str">
        <f aca="false">IF(ISBLANK(C37),"",AX37)</f>
        <v/>
      </c>
      <c r="BF37" s="105" t="str">
        <f aca="false">IF(ISBLANK(C37),"",IFERROR(_xlfn.SWITCH(BE37, Constants!$B$4, COUNTA($C$8:$C536)+2, Constants!$B$5, COUNTA($C$8:$C536)+1, Constants!$B$6, COUNTA($C$8:$C536)),BE37))</f>
        <v/>
      </c>
      <c r="BG37" s="5"/>
      <c r="BH37" s="106" t="n">
        <f aca="false">IF(OR(ISNUMBER(BE37),BE37="DQ",BE37="P",BE37="NS"),
    1,
    0
)</f>
        <v>0</v>
      </c>
      <c r="BI37" s="106" t="n">
        <v>30</v>
      </c>
      <c r="BJ37" s="106" t="str">
        <f aca="false">IF(ISBLANK($C37),
    "",
   BF37+ROW($B37)/1000
)</f>
        <v/>
      </c>
      <c r="BK37" s="106" t="str">
        <f aca="false">IF(ISNUMBER(BJ37), RANK(BJ37,BJ$8:BJ$507,1), "")</f>
        <v/>
      </c>
      <c r="BL37" s="106" t="str">
        <f aca="false">IF(ISBLANK($C37),
    "",
    $B37
)</f>
        <v/>
      </c>
      <c r="BM37" s="106" t="str">
        <f aca="false">IF(ISBLANK($C37),
    "",
    $C37
)</f>
        <v/>
      </c>
      <c r="BN37" s="106" t="str">
        <f aca="false">IF(ISBLANK($C37),
    "",
    $D37
)</f>
        <v/>
      </c>
      <c r="BO37" s="107" t="str">
        <f aca="false">BC37</f>
        <v/>
      </c>
      <c r="BP37" s="108" t="str">
        <f aca="false">BB37</f>
        <v/>
      </c>
      <c r="BQ37" s="106" t="str">
        <f aca="false">IF(ISBLANK($C37),
    "",
    BE37
)</f>
        <v/>
      </c>
      <c r="BR37" s="109" t="str">
        <f aca="false">IF(BI37&gt;BH$7,
    "",
    VLOOKUP(BI37,BK$8:BQ536,7,FALSE())
)</f>
        <v/>
      </c>
      <c r="BS37" s="110" t="str">
        <f aca="false">IF(BI37&gt;BH$7,
    "",
    VLOOKUP(BI37,BK$8:BQ536,2,FALSE())
)</f>
        <v/>
      </c>
      <c r="BT37" s="110" t="str">
        <f aca="false">IF(BI37&gt;BH$7,
    "",
    VLOOKUP(BI37,BK$8:BQ536,3,FALSE())
)</f>
        <v/>
      </c>
      <c r="BU37" s="110" t="str">
        <f aca="false">IF(BI37&gt;BH$7,
    "",
    VLOOKUP(BI37,BK$8:BQ536,4,FALSE())
)</f>
        <v/>
      </c>
      <c r="BV37" s="110" t="str">
        <f aca="false">IF(BI37&gt;BH$7,
    "",
    VLOOKUP(BI37,BK$8:BQ536,5,FALSE())
)</f>
        <v/>
      </c>
      <c r="BW37" s="111" t="str">
        <f aca="false">IF(BI37&gt;BH$7,
    "",
    VLOOKUP(BI37,BK$8:BQ536,6,FALSE())
)</f>
        <v/>
      </c>
      <c r="BX37" s="50"/>
    </row>
    <row r="38" customFormat="false" ht="15.75" hidden="false" customHeight="false" outlineLevel="0" collapsed="false">
      <c r="A38" s="5"/>
      <c r="B38" s="126"/>
      <c r="C38" s="52"/>
      <c r="D38" s="53"/>
      <c r="E38" s="120"/>
      <c r="F38" s="120"/>
      <c r="G38" s="55"/>
      <c r="H38" s="56"/>
      <c r="I38" s="121"/>
      <c r="J38" s="121"/>
      <c r="K38" s="121"/>
      <c r="L38" s="58"/>
      <c r="M38" s="58"/>
      <c r="N38" s="58"/>
      <c r="O38" s="59"/>
      <c r="P38" s="60"/>
      <c r="Q38" s="80"/>
      <c r="R38" s="62"/>
      <c r="S38" s="63"/>
      <c r="T38" s="63" t="str">
        <f aca="false">IF(ISBLANK($C38),"",IF(G38=Constants!$B$2, TRUE(), IF(G38=Constants!$B$3, FALSE(), TRUE())))</f>
        <v/>
      </c>
      <c r="U38" s="63" t="str">
        <f aca="false">IF(ISBLANK($C38),"",IF(H38=Constants!$B$2, TRUE(), IF(H38=Constants!$B$3, FALSE(), TRUE())))</f>
        <v/>
      </c>
      <c r="V38" s="63" t="str">
        <f aca="false">IF(ISBLANK($C38),"",IF(I38=Constants!$B$2, TRUE(), IF(I38=Constants!$B$3, FALSE(), TRUE())))</f>
        <v/>
      </c>
      <c r="W38" s="63" t="str">
        <f aca="false">IF(ISBLANK($C38),"",IF(J38=Constants!$B$2, TRUE(), IF(J38=Constants!$B$3, FALSE(), TRUE())))</f>
        <v/>
      </c>
      <c r="X38" s="63" t="str">
        <f aca="false">IF(ISBLANK($C38),"",IF(K38=Constants!$B$2, TRUE(), IF(K38=Constants!$B$3, FALSE(), TRUE())))</f>
        <v/>
      </c>
      <c r="Y38" s="65" t="str">
        <f aca="false">IF(ISBLANK($C38),"",IF(ISNUMBER(L38), L38, ""))</f>
        <v/>
      </c>
      <c r="Z38" s="65" t="str">
        <f aca="false">IF(ISBLANK($C38),"",IF(ISNUMBER(M38), M38, ""))</f>
        <v/>
      </c>
      <c r="AA38" s="65" t="str">
        <f aca="false">IF(ISBLANK($C38),"",IF(ISNUMBER(N38), N38, ""))</f>
        <v/>
      </c>
      <c r="AB38" s="66" t="str">
        <f aca="false">IF(ISBLANK($C38),"",IF(ISNUMBER(O38), O38, ""))</f>
        <v/>
      </c>
      <c r="AC38" s="66" t="str">
        <f aca="false">IF(ISBLANK($C38),"",IF(ISNUMBER(P38), P38, Constants!$B$13))</f>
        <v/>
      </c>
      <c r="AD38" s="63" t="str">
        <f aca="false">IF(ISBLANK($C38),"",IF(Q38=Constants!$B$2, TRUE(), IF(Q38=Constants!$B$3, FALSE(), FALSE())))</f>
        <v/>
      </c>
      <c r="AE38" s="63" t="str">
        <f aca="false">IF(ISBLANK(C38), "", IF(AD38, Constants!$B$4,IF(COUNTA(G38:O38)=0, Constants!$B$5, Constants!$B$7)))</f>
        <v/>
      </c>
      <c r="AF38" s="63" t="str">
        <f aca="false">IF(ISBLANK($C38), "",IF($AE38=Constants!$B$7,1,$AE38))</f>
        <v/>
      </c>
      <c r="AG38" s="63" t="str">
        <f aca="false">IF($AE38=Constants!$B$7,IF(V38, 1, Constants!$B$11) * IF(X38, 1, Constants!$B$12),"")</f>
        <v/>
      </c>
      <c r="AH38" s="63" t="str">
        <f aca="false">IF(AND($AE38=Constants!$B$7, T38, U38) ,MAX(0, $AA38-$Y38),"")</f>
        <v/>
      </c>
      <c r="AI38" s="63" t="str">
        <f aca="false">IF(ISERROR(AH38),$AI$6,"")</f>
        <v/>
      </c>
      <c r="AJ38" s="63" t="str">
        <f aca="false">IF($AE38=Constants!$B$7,IF(AND(T38,U38,W38),IF($AH$6=0,Constants!$B$9,Constants!$B$9*AH38/$AH$6), 0),"")</f>
        <v/>
      </c>
      <c r="AK38" s="63" t="str">
        <f aca="false">IF(AJ38&lt;&gt;"", AJ38*AG38,"")</f>
        <v/>
      </c>
      <c r="AL38" s="63" t="str">
        <f aca="false">IF(AND($AE38=Constants!$B$7, T38, U38) ,IF($Z38="", "", MAX(0,1-ABS($AA38-$Z38)/$AA38)),"")</f>
        <v/>
      </c>
      <c r="AM38" s="63" t="str">
        <f aca="false">IF(AND(NOT(ISERROR(AH38)),ISERROR(AL38)),$AM$6,"")</f>
        <v/>
      </c>
      <c r="AN38" s="63" t="str">
        <f aca="false">IF($AE38=Constants!$B$7 ,IF(AND(T38,U38,W38,ISNUMBER(Z38)),IF($AL$6=0,Constants!$B$10,Constants!$B$10*AL38/$AL$6), 0),"")</f>
        <v/>
      </c>
      <c r="AO38" s="63" t="str">
        <f aca="false">IF(AN38&lt;&gt;"", AN38*AG38,"")</f>
        <v/>
      </c>
      <c r="AP38" s="63" t="str">
        <f aca="false">IF($AE38=Constants!$B$7,IF($AP$6=0,Constants!$B$8,Constants!$B$8*AB38/$AP$6),"")</f>
        <v/>
      </c>
      <c r="AQ38" s="63" t="str">
        <f aca="false">IF($AE38&lt;&gt;Constants!$B$7,$AE38,AK38+AO38+AP38)</f>
        <v/>
      </c>
      <c r="AR38" s="63" t="str">
        <f aca="false">IF(ISBLANK($C38),"",IF($AE38=Constants!$B$7,RANK(AQ38,$AQ$8:$AQ$507),$AE38))</f>
        <v/>
      </c>
      <c r="AS38" s="63" t="str">
        <f aca="false">IF(ISBLANK($C38), "",AK38)</f>
        <v/>
      </c>
      <c r="AT38" s="63" t="str">
        <f aca="false">IF(ISBLANK($C38),"",IF($AE38=Constants!$B$7,RANK(AS38,AS$8:AS$507),$AE38))</f>
        <v/>
      </c>
      <c r="AU38" s="63" t="str">
        <f aca="false">IF(ISBLANK($C38), "",AP38)</f>
        <v/>
      </c>
      <c r="AV38" s="63" t="str">
        <f aca="false">IF(ISBLANK($C38),"",IF($AE38=Constants!$B$7,RANK(AU38,AU$8:AU$507),$AE38))</f>
        <v/>
      </c>
      <c r="AW38" s="63" t="str">
        <f aca="false">IF(ISBLANK($C38), "",AC38)</f>
        <v/>
      </c>
      <c r="AX38" s="63" t="str">
        <f aca="false">IF(ISBLANK($C38),"",
IF($AE38=Constants!$B$7,
  COUNTIFS($AR$8:$AR$507,"&lt;"&amp;$AR38)
  + COUNTIFS($AR$8:$AR$507,$AR38,$AT$8:$AT$507,"&lt;"&amp;$AT38)
  + COUNTIFS($AR$8:$AR$507,$AR38,$AT$8:$AT$507,$AT38,$AV$8:$AV$507,"&lt;"&amp;$AV38)
  + COUNTIFS($AR$8:$AR$507,$AR38,$AT$8:$AT$507,$AT38,$AV$8:$AV$507,$AV38,$AW$8:$AW$507,"&lt;"&amp;$AW38)
  + 1,
$AE38))</f>
        <v/>
      </c>
      <c r="AY38" s="63" t="str">
        <f aca="false">IF(ISBLANK(C38),"",IF($AE38=Constants!$B$7, AR38-AX38,$AE38))</f>
        <v/>
      </c>
      <c r="AZ38" s="67"/>
      <c r="BA38" s="81" t="str">
        <f aca="false">IF(ISBLANK($C38),"",TRIM(AI38&amp;" "&amp;AM38))</f>
        <v/>
      </c>
      <c r="BB38" s="69" t="str">
        <f aca="false">IF(ISBLANK($C38),"",IF($AE38&lt;&gt;Constants!$B$7, $AE38 ,AQ38))</f>
        <v/>
      </c>
      <c r="BC38" s="70" t="str">
        <f aca="false">IF(ISBLANK($C38),"",IF($AE38&lt;&gt;Constants!$B$7, $AE38 ,AF38))</f>
        <v/>
      </c>
      <c r="BD38" s="71" t="str">
        <f aca="false">IF(ISBLANK(C38),"",AY38)</f>
        <v/>
      </c>
      <c r="BE38" s="71" t="str">
        <f aca="false">IF(ISBLANK(C38),"",AX38)</f>
        <v/>
      </c>
      <c r="BF38" s="72" t="str">
        <f aca="false">IF(ISBLANK(C38),"",IFERROR(_xlfn.SWITCH(BE38, Constants!$B$4, COUNTA($C$8:$C537)+2, Constants!$B$5, COUNTA($C$8:$C537)+1, Constants!$B$6, COUNTA($C$8:$C537)),BE38))</f>
        <v/>
      </c>
      <c r="BG38" s="5"/>
      <c r="BH38" s="73" t="n">
        <f aca="false">IF(OR(ISNUMBER(BE38),BE38="DQ",BE38="P",BE38="NS"),
    1,
    0
)</f>
        <v>0</v>
      </c>
      <c r="BI38" s="73" t="n">
        <v>31</v>
      </c>
      <c r="BJ38" s="73" t="str">
        <f aca="false">IF(ISBLANK($C38),
    "",
   BF38+ROW($B38)/1000
)</f>
        <v/>
      </c>
      <c r="BK38" s="73" t="str">
        <f aca="false">IF(ISNUMBER(BJ38), RANK(BJ38,BJ$8:BJ$507,1), "")</f>
        <v/>
      </c>
      <c r="BL38" s="73" t="str">
        <f aca="false">IF(ISBLANK($C38),
    "",
    $B38
)</f>
        <v/>
      </c>
      <c r="BM38" s="73" t="str">
        <f aca="false">IF(ISBLANK($C38),
    "",
    $C38
)</f>
        <v/>
      </c>
      <c r="BN38" s="73" t="str">
        <f aca="false">IF(ISBLANK($C38),
    "",
    $D38
)</f>
        <v/>
      </c>
      <c r="BO38" s="74" t="str">
        <f aca="false">BC38</f>
        <v/>
      </c>
      <c r="BP38" s="75" t="str">
        <f aca="false">BB38</f>
        <v/>
      </c>
      <c r="BQ38" s="73" t="str">
        <f aca="false">IF(ISBLANK($C38),
    "",
    BE38
)</f>
        <v/>
      </c>
      <c r="BR38" s="76" t="str">
        <f aca="false">IF(BI38&gt;BH$7,
    "",
    VLOOKUP(BI38,BK$8:BQ537,7,FALSE())
)</f>
        <v/>
      </c>
      <c r="BS38" s="77" t="str">
        <f aca="false">IF(BI38&gt;BH$7,
    "",
    VLOOKUP(BI38,BK$8:BQ537,2,FALSE())
)</f>
        <v/>
      </c>
      <c r="BT38" s="77" t="str">
        <f aca="false">IF(BI38&gt;BH$7,
    "",
    VLOOKUP(BI38,BK$8:BQ537,3,FALSE())
)</f>
        <v/>
      </c>
      <c r="BU38" s="77" t="str">
        <f aca="false">IF(BI38&gt;BH$7,
    "",
    VLOOKUP(BI38,BK$8:BQ537,4,FALSE())
)</f>
        <v/>
      </c>
      <c r="BV38" s="77" t="str">
        <f aca="false">IF(BI38&gt;BH$7,
    "",
    VLOOKUP(BI38,BK$8:BQ537,5,FALSE())
)</f>
        <v/>
      </c>
      <c r="BW38" s="78" t="str">
        <f aca="false">IF(BI38&gt;BH$7,
    "",
    VLOOKUP(BI38,BK$8:BQ537,6,FALSE())
)</f>
        <v/>
      </c>
      <c r="BX38" s="50"/>
    </row>
    <row r="39" customFormat="false" ht="15.75" hidden="false" customHeight="false" outlineLevel="0" collapsed="false">
      <c r="A39" s="5"/>
      <c r="B39" s="126"/>
      <c r="C39" s="52"/>
      <c r="D39" s="53"/>
      <c r="E39" s="120"/>
      <c r="F39" s="120"/>
      <c r="G39" s="55"/>
      <c r="H39" s="56"/>
      <c r="I39" s="80"/>
      <c r="J39" s="80"/>
      <c r="K39" s="80"/>
      <c r="L39" s="58"/>
      <c r="M39" s="58"/>
      <c r="N39" s="58"/>
      <c r="O39" s="59"/>
      <c r="P39" s="60"/>
      <c r="Q39" s="80"/>
      <c r="R39" s="62"/>
      <c r="S39" s="63"/>
      <c r="T39" s="63" t="str">
        <f aca="false">IF(ISBLANK($C39),"",IF(G39=Constants!$B$2, TRUE(), IF(G39=Constants!$B$3, FALSE(), TRUE())))</f>
        <v/>
      </c>
      <c r="U39" s="63" t="str">
        <f aca="false">IF(ISBLANK($C39),"",IF(H39=Constants!$B$2, TRUE(), IF(H39=Constants!$B$3, FALSE(), TRUE())))</f>
        <v/>
      </c>
      <c r="V39" s="63" t="str">
        <f aca="false">IF(ISBLANK($C39),"",IF(I39=Constants!$B$2, TRUE(), IF(I39=Constants!$B$3, FALSE(), TRUE())))</f>
        <v/>
      </c>
      <c r="W39" s="63" t="str">
        <f aca="false">IF(ISBLANK($C39),"",IF(J39=Constants!$B$2, TRUE(), IF(J39=Constants!$B$3, FALSE(), TRUE())))</f>
        <v/>
      </c>
      <c r="X39" s="63" t="str">
        <f aca="false">IF(ISBLANK($C39),"",IF(K39=Constants!$B$2, TRUE(), IF(K39=Constants!$B$3, FALSE(), TRUE())))</f>
        <v/>
      </c>
      <c r="Y39" s="65" t="str">
        <f aca="false">IF(ISBLANK($C39),"",IF(ISNUMBER(L39), L39, ""))</f>
        <v/>
      </c>
      <c r="Z39" s="65" t="str">
        <f aca="false">IF(ISBLANK($C39),"",IF(ISNUMBER(M39), M39, ""))</f>
        <v/>
      </c>
      <c r="AA39" s="65" t="str">
        <f aca="false">IF(ISBLANK($C39),"",IF(ISNUMBER(N39), N39, ""))</f>
        <v/>
      </c>
      <c r="AB39" s="66" t="str">
        <f aca="false">IF(ISBLANK($C39),"",IF(ISNUMBER(O39), O39, ""))</f>
        <v/>
      </c>
      <c r="AC39" s="66" t="str">
        <f aca="false">IF(ISBLANK($C39),"",IF(ISNUMBER(P39), P39, Constants!$B$13))</f>
        <v/>
      </c>
      <c r="AD39" s="63" t="str">
        <f aca="false">IF(ISBLANK($C39),"",IF(Q39=Constants!$B$2, TRUE(), IF(Q39=Constants!$B$3, FALSE(), FALSE())))</f>
        <v/>
      </c>
      <c r="AE39" s="63" t="str">
        <f aca="false">IF(ISBLANK(C39), "", IF(AD39, Constants!$B$4,IF(COUNTA(G39:O39)=0, Constants!$B$5, Constants!$B$7)))</f>
        <v/>
      </c>
      <c r="AF39" s="63" t="str">
        <f aca="false">IF(ISBLANK($C39), "",IF($AE39=Constants!$B$7,1,$AE39))</f>
        <v/>
      </c>
      <c r="AG39" s="63" t="str">
        <f aca="false">IF($AE39=Constants!$B$7,IF(V39, 1, Constants!$B$11) * IF(X39, 1, Constants!$B$12),"")</f>
        <v/>
      </c>
      <c r="AH39" s="63" t="str">
        <f aca="false">IF(AND($AE39=Constants!$B$7, T39, U39) ,MAX(0, $AA39-$Y39),"")</f>
        <v/>
      </c>
      <c r="AI39" s="63" t="str">
        <f aca="false">IF(ISERROR(AH39),$AI$6,"")</f>
        <v/>
      </c>
      <c r="AJ39" s="63" t="str">
        <f aca="false">IF($AE39=Constants!$B$7,IF(AND(T39,U39,W39),IF($AH$6=0,Constants!$B$9,Constants!$B$9*AH39/$AH$6), 0),"")</f>
        <v/>
      </c>
      <c r="AK39" s="63" t="str">
        <f aca="false">IF(AJ39&lt;&gt;"", AJ39*AG39,"")</f>
        <v/>
      </c>
      <c r="AL39" s="63" t="str">
        <f aca="false">IF(AND($AE39=Constants!$B$7, T39, U39) ,IF($Z39="", "", MAX(0,1-ABS($AA39-$Z39)/$AA39)),"")</f>
        <v/>
      </c>
      <c r="AM39" s="63" t="str">
        <f aca="false">IF(AND(NOT(ISERROR(AH39)),ISERROR(AL39)),$AM$6,"")</f>
        <v/>
      </c>
      <c r="AN39" s="63" t="str">
        <f aca="false">IF($AE39=Constants!$B$7 ,IF(AND(T39,U39,W39,ISNUMBER(Z39)),IF($AL$6=0,Constants!$B$10,Constants!$B$10*AL39/$AL$6), 0),"")</f>
        <v/>
      </c>
      <c r="AO39" s="63" t="str">
        <f aca="false">IF(AN39&lt;&gt;"", AN39*AG39,"")</f>
        <v/>
      </c>
      <c r="AP39" s="63" t="str">
        <f aca="false">IF($AE39=Constants!$B$7,IF($AP$6=0,Constants!$B$8,Constants!$B$8*AB39/$AP$6),"")</f>
        <v/>
      </c>
      <c r="AQ39" s="63" t="str">
        <f aca="false">IF($AE39&lt;&gt;Constants!$B$7,$AE39,AK39+AO39+AP39)</f>
        <v/>
      </c>
      <c r="AR39" s="63" t="str">
        <f aca="false">IF(ISBLANK($C39),"",IF($AE39=Constants!$B$7,RANK(AQ39,$AQ$8:$AQ$507),$AE39))</f>
        <v/>
      </c>
      <c r="AS39" s="63" t="str">
        <f aca="false">IF(ISBLANK($C39), "",AK39)</f>
        <v/>
      </c>
      <c r="AT39" s="63" t="str">
        <f aca="false">IF(ISBLANK($C39),"",IF($AE39=Constants!$B$7,RANK(AS39,AS$8:AS$507),$AE39))</f>
        <v/>
      </c>
      <c r="AU39" s="63" t="str">
        <f aca="false">IF(ISBLANK($C39), "",AP39)</f>
        <v/>
      </c>
      <c r="AV39" s="63" t="str">
        <f aca="false">IF(ISBLANK($C39),"",IF($AE39=Constants!$B$7,RANK(AU39,AU$8:AU$507),$AE39))</f>
        <v/>
      </c>
      <c r="AW39" s="63" t="str">
        <f aca="false">IF(ISBLANK($C39), "",AC39)</f>
        <v/>
      </c>
      <c r="AX39" s="63" t="str">
        <f aca="false">IF(ISBLANK($C39),"",
IF($AE39=Constants!$B$7,
  COUNTIFS($AR$8:$AR$507,"&lt;"&amp;$AR39)
  + COUNTIFS($AR$8:$AR$507,$AR39,$AT$8:$AT$507,"&lt;"&amp;$AT39)
  + COUNTIFS($AR$8:$AR$507,$AR39,$AT$8:$AT$507,$AT39,$AV$8:$AV$507,"&lt;"&amp;$AV39)
  + COUNTIFS($AR$8:$AR$507,$AR39,$AT$8:$AT$507,$AT39,$AV$8:$AV$507,$AV39,$AW$8:$AW$507,"&lt;"&amp;$AW39)
  + 1,
$AE39))</f>
        <v/>
      </c>
      <c r="AY39" s="63" t="str">
        <f aca="false">IF(ISBLANK(C39),"",IF($AE39=Constants!$B$7, AR39-AX39,$AE39))</f>
        <v/>
      </c>
      <c r="AZ39" s="67"/>
      <c r="BA39" s="81" t="str">
        <f aca="false">IF(ISBLANK($C39),"",TRIM(AI39&amp;" "&amp;AM39))</f>
        <v/>
      </c>
      <c r="BB39" s="69" t="str">
        <f aca="false">IF(ISBLANK($C39),"",IF($AE39&lt;&gt;Constants!$B$7, $AE39 ,AQ39))</f>
        <v/>
      </c>
      <c r="BC39" s="70" t="str">
        <f aca="false">IF(ISBLANK($C39),"",IF($AE39&lt;&gt;Constants!$B$7, $AE39 ,AF39))</f>
        <v/>
      </c>
      <c r="BD39" s="71" t="str">
        <f aca="false">IF(ISBLANK(C39),"",AY39)</f>
        <v/>
      </c>
      <c r="BE39" s="71" t="str">
        <f aca="false">IF(ISBLANK(C39),"",AX39)</f>
        <v/>
      </c>
      <c r="BF39" s="72" t="str">
        <f aca="false">IF(ISBLANK(C39),"",IFERROR(_xlfn.SWITCH(BE39, Constants!$B$4, COUNTA($C$8:$C538)+2, Constants!$B$5, COUNTA($C$8:$C538)+1, Constants!$B$6, COUNTA($C$8:$C538)),BE39))</f>
        <v/>
      </c>
      <c r="BG39" s="5"/>
      <c r="BH39" s="73" t="n">
        <f aca="false">IF(OR(ISNUMBER(BE39),BE39="DQ",BE39="P",BE39="NS"),
    1,
    0
)</f>
        <v>0</v>
      </c>
      <c r="BI39" s="73" t="n">
        <v>32</v>
      </c>
      <c r="BJ39" s="73" t="str">
        <f aca="false">IF(ISBLANK($C39),
    "",
   BF39+ROW($B39)/1000
)</f>
        <v/>
      </c>
      <c r="BK39" s="73" t="str">
        <f aca="false">IF(ISNUMBER(BJ39), RANK(BJ39,BJ$8:BJ$507,1), "")</f>
        <v/>
      </c>
      <c r="BL39" s="73" t="str">
        <f aca="false">IF(ISBLANK($C39),
    "",
    $B39
)</f>
        <v/>
      </c>
      <c r="BM39" s="73" t="str">
        <f aca="false">IF(ISBLANK($C39),
    "",
    $C39
)</f>
        <v/>
      </c>
      <c r="BN39" s="73" t="str">
        <f aca="false">IF(ISBLANK($C39),
    "",
    $D39
)</f>
        <v/>
      </c>
      <c r="BO39" s="74" t="str">
        <f aca="false">BC39</f>
        <v/>
      </c>
      <c r="BP39" s="75" t="str">
        <f aca="false">BB39</f>
        <v/>
      </c>
      <c r="BQ39" s="73" t="str">
        <f aca="false">IF(ISBLANK($C39),
    "",
    BE39
)</f>
        <v/>
      </c>
      <c r="BR39" s="76" t="str">
        <f aca="false">IF(BI39&gt;BH$7,
    "",
    VLOOKUP(BI39,BK$8:BQ538,7,FALSE())
)</f>
        <v/>
      </c>
      <c r="BS39" s="77" t="str">
        <f aca="false">IF(BI39&gt;BH$7,
    "",
    VLOOKUP(BI39,BK$8:BQ538,2,FALSE())
)</f>
        <v/>
      </c>
      <c r="BT39" s="77" t="str">
        <f aca="false">IF(BI39&gt;BH$7,
    "",
    VLOOKUP(BI39,BK$8:BQ538,3,FALSE())
)</f>
        <v/>
      </c>
      <c r="BU39" s="77" t="str">
        <f aca="false">IF(BI39&gt;BH$7,
    "",
    VLOOKUP(BI39,BK$8:BQ538,4,FALSE())
)</f>
        <v/>
      </c>
      <c r="BV39" s="77" t="str">
        <f aca="false">IF(BI39&gt;BH$7,
    "",
    VLOOKUP(BI39,BK$8:BQ538,5,FALSE())
)</f>
        <v/>
      </c>
      <c r="BW39" s="78" t="str">
        <f aca="false">IF(BI39&gt;BH$7,
    "",
    VLOOKUP(BI39,BK$8:BQ538,6,FALSE())
)</f>
        <v/>
      </c>
      <c r="BX39" s="50"/>
    </row>
    <row r="40" customFormat="false" ht="15.75" hidden="false" customHeight="false" outlineLevel="0" collapsed="false">
      <c r="A40" s="5"/>
      <c r="B40" s="126"/>
      <c r="C40" s="52"/>
      <c r="D40" s="53"/>
      <c r="E40" s="120"/>
      <c r="F40" s="120"/>
      <c r="G40" s="55"/>
      <c r="H40" s="56"/>
      <c r="I40" s="80"/>
      <c r="J40" s="80"/>
      <c r="K40" s="80"/>
      <c r="L40" s="58"/>
      <c r="M40" s="58"/>
      <c r="N40" s="58"/>
      <c r="O40" s="59"/>
      <c r="P40" s="60"/>
      <c r="Q40" s="80"/>
      <c r="R40" s="62"/>
      <c r="S40" s="63"/>
      <c r="T40" s="63" t="str">
        <f aca="false">IF(ISBLANK($C40),"",IF(G40=Constants!$B$2, TRUE(), IF(G40=Constants!$B$3, FALSE(), TRUE())))</f>
        <v/>
      </c>
      <c r="U40" s="63" t="str">
        <f aca="false">IF(ISBLANK($C40),"",IF(H40=Constants!$B$2, TRUE(), IF(H40=Constants!$B$3, FALSE(), TRUE())))</f>
        <v/>
      </c>
      <c r="V40" s="63" t="str">
        <f aca="false">IF(ISBLANK($C40),"",IF(I40=Constants!$B$2, TRUE(), IF(I40=Constants!$B$3, FALSE(), TRUE())))</f>
        <v/>
      </c>
      <c r="W40" s="63" t="str">
        <f aca="false">IF(ISBLANK($C40),"",IF(J40=Constants!$B$2, TRUE(), IF(J40=Constants!$B$3, FALSE(), TRUE())))</f>
        <v/>
      </c>
      <c r="X40" s="63" t="str">
        <f aca="false">IF(ISBLANK($C40),"",IF(K40=Constants!$B$2, TRUE(), IF(K40=Constants!$B$3, FALSE(), TRUE())))</f>
        <v/>
      </c>
      <c r="Y40" s="65" t="str">
        <f aca="false">IF(ISBLANK($C40),"",IF(ISNUMBER(L40), L40, ""))</f>
        <v/>
      </c>
      <c r="Z40" s="65" t="str">
        <f aca="false">IF(ISBLANK($C40),"",IF(ISNUMBER(M40), M40, ""))</f>
        <v/>
      </c>
      <c r="AA40" s="65" t="str">
        <f aca="false">IF(ISBLANK($C40),"",IF(ISNUMBER(N40), N40, ""))</f>
        <v/>
      </c>
      <c r="AB40" s="66" t="str">
        <f aca="false">IF(ISBLANK($C40),"",IF(ISNUMBER(O40), O40, ""))</f>
        <v/>
      </c>
      <c r="AC40" s="66" t="str">
        <f aca="false">IF(ISBLANK($C40),"",IF(ISNUMBER(P40), P40, Constants!$B$13))</f>
        <v/>
      </c>
      <c r="AD40" s="63" t="str">
        <f aca="false">IF(ISBLANK($C40),"",IF(Q40=Constants!$B$2, TRUE(), IF(Q40=Constants!$B$3, FALSE(), FALSE())))</f>
        <v/>
      </c>
      <c r="AE40" s="63" t="str">
        <f aca="false">IF(ISBLANK(C40), "", IF(AD40, Constants!$B$4,IF(COUNTA(G40:O40)=0, Constants!$B$5, Constants!$B$7)))</f>
        <v/>
      </c>
      <c r="AF40" s="63" t="str">
        <f aca="false">IF(ISBLANK($C40), "",IF($AE40=Constants!$B$7,1,$AE40))</f>
        <v/>
      </c>
      <c r="AG40" s="63" t="str">
        <f aca="false">IF($AE40=Constants!$B$7,IF(V40, 1, Constants!$B$11) * IF(X40, 1, Constants!$B$12),"")</f>
        <v/>
      </c>
      <c r="AH40" s="63" t="str">
        <f aca="false">IF(AND($AE40=Constants!$B$7, T40, U40) ,MAX(0, $AA40-$Y40),"")</f>
        <v/>
      </c>
      <c r="AI40" s="63" t="str">
        <f aca="false">IF(ISERROR(AH40),$AI$6,"")</f>
        <v/>
      </c>
      <c r="AJ40" s="63" t="str">
        <f aca="false">IF($AE40=Constants!$B$7,IF(AND(T40,U40,W40),IF($AH$6=0,Constants!$B$9,Constants!$B$9*AH40/$AH$6), 0),"")</f>
        <v/>
      </c>
      <c r="AK40" s="63" t="str">
        <f aca="false">IF(AJ40&lt;&gt;"", AJ40*AG40,"")</f>
        <v/>
      </c>
      <c r="AL40" s="63" t="str">
        <f aca="false">IF(AND($AE40=Constants!$B$7, T40, U40) ,IF($Z40="", "", MAX(0,1-ABS($AA40-$Z40)/$AA40)),"")</f>
        <v/>
      </c>
      <c r="AM40" s="63" t="str">
        <f aca="false">IF(AND(NOT(ISERROR(AH40)),ISERROR(AL40)),$AM$6,"")</f>
        <v/>
      </c>
      <c r="AN40" s="63" t="str">
        <f aca="false">IF($AE40=Constants!$B$7 ,IF(AND(T40,U40,W40,ISNUMBER(Z40)),IF($AL$6=0,Constants!$B$10,Constants!$B$10*AL40/$AL$6), 0),"")</f>
        <v/>
      </c>
      <c r="AO40" s="63" t="str">
        <f aca="false">IF(AN40&lt;&gt;"", AN40*AG40,"")</f>
        <v/>
      </c>
      <c r="AP40" s="63" t="str">
        <f aca="false">IF($AE40=Constants!$B$7,IF($AP$6=0,Constants!$B$8,Constants!$B$8*AB40/$AP$6),"")</f>
        <v/>
      </c>
      <c r="AQ40" s="63" t="str">
        <f aca="false">IF($AE40&lt;&gt;Constants!$B$7,$AE40,AK40+AO40+AP40)</f>
        <v/>
      </c>
      <c r="AR40" s="63" t="str">
        <f aca="false">IF(ISBLANK($C40),"",IF($AE40=Constants!$B$7,RANK(AQ40,$AQ$8:$AQ$507),$AE40))</f>
        <v/>
      </c>
      <c r="AS40" s="63" t="str">
        <f aca="false">IF(ISBLANK($C40), "",AK40)</f>
        <v/>
      </c>
      <c r="AT40" s="63" t="str">
        <f aca="false">IF(ISBLANK($C40),"",IF($AE40=Constants!$B$7,RANK(AS40,AS$8:AS$507),$AE40))</f>
        <v/>
      </c>
      <c r="AU40" s="63" t="str">
        <f aca="false">IF(ISBLANK($C40), "",AP40)</f>
        <v/>
      </c>
      <c r="AV40" s="63" t="str">
        <f aca="false">IF(ISBLANK($C40),"",IF($AE40=Constants!$B$7,RANK(AU40,AU$8:AU$507),$AE40))</f>
        <v/>
      </c>
      <c r="AW40" s="63" t="str">
        <f aca="false">IF(ISBLANK($C40), "",AC40)</f>
        <v/>
      </c>
      <c r="AX40" s="63" t="str">
        <f aca="false">IF(ISBLANK($C40),"",
IF($AE40=Constants!$B$7,
  COUNTIFS($AR$8:$AR$507,"&lt;"&amp;$AR40)
  + COUNTIFS($AR$8:$AR$507,$AR40,$AT$8:$AT$507,"&lt;"&amp;$AT40)
  + COUNTIFS($AR$8:$AR$507,$AR40,$AT$8:$AT$507,$AT40,$AV$8:$AV$507,"&lt;"&amp;$AV40)
  + COUNTIFS($AR$8:$AR$507,$AR40,$AT$8:$AT$507,$AT40,$AV$8:$AV$507,$AV40,$AW$8:$AW$507,"&lt;"&amp;$AW40)
  + 1,
$AE40))</f>
        <v/>
      </c>
      <c r="AY40" s="63" t="str">
        <f aca="false">IF(ISBLANK(C40),"",IF($AE40=Constants!$B$7, AR40-AX40,$AE40))</f>
        <v/>
      </c>
      <c r="AZ40" s="67"/>
      <c r="BA40" s="81" t="str">
        <f aca="false">IF(ISBLANK($C40),"",TRIM(AI40&amp;" "&amp;AM40))</f>
        <v/>
      </c>
      <c r="BB40" s="69" t="str">
        <f aca="false">IF(ISBLANK($C40),"",IF($AE40&lt;&gt;Constants!$B$7, $AE40 ,AQ40))</f>
        <v/>
      </c>
      <c r="BC40" s="70" t="str">
        <f aca="false">IF(ISBLANK($C40),"",IF($AE40&lt;&gt;Constants!$B$7, $AE40 ,AF40))</f>
        <v/>
      </c>
      <c r="BD40" s="71" t="str">
        <f aca="false">IF(ISBLANK(C40),"",AY40)</f>
        <v/>
      </c>
      <c r="BE40" s="71" t="str">
        <f aca="false">IF(ISBLANK(C40),"",AX40)</f>
        <v/>
      </c>
      <c r="BF40" s="72" t="str">
        <f aca="false">IF(ISBLANK(C40),"",IFERROR(_xlfn.SWITCH(BE40, Constants!$B$4, COUNTA($C$8:$C539)+2, Constants!$B$5, COUNTA($C$8:$C539)+1, Constants!$B$6, COUNTA($C$8:$C539)),BE40))</f>
        <v/>
      </c>
      <c r="BG40" s="5"/>
      <c r="BH40" s="73" t="n">
        <f aca="false">IF(OR(ISNUMBER(BE40),BE40="DQ",BE40="P",BE40="NS"),
    1,
    0
)</f>
        <v>0</v>
      </c>
      <c r="BI40" s="73" t="n">
        <v>33</v>
      </c>
      <c r="BJ40" s="73" t="str">
        <f aca="false">IF(ISBLANK($C40),
    "",
   BF40+ROW($B40)/1000
)</f>
        <v/>
      </c>
      <c r="BK40" s="73" t="str">
        <f aca="false">IF(ISNUMBER(BJ40), RANK(BJ40,BJ$8:BJ$507,1), "")</f>
        <v/>
      </c>
      <c r="BL40" s="73" t="str">
        <f aca="false">IF(ISBLANK($C40),
    "",
    $B40
)</f>
        <v/>
      </c>
      <c r="BM40" s="73" t="str">
        <f aca="false">IF(ISBLANK($C40),
    "",
    $C40
)</f>
        <v/>
      </c>
      <c r="BN40" s="73" t="str">
        <f aca="false">IF(ISBLANK($C40),
    "",
    $D40
)</f>
        <v/>
      </c>
      <c r="BO40" s="74" t="str">
        <f aca="false">BC40</f>
        <v/>
      </c>
      <c r="BP40" s="75" t="str">
        <f aca="false">BB40</f>
        <v/>
      </c>
      <c r="BQ40" s="73" t="str">
        <f aca="false">IF(ISBLANK($C40),
    "",
    BE40
)</f>
        <v/>
      </c>
      <c r="BR40" s="76" t="str">
        <f aca="false">IF(BI40&gt;BH$7,
    "",
    VLOOKUP(BI40,BK$8:BQ539,7,FALSE())
)</f>
        <v/>
      </c>
      <c r="BS40" s="77" t="str">
        <f aca="false">IF(BI40&gt;BH$7,
    "",
    VLOOKUP(BI40,BK$8:BQ539,2,FALSE())
)</f>
        <v/>
      </c>
      <c r="BT40" s="77" t="str">
        <f aca="false">IF(BI40&gt;BH$7,
    "",
    VLOOKUP(BI40,BK$8:BQ539,3,FALSE())
)</f>
        <v/>
      </c>
      <c r="BU40" s="77" t="str">
        <f aca="false">IF(BI40&gt;BH$7,
    "",
    VLOOKUP(BI40,BK$8:BQ539,4,FALSE())
)</f>
        <v/>
      </c>
      <c r="BV40" s="77" t="str">
        <f aca="false">IF(BI40&gt;BH$7,
    "",
    VLOOKUP(BI40,BK$8:BQ539,5,FALSE())
)</f>
        <v/>
      </c>
      <c r="BW40" s="78" t="str">
        <f aca="false">IF(BI40&gt;BH$7,
    "",
    VLOOKUP(BI40,BK$8:BQ539,6,FALSE())
)</f>
        <v/>
      </c>
      <c r="BX40" s="50"/>
    </row>
    <row r="41" customFormat="false" ht="15.75" hidden="false" customHeight="false" outlineLevel="0" collapsed="false">
      <c r="A41" s="5"/>
      <c r="B41" s="122"/>
      <c r="C41" s="123"/>
      <c r="D41" s="112"/>
      <c r="E41" s="116"/>
      <c r="F41" s="116"/>
      <c r="G41" s="88"/>
      <c r="H41" s="89"/>
      <c r="I41" s="125"/>
      <c r="J41" s="125"/>
      <c r="K41" s="125"/>
      <c r="L41" s="91"/>
      <c r="M41" s="91"/>
      <c r="N41" s="91"/>
      <c r="O41" s="92"/>
      <c r="P41" s="93"/>
      <c r="Q41" s="125"/>
      <c r="R41" s="95"/>
      <c r="S41" s="96"/>
      <c r="T41" s="96" t="str">
        <f aca="false">IF(ISBLANK($C41),"",IF(G41=Constants!$B$2, TRUE(), IF(G41=Constants!$B$3, FALSE(), TRUE())))</f>
        <v/>
      </c>
      <c r="U41" s="96" t="str">
        <f aca="false">IF(ISBLANK($C41),"",IF(H41=Constants!$B$2, TRUE(), IF(H41=Constants!$B$3, FALSE(), TRUE())))</f>
        <v/>
      </c>
      <c r="V41" s="96" t="str">
        <f aca="false">IF(ISBLANK($C41),"",IF(I41=Constants!$B$2, TRUE(), IF(I41=Constants!$B$3, FALSE(), TRUE())))</f>
        <v/>
      </c>
      <c r="W41" s="96" t="str">
        <f aca="false">IF(ISBLANK($C41),"",IF(J41=Constants!$B$2, TRUE(), IF(J41=Constants!$B$3, FALSE(), TRUE())))</f>
        <v/>
      </c>
      <c r="X41" s="97" t="str">
        <f aca="false">IF(ISBLANK($C41),"",IF(K41=Constants!$B$2, TRUE(), IF(K41=Constants!$B$3, FALSE(), TRUE())))</f>
        <v/>
      </c>
      <c r="Y41" s="98" t="str">
        <f aca="false">IF(ISBLANK($C41),"",IF(ISNUMBER(L41), L41, ""))</f>
        <v/>
      </c>
      <c r="Z41" s="98" t="str">
        <f aca="false">IF(ISBLANK($C41),"",IF(ISNUMBER(M41), M41, ""))</f>
        <v/>
      </c>
      <c r="AA41" s="98" t="str">
        <f aca="false">IF(ISBLANK($C41),"",IF(ISNUMBER(N41), N41, ""))</f>
        <v/>
      </c>
      <c r="AB41" s="99" t="str">
        <f aca="false">IF(ISBLANK($C41),"",IF(ISNUMBER(O41), O41, ""))</f>
        <v/>
      </c>
      <c r="AC41" s="99" t="str">
        <f aca="false">IF(ISBLANK($C41),"",IF(ISNUMBER(P41), P41, Constants!$B$13))</f>
        <v/>
      </c>
      <c r="AD41" s="96" t="str">
        <f aca="false">IF(ISBLANK($C41),"",IF(Q41=Constants!$B$2, TRUE(), IF(Q41=Constants!$B$3, FALSE(), FALSE())))</f>
        <v/>
      </c>
      <c r="AE41" s="96" t="str">
        <f aca="false">IF(ISBLANK(C41), "", IF(AD41, Constants!$B$4,IF(COUNTA(G41:O41)=0, Constants!$B$5, Constants!$B$7)))</f>
        <v/>
      </c>
      <c r="AF41" s="96" t="str">
        <f aca="false">IF(ISBLANK($C41), "",IF($AE41=Constants!$B$7,1,$AE41))</f>
        <v/>
      </c>
      <c r="AG41" s="96" t="str">
        <f aca="false">IF($AE41=Constants!$B$7,IF(V41, 1, Constants!$B$11) * IF(X41, 1, Constants!$B$12),"")</f>
        <v/>
      </c>
      <c r="AH41" s="96" t="str">
        <f aca="false">IF(AND($AE41=Constants!$B$7, T41, U41) ,MAX(0, $AA41-$Y41),"")</f>
        <v/>
      </c>
      <c r="AI41" s="96" t="str">
        <f aca="false">IF(ISERROR(AH41),$AI$6,"")</f>
        <v/>
      </c>
      <c r="AJ41" s="96" t="str">
        <f aca="false">IF($AE41=Constants!$B$7,IF(AND(T41,U41,W41),IF($AH$6=0,Constants!$B$9,Constants!$B$9*AH41/$AH$6), 0),"")</f>
        <v/>
      </c>
      <c r="AK41" s="96" t="str">
        <f aca="false">IF(AJ41&lt;&gt;"", AJ41*AG41,"")</f>
        <v/>
      </c>
      <c r="AL41" s="96" t="str">
        <f aca="false">IF(AND($AE41=Constants!$B$7, T41, U41) ,IF($Z41="", "", MAX(0,1-ABS($AA41-$Z41)/$AA41)),"")</f>
        <v/>
      </c>
      <c r="AM41" s="96" t="str">
        <f aca="false">IF(AND(NOT(ISERROR(AH41)),ISERROR(AL41)),$AM$6,"")</f>
        <v/>
      </c>
      <c r="AN41" s="96" t="str">
        <f aca="false">IF($AE41=Constants!$B$7 ,IF(AND(T41,U41,W41,ISNUMBER(Z41)),IF($AL$6=0,Constants!$B$10,Constants!$B$10*AL41/$AL$6), 0),"")</f>
        <v/>
      </c>
      <c r="AO41" s="96" t="str">
        <f aca="false">IF(AN41&lt;&gt;"", AN41*AG41,"")</f>
        <v/>
      </c>
      <c r="AP41" s="96" t="str">
        <f aca="false">IF($AE41=Constants!$B$7,IF($AP$6=0,Constants!$B$8,Constants!$B$8*AB41/$AP$6),"")</f>
        <v/>
      </c>
      <c r="AQ41" s="96" t="str">
        <f aca="false">IF($AE41&lt;&gt;Constants!$B$7,$AE41,AK41+AO41+AP41)</f>
        <v/>
      </c>
      <c r="AR41" s="96" t="str">
        <f aca="false">IF(ISBLANK($C41),"",IF($AE41=Constants!$B$7,RANK(AQ41,$AQ$8:$AQ$507),$AE41))</f>
        <v/>
      </c>
      <c r="AS41" s="96" t="str">
        <f aca="false">IF(ISBLANK($C41), "",AK41)</f>
        <v/>
      </c>
      <c r="AT41" s="96" t="str">
        <f aca="false">IF(ISBLANK($C41),"",IF($AE41=Constants!$B$7,RANK(AS41,AS$8:AS$507),$AE41))</f>
        <v/>
      </c>
      <c r="AU41" s="96" t="str">
        <f aca="false">IF(ISBLANK($C41), "",AP41)</f>
        <v/>
      </c>
      <c r="AV41" s="96" t="str">
        <f aca="false">IF(ISBLANK($C41),"",IF($AE41=Constants!$B$7,RANK(AU41,AU$8:AU$507),$AE41))</f>
        <v/>
      </c>
      <c r="AW41" s="96" t="str">
        <f aca="false">IF(ISBLANK($C41), "",AC41)</f>
        <v/>
      </c>
      <c r="AX41" s="96" t="str">
        <f aca="false">IF(ISBLANK($C41),"",
IF($AE41=Constants!$B$7,
  COUNTIFS($AR$8:$AR$507,"&lt;"&amp;$AR41)
  + COUNTIFS($AR$8:$AR$507,$AR41,$AT$8:$AT$507,"&lt;"&amp;$AT41)
  + COUNTIFS($AR$8:$AR$507,$AR41,$AT$8:$AT$507,$AT41,$AV$8:$AV$507,"&lt;"&amp;$AV41)
  + COUNTIFS($AR$8:$AR$507,$AR41,$AT$8:$AT$507,$AT41,$AV$8:$AV$507,$AV41,$AW$8:$AW$507,"&lt;"&amp;$AW41)
  + 1,
$AE41))</f>
        <v/>
      </c>
      <c r="AY41" s="96" t="str">
        <f aca="false">IF(ISBLANK(C41),"",IF($AE41=Constants!$B$7, AR41-AX41,$AE41))</f>
        <v/>
      </c>
      <c r="AZ41" s="100"/>
      <c r="BA41" s="101" t="str">
        <f aca="false">IF(ISBLANK($C41),"",TRIM(AI41&amp;" "&amp;AM41))</f>
        <v/>
      </c>
      <c r="BB41" s="102" t="str">
        <f aca="false">IF(ISBLANK($C41),"",IF($AE41&lt;&gt;Constants!$B$7, $AE41 ,AQ41))</f>
        <v/>
      </c>
      <c r="BC41" s="103" t="str">
        <f aca="false">IF(ISBLANK($C41),"",IF($AE41&lt;&gt;Constants!$B$7, $AE41 ,AF41))</f>
        <v/>
      </c>
      <c r="BD41" s="104" t="str">
        <f aca="false">IF(ISBLANK(C41),"",AY41)</f>
        <v/>
      </c>
      <c r="BE41" s="104" t="str">
        <f aca="false">IF(ISBLANK(C41),"",AX41)</f>
        <v/>
      </c>
      <c r="BF41" s="105" t="str">
        <f aca="false">IF(ISBLANK(C41),"",IFERROR(_xlfn.SWITCH(BE41, Constants!$B$4, COUNTA($C$8:$C540)+2, Constants!$B$5, COUNTA($C$8:$C540)+1, Constants!$B$6, COUNTA($C$8:$C540)),BE41))</f>
        <v/>
      </c>
      <c r="BG41" s="5"/>
      <c r="BH41" s="106" t="n">
        <f aca="false">IF(OR(ISNUMBER(BE41),BE41="DQ",BE41="P",BE41="NS"),
    1,
    0
)</f>
        <v>0</v>
      </c>
      <c r="BI41" s="106" t="n">
        <v>34</v>
      </c>
      <c r="BJ41" s="106" t="str">
        <f aca="false">IF(ISBLANK($C41),
    "",
   BF41+ROW($B41)/1000
)</f>
        <v/>
      </c>
      <c r="BK41" s="106" t="str">
        <f aca="false">IF(ISNUMBER(BJ41), RANK(BJ41,BJ$8:BJ$507,1), "")</f>
        <v/>
      </c>
      <c r="BL41" s="106" t="str">
        <f aca="false">IF(ISBLANK($C41),
    "",
    $B41
)</f>
        <v/>
      </c>
      <c r="BM41" s="106" t="str">
        <f aca="false">IF(ISBLANK($C41),
    "",
    $C41
)</f>
        <v/>
      </c>
      <c r="BN41" s="106" t="str">
        <f aca="false">IF(ISBLANK($C41),
    "",
    $D41
)</f>
        <v/>
      </c>
      <c r="BO41" s="107" t="str">
        <f aca="false">BC41</f>
        <v/>
      </c>
      <c r="BP41" s="108" t="str">
        <f aca="false">BB41</f>
        <v/>
      </c>
      <c r="BQ41" s="106" t="str">
        <f aca="false">IF(ISBLANK($C41),
    "",
    BE41
)</f>
        <v/>
      </c>
      <c r="BR41" s="109" t="str">
        <f aca="false">IF(BI41&gt;BH$7,
    "",
    VLOOKUP(BI41,BK$8:BQ540,7,FALSE())
)</f>
        <v/>
      </c>
      <c r="BS41" s="110" t="str">
        <f aca="false">IF(BI41&gt;BH$7,
    "",
    VLOOKUP(BI41,BK$8:BQ540,2,FALSE())
)</f>
        <v/>
      </c>
      <c r="BT41" s="110" t="str">
        <f aca="false">IF(BI41&gt;BH$7,
    "",
    VLOOKUP(BI41,BK$8:BQ540,3,FALSE())
)</f>
        <v/>
      </c>
      <c r="BU41" s="110" t="str">
        <f aca="false">IF(BI41&gt;BH$7,
    "",
    VLOOKUP(BI41,BK$8:BQ540,4,FALSE())
)</f>
        <v/>
      </c>
      <c r="BV41" s="110" t="str">
        <f aca="false">IF(BI41&gt;BH$7,
    "",
    VLOOKUP(BI41,BK$8:BQ540,5,FALSE())
)</f>
        <v/>
      </c>
      <c r="BW41" s="111" t="str">
        <f aca="false">IF(BI41&gt;BH$7,
    "",
    VLOOKUP(BI41,BK$8:BQ540,6,FALSE())
)</f>
        <v/>
      </c>
      <c r="BX41" s="50"/>
    </row>
    <row r="42" customFormat="false" ht="15.75" hidden="false" customHeight="false" outlineLevel="0" collapsed="false">
      <c r="A42" s="5"/>
      <c r="B42" s="122"/>
      <c r="C42" s="123"/>
      <c r="D42" s="112"/>
      <c r="E42" s="116"/>
      <c r="F42" s="116"/>
      <c r="G42" s="88"/>
      <c r="H42" s="89"/>
      <c r="I42" s="125"/>
      <c r="J42" s="125"/>
      <c r="K42" s="125"/>
      <c r="L42" s="91"/>
      <c r="M42" s="91"/>
      <c r="N42" s="91"/>
      <c r="O42" s="92"/>
      <c r="P42" s="93"/>
      <c r="Q42" s="125"/>
      <c r="R42" s="95"/>
      <c r="S42" s="96"/>
      <c r="T42" s="96" t="str">
        <f aca="false">IF(ISBLANK($C42),"",IF(G42=Constants!$B$2, TRUE(), IF(G42=Constants!$B$3, FALSE(), TRUE())))</f>
        <v/>
      </c>
      <c r="U42" s="96" t="str">
        <f aca="false">IF(ISBLANK($C42),"",IF(H42=Constants!$B$2, TRUE(), IF(H42=Constants!$B$3, FALSE(), TRUE())))</f>
        <v/>
      </c>
      <c r="V42" s="96" t="str">
        <f aca="false">IF(ISBLANK($C42),"",IF(I42=Constants!$B$2, TRUE(), IF(I42=Constants!$B$3, FALSE(), TRUE())))</f>
        <v/>
      </c>
      <c r="W42" s="96" t="str">
        <f aca="false">IF(ISBLANK($C42),"",IF(J42=Constants!$B$2, TRUE(), IF(J42=Constants!$B$3, FALSE(), TRUE())))</f>
        <v/>
      </c>
      <c r="X42" s="97" t="str">
        <f aca="false">IF(ISBLANK($C42),"",IF(K42=Constants!$B$2, TRUE(), IF(K42=Constants!$B$3, FALSE(), TRUE())))</f>
        <v/>
      </c>
      <c r="Y42" s="98" t="str">
        <f aca="false">IF(ISBLANK($C42),"",IF(ISNUMBER(L42), L42, ""))</f>
        <v/>
      </c>
      <c r="Z42" s="98" t="str">
        <f aca="false">IF(ISBLANK($C42),"",IF(ISNUMBER(M42), M42, ""))</f>
        <v/>
      </c>
      <c r="AA42" s="98" t="str">
        <f aca="false">IF(ISBLANK($C42),"",IF(ISNUMBER(N42), N42, ""))</f>
        <v/>
      </c>
      <c r="AB42" s="99" t="str">
        <f aca="false">IF(ISBLANK($C42),"",IF(ISNUMBER(O42), O42, ""))</f>
        <v/>
      </c>
      <c r="AC42" s="99" t="str">
        <f aca="false">IF(ISBLANK($C42),"",IF(ISNUMBER(P42), P42, Constants!$B$13))</f>
        <v/>
      </c>
      <c r="AD42" s="96" t="str">
        <f aca="false">IF(ISBLANK($C42),"",IF(Q42=Constants!$B$2, TRUE(), IF(Q42=Constants!$B$3, FALSE(), FALSE())))</f>
        <v/>
      </c>
      <c r="AE42" s="96" t="str">
        <f aca="false">IF(ISBLANK(C42), "", IF(AD42, Constants!$B$4,IF(COUNTA(G42:O42)=0, Constants!$B$5, Constants!$B$7)))</f>
        <v/>
      </c>
      <c r="AF42" s="96" t="str">
        <f aca="false">IF(ISBLANK($C42), "",IF($AE42=Constants!$B$7,1,$AE42))</f>
        <v/>
      </c>
      <c r="AG42" s="96" t="str">
        <f aca="false">IF($AE42=Constants!$B$7,IF(V42, 1, Constants!$B$11) * IF(X42, 1, Constants!$B$12),"")</f>
        <v/>
      </c>
      <c r="AH42" s="96" t="str">
        <f aca="false">IF(AND($AE42=Constants!$B$7, T42, U42) ,MAX(0, $AA42-$Y42),"")</f>
        <v/>
      </c>
      <c r="AI42" s="96" t="str">
        <f aca="false">IF(ISERROR(AH42),$AI$6,"")</f>
        <v/>
      </c>
      <c r="AJ42" s="96" t="str">
        <f aca="false">IF($AE42=Constants!$B$7,IF(AND(T42,U42,W42),IF($AH$6=0,Constants!$B$9,Constants!$B$9*AH42/$AH$6), 0),"")</f>
        <v/>
      </c>
      <c r="AK42" s="96" t="str">
        <f aca="false">IF(AJ42&lt;&gt;"", AJ42*AG42,"")</f>
        <v/>
      </c>
      <c r="AL42" s="96" t="str">
        <f aca="false">IF(AND($AE42=Constants!$B$7, T42, U42) ,IF($Z42="", "", MAX(0,1-ABS($AA42-$Z42)/$AA42)),"")</f>
        <v/>
      </c>
      <c r="AM42" s="96" t="str">
        <f aca="false">IF(AND(NOT(ISERROR(AH42)),ISERROR(AL42)),$AM$6,"")</f>
        <v/>
      </c>
      <c r="AN42" s="96" t="str">
        <f aca="false">IF($AE42=Constants!$B$7 ,IF(AND(T42,U42,W42,ISNUMBER(Z42)),IF($AL$6=0,Constants!$B$10,Constants!$B$10*AL42/$AL$6), 0),"")</f>
        <v/>
      </c>
      <c r="AO42" s="96" t="str">
        <f aca="false">IF(AN42&lt;&gt;"", AN42*AG42,"")</f>
        <v/>
      </c>
      <c r="AP42" s="96" t="str">
        <f aca="false">IF($AE42=Constants!$B$7,IF($AP$6=0,Constants!$B$8,Constants!$B$8*AB42/$AP$6),"")</f>
        <v/>
      </c>
      <c r="AQ42" s="96" t="str">
        <f aca="false">IF($AE42&lt;&gt;Constants!$B$7,$AE42,AK42+AO42+AP42)</f>
        <v/>
      </c>
      <c r="AR42" s="96" t="str">
        <f aca="false">IF(ISBLANK($C42),"",IF($AE42=Constants!$B$7,RANK(AQ42,$AQ$8:$AQ$507),$AE42))</f>
        <v/>
      </c>
      <c r="AS42" s="96" t="str">
        <f aca="false">IF(ISBLANK($C42), "",AK42)</f>
        <v/>
      </c>
      <c r="AT42" s="96" t="str">
        <f aca="false">IF(ISBLANK($C42),"",IF($AE42=Constants!$B$7,RANK(AS42,AS$8:AS$507),$AE42))</f>
        <v/>
      </c>
      <c r="AU42" s="96" t="str">
        <f aca="false">IF(ISBLANK($C42), "",AP42)</f>
        <v/>
      </c>
      <c r="AV42" s="96" t="str">
        <f aca="false">IF(ISBLANK($C42),"",IF($AE42=Constants!$B$7,RANK(AU42,AU$8:AU$507),$AE42))</f>
        <v/>
      </c>
      <c r="AW42" s="96" t="str">
        <f aca="false">IF(ISBLANK($C42), "",AC42)</f>
        <v/>
      </c>
      <c r="AX42" s="96" t="str">
        <f aca="false">IF(ISBLANK($C42),"",
IF($AE42=Constants!$B$7,
  COUNTIFS($AR$8:$AR$507,"&lt;"&amp;$AR42)
  + COUNTIFS($AR$8:$AR$507,$AR42,$AT$8:$AT$507,"&lt;"&amp;$AT42)
  + COUNTIFS($AR$8:$AR$507,$AR42,$AT$8:$AT$507,$AT42,$AV$8:$AV$507,"&lt;"&amp;$AV42)
  + COUNTIFS($AR$8:$AR$507,$AR42,$AT$8:$AT$507,$AT42,$AV$8:$AV$507,$AV42,$AW$8:$AW$507,"&lt;"&amp;$AW42)
  + 1,
$AE42))</f>
        <v/>
      </c>
      <c r="AY42" s="96" t="str">
        <f aca="false">IF(ISBLANK(C42),"",IF($AE42=Constants!$B$7, AR42-AX42,$AE42))</f>
        <v/>
      </c>
      <c r="AZ42" s="100"/>
      <c r="BA42" s="101" t="str">
        <f aca="false">IF(ISBLANK($C42),"",TRIM(AI42&amp;" "&amp;AM42))</f>
        <v/>
      </c>
      <c r="BB42" s="102" t="str">
        <f aca="false">IF(ISBLANK($C42),"",IF($AE42&lt;&gt;Constants!$B$7, $AE42 ,AQ42))</f>
        <v/>
      </c>
      <c r="BC42" s="103" t="str">
        <f aca="false">IF(ISBLANK($C42),"",IF($AE42&lt;&gt;Constants!$B$7, $AE42 ,AF42))</f>
        <v/>
      </c>
      <c r="BD42" s="104" t="str">
        <f aca="false">IF(ISBLANK(C42),"",AY42)</f>
        <v/>
      </c>
      <c r="BE42" s="104" t="str">
        <f aca="false">IF(ISBLANK(C42),"",AX42)</f>
        <v/>
      </c>
      <c r="BF42" s="105" t="str">
        <f aca="false">IF(ISBLANK(C42),"",IFERROR(_xlfn.SWITCH(BE42, Constants!$B$4, COUNTA($C$8:$C541)+2, Constants!$B$5, COUNTA($C$8:$C541)+1, Constants!$B$6, COUNTA($C$8:$C541)),BE42))</f>
        <v/>
      </c>
      <c r="BG42" s="5"/>
      <c r="BH42" s="106" t="n">
        <f aca="false">IF(OR(ISNUMBER(BE42),BE42="DQ",BE42="P",BE42="NS"),
    1,
    0
)</f>
        <v>0</v>
      </c>
      <c r="BI42" s="106" t="n">
        <v>35</v>
      </c>
      <c r="BJ42" s="106" t="str">
        <f aca="false">IF(ISBLANK($C42),
    "",
   BF42+ROW($B42)/1000
)</f>
        <v/>
      </c>
      <c r="BK42" s="106" t="str">
        <f aca="false">IF(ISNUMBER(BJ42), RANK(BJ42,BJ$8:BJ$507,1), "")</f>
        <v/>
      </c>
      <c r="BL42" s="106" t="str">
        <f aca="false">IF(ISBLANK($C42),
    "",
    $B42
)</f>
        <v/>
      </c>
      <c r="BM42" s="106" t="str">
        <f aca="false">IF(ISBLANK($C42),
    "",
    $C42
)</f>
        <v/>
      </c>
      <c r="BN42" s="106" t="str">
        <f aca="false">IF(ISBLANK($C42),
    "",
    $D42
)</f>
        <v/>
      </c>
      <c r="BO42" s="107" t="str">
        <f aca="false">BC42</f>
        <v/>
      </c>
      <c r="BP42" s="108" t="str">
        <f aca="false">BB42</f>
        <v/>
      </c>
      <c r="BQ42" s="106" t="str">
        <f aca="false">IF(ISBLANK($C42),
    "",
    BE42
)</f>
        <v/>
      </c>
      <c r="BR42" s="109" t="str">
        <f aca="false">IF(BI42&gt;BH$7,
    "",
    VLOOKUP(BI42,BK$8:BQ541,7,FALSE())
)</f>
        <v/>
      </c>
      <c r="BS42" s="110" t="str">
        <f aca="false">IF(BI42&gt;BH$7,
    "",
    VLOOKUP(BI42,BK$8:BQ541,2,FALSE())
)</f>
        <v/>
      </c>
      <c r="BT42" s="110" t="str">
        <f aca="false">IF(BI42&gt;BH$7,
    "",
    VLOOKUP(BI42,BK$8:BQ541,3,FALSE())
)</f>
        <v/>
      </c>
      <c r="BU42" s="110" t="str">
        <f aca="false">IF(BI42&gt;BH$7,
    "",
    VLOOKUP(BI42,BK$8:BQ541,4,FALSE())
)</f>
        <v/>
      </c>
      <c r="BV42" s="110" t="str">
        <f aca="false">IF(BI42&gt;BH$7,
    "",
    VLOOKUP(BI42,BK$8:BQ541,5,FALSE())
)</f>
        <v/>
      </c>
      <c r="BW42" s="111" t="str">
        <f aca="false">IF(BI42&gt;BH$7,
    "",
    VLOOKUP(BI42,BK$8:BQ541,6,FALSE())
)</f>
        <v/>
      </c>
      <c r="BX42" s="50"/>
    </row>
    <row r="43" customFormat="false" ht="15.75" hidden="false" customHeight="false" outlineLevel="0" collapsed="false">
      <c r="A43" s="5"/>
      <c r="B43" s="122"/>
      <c r="C43" s="123"/>
      <c r="D43" s="112"/>
      <c r="E43" s="116"/>
      <c r="F43" s="116"/>
      <c r="G43" s="88"/>
      <c r="H43" s="89"/>
      <c r="I43" s="125"/>
      <c r="J43" s="125"/>
      <c r="K43" s="125"/>
      <c r="L43" s="91"/>
      <c r="M43" s="91"/>
      <c r="N43" s="91"/>
      <c r="O43" s="92"/>
      <c r="P43" s="93"/>
      <c r="Q43" s="125"/>
      <c r="R43" s="95"/>
      <c r="S43" s="96"/>
      <c r="T43" s="96" t="str">
        <f aca="false">IF(ISBLANK($C43),"",IF(G43=Constants!$B$2, TRUE(), IF(G43=Constants!$B$3, FALSE(), TRUE())))</f>
        <v/>
      </c>
      <c r="U43" s="96" t="str">
        <f aca="false">IF(ISBLANK($C43),"",IF(H43=Constants!$B$2, TRUE(), IF(H43=Constants!$B$3, FALSE(), TRUE())))</f>
        <v/>
      </c>
      <c r="V43" s="96" t="str">
        <f aca="false">IF(ISBLANK($C43),"",IF(I43=Constants!$B$2, TRUE(), IF(I43=Constants!$B$3, FALSE(), TRUE())))</f>
        <v/>
      </c>
      <c r="W43" s="96" t="str">
        <f aca="false">IF(ISBLANK($C43),"",IF(J43=Constants!$B$2, TRUE(), IF(J43=Constants!$B$3, FALSE(), TRUE())))</f>
        <v/>
      </c>
      <c r="X43" s="97" t="str">
        <f aca="false">IF(ISBLANK($C43),"",IF(K43=Constants!$B$2, TRUE(), IF(K43=Constants!$B$3, FALSE(), TRUE())))</f>
        <v/>
      </c>
      <c r="Y43" s="98" t="str">
        <f aca="false">IF(ISBLANK($C43),"",IF(ISNUMBER(L43), L43, ""))</f>
        <v/>
      </c>
      <c r="Z43" s="98" t="str">
        <f aca="false">IF(ISBLANK($C43),"",IF(ISNUMBER(M43), M43, ""))</f>
        <v/>
      </c>
      <c r="AA43" s="98" t="str">
        <f aca="false">IF(ISBLANK($C43),"",IF(ISNUMBER(N43), N43, ""))</f>
        <v/>
      </c>
      <c r="AB43" s="99" t="str">
        <f aca="false">IF(ISBLANK($C43),"",IF(ISNUMBER(O43), O43, ""))</f>
        <v/>
      </c>
      <c r="AC43" s="99" t="str">
        <f aca="false">IF(ISBLANK($C43),"",IF(ISNUMBER(P43), P43, Constants!$B$13))</f>
        <v/>
      </c>
      <c r="AD43" s="96" t="str">
        <f aca="false">IF(ISBLANK($C43),"",IF(Q43=Constants!$B$2, TRUE(), IF(Q43=Constants!$B$3, FALSE(), FALSE())))</f>
        <v/>
      </c>
      <c r="AE43" s="96" t="str">
        <f aca="false">IF(ISBLANK(C43), "", IF(AD43, Constants!$B$4,IF(COUNTA(G43:O43)=0, Constants!$B$5, Constants!$B$7)))</f>
        <v/>
      </c>
      <c r="AF43" s="96" t="str">
        <f aca="false">IF(ISBLANK($C43), "",IF($AE43=Constants!$B$7,1,$AE43))</f>
        <v/>
      </c>
      <c r="AG43" s="96" t="str">
        <f aca="false">IF($AE43=Constants!$B$7,IF(V43, 1, Constants!$B$11) * IF(X43, 1, Constants!$B$12),"")</f>
        <v/>
      </c>
      <c r="AH43" s="96" t="str">
        <f aca="false">IF(AND($AE43=Constants!$B$7, T43, U43) ,MAX(0, $AA43-$Y43),"")</f>
        <v/>
      </c>
      <c r="AI43" s="96" t="str">
        <f aca="false">IF(ISERROR(AH43),$AI$6,"")</f>
        <v/>
      </c>
      <c r="AJ43" s="96" t="str">
        <f aca="false">IF($AE43=Constants!$B$7,IF(AND(T43,U43,W43),IF($AH$6=0,Constants!$B$9,Constants!$B$9*AH43/$AH$6), 0),"")</f>
        <v/>
      </c>
      <c r="AK43" s="96" t="str">
        <f aca="false">IF(AJ43&lt;&gt;"", AJ43*AG43,"")</f>
        <v/>
      </c>
      <c r="AL43" s="96" t="str">
        <f aca="false">IF(AND($AE43=Constants!$B$7, T43, U43) ,IF($Z43="", "", MAX(0,1-ABS($AA43-$Z43)/$AA43)),"")</f>
        <v/>
      </c>
      <c r="AM43" s="96" t="str">
        <f aca="false">IF(AND(NOT(ISERROR(AH43)),ISERROR(AL43)),$AM$6,"")</f>
        <v/>
      </c>
      <c r="AN43" s="96" t="str">
        <f aca="false">IF($AE43=Constants!$B$7 ,IF(AND(T43,U43,W43,ISNUMBER(Z43)),IF($AL$6=0,Constants!$B$10,Constants!$B$10*AL43/$AL$6), 0),"")</f>
        <v/>
      </c>
      <c r="AO43" s="96" t="str">
        <f aca="false">IF(AN43&lt;&gt;"", AN43*AG43,"")</f>
        <v/>
      </c>
      <c r="AP43" s="96" t="str">
        <f aca="false">IF($AE43=Constants!$B$7,IF($AP$6=0,Constants!$B$8,Constants!$B$8*AB43/$AP$6),"")</f>
        <v/>
      </c>
      <c r="AQ43" s="96" t="str">
        <f aca="false">IF($AE43&lt;&gt;Constants!$B$7,$AE43,AK43+AO43+AP43)</f>
        <v/>
      </c>
      <c r="AR43" s="96" t="str">
        <f aca="false">IF(ISBLANK($C43),"",IF($AE43=Constants!$B$7,RANK(AQ43,$AQ$8:$AQ$507),$AE43))</f>
        <v/>
      </c>
      <c r="AS43" s="96" t="str">
        <f aca="false">IF(ISBLANK($C43), "",AK43)</f>
        <v/>
      </c>
      <c r="AT43" s="96" t="str">
        <f aca="false">IF(ISBLANK($C43),"",IF($AE43=Constants!$B$7,RANK(AS43,AS$8:AS$507),$AE43))</f>
        <v/>
      </c>
      <c r="AU43" s="96" t="str">
        <f aca="false">IF(ISBLANK($C43), "",AP43)</f>
        <v/>
      </c>
      <c r="AV43" s="96" t="str">
        <f aca="false">IF(ISBLANK($C43),"",IF($AE43=Constants!$B$7,RANK(AU43,AU$8:AU$507),$AE43))</f>
        <v/>
      </c>
      <c r="AW43" s="96" t="str">
        <f aca="false">IF(ISBLANK($C43), "",AC43)</f>
        <v/>
      </c>
      <c r="AX43" s="96" t="str">
        <f aca="false">IF(ISBLANK($C43),"",
IF($AE43=Constants!$B$7,
  COUNTIFS($AR$8:$AR$507,"&lt;"&amp;$AR43)
  + COUNTIFS($AR$8:$AR$507,$AR43,$AT$8:$AT$507,"&lt;"&amp;$AT43)
  + COUNTIFS($AR$8:$AR$507,$AR43,$AT$8:$AT$507,$AT43,$AV$8:$AV$507,"&lt;"&amp;$AV43)
  + COUNTIFS($AR$8:$AR$507,$AR43,$AT$8:$AT$507,$AT43,$AV$8:$AV$507,$AV43,$AW$8:$AW$507,"&lt;"&amp;$AW43)
  + 1,
$AE43))</f>
        <v/>
      </c>
      <c r="AY43" s="96" t="str">
        <f aca="false">IF(ISBLANK(C43),"",IF($AE43=Constants!$B$7, AR43-AX43,$AE43))</f>
        <v/>
      </c>
      <c r="AZ43" s="100"/>
      <c r="BA43" s="101" t="str">
        <f aca="false">IF(ISBLANK($C43),"",TRIM(AI43&amp;" "&amp;AM43))</f>
        <v/>
      </c>
      <c r="BB43" s="102" t="str">
        <f aca="false">IF(ISBLANK($C43),"",IF($AE43&lt;&gt;Constants!$B$7, $AE43 ,AQ43))</f>
        <v/>
      </c>
      <c r="BC43" s="103" t="str">
        <f aca="false">IF(ISBLANK($C43),"",IF($AE43&lt;&gt;Constants!$B$7, $AE43 ,AF43))</f>
        <v/>
      </c>
      <c r="BD43" s="104" t="str">
        <f aca="false">IF(ISBLANK(C43),"",AY43)</f>
        <v/>
      </c>
      <c r="BE43" s="104" t="str">
        <f aca="false">IF(ISBLANK(C43),"",AX43)</f>
        <v/>
      </c>
      <c r="BF43" s="105" t="str">
        <f aca="false">IF(ISBLANK(C43),"",IFERROR(_xlfn.SWITCH(BE43, Constants!$B$4, COUNTA($C$8:$C542)+2, Constants!$B$5, COUNTA($C$8:$C542)+1, Constants!$B$6, COUNTA($C$8:$C542)),BE43))</f>
        <v/>
      </c>
      <c r="BG43" s="5"/>
      <c r="BH43" s="106" t="n">
        <f aca="false">IF(OR(ISNUMBER(BE43),BE43="DQ",BE43="P",BE43="NS"),
    1,
    0
)</f>
        <v>0</v>
      </c>
      <c r="BI43" s="106" t="n">
        <v>36</v>
      </c>
      <c r="BJ43" s="106" t="str">
        <f aca="false">IF(ISBLANK($C43),
    "",
   BF43+ROW($B43)/1000
)</f>
        <v/>
      </c>
      <c r="BK43" s="106" t="str">
        <f aca="false">IF(ISNUMBER(BJ43), RANK(BJ43,BJ$8:BJ$507,1), "")</f>
        <v/>
      </c>
      <c r="BL43" s="106" t="str">
        <f aca="false">IF(ISBLANK($C43),
    "",
    $B43
)</f>
        <v/>
      </c>
      <c r="BM43" s="106" t="str">
        <f aca="false">IF(ISBLANK($C43),
    "",
    $C43
)</f>
        <v/>
      </c>
      <c r="BN43" s="106" t="str">
        <f aca="false">IF(ISBLANK($C43),
    "",
    $D43
)</f>
        <v/>
      </c>
      <c r="BO43" s="107" t="str">
        <f aca="false">BC43</f>
        <v/>
      </c>
      <c r="BP43" s="108" t="str">
        <f aca="false">BB43</f>
        <v/>
      </c>
      <c r="BQ43" s="106" t="str">
        <f aca="false">IF(ISBLANK($C43),
    "",
    BE43
)</f>
        <v/>
      </c>
      <c r="BR43" s="109" t="str">
        <f aca="false">IF(BI43&gt;BH$7,
    "",
    VLOOKUP(BI43,BK$8:BQ542,7,FALSE())
)</f>
        <v/>
      </c>
      <c r="BS43" s="110" t="str">
        <f aca="false">IF(BI43&gt;BH$7,
    "",
    VLOOKUP(BI43,BK$8:BQ542,2,FALSE())
)</f>
        <v/>
      </c>
      <c r="BT43" s="110" t="str">
        <f aca="false">IF(BI43&gt;BH$7,
    "",
    VLOOKUP(BI43,BK$8:BQ542,3,FALSE())
)</f>
        <v/>
      </c>
      <c r="BU43" s="110" t="str">
        <f aca="false">IF(BI43&gt;BH$7,
    "",
    VLOOKUP(BI43,BK$8:BQ542,4,FALSE())
)</f>
        <v/>
      </c>
      <c r="BV43" s="110" t="str">
        <f aca="false">IF(BI43&gt;BH$7,
    "",
    VLOOKUP(BI43,BK$8:BQ542,5,FALSE())
)</f>
        <v/>
      </c>
      <c r="BW43" s="111" t="str">
        <f aca="false">IF(BI43&gt;BH$7,
    "",
    VLOOKUP(BI43,BK$8:BQ542,6,FALSE())
)</f>
        <v/>
      </c>
      <c r="BX43" s="50"/>
    </row>
    <row r="44" customFormat="false" ht="15.75" hidden="false" customHeight="false" outlineLevel="0" collapsed="false">
      <c r="A44" s="5"/>
      <c r="B44" s="126"/>
      <c r="C44" s="52"/>
      <c r="D44" s="53"/>
      <c r="E44" s="120"/>
      <c r="F44" s="120"/>
      <c r="G44" s="55"/>
      <c r="H44" s="56"/>
      <c r="I44" s="80"/>
      <c r="J44" s="80"/>
      <c r="K44" s="80"/>
      <c r="L44" s="58"/>
      <c r="M44" s="58"/>
      <c r="N44" s="58"/>
      <c r="O44" s="59"/>
      <c r="P44" s="60"/>
      <c r="Q44" s="80"/>
      <c r="R44" s="62"/>
      <c r="S44" s="63"/>
      <c r="T44" s="63" t="str">
        <f aca="false">IF(ISBLANK($C44),"",IF(G44=Constants!$B$2, TRUE(), IF(G44=Constants!$B$3, FALSE(), TRUE())))</f>
        <v/>
      </c>
      <c r="U44" s="63" t="str">
        <f aca="false">IF(ISBLANK($C44),"",IF(H44=Constants!$B$2, TRUE(), IF(H44=Constants!$B$3, FALSE(), TRUE())))</f>
        <v/>
      </c>
      <c r="V44" s="63" t="str">
        <f aca="false">IF(ISBLANK($C44),"",IF(I44=Constants!$B$2, TRUE(), IF(I44=Constants!$B$3, FALSE(), TRUE())))</f>
        <v/>
      </c>
      <c r="W44" s="63" t="str">
        <f aca="false">IF(ISBLANK($C44),"",IF(J44=Constants!$B$2, TRUE(), IF(J44=Constants!$B$3, FALSE(), TRUE())))</f>
        <v/>
      </c>
      <c r="X44" s="63" t="str">
        <f aca="false">IF(ISBLANK($C44),"",IF(K44=Constants!$B$2, TRUE(), IF(K44=Constants!$B$3, FALSE(), TRUE())))</f>
        <v/>
      </c>
      <c r="Y44" s="65" t="str">
        <f aca="false">IF(ISBLANK($C44),"",IF(ISNUMBER(L44), L44, ""))</f>
        <v/>
      </c>
      <c r="Z44" s="65" t="str">
        <f aca="false">IF(ISBLANK($C44),"",IF(ISNUMBER(M44), M44, ""))</f>
        <v/>
      </c>
      <c r="AA44" s="65" t="str">
        <f aca="false">IF(ISBLANK($C44),"",IF(ISNUMBER(N44), N44, ""))</f>
        <v/>
      </c>
      <c r="AB44" s="66" t="str">
        <f aca="false">IF(ISBLANK($C44),"",IF(ISNUMBER(O44), O44, ""))</f>
        <v/>
      </c>
      <c r="AC44" s="66" t="str">
        <f aca="false">IF(ISBLANK($C44),"",IF(ISNUMBER(P44), P44, Constants!$B$13))</f>
        <v/>
      </c>
      <c r="AD44" s="63" t="str">
        <f aca="false">IF(ISBLANK($C44),"",IF(Q44=Constants!$B$2, TRUE(), IF(Q44=Constants!$B$3, FALSE(), FALSE())))</f>
        <v/>
      </c>
      <c r="AE44" s="63" t="str">
        <f aca="false">IF(ISBLANK(C44), "", IF(AD44, Constants!$B$4,IF(COUNTA(G44:O44)=0, Constants!$B$5, Constants!$B$7)))</f>
        <v/>
      </c>
      <c r="AF44" s="63" t="str">
        <f aca="false">IF(ISBLANK($C44), "",IF($AE44=Constants!$B$7,1,$AE44))</f>
        <v/>
      </c>
      <c r="AG44" s="63" t="str">
        <f aca="false">IF($AE44=Constants!$B$7,IF(V44, 1, Constants!$B$11) * IF(X44, 1, Constants!$B$12),"")</f>
        <v/>
      </c>
      <c r="AH44" s="63" t="str">
        <f aca="false">IF(AND($AE44=Constants!$B$7, T44, U44) ,MAX(0, $AA44-$Y44),"")</f>
        <v/>
      </c>
      <c r="AI44" s="63" t="str">
        <f aca="false">IF(ISERROR(AH44),$AI$6,"")</f>
        <v/>
      </c>
      <c r="AJ44" s="63" t="str">
        <f aca="false">IF($AE44=Constants!$B$7,IF(AND(T44,U44,W44),IF($AH$6=0,Constants!$B$9,Constants!$B$9*AH44/$AH$6), 0),"")</f>
        <v/>
      </c>
      <c r="AK44" s="63" t="str">
        <f aca="false">IF(AJ44&lt;&gt;"", AJ44*AG44,"")</f>
        <v/>
      </c>
      <c r="AL44" s="63" t="str">
        <f aca="false">IF(AND($AE44=Constants!$B$7, T44, U44) ,IF($Z44="", "", MAX(0,1-ABS($AA44-$Z44)/$AA44)),"")</f>
        <v/>
      </c>
      <c r="AM44" s="63" t="str">
        <f aca="false">IF(AND(NOT(ISERROR(AH44)),ISERROR(AL44)),$AM$6,"")</f>
        <v/>
      </c>
      <c r="AN44" s="63" t="str">
        <f aca="false">IF($AE44=Constants!$B$7 ,IF(AND(T44,U44,W44,ISNUMBER(Z44)),IF($AL$6=0,Constants!$B$10,Constants!$B$10*AL44/$AL$6), 0),"")</f>
        <v/>
      </c>
      <c r="AO44" s="63" t="str">
        <f aca="false">IF(AN44&lt;&gt;"", AN44*AG44,"")</f>
        <v/>
      </c>
      <c r="AP44" s="63" t="str">
        <f aca="false">IF($AE44=Constants!$B$7,IF($AP$6=0,Constants!$B$8,Constants!$B$8*AB44/$AP$6),"")</f>
        <v/>
      </c>
      <c r="AQ44" s="63" t="str">
        <f aca="false">IF($AE44&lt;&gt;Constants!$B$7,$AE44,AK44+AO44+AP44)</f>
        <v/>
      </c>
      <c r="AR44" s="63" t="str">
        <f aca="false">IF(ISBLANK($C44),"",IF($AE44=Constants!$B$7,RANK(AQ44,$AQ$8:$AQ$507),$AE44))</f>
        <v/>
      </c>
      <c r="AS44" s="63" t="str">
        <f aca="false">IF(ISBLANK($C44), "",AK44)</f>
        <v/>
      </c>
      <c r="AT44" s="63" t="str">
        <f aca="false">IF(ISBLANK($C44),"",IF($AE44=Constants!$B$7,RANK(AS44,AS$8:AS$507),$AE44))</f>
        <v/>
      </c>
      <c r="AU44" s="63" t="str">
        <f aca="false">IF(ISBLANK($C44), "",AP44)</f>
        <v/>
      </c>
      <c r="AV44" s="63" t="str">
        <f aca="false">IF(ISBLANK($C44),"",IF($AE44=Constants!$B$7,RANK(AU44,AU$8:AU$507),$AE44))</f>
        <v/>
      </c>
      <c r="AW44" s="63" t="str">
        <f aca="false">IF(ISBLANK($C44), "",AC44)</f>
        <v/>
      </c>
      <c r="AX44" s="63" t="str">
        <f aca="false">IF(ISBLANK($C44),"",
IF($AE44=Constants!$B$7,
  COUNTIFS($AR$8:$AR$507,"&lt;"&amp;$AR44)
  + COUNTIFS($AR$8:$AR$507,$AR44,$AT$8:$AT$507,"&lt;"&amp;$AT44)
  + COUNTIFS($AR$8:$AR$507,$AR44,$AT$8:$AT$507,$AT44,$AV$8:$AV$507,"&lt;"&amp;$AV44)
  + COUNTIFS($AR$8:$AR$507,$AR44,$AT$8:$AT$507,$AT44,$AV$8:$AV$507,$AV44,$AW$8:$AW$507,"&lt;"&amp;$AW44)
  + 1,
$AE44))</f>
        <v/>
      </c>
      <c r="AY44" s="63" t="str">
        <f aca="false">IF(ISBLANK(C44),"",IF($AE44=Constants!$B$7, AR44-AX44,$AE44))</f>
        <v/>
      </c>
      <c r="AZ44" s="67"/>
      <c r="BA44" s="81" t="str">
        <f aca="false">IF(ISBLANK($C44),"",TRIM(AI44&amp;" "&amp;AM44))</f>
        <v/>
      </c>
      <c r="BB44" s="69" t="str">
        <f aca="false">IF(ISBLANK($C44),"",IF($AE44&lt;&gt;Constants!$B$7, $AE44 ,AQ44))</f>
        <v/>
      </c>
      <c r="BC44" s="70" t="str">
        <f aca="false">IF(ISBLANK($C44),"",IF($AE44&lt;&gt;Constants!$B$7, $AE44 ,AF44))</f>
        <v/>
      </c>
      <c r="BD44" s="71" t="str">
        <f aca="false">IF(ISBLANK(C44),"",AY44)</f>
        <v/>
      </c>
      <c r="BE44" s="71" t="str">
        <f aca="false">IF(ISBLANK(C44),"",AX44)</f>
        <v/>
      </c>
      <c r="BF44" s="72" t="str">
        <f aca="false">IF(ISBLANK(C44),"",IFERROR(_xlfn.SWITCH(BE44, Constants!$B$4, COUNTA($C$8:$C543)+2, Constants!$B$5, COUNTA($C$8:$C543)+1, Constants!$B$6, COUNTA($C$8:$C543)),BE44))</f>
        <v/>
      </c>
      <c r="BG44" s="5"/>
      <c r="BH44" s="73" t="n">
        <f aca="false">IF(OR(ISNUMBER(BE44),BE44="DQ",BE44="P",BE44="NS"),
    1,
    0
)</f>
        <v>0</v>
      </c>
      <c r="BI44" s="73" t="n">
        <v>37</v>
      </c>
      <c r="BJ44" s="73" t="str">
        <f aca="false">IF(ISBLANK($C44),
    "",
   BF44+ROW($B44)/1000
)</f>
        <v/>
      </c>
      <c r="BK44" s="73" t="str">
        <f aca="false">IF(ISNUMBER(BJ44), RANK(BJ44,BJ$8:BJ$507,1), "")</f>
        <v/>
      </c>
      <c r="BL44" s="73" t="str">
        <f aca="false">IF(ISBLANK($C44),
    "",
    $B44
)</f>
        <v/>
      </c>
      <c r="BM44" s="73" t="str">
        <f aca="false">IF(ISBLANK($C44),
    "",
    $C44
)</f>
        <v/>
      </c>
      <c r="BN44" s="73" t="str">
        <f aca="false">IF(ISBLANK($C44),
    "",
    $D44
)</f>
        <v/>
      </c>
      <c r="BO44" s="74" t="str">
        <f aca="false">BC44</f>
        <v/>
      </c>
      <c r="BP44" s="75" t="str">
        <f aca="false">BB44</f>
        <v/>
      </c>
      <c r="BQ44" s="73" t="str">
        <f aca="false">IF(ISBLANK($C44),
    "",
    BE44
)</f>
        <v/>
      </c>
      <c r="BR44" s="76" t="str">
        <f aca="false">IF(BI44&gt;BH$7,
    "",
    VLOOKUP(BI44,BK$8:BQ543,7,FALSE())
)</f>
        <v/>
      </c>
      <c r="BS44" s="77" t="str">
        <f aca="false">IF(BI44&gt;BH$7,
    "",
    VLOOKUP(BI44,BK$8:BQ543,2,FALSE())
)</f>
        <v/>
      </c>
      <c r="BT44" s="77" t="str">
        <f aca="false">IF(BI44&gt;BH$7,
    "",
    VLOOKUP(BI44,BK$8:BQ543,3,FALSE())
)</f>
        <v/>
      </c>
      <c r="BU44" s="77" t="str">
        <f aca="false">IF(BI44&gt;BH$7,
    "",
    VLOOKUP(BI44,BK$8:BQ543,4,FALSE())
)</f>
        <v/>
      </c>
      <c r="BV44" s="77" t="str">
        <f aca="false">IF(BI44&gt;BH$7,
    "",
    VLOOKUP(BI44,BK$8:BQ543,5,FALSE())
)</f>
        <v/>
      </c>
      <c r="BW44" s="78" t="str">
        <f aca="false">IF(BI44&gt;BH$7,
    "",
    VLOOKUP(BI44,BK$8:BQ543,6,FALSE())
)</f>
        <v/>
      </c>
      <c r="BX44" s="50"/>
    </row>
    <row r="45" customFormat="false" ht="15.75" hidden="false" customHeight="false" outlineLevel="0" collapsed="false">
      <c r="A45" s="5"/>
      <c r="B45" s="126"/>
      <c r="C45" s="52"/>
      <c r="D45" s="53"/>
      <c r="E45" s="120"/>
      <c r="F45" s="120"/>
      <c r="G45" s="55"/>
      <c r="H45" s="56"/>
      <c r="I45" s="80"/>
      <c r="J45" s="80"/>
      <c r="K45" s="80"/>
      <c r="L45" s="58"/>
      <c r="M45" s="58"/>
      <c r="N45" s="58"/>
      <c r="O45" s="59"/>
      <c r="P45" s="60"/>
      <c r="Q45" s="80"/>
      <c r="R45" s="62"/>
      <c r="S45" s="63"/>
      <c r="T45" s="63" t="str">
        <f aca="false">IF(ISBLANK($C45),"",IF(G45=Constants!$B$2, TRUE(), IF(G45=Constants!$B$3, FALSE(), TRUE())))</f>
        <v/>
      </c>
      <c r="U45" s="63" t="str">
        <f aca="false">IF(ISBLANK($C45),"",IF(H45=Constants!$B$2, TRUE(), IF(H45=Constants!$B$3, FALSE(), TRUE())))</f>
        <v/>
      </c>
      <c r="V45" s="63" t="str">
        <f aca="false">IF(ISBLANK($C45),"",IF(I45=Constants!$B$2, TRUE(), IF(I45=Constants!$B$3, FALSE(), TRUE())))</f>
        <v/>
      </c>
      <c r="W45" s="63" t="str">
        <f aca="false">IF(ISBLANK($C45),"",IF(J45=Constants!$B$2, TRUE(), IF(J45=Constants!$B$3, FALSE(), TRUE())))</f>
        <v/>
      </c>
      <c r="X45" s="63" t="str">
        <f aca="false">IF(ISBLANK($C45),"",IF(K45=Constants!$B$2, TRUE(), IF(K45=Constants!$B$3, FALSE(), TRUE())))</f>
        <v/>
      </c>
      <c r="Y45" s="65" t="str">
        <f aca="false">IF(ISBLANK($C45),"",IF(ISNUMBER(L45), L45, ""))</f>
        <v/>
      </c>
      <c r="Z45" s="65" t="str">
        <f aca="false">IF(ISBLANK($C45),"",IF(ISNUMBER(M45), M45, ""))</f>
        <v/>
      </c>
      <c r="AA45" s="65" t="str">
        <f aca="false">IF(ISBLANK($C45),"",IF(ISNUMBER(N45), N45, ""))</f>
        <v/>
      </c>
      <c r="AB45" s="66" t="str">
        <f aca="false">IF(ISBLANK($C45),"",IF(ISNUMBER(O45), O45, ""))</f>
        <v/>
      </c>
      <c r="AC45" s="66" t="str">
        <f aca="false">IF(ISBLANK($C45),"",IF(ISNUMBER(P45), P45, Constants!$B$13))</f>
        <v/>
      </c>
      <c r="AD45" s="63" t="str">
        <f aca="false">IF(ISBLANK($C45),"",IF(Q45=Constants!$B$2, TRUE(), IF(Q45=Constants!$B$3, FALSE(), FALSE())))</f>
        <v/>
      </c>
      <c r="AE45" s="63" t="str">
        <f aca="false">IF(ISBLANK(C45), "", IF(AD45, Constants!$B$4,IF(COUNTA(G45:O45)=0, Constants!$B$5, Constants!$B$7)))</f>
        <v/>
      </c>
      <c r="AF45" s="63" t="str">
        <f aca="false">IF(ISBLANK($C45), "",IF($AE45=Constants!$B$7,1,$AE45))</f>
        <v/>
      </c>
      <c r="AG45" s="63" t="str">
        <f aca="false">IF($AE45=Constants!$B$7,IF(V45, 1, Constants!$B$11) * IF(X45, 1, Constants!$B$12),"")</f>
        <v/>
      </c>
      <c r="AH45" s="63" t="str">
        <f aca="false">IF(AND($AE45=Constants!$B$7, T45, U45) ,MAX(0, $AA45-$Y45),"")</f>
        <v/>
      </c>
      <c r="AI45" s="63" t="str">
        <f aca="false">IF(ISERROR(AH45),$AI$6,"")</f>
        <v/>
      </c>
      <c r="AJ45" s="63" t="str">
        <f aca="false">IF($AE45=Constants!$B$7,IF(AND(T45,U45,W45),IF($AH$6=0,Constants!$B$9,Constants!$B$9*AH45/$AH$6), 0),"")</f>
        <v/>
      </c>
      <c r="AK45" s="63" t="str">
        <f aca="false">IF(AJ45&lt;&gt;"", AJ45*AG45,"")</f>
        <v/>
      </c>
      <c r="AL45" s="63" t="str">
        <f aca="false">IF(AND($AE45=Constants!$B$7, T45, U45) ,IF($Z45="", "", MAX(0,1-ABS($AA45-$Z45)/$AA45)),"")</f>
        <v/>
      </c>
      <c r="AM45" s="63" t="str">
        <f aca="false">IF(AND(NOT(ISERROR(AH45)),ISERROR(AL45)),$AM$6,"")</f>
        <v/>
      </c>
      <c r="AN45" s="63" t="str">
        <f aca="false">IF($AE45=Constants!$B$7 ,IF(AND(T45,U45,W45,ISNUMBER(Z45)),IF($AL$6=0,Constants!$B$10,Constants!$B$10*AL45/$AL$6), 0),"")</f>
        <v/>
      </c>
      <c r="AO45" s="63" t="str">
        <f aca="false">IF(AN45&lt;&gt;"", AN45*AG45,"")</f>
        <v/>
      </c>
      <c r="AP45" s="63" t="str">
        <f aca="false">IF($AE45=Constants!$B$7,IF($AP$6=0,Constants!$B$8,Constants!$B$8*AB45/$AP$6),"")</f>
        <v/>
      </c>
      <c r="AQ45" s="63" t="str">
        <f aca="false">IF($AE45&lt;&gt;Constants!$B$7,$AE45,AK45+AO45+AP45)</f>
        <v/>
      </c>
      <c r="AR45" s="63" t="str">
        <f aca="false">IF(ISBLANK($C45),"",IF($AE45=Constants!$B$7,RANK(AQ45,$AQ$8:$AQ$507),$AE45))</f>
        <v/>
      </c>
      <c r="AS45" s="63" t="str">
        <f aca="false">IF(ISBLANK($C45), "",AK45)</f>
        <v/>
      </c>
      <c r="AT45" s="63" t="str">
        <f aca="false">IF(ISBLANK($C45),"",IF($AE45=Constants!$B$7,RANK(AS45,AS$8:AS$507),$AE45))</f>
        <v/>
      </c>
      <c r="AU45" s="63" t="str">
        <f aca="false">IF(ISBLANK($C45), "",AP45)</f>
        <v/>
      </c>
      <c r="AV45" s="63" t="str">
        <f aca="false">IF(ISBLANK($C45),"",IF($AE45=Constants!$B$7,RANK(AU45,AU$8:AU$507),$AE45))</f>
        <v/>
      </c>
      <c r="AW45" s="63" t="str">
        <f aca="false">IF(ISBLANK($C45), "",AC45)</f>
        <v/>
      </c>
      <c r="AX45" s="63" t="str">
        <f aca="false">IF(ISBLANK($C45),"",
IF($AE45=Constants!$B$7,
  COUNTIFS($AR$8:$AR$507,"&lt;"&amp;$AR45)
  + COUNTIFS($AR$8:$AR$507,$AR45,$AT$8:$AT$507,"&lt;"&amp;$AT45)
  + COUNTIFS($AR$8:$AR$507,$AR45,$AT$8:$AT$507,$AT45,$AV$8:$AV$507,"&lt;"&amp;$AV45)
  + COUNTIFS($AR$8:$AR$507,$AR45,$AT$8:$AT$507,$AT45,$AV$8:$AV$507,$AV45,$AW$8:$AW$507,"&lt;"&amp;$AW45)
  + 1,
$AE45))</f>
        <v/>
      </c>
      <c r="AY45" s="63" t="str">
        <f aca="false">IF(ISBLANK(C45),"",IF($AE45=Constants!$B$7, AR45-AX45,$AE45))</f>
        <v/>
      </c>
      <c r="AZ45" s="67"/>
      <c r="BA45" s="81" t="str">
        <f aca="false">IF(ISBLANK($C45),"",TRIM(AI45&amp;" "&amp;AM45))</f>
        <v/>
      </c>
      <c r="BB45" s="69" t="str">
        <f aca="false">IF(ISBLANK($C45),"",IF($AE45&lt;&gt;Constants!$B$7, $AE45 ,AQ45))</f>
        <v/>
      </c>
      <c r="BC45" s="70" t="str">
        <f aca="false">IF(ISBLANK($C45),"",IF($AE45&lt;&gt;Constants!$B$7, $AE45 ,AF45))</f>
        <v/>
      </c>
      <c r="BD45" s="71" t="str">
        <f aca="false">IF(ISBLANK(C45),"",AY45)</f>
        <v/>
      </c>
      <c r="BE45" s="71" t="str">
        <f aca="false">IF(ISBLANK(C45),"",AX45)</f>
        <v/>
      </c>
      <c r="BF45" s="72" t="str">
        <f aca="false">IF(ISBLANK(C45),"",IFERROR(_xlfn.SWITCH(BE45, Constants!$B$4, COUNTA($C$8:$C544)+2, Constants!$B$5, COUNTA($C$8:$C544)+1, Constants!$B$6, COUNTA($C$8:$C544)),BE45))</f>
        <v/>
      </c>
      <c r="BG45" s="5"/>
      <c r="BH45" s="73" t="n">
        <f aca="false">IF(OR(ISNUMBER(BE45),BE45="DQ",BE45="P",BE45="NS"),
    1,
    0
)</f>
        <v>0</v>
      </c>
      <c r="BI45" s="73" t="n">
        <v>38</v>
      </c>
      <c r="BJ45" s="73" t="str">
        <f aca="false">IF(ISBLANK($C45),
    "",
   BF45+ROW($B45)/1000
)</f>
        <v/>
      </c>
      <c r="BK45" s="73" t="str">
        <f aca="false">IF(ISNUMBER(BJ45), RANK(BJ45,BJ$8:BJ$507,1), "")</f>
        <v/>
      </c>
      <c r="BL45" s="73" t="str">
        <f aca="false">IF(ISBLANK($C45),
    "",
    $B45
)</f>
        <v/>
      </c>
      <c r="BM45" s="73" t="str">
        <f aca="false">IF(ISBLANK($C45),
    "",
    $C45
)</f>
        <v/>
      </c>
      <c r="BN45" s="73" t="str">
        <f aca="false">IF(ISBLANK($C45),
    "",
    $D45
)</f>
        <v/>
      </c>
      <c r="BO45" s="74" t="str">
        <f aca="false">BC45</f>
        <v/>
      </c>
      <c r="BP45" s="75" t="str">
        <f aca="false">BB45</f>
        <v/>
      </c>
      <c r="BQ45" s="73" t="str">
        <f aca="false">IF(ISBLANK($C45),
    "",
    BE45
)</f>
        <v/>
      </c>
      <c r="BR45" s="76" t="str">
        <f aca="false">IF(BI45&gt;BH$7,
    "",
    VLOOKUP(BI45,BK$8:BQ544,7,FALSE())
)</f>
        <v/>
      </c>
      <c r="BS45" s="77" t="str">
        <f aca="false">IF(BI45&gt;BH$7,
    "",
    VLOOKUP(BI45,BK$8:BQ544,2,FALSE())
)</f>
        <v/>
      </c>
      <c r="BT45" s="77" t="str">
        <f aca="false">IF(BI45&gt;BH$7,
    "",
    VLOOKUP(BI45,BK$8:BQ544,3,FALSE())
)</f>
        <v/>
      </c>
      <c r="BU45" s="77" t="str">
        <f aca="false">IF(BI45&gt;BH$7,
    "",
    VLOOKUP(BI45,BK$8:BQ544,4,FALSE())
)</f>
        <v/>
      </c>
      <c r="BV45" s="77" t="str">
        <f aca="false">IF(BI45&gt;BH$7,
    "",
    VLOOKUP(BI45,BK$8:BQ544,5,FALSE())
)</f>
        <v/>
      </c>
      <c r="BW45" s="78" t="str">
        <f aca="false">IF(BI45&gt;BH$7,
    "",
    VLOOKUP(BI45,BK$8:BQ544,6,FALSE())
)</f>
        <v/>
      </c>
      <c r="BX45" s="50"/>
    </row>
    <row r="46" customFormat="false" ht="15.75" hidden="false" customHeight="false" outlineLevel="0" collapsed="false">
      <c r="A46" s="5"/>
      <c r="B46" s="126"/>
      <c r="C46" s="52"/>
      <c r="D46" s="53"/>
      <c r="E46" s="120"/>
      <c r="F46" s="120"/>
      <c r="G46" s="55"/>
      <c r="H46" s="56"/>
      <c r="I46" s="80"/>
      <c r="J46" s="80"/>
      <c r="K46" s="80"/>
      <c r="L46" s="58"/>
      <c r="M46" s="58"/>
      <c r="N46" s="58"/>
      <c r="O46" s="59"/>
      <c r="P46" s="60"/>
      <c r="Q46" s="80"/>
      <c r="R46" s="62"/>
      <c r="S46" s="63"/>
      <c r="T46" s="63" t="str">
        <f aca="false">IF(ISBLANK($C46),"",IF(G46=Constants!$B$2, TRUE(), IF(G46=Constants!$B$3, FALSE(), TRUE())))</f>
        <v/>
      </c>
      <c r="U46" s="63" t="str">
        <f aca="false">IF(ISBLANK($C46),"",IF(H46=Constants!$B$2, TRUE(), IF(H46=Constants!$B$3, FALSE(), TRUE())))</f>
        <v/>
      </c>
      <c r="V46" s="63" t="str">
        <f aca="false">IF(ISBLANK($C46),"",IF(I46=Constants!$B$2, TRUE(), IF(I46=Constants!$B$3, FALSE(), TRUE())))</f>
        <v/>
      </c>
      <c r="W46" s="63" t="str">
        <f aca="false">IF(ISBLANK($C46),"",IF(J46=Constants!$B$2, TRUE(), IF(J46=Constants!$B$3, FALSE(), TRUE())))</f>
        <v/>
      </c>
      <c r="X46" s="63" t="str">
        <f aca="false">IF(ISBLANK($C46),"",IF(K46=Constants!$B$2, TRUE(), IF(K46=Constants!$B$3, FALSE(), TRUE())))</f>
        <v/>
      </c>
      <c r="Y46" s="65" t="str">
        <f aca="false">IF(ISBLANK($C46),"",IF(ISNUMBER(L46), L46, ""))</f>
        <v/>
      </c>
      <c r="Z46" s="65" t="str">
        <f aca="false">IF(ISBLANK($C46),"",IF(ISNUMBER(M46), M46, ""))</f>
        <v/>
      </c>
      <c r="AA46" s="65" t="str">
        <f aca="false">IF(ISBLANK($C46),"",IF(ISNUMBER(N46), N46, ""))</f>
        <v/>
      </c>
      <c r="AB46" s="66" t="str">
        <f aca="false">IF(ISBLANK($C46),"",IF(ISNUMBER(O46), O46, ""))</f>
        <v/>
      </c>
      <c r="AC46" s="66" t="str">
        <f aca="false">IF(ISBLANK($C46),"",IF(ISNUMBER(P46), P46, Constants!$B$13))</f>
        <v/>
      </c>
      <c r="AD46" s="63" t="str">
        <f aca="false">IF(ISBLANK($C46),"",IF(Q46=Constants!$B$2, TRUE(), IF(Q46=Constants!$B$3, FALSE(), FALSE())))</f>
        <v/>
      </c>
      <c r="AE46" s="63" t="str">
        <f aca="false">IF(ISBLANK(C46), "", IF(AD46, Constants!$B$4,IF(COUNTA(G46:O46)=0, Constants!$B$5, Constants!$B$7)))</f>
        <v/>
      </c>
      <c r="AF46" s="63" t="str">
        <f aca="false">IF(ISBLANK($C46), "",IF($AE46=Constants!$B$7,1,$AE46))</f>
        <v/>
      </c>
      <c r="AG46" s="63" t="str">
        <f aca="false">IF($AE46=Constants!$B$7,IF(V46, 1, Constants!$B$11) * IF(X46, 1, Constants!$B$12),"")</f>
        <v/>
      </c>
      <c r="AH46" s="63" t="str">
        <f aca="false">IF(AND($AE46=Constants!$B$7, T46, U46) ,MAX(0, $AA46-$Y46),"")</f>
        <v/>
      </c>
      <c r="AI46" s="63" t="str">
        <f aca="false">IF(ISERROR(AH46),$AI$6,"")</f>
        <v/>
      </c>
      <c r="AJ46" s="63" t="str">
        <f aca="false">IF($AE46=Constants!$B$7,IF(AND(T46,U46,W46),IF($AH$6=0,Constants!$B$9,Constants!$B$9*AH46/$AH$6), 0),"")</f>
        <v/>
      </c>
      <c r="AK46" s="63" t="str">
        <f aca="false">IF(AJ46&lt;&gt;"", AJ46*AG46,"")</f>
        <v/>
      </c>
      <c r="AL46" s="63" t="str">
        <f aca="false">IF(AND($AE46=Constants!$B$7, T46, U46) ,IF($Z46="", "", MAX(0,1-ABS($AA46-$Z46)/$AA46)),"")</f>
        <v/>
      </c>
      <c r="AM46" s="63" t="str">
        <f aca="false">IF(AND(NOT(ISERROR(AH46)),ISERROR(AL46)),$AM$6,"")</f>
        <v/>
      </c>
      <c r="AN46" s="63" t="str">
        <f aca="false">IF($AE46=Constants!$B$7 ,IF(AND(T46,U46,W46,ISNUMBER(Z46)),IF($AL$6=0,Constants!$B$10,Constants!$B$10*AL46/$AL$6), 0),"")</f>
        <v/>
      </c>
      <c r="AO46" s="63" t="str">
        <f aca="false">IF(AN46&lt;&gt;"", AN46*AG46,"")</f>
        <v/>
      </c>
      <c r="AP46" s="63" t="str">
        <f aca="false">IF($AE46=Constants!$B$7,IF($AP$6=0,Constants!$B$8,Constants!$B$8*AB46/$AP$6),"")</f>
        <v/>
      </c>
      <c r="AQ46" s="63" t="str">
        <f aca="false">IF($AE46&lt;&gt;Constants!$B$7,$AE46,AK46+AO46+AP46)</f>
        <v/>
      </c>
      <c r="AR46" s="63" t="str">
        <f aca="false">IF(ISBLANK($C46),"",IF($AE46=Constants!$B$7,RANK(AQ46,$AQ$8:$AQ$507),$AE46))</f>
        <v/>
      </c>
      <c r="AS46" s="63" t="str">
        <f aca="false">IF(ISBLANK($C46), "",AK46)</f>
        <v/>
      </c>
      <c r="AT46" s="63" t="str">
        <f aca="false">IF(ISBLANK($C46),"",IF($AE46=Constants!$B$7,RANK(AS46,AS$8:AS$507),$AE46))</f>
        <v/>
      </c>
      <c r="AU46" s="63" t="str">
        <f aca="false">IF(ISBLANK($C46), "",AP46)</f>
        <v/>
      </c>
      <c r="AV46" s="63" t="str">
        <f aca="false">IF(ISBLANK($C46),"",IF($AE46=Constants!$B$7,RANK(AU46,AU$8:AU$507),$AE46))</f>
        <v/>
      </c>
      <c r="AW46" s="63" t="str">
        <f aca="false">IF(ISBLANK($C46), "",AC46)</f>
        <v/>
      </c>
      <c r="AX46" s="63" t="str">
        <f aca="false">IF(ISBLANK($C46),"",
IF($AE46=Constants!$B$7,
  COUNTIFS($AR$8:$AR$507,"&lt;"&amp;$AR46)
  + COUNTIFS($AR$8:$AR$507,$AR46,$AT$8:$AT$507,"&lt;"&amp;$AT46)
  + COUNTIFS($AR$8:$AR$507,$AR46,$AT$8:$AT$507,$AT46,$AV$8:$AV$507,"&lt;"&amp;$AV46)
  + COUNTIFS($AR$8:$AR$507,$AR46,$AT$8:$AT$507,$AT46,$AV$8:$AV$507,$AV46,$AW$8:$AW$507,"&lt;"&amp;$AW46)
  + 1,
$AE46))</f>
        <v/>
      </c>
      <c r="AY46" s="63" t="str">
        <f aca="false">IF(ISBLANK(C46),"",IF($AE46=Constants!$B$7, AR46-AX46,$AE46))</f>
        <v/>
      </c>
      <c r="AZ46" s="67"/>
      <c r="BA46" s="81" t="str">
        <f aca="false">IF(ISBLANK($C46),"",TRIM(AI46&amp;" "&amp;AM46))</f>
        <v/>
      </c>
      <c r="BB46" s="69" t="str">
        <f aca="false">IF(ISBLANK($C46),"",IF($AE46&lt;&gt;Constants!$B$7, $AE46 ,AQ46))</f>
        <v/>
      </c>
      <c r="BC46" s="70" t="str">
        <f aca="false">IF(ISBLANK($C46),"",IF($AE46&lt;&gt;Constants!$B$7, $AE46 ,AF46))</f>
        <v/>
      </c>
      <c r="BD46" s="71" t="str">
        <f aca="false">IF(ISBLANK(C46),"",AY46)</f>
        <v/>
      </c>
      <c r="BE46" s="71" t="str">
        <f aca="false">IF(ISBLANK(C46),"",AX46)</f>
        <v/>
      </c>
      <c r="BF46" s="72" t="str">
        <f aca="false">IF(ISBLANK(C46),"",IFERROR(_xlfn.SWITCH(BE46, Constants!$B$4, COUNTA($C$8:$C545)+2, Constants!$B$5, COUNTA($C$8:$C545)+1, Constants!$B$6, COUNTA($C$8:$C545)),BE46))</f>
        <v/>
      </c>
      <c r="BG46" s="5"/>
      <c r="BH46" s="73" t="n">
        <f aca="false">IF(OR(ISNUMBER(BE46),BE46="DQ",BE46="P",BE46="NS"),
    1,
    0
)</f>
        <v>0</v>
      </c>
      <c r="BI46" s="73" t="n">
        <v>39</v>
      </c>
      <c r="BJ46" s="73" t="str">
        <f aca="false">IF(ISBLANK($C46),
    "",
   BF46+ROW($B46)/1000
)</f>
        <v/>
      </c>
      <c r="BK46" s="73" t="str">
        <f aca="false">IF(ISNUMBER(BJ46), RANK(BJ46,BJ$8:BJ$507,1), "")</f>
        <v/>
      </c>
      <c r="BL46" s="73" t="str">
        <f aca="false">IF(ISBLANK($C46),
    "",
    $B46
)</f>
        <v/>
      </c>
      <c r="BM46" s="73" t="str">
        <f aca="false">IF(ISBLANK($C46),
    "",
    $C46
)</f>
        <v/>
      </c>
      <c r="BN46" s="73" t="str">
        <f aca="false">IF(ISBLANK($C46),
    "",
    $D46
)</f>
        <v/>
      </c>
      <c r="BO46" s="74" t="str">
        <f aca="false">BC46</f>
        <v/>
      </c>
      <c r="BP46" s="75" t="str">
        <f aca="false">BB46</f>
        <v/>
      </c>
      <c r="BQ46" s="73" t="str">
        <f aca="false">IF(ISBLANK($C46),
    "",
    BE46
)</f>
        <v/>
      </c>
      <c r="BR46" s="76" t="str">
        <f aca="false">IF(BI46&gt;BH$7,
    "",
    VLOOKUP(BI46,BK$8:BQ545,7,FALSE())
)</f>
        <v/>
      </c>
      <c r="BS46" s="77" t="str">
        <f aca="false">IF(BI46&gt;BH$7,
    "",
    VLOOKUP(BI46,BK$8:BQ545,2,FALSE())
)</f>
        <v/>
      </c>
      <c r="BT46" s="77" t="str">
        <f aca="false">IF(BI46&gt;BH$7,
    "",
    VLOOKUP(BI46,BK$8:BQ545,3,FALSE())
)</f>
        <v/>
      </c>
      <c r="BU46" s="77" t="str">
        <f aca="false">IF(BI46&gt;BH$7,
    "",
    VLOOKUP(BI46,BK$8:BQ545,4,FALSE())
)</f>
        <v/>
      </c>
      <c r="BV46" s="77" t="str">
        <f aca="false">IF(BI46&gt;BH$7,
    "",
    VLOOKUP(BI46,BK$8:BQ545,5,FALSE())
)</f>
        <v/>
      </c>
      <c r="BW46" s="78" t="str">
        <f aca="false">IF(BI46&gt;BH$7,
    "",
    VLOOKUP(BI46,BK$8:BQ545,6,FALSE())
)</f>
        <v/>
      </c>
      <c r="BX46" s="50"/>
    </row>
    <row r="47" customFormat="false" ht="15.75" hidden="false" customHeight="false" outlineLevel="0" collapsed="false">
      <c r="A47" s="5"/>
      <c r="B47" s="122"/>
      <c r="C47" s="123"/>
      <c r="D47" s="112"/>
      <c r="E47" s="116"/>
      <c r="F47" s="116"/>
      <c r="G47" s="88"/>
      <c r="H47" s="89"/>
      <c r="I47" s="125"/>
      <c r="J47" s="125"/>
      <c r="K47" s="125"/>
      <c r="L47" s="91"/>
      <c r="M47" s="91"/>
      <c r="N47" s="91"/>
      <c r="O47" s="92"/>
      <c r="P47" s="93"/>
      <c r="Q47" s="125"/>
      <c r="R47" s="95"/>
      <c r="S47" s="96"/>
      <c r="T47" s="96" t="str">
        <f aca="false">IF(ISBLANK($C47),"",IF(G47=Constants!$B$2, TRUE(), IF(G47=Constants!$B$3, FALSE(), TRUE())))</f>
        <v/>
      </c>
      <c r="U47" s="96" t="str">
        <f aca="false">IF(ISBLANK($C47),"",IF(H47=Constants!$B$2, TRUE(), IF(H47=Constants!$B$3, FALSE(), TRUE())))</f>
        <v/>
      </c>
      <c r="V47" s="96" t="str">
        <f aca="false">IF(ISBLANK($C47),"",IF(I47=Constants!$B$2, TRUE(), IF(I47=Constants!$B$3, FALSE(), TRUE())))</f>
        <v/>
      </c>
      <c r="W47" s="96" t="str">
        <f aca="false">IF(ISBLANK($C47),"",IF(J47=Constants!$B$2, TRUE(), IF(J47=Constants!$B$3, FALSE(), TRUE())))</f>
        <v/>
      </c>
      <c r="X47" s="97" t="str">
        <f aca="false">IF(ISBLANK($C47),"",IF(K47=Constants!$B$2, TRUE(), IF(K47=Constants!$B$3, FALSE(), TRUE())))</f>
        <v/>
      </c>
      <c r="Y47" s="98" t="str">
        <f aca="false">IF(ISBLANK($C47),"",IF(ISNUMBER(L47), L47, ""))</f>
        <v/>
      </c>
      <c r="Z47" s="98" t="str">
        <f aca="false">IF(ISBLANK($C47),"",IF(ISNUMBER(M47), M47, ""))</f>
        <v/>
      </c>
      <c r="AA47" s="98" t="str">
        <f aca="false">IF(ISBLANK($C47),"",IF(ISNUMBER(N47), N47, ""))</f>
        <v/>
      </c>
      <c r="AB47" s="99" t="str">
        <f aca="false">IF(ISBLANK($C47),"",IF(ISNUMBER(O47), O47, ""))</f>
        <v/>
      </c>
      <c r="AC47" s="99" t="str">
        <f aca="false">IF(ISBLANK($C47),"",IF(ISNUMBER(P47), P47, Constants!$B$13))</f>
        <v/>
      </c>
      <c r="AD47" s="96" t="str">
        <f aca="false">IF(ISBLANK($C47),"",IF(Q47=Constants!$B$2, TRUE(), IF(Q47=Constants!$B$3, FALSE(), FALSE())))</f>
        <v/>
      </c>
      <c r="AE47" s="96" t="str">
        <f aca="false">IF(ISBLANK(C47), "", IF(AD47, Constants!$B$4,IF(COUNTA(G47:O47)=0, Constants!$B$5, Constants!$B$7)))</f>
        <v/>
      </c>
      <c r="AF47" s="96" t="str">
        <f aca="false">IF(ISBLANK($C47), "",IF($AE47=Constants!$B$7,1,$AE47))</f>
        <v/>
      </c>
      <c r="AG47" s="96" t="str">
        <f aca="false">IF($AE47=Constants!$B$7,IF(V47, 1, Constants!$B$11) * IF(X47, 1, Constants!$B$12),"")</f>
        <v/>
      </c>
      <c r="AH47" s="96" t="str">
        <f aca="false">IF(AND($AE47=Constants!$B$7, T47, U47) ,MAX(0, $AA47-$Y47),"")</f>
        <v/>
      </c>
      <c r="AI47" s="96" t="str">
        <f aca="false">IF(ISERROR(AH47),$AI$6,"")</f>
        <v/>
      </c>
      <c r="AJ47" s="96" t="str">
        <f aca="false">IF($AE47=Constants!$B$7,IF(AND(T47,U47,W47),IF($AH$6=0,Constants!$B$9,Constants!$B$9*AH47/$AH$6), 0),"")</f>
        <v/>
      </c>
      <c r="AK47" s="96" t="str">
        <f aca="false">IF(AJ47&lt;&gt;"", AJ47*AG47,"")</f>
        <v/>
      </c>
      <c r="AL47" s="96" t="str">
        <f aca="false">IF(AND($AE47=Constants!$B$7, T47, U47) ,IF($Z47="", "", MAX(0,1-ABS($AA47-$Z47)/$AA47)),"")</f>
        <v/>
      </c>
      <c r="AM47" s="96" t="str">
        <f aca="false">IF(AND(NOT(ISERROR(AH47)),ISERROR(AL47)),$AM$6,"")</f>
        <v/>
      </c>
      <c r="AN47" s="96" t="str">
        <f aca="false">IF($AE47=Constants!$B$7 ,IF(AND(T47,U47,W47,ISNUMBER(Z47)),IF($AL$6=0,Constants!$B$10,Constants!$B$10*AL47/$AL$6), 0),"")</f>
        <v/>
      </c>
      <c r="AO47" s="96" t="str">
        <f aca="false">IF(AN47&lt;&gt;"", AN47*AG47,"")</f>
        <v/>
      </c>
      <c r="AP47" s="96" t="str">
        <f aca="false">IF($AE47=Constants!$B$7,IF($AP$6=0,Constants!$B$8,Constants!$B$8*AB47/$AP$6),"")</f>
        <v/>
      </c>
      <c r="AQ47" s="96" t="str">
        <f aca="false">IF($AE47&lt;&gt;Constants!$B$7,$AE47,AK47+AO47+AP47)</f>
        <v/>
      </c>
      <c r="AR47" s="96" t="str">
        <f aca="false">IF(ISBLANK($C47),"",IF($AE47=Constants!$B$7,RANK(AQ47,$AQ$8:$AQ$507),$AE47))</f>
        <v/>
      </c>
      <c r="AS47" s="96" t="str">
        <f aca="false">IF(ISBLANK($C47), "",AK47)</f>
        <v/>
      </c>
      <c r="AT47" s="96" t="str">
        <f aca="false">IF(ISBLANK($C47),"",IF($AE47=Constants!$B$7,RANK(AS47,AS$8:AS$507),$AE47))</f>
        <v/>
      </c>
      <c r="AU47" s="96" t="str">
        <f aca="false">IF(ISBLANK($C47), "",AP47)</f>
        <v/>
      </c>
      <c r="AV47" s="96" t="str">
        <f aca="false">IF(ISBLANK($C47),"",IF($AE47=Constants!$B$7,RANK(AU47,AU$8:AU$507),$AE47))</f>
        <v/>
      </c>
      <c r="AW47" s="96" t="str">
        <f aca="false">IF(ISBLANK($C47), "",AC47)</f>
        <v/>
      </c>
      <c r="AX47" s="96" t="str">
        <f aca="false">IF(ISBLANK($C47),"",
IF($AE47=Constants!$B$7,
  COUNTIFS($AR$8:$AR$507,"&lt;"&amp;$AR47)
  + COUNTIFS($AR$8:$AR$507,$AR47,$AT$8:$AT$507,"&lt;"&amp;$AT47)
  + COUNTIFS($AR$8:$AR$507,$AR47,$AT$8:$AT$507,$AT47,$AV$8:$AV$507,"&lt;"&amp;$AV47)
  + COUNTIFS($AR$8:$AR$507,$AR47,$AT$8:$AT$507,$AT47,$AV$8:$AV$507,$AV47,$AW$8:$AW$507,"&lt;"&amp;$AW47)
  + 1,
$AE47))</f>
        <v/>
      </c>
      <c r="AY47" s="96" t="str">
        <f aca="false">IF(ISBLANK(C47),"",IF($AE47=Constants!$B$7, AR47-AX47,$AE47))</f>
        <v/>
      </c>
      <c r="AZ47" s="100"/>
      <c r="BA47" s="101" t="str">
        <f aca="false">IF(ISBLANK($C47),"",TRIM(AI47&amp;" "&amp;AM47))</f>
        <v/>
      </c>
      <c r="BB47" s="102" t="str">
        <f aca="false">IF(ISBLANK($C47),"",IF($AE47&lt;&gt;Constants!$B$7, $AE47 ,AQ47))</f>
        <v/>
      </c>
      <c r="BC47" s="103" t="str">
        <f aca="false">IF(ISBLANK($C47),"",IF($AE47&lt;&gt;Constants!$B$7, $AE47 ,AF47))</f>
        <v/>
      </c>
      <c r="BD47" s="104" t="str">
        <f aca="false">IF(ISBLANK(C47),"",AY47)</f>
        <v/>
      </c>
      <c r="BE47" s="104" t="str">
        <f aca="false">IF(ISBLANK(C47),"",AX47)</f>
        <v/>
      </c>
      <c r="BF47" s="105" t="str">
        <f aca="false">IF(ISBLANK(C47),"",IFERROR(_xlfn.SWITCH(BE47, Constants!$B$4, COUNTA($C$8:$C546)+2, Constants!$B$5, COUNTA($C$8:$C546)+1, Constants!$B$6, COUNTA($C$8:$C546)),BE47))</f>
        <v/>
      </c>
      <c r="BG47" s="5"/>
      <c r="BH47" s="106" t="n">
        <f aca="false">IF(OR(ISNUMBER(BE47),BE47="DQ",BE47="P",BE47="NS"),
    1,
    0
)</f>
        <v>0</v>
      </c>
      <c r="BI47" s="106" t="n">
        <v>40</v>
      </c>
      <c r="BJ47" s="106" t="str">
        <f aca="false">IF(ISBLANK($C47),
    "",
   BF47+ROW($B47)/1000
)</f>
        <v/>
      </c>
      <c r="BK47" s="106" t="str">
        <f aca="false">IF(ISNUMBER(BJ47), RANK(BJ47,BJ$8:BJ$507,1), "")</f>
        <v/>
      </c>
      <c r="BL47" s="106" t="str">
        <f aca="false">IF(ISBLANK($C47),
    "",
    $B47
)</f>
        <v/>
      </c>
      <c r="BM47" s="106" t="str">
        <f aca="false">IF(ISBLANK($C47),
    "",
    $C47
)</f>
        <v/>
      </c>
      <c r="BN47" s="106" t="str">
        <f aca="false">IF(ISBLANK($C47),
    "",
    $D47
)</f>
        <v/>
      </c>
      <c r="BO47" s="107" t="str">
        <f aca="false">BC47</f>
        <v/>
      </c>
      <c r="BP47" s="108" t="str">
        <f aca="false">BB47</f>
        <v/>
      </c>
      <c r="BQ47" s="106" t="str">
        <f aca="false">IF(ISBLANK($C47),
    "",
    BE47
)</f>
        <v/>
      </c>
      <c r="BR47" s="109" t="str">
        <f aca="false">IF(BI47&gt;BH$7,
    "",
    VLOOKUP(BI47,BK$8:BQ546,7,FALSE())
)</f>
        <v/>
      </c>
      <c r="BS47" s="110" t="str">
        <f aca="false">IF(BI47&gt;BH$7,
    "",
    VLOOKUP(BI47,BK$8:BQ546,2,FALSE())
)</f>
        <v/>
      </c>
      <c r="BT47" s="110" t="str">
        <f aca="false">IF(BI47&gt;BH$7,
    "",
    VLOOKUP(BI47,BK$8:BQ546,3,FALSE())
)</f>
        <v/>
      </c>
      <c r="BU47" s="110" t="str">
        <f aca="false">IF(BI47&gt;BH$7,
    "",
    VLOOKUP(BI47,BK$8:BQ546,4,FALSE())
)</f>
        <v/>
      </c>
      <c r="BV47" s="110" t="str">
        <f aca="false">IF(BI47&gt;BH$7,
    "",
    VLOOKUP(BI47,BK$8:BQ546,5,FALSE())
)</f>
        <v/>
      </c>
      <c r="BW47" s="111" t="str">
        <f aca="false">IF(BI47&gt;BH$7,
    "",
    VLOOKUP(BI47,BK$8:BQ546,6,FALSE())
)</f>
        <v/>
      </c>
      <c r="BX47" s="50"/>
    </row>
    <row r="48" customFormat="false" ht="15.75" hidden="false" customHeight="false" outlineLevel="0" collapsed="false">
      <c r="A48" s="5"/>
      <c r="B48" s="122"/>
      <c r="C48" s="123"/>
      <c r="D48" s="112"/>
      <c r="E48" s="116"/>
      <c r="F48" s="116"/>
      <c r="G48" s="88"/>
      <c r="H48" s="89"/>
      <c r="I48" s="125"/>
      <c r="J48" s="125"/>
      <c r="K48" s="125"/>
      <c r="L48" s="91"/>
      <c r="M48" s="91"/>
      <c r="N48" s="91"/>
      <c r="O48" s="92"/>
      <c r="P48" s="93"/>
      <c r="Q48" s="125"/>
      <c r="R48" s="95"/>
      <c r="S48" s="96"/>
      <c r="T48" s="96" t="str">
        <f aca="false">IF(ISBLANK($C48),"",IF(G48=Constants!$B$2, TRUE(), IF(G48=Constants!$B$3, FALSE(), TRUE())))</f>
        <v/>
      </c>
      <c r="U48" s="96" t="str">
        <f aca="false">IF(ISBLANK($C48),"",IF(H48=Constants!$B$2, TRUE(), IF(H48=Constants!$B$3, FALSE(), TRUE())))</f>
        <v/>
      </c>
      <c r="V48" s="96" t="str">
        <f aca="false">IF(ISBLANK($C48),"",IF(I48=Constants!$B$2, TRUE(), IF(I48=Constants!$B$3, FALSE(), TRUE())))</f>
        <v/>
      </c>
      <c r="W48" s="96" t="str">
        <f aca="false">IF(ISBLANK($C48),"",IF(J48=Constants!$B$2, TRUE(), IF(J48=Constants!$B$3, FALSE(), TRUE())))</f>
        <v/>
      </c>
      <c r="X48" s="97" t="str">
        <f aca="false">IF(ISBLANK($C48),"",IF(K48=Constants!$B$2, TRUE(), IF(K48=Constants!$B$3, FALSE(), TRUE())))</f>
        <v/>
      </c>
      <c r="Y48" s="98" t="str">
        <f aca="false">IF(ISBLANK($C48),"",IF(ISNUMBER(L48), L48, ""))</f>
        <v/>
      </c>
      <c r="Z48" s="98" t="str">
        <f aca="false">IF(ISBLANK($C48),"",IF(ISNUMBER(M48), M48, ""))</f>
        <v/>
      </c>
      <c r="AA48" s="98" t="str">
        <f aca="false">IF(ISBLANK($C48),"",IF(ISNUMBER(N48), N48, ""))</f>
        <v/>
      </c>
      <c r="AB48" s="99" t="str">
        <f aca="false">IF(ISBLANK($C48),"",IF(ISNUMBER(O48), O48, ""))</f>
        <v/>
      </c>
      <c r="AC48" s="99" t="str">
        <f aca="false">IF(ISBLANK($C48),"",IF(ISNUMBER(P48), P48, Constants!$B$13))</f>
        <v/>
      </c>
      <c r="AD48" s="96" t="str">
        <f aca="false">IF(ISBLANK($C48),"",IF(Q48=Constants!$B$2, TRUE(), IF(Q48=Constants!$B$3, FALSE(), FALSE())))</f>
        <v/>
      </c>
      <c r="AE48" s="96" t="str">
        <f aca="false">IF(ISBLANK(C48), "", IF(AD48, Constants!$B$4,IF(COUNTA(G48:O48)=0, Constants!$B$5, Constants!$B$7)))</f>
        <v/>
      </c>
      <c r="AF48" s="96" t="str">
        <f aca="false">IF(ISBLANK($C48), "",IF($AE48=Constants!$B$7,1,$AE48))</f>
        <v/>
      </c>
      <c r="AG48" s="96" t="str">
        <f aca="false">IF($AE48=Constants!$B$7,IF(V48, 1, Constants!$B$11) * IF(X48, 1, Constants!$B$12),"")</f>
        <v/>
      </c>
      <c r="AH48" s="96" t="str">
        <f aca="false">IF(AND($AE48=Constants!$B$7, T48, U48) ,MAX(0, $AA48-$Y48),"")</f>
        <v/>
      </c>
      <c r="AI48" s="96" t="str">
        <f aca="false">IF(ISERROR(AH48),$AI$6,"")</f>
        <v/>
      </c>
      <c r="AJ48" s="96" t="str">
        <f aca="false">IF($AE48=Constants!$B$7,IF(AND(T48,U48,W48),IF($AH$6=0,Constants!$B$9,Constants!$B$9*AH48/$AH$6), 0),"")</f>
        <v/>
      </c>
      <c r="AK48" s="96" t="str">
        <f aca="false">IF(AJ48&lt;&gt;"", AJ48*AG48,"")</f>
        <v/>
      </c>
      <c r="AL48" s="96" t="str">
        <f aca="false">IF(AND($AE48=Constants!$B$7, T48, U48) ,IF($Z48="", "", MAX(0,1-ABS($AA48-$Z48)/$AA48)),"")</f>
        <v/>
      </c>
      <c r="AM48" s="96" t="str">
        <f aca="false">IF(AND(NOT(ISERROR(AH48)),ISERROR(AL48)),$AM$6,"")</f>
        <v/>
      </c>
      <c r="AN48" s="96" t="str">
        <f aca="false">IF($AE48=Constants!$B$7 ,IF(AND(T48,U48,W48,ISNUMBER(Z48)),IF($AL$6=0,Constants!$B$10,Constants!$B$10*AL48/$AL$6), 0),"")</f>
        <v/>
      </c>
      <c r="AO48" s="96" t="str">
        <f aca="false">IF(AN48&lt;&gt;"", AN48*AG48,"")</f>
        <v/>
      </c>
      <c r="AP48" s="96" t="str">
        <f aca="false">IF($AE48=Constants!$B$7,IF($AP$6=0,Constants!$B$8,Constants!$B$8*AB48/$AP$6),"")</f>
        <v/>
      </c>
      <c r="AQ48" s="96" t="str">
        <f aca="false">IF($AE48&lt;&gt;Constants!$B$7,$AE48,AK48+AO48+AP48)</f>
        <v/>
      </c>
      <c r="AR48" s="96" t="str">
        <f aca="false">IF(ISBLANK($C48),"",IF($AE48=Constants!$B$7,RANK(AQ48,$AQ$8:$AQ$507),$AE48))</f>
        <v/>
      </c>
      <c r="AS48" s="96" t="str">
        <f aca="false">IF(ISBLANK($C48), "",AK48)</f>
        <v/>
      </c>
      <c r="AT48" s="96" t="str">
        <f aca="false">IF(ISBLANK($C48),"",IF($AE48=Constants!$B$7,RANK(AS48,AS$8:AS$507),$AE48))</f>
        <v/>
      </c>
      <c r="AU48" s="96" t="str">
        <f aca="false">IF(ISBLANK($C48), "",AP48)</f>
        <v/>
      </c>
      <c r="AV48" s="96" t="str">
        <f aca="false">IF(ISBLANK($C48),"",IF($AE48=Constants!$B$7,RANK(AU48,AU$8:AU$507),$AE48))</f>
        <v/>
      </c>
      <c r="AW48" s="96" t="str">
        <f aca="false">IF(ISBLANK($C48), "",AC48)</f>
        <v/>
      </c>
      <c r="AX48" s="96" t="str">
        <f aca="false">IF(ISBLANK($C48),"",
IF($AE48=Constants!$B$7,
  COUNTIFS($AR$8:$AR$507,"&lt;"&amp;$AR48)
  + COUNTIFS($AR$8:$AR$507,$AR48,$AT$8:$AT$507,"&lt;"&amp;$AT48)
  + COUNTIFS($AR$8:$AR$507,$AR48,$AT$8:$AT$507,$AT48,$AV$8:$AV$507,"&lt;"&amp;$AV48)
  + COUNTIFS($AR$8:$AR$507,$AR48,$AT$8:$AT$507,$AT48,$AV$8:$AV$507,$AV48,$AW$8:$AW$507,"&lt;"&amp;$AW48)
  + 1,
$AE48))</f>
        <v/>
      </c>
      <c r="AY48" s="96" t="str">
        <f aca="false">IF(ISBLANK(C48),"",IF($AE48=Constants!$B$7, AR48-AX48,$AE48))</f>
        <v/>
      </c>
      <c r="AZ48" s="100"/>
      <c r="BA48" s="101" t="str">
        <f aca="false">IF(ISBLANK($C48),"",TRIM(AI48&amp;" "&amp;AM48))</f>
        <v/>
      </c>
      <c r="BB48" s="102" t="str">
        <f aca="false">IF(ISBLANK($C48),"",IF($AE48&lt;&gt;Constants!$B$7, $AE48 ,AQ48))</f>
        <v/>
      </c>
      <c r="BC48" s="103" t="str">
        <f aca="false">IF(ISBLANK($C48),"",IF($AE48&lt;&gt;Constants!$B$7, $AE48 ,AF48))</f>
        <v/>
      </c>
      <c r="BD48" s="104" t="str">
        <f aca="false">IF(ISBLANK(C48),"",AY48)</f>
        <v/>
      </c>
      <c r="BE48" s="104" t="str">
        <f aca="false">IF(ISBLANK(C48),"",AX48)</f>
        <v/>
      </c>
      <c r="BF48" s="105" t="str">
        <f aca="false">IF(ISBLANK(C48),"",IFERROR(_xlfn.SWITCH(BE48, Constants!$B$4, COUNTA($C$8:$C547)+2, Constants!$B$5, COUNTA($C$8:$C547)+1, Constants!$B$6, COUNTA($C$8:$C547)),BE48))</f>
        <v/>
      </c>
      <c r="BG48" s="5"/>
      <c r="BH48" s="106" t="n">
        <f aca="false">IF(OR(ISNUMBER(BE48),BE48="DQ",BE48="P",BE48="NS"),
    1,
    0
)</f>
        <v>0</v>
      </c>
      <c r="BI48" s="106" t="n">
        <v>41</v>
      </c>
      <c r="BJ48" s="106" t="str">
        <f aca="false">IF(ISBLANK($C48),
    "",
   BF48+ROW($B48)/1000
)</f>
        <v/>
      </c>
      <c r="BK48" s="106" t="str">
        <f aca="false">IF(ISNUMBER(BJ48), RANK(BJ48,BJ$8:BJ$507,1), "")</f>
        <v/>
      </c>
      <c r="BL48" s="106" t="str">
        <f aca="false">IF(ISBLANK($C48),
    "",
    $B48
)</f>
        <v/>
      </c>
      <c r="BM48" s="106" t="str">
        <f aca="false">IF(ISBLANK($C48),
    "",
    $C48
)</f>
        <v/>
      </c>
      <c r="BN48" s="106" t="str">
        <f aca="false">IF(ISBLANK($C48),
    "",
    $D48
)</f>
        <v/>
      </c>
      <c r="BO48" s="107" t="str">
        <f aca="false">BC48</f>
        <v/>
      </c>
      <c r="BP48" s="108" t="str">
        <f aca="false">BB48</f>
        <v/>
      </c>
      <c r="BQ48" s="106" t="str">
        <f aca="false">IF(ISBLANK($C48),
    "",
    BE48
)</f>
        <v/>
      </c>
      <c r="BR48" s="109" t="str">
        <f aca="false">IF(BI48&gt;BH$7,
    "",
    VLOOKUP(BI48,BK$8:BQ547,7,FALSE())
)</f>
        <v/>
      </c>
      <c r="BS48" s="110" t="str">
        <f aca="false">IF(BI48&gt;BH$7,
    "",
    VLOOKUP(BI48,BK$8:BQ547,2,FALSE())
)</f>
        <v/>
      </c>
      <c r="BT48" s="110" t="str">
        <f aca="false">IF(BI48&gt;BH$7,
    "",
    VLOOKUP(BI48,BK$8:BQ547,3,FALSE())
)</f>
        <v/>
      </c>
      <c r="BU48" s="110" t="str">
        <f aca="false">IF(BI48&gt;BH$7,
    "",
    VLOOKUP(BI48,BK$8:BQ547,4,FALSE())
)</f>
        <v/>
      </c>
      <c r="BV48" s="110" t="str">
        <f aca="false">IF(BI48&gt;BH$7,
    "",
    VLOOKUP(BI48,BK$8:BQ547,5,FALSE())
)</f>
        <v/>
      </c>
      <c r="BW48" s="111" t="str">
        <f aca="false">IF(BI48&gt;BH$7,
    "",
    VLOOKUP(BI48,BK$8:BQ547,6,FALSE())
)</f>
        <v/>
      </c>
      <c r="BX48" s="50"/>
    </row>
    <row r="49" customFormat="false" ht="15.75" hidden="false" customHeight="false" outlineLevel="0" collapsed="false">
      <c r="A49" s="5"/>
      <c r="B49" s="122"/>
      <c r="C49" s="123"/>
      <c r="D49" s="112"/>
      <c r="E49" s="116"/>
      <c r="F49" s="116"/>
      <c r="G49" s="88"/>
      <c r="H49" s="89"/>
      <c r="I49" s="125"/>
      <c r="J49" s="125"/>
      <c r="K49" s="125"/>
      <c r="L49" s="91"/>
      <c r="M49" s="91"/>
      <c r="N49" s="91"/>
      <c r="O49" s="92"/>
      <c r="P49" s="93"/>
      <c r="Q49" s="125"/>
      <c r="R49" s="95"/>
      <c r="S49" s="96"/>
      <c r="T49" s="96" t="str">
        <f aca="false">IF(ISBLANK($C49),"",IF(G49=Constants!$B$2, TRUE(), IF(G49=Constants!$B$3, FALSE(), TRUE())))</f>
        <v/>
      </c>
      <c r="U49" s="96" t="str">
        <f aca="false">IF(ISBLANK($C49),"",IF(H49=Constants!$B$2, TRUE(), IF(H49=Constants!$B$3, FALSE(), TRUE())))</f>
        <v/>
      </c>
      <c r="V49" s="96" t="str">
        <f aca="false">IF(ISBLANK($C49),"",IF(I49=Constants!$B$2, TRUE(), IF(I49=Constants!$B$3, FALSE(), TRUE())))</f>
        <v/>
      </c>
      <c r="W49" s="96" t="str">
        <f aca="false">IF(ISBLANK($C49),"",IF(J49=Constants!$B$2, TRUE(), IF(J49=Constants!$B$3, FALSE(), TRUE())))</f>
        <v/>
      </c>
      <c r="X49" s="97" t="str">
        <f aca="false">IF(ISBLANK($C49),"",IF(K49=Constants!$B$2, TRUE(), IF(K49=Constants!$B$3, FALSE(), TRUE())))</f>
        <v/>
      </c>
      <c r="Y49" s="98" t="str">
        <f aca="false">IF(ISBLANK($C49),"",IF(ISNUMBER(L49), L49, ""))</f>
        <v/>
      </c>
      <c r="Z49" s="98" t="str">
        <f aca="false">IF(ISBLANK($C49),"",IF(ISNUMBER(M49), M49, ""))</f>
        <v/>
      </c>
      <c r="AA49" s="98" t="str">
        <f aca="false">IF(ISBLANK($C49),"",IF(ISNUMBER(N49), N49, ""))</f>
        <v/>
      </c>
      <c r="AB49" s="99" t="str">
        <f aca="false">IF(ISBLANK($C49),"",IF(ISNUMBER(O49), O49, ""))</f>
        <v/>
      </c>
      <c r="AC49" s="99" t="str">
        <f aca="false">IF(ISBLANK($C49),"",IF(ISNUMBER(P49), P49, Constants!$B$13))</f>
        <v/>
      </c>
      <c r="AD49" s="96" t="str">
        <f aca="false">IF(ISBLANK($C49),"",IF(Q49=Constants!$B$2, TRUE(), IF(Q49=Constants!$B$3, FALSE(), FALSE())))</f>
        <v/>
      </c>
      <c r="AE49" s="96" t="str">
        <f aca="false">IF(ISBLANK(C49), "", IF(AD49, Constants!$B$4,IF(COUNTA(G49:O49)=0, Constants!$B$5, Constants!$B$7)))</f>
        <v/>
      </c>
      <c r="AF49" s="96" t="str">
        <f aca="false">IF(ISBLANK($C49), "",IF($AE49=Constants!$B$7,1,$AE49))</f>
        <v/>
      </c>
      <c r="AG49" s="96" t="str">
        <f aca="false">IF($AE49=Constants!$B$7,IF(V49, 1, Constants!$B$11) * IF(X49, 1, Constants!$B$12),"")</f>
        <v/>
      </c>
      <c r="AH49" s="96" t="str">
        <f aca="false">IF(AND($AE49=Constants!$B$7, T49, U49) ,MAX(0, $AA49-$Y49),"")</f>
        <v/>
      </c>
      <c r="AI49" s="96" t="str">
        <f aca="false">IF(ISERROR(AH49),$AI$6,"")</f>
        <v/>
      </c>
      <c r="AJ49" s="96" t="str">
        <f aca="false">IF($AE49=Constants!$B$7,IF(AND(T49,U49,W49),IF($AH$6=0,Constants!$B$9,Constants!$B$9*AH49/$AH$6), 0),"")</f>
        <v/>
      </c>
      <c r="AK49" s="96" t="str">
        <f aca="false">IF(AJ49&lt;&gt;"", AJ49*AG49,"")</f>
        <v/>
      </c>
      <c r="AL49" s="96" t="str">
        <f aca="false">IF(AND($AE49=Constants!$B$7, T49, U49) ,IF($Z49="", "", MAX(0,1-ABS($AA49-$Z49)/$AA49)),"")</f>
        <v/>
      </c>
      <c r="AM49" s="96" t="str">
        <f aca="false">IF(AND(NOT(ISERROR(AH49)),ISERROR(AL49)),$AM$6,"")</f>
        <v/>
      </c>
      <c r="AN49" s="96" t="str">
        <f aca="false">IF($AE49=Constants!$B$7 ,IF(AND(T49,U49,W49,ISNUMBER(Z49)),IF($AL$6=0,Constants!$B$10,Constants!$B$10*AL49/$AL$6), 0),"")</f>
        <v/>
      </c>
      <c r="AO49" s="96" t="str">
        <f aca="false">IF(AN49&lt;&gt;"", AN49*AG49,"")</f>
        <v/>
      </c>
      <c r="AP49" s="96" t="str">
        <f aca="false">IF($AE49=Constants!$B$7,IF($AP$6=0,Constants!$B$8,Constants!$B$8*AB49/$AP$6),"")</f>
        <v/>
      </c>
      <c r="AQ49" s="96" t="str">
        <f aca="false">IF($AE49&lt;&gt;Constants!$B$7,$AE49,AK49+AO49+AP49)</f>
        <v/>
      </c>
      <c r="AR49" s="96" t="str">
        <f aca="false">IF(ISBLANK($C49),"",IF($AE49=Constants!$B$7,RANK(AQ49,$AQ$8:$AQ$507),$AE49))</f>
        <v/>
      </c>
      <c r="AS49" s="96" t="str">
        <f aca="false">IF(ISBLANK($C49), "",AK49)</f>
        <v/>
      </c>
      <c r="AT49" s="96" t="str">
        <f aca="false">IF(ISBLANK($C49),"",IF($AE49=Constants!$B$7,RANK(AS49,AS$8:AS$507),$AE49))</f>
        <v/>
      </c>
      <c r="AU49" s="96" t="str">
        <f aca="false">IF(ISBLANK($C49), "",AP49)</f>
        <v/>
      </c>
      <c r="AV49" s="96" t="str">
        <f aca="false">IF(ISBLANK($C49),"",IF($AE49=Constants!$B$7,RANK(AU49,AU$8:AU$507),$AE49))</f>
        <v/>
      </c>
      <c r="AW49" s="96" t="str">
        <f aca="false">IF(ISBLANK($C49), "",AC49)</f>
        <v/>
      </c>
      <c r="AX49" s="96" t="str">
        <f aca="false">IF(ISBLANK($C49),"",
IF($AE49=Constants!$B$7,
  COUNTIFS($AR$8:$AR$507,"&lt;"&amp;$AR49)
  + COUNTIFS($AR$8:$AR$507,$AR49,$AT$8:$AT$507,"&lt;"&amp;$AT49)
  + COUNTIFS($AR$8:$AR$507,$AR49,$AT$8:$AT$507,$AT49,$AV$8:$AV$507,"&lt;"&amp;$AV49)
  + COUNTIFS($AR$8:$AR$507,$AR49,$AT$8:$AT$507,$AT49,$AV$8:$AV$507,$AV49,$AW$8:$AW$507,"&lt;"&amp;$AW49)
  + 1,
$AE49))</f>
        <v/>
      </c>
      <c r="AY49" s="96" t="str">
        <f aca="false">IF(ISBLANK(C49),"",IF($AE49=Constants!$B$7, AR49-AX49,$AE49))</f>
        <v/>
      </c>
      <c r="AZ49" s="100"/>
      <c r="BA49" s="101" t="str">
        <f aca="false">IF(ISBLANK($C49),"",TRIM(AI49&amp;" "&amp;AM49))</f>
        <v/>
      </c>
      <c r="BB49" s="102" t="str">
        <f aca="false">IF(ISBLANK($C49),"",IF($AE49&lt;&gt;Constants!$B$7, $AE49 ,AQ49))</f>
        <v/>
      </c>
      <c r="BC49" s="103" t="str">
        <f aca="false">IF(ISBLANK($C49),"",IF($AE49&lt;&gt;Constants!$B$7, $AE49 ,AF49))</f>
        <v/>
      </c>
      <c r="BD49" s="104" t="str">
        <f aca="false">IF(ISBLANK(C49),"",AY49)</f>
        <v/>
      </c>
      <c r="BE49" s="104" t="str">
        <f aca="false">IF(ISBLANK(C49),"",AX49)</f>
        <v/>
      </c>
      <c r="BF49" s="105" t="str">
        <f aca="false">IF(ISBLANK(C49),"",IFERROR(_xlfn.SWITCH(BE49, Constants!$B$4, COUNTA($C$8:$C548)+2, Constants!$B$5, COUNTA($C$8:$C548)+1, Constants!$B$6, COUNTA($C$8:$C548)),BE49))</f>
        <v/>
      </c>
      <c r="BG49" s="5"/>
      <c r="BH49" s="106" t="n">
        <f aca="false">IF(OR(ISNUMBER(BE49),BE49="DQ",BE49="P",BE49="NS"),
    1,
    0
)</f>
        <v>0</v>
      </c>
      <c r="BI49" s="106" t="n">
        <v>42</v>
      </c>
      <c r="BJ49" s="106" t="str">
        <f aca="false">IF(ISBLANK($C49),
    "",
   BF49+ROW($B49)/1000
)</f>
        <v/>
      </c>
      <c r="BK49" s="106" t="str">
        <f aca="false">IF(ISNUMBER(BJ49), RANK(BJ49,BJ$8:BJ$507,1), "")</f>
        <v/>
      </c>
      <c r="BL49" s="106" t="str">
        <f aca="false">IF(ISBLANK($C49),
    "",
    $B49
)</f>
        <v/>
      </c>
      <c r="BM49" s="106" t="str">
        <f aca="false">IF(ISBLANK($C49),
    "",
    $C49
)</f>
        <v/>
      </c>
      <c r="BN49" s="106" t="str">
        <f aca="false">IF(ISBLANK($C49),
    "",
    $D49
)</f>
        <v/>
      </c>
      <c r="BO49" s="107" t="str">
        <f aca="false">BC49</f>
        <v/>
      </c>
      <c r="BP49" s="108" t="str">
        <f aca="false">BB49</f>
        <v/>
      </c>
      <c r="BQ49" s="106" t="str">
        <f aca="false">IF(ISBLANK($C49),
    "",
    BE49
)</f>
        <v/>
      </c>
      <c r="BR49" s="109" t="str">
        <f aca="false">IF(BI49&gt;BH$7,
    "",
    VLOOKUP(BI49,BK$8:BQ548,7,FALSE())
)</f>
        <v/>
      </c>
      <c r="BS49" s="110" t="str">
        <f aca="false">IF(BI49&gt;BH$7,
    "",
    VLOOKUP(BI49,BK$8:BQ548,2,FALSE())
)</f>
        <v/>
      </c>
      <c r="BT49" s="110" t="str">
        <f aca="false">IF(BI49&gt;BH$7,
    "",
    VLOOKUP(BI49,BK$8:BQ548,3,FALSE())
)</f>
        <v/>
      </c>
      <c r="BU49" s="110" t="str">
        <f aca="false">IF(BI49&gt;BH$7,
    "",
    VLOOKUP(BI49,BK$8:BQ548,4,FALSE())
)</f>
        <v/>
      </c>
      <c r="BV49" s="110" t="str">
        <f aca="false">IF(BI49&gt;BH$7,
    "",
    VLOOKUP(BI49,BK$8:BQ548,5,FALSE())
)</f>
        <v/>
      </c>
      <c r="BW49" s="111" t="str">
        <f aca="false">IF(BI49&gt;BH$7,
    "",
    VLOOKUP(BI49,BK$8:BQ548,6,FALSE())
)</f>
        <v/>
      </c>
      <c r="BX49" s="50"/>
    </row>
    <row r="50" customFormat="false" ht="15.75" hidden="false" customHeight="false" outlineLevel="0" collapsed="false">
      <c r="A50" s="5"/>
      <c r="B50" s="126"/>
      <c r="C50" s="52"/>
      <c r="D50" s="53"/>
      <c r="E50" s="120"/>
      <c r="F50" s="120"/>
      <c r="G50" s="55"/>
      <c r="H50" s="56"/>
      <c r="I50" s="80"/>
      <c r="J50" s="80"/>
      <c r="K50" s="80"/>
      <c r="L50" s="58"/>
      <c r="M50" s="58"/>
      <c r="N50" s="58"/>
      <c r="O50" s="59"/>
      <c r="P50" s="60"/>
      <c r="Q50" s="80"/>
      <c r="R50" s="62"/>
      <c r="S50" s="63"/>
      <c r="T50" s="63" t="str">
        <f aca="false">IF(ISBLANK($C50),"",IF(G50=Constants!$B$2, TRUE(), IF(G50=Constants!$B$3, FALSE(), TRUE())))</f>
        <v/>
      </c>
      <c r="U50" s="63" t="str">
        <f aca="false">IF(ISBLANK($C50),"",IF(H50=Constants!$B$2, TRUE(), IF(H50=Constants!$B$3, FALSE(), TRUE())))</f>
        <v/>
      </c>
      <c r="V50" s="63" t="str">
        <f aca="false">IF(ISBLANK($C50),"",IF(I50=Constants!$B$2, TRUE(), IF(I50=Constants!$B$3, FALSE(), TRUE())))</f>
        <v/>
      </c>
      <c r="W50" s="63" t="str">
        <f aca="false">IF(ISBLANK($C50),"",IF(J50=Constants!$B$2, TRUE(), IF(J50=Constants!$B$3, FALSE(), TRUE())))</f>
        <v/>
      </c>
      <c r="X50" s="63" t="str">
        <f aca="false">IF(ISBLANK($C50),"",IF(K50=Constants!$B$2, TRUE(), IF(K50=Constants!$B$3, FALSE(), TRUE())))</f>
        <v/>
      </c>
      <c r="Y50" s="65" t="str">
        <f aca="false">IF(ISBLANK($C50),"",IF(ISNUMBER(L50), L50, ""))</f>
        <v/>
      </c>
      <c r="Z50" s="65" t="str">
        <f aca="false">IF(ISBLANK($C50),"",IF(ISNUMBER(M50), M50, ""))</f>
        <v/>
      </c>
      <c r="AA50" s="65" t="str">
        <f aca="false">IF(ISBLANK($C50),"",IF(ISNUMBER(N50), N50, ""))</f>
        <v/>
      </c>
      <c r="AB50" s="66" t="str">
        <f aca="false">IF(ISBLANK($C50),"",IF(ISNUMBER(O50), O50, ""))</f>
        <v/>
      </c>
      <c r="AC50" s="66" t="str">
        <f aca="false">IF(ISBLANK($C50),"",IF(ISNUMBER(P50), P50, Constants!$B$13))</f>
        <v/>
      </c>
      <c r="AD50" s="63" t="str">
        <f aca="false">IF(ISBLANK($C50),"",IF(Q50=Constants!$B$2, TRUE(), IF(Q50=Constants!$B$3, FALSE(), FALSE())))</f>
        <v/>
      </c>
      <c r="AE50" s="63" t="str">
        <f aca="false">IF(ISBLANK(C50), "", IF(AD50, Constants!$B$4,IF(COUNTA(G50:O50)=0, Constants!$B$5, Constants!$B$7)))</f>
        <v/>
      </c>
      <c r="AF50" s="63" t="str">
        <f aca="false">IF(ISBLANK($C50), "",IF($AE50=Constants!$B$7,1,$AE50))</f>
        <v/>
      </c>
      <c r="AG50" s="63" t="str">
        <f aca="false">IF($AE50=Constants!$B$7,IF(V50, 1, Constants!$B$11) * IF(X50, 1, Constants!$B$12),"")</f>
        <v/>
      </c>
      <c r="AH50" s="63" t="str">
        <f aca="false">IF(AND($AE50=Constants!$B$7, T50, U50) ,MAX(0, $AA50-$Y50),"")</f>
        <v/>
      </c>
      <c r="AI50" s="63" t="str">
        <f aca="false">IF(ISERROR(AH50),$AI$6,"")</f>
        <v/>
      </c>
      <c r="AJ50" s="63" t="str">
        <f aca="false">IF($AE50=Constants!$B$7,IF(AND(T50,U50,W50),IF($AH$6=0,Constants!$B$9,Constants!$B$9*AH50/$AH$6), 0),"")</f>
        <v/>
      </c>
      <c r="AK50" s="63" t="str">
        <f aca="false">IF(AJ50&lt;&gt;"", AJ50*AG50,"")</f>
        <v/>
      </c>
      <c r="AL50" s="63" t="str">
        <f aca="false">IF(AND($AE50=Constants!$B$7, T50, U50) ,IF($Z50="", "", MAX(0,1-ABS($AA50-$Z50)/$AA50)),"")</f>
        <v/>
      </c>
      <c r="AM50" s="63" t="str">
        <f aca="false">IF(AND(NOT(ISERROR(AH50)),ISERROR(AL50)),$AM$6,"")</f>
        <v/>
      </c>
      <c r="AN50" s="63" t="str">
        <f aca="false">IF($AE50=Constants!$B$7 ,IF(AND(T50,U50,W50,ISNUMBER(Z50)),IF($AL$6=0,Constants!$B$10,Constants!$B$10*AL50/$AL$6), 0),"")</f>
        <v/>
      </c>
      <c r="AO50" s="63" t="str">
        <f aca="false">IF(AN50&lt;&gt;"", AN50*AG50,"")</f>
        <v/>
      </c>
      <c r="AP50" s="63" t="str">
        <f aca="false">IF($AE50=Constants!$B$7,IF($AP$6=0,Constants!$B$8,Constants!$B$8*AB50/$AP$6),"")</f>
        <v/>
      </c>
      <c r="AQ50" s="63" t="str">
        <f aca="false">IF($AE50&lt;&gt;Constants!$B$7,$AE50,AK50+AO50+AP50)</f>
        <v/>
      </c>
      <c r="AR50" s="63" t="str">
        <f aca="false">IF(ISBLANK($C50),"",IF($AE50=Constants!$B$7,RANK(AQ50,$AQ$8:$AQ$507),$AE50))</f>
        <v/>
      </c>
      <c r="AS50" s="63" t="str">
        <f aca="false">IF(ISBLANK($C50), "",AK50)</f>
        <v/>
      </c>
      <c r="AT50" s="63" t="str">
        <f aca="false">IF(ISBLANK($C50),"",IF($AE50=Constants!$B$7,RANK(AS50,AS$8:AS$507),$AE50))</f>
        <v/>
      </c>
      <c r="AU50" s="63" t="str">
        <f aca="false">IF(ISBLANK($C50), "",AP50)</f>
        <v/>
      </c>
      <c r="AV50" s="63" t="str">
        <f aca="false">IF(ISBLANK($C50),"",IF($AE50=Constants!$B$7,RANK(AU50,AU$8:AU$507),$AE50))</f>
        <v/>
      </c>
      <c r="AW50" s="63" t="str">
        <f aca="false">IF(ISBLANK($C50), "",AC50)</f>
        <v/>
      </c>
      <c r="AX50" s="63" t="str">
        <f aca="false">IF(ISBLANK($C50),"",
IF($AE50=Constants!$B$7,
  COUNTIFS($AR$8:$AR$507,"&lt;"&amp;$AR50)
  + COUNTIFS($AR$8:$AR$507,$AR50,$AT$8:$AT$507,"&lt;"&amp;$AT50)
  + COUNTIFS($AR$8:$AR$507,$AR50,$AT$8:$AT$507,$AT50,$AV$8:$AV$507,"&lt;"&amp;$AV50)
  + COUNTIFS($AR$8:$AR$507,$AR50,$AT$8:$AT$507,$AT50,$AV$8:$AV$507,$AV50,$AW$8:$AW$507,"&lt;"&amp;$AW50)
  + 1,
$AE50))</f>
        <v/>
      </c>
      <c r="AY50" s="63" t="str">
        <f aca="false">IF(ISBLANK(C50),"",IF($AE50=Constants!$B$7, AR50-AX50,$AE50))</f>
        <v/>
      </c>
      <c r="AZ50" s="67"/>
      <c r="BA50" s="81" t="str">
        <f aca="false">IF(ISBLANK($C50),"",TRIM(AI50&amp;" "&amp;AM50))</f>
        <v/>
      </c>
      <c r="BB50" s="69" t="str">
        <f aca="false">IF(ISBLANK($C50),"",IF($AE50&lt;&gt;Constants!$B$7, $AE50 ,AQ50))</f>
        <v/>
      </c>
      <c r="BC50" s="70" t="str">
        <f aca="false">IF(ISBLANK($C50),"",IF($AE50&lt;&gt;Constants!$B$7, $AE50 ,AF50))</f>
        <v/>
      </c>
      <c r="BD50" s="71" t="str">
        <f aca="false">IF(ISBLANK(C50),"",AY50)</f>
        <v/>
      </c>
      <c r="BE50" s="71" t="str">
        <f aca="false">IF(ISBLANK(C50),"",AX50)</f>
        <v/>
      </c>
      <c r="BF50" s="72" t="str">
        <f aca="false">IF(ISBLANK(C50),"",IFERROR(_xlfn.SWITCH(BE50, Constants!$B$4, COUNTA($C$8:$C549)+2, Constants!$B$5, COUNTA($C$8:$C549)+1, Constants!$B$6, COUNTA($C$8:$C549)),BE50))</f>
        <v/>
      </c>
      <c r="BG50" s="5"/>
      <c r="BH50" s="73" t="n">
        <f aca="false">IF(OR(ISNUMBER(BE50),BE50="DQ",BE50="P",BE50="NS"),
    1,
    0
)</f>
        <v>0</v>
      </c>
      <c r="BI50" s="73" t="n">
        <v>43</v>
      </c>
      <c r="BJ50" s="73" t="str">
        <f aca="false">IF(ISBLANK($C50),
    "",
   BF50+ROW($B50)/1000
)</f>
        <v/>
      </c>
      <c r="BK50" s="73" t="str">
        <f aca="false">IF(ISNUMBER(BJ50), RANK(BJ50,BJ$8:BJ$507,1), "")</f>
        <v/>
      </c>
      <c r="BL50" s="73" t="str">
        <f aca="false">IF(ISBLANK($C50),
    "",
    $B50
)</f>
        <v/>
      </c>
      <c r="BM50" s="73" t="str">
        <f aca="false">IF(ISBLANK($C50),
    "",
    $C50
)</f>
        <v/>
      </c>
      <c r="BN50" s="73" t="str">
        <f aca="false">IF(ISBLANK($C50),
    "",
    $D50
)</f>
        <v/>
      </c>
      <c r="BO50" s="74" t="str">
        <f aca="false">BC50</f>
        <v/>
      </c>
      <c r="BP50" s="75" t="str">
        <f aca="false">BB50</f>
        <v/>
      </c>
      <c r="BQ50" s="73" t="str">
        <f aca="false">IF(ISBLANK($C50),
    "",
    BE50
)</f>
        <v/>
      </c>
      <c r="BR50" s="76" t="str">
        <f aca="false">IF(BI50&gt;BH$7,
    "",
    VLOOKUP(BI50,BK$8:BQ549,7,FALSE())
)</f>
        <v/>
      </c>
      <c r="BS50" s="77" t="str">
        <f aca="false">IF(BI50&gt;BH$7,
    "",
    VLOOKUP(BI50,BK$8:BQ549,2,FALSE())
)</f>
        <v/>
      </c>
      <c r="BT50" s="77" t="str">
        <f aca="false">IF(BI50&gt;BH$7,
    "",
    VLOOKUP(BI50,BK$8:BQ549,3,FALSE())
)</f>
        <v/>
      </c>
      <c r="BU50" s="77" t="str">
        <f aca="false">IF(BI50&gt;BH$7,
    "",
    VLOOKUP(BI50,BK$8:BQ549,4,FALSE())
)</f>
        <v/>
      </c>
      <c r="BV50" s="77" t="str">
        <f aca="false">IF(BI50&gt;BH$7,
    "",
    VLOOKUP(BI50,BK$8:BQ549,5,FALSE())
)</f>
        <v/>
      </c>
      <c r="BW50" s="78" t="str">
        <f aca="false">IF(BI50&gt;BH$7,
    "",
    VLOOKUP(BI50,BK$8:BQ549,6,FALSE())
)</f>
        <v/>
      </c>
      <c r="BX50" s="50"/>
    </row>
    <row r="51" customFormat="false" ht="15.75" hidden="false" customHeight="false" outlineLevel="0" collapsed="false">
      <c r="A51" s="5"/>
      <c r="B51" s="126"/>
      <c r="C51" s="52"/>
      <c r="D51" s="53"/>
      <c r="E51" s="120"/>
      <c r="F51" s="120"/>
      <c r="G51" s="55"/>
      <c r="H51" s="56"/>
      <c r="I51" s="80"/>
      <c r="J51" s="80"/>
      <c r="K51" s="80"/>
      <c r="L51" s="58"/>
      <c r="M51" s="58"/>
      <c r="N51" s="58"/>
      <c r="O51" s="59"/>
      <c r="P51" s="60"/>
      <c r="Q51" s="80"/>
      <c r="R51" s="62"/>
      <c r="S51" s="63"/>
      <c r="T51" s="63" t="str">
        <f aca="false">IF(ISBLANK($C51),"",IF(G51=Constants!$B$2, TRUE(), IF(G51=Constants!$B$3, FALSE(), TRUE())))</f>
        <v/>
      </c>
      <c r="U51" s="63" t="str">
        <f aca="false">IF(ISBLANK($C51),"",IF(H51=Constants!$B$2, TRUE(), IF(H51=Constants!$B$3, FALSE(), TRUE())))</f>
        <v/>
      </c>
      <c r="V51" s="63" t="str">
        <f aca="false">IF(ISBLANK($C51),"",IF(I51=Constants!$B$2, TRUE(), IF(I51=Constants!$B$3, FALSE(), TRUE())))</f>
        <v/>
      </c>
      <c r="W51" s="63" t="str">
        <f aca="false">IF(ISBLANK($C51),"",IF(J51=Constants!$B$2, TRUE(), IF(J51=Constants!$B$3, FALSE(), TRUE())))</f>
        <v/>
      </c>
      <c r="X51" s="63" t="str">
        <f aca="false">IF(ISBLANK($C51),"",IF(K51=Constants!$B$2, TRUE(), IF(K51=Constants!$B$3, FALSE(), TRUE())))</f>
        <v/>
      </c>
      <c r="Y51" s="65" t="str">
        <f aca="false">IF(ISBLANK($C51),"",IF(ISNUMBER(L51), L51, ""))</f>
        <v/>
      </c>
      <c r="Z51" s="65" t="str">
        <f aca="false">IF(ISBLANK($C51),"",IF(ISNUMBER(M51), M51, ""))</f>
        <v/>
      </c>
      <c r="AA51" s="65" t="str">
        <f aca="false">IF(ISBLANK($C51),"",IF(ISNUMBER(N51), N51, ""))</f>
        <v/>
      </c>
      <c r="AB51" s="66" t="str">
        <f aca="false">IF(ISBLANK($C51),"",IF(ISNUMBER(O51), O51, ""))</f>
        <v/>
      </c>
      <c r="AC51" s="66" t="str">
        <f aca="false">IF(ISBLANK($C51),"",IF(ISNUMBER(P51), P51, Constants!$B$13))</f>
        <v/>
      </c>
      <c r="AD51" s="63" t="str">
        <f aca="false">IF(ISBLANK($C51),"",IF(Q51=Constants!$B$2, TRUE(), IF(Q51=Constants!$B$3, FALSE(), FALSE())))</f>
        <v/>
      </c>
      <c r="AE51" s="63" t="str">
        <f aca="false">IF(ISBLANK(C51), "", IF(AD51, Constants!$B$4,IF(COUNTA(G51:O51)=0, Constants!$B$5, Constants!$B$7)))</f>
        <v/>
      </c>
      <c r="AF51" s="63" t="str">
        <f aca="false">IF(ISBLANK($C51), "",IF($AE51=Constants!$B$7,1,$AE51))</f>
        <v/>
      </c>
      <c r="AG51" s="63" t="str">
        <f aca="false">IF($AE51=Constants!$B$7,IF(V51, 1, Constants!$B$11) * IF(X51, 1, Constants!$B$12),"")</f>
        <v/>
      </c>
      <c r="AH51" s="63" t="str">
        <f aca="false">IF(AND($AE51=Constants!$B$7, T51, U51) ,MAX(0, $AA51-$Y51),"")</f>
        <v/>
      </c>
      <c r="AI51" s="63" t="str">
        <f aca="false">IF(ISERROR(AH51),$AI$6,"")</f>
        <v/>
      </c>
      <c r="AJ51" s="63" t="str">
        <f aca="false">IF($AE51=Constants!$B$7,IF(AND(T51,U51,W51),IF($AH$6=0,Constants!$B$9,Constants!$B$9*AH51/$AH$6), 0),"")</f>
        <v/>
      </c>
      <c r="AK51" s="63" t="str">
        <f aca="false">IF(AJ51&lt;&gt;"", AJ51*AG51,"")</f>
        <v/>
      </c>
      <c r="AL51" s="63" t="str">
        <f aca="false">IF(AND($AE51=Constants!$B$7, T51, U51) ,IF($Z51="", "", MAX(0,1-ABS($AA51-$Z51)/$AA51)),"")</f>
        <v/>
      </c>
      <c r="AM51" s="63" t="str">
        <f aca="false">IF(AND(NOT(ISERROR(AH51)),ISERROR(AL51)),$AM$6,"")</f>
        <v/>
      </c>
      <c r="AN51" s="63" t="str">
        <f aca="false">IF($AE51=Constants!$B$7 ,IF(AND(T51,U51,W51,ISNUMBER(Z51)),IF($AL$6=0,Constants!$B$10,Constants!$B$10*AL51/$AL$6), 0),"")</f>
        <v/>
      </c>
      <c r="AO51" s="63" t="str">
        <f aca="false">IF(AN51&lt;&gt;"", AN51*AG51,"")</f>
        <v/>
      </c>
      <c r="AP51" s="63" t="str">
        <f aca="false">IF($AE51=Constants!$B$7,IF($AP$6=0,Constants!$B$8,Constants!$B$8*AB51/$AP$6),"")</f>
        <v/>
      </c>
      <c r="AQ51" s="63" t="str">
        <f aca="false">IF($AE51&lt;&gt;Constants!$B$7,$AE51,AK51+AO51+AP51)</f>
        <v/>
      </c>
      <c r="AR51" s="63" t="str">
        <f aca="false">IF(ISBLANK($C51),"",IF($AE51=Constants!$B$7,RANK(AQ51,$AQ$8:$AQ$507),$AE51))</f>
        <v/>
      </c>
      <c r="AS51" s="63" t="str">
        <f aca="false">IF(ISBLANK($C51), "",AK51)</f>
        <v/>
      </c>
      <c r="AT51" s="63" t="str">
        <f aca="false">IF(ISBLANK($C51),"",IF($AE51=Constants!$B$7,RANK(AS51,AS$8:AS$507),$AE51))</f>
        <v/>
      </c>
      <c r="AU51" s="63" t="str">
        <f aca="false">IF(ISBLANK($C51), "",AP51)</f>
        <v/>
      </c>
      <c r="AV51" s="63" t="str">
        <f aca="false">IF(ISBLANK($C51),"",IF($AE51=Constants!$B$7,RANK(AU51,AU$8:AU$507),$AE51))</f>
        <v/>
      </c>
      <c r="AW51" s="63" t="str">
        <f aca="false">IF(ISBLANK($C51), "",AC51)</f>
        <v/>
      </c>
      <c r="AX51" s="63" t="str">
        <f aca="false">IF(ISBLANK($C51),"",
IF($AE51=Constants!$B$7,
  COUNTIFS($AR$8:$AR$507,"&lt;"&amp;$AR51)
  + COUNTIFS($AR$8:$AR$507,$AR51,$AT$8:$AT$507,"&lt;"&amp;$AT51)
  + COUNTIFS($AR$8:$AR$507,$AR51,$AT$8:$AT$507,$AT51,$AV$8:$AV$507,"&lt;"&amp;$AV51)
  + COUNTIFS($AR$8:$AR$507,$AR51,$AT$8:$AT$507,$AT51,$AV$8:$AV$507,$AV51,$AW$8:$AW$507,"&lt;"&amp;$AW51)
  + 1,
$AE51))</f>
        <v/>
      </c>
      <c r="AY51" s="63" t="str">
        <f aca="false">IF(ISBLANK(C51),"",IF($AE51=Constants!$B$7, AR51-AX51,$AE51))</f>
        <v/>
      </c>
      <c r="AZ51" s="67"/>
      <c r="BA51" s="81" t="str">
        <f aca="false">IF(ISBLANK($C51),"",TRIM(AI51&amp;" "&amp;AM51))</f>
        <v/>
      </c>
      <c r="BB51" s="69" t="str">
        <f aca="false">IF(ISBLANK($C51),"",IF($AE51&lt;&gt;Constants!$B$7, $AE51 ,AQ51))</f>
        <v/>
      </c>
      <c r="BC51" s="70" t="str">
        <f aca="false">IF(ISBLANK($C51),"",IF($AE51&lt;&gt;Constants!$B$7, $AE51 ,AF51))</f>
        <v/>
      </c>
      <c r="BD51" s="71" t="str">
        <f aca="false">IF(ISBLANK(C51),"",AY51)</f>
        <v/>
      </c>
      <c r="BE51" s="71" t="str">
        <f aca="false">IF(ISBLANK(C51),"",AX51)</f>
        <v/>
      </c>
      <c r="BF51" s="72" t="str">
        <f aca="false">IF(ISBLANK(C51),"",IFERROR(_xlfn.SWITCH(BE51, Constants!$B$4, COUNTA($C$8:$C550)+2, Constants!$B$5, COUNTA($C$8:$C550)+1, Constants!$B$6, COUNTA($C$8:$C550)),BE51))</f>
        <v/>
      </c>
      <c r="BG51" s="5"/>
      <c r="BH51" s="73" t="n">
        <f aca="false">IF(OR(ISNUMBER(BE51),BE51="DQ",BE51="P",BE51="NS"),
    1,
    0
)</f>
        <v>0</v>
      </c>
      <c r="BI51" s="73" t="n">
        <v>44</v>
      </c>
      <c r="BJ51" s="73" t="str">
        <f aca="false">IF(ISBLANK($C51),
    "",
   BF51+ROW($B51)/1000
)</f>
        <v/>
      </c>
      <c r="BK51" s="73" t="str">
        <f aca="false">IF(ISNUMBER(BJ51), RANK(BJ51,BJ$8:BJ$507,1), "")</f>
        <v/>
      </c>
      <c r="BL51" s="73" t="str">
        <f aca="false">IF(ISBLANK($C51),
    "",
    $B51
)</f>
        <v/>
      </c>
      <c r="BM51" s="73" t="str">
        <f aca="false">IF(ISBLANK($C51),
    "",
    $C51
)</f>
        <v/>
      </c>
      <c r="BN51" s="73" t="str">
        <f aca="false">IF(ISBLANK($C51),
    "",
    $D51
)</f>
        <v/>
      </c>
      <c r="BO51" s="74" t="str">
        <f aca="false">BC51</f>
        <v/>
      </c>
      <c r="BP51" s="75" t="str">
        <f aca="false">BB51</f>
        <v/>
      </c>
      <c r="BQ51" s="73" t="str">
        <f aca="false">IF(ISBLANK($C51),
    "",
    BE51
)</f>
        <v/>
      </c>
      <c r="BR51" s="76" t="str">
        <f aca="false">IF(BI51&gt;BH$7,
    "",
    VLOOKUP(BI51,BK$8:BQ550,7,FALSE())
)</f>
        <v/>
      </c>
      <c r="BS51" s="77" t="str">
        <f aca="false">IF(BI51&gt;BH$7,
    "",
    VLOOKUP(BI51,BK$8:BQ550,2,FALSE())
)</f>
        <v/>
      </c>
      <c r="BT51" s="77" t="str">
        <f aca="false">IF(BI51&gt;BH$7,
    "",
    VLOOKUP(BI51,BK$8:BQ550,3,FALSE())
)</f>
        <v/>
      </c>
      <c r="BU51" s="77" t="str">
        <f aca="false">IF(BI51&gt;BH$7,
    "",
    VLOOKUP(BI51,BK$8:BQ550,4,FALSE())
)</f>
        <v/>
      </c>
      <c r="BV51" s="77" t="str">
        <f aca="false">IF(BI51&gt;BH$7,
    "",
    VLOOKUP(BI51,BK$8:BQ550,5,FALSE())
)</f>
        <v/>
      </c>
      <c r="BW51" s="78" t="str">
        <f aca="false">IF(BI51&gt;BH$7,
    "",
    VLOOKUP(BI51,BK$8:BQ550,6,FALSE())
)</f>
        <v/>
      </c>
      <c r="BX51" s="50"/>
    </row>
    <row r="52" customFormat="false" ht="15.75" hidden="false" customHeight="false" outlineLevel="0" collapsed="false">
      <c r="A52" s="5"/>
      <c r="B52" s="126"/>
      <c r="C52" s="52"/>
      <c r="D52" s="53"/>
      <c r="E52" s="120"/>
      <c r="F52" s="120"/>
      <c r="G52" s="55"/>
      <c r="H52" s="56"/>
      <c r="I52" s="80"/>
      <c r="J52" s="80"/>
      <c r="K52" s="80"/>
      <c r="L52" s="58"/>
      <c r="M52" s="58"/>
      <c r="N52" s="58"/>
      <c r="O52" s="59"/>
      <c r="P52" s="60"/>
      <c r="Q52" s="80"/>
      <c r="R52" s="62"/>
      <c r="S52" s="63"/>
      <c r="T52" s="63" t="str">
        <f aca="false">IF(ISBLANK($C52),"",IF(G52=Constants!$B$2, TRUE(), IF(G52=Constants!$B$3, FALSE(), TRUE())))</f>
        <v/>
      </c>
      <c r="U52" s="63" t="str">
        <f aca="false">IF(ISBLANK($C52),"",IF(H52=Constants!$B$2, TRUE(), IF(H52=Constants!$B$3, FALSE(), TRUE())))</f>
        <v/>
      </c>
      <c r="V52" s="63" t="str">
        <f aca="false">IF(ISBLANK($C52),"",IF(I52=Constants!$B$2, TRUE(), IF(I52=Constants!$B$3, FALSE(), TRUE())))</f>
        <v/>
      </c>
      <c r="W52" s="63" t="str">
        <f aca="false">IF(ISBLANK($C52),"",IF(J52=Constants!$B$2, TRUE(), IF(J52=Constants!$B$3, FALSE(), TRUE())))</f>
        <v/>
      </c>
      <c r="X52" s="63" t="str">
        <f aca="false">IF(ISBLANK($C52),"",IF(K52=Constants!$B$2, TRUE(), IF(K52=Constants!$B$3, FALSE(), TRUE())))</f>
        <v/>
      </c>
      <c r="Y52" s="65" t="str">
        <f aca="false">IF(ISBLANK($C52),"",IF(ISNUMBER(L52), L52, ""))</f>
        <v/>
      </c>
      <c r="Z52" s="65" t="str">
        <f aca="false">IF(ISBLANK($C52),"",IF(ISNUMBER(M52), M52, ""))</f>
        <v/>
      </c>
      <c r="AA52" s="65" t="str">
        <f aca="false">IF(ISBLANK($C52),"",IF(ISNUMBER(N52), N52, ""))</f>
        <v/>
      </c>
      <c r="AB52" s="66" t="str">
        <f aca="false">IF(ISBLANK($C52),"",IF(ISNUMBER(O52), O52, ""))</f>
        <v/>
      </c>
      <c r="AC52" s="66" t="str">
        <f aca="false">IF(ISBLANK($C52),"",IF(ISNUMBER(P52), P52, Constants!$B$13))</f>
        <v/>
      </c>
      <c r="AD52" s="63" t="str">
        <f aca="false">IF(ISBLANK($C52),"",IF(Q52=Constants!$B$2, TRUE(), IF(Q52=Constants!$B$3, FALSE(), FALSE())))</f>
        <v/>
      </c>
      <c r="AE52" s="63" t="str">
        <f aca="false">IF(ISBLANK(C52), "", IF(AD52, Constants!$B$4,IF(COUNTA(G52:O52)=0, Constants!$B$5, Constants!$B$7)))</f>
        <v/>
      </c>
      <c r="AF52" s="63" t="str">
        <f aca="false">IF(ISBLANK($C52), "",IF($AE52=Constants!$B$7,1,$AE52))</f>
        <v/>
      </c>
      <c r="AG52" s="63" t="str">
        <f aca="false">IF($AE52=Constants!$B$7,IF(V52, 1, Constants!$B$11) * IF(X52, 1, Constants!$B$12),"")</f>
        <v/>
      </c>
      <c r="AH52" s="63" t="str">
        <f aca="false">IF(AND($AE52=Constants!$B$7, T52, U52) ,MAX(0, $AA52-$Y52),"")</f>
        <v/>
      </c>
      <c r="AI52" s="63" t="str">
        <f aca="false">IF(ISERROR(AH52),$AI$6,"")</f>
        <v/>
      </c>
      <c r="AJ52" s="63" t="str">
        <f aca="false">IF($AE52=Constants!$B$7,IF(AND(T52,U52,W52),IF($AH$6=0,Constants!$B$9,Constants!$B$9*AH52/$AH$6), 0),"")</f>
        <v/>
      </c>
      <c r="AK52" s="63" t="str">
        <f aca="false">IF(AJ52&lt;&gt;"", AJ52*AG52,"")</f>
        <v/>
      </c>
      <c r="AL52" s="63" t="str">
        <f aca="false">IF(AND($AE52=Constants!$B$7, T52, U52) ,IF($Z52="", "", MAX(0,1-ABS($AA52-$Z52)/$AA52)),"")</f>
        <v/>
      </c>
      <c r="AM52" s="63" t="str">
        <f aca="false">IF(AND(NOT(ISERROR(AH52)),ISERROR(AL52)),$AM$6,"")</f>
        <v/>
      </c>
      <c r="AN52" s="63" t="str">
        <f aca="false">IF($AE52=Constants!$B$7 ,IF(AND(T52,U52,W52,ISNUMBER(Z52)),IF($AL$6=0,Constants!$B$10,Constants!$B$10*AL52/$AL$6), 0),"")</f>
        <v/>
      </c>
      <c r="AO52" s="63" t="str">
        <f aca="false">IF(AN52&lt;&gt;"", AN52*AG52,"")</f>
        <v/>
      </c>
      <c r="AP52" s="63" t="str">
        <f aca="false">IF($AE52=Constants!$B$7,IF($AP$6=0,Constants!$B$8,Constants!$B$8*AB52/$AP$6),"")</f>
        <v/>
      </c>
      <c r="AQ52" s="63" t="str">
        <f aca="false">IF($AE52&lt;&gt;Constants!$B$7,$AE52,AK52+AO52+AP52)</f>
        <v/>
      </c>
      <c r="AR52" s="63" t="str">
        <f aca="false">IF(ISBLANK($C52),"",IF($AE52=Constants!$B$7,RANK(AQ52,$AQ$8:$AQ$507),$AE52))</f>
        <v/>
      </c>
      <c r="AS52" s="63" t="str">
        <f aca="false">IF(ISBLANK($C52), "",AK52)</f>
        <v/>
      </c>
      <c r="AT52" s="63" t="str">
        <f aca="false">IF(ISBLANK($C52),"",IF($AE52=Constants!$B$7,RANK(AS52,AS$8:AS$507),$AE52))</f>
        <v/>
      </c>
      <c r="AU52" s="63" t="str">
        <f aca="false">IF(ISBLANK($C52), "",AP52)</f>
        <v/>
      </c>
      <c r="AV52" s="63" t="str">
        <f aca="false">IF(ISBLANK($C52),"",IF($AE52=Constants!$B$7,RANK(AU52,AU$8:AU$507),$AE52))</f>
        <v/>
      </c>
      <c r="AW52" s="63" t="str">
        <f aca="false">IF(ISBLANK($C52), "",AC52)</f>
        <v/>
      </c>
      <c r="AX52" s="63" t="str">
        <f aca="false">IF(ISBLANK($C52),"",
IF($AE52=Constants!$B$7,
  COUNTIFS($AR$8:$AR$507,"&lt;"&amp;$AR52)
  + COUNTIFS($AR$8:$AR$507,$AR52,$AT$8:$AT$507,"&lt;"&amp;$AT52)
  + COUNTIFS($AR$8:$AR$507,$AR52,$AT$8:$AT$507,$AT52,$AV$8:$AV$507,"&lt;"&amp;$AV52)
  + COUNTIFS($AR$8:$AR$507,$AR52,$AT$8:$AT$507,$AT52,$AV$8:$AV$507,$AV52,$AW$8:$AW$507,"&lt;"&amp;$AW52)
  + 1,
$AE52))</f>
        <v/>
      </c>
      <c r="AY52" s="63" t="str">
        <f aca="false">IF(ISBLANK(C52),"",IF($AE52=Constants!$B$7, AR52-AX52,$AE52))</f>
        <v/>
      </c>
      <c r="AZ52" s="67"/>
      <c r="BA52" s="81" t="str">
        <f aca="false">IF(ISBLANK($C52),"",TRIM(AI52&amp;" "&amp;AM52))</f>
        <v/>
      </c>
      <c r="BB52" s="69" t="str">
        <f aca="false">IF(ISBLANK($C52),"",IF($AE52&lt;&gt;Constants!$B$7, $AE52 ,AQ52))</f>
        <v/>
      </c>
      <c r="BC52" s="70" t="str">
        <f aca="false">IF(ISBLANK($C52),"",IF($AE52&lt;&gt;Constants!$B$7, $AE52 ,AF52))</f>
        <v/>
      </c>
      <c r="BD52" s="71" t="str">
        <f aca="false">IF(ISBLANK(C52),"",AY52)</f>
        <v/>
      </c>
      <c r="BE52" s="71" t="str">
        <f aca="false">IF(ISBLANK(C52),"",AX52)</f>
        <v/>
      </c>
      <c r="BF52" s="72" t="str">
        <f aca="false">IF(ISBLANK(C52),"",IFERROR(_xlfn.SWITCH(BE52, Constants!$B$4, COUNTA($C$8:$C551)+2, Constants!$B$5, COUNTA($C$8:$C551)+1, Constants!$B$6, COUNTA($C$8:$C551)),BE52))</f>
        <v/>
      </c>
      <c r="BG52" s="5"/>
      <c r="BH52" s="73" t="n">
        <f aca="false">IF(OR(ISNUMBER(BE52),BE52="DQ",BE52="P",BE52="NS"),
    1,
    0
)</f>
        <v>0</v>
      </c>
      <c r="BI52" s="73" t="n">
        <v>45</v>
      </c>
      <c r="BJ52" s="73" t="str">
        <f aca="false">IF(ISBLANK($C52),
    "",
   BF52+ROW($B52)/1000
)</f>
        <v/>
      </c>
      <c r="BK52" s="73" t="str">
        <f aca="false">IF(ISNUMBER(BJ52), RANK(BJ52,BJ$8:BJ$507,1), "")</f>
        <v/>
      </c>
      <c r="BL52" s="73" t="str">
        <f aca="false">IF(ISBLANK($C52),
    "",
    $B52
)</f>
        <v/>
      </c>
      <c r="BM52" s="73" t="str">
        <f aca="false">IF(ISBLANK($C52),
    "",
    $C52
)</f>
        <v/>
      </c>
      <c r="BN52" s="73" t="str">
        <f aca="false">IF(ISBLANK($C52),
    "",
    $D52
)</f>
        <v/>
      </c>
      <c r="BO52" s="74" t="str">
        <f aca="false">BC52</f>
        <v/>
      </c>
      <c r="BP52" s="75" t="str">
        <f aca="false">BB52</f>
        <v/>
      </c>
      <c r="BQ52" s="73" t="str">
        <f aca="false">IF(ISBLANK($C52),
    "",
    BE52
)</f>
        <v/>
      </c>
      <c r="BR52" s="76" t="str">
        <f aca="false">IF(BI52&gt;BH$7,
    "",
    VLOOKUP(BI52,BK$8:BQ551,7,FALSE())
)</f>
        <v/>
      </c>
      <c r="BS52" s="77" t="str">
        <f aca="false">IF(BI52&gt;BH$7,
    "",
    VLOOKUP(BI52,BK$8:BQ551,2,FALSE())
)</f>
        <v/>
      </c>
      <c r="BT52" s="77" t="str">
        <f aca="false">IF(BI52&gt;BH$7,
    "",
    VLOOKUP(BI52,BK$8:BQ551,3,FALSE())
)</f>
        <v/>
      </c>
      <c r="BU52" s="77" t="str">
        <f aca="false">IF(BI52&gt;BH$7,
    "",
    VLOOKUP(BI52,BK$8:BQ551,4,FALSE())
)</f>
        <v/>
      </c>
      <c r="BV52" s="77" t="str">
        <f aca="false">IF(BI52&gt;BH$7,
    "",
    VLOOKUP(BI52,BK$8:BQ551,5,FALSE())
)</f>
        <v/>
      </c>
      <c r="BW52" s="78" t="str">
        <f aca="false">IF(BI52&gt;BH$7,
    "",
    VLOOKUP(BI52,BK$8:BQ551,6,FALSE())
)</f>
        <v/>
      </c>
      <c r="BX52" s="50"/>
    </row>
    <row r="53" customFormat="false" ht="15.75" hidden="false" customHeight="false" outlineLevel="0" collapsed="false">
      <c r="A53" s="5"/>
      <c r="B53" s="122"/>
      <c r="C53" s="123"/>
      <c r="D53" s="112"/>
      <c r="E53" s="116"/>
      <c r="F53" s="116"/>
      <c r="G53" s="88"/>
      <c r="H53" s="89"/>
      <c r="I53" s="125"/>
      <c r="J53" s="125"/>
      <c r="K53" s="125"/>
      <c r="L53" s="91"/>
      <c r="M53" s="91"/>
      <c r="N53" s="91"/>
      <c r="O53" s="92"/>
      <c r="P53" s="93"/>
      <c r="Q53" s="125"/>
      <c r="R53" s="95"/>
      <c r="S53" s="96"/>
      <c r="T53" s="96" t="str">
        <f aca="false">IF(ISBLANK($C53),"",IF(G53=Constants!$B$2, TRUE(), IF(G53=Constants!$B$3, FALSE(), TRUE())))</f>
        <v/>
      </c>
      <c r="U53" s="96" t="str">
        <f aca="false">IF(ISBLANK($C53),"",IF(H53=Constants!$B$2, TRUE(), IF(H53=Constants!$B$3, FALSE(), TRUE())))</f>
        <v/>
      </c>
      <c r="V53" s="96" t="str">
        <f aca="false">IF(ISBLANK($C53),"",IF(I53=Constants!$B$2, TRUE(), IF(I53=Constants!$B$3, FALSE(), TRUE())))</f>
        <v/>
      </c>
      <c r="W53" s="96" t="str">
        <f aca="false">IF(ISBLANK($C53),"",IF(J53=Constants!$B$2, TRUE(), IF(J53=Constants!$B$3, FALSE(), TRUE())))</f>
        <v/>
      </c>
      <c r="X53" s="97" t="str">
        <f aca="false">IF(ISBLANK($C53),"",IF(K53=Constants!$B$2, TRUE(), IF(K53=Constants!$B$3, FALSE(), TRUE())))</f>
        <v/>
      </c>
      <c r="Y53" s="98" t="str">
        <f aca="false">IF(ISBLANK($C53),"",IF(ISNUMBER(L53), L53, ""))</f>
        <v/>
      </c>
      <c r="Z53" s="98" t="str">
        <f aca="false">IF(ISBLANK($C53),"",IF(ISNUMBER(M53), M53, ""))</f>
        <v/>
      </c>
      <c r="AA53" s="98" t="str">
        <f aca="false">IF(ISBLANK($C53),"",IF(ISNUMBER(N53), N53, ""))</f>
        <v/>
      </c>
      <c r="AB53" s="99" t="str">
        <f aca="false">IF(ISBLANK($C53),"",IF(ISNUMBER(O53), O53, ""))</f>
        <v/>
      </c>
      <c r="AC53" s="99" t="str">
        <f aca="false">IF(ISBLANK($C53),"",IF(ISNUMBER(P53), P53, Constants!$B$13))</f>
        <v/>
      </c>
      <c r="AD53" s="96" t="str">
        <f aca="false">IF(ISBLANK($C53),"",IF(Q53=Constants!$B$2, TRUE(), IF(Q53=Constants!$B$3, FALSE(), FALSE())))</f>
        <v/>
      </c>
      <c r="AE53" s="96" t="str">
        <f aca="false">IF(ISBLANK(C53), "", IF(AD53, Constants!$B$4,IF(COUNTA(G53:O53)=0, Constants!$B$5, Constants!$B$7)))</f>
        <v/>
      </c>
      <c r="AF53" s="96" t="str">
        <f aca="false">IF(ISBLANK($C53), "",IF($AE53=Constants!$B$7,1,$AE53))</f>
        <v/>
      </c>
      <c r="AG53" s="96" t="str">
        <f aca="false">IF($AE53=Constants!$B$7,IF(V53, 1, Constants!$B$11) * IF(X53, 1, Constants!$B$12),"")</f>
        <v/>
      </c>
      <c r="AH53" s="96" t="str">
        <f aca="false">IF(AND($AE53=Constants!$B$7, T53, U53) ,MAX(0, $AA53-$Y53),"")</f>
        <v/>
      </c>
      <c r="AI53" s="96" t="str">
        <f aca="false">IF(ISERROR(AH53),$AI$6,"")</f>
        <v/>
      </c>
      <c r="AJ53" s="96" t="str">
        <f aca="false">IF($AE53=Constants!$B$7,IF(AND(T53,U53,W53),IF($AH$6=0,Constants!$B$9,Constants!$B$9*AH53/$AH$6), 0),"")</f>
        <v/>
      </c>
      <c r="AK53" s="96" t="str">
        <f aca="false">IF(AJ53&lt;&gt;"", AJ53*AG53,"")</f>
        <v/>
      </c>
      <c r="AL53" s="96" t="str">
        <f aca="false">IF(AND($AE53=Constants!$B$7, T53, U53) ,IF($Z53="", "", MAX(0,1-ABS($AA53-$Z53)/$AA53)),"")</f>
        <v/>
      </c>
      <c r="AM53" s="96" t="str">
        <f aca="false">IF(AND(NOT(ISERROR(AH53)),ISERROR(AL53)),$AM$6,"")</f>
        <v/>
      </c>
      <c r="AN53" s="96" t="str">
        <f aca="false">IF($AE53=Constants!$B$7 ,IF(AND(T53,U53,W53,ISNUMBER(Z53)),IF($AL$6=0,Constants!$B$10,Constants!$B$10*AL53/$AL$6), 0),"")</f>
        <v/>
      </c>
      <c r="AO53" s="96" t="str">
        <f aca="false">IF(AN53&lt;&gt;"", AN53*AG53,"")</f>
        <v/>
      </c>
      <c r="AP53" s="96" t="str">
        <f aca="false">IF($AE53=Constants!$B$7,IF($AP$6=0,Constants!$B$8,Constants!$B$8*AB53/$AP$6),"")</f>
        <v/>
      </c>
      <c r="AQ53" s="96" t="str">
        <f aca="false">IF($AE53&lt;&gt;Constants!$B$7,$AE53,AK53+AO53+AP53)</f>
        <v/>
      </c>
      <c r="AR53" s="96" t="str">
        <f aca="false">IF(ISBLANK($C53),"",IF($AE53=Constants!$B$7,RANK(AQ53,$AQ$8:$AQ$507),$AE53))</f>
        <v/>
      </c>
      <c r="AS53" s="96" t="str">
        <f aca="false">IF(ISBLANK($C53), "",AK53)</f>
        <v/>
      </c>
      <c r="AT53" s="96" t="str">
        <f aca="false">IF(ISBLANK($C53),"",IF($AE53=Constants!$B$7,RANK(AS53,AS$8:AS$507),$AE53))</f>
        <v/>
      </c>
      <c r="AU53" s="96" t="str">
        <f aca="false">IF(ISBLANK($C53), "",AP53)</f>
        <v/>
      </c>
      <c r="AV53" s="96" t="str">
        <f aca="false">IF(ISBLANK($C53),"",IF($AE53=Constants!$B$7,RANK(AU53,AU$8:AU$507),$AE53))</f>
        <v/>
      </c>
      <c r="AW53" s="96" t="str">
        <f aca="false">IF(ISBLANK($C53), "",AC53)</f>
        <v/>
      </c>
      <c r="AX53" s="96" t="str">
        <f aca="false">IF(ISBLANK($C53),"",
IF($AE53=Constants!$B$7,
  COUNTIFS($AR$8:$AR$507,"&lt;"&amp;$AR53)
  + COUNTIFS($AR$8:$AR$507,$AR53,$AT$8:$AT$507,"&lt;"&amp;$AT53)
  + COUNTIFS($AR$8:$AR$507,$AR53,$AT$8:$AT$507,$AT53,$AV$8:$AV$507,"&lt;"&amp;$AV53)
  + COUNTIFS($AR$8:$AR$507,$AR53,$AT$8:$AT$507,$AT53,$AV$8:$AV$507,$AV53,$AW$8:$AW$507,"&lt;"&amp;$AW53)
  + 1,
$AE53))</f>
        <v/>
      </c>
      <c r="AY53" s="96" t="str">
        <f aca="false">IF(ISBLANK(C53),"",IF($AE53=Constants!$B$7, AR53-AX53,$AE53))</f>
        <v/>
      </c>
      <c r="AZ53" s="100"/>
      <c r="BA53" s="101" t="str">
        <f aca="false">IF(ISBLANK($C53),"",TRIM(AI53&amp;" "&amp;AM53))</f>
        <v/>
      </c>
      <c r="BB53" s="102" t="str">
        <f aca="false">IF(ISBLANK($C53),"",IF($AE53&lt;&gt;Constants!$B$7, $AE53 ,AQ53))</f>
        <v/>
      </c>
      <c r="BC53" s="103" t="str">
        <f aca="false">IF(ISBLANK($C53),"",IF($AE53&lt;&gt;Constants!$B$7, $AE53 ,AF53))</f>
        <v/>
      </c>
      <c r="BD53" s="104" t="str">
        <f aca="false">IF(ISBLANK(C53),"",AY53)</f>
        <v/>
      </c>
      <c r="BE53" s="104" t="str">
        <f aca="false">IF(ISBLANK(C53),"",AX53)</f>
        <v/>
      </c>
      <c r="BF53" s="105" t="str">
        <f aca="false">IF(ISBLANK(C53),"",IFERROR(_xlfn.SWITCH(BE53, Constants!$B$4, COUNTA($C$8:$C552)+2, Constants!$B$5, COUNTA($C$8:$C552)+1, Constants!$B$6, COUNTA($C$8:$C552)),BE53))</f>
        <v/>
      </c>
      <c r="BG53" s="5"/>
      <c r="BH53" s="106" t="n">
        <f aca="false">IF(OR(ISNUMBER(BE53),BE53="DQ",BE53="P",BE53="NS"),
    1,
    0
)</f>
        <v>0</v>
      </c>
      <c r="BI53" s="106" t="n">
        <v>46</v>
      </c>
      <c r="BJ53" s="106" t="str">
        <f aca="false">IF(ISBLANK($C53),
    "",
   BF53+ROW($B53)/1000
)</f>
        <v/>
      </c>
      <c r="BK53" s="106" t="str">
        <f aca="false">IF(ISNUMBER(BJ53), RANK(BJ53,BJ$8:BJ$507,1), "")</f>
        <v/>
      </c>
      <c r="BL53" s="106" t="str">
        <f aca="false">IF(ISBLANK($C53),
    "",
    $B53
)</f>
        <v/>
      </c>
      <c r="BM53" s="106" t="str">
        <f aca="false">IF(ISBLANK($C53),
    "",
    $C53
)</f>
        <v/>
      </c>
      <c r="BN53" s="106" t="str">
        <f aca="false">IF(ISBLANK($C53),
    "",
    $D53
)</f>
        <v/>
      </c>
      <c r="BO53" s="107" t="str">
        <f aca="false">BC53</f>
        <v/>
      </c>
      <c r="BP53" s="108" t="str">
        <f aca="false">BB53</f>
        <v/>
      </c>
      <c r="BQ53" s="106" t="str">
        <f aca="false">IF(ISBLANK($C53),
    "",
    BE53
)</f>
        <v/>
      </c>
      <c r="BR53" s="109" t="str">
        <f aca="false">IF(BI53&gt;BH$7,
    "",
    VLOOKUP(BI53,BK$8:BQ552,7,FALSE())
)</f>
        <v/>
      </c>
      <c r="BS53" s="110" t="str">
        <f aca="false">IF(BI53&gt;BH$7,
    "",
    VLOOKUP(BI53,BK$8:BQ552,2,FALSE())
)</f>
        <v/>
      </c>
      <c r="BT53" s="110" t="str">
        <f aca="false">IF(BI53&gt;BH$7,
    "",
    VLOOKUP(BI53,BK$8:BQ552,3,FALSE())
)</f>
        <v/>
      </c>
      <c r="BU53" s="110" t="str">
        <f aca="false">IF(BI53&gt;BH$7,
    "",
    VLOOKUP(BI53,BK$8:BQ552,4,FALSE())
)</f>
        <v/>
      </c>
      <c r="BV53" s="110" t="str">
        <f aca="false">IF(BI53&gt;BH$7,
    "",
    VLOOKUP(BI53,BK$8:BQ552,5,FALSE())
)</f>
        <v/>
      </c>
      <c r="BW53" s="111" t="str">
        <f aca="false">IF(BI53&gt;BH$7,
    "",
    VLOOKUP(BI53,BK$8:BQ552,6,FALSE())
)</f>
        <v/>
      </c>
      <c r="BX53" s="50"/>
    </row>
    <row r="54" customFormat="false" ht="15.75" hidden="false" customHeight="false" outlineLevel="0" collapsed="false">
      <c r="A54" s="5"/>
      <c r="B54" s="122"/>
      <c r="C54" s="123"/>
      <c r="D54" s="112"/>
      <c r="E54" s="116"/>
      <c r="F54" s="116"/>
      <c r="G54" s="88"/>
      <c r="H54" s="89"/>
      <c r="I54" s="125"/>
      <c r="J54" s="125"/>
      <c r="K54" s="125"/>
      <c r="L54" s="91"/>
      <c r="M54" s="91"/>
      <c r="N54" s="91"/>
      <c r="O54" s="92"/>
      <c r="P54" s="93"/>
      <c r="Q54" s="125"/>
      <c r="R54" s="95"/>
      <c r="S54" s="96"/>
      <c r="T54" s="96" t="str">
        <f aca="false">IF(ISBLANK($C54),"",IF(G54=Constants!$B$2, TRUE(), IF(G54=Constants!$B$3, FALSE(), TRUE())))</f>
        <v/>
      </c>
      <c r="U54" s="96" t="str">
        <f aca="false">IF(ISBLANK($C54),"",IF(H54=Constants!$B$2, TRUE(), IF(H54=Constants!$B$3, FALSE(), TRUE())))</f>
        <v/>
      </c>
      <c r="V54" s="96" t="str">
        <f aca="false">IF(ISBLANK($C54),"",IF(I54=Constants!$B$2, TRUE(), IF(I54=Constants!$B$3, FALSE(), TRUE())))</f>
        <v/>
      </c>
      <c r="W54" s="96" t="str">
        <f aca="false">IF(ISBLANK($C54),"",IF(J54=Constants!$B$2, TRUE(), IF(J54=Constants!$B$3, FALSE(), TRUE())))</f>
        <v/>
      </c>
      <c r="X54" s="97" t="str">
        <f aca="false">IF(ISBLANK($C54),"",IF(K54=Constants!$B$2, TRUE(), IF(K54=Constants!$B$3, FALSE(), TRUE())))</f>
        <v/>
      </c>
      <c r="Y54" s="98" t="str">
        <f aca="false">IF(ISBLANK($C54),"",IF(ISNUMBER(L54), L54, ""))</f>
        <v/>
      </c>
      <c r="Z54" s="98" t="str">
        <f aca="false">IF(ISBLANK($C54),"",IF(ISNUMBER(M54), M54, ""))</f>
        <v/>
      </c>
      <c r="AA54" s="98" t="str">
        <f aca="false">IF(ISBLANK($C54),"",IF(ISNUMBER(N54), N54, ""))</f>
        <v/>
      </c>
      <c r="AB54" s="99" t="str">
        <f aca="false">IF(ISBLANK($C54),"",IF(ISNUMBER(O54), O54, ""))</f>
        <v/>
      </c>
      <c r="AC54" s="99" t="str">
        <f aca="false">IF(ISBLANK($C54),"",IF(ISNUMBER(P54), P54, Constants!$B$13))</f>
        <v/>
      </c>
      <c r="AD54" s="96" t="str">
        <f aca="false">IF(ISBLANK($C54),"",IF(Q54=Constants!$B$2, TRUE(), IF(Q54=Constants!$B$3, FALSE(), FALSE())))</f>
        <v/>
      </c>
      <c r="AE54" s="96" t="str">
        <f aca="false">IF(ISBLANK(C54), "", IF(AD54, Constants!$B$4,IF(COUNTA(G54:O54)=0, Constants!$B$5, Constants!$B$7)))</f>
        <v/>
      </c>
      <c r="AF54" s="96" t="str">
        <f aca="false">IF(ISBLANK($C54), "",IF($AE54=Constants!$B$7,1,$AE54))</f>
        <v/>
      </c>
      <c r="AG54" s="96" t="str">
        <f aca="false">IF($AE54=Constants!$B$7,IF(V54, 1, Constants!$B$11) * IF(X54, 1, Constants!$B$12),"")</f>
        <v/>
      </c>
      <c r="AH54" s="96" t="str">
        <f aca="false">IF(AND($AE54=Constants!$B$7, T54, U54) ,MAX(0, $AA54-$Y54),"")</f>
        <v/>
      </c>
      <c r="AI54" s="96" t="str">
        <f aca="false">IF(ISERROR(AH54),$AI$6,"")</f>
        <v/>
      </c>
      <c r="AJ54" s="96" t="str">
        <f aca="false">IF($AE54=Constants!$B$7,IF(AND(T54,U54,W54),IF($AH$6=0,Constants!$B$9,Constants!$B$9*AH54/$AH$6), 0),"")</f>
        <v/>
      </c>
      <c r="AK54" s="96" t="str">
        <f aca="false">IF(AJ54&lt;&gt;"", AJ54*AG54,"")</f>
        <v/>
      </c>
      <c r="AL54" s="96" t="str">
        <f aca="false">IF(AND($AE54=Constants!$B$7, T54, U54) ,IF($Z54="", "", MAX(0,1-ABS($AA54-$Z54)/$AA54)),"")</f>
        <v/>
      </c>
      <c r="AM54" s="96" t="str">
        <f aca="false">IF(AND(NOT(ISERROR(AH54)),ISERROR(AL54)),$AM$6,"")</f>
        <v/>
      </c>
      <c r="AN54" s="96" t="str">
        <f aca="false">IF($AE54=Constants!$B$7 ,IF(AND(T54,U54,W54,ISNUMBER(Z54)),IF($AL$6=0,Constants!$B$10,Constants!$B$10*AL54/$AL$6), 0),"")</f>
        <v/>
      </c>
      <c r="AO54" s="96" t="str">
        <f aca="false">IF(AN54&lt;&gt;"", AN54*AG54,"")</f>
        <v/>
      </c>
      <c r="AP54" s="96" t="str">
        <f aca="false">IF($AE54=Constants!$B$7,IF($AP$6=0,Constants!$B$8,Constants!$B$8*AB54/$AP$6),"")</f>
        <v/>
      </c>
      <c r="AQ54" s="96" t="str">
        <f aca="false">IF($AE54&lt;&gt;Constants!$B$7,$AE54,AK54+AO54+AP54)</f>
        <v/>
      </c>
      <c r="AR54" s="96" t="str">
        <f aca="false">IF(ISBLANK($C54),"",IF($AE54=Constants!$B$7,RANK(AQ54,$AQ$8:$AQ$507),$AE54))</f>
        <v/>
      </c>
      <c r="AS54" s="96" t="str">
        <f aca="false">IF(ISBLANK($C54), "",AK54)</f>
        <v/>
      </c>
      <c r="AT54" s="96" t="str">
        <f aca="false">IF(ISBLANK($C54),"",IF($AE54=Constants!$B$7,RANK(AS54,AS$8:AS$507),$AE54))</f>
        <v/>
      </c>
      <c r="AU54" s="96" t="str">
        <f aca="false">IF(ISBLANK($C54), "",AP54)</f>
        <v/>
      </c>
      <c r="AV54" s="96" t="str">
        <f aca="false">IF(ISBLANK($C54),"",IF($AE54=Constants!$B$7,RANK(AU54,AU$8:AU$507),$AE54))</f>
        <v/>
      </c>
      <c r="AW54" s="96" t="str">
        <f aca="false">IF(ISBLANK($C54), "",AC54)</f>
        <v/>
      </c>
      <c r="AX54" s="96" t="str">
        <f aca="false">IF(ISBLANK($C54),"",
IF($AE54=Constants!$B$7,
  COUNTIFS($AR$8:$AR$507,"&lt;"&amp;$AR54)
  + COUNTIFS($AR$8:$AR$507,$AR54,$AT$8:$AT$507,"&lt;"&amp;$AT54)
  + COUNTIFS($AR$8:$AR$507,$AR54,$AT$8:$AT$507,$AT54,$AV$8:$AV$507,"&lt;"&amp;$AV54)
  + COUNTIFS($AR$8:$AR$507,$AR54,$AT$8:$AT$507,$AT54,$AV$8:$AV$507,$AV54,$AW$8:$AW$507,"&lt;"&amp;$AW54)
  + 1,
$AE54))</f>
        <v/>
      </c>
      <c r="AY54" s="96" t="str">
        <f aca="false">IF(ISBLANK(C54),"",IF($AE54=Constants!$B$7, AR54-AX54,$AE54))</f>
        <v/>
      </c>
      <c r="AZ54" s="100"/>
      <c r="BA54" s="101" t="str">
        <f aca="false">IF(ISBLANK($C54),"",TRIM(AI54&amp;" "&amp;AM54))</f>
        <v/>
      </c>
      <c r="BB54" s="102" t="str">
        <f aca="false">IF(ISBLANK($C54),"",IF($AE54&lt;&gt;Constants!$B$7, $AE54 ,AQ54))</f>
        <v/>
      </c>
      <c r="BC54" s="103" t="str">
        <f aca="false">IF(ISBLANK($C54),"",IF($AE54&lt;&gt;Constants!$B$7, $AE54 ,AF54))</f>
        <v/>
      </c>
      <c r="BD54" s="104" t="str">
        <f aca="false">IF(ISBLANK(C54),"",AY54)</f>
        <v/>
      </c>
      <c r="BE54" s="104" t="str">
        <f aca="false">IF(ISBLANK(C54),"",AX54)</f>
        <v/>
      </c>
      <c r="BF54" s="105" t="str">
        <f aca="false">IF(ISBLANK(C54),"",IFERROR(_xlfn.SWITCH(BE54, Constants!$B$4, COUNTA($C$8:$C553)+2, Constants!$B$5, COUNTA($C$8:$C553)+1, Constants!$B$6, COUNTA($C$8:$C553)),BE54))</f>
        <v/>
      </c>
      <c r="BG54" s="5"/>
      <c r="BH54" s="106" t="n">
        <f aca="false">IF(OR(ISNUMBER(BE54),BE54="DQ",BE54="P",BE54="NS"),
    1,
    0
)</f>
        <v>0</v>
      </c>
      <c r="BI54" s="106" t="n">
        <v>47</v>
      </c>
      <c r="BJ54" s="106" t="str">
        <f aca="false">IF(ISBLANK($C54),
    "",
   BF54+ROW($B54)/1000
)</f>
        <v/>
      </c>
      <c r="BK54" s="106" t="str">
        <f aca="false">IF(ISNUMBER(BJ54), RANK(BJ54,BJ$8:BJ$507,1), "")</f>
        <v/>
      </c>
      <c r="BL54" s="106" t="str">
        <f aca="false">IF(ISBLANK($C54),
    "",
    $B54
)</f>
        <v/>
      </c>
      <c r="BM54" s="106" t="str">
        <f aca="false">IF(ISBLANK($C54),
    "",
    $C54
)</f>
        <v/>
      </c>
      <c r="BN54" s="106" t="str">
        <f aca="false">IF(ISBLANK($C54),
    "",
    $D54
)</f>
        <v/>
      </c>
      <c r="BO54" s="107" t="str">
        <f aca="false">BC54</f>
        <v/>
      </c>
      <c r="BP54" s="108" t="str">
        <f aca="false">BB54</f>
        <v/>
      </c>
      <c r="BQ54" s="106" t="str">
        <f aca="false">IF(ISBLANK($C54),
    "",
    BE54
)</f>
        <v/>
      </c>
      <c r="BR54" s="109" t="str">
        <f aca="false">IF(BI54&gt;BH$7,
    "",
    VLOOKUP(BI54,BK$8:BQ553,7,FALSE())
)</f>
        <v/>
      </c>
      <c r="BS54" s="110" t="str">
        <f aca="false">IF(BI54&gt;BH$7,
    "",
    VLOOKUP(BI54,BK$8:BQ553,2,FALSE())
)</f>
        <v/>
      </c>
      <c r="BT54" s="110" t="str">
        <f aca="false">IF(BI54&gt;BH$7,
    "",
    VLOOKUP(BI54,BK$8:BQ553,3,FALSE())
)</f>
        <v/>
      </c>
      <c r="BU54" s="110" t="str">
        <f aca="false">IF(BI54&gt;BH$7,
    "",
    VLOOKUP(BI54,BK$8:BQ553,4,FALSE())
)</f>
        <v/>
      </c>
      <c r="BV54" s="110" t="str">
        <f aca="false">IF(BI54&gt;BH$7,
    "",
    VLOOKUP(BI54,BK$8:BQ553,5,FALSE())
)</f>
        <v/>
      </c>
      <c r="BW54" s="111" t="str">
        <f aca="false">IF(BI54&gt;BH$7,
    "",
    VLOOKUP(BI54,BK$8:BQ553,6,FALSE())
)</f>
        <v/>
      </c>
      <c r="BX54" s="50"/>
    </row>
    <row r="55" customFormat="false" ht="15.75" hidden="false" customHeight="false" outlineLevel="0" collapsed="false">
      <c r="A55" s="5"/>
      <c r="B55" s="122"/>
      <c r="C55" s="123"/>
      <c r="D55" s="112"/>
      <c r="E55" s="116"/>
      <c r="F55" s="116"/>
      <c r="G55" s="88"/>
      <c r="H55" s="89"/>
      <c r="I55" s="125"/>
      <c r="J55" s="125"/>
      <c r="K55" s="125"/>
      <c r="L55" s="91"/>
      <c r="M55" s="91"/>
      <c r="N55" s="91"/>
      <c r="O55" s="92"/>
      <c r="P55" s="93"/>
      <c r="Q55" s="125"/>
      <c r="R55" s="95"/>
      <c r="S55" s="96"/>
      <c r="T55" s="96" t="str">
        <f aca="false">IF(ISBLANK($C55),"",IF(G55=Constants!$B$2, TRUE(), IF(G55=Constants!$B$3, FALSE(), TRUE())))</f>
        <v/>
      </c>
      <c r="U55" s="96" t="str">
        <f aca="false">IF(ISBLANK($C55),"",IF(H55=Constants!$B$2, TRUE(), IF(H55=Constants!$B$3, FALSE(), TRUE())))</f>
        <v/>
      </c>
      <c r="V55" s="96" t="str">
        <f aca="false">IF(ISBLANK($C55),"",IF(I55=Constants!$B$2, TRUE(), IF(I55=Constants!$B$3, FALSE(), TRUE())))</f>
        <v/>
      </c>
      <c r="W55" s="96" t="str">
        <f aca="false">IF(ISBLANK($C55),"",IF(J55=Constants!$B$2, TRUE(), IF(J55=Constants!$B$3, FALSE(), TRUE())))</f>
        <v/>
      </c>
      <c r="X55" s="97" t="str">
        <f aca="false">IF(ISBLANK($C55),"",IF(K55=Constants!$B$2, TRUE(), IF(K55=Constants!$B$3, FALSE(), TRUE())))</f>
        <v/>
      </c>
      <c r="Y55" s="98" t="str">
        <f aca="false">IF(ISBLANK($C55),"",IF(ISNUMBER(L55), L55, ""))</f>
        <v/>
      </c>
      <c r="Z55" s="98" t="str">
        <f aca="false">IF(ISBLANK($C55),"",IF(ISNUMBER(M55), M55, ""))</f>
        <v/>
      </c>
      <c r="AA55" s="98" t="str">
        <f aca="false">IF(ISBLANK($C55),"",IF(ISNUMBER(N55), N55, ""))</f>
        <v/>
      </c>
      <c r="AB55" s="99" t="str">
        <f aca="false">IF(ISBLANK($C55),"",IF(ISNUMBER(O55), O55, ""))</f>
        <v/>
      </c>
      <c r="AC55" s="99" t="str">
        <f aca="false">IF(ISBLANK($C55),"",IF(ISNUMBER(P55), P55, Constants!$B$13))</f>
        <v/>
      </c>
      <c r="AD55" s="96" t="str">
        <f aca="false">IF(ISBLANK($C55),"",IF(Q55=Constants!$B$2, TRUE(), IF(Q55=Constants!$B$3, FALSE(), FALSE())))</f>
        <v/>
      </c>
      <c r="AE55" s="96" t="str">
        <f aca="false">IF(ISBLANK(C55), "", IF(AD55, Constants!$B$4,IF(COUNTA(G55:O55)=0, Constants!$B$5, Constants!$B$7)))</f>
        <v/>
      </c>
      <c r="AF55" s="96" t="str">
        <f aca="false">IF(ISBLANK($C55), "",IF($AE55=Constants!$B$7,1,$AE55))</f>
        <v/>
      </c>
      <c r="AG55" s="96" t="str">
        <f aca="false">IF($AE55=Constants!$B$7,IF(V55, 1, Constants!$B$11) * IF(X55, 1, Constants!$B$12),"")</f>
        <v/>
      </c>
      <c r="AH55" s="96" t="str">
        <f aca="false">IF(AND($AE55=Constants!$B$7, T55, U55) ,MAX(0, $AA55-$Y55),"")</f>
        <v/>
      </c>
      <c r="AI55" s="96" t="str">
        <f aca="false">IF(ISERROR(AH55),$AI$6,"")</f>
        <v/>
      </c>
      <c r="AJ55" s="96" t="str">
        <f aca="false">IF($AE55=Constants!$B$7,IF(AND(T55,U55,W55),IF($AH$6=0,Constants!$B$9,Constants!$B$9*AH55/$AH$6), 0),"")</f>
        <v/>
      </c>
      <c r="AK55" s="96" t="str">
        <f aca="false">IF(AJ55&lt;&gt;"", AJ55*AG55,"")</f>
        <v/>
      </c>
      <c r="AL55" s="96" t="str">
        <f aca="false">IF(AND($AE55=Constants!$B$7, T55, U55) ,IF($Z55="", "", MAX(0,1-ABS($AA55-$Z55)/$AA55)),"")</f>
        <v/>
      </c>
      <c r="AM55" s="96" t="str">
        <f aca="false">IF(AND(NOT(ISERROR(AH55)),ISERROR(AL55)),$AM$6,"")</f>
        <v/>
      </c>
      <c r="AN55" s="96" t="str">
        <f aca="false">IF($AE55=Constants!$B$7 ,IF(AND(T55,U55,W55,ISNUMBER(Z55)),IF($AL$6=0,Constants!$B$10,Constants!$B$10*AL55/$AL$6), 0),"")</f>
        <v/>
      </c>
      <c r="AO55" s="96" t="str">
        <f aca="false">IF(AN55&lt;&gt;"", AN55*AG55,"")</f>
        <v/>
      </c>
      <c r="AP55" s="96" t="str">
        <f aca="false">IF($AE55=Constants!$B$7,IF($AP$6=0,Constants!$B$8,Constants!$B$8*AB55/$AP$6),"")</f>
        <v/>
      </c>
      <c r="AQ55" s="96" t="str">
        <f aca="false">IF($AE55&lt;&gt;Constants!$B$7,$AE55,AK55+AO55+AP55)</f>
        <v/>
      </c>
      <c r="AR55" s="96" t="str">
        <f aca="false">IF(ISBLANK($C55),"",IF($AE55=Constants!$B$7,RANK(AQ55,$AQ$8:$AQ$507),$AE55))</f>
        <v/>
      </c>
      <c r="AS55" s="96" t="str">
        <f aca="false">IF(ISBLANK($C55), "",AK55)</f>
        <v/>
      </c>
      <c r="AT55" s="96" t="str">
        <f aca="false">IF(ISBLANK($C55),"",IF($AE55=Constants!$B$7,RANK(AS55,AS$8:AS$507),$AE55))</f>
        <v/>
      </c>
      <c r="AU55" s="96" t="str">
        <f aca="false">IF(ISBLANK($C55), "",AP55)</f>
        <v/>
      </c>
      <c r="AV55" s="96" t="str">
        <f aca="false">IF(ISBLANK($C55),"",IF($AE55=Constants!$B$7,RANK(AU55,AU$8:AU$507),$AE55))</f>
        <v/>
      </c>
      <c r="AW55" s="96" t="str">
        <f aca="false">IF(ISBLANK($C55), "",AC55)</f>
        <v/>
      </c>
      <c r="AX55" s="96" t="str">
        <f aca="false">IF(ISBLANK($C55),"",
IF($AE55=Constants!$B$7,
  COUNTIFS($AR$8:$AR$507,"&lt;"&amp;$AR55)
  + COUNTIFS($AR$8:$AR$507,$AR55,$AT$8:$AT$507,"&lt;"&amp;$AT55)
  + COUNTIFS($AR$8:$AR$507,$AR55,$AT$8:$AT$507,$AT55,$AV$8:$AV$507,"&lt;"&amp;$AV55)
  + COUNTIFS($AR$8:$AR$507,$AR55,$AT$8:$AT$507,$AT55,$AV$8:$AV$507,$AV55,$AW$8:$AW$507,"&lt;"&amp;$AW55)
  + 1,
$AE55))</f>
        <v/>
      </c>
      <c r="AY55" s="96" t="str">
        <f aca="false">IF(ISBLANK(C55),"",IF($AE55=Constants!$B$7, AR55-AX55,$AE55))</f>
        <v/>
      </c>
      <c r="AZ55" s="100"/>
      <c r="BA55" s="101" t="str">
        <f aca="false">IF(ISBLANK($C55),"",TRIM(AI55&amp;" "&amp;AM55))</f>
        <v/>
      </c>
      <c r="BB55" s="102" t="str">
        <f aca="false">IF(ISBLANK($C55),"",IF($AE55&lt;&gt;Constants!$B$7, $AE55 ,AQ55))</f>
        <v/>
      </c>
      <c r="BC55" s="103" t="str">
        <f aca="false">IF(ISBLANK($C55),"",IF($AE55&lt;&gt;Constants!$B$7, $AE55 ,AF55))</f>
        <v/>
      </c>
      <c r="BD55" s="104" t="str">
        <f aca="false">IF(ISBLANK(C55),"",AY55)</f>
        <v/>
      </c>
      <c r="BE55" s="104" t="str">
        <f aca="false">IF(ISBLANK(C55),"",AX55)</f>
        <v/>
      </c>
      <c r="BF55" s="105" t="str">
        <f aca="false">IF(ISBLANK(C55),"",IFERROR(_xlfn.SWITCH(BE55, Constants!$B$4, COUNTA($C$8:$C554)+2, Constants!$B$5, COUNTA($C$8:$C554)+1, Constants!$B$6, COUNTA($C$8:$C554)),BE55))</f>
        <v/>
      </c>
      <c r="BG55" s="5"/>
      <c r="BH55" s="106" t="n">
        <f aca="false">IF(OR(ISNUMBER(BE55),BE55="DQ",BE55="P",BE55="NS"),
    1,
    0
)</f>
        <v>0</v>
      </c>
      <c r="BI55" s="106" t="n">
        <v>48</v>
      </c>
      <c r="BJ55" s="106" t="str">
        <f aca="false">IF(ISBLANK($C55),
    "",
   BF55+ROW($B55)/1000
)</f>
        <v/>
      </c>
      <c r="BK55" s="106" t="str">
        <f aca="false">IF(ISNUMBER(BJ55), RANK(BJ55,BJ$8:BJ$507,1), "")</f>
        <v/>
      </c>
      <c r="BL55" s="106" t="str">
        <f aca="false">IF(ISBLANK($C55),
    "",
    $B55
)</f>
        <v/>
      </c>
      <c r="BM55" s="106" t="str">
        <f aca="false">IF(ISBLANK($C55),
    "",
    $C55
)</f>
        <v/>
      </c>
      <c r="BN55" s="106" t="str">
        <f aca="false">IF(ISBLANK($C55),
    "",
    $D55
)</f>
        <v/>
      </c>
      <c r="BO55" s="107" t="str">
        <f aca="false">BC55</f>
        <v/>
      </c>
      <c r="BP55" s="108" t="str">
        <f aca="false">BB55</f>
        <v/>
      </c>
      <c r="BQ55" s="106" t="str">
        <f aca="false">IF(ISBLANK($C55),
    "",
    BE55
)</f>
        <v/>
      </c>
      <c r="BR55" s="109" t="str">
        <f aca="false">IF(BI55&gt;BH$7,
    "",
    VLOOKUP(BI55,BK$8:BQ554,7,FALSE())
)</f>
        <v/>
      </c>
      <c r="BS55" s="110" t="str">
        <f aca="false">IF(BI55&gt;BH$7,
    "",
    VLOOKUP(BI55,BK$8:BQ554,2,FALSE())
)</f>
        <v/>
      </c>
      <c r="BT55" s="110" t="str">
        <f aca="false">IF(BI55&gt;BH$7,
    "",
    VLOOKUP(BI55,BK$8:BQ554,3,FALSE())
)</f>
        <v/>
      </c>
      <c r="BU55" s="110" t="str">
        <f aca="false">IF(BI55&gt;BH$7,
    "",
    VLOOKUP(BI55,BK$8:BQ554,4,FALSE())
)</f>
        <v/>
      </c>
      <c r="BV55" s="110" t="str">
        <f aca="false">IF(BI55&gt;BH$7,
    "",
    VLOOKUP(BI55,BK$8:BQ554,5,FALSE())
)</f>
        <v/>
      </c>
      <c r="BW55" s="111" t="str">
        <f aca="false">IF(BI55&gt;BH$7,
    "",
    VLOOKUP(BI55,BK$8:BQ554,6,FALSE())
)</f>
        <v/>
      </c>
      <c r="BX55" s="50"/>
    </row>
    <row r="56" customFormat="false" ht="15.75" hidden="false" customHeight="false" outlineLevel="0" collapsed="false">
      <c r="A56" s="5"/>
      <c r="B56" s="126"/>
      <c r="C56" s="52"/>
      <c r="D56" s="53"/>
      <c r="E56" s="120"/>
      <c r="F56" s="120"/>
      <c r="G56" s="55"/>
      <c r="H56" s="56"/>
      <c r="I56" s="80"/>
      <c r="J56" s="80"/>
      <c r="K56" s="80"/>
      <c r="L56" s="58"/>
      <c r="M56" s="58"/>
      <c r="N56" s="58"/>
      <c r="O56" s="59"/>
      <c r="P56" s="60"/>
      <c r="Q56" s="80"/>
      <c r="R56" s="62"/>
      <c r="S56" s="63"/>
      <c r="T56" s="63" t="str">
        <f aca="false">IF(ISBLANK($C56),"",IF(G56=Constants!$B$2, TRUE(), IF(G56=Constants!$B$3, FALSE(), TRUE())))</f>
        <v/>
      </c>
      <c r="U56" s="63" t="str">
        <f aca="false">IF(ISBLANK($C56),"",IF(H56=Constants!$B$2, TRUE(), IF(H56=Constants!$B$3, FALSE(), TRUE())))</f>
        <v/>
      </c>
      <c r="V56" s="63" t="str">
        <f aca="false">IF(ISBLANK($C56),"",IF(I56=Constants!$B$2, TRUE(), IF(I56=Constants!$B$3, FALSE(), TRUE())))</f>
        <v/>
      </c>
      <c r="W56" s="63" t="str">
        <f aca="false">IF(ISBLANK($C56),"",IF(J56=Constants!$B$2, TRUE(), IF(J56=Constants!$B$3, FALSE(), TRUE())))</f>
        <v/>
      </c>
      <c r="X56" s="63" t="str">
        <f aca="false">IF(ISBLANK($C56),"",IF(K56=Constants!$B$2, TRUE(), IF(K56=Constants!$B$3, FALSE(), TRUE())))</f>
        <v/>
      </c>
      <c r="Y56" s="65" t="str">
        <f aca="false">IF(ISBLANK($C56),"",IF(ISNUMBER(L56), L56, ""))</f>
        <v/>
      </c>
      <c r="Z56" s="65" t="str">
        <f aca="false">IF(ISBLANK($C56),"",IF(ISNUMBER(M56), M56, ""))</f>
        <v/>
      </c>
      <c r="AA56" s="65" t="str">
        <f aca="false">IF(ISBLANK($C56),"",IF(ISNUMBER(N56), N56, ""))</f>
        <v/>
      </c>
      <c r="AB56" s="66" t="str">
        <f aca="false">IF(ISBLANK($C56),"",IF(ISNUMBER(O56), O56, ""))</f>
        <v/>
      </c>
      <c r="AC56" s="66" t="str">
        <f aca="false">IF(ISBLANK($C56),"",IF(ISNUMBER(P56), P56, Constants!$B$13))</f>
        <v/>
      </c>
      <c r="AD56" s="63" t="str">
        <f aca="false">IF(ISBLANK($C56),"",IF(Q56=Constants!$B$2, TRUE(), IF(Q56=Constants!$B$3, FALSE(), FALSE())))</f>
        <v/>
      </c>
      <c r="AE56" s="63" t="str">
        <f aca="false">IF(ISBLANK(C56), "", IF(AD56, Constants!$B$4,IF(COUNTA(G56:O56)=0, Constants!$B$5, Constants!$B$7)))</f>
        <v/>
      </c>
      <c r="AF56" s="63" t="str">
        <f aca="false">IF(ISBLANK($C56), "",IF($AE56=Constants!$B$7,1,$AE56))</f>
        <v/>
      </c>
      <c r="AG56" s="63" t="str">
        <f aca="false">IF($AE56=Constants!$B$7,IF(V56, 1, Constants!$B$11) * IF(X56, 1, Constants!$B$12),"")</f>
        <v/>
      </c>
      <c r="AH56" s="63" t="str">
        <f aca="false">IF(AND($AE56=Constants!$B$7, T56, U56) ,MAX(0, $AA56-$Y56),"")</f>
        <v/>
      </c>
      <c r="AI56" s="63" t="str">
        <f aca="false">IF(ISERROR(AH56),$AI$6,"")</f>
        <v/>
      </c>
      <c r="AJ56" s="63" t="str">
        <f aca="false">IF($AE56=Constants!$B$7,IF(AND(T56,U56,W56),IF($AH$6=0,Constants!$B$9,Constants!$B$9*AH56/$AH$6), 0),"")</f>
        <v/>
      </c>
      <c r="AK56" s="63" t="str">
        <f aca="false">IF(AJ56&lt;&gt;"", AJ56*AG56,"")</f>
        <v/>
      </c>
      <c r="AL56" s="63" t="str">
        <f aca="false">IF(AND($AE56=Constants!$B$7, T56, U56) ,IF($Z56="", "", MAX(0,1-ABS($AA56-$Z56)/$AA56)),"")</f>
        <v/>
      </c>
      <c r="AM56" s="63" t="str">
        <f aca="false">IF(AND(NOT(ISERROR(AH56)),ISERROR(AL56)),$AM$6,"")</f>
        <v/>
      </c>
      <c r="AN56" s="63" t="str">
        <f aca="false">IF($AE56=Constants!$B$7 ,IF(AND(T56,U56,W56,ISNUMBER(Z56)),IF($AL$6=0,Constants!$B$10,Constants!$B$10*AL56/$AL$6), 0),"")</f>
        <v/>
      </c>
      <c r="AO56" s="63" t="str">
        <f aca="false">IF(AN56&lt;&gt;"", AN56*AG56,"")</f>
        <v/>
      </c>
      <c r="AP56" s="63" t="str">
        <f aca="false">IF($AE56=Constants!$B$7,IF($AP$6=0,Constants!$B$8,Constants!$B$8*AB56/$AP$6),"")</f>
        <v/>
      </c>
      <c r="AQ56" s="63" t="str">
        <f aca="false">IF($AE56&lt;&gt;Constants!$B$7,$AE56,AK56+AO56+AP56)</f>
        <v/>
      </c>
      <c r="AR56" s="63" t="str">
        <f aca="false">IF(ISBLANK($C56),"",IF($AE56=Constants!$B$7,RANK(AQ56,$AQ$8:$AQ$507),$AE56))</f>
        <v/>
      </c>
      <c r="AS56" s="63" t="str">
        <f aca="false">IF(ISBLANK($C56), "",AK56)</f>
        <v/>
      </c>
      <c r="AT56" s="63" t="str">
        <f aca="false">IF(ISBLANK($C56),"",IF($AE56=Constants!$B$7,RANK(AS56,AS$8:AS$507),$AE56))</f>
        <v/>
      </c>
      <c r="AU56" s="63" t="str">
        <f aca="false">IF(ISBLANK($C56), "",AP56)</f>
        <v/>
      </c>
      <c r="AV56" s="63" t="str">
        <f aca="false">IF(ISBLANK($C56),"",IF($AE56=Constants!$B$7,RANK(AU56,AU$8:AU$507),$AE56))</f>
        <v/>
      </c>
      <c r="AW56" s="63" t="str">
        <f aca="false">IF(ISBLANK($C56), "",AC56)</f>
        <v/>
      </c>
      <c r="AX56" s="63" t="str">
        <f aca="false">IF(ISBLANK($C56),"",
IF($AE56=Constants!$B$7,
  COUNTIFS($AR$8:$AR$507,"&lt;"&amp;$AR56)
  + COUNTIFS($AR$8:$AR$507,$AR56,$AT$8:$AT$507,"&lt;"&amp;$AT56)
  + COUNTIFS($AR$8:$AR$507,$AR56,$AT$8:$AT$507,$AT56,$AV$8:$AV$507,"&lt;"&amp;$AV56)
  + COUNTIFS($AR$8:$AR$507,$AR56,$AT$8:$AT$507,$AT56,$AV$8:$AV$507,$AV56,$AW$8:$AW$507,"&lt;"&amp;$AW56)
  + 1,
$AE56))</f>
        <v/>
      </c>
      <c r="AY56" s="63" t="str">
        <f aca="false">IF(ISBLANK(C56),"",IF($AE56=Constants!$B$7, AR56-AX56,$AE56))</f>
        <v/>
      </c>
      <c r="AZ56" s="67"/>
      <c r="BA56" s="81" t="str">
        <f aca="false">IF(ISBLANK($C56),"",TRIM(AI56&amp;" "&amp;AM56))</f>
        <v/>
      </c>
      <c r="BB56" s="69" t="str">
        <f aca="false">IF(ISBLANK($C56),"",IF($AE56&lt;&gt;Constants!$B$7, $AE56 ,AQ56))</f>
        <v/>
      </c>
      <c r="BC56" s="70" t="str">
        <f aca="false">IF(ISBLANK($C56),"",IF($AE56&lt;&gt;Constants!$B$7, $AE56 ,AF56))</f>
        <v/>
      </c>
      <c r="BD56" s="71" t="str">
        <f aca="false">IF(ISBLANK(C56),"",AY56)</f>
        <v/>
      </c>
      <c r="BE56" s="71" t="str">
        <f aca="false">IF(ISBLANK(C56),"",AX56)</f>
        <v/>
      </c>
      <c r="BF56" s="72" t="str">
        <f aca="false">IF(ISBLANK(C56),"",IFERROR(_xlfn.SWITCH(BE56, Constants!$B$4, COUNTA($C$8:$C555)+2, Constants!$B$5, COUNTA($C$8:$C555)+1, Constants!$B$6, COUNTA($C$8:$C555)),BE56))</f>
        <v/>
      </c>
      <c r="BG56" s="5"/>
      <c r="BH56" s="73" t="n">
        <f aca="false">IF(OR(ISNUMBER(BE56),BE56="DQ",BE56="P",BE56="NS"),
    1,
    0
)</f>
        <v>0</v>
      </c>
      <c r="BI56" s="73" t="n">
        <v>49</v>
      </c>
      <c r="BJ56" s="73" t="str">
        <f aca="false">IF(ISBLANK($C56),
    "",
   BF56+ROW($B56)/1000
)</f>
        <v/>
      </c>
      <c r="BK56" s="73" t="str">
        <f aca="false">IF(ISNUMBER(BJ56), RANK(BJ56,BJ$8:BJ$507,1), "")</f>
        <v/>
      </c>
      <c r="BL56" s="73" t="str">
        <f aca="false">IF(ISBLANK($C56),
    "",
    $B56
)</f>
        <v/>
      </c>
      <c r="BM56" s="73" t="str">
        <f aca="false">IF(ISBLANK($C56),
    "",
    $C56
)</f>
        <v/>
      </c>
      <c r="BN56" s="73" t="str">
        <f aca="false">IF(ISBLANK($C56),
    "",
    $D56
)</f>
        <v/>
      </c>
      <c r="BO56" s="74" t="str">
        <f aca="false">BC56</f>
        <v/>
      </c>
      <c r="BP56" s="75" t="str">
        <f aca="false">BB56</f>
        <v/>
      </c>
      <c r="BQ56" s="73" t="str">
        <f aca="false">IF(ISBLANK($C56),
    "",
    BE56
)</f>
        <v/>
      </c>
      <c r="BR56" s="76" t="str">
        <f aca="false">IF(BI56&gt;BH$7,
    "",
    VLOOKUP(BI56,BK$8:BQ555,7,FALSE())
)</f>
        <v/>
      </c>
      <c r="BS56" s="77" t="str">
        <f aca="false">IF(BI56&gt;BH$7,
    "",
    VLOOKUP(BI56,BK$8:BQ555,2,FALSE())
)</f>
        <v/>
      </c>
      <c r="BT56" s="77" t="str">
        <f aca="false">IF(BI56&gt;BH$7,
    "",
    VLOOKUP(BI56,BK$8:BQ555,3,FALSE())
)</f>
        <v/>
      </c>
      <c r="BU56" s="77" t="str">
        <f aca="false">IF(BI56&gt;BH$7,
    "",
    VLOOKUP(BI56,BK$8:BQ555,4,FALSE())
)</f>
        <v/>
      </c>
      <c r="BV56" s="77" t="str">
        <f aca="false">IF(BI56&gt;BH$7,
    "",
    VLOOKUP(BI56,BK$8:BQ555,5,FALSE())
)</f>
        <v/>
      </c>
      <c r="BW56" s="78" t="str">
        <f aca="false">IF(BI56&gt;BH$7,
    "",
    VLOOKUP(BI56,BK$8:BQ555,6,FALSE())
)</f>
        <v/>
      </c>
      <c r="BX56" s="50"/>
    </row>
    <row r="57" customFormat="false" ht="15.75" hidden="false" customHeight="false" outlineLevel="0" collapsed="false">
      <c r="A57" s="5"/>
      <c r="B57" s="126"/>
      <c r="C57" s="52"/>
      <c r="D57" s="53"/>
      <c r="E57" s="120"/>
      <c r="F57" s="120"/>
      <c r="G57" s="55"/>
      <c r="H57" s="56"/>
      <c r="I57" s="80"/>
      <c r="J57" s="80"/>
      <c r="K57" s="80"/>
      <c r="L57" s="58"/>
      <c r="M57" s="58"/>
      <c r="N57" s="58"/>
      <c r="O57" s="59"/>
      <c r="P57" s="60"/>
      <c r="Q57" s="80"/>
      <c r="R57" s="62"/>
      <c r="S57" s="63"/>
      <c r="T57" s="63" t="str">
        <f aca="false">IF(ISBLANK($C57),"",IF(G57=Constants!$B$2, TRUE(), IF(G57=Constants!$B$3, FALSE(), TRUE())))</f>
        <v/>
      </c>
      <c r="U57" s="63" t="str">
        <f aca="false">IF(ISBLANK($C57),"",IF(H57=Constants!$B$2, TRUE(), IF(H57=Constants!$B$3, FALSE(), TRUE())))</f>
        <v/>
      </c>
      <c r="V57" s="63" t="str">
        <f aca="false">IF(ISBLANK($C57),"",IF(I57=Constants!$B$2, TRUE(), IF(I57=Constants!$B$3, FALSE(), TRUE())))</f>
        <v/>
      </c>
      <c r="W57" s="63" t="str">
        <f aca="false">IF(ISBLANK($C57),"",IF(J57=Constants!$B$2, TRUE(), IF(J57=Constants!$B$3, FALSE(), TRUE())))</f>
        <v/>
      </c>
      <c r="X57" s="63" t="str">
        <f aca="false">IF(ISBLANK($C57),"",IF(K57=Constants!$B$2, TRUE(), IF(K57=Constants!$B$3, FALSE(), TRUE())))</f>
        <v/>
      </c>
      <c r="Y57" s="65" t="str">
        <f aca="false">IF(ISBLANK($C57),"",IF(ISNUMBER(L57), L57, ""))</f>
        <v/>
      </c>
      <c r="Z57" s="65" t="str">
        <f aca="false">IF(ISBLANK($C57),"",IF(ISNUMBER(M57), M57, ""))</f>
        <v/>
      </c>
      <c r="AA57" s="65" t="str">
        <f aca="false">IF(ISBLANK($C57),"",IF(ISNUMBER(N57), N57, ""))</f>
        <v/>
      </c>
      <c r="AB57" s="66" t="str">
        <f aca="false">IF(ISBLANK($C57),"",IF(ISNUMBER(O57), O57, ""))</f>
        <v/>
      </c>
      <c r="AC57" s="66" t="str">
        <f aca="false">IF(ISBLANK($C57),"",IF(ISNUMBER(P57), P57, Constants!$B$13))</f>
        <v/>
      </c>
      <c r="AD57" s="63" t="str">
        <f aca="false">IF(ISBLANK($C57),"",IF(Q57=Constants!$B$2, TRUE(), IF(Q57=Constants!$B$3, FALSE(), FALSE())))</f>
        <v/>
      </c>
      <c r="AE57" s="63" t="str">
        <f aca="false">IF(ISBLANK(C57), "", IF(AD57, Constants!$B$4,IF(COUNTA(G57:O57)=0, Constants!$B$5, Constants!$B$7)))</f>
        <v/>
      </c>
      <c r="AF57" s="63" t="str">
        <f aca="false">IF(ISBLANK($C57), "",IF($AE57=Constants!$B$7,1,$AE57))</f>
        <v/>
      </c>
      <c r="AG57" s="63" t="str">
        <f aca="false">IF($AE57=Constants!$B$7,IF(V57, 1, Constants!$B$11) * IF(X57, 1, Constants!$B$12),"")</f>
        <v/>
      </c>
      <c r="AH57" s="63" t="str">
        <f aca="false">IF(AND($AE57=Constants!$B$7, T57, U57) ,MAX(0, $AA57-$Y57),"")</f>
        <v/>
      </c>
      <c r="AI57" s="63" t="str">
        <f aca="false">IF(ISERROR(AH57),$AI$6,"")</f>
        <v/>
      </c>
      <c r="AJ57" s="63" t="str">
        <f aca="false">IF($AE57=Constants!$B$7,IF(AND(T57,U57,W57),IF($AH$6=0,Constants!$B$9,Constants!$B$9*AH57/$AH$6), 0),"")</f>
        <v/>
      </c>
      <c r="AK57" s="63" t="str">
        <f aca="false">IF(AJ57&lt;&gt;"", AJ57*AG57,"")</f>
        <v/>
      </c>
      <c r="AL57" s="63" t="str">
        <f aca="false">IF(AND($AE57=Constants!$B$7, T57, U57) ,IF($Z57="", "", MAX(0,1-ABS($AA57-$Z57)/$AA57)),"")</f>
        <v/>
      </c>
      <c r="AM57" s="63" t="str">
        <f aca="false">IF(AND(NOT(ISERROR(AH57)),ISERROR(AL57)),$AM$6,"")</f>
        <v/>
      </c>
      <c r="AN57" s="63" t="str">
        <f aca="false">IF($AE57=Constants!$B$7 ,IF(AND(T57,U57,W57,ISNUMBER(Z57)),IF($AL$6=0,Constants!$B$10,Constants!$B$10*AL57/$AL$6), 0),"")</f>
        <v/>
      </c>
      <c r="AO57" s="63" t="str">
        <f aca="false">IF(AN57&lt;&gt;"", AN57*AG57,"")</f>
        <v/>
      </c>
      <c r="AP57" s="63" t="str">
        <f aca="false">IF($AE57=Constants!$B$7,IF($AP$6=0,Constants!$B$8,Constants!$B$8*AB57/$AP$6),"")</f>
        <v/>
      </c>
      <c r="AQ57" s="63" t="str">
        <f aca="false">IF($AE57&lt;&gt;Constants!$B$7,$AE57,AK57+AO57+AP57)</f>
        <v/>
      </c>
      <c r="AR57" s="63" t="str">
        <f aca="false">IF(ISBLANK($C57),"",IF($AE57=Constants!$B$7,RANK(AQ57,$AQ$8:$AQ$507),$AE57))</f>
        <v/>
      </c>
      <c r="AS57" s="63" t="str">
        <f aca="false">IF(ISBLANK($C57), "",AK57)</f>
        <v/>
      </c>
      <c r="AT57" s="63" t="str">
        <f aca="false">IF(ISBLANK($C57),"",IF($AE57=Constants!$B$7,RANK(AS57,AS$8:AS$507),$AE57))</f>
        <v/>
      </c>
      <c r="AU57" s="63" t="str">
        <f aca="false">IF(ISBLANK($C57), "",AP57)</f>
        <v/>
      </c>
      <c r="AV57" s="63" t="str">
        <f aca="false">IF(ISBLANK($C57),"",IF($AE57=Constants!$B$7,RANK(AU57,AU$8:AU$507),$AE57))</f>
        <v/>
      </c>
      <c r="AW57" s="63" t="str">
        <f aca="false">IF(ISBLANK($C57), "",AC57)</f>
        <v/>
      </c>
      <c r="AX57" s="63" t="str">
        <f aca="false">IF(ISBLANK($C57),"",
IF($AE57=Constants!$B$7,
  COUNTIFS($AR$8:$AR$507,"&lt;"&amp;$AR57)
  + COUNTIFS($AR$8:$AR$507,$AR57,$AT$8:$AT$507,"&lt;"&amp;$AT57)
  + COUNTIFS($AR$8:$AR$507,$AR57,$AT$8:$AT$507,$AT57,$AV$8:$AV$507,"&lt;"&amp;$AV57)
  + COUNTIFS($AR$8:$AR$507,$AR57,$AT$8:$AT$507,$AT57,$AV$8:$AV$507,$AV57,$AW$8:$AW$507,"&lt;"&amp;$AW57)
  + 1,
$AE57))</f>
        <v/>
      </c>
      <c r="AY57" s="63" t="str">
        <f aca="false">IF(ISBLANK(C57),"",IF($AE57=Constants!$B$7, AR57-AX57,$AE57))</f>
        <v/>
      </c>
      <c r="AZ57" s="67"/>
      <c r="BA57" s="81" t="str">
        <f aca="false">IF(ISBLANK($C57),"",TRIM(AI57&amp;" "&amp;AM57))</f>
        <v/>
      </c>
      <c r="BB57" s="69" t="str">
        <f aca="false">IF(ISBLANK($C57),"",IF($AE57&lt;&gt;Constants!$B$7, $AE57 ,AQ57))</f>
        <v/>
      </c>
      <c r="BC57" s="70" t="str">
        <f aca="false">IF(ISBLANK($C57),"",IF($AE57&lt;&gt;Constants!$B$7, $AE57 ,AF57))</f>
        <v/>
      </c>
      <c r="BD57" s="71" t="str">
        <f aca="false">IF(ISBLANK(C57),"",AY57)</f>
        <v/>
      </c>
      <c r="BE57" s="71" t="str">
        <f aca="false">IF(ISBLANK(C57),"",AX57)</f>
        <v/>
      </c>
      <c r="BF57" s="72" t="str">
        <f aca="false">IF(ISBLANK(C57),"",IFERROR(_xlfn.SWITCH(BE57, Constants!$B$4, COUNTA($C$8:$C556)+2, Constants!$B$5, COUNTA($C$8:$C556)+1, Constants!$B$6, COUNTA($C$8:$C556)),BE57))</f>
        <v/>
      </c>
      <c r="BG57" s="5"/>
      <c r="BH57" s="73" t="n">
        <f aca="false">IF(OR(ISNUMBER(BE57),BE57="DQ",BE57="P",BE57="NS"),
    1,
    0
)</f>
        <v>0</v>
      </c>
      <c r="BI57" s="73" t="n">
        <v>50</v>
      </c>
      <c r="BJ57" s="73" t="str">
        <f aca="false">IF(ISBLANK($C57),
    "",
   BF57+ROW($B57)/1000
)</f>
        <v/>
      </c>
      <c r="BK57" s="73" t="str">
        <f aca="false">IF(ISNUMBER(BJ57), RANK(BJ57,BJ$8:BJ$507,1), "")</f>
        <v/>
      </c>
      <c r="BL57" s="73" t="str">
        <f aca="false">IF(ISBLANK($C57),
    "",
    $B57
)</f>
        <v/>
      </c>
      <c r="BM57" s="73" t="str">
        <f aca="false">IF(ISBLANK($C57),
    "",
    $C57
)</f>
        <v/>
      </c>
      <c r="BN57" s="73" t="str">
        <f aca="false">IF(ISBLANK($C57),
    "",
    $D57
)</f>
        <v/>
      </c>
      <c r="BO57" s="74" t="str">
        <f aca="false">BC57</f>
        <v/>
      </c>
      <c r="BP57" s="75" t="str">
        <f aca="false">BB57</f>
        <v/>
      </c>
      <c r="BQ57" s="73" t="str">
        <f aca="false">IF(ISBLANK($C57),
    "",
    BE57
)</f>
        <v/>
      </c>
      <c r="BR57" s="76" t="str">
        <f aca="false">IF(BI57&gt;BH$7,
    "",
    VLOOKUP(BI57,BK$8:BQ556,7,FALSE())
)</f>
        <v/>
      </c>
      <c r="BS57" s="77" t="str">
        <f aca="false">IF(BI57&gt;BH$7,
    "",
    VLOOKUP(BI57,BK$8:BQ556,2,FALSE())
)</f>
        <v/>
      </c>
      <c r="BT57" s="77" t="str">
        <f aca="false">IF(BI57&gt;BH$7,
    "",
    VLOOKUP(BI57,BK$8:BQ556,3,FALSE())
)</f>
        <v/>
      </c>
      <c r="BU57" s="77" t="str">
        <f aca="false">IF(BI57&gt;BH$7,
    "",
    VLOOKUP(BI57,BK$8:BQ556,4,FALSE())
)</f>
        <v/>
      </c>
      <c r="BV57" s="77" t="str">
        <f aca="false">IF(BI57&gt;BH$7,
    "",
    VLOOKUP(BI57,BK$8:BQ556,5,FALSE())
)</f>
        <v/>
      </c>
      <c r="BW57" s="78" t="str">
        <f aca="false">IF(BI57&gt;BH$7,
    "",
    VLOOKUP(BI57,BK$8:BQ556,6,FALSE())
)</f>
        <v/>
      </c>
      <c r="BX57" s="50"/>
    </row>
    <row r="58" customFormat="false" ht="15.75" hidden="false" customHeight="false" outlineLevel="0" collapsed="false">
      <c r="A58" s="5"/>
      <c r="B58" s="126"/>
      <c r="C58" s="52"/>
      <c r="D58" s="53"/>
      <c r="E58" s="120"/>
      <c r="F58" s="120"/>
      <c r="G58" s="55"/>
      <c r="H58" s="56"/>
      <c r="I58" s="80"/>
      <c r="J58" s="80"/>
      <c r="K58" s="80"/>
      <c r="L58" s="58"/>
      <c r="M58" s="58"/>
      <c r="N58" s="58"/>
      <c r="O58" s="59"/>
      <c r="P58" s="60"/>
      <c r="Q58" s="80"/>
      <c r="R58" s="62"/>
      <c r="S58" s="63"/>
      <c r="T58" s="63" t="str">
        <f aca="false">IF(ISBLANK($C58),"",IF(G58=Constants!$B$2, TRUE(), IF(G58=Constants!$B$3, FALSE(), TRUE())))</f>
        <v/>
      </c>
      <c r="U58" s="63" t="str">
        <f aca="false">IF(ISBLANK($C58),"",IF(H58=Constants!$B$2, TRUE(), IF(H58=Constants!$B$3, FALSE(), TRUE())))</f>
        <v/>
      </c>
      <c r="V58" s="63" t="str">
        <f aca="false">IF(ISBLANK($C58),"",IF(I58=Constants!$B$2, TRUE(), IF(I58=Constants!$B$3, FALSE(), TRUE())))</f>
        <v/>
      </c>
      <c r="W58" s="63" t="str">
        <f aca="false">IF(ISBLANK($C58),"",IF(J58=Constants!$B$2, TRUE(), IF(J58=Constants!$B$3, FALSE(), TRUE())))</f>
        <v/>
      </c>
      <c r="X58" s="63" t="str">
        <f aca="false">IF(ISBLANK($C58),"",IF(K58=Constants!$B$2, TRUE(), IF(K58=Constants!$B$3, FALSE(), TRUE())))</f>
        <v/>
      </c>
      <c r="Y58" s="65" t="str">
        <f aca="false">IF(ISBLANK($C58),"",IF(ISNUMBER(L58), L58, ""))</f>
        <v/>
      </c>
      <c r="Z58" s="65" t="str">
        <f aca="false">IF(ISBLANK($C58),"",IF(ISNUMBER(M58), M58, ""))</f>
        <v/>
      </c>
      <c r="AA58" s="65" t="str">
        <f aca="false">IF(ISBLANK($C58),"",IF(ISNUMBER(N58), N58, ""))</f>
        <v/>
      </c>
      <c r="AB58" s="66" t="str">
        <f aca="false">IF(ISBLANK($C58),"",IF(ISNUMBER(O58), O58, ""))</f>
        <v/>
      </c>
      <c r="AC58" s="66" t="str">
        <f aca="false">IF(ISBLANK($C58),"",IF(ISNUMBER(P58), P58, Constants!$B$13))</f>
        <v/>
      </c>
      <c r="AD58" s="63" t="str">
        <f aca="false">IF(ISBLANK($C58),"",IF(Q58=Constants!$B$2, TRUE(), IF(Q58=Constants!$B$3, FALSE(), FALSE())))</f>
        <v/>
      </c>
      <c r="AE58" s="63" t="str">
        <f aca="false">IF(ISBLANK(C58), "", IF(AD58, Constants!$B$4,IF(COUNTA(G58:O58)=0, Constants!$B$5, Constants!$B$7)))</f>
        <v/>
      </c>
      <c r="AF58" s="63" t="str">
        <f aca="false">IF(ISBLANK($C58), "",IF($AE58=Constants!$B$7,1,$AE58))</f>
        <v/>
      </c>
      <c r="AG58" s="63" t="str">
        <f aca="false">IF($AE58=Constants!$B$7,IF(V58, 1, Constants!$B$11) * IF(X58, 1, Constants!$B$12),"")</f>
        <v/>
      </c>
      <c r="AH58" s="63" t="str">
        <f aca="false">IF(AND($AE58=Constants!$B$7, T58, U58) ,MAX(0, $AA58-$Y58),"")</f>
        <v/>
      </c>
      <c r="AI58" s="63" t="str">
        <f aca="false">IF(ISERROR(AH58),$AI$6,"")</f>
        <v/>
      </c>
      <c r="AJ58" s="63" t="str">
        <f aca="false">IF($AE58=Constants!$B$7,IF(AND(T58,U58,W58),IF($AH$6=0,Constants!$B$9,Constants!$B$9*AH58/$AH$6), 0),"")</f>
        <v/>
      </c>
      <c r="AK58" s="63" t="str">
        <f aca="false">IF(AJ58&lt;&gt;"", AJ58*AG58,"")</f>
        <v/>
      </c>
      <c r="AL58" s="63" t="str">
        <f aca="false">IF(AND($AE58=Constants!$B$7, T58, U58) ,IF($Z58="", "", MAX(0,1-ABS($AA58-$Z58)/$AA58)),"")</f>
        <v/>
      </c>
      <c r="AM58" s="63" t="str">
        <f aca="false">IF(AND(NOT(ISERROR(AH58)),ISERROR(AL58)),$AM$6,"")</f>
        <v/>
      </c>
      <c r="AN58" s="63" t="str">
        <f aca="false">IF($AE58=Constants!$B$7 ,IF(AND(T58,U58,W58,ISNUMBER(Z58)),IF($AL$6=0,Constants!$B$10,Constants!$B$10*AL58/$AL$6), 0),"")</f>
        <v/>
      </c>
      <c r="AO58" s="63" t="str">
        <f aca="false">IF(AN58&lt;&gt;"", AN58*AG58,"")</f>
        <v/>
      </c>
      <c r="AP58" s="63" t="str">
        <f aca="false">IF($AE58=Constants!$B$7,IF($AP$6=0,Constants!$B$8,Constants!$B$8*AB58/$AP$6),"")</f>
        <v/>
      </c>
      <c r="AQ58" s="63" t="str">
        <f aca="false">IF($AE58&lt;&gt;Constants!$B$7,$AE58,AK58+AO58+AP58)</f>
        <v/>
      </c>
      <c r="AR58" s="63" t="str">
        <f aca="false">IF(ISBLANK($C58),"",IF($AE58=Constants!$B$7,RANK(AQ58,$AQ$8:$AQ$507),$AE58))</f>
        <v/>
      </c>
      <c r="AS58" s="63" t="str">
        <f aca="false">IF(ISBLANK($C58), "",AK58)</f>
        <v/>
      </c>
      <c r="AT58" s="63" t="str">
        <f aca="false">IF(ISBLANK($C58),"",IF($AE58=Constants!$B$7,RANK(AS58,AS$8:AS$507),$AE58))</f>
        <v/>
      </c>
      <c r="AU58" s="63" t="str">
        <f aca="false">IF(ISBLANK($C58), "",AP58)</f>
        <v/>
      </c>
      <c r="AV58" s="63" t="str">
        <f aca="false">IF(ISBLANK($C58),"",IF($AE58=Constants!$B$7,RANK(AU58,AU$8:AU$507),$AE58))</f>
        <v/>
      </c>
      <c r="AW58" s="63" t="str">
        <f aca="false">IF(ISBLANK($C58), "",AC58)</f>
        <v/>
      </c>
      <c r="AX58" s="63" t="str">
        <f aca="false">IF(ISBLANK($C58),"",
IF($AE58=Constants!$B$7,
  COUNTIFS($AR$8:$AR$507,"&lt;"&amp;$AR58)
  + COUNTIFS($AR$8:$AR$507,$AR58,$AT$8:$AT$507,"&lt;"&amp;$AT58)
  + COUNTIFS($AR$8:$AR$507,$AR58,$AT$8:$AT$507,$AT58,$AV$8:$AV$507,"&lt;"&amp;$AV58)
  + COUNTIFS($AR$8:$AR$507,$AR58,$AT$8:$AT$507,$AT58,$AV$8:$AV$507,$AV58,$AW$8:$AW$507,"&lt;"&amp;$AW58)
  + 1,
$AE58))</f>
        <v/>
      </c>
      <c r="AY58" s="63" t="str">
        <f aca="false">IF(ISBLANK(C58),"",IF($AE58=Constants!$B$7, AR58-AX58,$AE58))</f>
        <v/>
      </c>
      <c r="AZ58" s="67"/>
      <c r="BA58" s="81" t="str">
        <f aca="false">IF(ISBLANK($C58),"",TRIM(AI58&amp;" "&amp;AM58))</f>
        <v/>
      </c>
      <c r="BB58" s="69" t="str">
        <f aca="false">IF(ISBLANK($C58),"",IF($AE58&lt;&gt;Constants!$B$7, $AE58 ,AQ58))</f>
        <v/>
      </c>
      <c r="BC58" s="70" t="str">
        <f aca="false">IF(ISBLANK($C58),"",IF($AE58&lt;&gt;Constants!$B$7, $AE58 ,AF58))</f>
        <v/>
      </c>
      <c r="BD58" s="71" t="str">
        <f aca="false">IF(ISBLANK(C58),"",AY58)</f>
        <v/>
      </c>
      <c r="BE58" s="71" t="str">
        <f aca="false">IF(ISBLANK(C58),"",AX58)</f>
        <v/>
      </c>
      <c r="BF58" s="72" t="str">
        <f aca="false">IF(ISBLANK(C58),"",IFERROR(_xlfn.SWITCH(BE58, Constants!$B$4, COUNTA($C$8:$C557)+2, Constants!$B$5, COUNTA($C$8:$C557)+1, Constants!$B$6, COUNTA($C$8:$C557)),BE58))</f>
        <v/>
      </c>
      <c r="BG58" s="5"/>
      <c r="BH58" s="73" t="n">
        <f aca="false">IF(OR(ISNUMBER(BE58),BE58="DQ",BE58="P",BE58="NS"),
    1,
    0
)</f>
        <v>0</v>
      </c>
      <c r="BI58" s="73" t="n">
        <v>51</v>
      </c>
      <c r="BJ58" s="73" t="str">
        <f aca="false">IF(ISBLANK($C58),
    "",
   BF58+ROW($B58)/1000
)</f>
        <v/>
      </c>
      <c r="BK58" s="73" t="str">
        <f aca="false">IF(ISNUMBER(BJ58), RANK(BJ58,BJ$8:BJ$507,1), "")</f>
        <v/>
      </c>
      <c r="BL58" s="73" t="str">
        <f aca="false">IF(ISBLANK($C58),
    "",
    $B58
)</f>
        <v/>
      </c>
      <c r="BM58" s="73" t="str">
        <f aca="false">IF(ISBLANK($C58),
    "",
    $C58
)</f>
        <v/>
      </c>
      <c r="BN58" s="73" t="str">
        <f aca="false">IF(ISBLANK($C58),
    "",
    $D58
)</f>
        <v/>
      </c>
      <c r="BO58" s="74" t="str">
        <f aca="false">BC58</f>
        <v/>
      </c>
      <c r="BP58" s="75" t="str">
        <f aca="false">BB58</f>
        <v/>
      </c>
      <c r="BQ58" s="73" t="str">
        <f aca="false">IF(ISBLANK($C58),
    "",
    BE58
)</f>
        <v/>
      </c>
      <c r="BR58" s="76" t="str">
        <f aca="false">IF(BI58&gt;BH$7,
    "",
    VLOOKUP(BI58,BK$8:BQ557,7,FALSE())
)</f>
        <v/>
      </c>
      <c r="BS58" s="77" t="str">
        <f aca="false">IF(BI58&gt;BH$7,
    "",
    VLOOKUP(BI58,BK$8:BQ557,2,FALSE())
)</f>
        <v/>
      </c>
      <c r="BT58" s="77" t="str">
        <f aca="false">IF(BI58&gt;BH$7,
    "",
    VLOOKUP(BI58,BK$8:BQ557,3,FALSE())
)</f>
        <v/>
      </c>
      <c r="BU58" s="77" t="str">
        <f aca="false">IF(BI58&gt;BH$7,
    "",
    VLOOKUP(BI58,BK$8:BQ557,4,FALSE())
)</f>
        <v/>
      </c>
      <c r="BV58" s="77" t="str">
        <f aca="false">IF(BI58&gt;BH$7,
    "",
    VLOOKUP(BI58,BK$8:BQ557,5,FALSE())
)</f>
        <v/>
      </c>
      <c r="BW58" s="78" t="str">
        <f aca="false">IF(BI58&gt;BH$7,
    "",
    VLOOKUP(BI58,BK$8:BQ557,6,FALSE())
)</f>
        <v/>
      </c>
      <c r="BX58" s="50"/>
    </row>
    <row r="59" customFormat="false" ht="15.75" hidden="false" customHeight="false" outlineLevel="0" collapsed="false">
      <c r="A59" s="5"/>
      <c r="B59" s="122"/>
      <c r="C59" s="123"/>
      <c r="D59" s="112"/>
      <c r="E59" s="116"/>
      <c r="F59" s="116"/>
      <c r="G59" s="88"/>
      <c r="H59" s="89"/>
      <c r="I59" s="125"/>
      <c r="J59" s="125"/>
      <c r="K59" s="125"/>
      <c r="L59" s="91"/>
      <c r="M59" s="91"/>
      <c r="N59" s="91"/>
      <c r="O59" s="92"/>
      <c r="P59" s="93"/>
      <c r="Q59" s="125"/>
      <c r="R59" s="95"/>
      <c r="S59" s="96"/>
      <c r="T59" s="96" t="str">
        <f aca="false">IF(ISBLANK($C59),"",IF(G59=Constants!$B$2, TRUE(), IF(G59=Constants!$B$3, FALSE(), TRUE())))</f>
        <v/>
      </c>
      <c r="U59" s="96" t="str">
        <f aca="false">IF(ISBLANK($C59),"",IF(H59=Constants!$B$2, TRUE(), IF(H59=Constants!$B$3, FALSE(), TRUE())))</f>
        <v/>
      </c>
      <c r="V59" s="96" t="str">
        <f aca="false">IF(ISBLANK($C59),"",IF(I59=Constants!$B$2, TRUE(), IF(I59=Constants!$B$3, FALSE(), TRUE())))</f>
        <v/>
      </c>
      <c r="W59" s="96" t="str">
        <f aca="false">IF(ISBLANK($C59),"",IF(J59=Constants!$B$2, TRUE(), IF(J59=Constants!$B$3, FALSE(), TRUE())))</f>
        <v/>
      </c>
      <c r="X59" s="97" t="str">
        <f aca="false">IF(ISBLANK($C59),"",IF(K59=Constants!$B$2, TRUE(), IF(K59=Constants!$B$3, FALSE(), TRUE())))</f>
        <v/>
      </c>
      <c r="Y59" s="98" t="str">
        <f aca="false">IF(ISBLANK($C59),"",IF(ISNUMBER(L59), L59, ""))</f>
        <v/>
      </c>
      <c r="Z59" s="98" t="str">
        <f aca="false">IF(ISBLANK($C59),"",IF(ISNUMBER(M59), M59, ""))</f>
        <v/>
      </c>
      <c r="AA59" s="98" t="str">
        <f aca="false">IF(ISBLANK($C59),"",IF(ISNUMBER(N59), N59, ""))</f>
        <v/>
      </c>
      <c r="AB59" s="99" t="str">
        <f aca="false">IF(ISBLANK($C59),"",IF(ISNUMBER(O59), O59, ""))</f>
        <v/>
      </c>
      <c r="AC59" s="99" t="str">
        <f aca="false">IF(ISBLANK($C59),"",IF(ISNUMBER(P59), P59, Constants!$B$13))</f>
        <v/>
      </c>
      <c r="AD59" s="96" t="str">
        <f aca="false">IF(ISBLANK($C59),"",IF(Q59=Constants!$B$2, TRUE(), IF(Q59=Constants!$B$3, FALSE(), FALSE())))</f>
        <v/>
      </c>
      <c r="AE59" s="96" t="str">
        <f aca="false">IF(ISBLANK(C59), "", IF(AD59, Constants!$B$4,IF(COUNTA(G59:O59)=0, Constants!$B$5, Constants!$B$7)))</f>
        <v/>
      </c>
      <c r="AF59" s="96" t="str">
        <f aca="false">IF(ISBLANK($C59), "",IF($AE59=Constants!$B$7,1,$AE59))</f>
        <v/>
      </c>
      <c r="AG59" s="96" t="str">
        <f aca="false">IF($AE59=Constants!$B$7,IF(V59, 1, Constants!$B$11) * IF(X59, 1, Constants!$B$12),"")</f>
        <v/>
      </c>
      <c r="AH59" s="96" t="str">
        <f aca="false">IF(AND($AE59=Constants!$B$7, T59, U59) ,MAX(0, $AA59-$Y59),"")</f>
        <v/>
      </c>
      <c r="AI59" s="96" t="str">
        <f aca="false">IF(ISERROR(AH59),$AI$6,"")</f>
        <v/>
      </c>
      <c r="AJ59" s="96" t="str">
        <f aca="false">IF($AE59=Constants!$B$7,IF(AND(T59,U59,W59),IF($AH$6=0,Constants!$B$9,Constants!$B$9*AH59/$AH$6), 0),"")</f>
        <v/>
      </c>
      <c r="AK59" s="96" t="str">
        <f aca="false">IF(AJ59&lt;&gt;"", AJ59*AG59,"")</f>
        <v/>
      </c>
      <c r="AL59" s="96" t="str">
        <f aca="false">IF(AND($AE59=Constants!$B$7, T59, U59) ,IF($Z59="", "", MAX(0,1-ABS($AA59-$Z59)/$AA59)),"")</f>
        <v/>
      </c>
      <c r="AM59" s="96" t="str">
        <f aca="false">IF(AND(NOT(ISERROR(AH59)),ISERROR(AL59)),$AM$6,"")</f>
        <v/>
      </c>
      <c r="AN59" s="96" t="str">
        <f aca="false">IF($AE59=Constants!$B$7 ,IF(AND(T59,U59,W59,ISNUMBER(Z59)),IF($AL$6=0,Constants!$B$10,Constants!$B$10*AL59/$AL$6), 0),"")</f>
        <v/>
      </c>
      <c r="AO59" s="96" t="str">
        <f aca="false">IF(AN59&lt;&gt;"", AN59*AG59,"")</f>
        <v/>
      </c>
      <c r="AP59" s="96" t="str">
        <f aca="false">IF($AE59=Constants!$B$7,IF($AP$6=0,Constants!$B$8,Constants!$B$8*AB59/$AP$6),"")</f>
        <v/>
      </c>
      <c r="AQ59" s="96" t="str">
        <f aca="false">IF($AE59&lt;&gt;Constants!$B$7,$AE59,AK59+AO59+AP59)</f>
        <v/>
      </c>
      <c r="AR59" s="96" t="str">
        <f aca="false">IF(ISBLANK($C59),"",IF($AE59=Constants!$B$7,RANK(AQ59,$AQ$8:$AQ$507),$AE59))</f>
        <v/>
      </c>
      <c r="AS59" s="96" t="str">
        <f aca="false">IF(ISBLANK($C59), "",AK59)</f>
        <v/>
      </c>
      <c r="AT59" s="96" t="str">
        <f aca="false">IF(ISBLANK($C59),"",IF($AE59=Constants!$B$7,RANK(AS59,AS$8:AS$507),$AE59))</f>
        <v/>
      </c>
      <c r="AU59" s="96" t="str">
        <f aca="false">IF(ISBLANK($C59), "",AP59)</f>
        <v/>
      </c>
      <c r="AV59" s="96" t="str">
        <f aca="false">IF(ISBLANK($C59),"",IF($AE59=Constants!$B$7,RANK(AU59,AU$8:AU$507),$AE59))</f>
        <v/>
      </c>
      <c r="AW59" s="96" t="str">
        <f aca="false">IF(ISBLANK($C59), "",AC59)</f>
        <v/>
      </c>
      <c r="AX59" s="96" t="str">
        <f aca="false">IF(ISBLANK($C59),"",
IF($AE59=Constants!$B$7,
  COUNTIFS($AR$8:$AR$507,"&lt;"&amp;$AR59)
  + COUNTIFS($AR$8:$AR$507,$AR59,$AT$8:$AT$507,"&lt;"&amp;$AT59)
  + COUNTIFS($AR$8:$AR$507,$AR59,$AT$8:$AT$507,$AT59,$AV$8:$AV$507,"&lt;"&amp;$AV59)
  + COUNTIFS($AR$8:$AR$507,$AR59,$AT$8:$AT$507,$AT59,$AV$8:$AV$507,$AV59,$AW$8:$AW$507,"&lt;"&amp;$AW59)
  + 1,
$AE59))</f>
        <v/>
      </c>
      <c r="AY59" s="96" t="str">
        <f aca="false">IF(ISBLANK(C59),"",IF($AE59=Constants!$B$7, AR59-AX59,$AE59))</f>
        <v/>
      </c>
      <c r="AZ59" s="100"/>
      <c r="BA59" s="101" t="str">
        <f aca="false">IF(ISBLANK($C59),"",TRIM(AI59&amp;" "&amp;AM59))</f>
        <v/>
      </c>
      <c r="BB59" s="102" t="str">
        <f aca="false">IF(ISBLANK($C59),"",IF($AE59&lt;&gt;Constants!$B$7, $AE59 ,AQ59))</f>
        <v/>
      </c>
      <c r="BC59" s="103" t="str">
        <f aca="false">IF(ISBLANK($C59),"",IF($AE59&lt;&gt;Constants!$B$7, $AE59 ,AF59))</f>
        <v/>
      </c>
      <c r="BD59" s="104" t="str">
        <f aca="false">IF(ISBLANK(C59),"",AY59)</f>
        <v/>
      </c>
      <c r="BE59" s="104" t="str">
        <f aca="false">IF(ISBLANK(C59),"",AX59)</f>
        <v/>
      </c>
      <c r="BF59" s="105" t="str">
        <f aca="false">IF(ISBLANK(C59),"",IFERROR(_xlfn.SWITCH(BE59, Constants!$B$4, COUNTA($C$8:$C558)+2, Constants!$B$5, COUNTA($C$8:$C558)+1, Constants!$B$6, COUNTA($C$8:$C558)),BE59))</f>
        <v/>
      </c>
      <c r="BG59" s="5"/>
      <c r="BH59" s="106" t="n">
        <f aca="false">IF(OR(ISNUMBER(BE59),BE59="DQ",BE59="P",BE59="NS"),
    1,
    0
)</f>
        <v>0</v>
      </c>
      <c r="BI59" s="106" t="n">
        <v>52</v>
      </c>
      <c r="BJ59" s="106" t="str">
        <f aca="false">IF(ISBLANK($C59),
    "",
   BF59+ROW($B59)/1000
)</f>
        <v/>
      </c>
      <c r="BK59" s="106" t="str">
        <f aca="false">IF(ISNUMBER(BJ59), RANK(BJ59,BJ$8:BJ$507,1), "")</f>
        <v/>
      </c>
      <c r="BL59" s="106" t="str">
        <f aca="false">IF(ISBLANK($C59),
    "",
    $B59
)</f>
        <v/>
      </c>
      <c r="BM59" s="106" t="str">
        <f aca="false">IF(ISBLANK($C59),
    "",
    $C59
)</f>
        <v/>
      </c>
      <c r="BN59" s="106" t="str">
        <f aca="false">IF(ISBLANK($C59),
    "",
    $D59
)</f>
        <v/>
      </c>
      <c r="BO59" s="107" t="str">
        <f aca="false">BC59</f>
        <v/>
      </c>
      <c r="BP59" s="108" t="str">
        <f aca="false">BB59</f>
        <v/>
      </c>
      <c r="BQ59" s="106" t="str">
        <f aca="false">IF(ISBLANK($C59),
    "",
    BE59
)</f>
        <v/>
      </c>
      <c r="BR59" s="109" t="str">
        <f aca="false">IF(BI59&gt;BH$7,
    "",
    VLOOKUP(BI59,BK$8:BQ558,7,FALSE())
)</f>
        <v/>
      </c>
      <c r="BS59" s="110" t="str">
        <f aca="false">IF(BI59&gt;BH$7,
    "",
    VLOOKUP(BI59,BK$8:BQ558,2,FALSE())
)</f>
        <v/>
      </c>
      <c r="BT59" s="110" t="str">
        <f aca="false">IF(BI59&gt;BH$7,
    "",
    VLOOKUP(BI59,BK$8:BQ558,3,FALSE())
)</f>
        <v/>
      </c>
      <c r="BU59" s="110" t="str">
        <f aca="false">IF(BI59&gt;BH$7,
    "",
    VLOOKUP(BI59,BK$8:BQ558,4,FALSE())
)</f>
        <v/>
      </c>
      <c r="BV59" s="110" t="str">
        <f aca="false">IF(BI59&gt;BH$7,
    "",
    VLOOKUP(BI59,BK$8:BQ558,5,FALSE())
)</f>
        <v/>
      </c>
      <c r="BW59" s="111" t="str">
        <f aca="false">IF(BI59&gt;BH$7,
    "",
    VLOOKUP(BI59,BK$8:BQ558,6,FALSE())
)</f>
        <v/>
      </c>
      <c r="BX59" s="50"/>
    </row>
    <row r="60" customFormat="false" ht="15.75" hidden="false" customHeight="false" outlineLevel="0" collapsed="false">
      <c r="A60" s="5"/>
      <c r="B60" s="122"/>
      <c r="C60" s="123"/>
      <c r="D60" s="112"/>
      <c r="E60" s="116"/>
      <c r="F60" s="116"/>
      <c r="G60" s="88"/>
      <c r="H60" s="89"/>
      <c r="I60" s="125"/>
      <c r="J60" s="125"/>
      <c r="K60" s="125"/>
      <c r="L60" s="91"/>
      <c r="M60" s="91"/>
      <c r="N60" s="91"/>
      <c r="O60" s="92"/>
      <c r="P60" s="93"/>
      <c r="Q60" s="125"/>
      <c r="R60" s="95"/>
      <c r="S60" s="96"/>
      <c r="T60" s="96" t="str">
        <f aca="false">IF(ISBLANK($C60),"",IF(G60=Constants!$B$2, TRUE(), IF(G60=Constants!$B$3, FALSE(), TRUE())))</f>
        <v/>
      </c>
      <c r="U60" s="96" t="str">
        <f aca="false">IF(ISBLANK($C60),"",IF(H60=Constants!$B$2, TRUE(), IF(H60=Constants!$B$3, FALSE(), TRUE())))</f>
        <v/>
      </c>
      <c r="V60" s="96" t="str">
        <f aca="false">IF(ISBLANK($C60),"",IF(I60=Constants!$B$2, TRUE(), IF(I60=Constants!$B$3, FALSE(), TRUE())))</f>
        <v/>
      </c>
      <c r="W60" s="96" t="str">
        <f aca="false">IF(ISBLANK($C60),"",IF(J60=Constants!$B$2, TRUE(), IF(J60=Constants!$B$3, FALSE(), TRUE())))</f>
        <v/>
      </c>
      <c r="X60" s="97" t="str">
        <f aca="false">IF(ISBLANK($C60),"",IF(K60=Constants!$B$2, TRUE(), IF(K60=Constants!$B$3, FALSE(), TRUE())))</f>
        <v/>
      </c>
      <c r="Y60" s="98" t="str">
        <f aca="false">IF(ISBLANK($C60),"",IF(ISNUMBER(L60), L60, ""))</f>
        <v/>
      </c>
      <c r="Z60" s="98" t="str">
        <f aca="false">IF(ISBLANK($C60),"",IF(ISNUMBER(M60), M60, ""))</f>
        <v/>
      </c>
      <c r="AA60" s="98" t="str">
        <f aca="false">IF(ISBLANK($C60),"",IF(ISNUMBER(N60), N60, ""))</f>
        <v/>
      </c>
      <c r="AB60" s="99" t="str">
        <f aca="false">IF(ISBLANK($C60),"",IF(ISNUMBER(O60), O60, ""))</f>
        <v/>
      </c>
      <c r="AC60" s="99" t="str">
        <f aca="false">IF(ISBLANK($C60),"",IF(ISNUMBER(P60), P60, Constants!$B$13))</f>
        <v/>
      </c>
      <c r="AD60" s="96" t="str">
        <f aca="false">IF(ISBLANK($C60),"",IF(Q60=Constants!$B$2, TRUE(), IF(Q60=Constants!$B$3, FALSE(), FALSE())))</f>
        <v/>
      </c>
      <c r="AE60" s="96" t="str">
        <f aca="false">IF(ISBLANK(C60), "", IF(AD60, Constants!$B$4,IF(COUNTA(G60:O60)=0, Constants!$B$5, Constants!$B$7)))</f>
        <v/>
      </c>
      <c r="AF60" s="96" t="str">
        <f aca="false">IF(ISBLANK($C60), "",IF($AE60=Constants!$B$7,1,$AE60))</f>
        <v/>
      </c>
      <c r="AG60" s="96" t="str">
        <f aca="false">IF($AE60=Constants!$B$7,IF(V60, 1, Constants!$B$11) * IF(X60, 1, Constants!$B$12),"")</f>
        <v/>
      </c>
      <c r="AH60" s="96" t="str">
        <f aca="false">IF(AND($AE60=Constants!$B$7, T60, U60) ,MAX(0, $AA60-$Y60),"")</f>
        <v/>
      </c>
      <c r="AI60" s="96" t="str">
        <f aca="false">IF(ISERROR(AH60),$AI$6,"")</f>
        <v/>
      </c>
      <c r="AJ60" s="96" t="str">
        <f aca="false">IF($AE60=Constants!$B$7,IF(AND(T60,U60,W60),IF($AH$6=0,Constants!$B$9,Constants!$B$9*AH60/$AH$6), 0),"")</f>
        <v/>
      </c>
      <c r="AK60" s="96" t="str">
        <f aca="false">IF(AJ60&lt;&gt;"", AJ60*AG60,"")</f>
        <v/>
      </c>
      <c r="AL60" s="96" t="str">
        <f aca="false">IF(AND($AE60=Constants!$B$7, T60, U60) ,IF($Z60="", "", MAX(0,1-ABS($AA60-$Z60)/$AA60)),"")</f>
        <v/>
      </c>
      <c r="AM60" s="96" t="str">
        <f aca="false">IF(AND(NOT(ISERROR(AH60)),ISERROR(AL60)),$AM$6,"")</f>
        <v/>
      </c>
      <c r="AN60" s="96" t="str">
        <f aca="false">IF($AE60=Constants!$B$7 ,IF(AND(T60,U60,W60,ISNUMBER(Z60)),IF($AL$6=0,Constants!$B$10,Constants!$B$10*AL60/$AL$6), 0),"")</f>
        <v/>
      </c>
      <c r="AO60" s="96" t="str">
        <f aca="false">IF(AN60&lt;&gt;"", AN60*AG60,"")</f>
        <v/>
      </c>
      <c r="AP60" s="96" t="str">
        <f aca="false">IF($AE60=Constants!$B$7,IF($AP$6=0,Constants!$B$8,Constants!$B$8*AB60/$AP$6),"")</f>
        <v/>
      </c>
      <c r="AQ60" s="96" t="str">
        <f aca="false">IF($AE60&lt;&gt;Constants!$B$7,$AE60,AK60+AO60+AP60)</f>
        <v/>
      </c>
      <c r="AR60" s="96" t="str">
        <f aca="false">IF(ISBLANK($C60),"",IF($AE60=Constants!$B$7,RANK(AQ60,$AQ$8:$AQ$507),$AE60))</f>
        <v/>
      </c>
      <c r="AS60" s="96" t="str">
        <f aca="false">IF(ISBLANK($C60), "",AK60)</f>
        <v/>
      </c>
      <c r="AT60" s="96" t="str">
        <f aca="false">IF(ISBLANK($C60),"",IF($AE60=Constants!$B$7,RANK(AS60,AS$8:AS$507),$AE60))</f>
        <v/>
      </c>
      <c r="AU60" s="96" t="str">
        <f aca="false">IF(ISBLANK($C60), "",AP60)</f>
        <v/>
      </c>
      <c r="AV60" s="96" t="str">
        <f aca="false">IF(ISBLANK($C60),"",IF($AE60=Constants!$B$7,RANK(AU60,AU$8:AU$507),$AE60))</f>
        <v/>
      </c>
      <c r="AW60" s="96" t="str">
        <f aca="false">IF(ISBLANK($C60), "",AC60)</f>
        <v/>
      </c>
      <c r="AX60" s="96" t="str">
        <f aca="false">IF(ISBLANK($C60),"",
IF($AE60=Constants!$B$7,
  COUNTIFS($AR$8:$AR$507,"&lt;"&amp;$AR60)
  + COUNTIFS($AR$8:$AR$507,$AR60,$AT$8:$AT$507,"&lt;"&amp;$AT60)
  + COUNTIFS($AR$8:$AR$507,$AR60,$AT$8:$AT$507,$AT60,$AV$8:$AV$507,"&lt;"&amp;$AV60)
  + COUNTIFS($AR$8:$AR$507,$AR60,$AT$8:$AT$507,$AT60,$AV$8:$AV$507,$AV60,$AW$8:$AW$507,"&lt;"&amp;$AW60)
  + 1,
$AE60))</f>
        <v/>
      </c>
      <c r="AY60" s="96" t="str">
        <f aca="false">IF(ISBLANK(C60),"",IF($AE60=Constants!$B$7, AR60-AX60,$AE60))</f>
        <v/>
      </c>
      <c r="AZ60" s="100"/>
      <c r="BA60" s="101" t="str">
        <f aca="false">IF(ISBLANK($C60),"",TRIM(AI60&amp;" "&amp;AM60))</f>
        <v/>
      </c>
      <c r="BB60" s="102" t="str">
        <f aca="false">IF(ISBLANK($C60),"",IF($AE60&lt;&gt;Constants!$B$7, $AE60 ,AQ60))</f>
        <v/>
      </c>
      <c r="BC60" s="103" t="str">
        <f aca="false">IF(ISBLANK($C60),"",IF($AE60&lt;&gt;Constants!$B$7, $AE60 ,AF60))</f>
        <v/>
      </c>
      <c r="BD60" s="104" t="str">
        <f aca="false">IF(ISBLANK(C60),"",AY60)</f>
        <v/>
      </c>
      <c r="BE60" s="104" t="str">
        <f aca="false">IF(ISBLANK(C60),"",AX60)</f>
        <v/>
      </c>
      <c r="BF60" s="105" t="str">
        <f aca="false">IF(ISBLANK(C60),"",IFERROR(_xlfn.SWITCH(BE60, Constants!$B$4, COUNTA($C$8:$C559)+2, Constants!$B$5, COUNTA($C$8:$C559)+1, Constants!$B$6, COUNTA($C$8:$C559)),BE60))</f>
        <v/>
      </c>
      <c r="BG60" s="5"/>
      <c r="BH60" s="106" t="n">
        <f aca="false">IF(OR(ISNUMBER(BE60),BE60="DQ",BE60="P",BE60="NS"),
    1,
    0
)</f>
        <v>0</v>
      </c>
      <c r="BI60" s="106" t="n">
        <v>53</v>
      </c>
      <c r="BJ60" s="106" t="str">
        <f aca="false">IF(ISBLANK($C60),
    "",
   BF60+ROW($B60)/1000
)</f>
        <v/>
      </c>
      <c r="BK60" s="106" t="str">
        <f aca="false">IF(ISNUMBER(BJ60), RANK(BJ60,BJ$8:BJ$507,1), "")</f>
        <v/>
      </c>
      <c r="BL60" s="106" t="str">
        <f aca="false">IF(ISBLANK($C60),
    "",
    $B60
)</f>
        <v/>
      </c>
      <c r="BM60" s="106" t="str">
        <f aca="false">IF(ISBLANK($C60),
    "",
    $C60
)</f>
        <v/>
      </c>
      <c r="BN60" s="106" t="str">
        <f aca="false">IF(ISBLANK($C60),
    "",
    $D60
)</f>
        <v/>
      </c>
      <c r="BO60" s="107" t="str">
        <f aca="false">BC60</f>
        <v/>
      </c>
      <c r="BP60" s="108" t="str">
        <f aca="false">BB60</f>
        <v/>
      </c>
      <c r="BQ60" s="106" t="str">
        <f aca="false">IF(ISBLANK($C60),
    "",
    BE60
)</f>
        <v/>
      </c>
      <c r="BR60" s="109" t="str">
        <f aca="false">IF(BI60&gt;BH$7,
    "",
    VLOOKUP(BI60,BK$8:BQ559,7,FALSE())
)</f>
        <v/>
      </c>
      <c r="BS60" s="110" t="str">
        <f aca="false">IF(BI60&gt;BH$7,
    "",
    VLOOKUP(BI60,BK$8:BQ559,2,FALSE())
)</f>
        <v/>
      </c>
      <c r="BT60" s="110" t="str">
        <f aca="false">IF(BI60&gt;BH$7,
    "",
    VLOOKUP(BI60,BK$8:BQ559,3,FALSE())
)</f>
        <v/>
      </c>
      <c r="BU60" s="110" t="str">
        <f aca="false">IF(BI60&gt;BH$7,
    "",
    VLOOKUP(BI60,BK$8:BQ559,4,FALSE())
)</f>
        <v/>
      </c>
      <c r="BV60" s="110" t="str">
        <f aca="false">IF(BI60&gt;BH$7,
    "",
    VLOOKUP(BI60,BK$8:BQ559,5,FALSE())
)</f>
        <v/>
      </c>
      <c r="BW60" s="111" t="str">
        <f aca="false">IF(BI60&gt;BH$7,
    "",
    VLOOKUP(BI60,BK$8:BQ559,6,FALSE())
)</f>
        <v/>
      </c>
      <c r="BX60" s="50"/>
    </row>
    <row r="61" customFormat="false" ht="15.75" hidden="false" customHeight="false" outlineLevel="0" collapsed="false">
      <c r="A61" s="5"/>
      <c r="B61" s="122"/>
      <c r="C61" s="123"/>
      <c r="D61" s="112"/>
      <c r="E61" s="116"/>
      <c r="F61" s="116"/>
      <c r="G61" s="88"/>
      <c r="H61" s="89"/>
      <c r="I61" s="125"/>
      <c r="J61" s="125"/>
      <c r="K61" s="125"/>
      <c r="L61" s="91"/>
      <c r="M61" s="91"/>
      <c r="N61" s="91"/>
      <c r="O61" s="92"/>
      <c r="P61" s="93"/>
      <c r="Q61" s="125"/>
      <c r="R61" s="95"/>
      <c r="S61" s="96"/>
      <c r="T61" s="96" t="str">
        <f aca="false">IF(ISBLANK($C61),"",IF(G61=Constants!$B$2, TRUE(), IF(G61=Constants!$B$3, FALSE(), TRUE())))</f>
        <v/>
      </c>
      <c r="U61" s="96" t="str">
        <f aca="false">IF(ISBLANK($C61),"",IF(H61=Constants!$B$2, TRUE(), IF(H61=Constants!$B$3, FALSE(), TRUE())))</f>
        <v/>
      </c>
      <c r="V61" s="96" t="str">
        <f aca="false">IF(ISBLANK($C61),"",IF(I61=Constants!$B$2, TRUE(), IF(I61=Constants!$B$3, FALSE(), TRUE())))</f>
        <v/>
      </c>
      <c r="W61" s="96" t="str">
        <f aca="false">IF(ISBLANK($C61),"",IF(J61=Constants!$B$2, TRUE(), IF(J61=Constants!$B$3, FALSE(), TRUE())))</f>
        <v/>
      </c>
      <c r="X61" s="97" t="str">
        <f aca="false">IF(ISBLANK($C61),"",IF(K61=Constants!$B$2, TRUE(), IF(K61=Constants!$B$3, FALSE(), TRUE())))</f>
        <v/>
      </c>
      <c r="Y61" s="98" t="str">
        <f aca="false">IF(ISBLANK($C61),"",IF(ISNUMBER(L61), L61, ""))</f>
        <v/>
      </c>
      <c r="Z61" s="98" t="str">
        <f aca="false">IF(ISBLANK($C61),"",IF(ISNUMBER(M61), M61, ""))</f>
        <v/>
      </c>
      <c r="AA61" s="98" t="str">
        <f aca="false">IF(ISBLANK($C61),"",IF(ISNUMBER(N61), N61, ""))</f>
        <v/>
      </c>
      <c r="AB61" s="99" t="str">
        <f aca="false">IF(ISBLANK($C61),"",IF(ISNUMBER(O61), O61, ""))</f>
        <v/>
      </c>
      <c r="AC61" s="99" t="str">
        <f aca="false">IF(ISBLANK($C61),"",IF(ISNUMBER(P61), P61, Constants!$B$13))</f>
        <v/>
      </c>
      <c r="AD61" s="96" t="str">
        <f aca="false">IF(ISBLANK($C61),"",IF(Q61=Constants!$B$2, TRUE(), IF(Q61=Constants!$B$3, FALSE(), FALSE())))</f>
        <v/>
      </c>
      <c r="AE61" s="96" t="str">
        <f aca="false">IF(ISBLANK(C61), "", IF(AD61, Constants!$B$4,IF(COUNTA(G61:O61)=0, Constants!$B$5, Constants!$B$7)))</f>
        <v/>
      </c>
      <c r="AF61" s="96" t="str">
        <f aca="false">IF(ISBLANK($C61), "",IF($AE61=Constants!$B$7,1,$AE61))</f>
        <v/>
      </c>
      <c r="AG61" s="96" t="str">
        <f aca="false">IF($AE61=Constants!$B$7,IF(V61, 1, Constants!$B$11) * IF(X61, 1, Constants!$B$12),"")</f>
        <v/>
      </c>
      <c r="AH61" s="96" t="str">
        <f aca="false">IF(AND($AE61=Constants!$B$7, T61, U61) ,MAX(0, $AA61-$Y61),"")</f>
        <v/>
      </c>
      <c r="AI61" s="96" t="str">
        <f aca="false">IF(ISERROR(AH61),$AI$6,"")</f>
        <v/>
      </c>
      <c r="AJ61" s="96" t="str">
        <f aca="false">IF($AE61=Constants!$B$7,IF(AND(T61,U61,W61),IF($AH$6=0,Constants!$B$9,Constants!$B$9*AH61/$AH$6), 0),"")</f>
        <v/>
      </c>
      <c r="AK61" s="96" t="str">
        <f aca="false">IF(AJ61&lt;&gt;"", AJ61*AG61,"")</f>
        <v/>
      </c>
      <c r="AL61" s="96" t="str">
        <f aca="false">IF(AND($AE61=Constants!$B$7, T61, U61) ,IF($Z61="", "", MAX(0,1-ABS($AA61-$Z61)/$AA61)),"")</f>
        <v/>
      </c>
      <c r="AM61" s="96" t="str">
        <f aca="false">IF(AND(NOT(ISERROR(AH61)),ISERROR(AL61)),$AM$6,"")</f>
        <v/>
      </c>
      <c r="AN61" s="96" t="str">
        <f aca="false">IF($AE61=Constants!$B$7 ,IF(AND(T61,U61,W61,ISNUMBER(Z61)),IF($AL$6=0,Constants!$B$10,Constants!$B$10*AL61/$AL$6), 0),"")</f>
        <v/>
      </c>
      <c r="AO61" s="96" t="str">
        <f aca="false">IF(AN61&lt;&gt;"", AN61*AG61,"")</f>
        <v/>
      </c>
      <c r="AP61" s="96" t="str">
        <f aca="false">IF($AE61=Constants!$B$7,IF($AP$6=0,Constants!$B$8,Constants!$B$8*AB61/$AP$6),"")</f>
        <v/>
      </c>
      <c r="AQ61" s="96" t="str">
        <f aca="false">IF($AE61&lt;&gt;Constants!$B$7,$AE61,AK61+AO61+AP61)</f>
        <v/>
      </c>
      <c r="AR61" s="96" t="str">
        <f aca="false">IF(ISBLANK($C61),"",IF($AE61=Constants!$B$7,RANK(AQ61,$AQ$8:$AQ$507),$AE61))</f>
        <v/>
      </c>
      <c r="AS61" s="96" t="str">
        <f aca="false">IF(ISBLANK($C61), "",AK61)</f>
        <v/>
      </c>
      <c r="AT61" s="96" t="str">
        <f aca="false">IF(ISBLANK($C61),"",IF($AE61=Constants!$B$7,RANK(AS61,AS$8:AS$507),$AE61))</f>
        <v/>
      </c>
      <c r="AU61" s="96" t="str">
        <f aca="false">IF(ISBLANK($C61), "",AP61)</f>
        <v/>
      </c>
      <c r="AV61" s="96" t="str">
        <f aca="false">IF(ISBLANK($C61),"",IF($AE61=Constants!$B$7,RANK(AU61,AU$8:AU$507),$AE61))</f>
        <v/>
      </c>
      <c r="AW61" s="96" t="str">
        <f aca="false">IF(ISBLANK($C61), "",AC61)</f>
        <v/>
      </c>
      <c r="AX61" s="96" t="str">
        <f aca="false">IF(ISBLANK($C61),"",
IF($AE61=Constants!$B$7,
  COUNTIFS($AR$8:$AR$507,"&lt;"&amp;$AR61)
  + COUNTIFS($AR$8:$AR$507,$AR61,$AT$8:$AT$507,"&lt;"&amp;$AT61)
  + COUNTIFS($AR$8:$AR$507,$AR61,$AT$8:$AT$507,$AT61,$AV$8:$AV$507,"&lt;"&amp;$AV61)
  + COUNTIFS($AR$8:$AR$507,$AR61,$AT$8:$AT$507,$AT61,$AV$8:$AV$507,$AV61,$AW$8:$AW$507,"&lt;"&amp;$AW61)
  + 1,
$AE61))</f>
        <v/>
      </c>
      <c r="AY61" s="96" t="str">
        <f aca="false">IF(ISBLANK(C61),"",IF($AE61=Constants!$B$7, AR61-AX61,$AE61))</f>
        <v/>
      </c>
      <c r="AZ61" s="100"/>
      <c r="BA61" s="101" t="str">
        <f aca="false">IF(ISBLANK($C61),"",TRIM(AI61&amp;" "&amp;AM61))</f>
        <v/>
      </c>
      <c r="BB61" s="102" t="str">
        <f aca="false">IF(ISBLANK($C61),"",IF($AE61&lt;&gt;Constants!$B$7, $AE61 ,AQ61))</f>
        <v/>
      </c>
      <c r="BC61" s="103" t="str">
        <f aca="false">IF(ISBLANK($C61),"",IF($AE61&lt;&gt;Constants!$B$7, $AE61 ,AF61))</f>
        <v/>
      </c>
      <c r="BD61" s="104" t="str">
        <f aca="false">IF(ISBLANK(C61),"",AY61)</f>
        <v/>
      </c>
      <c r="BE61" s="104" t="str">
        <f aca="false">IF(ISBLANK(C61),"",AX61)</f>
        <v/>
      </c>
      <c r="BF61" s="105" t="str">
        <f aca="false">IF(ISBLANK(C61),"",IFERROR(_xlfn.SWITCH(BE61, Constants!$B$4, COUNTA($C$8:$C560)+2, Constants!$B$5, COUNTA($C$8:$C560)+1, Constants!$B$6, COUNTA($C$8:$C560)),BE61))</f>
        <v/>
      </c>
      <c r="BG61" s="5"/>
      <c r="BH61" s="106" t="n">
        <f aca="false">IF(OR(ISNUMBER(BE61),BE61="DQ",BE61="P",BE61="NS"),
    1,
    0
)</f>
        <v>0</v>
      </c>
      <c r="BI61" s="106" t="n">
        <v>54</v>
      </c>
      <c r="BJ61" s="106" t="str">
        <f aca="false">IF(ISBLANK($C61),
    "",
   BF61+ROW($B61)/1000
)</f>
        <v/>
      </c>
      <c r="BK61" s="106" t="str">
        <f aca="false">IF(ISNUMBER(BJ61), RANK(BJ61,BJ$8:BJ$507,1), "")</f>
        <v/>
      </c>
      <c r="BL61" s="106" t="str">
        <f aca="false">IF(ISBLANK($C61),
    "",
    $B61
)</f>
        <v/>
      </c>
      <c r="BM61" s="106" t="str">
        <f aca="false">IF(ISBLANK($C61),
    "",
    $C61
)</f>
        <v/>
      </c>
      <c r="BN61" s="106" t="str">
        <f aca="false">IF(ISBLANK($C61),
    "",
    $D61
)</f>
        <v/>
      </c>
      <c r="BO61" s="107" t="str">
        <f aca="false">BC61</f>
        <v/>
      </c>
      <c r="BP61" s="108" t="str">
        <f aca="false">BB61</f>
        <v/>
      </c>
      <c r="BQ61" s="106" t="str">
        <f aca="false">IF(ISBLANK($C61),
    "",
    BE61
)</f>
        <v/>
      </c>
      <c r="BR61" s="109" t="str">
        <f aca="false">IF(BI61&gt;BH$7,
    "",
    VLOOKUP(BI61,BK$8:BQ560,7,FALSE())
)</f>
        <v/>
      </c>
      <c r="BS61" s="110" t="str">
        <f aca="false">IF(BI61&gt;BH$7,
    "",
    VLOOKUP(BI61,BK$8:BQ560,2,FALSE())
)</f>
        <v/>
      </c>
      <c r="BT61" s="110" t="str">
        <f aca="false">IF(BI61&gt;BH$7,
    "",
    VLOOKUP(BI61,BK$8:BQ560,3,FALSE())
)</f>
        <v/>
      </c>
      <c r="BU61" s="110" t="str">
        <f aca="false">IF(BI61&gt;BH$7,
    "",
    VLOOKUP(BI61,BK$8:BQ560,4,FALSE())
)</f>
        <v/>
      </c>
      <c r="BV61" s="110" t="str">
        <f aca="false">IF(BI61&gt;BH$7,
    "",
    VLOOKUP(BI61,BK$8:BQ560,5,FALSE())
)</f>
        <v/>
      </c>
      <c r="BW61" s="111" t="str">
        <f aca="false">IF(BI61&gt;BH$7,
    "",
    VLOOKUP(BI61,BK$8:BQ560,6,FALSE())
)</f>
        <v/>
      </c>
      <c r="BX61" s="50"/>
    </row>
    <row r="62" customFormat="false" ht="15.75" hidden="false" customHeight="false" outlineLevel="0" collapsed="false">
      <c r="A62" s="5"/>
      <c r="B62" s="126"/>
      <c r="C62" s="52"/>
      <c r="D62" s="53"/>
      <c r="E62" s="120"/>
      <c r="F62" s="120"/>
      <c r="G62" s="55"/>
      <c r="H62" s="56"/>
      <c r="I62" s="80"/>
      <c r="J62" s="80"/>
      <c r="K62" s="80"/>
      <c r="L62" s="58"/>
      <c r="M62" s="58"/>
      <c r="N62" s="58"/>
      <c r="O62" s="59"/>
      <c r="P62" s="60"/>
      <c r="Q62" s="80"/>
      <c r="R62" s="62"/>
      <c r="S62" s="63"/>
      <c r="T62" s="63" t="str">
        <f aca="false">IF(ISBLANK($C62),"",IF(G62=Constants!$B$2, TRUE(), IF(G62=Constants!$B$3, FALSE(), TRUE())))</f>
        <v/>
      </c>
      <c r="U62" s="63" t="str">
        <f aca="false">IF(ISBLANK($C62),"",IF(H62=Constants!$B$2, TRUE(), IF(H62=Constants!$B$3, FALSE(), TRUE())))</f>
        <v/>
      </c>
      <c r="V62" s="63" t="str">
        <f aca="false">IF(ISBLANK($C62),"",IF(I62=Constants!$B$2, TRUE(), IF(I62=Constants!$B$3, FALSE(), TRUE())))</f>
        <v/>
      </c>
      <c r="W62" s="63" t="str">
        <f aca="false">IF(ISBLANK($C62),"",IF(J62=Constants!$B$2, TRUE(), IF(J62=Constants!$B$3, FALSE(), TRUE())))</f>
        <v/>
      </c>
      <c r="X62" s="63" t="str">
        <f aca="false">IF(ISBLANK($C62),"",IF(K62=Constants!$B$2, TRUE(), IF(K62=Constants!$B$3, FALSE(), TRUE())))</f>
        <v/>
      </c>
      <c r="Y62" s="65" t="str">
        <f aca="false">IF(ISBLANK($C62),"",IF(ISNUMBER(L62), L62, ""))</f>
        <v/>
      </c>
      <c r="Z62" s="65" t="str">
        <f aca="false">IF(ISBLANK($C62),"",IF(ISNUMBER(M62), M62, ""))</f>
        <v/>
      </c>
      <c r="AA62" s="65" t="str">
        <f aca="false">IF(ISBLANK($C62),"",IF(ISNUMBER(N62), N62, ""))</f>
        <v/>
      </c>
      <c r="AB62" s="66" t="str">
        <f aca="false">IF(ISBLANK($C62),"",IF(ISNUMBER(O62), O62, ""))</f>
        <v/>
      </c>
      <c r="AC62" s="66" t="str">
        <f aca="false">IF(ISBLANK($C62),"",IF(ISNUMBER(P62), P62, Constants!$B$13))</f>
        <v/>
      </c>
      <c r="AD62" s="63" t="str">
        <f aca="false">IF(ISBLANK($C62),"",IF(Q62=Constants!$B$2, TRUE(), IF(Q62=Constants!$B$3, FALSE(), FALSE())))</f>
        <v/>
      </c>
      <c r="AE62" s="63" t="str">
        <f aca="false">IF(ISBLANK(C62), "", IF(AD62, Constants!$B$4,IF(COUNTA(G62:O62)=0, Constants!$B$5, Constants!$B$7)))</f>
        <v/>
      </c>
      <c r="AF62" s="63" t="str">
        <f aca="false">IF(ISBLANK($C62), "",IF($AE62=Constants!$B$7,1,$AE62))</f>
        <v/>
      </c>
      <c r="AG62" s="63" t="str">
        <f aca="false">IF($AE62=Constants!$B$7,IF(V62, 1, Constants!$B$11) * IF(X62, 1, Constants!$B$12),"")</f>
        <v/>
      </c>
      <c r="AH62" s="63" t="str">
        <f aca="false">IF(AND($AE62=Constants!$B$7, T62, U62) ,MAX(0, $AA62-$Y62),"")</f>
        <v/>
      </c>
      <c r="AI62" s="63" t="str">
        <f aca="false">IF(ISERROR(AH62),$AI$6,"")</f>
        <v/>
      </c>
      <c r="AJ62" s="63" t="str">
        <f aca="false">IF($AE62=Constants!$B$7,IF(AND(T62,U62,W62),IF($AH$6=0,Constants!$B$9,Constants!$B$9*AH62/$AH$6), 0),"")</f>
        <v/>
      </c>
      <c r="AK62" s="63" t="str">
        <f aca="false">IF(AJ62&lt;&gt;"", AJ62*AG62,"")</f>
        <v/>
      </c>
      <c r="AL62" s="63" t="str">
        <f aca="false">IF(AND($AE62=Constants!$B$7, T62, U62) ,IF($Z62="", "", MAX(0,1-ABS($AA62-$Z62)/$AA62)),"")</f>
        <v/>
      </c>
      <c r="AM62" s="63" t="str">
        <f aca="false">IF(AND(NOT(ISERROR(AH62)),ISERROR(AL62)),$AM$6,"")</f>
        <v/>
      </c>
      <c r="AN62" s="63" t="str">
        <f aca="false">IF($AE62=Constants!$B$7 ,IF(AND(T62,U62,W62,ISNUMBER(Z62)),IF($AL$6=0,Constants!$B$10,Constants!$B$10*AL62/$AL$6), 0),"")</f>
        <v/>
      </c>
      <c r="AO62" s="63" t="str">
        <f aca="false">IF(AN62&lt;&gt;"", AN62*AG62,"")</f>
        <v/>
      </c>
      <c r="AP62" s="63" t="str">
        <f aca="false">IF($AE62=Constants!$B$7,IF($AP$6=0,Constants!$B$8,Constants!$B$8*AB62/$AP$6),"")</f>
        <v/>
      </c>
      <c r="AQ62" s="63" t="str">
        <f aca="false">IF($AE62&lt;&gt;Constants!$B$7,$AE62,AK62+AO62+AP62)</f>
        <v/>
      </c>
      <c r="AR62" s="63" t="str">
        <f aca="false">IF(ISBLANK($C62),"",IF($AE62=Constants!$B$7,RANK(AQ62,$AQ$8:$AQ$507),$AE62))</f>
        <v/>
      </c>
      <c r="AS62" s="63" t="str">
        <f aca="false">IF(ISBLANK($C62), "",AK62)</f>
        <v/>
      </c>
      <c r="AT62" s="63" t="str">
        <f aca="false">IF(ISBLANK($C62),"",IF($AE62=Constants!$B$7,RANK(AS62,AS$8:AS$507),$AE62))</f>
        <v/>
      </c>
      <c r="AU62" s="63" t="str">
        <f aca="false">IF(ISBLANK($C62), "",AP62)</f>
        <v/>
      </c>
      <c r="AV62" s="63" t="str">
        <f aca="false">IF(ISBLANK($C62),"",IF($AE62=Constants!$B$7,RANK(AU62,AU$8:AU$507),$AE62))</f>
        <v/>
      </c>
      <c r="AW62" s="63" t="str">
        <f aca="false">IF(ISBLANK($C62), "",AC62)</f>
        <v/>
      </c>
      <c r="AX62" s="63" t="str">
        <f aca="false">IF(ISBLANK($C62),"",
IF($AE62=Constants!$B$7,
  COUNTIFS($AR$8:$AR$507,"&lt;"&amp;$AR62)
  + COUNTIFS($AR$8:$AR$507,$AR62,$AT$8:$AT$507,"&lt;"&amp;$AT62)
  + COUNTIFS($AR$8:$AR$507,$AR62,$AT$8:$AT$507,$AT62,$AV$8:$AV$507,"&lt;"&amp;$AV62)
  + COUNTIFS($AR$8:$AR$507,$AR62,$AT$8:$AT$507,$AT62,$AV$8:$AV$507,$AV62,$AW$8:$AW$507,"&lt;"&amp;$AW62)
  + 1,
$AE62))</f>
        <v/>
      </c>
      <c r="AY62" s="63" t="str">
        <f aca="false">IF(ISBLANK(C62),"",IF($AE62=Constants!$B$7, AR62-AX62,$AE62))</f>
        <v/>
      </c>
      <c r="AZ62" s="67"/>
      <c r="BA62" s="81" t="str">
        <f aca="false">IF(ISBLANK($C62),"",TRIM(AI62&amp;" "&amp;AM62))</f>
        <v/>
      </c>
      <c r="BB62" s="69" t="str">
        <f aca="false">IF(ISBLANK($C62),"",IF($AE62&lt;&gt;Constants!$B$7, $AE62 ,AQ62))</f>
        <v/>
      </c>
      <c r="BC62" s="70" t="str">
        <f aca="false">IF(ISBLANK($C62),"",IF($AE62&lt;&gt;Constants!$B$7, $AE62 ,AF62))</f>
        <v/>
      </c>
      <c r="BD62" s="71" t="str">
        <f aca="false">IF(ISBLANK(C62),"",AY62)</f>
        <v/>
      </c>
      <c r="BE62" s="71" t="str">
        <f aca="false">IF(ISBLANK(C62),"",AX62)</f>
        <v/>
      </c>
      <c r="BF62" s="72" t="str">
        <f aca="false">IF(ISBLANK(C62),"",IFERROR(_xlfn.SWITCH(BE62, Constants!$B$4, COUNTA($C$8:$C561)+2, Constants!$B$5, COUNTA($C$8:$C561)+1, Constants!$B$6, COUNTA($C$8:$C561)),BE62))</f>
        <v/>
      </c>
      <c r="BG62" s="5"/>
      <c r="BH62" s="73" t="n">
        <f aca="false">IF(OR(ISNUMBER(BE62),BE62="DQ",BE62="P",BE62="NS"),
    1,
    0
)</f>
        <v>0</v>
      </c>
      <c r="BI62" s="73" t="n">
        <v>55</v>
      </c>
      <c r="BJ62" s="73" t="str">
        <f aca="false">IF(ISBLANK($C62),
    "",
   BF62+ROW($B62)/1000
)</f>
        <v/>
      </c>
      <c r="BK62" s="73" t="str">
        <f aca="false">IF(ISNUMBER(BJ62), RANK(BJ62,BJ$8:BJ$507,1), "")</f>
        <v/>
      </c>
      <c r="BL62" s="73" t="str">
        <f aca="false">IF(ISBLANK($C62),
    "",
    $B62
)</f>
        <v/>
      </c>
      <c r="BM62" s="73" t="str">
        <f aca="false">IF(ISBLANK($C62),
    "",
    $C62
)</f>
        <v/>
      </c>
      <c r="BN62" s="73" t="str">
        <f aca="false">IF(ISBLANK($C62),
    "",
    $D62
)</f>
        <v/>
      </c>
      <c r="BO62" s="74" t="str">
        <f aca="false">BC62</f>
        <v/>
      </c>
      <c r="BP62" s="75" t="str">
        <f aca="false">BB62</f>
        <v/>
      </c>
      <c r="BQ62" s="73" t="str">
        <f aca="false">IF(ISBLANK($C62),
    "",
    BE62
)</f>
        <v/>
      </c>
      <c r="BR62" s="76" t="str">
        <f aca="false">IF(BI62&gt;BH$7,
    "",
    VLOOKUP(BI62,BK$8:BQ561,7,FALSE())
)</f>
        <v/>
      </c>
      <c r="BS62" s="77" t="str">
        <f aca="false">IF(BI62&gt;BH$7,
    "",
    VLOOKUP(BI62,BK$8:BQ561,2,FALSE())
)</f>
        <v/>
      </c>
      <c r="BT62" s="77" t="str">
        <f aca="false">IF(BI62&gt;BH$7,
    "",
    VLOOKUP(BI62,BK$8:BQ561,3,FALSE())
)</f>
        <v/>
      </c>
      <c r="BU62" s="77" t="str">
        <f aca="false">IF(BI62&gt;BH$7,
    "",
    VLOOKUP(BI62,BK$8:BQ561,4,FALSE())
)</f>
        <v/>
      </c>
      <c r="BV62" s="77" t="str">
        <f aca="false">IF(BI62&gt;BH$7,
    "",
    VLOOKUP(BI62,BK$8:BQ561,5,FALSE())
)</f>
        <v/>
      </c>
      <c r="BW62" s="78" t="str">
        <f aca="false">IF(BI62&gt;BH$7,
    "",
    VLOOKUP(BI62,BK$8:BQ561,6,FALSE())
)</f>
        <v/>
      </c>
      <c r="BX62" s="50"/>
    </row>
    <row r="63" customFormat="false" ht="15.75" hidden="false" customHeight="false" outlineLevel="0" collapsed="false">
      <c r="A63" s="5"/>
      <c r="B63" s="126"/>
      <c r="C63" s="52"/>
      <c r="D63" s="53"/>
      <c r="E63" s="120"/>
      <c r="F63" s="120"/>
      <c r="G63" s="55"/>
      <c r="H63" s="56"/>
      <c r="I63" s="80"/>
      <c r="J63" s="80"/>
      <c r="K63" s="80"/>
      <c r="L63" s="58"/>
      <c r="M63" s="58"/>
      <c r="N63" s="58"/>
      <c r="O63" s="59"/>
      <c r="P63" s="60"/>
      <c r="Q63" s="80"/>
      <c r="R63" s="62"/>
      <c r="S63" s="63"/>
      <c r="T63" s="63" t="str">
        <f aca="false">IF(ISBLANK($C63),"",IF(G63=Constants!$B$2, TRUE(), IF(G63=Constants!$B$3, FALSE(), TRUE())))</f>
        <v/>
      </c>
      <c r="U63" s="63" t="str">
        <f aca="false">IF(ISBLANK($C63),"",IF(H63=Constants!$B$2, TRUE(), IF(H63=Constants!$B$3, FALSE(), TRUE())))</f>
        <v/>
      </c>
      <c r="V63" s="63" t="str">
        <f aca="false">IF(ISBLANK($C63),"",IF(I63=Constants!$B$2, TRUE(), IF(I63=Constants!$B$3, FALSE(), TRUE())))</f>
        <v/>
      </c>
      <c r="W63" s="63" t="str">
        <f aca="false">IF(ISBLANK($C63),"",IF(J63=Constants!$B$2, TRUE(), IF(J63=Constants!$B$3, FALSE(), TRUE())))</f>
        <v/>
      </c>
      <c r="X63" s="63" t="str">
        <f aca="false">IF(ISBLANK($C63),"",IF(K63=Constants!$B$2, TRUE(), IF(K63=Constants!$B$3, FALSE(), TRUE())))</f>
        <v/>
      </c>
      <c r="Y63" s="65" t="str">
        <f aca="false">IF(ISBLANK($C63),"",IF(ISNUMBER(L63), L63, ""))</f>
        <v/>
      </c>
      <c r="Z63" s="65" t="str">
        <f aca="false">IF(ISBLANK($C63),"",IF(ISNUMBER(M63), M63, ""))</f>
        <v/>
      </c>
      <c r="AA63" s="65" t="str">
        <f aca="false">IF(ISBLANK($C63),"",IF(ISNUMBER(N63), N63, ""))</f>
        <v/>
      </c>
      <c r="AB63" s="66" t="str">
        <f aca="false">IF(ISBLANK($C63),"",IF(ISNUMBER(O63), O63, ""))</f>
        <v/>
      </c>
      <c r="AC63" s="66" t="str">
        <f aca="false">IF(ISBLANK($C63),"",IF(ISNUMBER(P63), P63, Constants!$B$13))</f>
        <v/>
      </c>
      <c r="AD63" s="63" t="str">
        <f aca="false">IF(ISBLANK($C63),"",IF(Q63=Constants!$B$2, TRUE(), IF(Q63=Constants!$B$3, FALSE(), FALSE())))</f>
        <v/>
      </c>
      <c r="AE63" s="63" t="str">
        <f aca="false">IF(ISBLANK(C63), "", IF(AD63, Constants!$B$4,IF(COUNTA(G63:O63)=0, Constants!$B$5, Constants!$B$7)))</f>
        <v/>
      </c>
      <c r="AF63" s="63" t="str">
        <f aca="false">IF(ISBLANK($C63), "",IF($AE63=Constants!$B$7,1,$AE63))</f>
        <v/>
      </c>
      <c r="AG63" s="63" t="str">
        <f aca="false">IF($AE63=Constants!$B$7,IF(V63, 1, Constants!$B$11) * IF(X63, 1, Constants!$B$12),"")</f>
        <v/>
      </c>
      <c r="AH63" s="63" t="str">
        <f aca="false">IF(AND($AE63=Constants!$B$7, T63, U63) ,MAX(0, $AA63-$Y63),"")</f>
        <v/>
      </c>
      <c r="AI63" s="63" t="str">
        <f aca="false">IF(ISERROR(AH63),$AI$6,"")</f>
        <v/>
      </c>
      <c r="AJ63" s="63" t="str">
        <f aca="false">IF($AE63=Constants!$B$7,IF(AND(T63,U63,W63),IF($AH$6=0,Constants!$B$9,Constants!$B$9*AH63/$AH$6), 0),"")</f>
        <v/>
      </c>
      <c r="AK63" s="63" t="str">
        <f aca="false">IF(AJ63&lt;&gt;"", AJ63*AG63,"")</f>
        <v/>
      </c>
      <c r="AL63" s="63" t="str">
        <f aca="false">IF(AND($AE63=Constants!$B$7, T63, U63) ,IF($Z63="", "", MAX(0,1-ABS($AA63-$Z63)/$AA63)),"")</f>
        <v/>
      </c>
      <c r="AM63" s="63" t="str">
        <f aca="false">IF(AND(NOT(ISERROR(AH63)),ISERROR(AL63)),$AM$6,"")</f>
        <v/>
      </c>
      <c r="AN63" s="63" t="str">
        <f aca="false">IF($AE63=Constants!$B$7 ,IF(AND(T63,U63,W63,ISNUMBER(Z63)),IF($AL$6=0,Constants!$B$10,Constants!$B$10*AL63/$AL$6), 0),"")</f>
        <v/>
      </c>
      <c r="AO63" s="63" t="str">
        <f aca="false">IF(AN63&lt;&gt;"", AN63*AG63,"")</f>
        <v/>
      </c>
      <c r="AP63" s="63" t="str">
        <f aca="false">IF($AE63=Constants!$B$7,IF($AP$6=0,Constants!$B$8,Constants!$B$8*AB63/$AP$6),"")</f>
        <v/>
      </c>
      <c r="AQ63" s="63" t="str">
        <f aca="false">IF($AE63&lt;&gt;Constants!$B$7,$AE63,AK63+AO63+AP63)</f>
        <v/>
      </c>
      <c r="AR63" s="63" t="str">
        <f aca="false">IF(ISBLANK($C63),"",IF($AE63=Constants!$B$7,RANK(AQ63,$AQ$8:$AQ$507),$AE63))</f>
        <v/>
      </c>
      <c r="AS63" s="63" t="str">
        <f aca="false">IF(ISBLANK($C63), "",AK63)</f>
        <v/>
      </c>
      <c r="AT63" s="63" t="str">
        <f aca="false">IF(ISBLANK($C63),"",IF($AE63=Constants!$B$7,RANK(AS63,AS$8:AS$507),$AE63))</f>
        <v/>
      </c>
      <c r="AU63" s="63" t="str">
        <f aca="false">IF(ISBLANK($C63), "",AP63)</f>
        <v/>
      </c>
      <c r="AV63" s="63" t="str">
        <f aca="false">IF(ISBLANK($C63),"",IF($AE63=Constants!$B$7,RANK(AU63,AU$8:AU$507),$AE63))</f>
        <v/>
      </c>
      <c r="AW63" s="63" t="str">
        <f aca="false">IF(ISBLANK($C63), "",AC63)</f>
        <v/>
      </c>
      <c r="AX63" s="63" t="str">
        <f aca="false">IF(ISBLANK($C63),"",
IF($AE63=Constants!$B$7,
  COUNTIFS($AR$8:$AR$507,"&lt;"&amp;$AR63)
  + COUNTIFS($AR$8:$AR$507,$AR63,$AT$8:$AT$507,"&lt;"&amp;$AT63)
  + COUNTIFS($AR$8:$AR$507,$AR63,$AT$8:$AT$507,$AT63,$AV$8:$AV$507,"&lt;"&amp;$AV63)
  + COUNTIFS($AR$8:$AR$507,$AR63,$AT$8:$AT$507,$AT63,$AV$8:$AV$507,$AV63,$AW$8:$AW$507,"&lt;"&amp;$AW63)
  + 1,
$AE63))</f>
        <v/>
      </c>
      <c r="AY63" s="63" t="str">
        <f aca="false">IF(ISBLANK(C63),"",IF($AE63=Constants!$B$7, AR63-AX63,$AE63))</f>
        <v/>
      </c>
      <c r="AZ63" s="67"/>
      <c r="BA63" s="81" t="str">
        <f aca="false">IF(ISBLANK($C63),"",TRIM(AI63&amp;" "&amp;AM63))</f>
        <v/>
      </c>
      <c r="BB63" s="69" t="str">
        <f aca="false">IF(ISBLANK($C63),"",IF($AE63&lt;&gt;Constants!$B$7, $AE63 ,AQ63))</f>
        <v/>
      </c>
      <c r="BC63" s="70" t="str">
        <f aca="false">IF(ISBLANK($C63),"",IF($AE63&lt;&gt;Constants!$B$7, $AE63 ,AF63))</f>
        <v/>
      </c>
      <c r="BD63" s="71" t="str">
        <f aca="false">IF(ISBLANK(C63),"",AY63)</f>
        <v/>
      </c>
      <c r="BE63" s="71" t="str">
        <f aca="false">IF(ISBLANK(C63),"",AX63)</f>
        <v/>
      </c>
      <c r="BF63" s="72" t="str">
        <f aca="false">IF(ISBLANK(C63),"",IFERROR(_xlfn.SWITCH(BE63, Constants!$B$4, COUNTA($C$8:$C562)+2, Constants!$B$5, COUNTA($C$8:$C562)+1, Constants!$B$6, COUNTA($C$8:$C562)),BE63))</f>
        <v/>
      </c>
      <c r="BG63" s="5"/>
      <c r="BH63" s="73" t="n">
        <f aca="false">IF(OR(ISNUMBER(BE63),BE63="DQ",BE63="P",BE63="NS"),
    1,
    0
)</f>
        <v>0</v>
      </c>
      <c r="BI63" s="73" t="n">
        <v>56</v>
      </c>
      <c r="BJ63" s="73" t="str">
        <f aca="false">IF(ISBLANK($C63),
    "",
   BF63+ROW($B63)/1000
)</f>
        <v/>
      </c>
      <c r="BK63" s="73" t="str">
        <f aca="false">IF(ISNUMBER(BJ63), RANK(BJ63,BJ$8:BJ$507,1), "")</f>
        <v/>
      </c>
      <c r="BL63" s="73" t="str">
        <f aca="false">IF(ISBLANK($C63),
    "",
    $B63
)</f>
        <v/>
      </c>
      <c r="BM63" s="73" t="str">
        <f aca="false">IF(ISBLANK($C63),
    "",
    $C63
)</f>
        <v/>
      </c>
      <c r="BN63" s="73" t="str">
        <f aca="false">IF(ISBLANK($C63),
    "",
    $D63
)</f>
        <v/>
      </c>
      <c r="BO63" s="74" t="str">
        <f aca="false">BC63</f>
        <v/>
      </c>
      <c r="BP63" s="75" t="str">
        <f aca="false">BB63</f>
        <v/>
      </c>
      <c r="BQ63" s="73" t="str">
        <f aca="false">IF(ISBLANK($C63),
    "",
    BE63
)</f>
        <v/>
      </c>
      <c r="BR63" s="76" t="str">
        <f aca="false">IF(BI63&gt;BH$7,
    "",
    VLOOKUP(BI63,BK$8:BQ562,7,FALSE())
)</f>
        <v/>
      </c>
      <c r="BS63" s="77" t="str">
        <f aca="false">IF(BI63&gt;BH$7,
    "",
    VLOOKUP(BI63,BK$8:BQ562,2,FALSE())
)</f>
        <v/>
      </c>
      <c r="BT63" s="77" t="str">
        <f aca="false">IF(BI63&gt;BH$7,
    "",
    VLOOKUP(BI63,BK$8:BQ562,3,FALSE())
)</f>
        <v/>
      </c>
      <c r="BU63" s="77" t="str">
        <f aca="false">IF(BI63&gt;BH$7,
    "",
    VLOOKUP(BI63,BK$8:BQ562,4,FALSE())
)</f>
        <v/>
      </c>
      <c r="BV63" s="77" t="str">
        <f aca="false">IF(BI63&gt;BH$7,
    "",
    VLOOKUP(BI63,BK$8:BQ562,5,FALSE())
)</f>
        <v/>
      </c>
      <c r="BW63" s="78" t="str">
        <f aca="false">IF(BI63&gt;BH$7,
    "",
    VLOOKUP(BI63,BK$8:BQ562,6,FALSE())
)</f>
        <v/>
      </c>
      <c r="BX63" s="50"/>
    </row>
    <row r="64" customFormat="false" ht="15.75" hidden="false" customHeight="false" outlineLevel="0" collapsed="false">
      <c r="A64" s="5"/>
      <c r="B64" s="126"/>
      <c r="C64" s="52"/>
      <c r="D64" s="53"/>
      <c r="E64" s="120"/>
      <c r="F64" s="120"/>
      <c r="G64" s="55"/>
      <c r="H64" s="56"/>
      <c r="I64" s="80"/>
      <c r="J64" s="80"/>
      <c r="K64" s="80"/>
      <c r="L64" s="58"/>
      <c r="M64" s="58"/>
      <c r="N64" s="58"/>
      <c r="O64" s="59"/>
      <c r="P64" s="60"/>
      <c r="Q64" s="80"/>
      <c r="R64" s="62"/>
      <c r="S64" s="63"/>
      <c r="T64" s="63" t="str">
        <f aca="false">IF(ISBLANK($C64),"",IF(G64=Constants!$B$2, TRUE(), IF(G64=Constants!$B$3, FALSE(), TRUE())))</f>
        <v/>
      </c>
      <c r="U64" s="63" t="str">
        <f aca="false">IF(ISBLANK($C64),"",IF(H64=Constants!$B$2, TRUE(), IF(H64=Constants!$B$3, FALSE(), TRUE())))</f>
        <v/>
      </c>
      <c r="V64" s="63" t="str">
        <f aca="false">IF(ISBLANK($C64),"",IF(I64=Constants!$B$2, TRUE(), IF(I64=Constants!$B$3, FALSE(), TRUE())))</f>
        <v/>
      </c>
      <c r="W64" s="63" t="str">
        <f aca="false">IF(ISBLANK($C64),"",IF(J64=Constants!$B$2, TRUE(), IF(J64=Constants!$B$3, FALSE(), TRUE())))</f>
        <v/>
      </c>
      <c r="X64" s="63" t="str">
        <f aca="false">IF(ISBLANK($C64),"",IF(K64=Constants!$B$2, TRUE(), IF(K64=Constants!$B$3, FALSE(), TRUE())))</f>
        <v/>
      </c>
      <c r="Y64" s="65" t="str">
        <f aca="false">IF(ISBLANK($C64),"",IF(ISNUMBER(L64), L64, ""))</f>
        <v/>
      </c>
      <c r="Z64" s="65" t="str">
        <f aca="false">IF(ISBLANK($C64),"",IF(ISNUMBER(M64), M64, ""))</f>
        <v/>
      </c>
      <c r="AA64" s="65" t="str">
        <f aca="false">IF(ISBLANK($C64),"",IF(ISNUMBER(N64), N64, ""))</f>
        <v/>
      </c>
      <c r="AB64" s="66" t="str">
        <f aca="false">IF(ISBLANK($C64),"",IF(ISNUMBER(O64), O64, ""))</f>
        <v/>
      </c>
      <c r="AC64" s="66" t="str">
        <f aca="false">IF(ISBLANK($C64),"",IF(ISNUMBER(P64), P64, Constants!$B$13))</f>
        <v/>
      </c>
      <c r="AD64" s="63" t="str">
        <f aca="false">IF(ISBLANK($C64),"",IF(Q64=Constants!$B$2, TRUE(), IF(Q64=Constants!$B$3, FALSE(), FALSE())))</f>
        <v/>
      </c>
      <c r="AE64" s="63" t="str">
        <f aca="false">IF(ISBLANK(C64), "", IF(AD64, Constants!$B$4,IF(COUNTA(G64:O64)=0, Constants!$B$5, Constants!$B$7)))</f>
        <v/>
      </c>
      <c r="AF64" s="63" t="str">
        <f aca="false">IF(ISBLANK($C64), "",IF($AE64=Constants!$B$7,1,$AE64))</f>
        <v/>
      </c>
      <c r="AG64" s="63" t="str">
        <f aca="false">IF($AE64=Constants!$B$7,IF(V64, 1, Constants!$B$11) * IF(X64, 1, Constants!$B$12),"")</f>
        <v/>
      </c>
      <c r="AH64" s="63" t="str">
        <f aca="false">IF(AND($AE64=Constants!$B$7, T64, U64) ,MAX(0, $AA64-$Y64),"")</f>
        <v/>
      </c>
      <c r="AI64" s="63" t="str">
        <f aca="false">IF(ISERROR(AH64),$AI$6,"")</f>
        <v/>
      </c>
      <c r="AJ64" s="63" t="str">
        <f aca="false">IF($AE64=Constants!$B$7,IF(AND(T64,U64,W64),IF($AH$6=0,Constants!$B$9,Constants!$B$9*AH64/$AH$6), 0),"")</f>
        <v/>
      </c>
      <c r="AK64" s="63" t="str">
        <f aca="false">IF(AJ64&lt;&gt;"", AJ64*AG64,"")</f>
        <v/>
      </c>
      <c r="AL64" s="63" t="str">
        <f aca="false">IF(AND($AE64=Constants!$B$7, T64, U64) ,IF($Z64="", "", MAX(0,1-ABS($AA64-$Z64)/$AA64)),"")</f>
        <v/>
      </c>
      <c r="AM64" s="63" t="str">
        <f aca="false">IF(AND(NOT(ISERROR(AH64)),ISERROR(AL64)),$AM$6,"")</f>
        <v/>
      </c>
      <c r="AN64" s="63" t="str">
        <f aca="false">IF($AE64=Constants!$B$7 ,IF(AND(T64,U64,W64,ISNUMBER(Z64)),IF($AL$6=0,Constants!$B$10,Constants!$B$10*AL64/$AL$6), 0),"")</f>
        <v/>
      </c>
      <c r="AO64" s="63" t="str">
        <f aca="false">IF(AN64&lt;&gt;"", AN64*AG64,"")</f>
        <v/>
      </c>
      <c r="AP64" s="63" t="str">
        <f aca="false">IF($AE64=Constants!$B$7,IF($AP$6=0,Constants!$B$8,Constants!$B$8*AB64/$AP$6),"")</f>
        <v/>
      </c>
      <c r="AQ64" s="63" t="str">
        <f aca="false">IF($AE64&lt;&gt;Constants!$B$7,$AE64,AK64+AO64+AP64)</f>
        <v/>
      </c>
      <c r="AR64" s="63" t="str">
        <f aca="false">IF(ISBLANK($C64),"",IF($AE64=Constants!$B$7,RANK(AQ64,$AQ$8:$AQ$507),$AE64))</f>
        <v/>
      </c>
      <c r="AS64" s="63" t="str">
        <f aca="false">IF(ISBLANK($C64), "",AK64)</f>
        <v/>
      </c>
      <c r="AT64" s="63" t="str">
        <f aca="false">IF(ISBLANK($C64),"",IF($AE64=Constants!$B$7,RANK(AS64,AS$8:AS$507),$AE64))</f>
        <v/>
      </c>
      <c r="AU64" s="63" t="str">
        <f aca="false">IF(ISBLANK($C64), "",AP64)</f>
        <v/>
      </c>
      <c r="AV64" s="63" t="str">
        <f aca="false">IF(ISBLANK($C64),"",IF($AE64=Constants!$B$7,RANK(AU64,AU$8:AU$507),$AE64))</f>
        <v/>
      </c>
      <c r="AW64" s="63" t="str">
        <f aca="false">IF(ISBLANK($C64), "",AC64)</f>
        <v/>
      </c>
      <c r="AX64" s="63" t="str">
        <f aca="false">IF(ISBLANK($C64),"",
IF($AE64=Constants!$B$7,
  COUNTIFS($AR$8:$AR$507,"&lt;"&amp;$AR64)
  + COUNTIFS($AR$8:$AR$507,$AR64,$AT$8:$AT$507,"&lt;"&amp;$AT64)
  + COUNTIFS($AR$8:$AR$507,$AR64,$AT$8:$AT$507,$AT64,$AV$8:$AV$507,"&lt;"&amp;$AV64)
  + COUNTIFS($AR$8:$AR$507,$AR64,$AT$8:$AT$507,$AT64,$AV$8:$AV$507,$AV64,$AW$8:$AW$507,"&lt;"&amp;$AW64)
  + 1,
$AE64))</f>
        <v/>
      </c>
      <c r="AY64" s="63" t="str">
        <f aca="false">IF(ISBLANK(C64),"",IF($AE64=Constants!$B$7, AR64-AX64,$AE64))</f>
        <v/>
      </c>
      <c r="AZ64" s="67"/>
      <c r="BA64" s="81" t="str">
        <f aca="false">IF(ISBLANK($C64),"",TRIM(AI64&amp;" "&amp;AM64))</f>
        <v/>
      </c>
      <c r="BB64" s="69" t="str">
        <f aca="false">IF(ISBLANK($C64),"",IF($AE64&lt;&gt;Constants!$B$7, $AE64 ,AQ64))</f>
        <v/>
      </c>
      <c r="BC64" s="70" t="str">
        <f aca="false">IF(ISBLANK($C64),"",IF($AE64&lt;&gt;Constants!$B$7, $AE64 ,AF64))</f>
        <v/>
      </c>
      <c r="BD64" s="71" t="str">
        <f aca="false">IF(ISBLANK(C64),"",AY64)</f>
        <v/>
      </c>
      <c r="BE64" s="71" t="str">
        <f aca="false">IF(ISBLANK(C64),"",AX64)</f>
        <v/>
      </c>
      <c r="BF64" s="72" t="str">
        <f aca="false">IF(ISBLANK(C64),"",IFERROR(_xlfn.SWITCH(BE64, Constants!$B$4, COUNTA($C$8:$C563)+2, Constants!$B$5, COUNTA($C$8:$C563)+1, Constants!$B$6, COUNTA($C$8:$C563)),BE64))</f>
        <v/>
      </c>
      <c r="BG64" s="5"/>
      <c r="BH64" s="73" t="n">
        <f aca="false">IF(OR(ISNUMBER(BE64),BE64="DQ",BE64="P",BE64="NS"),
    1,
    0
)</f>
        <v>0</v>
      </c>
      <c r="BI64" s="73" t="n">
        <v>57</v>
      </c>
      <c r="BJ64" s="73" t="str">
        <f aca="false">IF(ISBLANK($C64),
    "",
   BF64+ROW($B64)/1000
)</f>
        <v/>
      </c>
      <c r="BK64" s="73" t="str">
        <f aca="false">IF(ISNUMBER(BJ64), RANK(BJ64,BJ$8:BJ$507,1), "")</f>
        <v/>
      </c>
      <c r="BL64" s="73" t="str">
        <f aca="false">IF(ISBLANK($C64),
    "",
    $B64
)</f>
        <v/>
      </c>
      <c r="BM64" s="73" t="str">
        <f aca="false">IF(ISBLANK($C64),
    "",
    $C64
)</f>
        <v/>
      </c>
      <c r="BN64" s="73" t="str">
        <f aca="false">IF(ISBLANK($C64),
    "",
    $D64
)</f>
        <v/>
      </c>
      <c r="BO64" s="74" t="str">
        <f aca="false">BC64</f>
        <v/>
      </c>
      <c r="BP64" s="75" t="str">
        <f aca="false">BB64</f>
        <v/>
      </c>
      <c r="BQ64" s="73" t="str">
        <f aca="false">IF(ISBLANK($C64),
    "",
    BE64
)</f>
        <v/>
      </c>
      <c r="BR64" s="76" t="str">
        <f aca="false">IF(BI64&gt;BH$7,
    "",
    VLOOKUP(BI64,BK$8:BQ563,7,FALSE())
)</f>
        <v/>
      </c>
      <c r="BS64" s="77" t="str">
        <f aca="false">IF(BI64&gt;BH$7,
    "",
    VLOOKUP(BI64,BK$8:BQ563,2,FALSE())
)</f>
        <v/>
      </c>
      <c r="BT64" s="77" t="str">
        <f aca="false">IF(BI64&gt;BH$7,
    "",
    VLOOKUP(BI64,BK$8:BQ563,3,FALSE())
)</f>
        <v/>
      </c>
      <c r="BU64" s="77" t="str">
        <f aca="false">IF(BI64&gt;BH$7,
    "",
    VLOOKUP(BI64,BK$8:BQ563,4,FALSE())
)</f>
        <v/>
      </c>
      <c r="BV64" s="77" t="str">
        <f aca="false">IF(BI64&gt;BH$7,
    "",
    VLOOKUP(BI64,BK$8:BQ563,5,FALSE())
)</f>
        <v/>
      </c>
      <c r="BW64" s="78" t="str">
        <f aca="false">IF(BI64&gt;BH$7,
    "",
    VLOOKUP(BI64,BK$8:BQ563,6,FALSE())
)</f>
        <v/>
      </c>
      <c r="BX64" s="50"/>
    </row>
    <row r="65" customFormat="false" ht="15.75" hidden="false" customHeight="false" outlineLevel="0" collapsed="false">
      <c r="A65" s="5"/>
      <c r="B65" s="122"/>
      <c r="C65" s="123"/>
      <c r="D65" s="112"/>
      <c r="E65" s="116"/>
      <c r="F65" s="116"/>
      <c r="G65" s="88"/>
      <c r="H65" s="89"/>
      <c r="I65" s="125"/>
      <c r="J65" s="125"/>
      <c r="K65" s="125"/>
      <c r="L65" s="91"/>
      <c r="M65" s="91"/>
      <c r="N65" s="91"/>
      <c r="O65" s="92"/>
      <c r="P65" s="93"/>
      <c r="Q65" s="125"/>
      <c r="R65" s="95"/>
      <c r="S65" s="96"/>
      <c r="T65" s="96" t="str">
        <f aca="false">IF(ISBLANK($C65),"",IF(G65=Constants!$B$2, TRUE(), IF(G65=Constants!$B$3, FALSE(), TRUE())))</f>
        <v/>
      </c>
      <c r="U65" s="96" t="str">
        <f aca="false">IF(ISBLANK($C65),"",IF(H65=Constants!$B$2, TRUE(), IF(H65=Constants!$B$3, FALSE(), TRUE())))</f>
        <v/>
      </c>
      <c r="V65" s="96" t="str">
        <f aca="false">IF(ISBLANK($C65),"",IF(I65=Constants!$B$2, TRUE(), IF(I65=Constants!$B$3, FALSE(), TRUE())))</f>
        <v/>
      </c>
      <c r="W65" s="96" t="str">
        <f aca="false">IF(ISBLANK($C65),"",IF(J65=Constants!$B$2, TRUE(), IF(J65=Constants!$B$3, FALSE(), TRUE())))</f>
        <v/>
      </c>
      <c r="X65" s="97" t="str">
        <f aca="false">IF(ISBLANK($C65),"",IF(K65=Constants!$B$2, TRUE(), IF(K65=Constants!$B$3, FALSE(), TRUE())))</f>
        <v/>
      </c>
      <c r="Y65" s="98" t="str">
        <f aca="false">IF(ISBLANK($C65),"",IF(ISNUMBER(L65), L65, ""))</f>
        <v/>
      </c>
      <c r="Z65" s="98" t="str">
        <f aca="false">IF(ISBLANK($C65),"",IF(ISNUMBER(M65), M65, ""))</f>
        <v/>
      </c>
      <c r="AA65" s="98" t="str">
        <f aca="false">IF(ISBLANK($C65),"",IF(ISNUMBER(N65), N65, ""))</f>
        <v/>
      </c>
      <c r="AB65" s="99" t="str">
        <f aca="false">IF(ISBLANK($C65),"",IF(ISNUMBER(O65), O65, ""))</f>
        <v/>
      </c>
      <c r="AC65" s="99" t="str">
        <f aca="false">IF(ISBLANK($C65),"",IF(ISNUMBER(P65), P65, Constants!$B$13))</f>
        <v/>
      </c>
      <c r="AD65" s="96" t="str">
        <f aca="false">IF(ISBLANK($C65),"",IF(Q65=Constants!$B$2, TRUE(), IF(Q65=Constants!$B$3, FALSE(), FALSE())))</f>
        <v/>
      </c>
      <c r="AE65" s="96" t="str">
        <f aca="false">IF(ISBLANK(C65), "", IF(AD65, Constants!$B$4,IF(COUNTA(G65:O65)=0, Constants!$B$5, Constants!$B$7)))</f>
        <v/>
      </c>
      <c r="AF65" s="96" t="str">
        <f aca="false">IF(ISBLANK($C65), "",IF($AE65=Constants!$B$7,1,$AE65))</f>
        <v/>
      </c>
      <c r="AG65" s="96" t="str">
        <f aca="false">IF($AE65=Constants!$B$7,IF(V65, 1, Constants!$B$11) * IF(X65, 1, Constants!$B$12),"")</f>
        <v/>
      </c>
      <c r="AH65" s="96" t="str">
        <f aca="false">IF(AND($AE65=Constants!$B$7, T65, U65) ,MAX(0, $AA65-$Y65),"")</f>
        <v/>
      </c>
      <c r="AI65" s="96" t="str">
        <f aca="false">IF(ISERROR(AH65),$AI$6,"")</f>
        <v/>
      </c>
      <c r="AJ65" s="96" t="str">
        <f aca="false">IF($AE65=Constants!$B$7,IF(AND(T65,U65,W65),IF($AH$6=0,Constants!$B$9,Constants!$B$9*AH65/$AH$6), 0),"")</f>
        <v/>
      </c>
      <c r="AK65" s="96" t="str">
        <f aca="false">IF(AJ65&lt;&gt;"", AJ65*AG65,"")</f>
        <v/>
      </c>
      <c r="AL65" s="96" t="str">
        <f aca="false">IF(AND($AE65=Constants!$B$7, T65, U65) ,IF($Z65="", "", MAX(0,1-ABS($AA65-$Z65)/$AA65)),"")</f>
        <v/>
      </c>
      <c r="AM65" s="96" t="str">
        <f aca="false">IF(AND(NOT(ISERROR(AH65)),ISERROR(AL65)),$AM$6,"")</f>
        <v/>
      </c>
      <c r="AN65" s="96" t="str">
        <f aca="false">IF($AE65=Constants!$B$7 ,IF(AND(T65,U65,W65,ISNUMBER(Z65)),IF($AL$6=0,Constants!$B$10,Constants!$B$10*AL65/$AL$6), 0),"")</f>
        <v/>
      </c>
      <c r="AO65" s="96" t="str">
        <f aca="false">IF(AN65&lt;&gt;"", AN65*AG65,"")</f>
        <v/>
      </c>
      <c r="AP65" s="96" t="str">
        <f aca="false">IF($AE65=Constants!$B$7,IF($AP$6=0,Constants!$B$8,Constants!$B$8*AB65/$AP$6),"")</f>
        <v/>
      </c>
      <c r="AQ65" s="96" t="str">
        <f aca="false">IF($AE65&lt;&gt;Constants!$B$7,$AE65,AK65+AO65+AP65)</f>
        <v/>
      </c>
      <c r="AR65" s="96" t="str">
        <f aca="false">IF(ISBLANK($C65),"",IF($AE65=Constants!$B$7,RANK(AQ65,$AQ$8:$AQ$507),$AE65))</f>
        <v/>
      </c>
      <c r="AS65" s="96" t="str">
        <f aca="false">IF(ISBLANK($C65), "",AK65)</f>
        <v/>
      </c>
      <c r="AT65" s="96" t="str">
        <f aca="false">IF(ISBLANK($C65),"",IF($AE65=Constants!$B$7,RANK(AS65,AS$8:AS$507),$AE65))</f>
        <v/>
      </c>
      <c r="AU65" s="96" t="str">
        <f aca="false">IF(ISBLANK($C65), "",AP65)</f>
        <v/>
      </c>
      <c r="AV65" s="96" t="str">
        <f aca="false">IF(ISBLANK($C65),"",IF($AE65=Constants!$B$7,RANK(AU65,AU$8:AU$507),$AE65))</f>
        <v/>
      </c>
      <c r="AW65" s="96" t="str">
        <f aca="false">IF(ISBLANK($C65), "",AC65)</f>
        <v/>
      </c>
      <c r="AX65" s="96" t="str">
        <f aca="false">IF(ISBLANK($C65),"",
IF($AE65=Constants!$B$7,
  COUNTIFS($AR$8:$AR$507,"&lt;"&amp;$AR65)
  + COUNTIFS($AR$8:$AR$507,$AR65,$AT$8:$AT$507,"&lt;"&amp;$AT65)
  + COUNTIFS($AR$8:$AR$507,$AR65,$AT$8:$AT$507,$AT65,$AV$8:$AV$507,"&lt;"&amp;$AV65)
  + COUNTIFS($AR$8:$AR$507,$AR65,$AT$8:$AT$507,$AT65,$AV$8:$AV$507,$AV65,$AW$8:$AW$507,"&lt;"&amp;$AW65)
  + 1,
$AE65))</f>
        <v/>
      </c>
      <c r="AY65" s="96" t="str">
        <f aca="false">IF(ISBLANK(C65),"",IF($AE65=Constants!$B$7, AR65-AX65,$AE65))</f>
        <v/>
      </c>
      <c r="AZ65" s="100"/>
      <c r="BA65" s="101" t="str">
        <f aca="false">IF(ISBLANK($C65),"",TRIM(AI65&amp;" "&amp;AM65))</f>
        <v/>
      </c>
      <c r="BB65" s="102" t="str">
        <f aca="false">IF(ISBLANK($C65),"",IF($AE65&lt;&gt;Constants!$B$7, $AE65 ,AQ65))</f>
        <v/>
      </c>
      <c r="BC65" s="103" t="str">
        <f aca="false">IF(ISBLANK($C65),"",IF($AE65&lt;&gt;Constants!$B$7, $AE65 ,AF65))</f>
        <v/>
      </c>
      <c r="BD65" s="104" t="str">
        <f aca="false">IF(ISBLANK(C65),"",AY65)</f>
        <v/>
      </c>
      <c r="BE65" s="104" t="str">
        <f aca="false">IF(ISBLANK(C65),"",AX65)</f>
        <v/>
      </c>
      <c r="BF65" s="105" t="str">
        <f aca="false">IF(ISBLANK(C65),"",IFERROR(_xlfn.SWITCH(BE65, Constants!$B$4, COUNTA($C$8:$C564)+2, Constants!$B$5, COUNTA($C$8:$C564)+1, Constants!$B$6, COUNTA($C$8:$C564)),BE65))</f>
        <v/>
      </c>
      <c r="BG65" s="5"/>
      <c r="BH65" s="106" t="n">
        <f aca="false">IF(OR(ISNUMBER(BE65),BE65="DQ",BE65="P",BE65="NS"),
    1,
    0
)</f>
        <v>0</v>
      </c>
      <c r="BI65" s="106" t="n">
        <v>58</v>
      </c>
      <c r="BJ65" s="106" t="str">
        <f aca="false">IF(ISBLANK($C65),
    "",
   BF65+ROW($B65)/1000
)</f>
        <v/>
      </c>
      <c r="BK65" s="106" t="str">
        <f aca="false">IF(ISNUMBER(BJ65), RANK(BJ65,BJ$8:BJ$507,1), "")</f>
        <v/>
      </c>
      <c r="BL65" s="106" t="str">
        <f aca="false">IF(ISBLANK($C65),
    "",
    $B65
)</f>
        <v/>
      </c>
      <c r="BM65" s="106" t="str">
        <f aca="false">IF(ISBLANK($C65),
    "",
    $C65
)</f>
        <v/>
      </c>
      <c r="BN65" s="106" t="str">
        <f aca="false">IF(ISBLANK($C65),
    "",
    $D65
)</f>
        <v/>
      </c>
      <c r="BO65" s="107" t="str">
        <f aca="false">BC65</f>
        <v/>
      </c>
      <c r="BP65" s="108" t="str">
        <f aca="false">BB65</f>
        <v/>
      </c>
      <c r="BQ65" s="106" t="str">
        <f aca="false">IF(ISBLANK($C65),
    "",
    BE65
)</f>
        <v/>
      </c>
      <c r="BR65" s="109" t="str">
        <f aca="false">IF(BI65&gt;BH$7,
    "",
    VLOOKUP(BI65,BK$8:BQ564,7,FALSE())
)</f>
        <v/>
      </c>
      <c r="BS65" s="110" t="str">
        <f aca="false">IF(BI65&gt;BH$7,
    "",
    VLOOKUP(BI65,BK$8:BQ564,2,FALSE())
)</f>
        <v/>
      </c>
      <c r="BT65" s="110" t="str">
        <f aca="false">IF(BI65&gt;BH$7,
    "",
    VLOOKUP(BI65,BK$8:BQ564,3,FALSE())
)</f>
        <v/>
      </c>
      <c r="BU65" s="110" t="str">
        <f aca="false">IF(BI65&gt;BH$7,
    "",
    VLOOKUP(BI65,BK$8:BQ564,4,FALSE())
)</f>
        <v/>
      </c>
      <c r="BV65" s="110" t="str">
        <f aca="false">IF(BI65&gt;BH$7,
    "",
    VLOOKUP(BI65,BK$8:BQ564,5,FALSE())
)</f>
        <v/>
      </c>
      <c r="BW65" s="111" t="str">
        <f aca="false">IF(BI65&gt;BH$7,
    "",
    VLOOKUP(BI65,BK$8:BQ564,6,FALSE())
)</f>
        <v/>
      </c>
      <c r="BX65" s="50"/>
    </row>
    <row r="66" customFormat="false" ht="15.75" hidden="false" customHeight="false" outlineLevel="0" collapsed="false">
      <c r="A66" s="5"/>
      <c r="B66" s="122"/>
      <c r="C66" s="123"/>
      <c r="D66" s="112"/>
      <c r="E66" s="116"/>
      <c r="F66" s="116"/>
      <c r="G66" s="88"/>
      <c r="H66" s="89"/>
      <c r="I66" s="125"/>
      <c r="J66" s="125"/>
      <c r="K66" s="125"/>
      <c r="L66" s="91"/>
      <c r="M66" s="91"/>
      <c r="N66" s="91"/>
      <c r="O66" s="92"/>
      <c r="P66" s="93"/>
      <c r="Q66" s="125"/>
      <c r="R66" s="95"/>
      <c r="S66" s="96"/>
      <c r="T66" s="96" t="str">
        <f aca="false">IF(ISBLANK($C66),"",IF(G66=Constants!$B$2, TRUE(), IF(G66=Constants!$B$3, FALSE(), TRUE())))</f>
        <v/>
      </c>
      <c r="U66" s="96" t="str">
        <f aca="false">IF(ISBLANK($C66),"",IF(H66=Constants!$B$2, TRUE(), IF(H66=Constants!$B$3, FALSE(), TRUE())))</f>
        <v/>
      </c>
      <c r="V66" s="96" t="str">
        <f aca="false">IF(ISBLANK($C66),"",IF(I66=Constants!$B$2, TRUE(), IF(I66=Constants!$B$3, FALSE(), TRUE())))</f>
        <v/>
      </c>
      <c r="W66" s="96" t="str">
        <f aca="false">IF(ISBLANK($C66),"",IF(J66=Constants!$B$2, TRUE(), IF(J66=Constants!$B$3, FALSE(), TRUE())))</f>
        <v/>
      </c>
      <c r="X66" s="97" t="str">
        <f aca="false">IF(ISBLANK($C66),"",IF(K66=Constants!$B$2, TRUE(), IF(K66=Constants!$B$3, FALSE(), TRUE())))</f>
        <v/>
      </c>
      <c r="Y66" s="98" t="str">
        <f aca="false">IF(ISBLANK($C66),"",IF(ISNUMBER(L66), L66, ""))</f>
        <v/>
      </c>
      <c r="Z66" s="98" t="str">
        <f aca="false">IF(ISBLANK($C66),"",IF(ISNUMBER(M66), M66, ""))</f>
        <v/>
      </c>
      <c r="AA66" s="98" t="str">
        <f aca="false">IF(ISBLANK($C66),"",IF(ISNUMBER(N66), N66, ""))</f>
        <v/>
      </c>
      <c r="AB66" s="99" t="str">
        <f aca="false">IF(ISBLANK($C66),"",IF(ISNUMBER(O66), O66, ""))</f>
        <v/>
      </c>
      <c r="AC66" s="99" t="str">
        <f aca="false">IF(ISBLANK($C66),"",IF(ISNUMBER(P66), P66, Constants!$B$13))</f>
        <v/>
      </c>
      <c r="AD66" s="96" t="str">
        <f aca="false">IF(ISBLANK($C66),"",IF(Q66=Constants!$B$2, TRUE(), IF(Q66=Constants!$B$3, FALSE(), FALSE())))</f>
        <v/>
      </c>
      <c r="AE66" s="96" t="str">
        <f aca="false">IF(ISBLANK(C66), "", IF(AD66, Constants!$B$4,IF(COUNTA(G66:O66)=0, Constants!$B$5, Constants!$B$7)))</f>
        <v/>
      </c>
      <c r="AF66" s="96" t="str">
        <f aca="false">IF(ISBLANK($C66), "",IF($AE66=Constants!$B$7,1,$AE66))</f>
        <v/>
      </c>
      <c r="AG66" s="96" t="str">
        <f aca="false">IF($AE66=Constants!$B$7,IF(V66, 1, Constants!$B$11) * IF(X66, 1, Constants!$B$12),"")</f>
        <v/>
      </c>
      <c r="AH66" s="96" t="str">
        <f aca="false">IF(AND($AE66=Constants!$B$7, T66, U66) ,MAX(0, $AA66-$Y66),"")</f>
        <v/>
      </c>
      <c r="AI66" s="96" t="str">
        <f aca="false">IF(ISERROR(AH66),$AI$6,"")</f>
        <v/>
      </c>
      <c r="AJ66" s="96" t="str">
        <f aca="false">IF($AE66=Constants!$B$7,IF(AND(T66,U66,W66),IF($AH$6=0,Constants!$B$9,Constants!$B$9*AH66/$AH$6), 0),"")</f>
        <v/>
      </c>
      <c r="AK66" s="96" t="str">
        <f aca="false">IF(AJ66&lt;&gt;"", AJ66*AG66,"")</f>
        <v/>
      </c>
      <c r="AL66" s="96" t="str">
        <f aca="false">IF(AND($AE66=Constants!$B$7, T66, U66) ,IF($Z66="", "", MAX(0,1-ABS($AA66-$Z66)/$AA66)),"")</f>
        <v/>
      </c>
      <c r="AM66" s="96" t="str">
        <f aca="false">IF(AND(NOT(ISERROR(AH66)),ISERROR(AL66)),$AM$6,"")</f>
        <v/>
      </c>
      <c r="AN66" s="96" t="str">
        <f aca="false">IF($AE66=Constants!$B$7 ,IF(AND(T66,U66,W66,ISNUMBER(Z66)),IF($AL$6=0,Constants!$B$10,Constants!$B$10*AL66/$AL$6), 0),"")</f>
        <v/>
      </c>
      <c r="AO66" s="96" t="str">
        <f aca="false">IF(AN66&lt;&gt;"", AN66*AG66,"")</f>
        <v/>
      </c>
      <c r="AP66" s="96" t="str">
        <f aca="false">IF($AE66=Constants!$B$7,IF($AP$6=0,Constants!$B$8,Constants!$B$8*AB66/$AP$6),"")</f>
        <v/>
      </c>
      <c r="AQ66" s="96" t="str">
        <f aca="false">IF($AE66&lt;&gt;Constants!$B$7,$AE66,AK66+AO66+AP66)</f>
        <v/>
      </c>
      <c r="AR66" s="96" t="str">
        <f aca="false">IF(ISBLANK($C66),"",IF($AE66=Constants!$B$7,RANK(AQ66,$AQ$8:$AQ$507),$AE66))</f>
        <v/>
      </c>
      <c r="AS66" s="96" t="str">
        <f aca="false">IF(ISBLANK($C66), "",AK66)</f>
        <v/>
      </c>
      <c r="AT66" s="96" t="str">
        <f aca="false">IF(ISBLANK($C66),"",IF($AE66=Constants!$B$7,RANK(AS66,AS$8:AS$507),$AE66))</f>
        <v/>
      </c>
      <c r="AU66" s="96" t="str">
        <f aca="false">IF(ISBLANK($C66), "",AP66)</f>
        <v/>
      </c>
      <c r="AV66" s="96" t="str">
        <f aca="false">IF(ISBLANK($C66),"",IF($AE66=Constants!$B$7,RANK(AU66,AU$8:AU$507),$AE66))</f>
        <v/>
      </c>
      <c r="AW66" s="96" t="str">
        <f aca="false">IF(ISBLANK($C66), "",AC66)</f>
        <v/>
      </c>
      <c r="AX66" s="96" t="str">
        <f aca="false">IF(ISBLANK($C66),"",
IF($AE66=Constants!$B$7,
  COUNTIFS($AR$8:$AR$507,"&lt;"&amp;$AR66)
  + COUNTIFS($AR$8:$AR$507,$AR66,$AT$8:$AT$507,"&lt;"&amp;$AT66)
  + COUNTIFS($AR$8:$AR$507,$AR66,$AT$8:$AT$507,$AT66,$AV$8:$AV$507,"&lt;"&amp;$AV66)
  + COUNTIFS($AR$8:$AR$507,$AR66,$AT$8:$AT$507,$AT66,$AV$8:$AV$507,$AV66,$AW$8:$AW$507,"&lt;"&amp;$AW66)
  + 1,
$AE66))</f>
        <v/>
      </c>
      <c r="AY66" s="96" t="str">
        <f aca="false">IF(ISBLANK(C66),"",IF($AE66=Constants!$B$7, AR66-AX66,$AE66))</f>
        <v/>
      </c>
      <c r="AZ66" s="100"/>
      <c r="BA66" s="101" t="str">
        <f aca="false">IF(ISBLANK($C66),"",TRIM(AI66&amp;" "&amp;AM66))</f>
        <v/>
      </c>
      <c r="BB66" s="102" t="str">
        <f aca="false">IF(ISBLANK($C66),"",IF($AE66&lt;&gt;Constants!$B$7, $AE66 ,AQ66))</f>
        <v/>
      </c>
      <c r="BC66" s="103" t="str">
        <f aca="false">IF(ISBLANK($C66),"",IF($AE66&lt;&gt;Constants!$B$7, $AE66 ,AF66))</f>
        <v/>
      </c>
      <c r="BD66" s="104" t="str">
        <f aca="false">IF(ISBLANK(C66),"",AY66)</f>
        <v/>
      </c>
      <c r="BE66" s="104" t="str">
        <f aca="false">IF(ISBLANK(C66),"",AX66)</f>
        <v/>
      </c>
      <c r="BF66" s="105" t="str">
        <f aca="false">IF(ISBLANK(C66),"",IFERROR(_xlfn.SWITCH(BE66, Constants!$B$4, COUNTA($C$8:$C565)+2, Constants!$B$5, COUNTA($C$8:$C565)+1, Constants!$B$6, COUNTA($C$8:$C565)),BE66))</f>
        <v/>
      </c>
      <c r="BG66" s="5"/>
      <c r="BH66" s="106" t="n">
        <f aca="false">IF(OR(ISNUMBER(BE66),BE66="DQ",BE66="P",BE66="NS"),
    1,
    0
)</f>
        <v>0</v>
      </c>
      <c r="BI66" s="106" t="n">
        <v>59</v>
      </c>
      <c r="BJ66" s="106" t="str">
        <f aca="false">IF(ISBLANK($C66),
    "",
   BF66+ROW($B66)/1000
)</f>
        <v/>
      </c>
      <c r="BK66" s="106" t="str">
        <f aca="false">IF(ISNUMBER(BJ66), RANK(BJ66,BJ$8:BJ$507,1), "")</f>
        <v/>
      </c>
      <c r="BL66" s="106" t="str">
        <f aca="false">IF(ISBLANK($C66),
    "",
    $B66
)</f>
        <v/>
      </c>
      <c r="BM66" s="106" t="str">
        <f aca="false">IF(ISBLANK($C66),
    "",
    $C66
)</f>
        <v/>
      </c>
      <c r="BN66" s="106" t="str">
        <f aca="false">IF(ISBLANK($C66),
    "",
    $D66
)</f>
        <v/>
      </c>
      <c r="BO66" s="107" t="str">
        <f aca="false">BC66</f>
        <v/>
      </c>
      <c r="BP66" s="108" t="str">
        <f aca="false">BB66</f>
        <v/>
      </c>
      <c r="BQ66" s="106" t="str">
        <f aca="false">IF(ISBLANK($C66),
    "",
    BE66
)</f>
        <v/>
      </c>
      <c r="BR66" s="109" t="str">
        <f aca="false">IF(BI66&gt;BH$7,
    "",
    VLOOKUP(BI66,BK$8:BQ565,7,FALSE())
)</f>
        <v/>
      </c>
      <c r="BS66" s="110" t="str">
        <f aca="false">IF(BI66&gt;BH$7,
    "",
    VLOOKUP(BI66,BK$8:BQ565,2,FALSE())
)</f>
        <v/>
      </c>
      <c r="BT66" s="110" t="str">
        <f aca="false">IF(BI66&gt;BH$7,
    "",
    VLOOKUP(BI66,BK$8:BQ565,3,FALSE())
)</f>
        <v/>
      </c>
      <c r="BU66" s="110" t="str">
        <f aca="false">IF(BI66&gt;BH$7,
    "",
    VLOOKUP(BI66,BK$8:BQ565,4,FALSE())
)</f>
        <v/>
      </c>
      <c r="BV66" s="110" t="str">
        <f aca="false">IF(BI66&gt;BH$7,
    "",
    VLOOKUP(BI66,BK$8:BQ565,5,FALSE())
)</f>
        <v/>
      </c>
      <c r="BW66" s="111" t="str">
        <f aca="false">IF(BI66&gt;BH$7,
    "",
    VLOOKUP(BI66,BK$8:BQ565,6,FALSE())
)</f>
        <v/>
      </c>
      <c r="BX66" s="50"/>
    </row>
    <row r="67" customFormat="false" ht="15.75" hidden="false" customHeight="false" outlineLevel="0" collapsed="false">
      <c r="A67" s="5"/>
      <c r="B67" s="122"/>
      <c r="C67" s="123"/>
      <c r="D67" s="112"/>
      <c r="E67" s="116"/>
      <c r="F67" s="116"/>
      <c r="G67" s="88"/>
      <c r="H67" s="89"/>
      <c r="I67" s="125"/>
      <c r="J67" s="125"/>
      <c r="K67" s="125"/>
      <c r="L67" s="91"/>
      <c r="M67" s="91"/>
      <c r="N67" s="91"/>
      <c r="O67" s="92"/>
      <c r="P67" s="93"/>
      <c r="Q67" s="125"/>
      <c r="R67" s="95"/>
      <c r="S67" s="96"/>
      <c r="T67" s="96" t="str">
        <f aca="false">IF(ISBLANK($C67),"",IF(G67=Constants!$B$2, TRUE(), IF(G67=Constants!$B$3, FALSE(), TRUE())))</f>
        <v/>
      </c>
      <c r="U67" s="96" t="str">
        <f aca="false">IF(ISBLANK($C67),"",IF(H67=Constants!$B$2, TRUE(), IF(H67=Constants!$B$3, FALSE(), TRUE())))</f>
        <v/>
      </c>
      <c r="V67" s="96" t="str">
        <f aca="false">IF(ISBLANK($C67),"",IF(I67=Constants!$B$2, TRUE(), IF(I67=Constants!$B$3, FALSE(), TRUE())))</f>
        <v/>
      </c>
      <c r="W67" s="96" t="str">
        <f aca="false">IF(ISBLANK($C67),"",IF(J67=Constants!$B$2, TRUE(), IF(J67=Constants!$B$3, FALSE(), TRUE())))</f>
        <v/>
      </c>
      <c r="X67" s="97" t="str">
        <f aca="false">IF(ISBLANK($C67),"",IF(K67=Constants!$B$2, TRUE(), IF(K67=Constants!$B$3, FALSE(), TRUE())))</f>
        <v/>
      </c>
      <c r="Y67" s="98" t="str">
        <f aca="false">IF(ISBLANK($C67),"",IF(ISNUMBER(L67), L67, ""))</f>
        <v/>
      </c>
      <c r="Z67" s="98" t="str">
        <f aca="false">IF(ISBLANK($C67),"",IF(ISNUMBER(M67), M67, ""))</f>
        <v/>
      </c>
      <c r="AA67" s="98" t="str">
        <f aca="false">IF(ISBLANK($C67),"",IF(ISNUMBER(N67), N67, ""))</f>
        <v/>
      </c>
      <c r="AB67" s="99" t="str">
        <f aca="false">IF(ISBLANK($C67),"",IF(ISNUMBER(O67), O67, ""))</f>
        <v/>
      </c>
      <c r="AC67" s="99" t="str">
        <f aca="false">IF(ISBLANK($C67),"",IF(ISNUMBER(P67), P67, Constants!$B$13))</f>
        <v/>
      </c>
      <c r="AD67" s="96" t="str">
        <f aca="false">IF(ISBLANK($C67),"",IF(Q67=Constants!$B$2, TRUE(), IF(Q67=Constants!$B$3, FALSE(), FALSE())))</f>
        <v/>
      </c>
      <c r="AE67" s="96" t="str">
        <f aca="false">IF(ISBLANK(C67), "", IF(AD67, Constants!$B$4,IF(COUNTA(G67:O67)=0, Constants!$B$5, Constants!$B$7)))</f>
        <v/>
      </c>
      <c r="AF67" s="96" t="str">
        <f aca="false">IF(ISBLANK($C67), "",IF($AE67=Constants!$B$7,1,$AE67))</f>
        <v/>
      </c>
      <c r="AG67" s="96" t="str">
        <f aca="false">IF($AE67=Constants!$B$7,IF(V67, 1, Constants!$B$11) * IF(X67, 1, Constants!$B$12),"")</f>
        <v/>
      </c>
      <c r="AH67" s="96" t="str">
        <f aca="false">IF(AND($AE67=Constants!$B$7, T67, U67) ,MAX(0, $AA67-$Y67),"")</f>
        <v/>
      </c>
      <c r="AI67" s="96" t="str">
        <f aca="false">IF(ISERROR(AH67),$AI$6,"")</f>
        <v/>
      </c>
      <c r="AJ67" s="96" t="str">
        <f aca="false">IF($AE67=Constants!$B$7,IF(AND(T67,U67,W67),IF($AH$6=0,Constants!$B$9,Constants!$B$9*AH67/$AH$6), 0),"")</f>
        <v/>
      </c>
      <c r="AK67" s="96" t="str">
        <f aca="false">IF(AJ67&lt;&gt;"", AJ67*AG67,"")</f>
        <v/>
      </c>
      <c r="AL67" s="96" t="str">
        <f aca="false">IF(AND($AE67=Constants!$B$7, T67, U67) ,IF($Z67="", "", MAX(0,1-ABS($AA67-$Z67)/$AA67)),"")</f>
        <v/>
      </c>
      <c r="AM67" s="96" t="str">
        <f aca="false">IF(AND(NOT(ISERROR(AH67)),ISERROR(AL67)),$AM$6,"")</f>
        <v/>
      </c>
      <c r="AN67" s="96" t="str">
        <f aca="false">IF($AE67=Constants!$B$7 ,IF(AND(T67,U67,W67,ISNUMBER(Z67)),IF($AL$6=0,Constants!$B$10,Constants!$B$10*AL67/$AL$6), 0),"")</f>
        <v/>
      </c>
      <c r="AO67" s="96" t="str">
        <f aca="false">IF(AN67&lt;&gt;"", AN67*AG67,"")</f>
        <v/>
      </c>
      <c r="AP67" s="96" t="str">
        <f aca="false">IF($AE67=Constants!$B$7,IF($AP$6=0,Constants!$B$8,Constants!$B$8*AB67/$AP$6),"")</f>
        <v/>
      </c>
      <c r="AQ67" s="96" t="str">
        <f aca="false">IF($AE67&lt;&gt;Constants!$B$7,$AE67,AK67+AO67+AP67)</f>
        <v/>
      </c>
      <c r="AR67" s="96" t="str">
        <f aca="false">IF(ISBLANK($C67),"",IF($AE67=Constants!$B$7,RANK(AQ67,$AQ$8:$AQ$507),$AE67))</f>
        <v/>
      </c>
      <c r="AS67" s="96" t="str">
        <f aca="false">IF(ISBLANK($C67), "",AK67)</f>
        <v/>
      </c>
      <c r="AT67" s="96" t="str">
        <f aca="false">IF(ISBLANK($C67),"",IF($AE67=Constants!$B$7,RANK(AS67,AS$8:AS$507),$AE67))</f>
        <v/>
      </c>
      <c r="AU67" s="96" t="str">
        <f aca="false">IF(ISBLANK($C67), "",AP67)</f>
        <v/>
      </c>
      <c r="AV67" s="96" t="str">
        <f aca="false">IF(ISBLANK($C67),"",IF($AE67=Constants!$B$7,RANK(AU67,AU$8:AU$507),$AE67))</f>
        <v/>
      </c>
      <c r="AW67" s="96" t="str">
        <f aca="false">IF(ISBLANK($C67), "",AC67)</f>
        <v/>
      </c>
      <c r="AX67" s="96" t="str">
        <f aca="false">IF(ISBLANK($C67),"",
IF($AE67=Constants!$B$7,
  COUNTIFS($AR$8:$AR$507,"&lt;"&amp;$AR67)
  + COUNTIFS($AR$8:$AR$507,$AR67,$AT$8:$AT$507,"&lt;"&amp;$AT67)
  + COUNTIFS($AR$8:$AR$507,$AR67,$AT$8:$AT$507,$AT67,$AV$8:$AV$507,"&lt;"&amp;$AV67)
  + COUNTIFS($AR$8:$AR$507,$AR67,$AT$8:$AT$507,$AT67,$AV$8:$AV$507,$AV67,$AW$8:$AW$507,"&lt;"&amp;$AW67)
  + 1,
$AE67))</f>
        <v/>
      </c>
      <c r="AY67" s="96" t="str">
        <f aca="false">IF(ISBLANK(C67),"",IF($AE67=Constants!$B$7, AR67-AX67,$AE67))</f>
        <v/>
      </c>
      <c r="AZ67" s="100"/>
      <c r="BA67" s="101" t="str">
        <f aca="false">IF(ISBLANK($C67),"",TRIM(AI67&amp;" "&amp;AM67))</f>
        <v/>
      </c>
      <c r="BB67" s="102" t="str">
        <f aca="false">IF(ISBLANK($C67),"",IF($AE67&lt;&gt;Constants!$B$7, $AE67 ,AQ67))</f>
        <v/>
      </c>
      <c r="BC67" s="103" t="str">
        <f aca="false">IF(ISBLANK($C67),"",IF($AE67&lt;&gt;Constants!$B$7, $AE67 ,AF67))</f>
        <v/>
      </c>
      <c r="BD67" s="104" t="str">
        <f aca="false">IF(ISBLANK(C67),"",AY67)</f>
        <v/>
      </c>
      <c r="BE67" s="104" t="str">
        <f aca="false">IF(ISBLANK(C67),"",AX67)</f>
        <v/>
      </c>
      <c r="BF67" s="105" t="str">
        <f aca="false">IF(ISBLANK(C67),"",IFERROR(_xlfn.SWITCH(BE67, Constants!$B$4, COUNTA($C$8:$C566)+2, Constants!$B$5, COUNTA($C$8:$C566)+1, Constants!$B$6, COUNTA($C$8:$C566)),BE67))</f>
        <v/>
      </c>
      <c r="BG67" s="5"/>
      <c r="BH67" s="106" t="n">
        <f aca="false">IF(OR(ISNUMBER(BE67),BE67="DQ",BE67="P",BE67="NS"),
    1,
    0
)</f>
        <v>0</v>
      </c>
      <c r="BI67" s="106" t="n">
        <v>60</v>
      </c>
      <c r="BJ67" s="106" t="str">
        <f aca="false">IF(ISBLANK($C67),
    "",
   BF67+ROW($B67)/1000
)</f>
        <v/>
      </c>
      <c r="BK67" s="106" t="str">
        <f aca="false">IF(ISNUMBER(BJ67), RANK(BJ67,BJ$8:BJ$507,1), "")</f>
        <v/>
      </c>
      <c r="BL67" s="106" t="str">
        <f aca="false">IF(ISBLANK($C67),
    "",
    $B67
)</f>
        <v/>
      </c>
      <c r="BM67" s="106" t="str">
        <f aca="false">IF(ISBLANK($C67),
    "",
    $C67
)</f>
        <v/>
      </c>
      <c r="BN67" s="106" t="str">
        <f aca="false">IF(ISBLANK($C67),
    "",
    $D67
)</f>
        <v/>
      </c>
      <c r="BO67" s="107" t="str">
        <f aca="false">BC67</f>
        <v/>
      </c>
      <c r="BP67" s="108" t="str">
        <f aca="false">BB67</f>
        <v/>
      </c>
      <c r="BQ67" s="106" t="str">
        <f aca="false">IF(ISBLANK($C67),
    "",
    BE67
)</f>
        <v/>
      </c>
      <c r="BR67" s="109" t="str">
        <f aca="false">IF(BI67&gt;BH$7,
    "",
    VLOOKUP(BI67,BK$8:BQ566,7,FALSE())
)</f>
        <v/>
      </c>
      <c r="BS67" s="110" t="str">
        <f aca="false">IF(BI67&gt;BH$7,
    "",
    VLOOKUP(BI67,BK$8:BQ566,2,FALSE())
)</f>
        <v/>
      </c>
      <c r="BT67" s="110" t="str">
        <f aca="false">IF(BI67&gt;BH$7,
    "",
    VLOOKUP(BI67,BK$8:BQ566,3,FALSE())
)</f>
        <v/>
      </c>
      <c r="BU67" s="110" t="str">
        <f aca="false">IF(BI67&gt;BH$7,
    "",
    VLOOKUP(BI67,BK$8:BQ566,4,FALSE())
)</f>
        <v/>
      </c>
      <c r="BV67" s="110" t="str">
        <f aca="false">IF(BI67&gt;BH$7,
    "",
    VLOOKUP(BI67,BK$8:BQ566,5,FALSE())
)</f>
        <v/>
      </c>
      <c r="BW67" s="111" t="str">
        <f aca="false">IF(BI67&gt;BH$7,
    "",
    VLOOKUP(BI67,BK$8:BQ566,6,FALSE())
)</f>
        <v/>
      </c>
      <c r="BX67" s="50"/>
    </row>
    <row r="68" customFormat="false" ht="15.75" hidden="false" customHeight="false" outlineLevel="0" collapsed="false">
      <c r="A68" s="5"/>
      <c r="B68" s="126"/>
      <c r="C68" s="52"/>
      <c r="D68" s="53"/>
      <c r="E68" s="120"/>
      <c r="F68" s="120"/>
      <c r="G68" s="55"/>
      <c r="H68" s="56"/>
      <c r="I68" s="80"/>
      <c r="J68" s="80"/>
      <c r="K68" s="80"/>
      <c r="L68" s="58"/>
      <c r="M68" s="58"/>
      <c r="N68" s="58"/>
      <c r="O68" s="59"/>
      <c r="P68" s="60"/>
      <c r="Q68" s="80"/>
      <c r="R68" s="62"/>
      <c r="S68" s="63"/>
      <c r="T68" s="63" t="str">
        <f aca="false">IF(ISBLANK($C68),"",IF(G68=Constants!$B$2, TRUE(), IF(G68=Constants!$B$3, FALSE(), TRUE())))</f>
        <v/>
      </c>
      <c r="U68" s="63" t="str">
        <f aca="false">IF(ISBLANK($C68),"",IF(H68=Constants!$B$2, TRUE(), IF(H68=Constants!$B$3, FALSE(), TRUE())))</f>
        <v/>
      </c>
      <c r="V68" s="63" t="str">
        <f aca="false">IF(ISBLANK($C68),"",IF(I68=Constants!$B$2, TRUE(), IF(I68=Constants!$B$3, FALSE(), TRUE())))</f>
        <v/>
      </c>
      <c r="W68" s="63" t="str">
        <f aca="false">IF(ISBLANK($C68),"",IF(J68=Constants!$B$2, TRUE(), IF(J68=Constants!$B$3, FALSE(), TRUE())))</f>
        <v/>
      </c>
      <c r="X68" s="63" t="str">
        <f aca="false">IF(ISBLANK($C68),"",IF(K68=Constants!$B$2, TRUE(), IF(K68=Constants!$B$3, FALSE(), TRUE())))</f>
        <v/>
      </c>
      <c r="Y68" s="65" t="str">
        <f aca="false">IF(ISBLANK($C68),"",IF(ISNUMBER(L68), L68, ""))</f>
        <v/>
      </c>
      <c r="Z68" s="65" t="str">
        <f aca="false">IF(ISBLANK($C68),"",IF(ISNUMBER(M68), M68, ""))</f>
        <v/>
      </c>
      <c r="AA68" s="65" t="str">
        <f aca="false">IF(ISBLANK($C68),"",IF(ISNUMBER(N68), N68, ""))</f>
        <v/>
      </c>
      <c r="AB68" s="66" t="str">
        <f aca="false">IF(ISBLANK($C68),"",IF(ISNUMBER(O68), O68, ""))</f>
        <v/>
      </c>
      <c r="AC68" s="66" t="str">
        <f aca="false">IF(ISBLANK($C68),"",IF(ISNUMBER(P68), P68, Constants!$B$13))</f>
        <v/>
      </c>
      <c r="AD68" s="63" t="str">
        <f aca="false">IF(ISBLANK($C68),"",IF(Q68=Constants!$B$2, TRUE(), IF(Q68=Constants!$B$3, FALSE(), FALSE())))</f>
        <v/>
      </c>
      <c r="AE68" s="63" t="str">
        <f aca="false">IF(ISBLANK(C68), "", IF(AD68, Constants!$B$4,IF(COUNTA(G68:O68)=0, Constants!$B$5, Constants!$B$7)))</f>
        <v/>
      </c>
      <c r="AF68" s="63" t="str">
        <f aca="false">IF(ISBLANK($C68), "",IF($AE68=Constants!$B$7,1,$AE68))</f>
        <v/>
      </c>
      <c r="AG68" s="63" t="str">
        <f aca="false">IF($AE68=Constants!$B$7,IF(V68, 1, Constants!$B$11) * IF(X68, 1, Constants!$B$12),"")</f>
        <v/>
      </c>
      <c r="AH68" s="63" t="str">
        <f aca="false">IF(AND($AE68=Constants!$B$7, T68, U68) ,MAX(0, $AA68-$Y68),"")</f>
        <v/>
      </c>
      <c r="AI68" s="63" t="str">
        <f aca="false">IF(ISERROR(AH68),$AI$6,"")</f>
        <v/>
      </c>
      <c r="AJ68" s="63" t="str">
        <f aca="false">IF($AE68=Constants!$B$7,IF(AND(T68,U68,W68),IF($AH$6=0,Constants!$B$9,Constants!$B$9*AH68/$AH$6), 0),"")</f>
        <v/>
      </c>
      <c r="AK68" s="63" t="str">
        <f aca="false">IF(AJ68&lt;&gt;"", AJ68*AG68,"")</f>
        <v/>
      </c>
      <c r="AL68" s="63" t="str">
        <f aca="false">IF(AND($AE68=Constants!$B$7, T68, U68) ,IF($Z68="", "", MAX(0,1-ABS($AA68-$Z68)/$AA68)),"")</f>
        <v/>
      </c>
      <c r="AM68" s="63" t="str">
        <f aca="false">IF(AND(NOT(ISERROR(AH68)),ISERROR(AL68)),$AM$6,"")</f>
        <v/>
      </c>
      <c r="AN68" s="63" t="str">
        <f aca="false">IF($AE68=Constants!$B$7 ,IF(AND(T68,U68,W68,ISNUMBER(Z68)),IF($AL$6=0,Constants!$B$10,Constants!$B$10*AL68/$AL$6), 0),"")</f>
        <v/>
      </c>
      <c r="AO68" s="63" t="str">
        <f aca="false">IF(AN68&lt;&gt;"", AN68*AG68,"")</f>
        <v/>
      </c>
      <c r="AP68" s="63" t="str">
        <f aca="false">IF($AE68=Constants!$B$7,IF($AP$6=0,Constants!$B$8,Constants!$B$8*AB68/$AP$6),"")</f>
        <v/>
      </c>
      <c r="AQ68" s="63" t="str">
        <f aca="false">IF($AE68&lt;&gt;Constants!$B$7,$AE68,AK68+AO68+AP68)</f>
        <v/>
      </c>
      <c r="AR68" s="63" t="str">
        <f aca="false">IF(ISBLANK($C68),"",IF($AE68=Constants!$B$7,RANK(AQ68,$AQ$8:$AQ$507),$AE68))</f>
        <v/>
      </c>
      <c r="AS68" s="63" t="str">
        <f aca="false">IF(ISBLANK($C68), "",AK68)</f>
        <v/>
      </c>
      <c r="AT68" s="63" t="str">
        <f aca="false">IF(ISBLANK($C68),"",IF($AE68=Constants!$B$7,RANK(AS68,AS$8:AS$507),$AE68))</f>
        <v/>
      </c>
      <c r="AU68" s="63" t="str">
        <f aca="false">IF(ISBLANK($C68), "",AP68)</f>
        <v/>
      </c>
      <c r="AV68" s="63" t="str">
        <f aca="false">IF(ISBLANK($C68),"",IF($AE68=Constants!$B$7,RANK(AU68,AU$8:AU$507),$AE68))</f>
        <v/>
      </c>
      <c r="AW68" s="63" t="str">
        <f aca="false">IF(ISBLANK($C68), "",AC68)</f>
        <v/>
      </c>
      <c r="AX68" s="63" t="str">
        <f aca="false">IF(ISBLANK($C68),"",
IF($AE68=Constants!$B$7,
  COUNTIFS($AR$8:$AR$507,"&lt;"&amp;$AR68)
  + COUNTIFS($AR$8:$AR$507,$AR68,$AT$8:$AT$507,"&lt;"&amp;$AT68)
  + COUNTIFS($AR$8:$AR$507,$AR68,$AT$8:$AT$507,$AT68,$AV$8:$AV$507,"&lt;"&amp;$AV68)
  + COUNTIFS($AR$8:$AR$507,$AR68,$AT$8:$AT$507,$AT68,$AV$8:$AV$507,$AV68,$AW$8:$AW$507,"&lt;"&amp;$AW68)
  + 1,
$AE68))</f>
        <v/>
      </c>
      <c r="AY68" s="63" t="str">
        <f aca="false">IF(ISBLANK(C68),"",IF($AE68=Constants!$B$7, AR68-AX68,$AE68))</f>
        <v/>
      </c>
      <c r="AZ68" s="67"/>
      <c r="BA68" s="81" t="str">
        <f aca="false">IF(ISBLANK($C68),"",TRIM(AI68&amp;" "&amp;AM68))</f>
        <v/>
      </c>
      <c r="BB68" s="69" t="str">
        <f aca="false">IF(ISBLANK($C68),"",IF($AE68&lt;&gt;Constants!$B$7, $AE68 ,AQ68))</f>
        <v/>
      </c>
      <c r="BC68" s="70" t="str">
        <f aca="false">IF(ISBLANK($C68),"",IF($AE68&lt;&gt;Constants!$B$7, $AE68 ,AF68))</f>
        <v/>
      </c>
      <c r="BD68" s="71" t="str">
        <f aca="false">IF(ISBLANK(C68),"",AY68)</f>
        <v/>
      </c>
      <c r="BE68" s="71" t="str">
        <f aca="false">IF(ISBLANK(C68),"",AX68)</f>
        <v/>
      </c>
      <c r="BF68" s="72" t="str">
        <f aca="false">IF(ISBLANK(C68),"",IFERROR(_xlfn.SWITCH(BE68, Constants!$B$4, COUNTA($C$8:$C567)+2, Constants!$B$5, COUNTA($C$8:$C567)+1, Constants!$B$6, COUNTA($C$8:$C567)),BE68))</f>
        <v/>
      </c>
      <c r="BG68" s="5"/>
      <c r="BH68" s="73" t="n">
        <f aca="false">IF(OR(ISNUMBER(BE68),BE68="DQ",BE68="P",BE68="NS"),
    1,
    0
)</f>
        <v>0</v>
      </c>
      <c r="BI68" s="73" t="n">
        <v>61</v>
      </c>
      <c r="BJ68" s="73" t="str">
        <f aca="false">IF(ISBLANK($C68),
    "",
   BF68+ROW($B68)/1000
)</f>
        <v/>
      </c>
      <c r="BK68" s="73" t="str">
        <f aca="false">IF(ISNUMBER(BJ68), RANK(BJ68,BJ$8:BJ$507,1), "")</f>
        <v/>
      </c>
      <c r="BL68" s="73" t="str">
        <f aca="false">IF(ISBLANK($C68),
    "",
    $B68
)</f>
        <v/>
      </c>
      <c r="BM68" s="73" t="str">
        <f aca="false">IF(ISBLANK($C68),
    "",
    $C68
)</f>
        <v/>
      </c>
      <c r="BN68" s="73" t="str">
        <f aca="false">IF(ISBLANK($C68),
    "",
    $D68
)</f>
        <v/>
      </c>
      <c r="BO68" s="74" t="str">
        <f aca="false">BC68</f>
        <v/>
      </c>
      <c r="BP68" s="75" t="str">
        <f aca="false">BB68</f>
        <v/>
      </c>
      <c r="BQ68" s="73" t="str">
        <f aca="false">IF(ISBLANK($C68),
    "",
    BE68
)</f>
        <v/>
      </c>
      <c r="BR68" s="76" t="str">
        <f aca="false">IF(BI68&gt;BH$7,
    "",
    VLOOKUP(BI68,BK$8:BQ567,7,FALSE())
)</f>
        <v/>
      </c>
      <c r="BS68" s="77" t="str">
        <f aca="false">IF(BI68&gt;BH$7,
    "",
    VLOOKUP(BI68,BK$8:BQ567,2,FALSE())
)</f>
        <v/>
      </c>
      <c r="BT68" s="77" t="str">
        <f aca="false">IF(BI68&gt;BH$7,
    "",
    VLOOKUP(BI68,BK$8:BQ567,3,FALSE())
)</f>
        <v/>
      </c>
      <c r="BU68" s="77" t="str">
        <f aca="false">IF(BI68&gt;BH$7,
    "",
    VLOOKUP(BI68,BK$8:BQ567,4,FALSE())
)</f>
        <v/>
      </c>
      <c r="BV68" s="77" t="str">
        <f aca="false">IF(BI68&gt;BH$7,
    "",
    VLOOKUP(BI68,BK$8:BQ567,5,FALSE())
)</f>
        <v/>
      </c>
      <c r="BW68" s="78" t="str">
        <f aca="false">IF(BI68&gt;BH$7,
    "",
    VLOOKUP(BI68,BK$8:BQ567,6,FALSE())
)</f>
        <v/>
      </c>
      <c r="BX68" s="50"/>
    </row>
    <row r="69" customFormat="false" ht="15.75" hidden="false" customHeight="false" outlineLevel="0" collapsed="false">
      <c r="A69" s="5"/>
      <c r="B69" s="126"/>
      <c r="C69" s="52"/>
      <c r="D69" s="53"/>
      <c r="E69" s="120"/>
      <c r="F69" s="120"/>
      <c r="G69" s="55"/>
      <c r="H69" s="56"/>
      <c r="I69" s="80"/>
      <c r="J69" s="80"/>
      <c r="K69" s="80"/>
      <c r="L69" s="58"/>
      <c r="M69" s="58"/>
      <c r="N69" s="58"/>
      <c r="O69" s="59"/>
      <c r="P69" s="60"/>
      <c r="Q69" s="80"/>
      <c r="R69" s="62"/>
      <c r="S69" s="63"/>
      <c r="T69" s="63" t="str">
        <f aca="false">IF(ISBLANK($C69),"",IF(G69=Constants!$B$2, TRUE(), IF(G69=Constants!$B$3, FALSE(), TRUE())))</f>
        <v/>
      </c>
      <c r="U69" s="63" t="str">
        <f aca="false">IF(ISBLANK($C69),"",IF(H69=Constants!$B$2, TRUE(), IF(H69=Constants!$B$3, FALSE(), TRUE())))</f>
        <v/>
      </c>
      <c r="V69" s="63" t="str">
        <f aca="false">IF(ISBLANK($C69),"",IF(I69=Constants!$B$2, TRUE(), IF(I69=Constants!$B$3, FALSE(), TRUE())))</f>
        <v/>
      </c>
      <c r="W69" s="63" t="str">
        <f aca="false">IF(ISBLANK($C69),"",IF(J69=Constants!$B$2, TRUE(), IF(J69=Constants!$B$3, FALSE(), TRUE())))</f>
        <v/>
      </c>
      <c r="X69" s="63" t="str">
        <f aca="false">IF(ISBLANK($C69),"",IF(K69=Constants!$B$2, TRUE(), IF(K69=Constants!$B$3, FALSE(), TRUE())))</f>
        <v/>
      </c>
      <c r="Y69" s="65" t="str">
        <f aca="false">IF(ISBLANK($C69),"",IF(ISNUMBER(L69), L69, ""))</f>
        <v/>
      </c>
      <c r="Z69" s="65" t="str">
        <f aca="false">IF(ISBLANK($C69),"",IF(ISNUMBER(M69), M69, ""))</f>
        <v/>
      </c>
      <c r="AA69" s="65" t="str">
        <f aca="false">IF(ISBLANK($C69),"",IF(ISNUMBER(N69), N69, ""))</f>
        <v/>
      </c>
      <c r="AB69" s="66" t="str">
        <f aca="false">IF(ISBLANK($C69),"",IF(ISNUMBER(O69), O69, ""))</f>
        <v/>
      </c>
      <c r="AC69" s="66" t="str">
        <f aca="false">IF(ISBLANK($C69),"",IF(ISNUMBER(P69), P69, Constants!$B$13))</f>
        <v/>
      </c>
      <c r="AD69" s="63" t="str">
        <f aca="false">IF(ISBLANK($C69),"",IF(Q69=Constants!$B$2, TRUE(), IF(Q69=Constants!$B$3, FALSE(), FALSE())))</f>
        <v/>
      </c>
      <c r="AE69" s="63" t="str">
        <f aca="false">IF(ISBLANK(C69), "", IF(AD69, Constants!$B$4,IF(COUNTA(G69:O69)=0, Constants!$B$5, Constants!$B$7)))</f>
        <v/>
      </c>
      <c r="AF69" s="63" t="str">
        <f aca="false">IF(ISBLANK($C69), "",IF($AE69=Constants!$B$7,1,$AE69))</f>
        <v/>
      </c>
      <c r="AG69" s="63" t="str">
        <f aca="false">IF($AE69=Constants!$B$7,IF(V69, 1, Constants!$B$11) * IF(X69, 1, Constants!$B$12),"")</f>
        <v/>
      </c>
      <c r="AH69" s="63" t="str">
        <f aca="false">IF(AND($AE69=Constants!$B$7, T69, U69) ,MAX(0, $AA69-$Y69),"")</f>
        <v/>
      </c>
      <c r="AI69" s="63" t="str">
        <f aca="false">IF(ISERROR(AH69),$AI$6,"")</f>
        <v/>
      </c>
      <c r="AJ69" s="63" t="str">
        <f aca="false">IF($AE69=Constants!$B$7,IF(AND(T69,U69,W69),IF($AH$6=0,Constants!$B$9,Constants!$B$9*AH69/$AH$6), 0),"")</f>
        <v/>
      </c>
      <c r="AK69" s="63" t="str">
        <f aca="false">IF(AJ69&lt;&gt;"", AJ69*AG69,"")</f>
        <v/>
      </c>
      <c r="AL69" s="63" t="str">
        <f aca="false">IF(AND($AE69=Constants!$B$7, T69, U69) ,IF($Z69="", "", MAX(0,1-ABS($AA69-$Z69)/$AA69)),"")</f>
        <v/>
      </c>
      <c r="AM69" s="63" t="str">
        <f aca="false">IF(AND(NOT(ISERROR(AH69)),ISERROR(AL69)),$AM$6,"")</f>
        <v/>
      </c>
      <c r="AN69" s="63" t="str">
        <f aca="false">IF($AE69=Constants!$B$7 ,IF(AND(T69,U69,W69,ISNUMBER(Z69)),IF($AL$6=0,Constants!$B$10,Constants!$B$10*AL69/$AL$6), 0),"")</f>
        <v/>
      </c>
      <c r="AO69" s="63" t="str">
        <f aca="false">IF(AN69&lt;&gt;"", AN69*AG69,"")</f>
        <v/>
      </c>
      <c r="AP69" s="63" t="str">
        <f aca="false">IF($AE69=Constants!$B$7,IF($AP$6=0,Constants!$B$8,Constants!$B$8*AB69/$AP$6),"")</f>
        <v/>
      </c>
      <c r="AQ69" s="63" t="str">
        <f aca="false">IF($AE69&lt;&gt;Constants!$B$7,$AE69,AK69+AO69+AP69)</f>
        <v/>
      </c>
      <c r="AR69" s="63" t="str">
        <f aca="false">IF(ISBLANK($C69),"",IF($AE69=Constants!$B$7,RANK(AQ69,$AQ$8:$AQ$507),$AE69))</f>
        <v/>
      </c>
      <c r="AS69" s="63" t="str">
        <f aca="false">IF(ISBLANK($C69), "",AK69)</f>
        <v/>
      </c>
      <c r="AT69" s="63" t="str">
        <f aca="false">IF(ISBLANK($C69),"",IF($AE69=Constants!$B$7,RANK(AS69,AS$8:AS$507),$AE69))</f>
        <v/>
      </c>
      <c r="AU69" s="63" t="str">
        <f aca="false">IF(ISBLANK($C69), "",AP69)</f>
        <v/>
      </c>
      <c r="AV69" s="63" t="str">
        <f aca="false">IF(ISBLANK($C69),"",IF($AE69=Constants!$B$7,RANK(AU69,AU$8:AU$507),$AE69))</f>
        <v/>
      </c>
      <c r="AW69" s="63" t="str">
        <f aca="false">IF(ISBLANK($C69), "",AC69)</f>
        <v/>
      </c>
      <c r="AX69" s="63" t="str">
        <f aca="false">IF(ISBLANK($C69),"",
IF($AE69=Constants!$B$7,
  COUNTIFS($AR$8:$AR$507,"&lt;"&amp;$AR69)
  + COUNTIFS($AR$8:$AR$507,$AR69,$AT$8:$AT$507,"&lt;"&amp;$AT69)
  + COUNTIFS($AR$8:$AR$507,$AR69,$AT$8:$AT$507,$AT69,$AV$8:$AV$507,"&lt;"&amp;$AV69)
  + COUNTIFS($AR$8:$AR$507,$AR69,$AT$8:$AT$507,$AT69,$AV$8:$AV$507,$AV69,$AW$8:$AW$507,"&lt;"&amp;$AW69)
  + 1,
$AE69))</f>
        <v/>
      </c>
      <c r="AY69" s="63" t="str">
        <f aca="false">IF(ISBLANK(C69),"",IF($AE69=Constants!$B$7, AR69-AX69,$AE69))</f>
        <v/>
      </c>
      <c r="AZ69" s="67"/>
      <c r="BA69" s="81" t="str">
        <f aca="false">IF(ISBLANK($C69),"",TRIM(AI69&amp;" "&amp;AM69))</f>
        <v/>
      </c>
      <c r="BB69" s="69" t="str">
        <f aca="false">IF(ISBLANK($C69),"",IF($AE69&lt;&gt;Constants!$B$7, $AE69 ,AQ69))</f>
        <v/>
      </c>
      <c r="BC69" s="70" t="str">
        <f aca="false">IF(ISBLANK($C69),"",IF($AE69&lt;&gt;Constants!$B$7, $AE69 ,AF69))</f>
        <v/>
      </c>
      <c r="BD69" s="71" t="str">
        <f aca="false">IF(ISBLANK(C69),"",AY69)</f>
        <v/>
      </c>
      <c r="BE69" s="71" t="str">
        <f aca="false">IF(ISBLANK(C69),"",AX69)</f>
        <v/>
      </c>
      <c r="BF69" s="72" t="str">
        <f aca="false">IF(ISBLANK(C69),"",IFERROR(_xlfn.SWITCH(BE69, Constants!$B$4, COUNTA($C$8:$C568)+2, Constants!$B$5, COUNTA($C$8:$C568)+1, Constants!$B$6, COUNTA($C$8:$C568)),BE69))</f>
        <v/>
      </c>
      <c r="BG69" s="5"/>
      <c r="BH69" s="73" t="n">
        <f aca="false">IF(OR(ISNUMBER(BE69),BE69="DQ",BE69="P",BE69="NS"),
    1,
    0
)</f>
        <v>0</v>
      </c>
      <c r="BI69" s="73" t="n">
        <v>62</v>
      </c>
      <c r="BJ69" s="73" t="str">
        <f aca="false">IF(ISBLANK($C69),
    "",
   BF69+ROW($B69)/1000
)</f>
        <v/>
      </c>
      <c r="BK69" s="73" t="str">
        <f aca="false">IF(ISNUMBER(BJ69), RANK(BJ69,BJ$8:BJ$507,1), "")</f>
        <v/>
      </c>
      <c r="BL69" s="73" t="str">
        <f aca="false">IF(ISBLANK($C69),
    "",
    $B69
)</f>
        <v/>
      </c>
      <c r="BM69" s="73" t="str">
        <f aca="false">IF(ISBLANK($C69),
    "",
    $C69
)</f>
        <v/>
      </c>
      <c r="BN69" s="73" t="str">
        <f aca="false">IF(ISBLANK($C69),
    "",
    $D69
)</f>
        <v/>
      </c>
      <c r="BO69" s="74" t="str">
        <f aca="false">BC69</f>
        <v/>
      </c>
      <c r="BP69" s="75" t="str">
        <f aca="false">BB69</f>
        <v/>
      </c>
      <c r="BQ69" s="73" t="str">
        <f aca="false">IF(ISBLANK($C69),
    "",
    BE69
)</f>
        <v/>
      </c>
      <c r="BR69" s="76" t="str">
        <f aca="false">IF(BI69&gt;BH$7,
    "",
    VLOOKUP(BI69,BK$8:BQ568,7,FALSE())
)</f>
        <v/>
      </c>
      <c r="BS69" s="77" t="str">
        <f aca="false">IF(BI69&gt;BH$7,
    "",
    VLOOKUP(BI69,BK$8:BQ568,2,FALSE())
)</f>
        <v/>
      </c>
      <c r="BT69" s="77" t="str">
        <f aca="false">IF(BI69&gt;BH$7,
    "",
    VLOOKUP(BI69,BK$8:BQ568,3,FALSE())
)</f>
        <v/>
      </c>
      <c r="BU69" s="77" t="str">
        <f aca="false">IF(BI69&gt;BH$7,
    "",
    VLOOKUP(BI69,BK$8:BQ568,4,FALSE())
)</f>
        <v/>
      </c>
      <c r="BV69" s="77" t="str">
        <f aca="false">IF(BI69&gt;BH$7,
    "",
    VLOOKUP(BI69,BK$8:BQ568,5,FALSE())
)</f>
        <v/>
      </c>
      <c r="BW69" s="78" t="str">
        <f aca="false">IF(BI69&gt;BH$7,
    "",
    VLOOKUP(BI69,BK$8:BQ568,6,FALSE())
)</f>
        <v/>
      </c>
      <c r="BX69" s="50"/>
    </row>
    <row r="70" customFormat="false" ht="15.75" hidden="false" customHeight="false" outlineLevel="0" collapsed="false">
      <c r="A70" s="5"/>
      <c r="B70" s="126"/>
      <c r="C70" s="52"/>
      <c r="D70" s="53"/>
      <c r="E70" s="120"/>
      <c r="F70" s="120"/>
      <c r="G70" s="55"/>
      <c r="H70" s="56"/>
      <c r="I70" s="80"/>
      <c r="J70" s="80"/>
      <c r="K70" s="80"/>
      <c r="L70" s="58"/>
      <c r="M70" s="58"/>
      <c r="N70" s="58"/>
      <c r="O70" s="59"/>
      <c r="P70" s="60"/>
      <c r="Q70" s="80"/>
      <c r="R70" s="62"/>
      <c r="S70" s="63"/>
      <c r="T70" s="63" t="str">
        <f aca="false">IF(ISBLANK($C70),"",IF(G70=Constants!$B$2, TRUE(), IF(G70=Constants!$B$3, FALSE(), TRUE())))</f>
        <v/>
      </c>
      <c r="U70" s="63" t="str">
        <f aca="false">IF(ISBLANK($C70),"",IF(H70=Constants!$B$2, TRUE(), IF(H70=Constants!$B$3, FALSE(), TRUE())))</f>
        <v/>
      </c>
      <c r="V70" s="63" t="str">
        <f aca="false">IF(ISBLANK($C70),"",IF(I70=Constants!$B$2, TRUE(), IF(I70=Constants!$B$3, FALSE(), TRUE())))</f>
        <v/>
      </c>
      <c r="W70" s="63" t="str">
        <f aca="false">IF(ISBLANK($C70),"",IF(J70=Constants!$B$2, TRUE(), IF(J70=Constants!$B$3, FALSE(), TRUE())))</f>
        <v/>
      </c>
      <c r="X70" s="63" t="str">
        <f aca="false">IF(ISBLANK($C70),"",IF(K70=Constants!$B$2, TRUE(), IF(K70=Constants!$B$3, FALSE(), TRUE())))</f>
        <v/>
      </c>
      <c r="Y70" s="65" t="str">
        <f aca="false">IF(ISBLANK($C70),"",IF(ISNUMBER(L70), L70, ""))</f>
        <v/>
      </c>
      <c r="Z70" s="65" t="str">
        <f aca="false">IF(ISBLANK($C70),"",IF(ISNUMBER(M70), M70, ""))</f>
        <v/>
      </c>
      <c r="AA70" s="65" t="str">
        <f aca="false">IF(ISBLANK($C70),"",IF(ISNUMBER(N70), N70, ""))</f>
        <v/>
      </c>
      <c r="AB70" s="66" t="str">
        <f aca="false">IF(ISBLANK($C70),"",IF(ISNUMBER(O70), O70, ""))</f>
        <v/>
      </c>
      <c r="AC70" s="66" t="str">
        <f aca="false">IF(ISBLANK($C70),"",IF(ISNUMBER(P70), P70, Constants!$B$13))</f>
        <v/>
      </c>
      <c r="AD70" s="63" t="str">
        <f aca="false">IF(ISBLANK($C70),"",IF(Q70=Constants!$B$2, TRUE(), IF(Q70=Constants!$B$3, FALSE(), FALSE())))</f>
        <v/>
      </c>
      <c r="AE70" s="63" t="str">
        <f aca="false">IF(ISBLANK(C70), "", IF(AD70, Constants!$B$4,IF(COUNTA(G70:O70)=0, Constants!$B$5, Constants!$B$7)))</f>
        <v/>
      </c>
      <c r="AF70" s="63" t="str">
        <f aca="false">IF(ISBLANK($C70), "",IF($AE70=Constants!$B$7,1,$AE70))</f>
        <v/>
      </c>
      <c r="AG70" s="63" t="str">
        <f aca="false">IF($AE70=Constants!$B$7,IF(V70, 1, Constants!$B$11) * IF(X70, 1, Constants!$B$12),"")</f>
        <v/>
      </c>
      <c r="AH70" s="63" t="str">
        <f aca="false">IF(AND($AE70=Constants!$B$7, T70, U70) ,MAX(0, $AA70-$Y70),"")</f>
        <v/>
      </c>
      <c r="AI70" s="63" t="str">
        <f aca="false">IF(ISERROR(AH70),$AI$6,"")</f>
        <v/>
      </c>
      <c r="AJ70" s="63" t="str">
        <f aca="false">IF($AE70=Constants!$B$7,IF(AND(T70,U70,W70),IF($AH$6=0,Constants!$B$9,Constants!$B$9*AH70/$AH$6), 0),"")</f>
        <v/>
      </c>
      <c r="AK70" s="63" t="str">
        <f aca="false">IF(AJ70&lt;&gt;"", AJ70*AG70,"")</f>
        <v/>
      </c>
      <c r="AL70" s="63" t="str">
        <f aca="false">IF(AND($AE70=Constants!$B$7, T70, U70) ,IF($Z70="", "", MAX(0,1-ABS($AA70-$Z70)/$AA70)),"")</f>
        <v/>
      </c>
      <c r="AM70" s="63" t="str">
        <f aca="false">IF(AND(NOT(ISERROR(AH70)),ISERROR(AL70)),$AM$6,"")</f>
        <v/>
      </c>
      <c r="AN70" s="63" t="str">
        <f aca="false">IF($AE70=Constants!$B$7 ,IF(AND(T70,U70,W70,ISNUMBER(Z70)),IF($AL$6=0,Constants!$B$10,Constants!$B$10*AL70/$AL$6), 0),"")</f>
        <v/>
      </c>
      <c r="AO70" s="63" t="str">
        <f aca="false">IF(AN70&lt;&gt;"", AN70*AG70,"")</f>
        <v/>
      </c>
      <c r="AP70" s="63" t="str">
        <f aca="false">IF($AE70=Constants!$B$7,IF($AP$6=0,Constants!$B$8,Constants!$B$8*AB70/$AP$6),"")</f>
        <v/>
      </c>
      <c r="AQ70" s="63" t="str">
        <f aca="false">IF($AE70&lt;&gt;Constants!$B$7,$AE70,AK70+AO70+AP70)</f>
        <v/>
      </c>
      <c r="AR70" s="63" t="str">
        <f aca="false">IF(ISBLANK($C70),"",IF($AE70=Constants!$B$7,RANK(AQ70,$AQ$8:$AQ$507),$AE70))</f>
        <v/>
      </c>
      <c r="AS70" s="63" t="str">
        <f aca="false">IF(ISBLANK($C70), "",AK70)</f>
        <v/>
      </c>
      <c r="AT70" s="63" t="str">
        <f aca="false">IF(ISBLANK($C70),"",IF($AE70=Constants!$B$7,RANK(AS70,AS$8:AS$507),$AE70))</f>
        <v/>
      </c>
      <c r="AU70" s="63" t="str">
        <f aca="false">IF(ISBLANK($C70), "",AP70)</f>
        <v/>
      </c>
      <c r="AV70" s="63" t="str">
        <f aca="false">IF(ISBLANK($C70),"",IF($AE70=Constants!$B$7,RANK(AU70,AU$8:AU$507),$AE70))</f>
        <v/>
      </c>
      <c r="AW70" s="63" t="str">
        <f aca="false">IF(ISBLANK($C70), "",AC70)</f>
        <v/>
      </c>
      <c r="AX70" s="63" t="str">
        <f aca="false">IF(ISBLANK($C70),"",
IF($AE70=Constants!$B$7,
  COUNTIFS($AR$8:$AR$507,"&lt;"&amp;$AR70)
  + COUNTIFS($AR$8:$AR$507,$AR70,$AT$8:$AT$507,"&lt;"&amp;$AT70)
  + COUNTIFS($AR$8:$AR$507,$AR70,$AT$8:$AT$507,$AT70,$AV$8:$AV$507,"&lt;"&amp;$AV70)
  + COUNTIFS($AR$8:$AR$507,$AR70,$AT$8:$AT$507,$AT70,$AV$8:$AV$507,$AV70,$AW$8:$AW$507,"&lt;"&amp;$AW70)
  + 1,
$AE70))</f>
        <v/>
      </c>
      <c r="AY70" s="63" t="str">
        <f aca="false">IF(ISBLANK(C70),"",IF($AE70=Constants!$B$7, AR70-AX70,$AE70))</f>
        <v/>
      </c>
      <c r="AZ70" s="67"/>
      <c r="BA70" s="81" t="str">
        <f aca="false">IF(ISBLANK($C70),"",TRIM(AI70&amp;" "&amp;AM70))</f>
        <v/>
      </c>
      <c r="BB70" s="69" t="str">
        <f aca="false">IF(ISBLANK($C70),"",IF($AE70&lt;&gt;Constants!$B$7, $AE70 ,AQ70))</f>
        <v/>
      </c>
      <c r="BC70" s="70" t="str">
        <f aca="false">IF(ISBLANK($C70),"",IF($AE70&lt;&gt;Constants!$B$7, $AE70 ,AF70))</f>
        <v/>
      </c>
      <c r="BD70" s="71" t="str">
        <f aca="false">IF(ISBLANK(C70),"",AY70)</f>
        <v/>
      </c>
      <c r="BE70" s="71" t="str">
        <f aca="false">IF(ISBLANK(C70),"",AX70)</f>
        <v/>
      </c>
      <c r="BF70" s="72" t="str">
        <f aca="false">IF(ISBLANK(C70),"",IFERROR(_xlfn.SWITCH(BE70, Constants!$B$4, COUNTA($C$8:$C569)+2, Constants!$B$5, COUNTA($C$8:$C569)+1, Constants!$B$6, COUNTA($C$8:$C569)),BE70))</f>
        <v/>
      </c>
      <c r="BG70" s="5"/>
      <c r="BH70" s="73" t="n">
        <f aca="false">IF(OR(ISNUMBER(BE70),BE70="DQ",BE70="P",BE70="NS"),
    1,
    0
)</f>
        <v>0</v>
      </c>
      <c r="BI70" s="73" t="n">
        <v>63</v>
      </c>
      <c r="BJ70" s="73" t="str">
        <f aca="false">IF(ISBLANK($C70),
    "",
   BF70+ROW($B70)/1000
)</f>
        <v/>
      </c>
      <c r="BK70" s="73" t="str">
        <f aca="false">IF(ISNUMBER(BJ70), RANK(BJ70,BJ$8:BJ$507,1), "")</f>
        <v/>
      </c>
      <c r="BL70" s="73" t="str">
        <f aca="false">IF(ISBLANK($C70),
    "",
    $B70
)</f>
        <v/>
      </c>
      <c r="BM70" s="73" t="str">
        <f aca="false">IF(ISBLANK($C70),
    "",
    $C70
)</f>
        <v/>
      </c>
      <c r="BN70" s="73" t="str">
        <f aca="false">IF(ISBLANK($C70),
    "",
    $D70
)</f>
        <v/>
      </c>
      <c r="BO70" s="74" t="str">
        <f aca="false">BC70</f>
        <v/>
      </c>
      <c r="BP70" s="75" t="str">
        <f aca="false">BB70</f>
        <v/>
      </c>
      <c r="BQ70" s="73" t="str">
        <f aca="false">IF(ISBLANK($C70),
    "",
    BE70
)</f>
        <v/>
      </c>
      <c r="BR70" s="76" t="str">
        <f aca="false">IF(BI70&gt;BH$7,
    "",
    VLOOKUP(BI70,BK$8:BQ569,7,FALSE())
)</f>
        <v/>
      </c>
      <c r="BS70" s="77" t="str">
        <f aca="false">IF(BI70&gt;BH$7,
    "",
    VLOOKUP(BI70,BK$8:BQ569,2,FALSE())
)</f>
        <v/>
      </c>
      <c r="BT70" s="77" t="str">
        <f aca="false">IF(BI70&gt;BH$7,
    "",
    VLOOKUP(BI70,BK$8:BQ569,3,FALSE())
)</f>
        <v/>
      </c>
      <c r="BU70" s="77" t="str">
        <f aca="false">IF(BI70&gt;BH$7,
    "",
    VLOOKUP(BI70,BK$8:BQ569,4,FALSE())
)</f>
        <v/>
      </c>
      <c r="BV70" s="77" t="str">
        <f aca="false">IF(BI70&gt;BH$7,
    "",
    VLOOKUP(BI70,BK$8:BQ569,5,FALSE())
)</f>
        <v/>
      </c>
      <c r="BW70" s="78" t="str">
        <f aca="false">IF(BI70&gt;BH$7,
    "",
    VLOOKUP(BI70,BK$8:BQ569,6,FALSE())
)</f>
        <v/>
      </c>
      <c r="BX70" s="50"/>
    </row>
    <row r="71" customFormat="false" ht="15.75" hidden="false" customHeight="false" outlineLevel="0" collapsed="false">
      <c r="A71" s="5"/>
      <c r="B71" s="122"/>
      <c r="C71" s="123"/>
      <c r="D71" s="112"/>
      <c r="E71" s="116"/>
      <c r="F71" s="116"/>
      <c r="G71" s="88"/>
      <c r="H71" s="89"/>
      <c r="I71" s="125"/>
      <c r="J71" s="125"/>
      <c r="K71" s="125"/>
      <c r="L71" s="91"/>
      <c r="M71" s="91"/>
      <c r="N71" s="91"/>
      <c r="O71" s="92"/>
      <c r="P71" s="93"/>
      <c r="Q71" s="125"/>
      <c r="R71" s="95"/>
      <c r="S71" s="96"/>
      <c r="T71" s="96" t="str">
        <f aca="false">IF(ISBLANK($C71),"",IF(G71=Constants!$B$2, TRUE(), IF(G71=Constants!$B$3, FALSE(), TRUE())))</f>
        <v/>
      </c>
      <c r="U71" s="96" t="str">
        <f aca="false">IF(ISBLANK($C71),"",IF(H71=Constants!$B$2, TRUE(), IF(H71=Constants!$B$3, FALSE(), TRUE())))</f>
        <v/>
      </c>
      <c r="V71" s="96" t="str">
        <f aca="false">IF(ISBLANK($C71),"",IF(I71=Constants!$B$2, TRUE(), IF(I71=Constants!$B$3, FALSE(), TRUE())))</f>
        <v/>
      </c>
      <c r="W71" s="96" t="str">
        <f aca="false">IF(ISBLANK($C71),"",IF(J71=Constants!$B$2, TRUE(), IF(J71=Constants!$B$3, FALSE(), TRUE())))</f>
        <v/>
      </c>
      <c r="X71" s="97" t="str">
        <f aca="false">IF(ISBLANK($C71),"",IF(K71=Constants!$B$2, TRUE(), IF(K71=Constants!$B$3, FALSE(), TRUE())))</f>
        <v/>
      </c>
      <c r="Y71" s="98" t="str">
        <f aca="false">IF(ISBLANK($C71),"",IF(ISNUMBER(L71), L71, ""))</f>
        <v/>
      </c>
      <c r="Z71" s="98" t="str">
        <f aca="false">IF(ISBLANK($C71),"",IF(ISNUMBER(M71), M71, ""))</f>
        <v/>
      </c>
      <c r="AA71" s="98" t="str">
        <f aca="false">IF(ISBLANK($C71),"",IF(ISNUMBER(N71), N71, ""))</f>
        <v/>
      </c>
      <c r="AB71" s="99" t="str">
        <f aca="false">IF(ISBLANK($C71),"",IF(ISNUMBER(O71), O71, ""))</f>
        <v/>
      </c>
      <c r="AC71" s="99" t="str">
        <f aca="false">IF(ISBLANK($C71),"",IF(ISNUMBER(P71), P71, Constants!$B$13))</f>
        <v/>
      </c>
      <c r="AD71" s="96" t="str">
        <f aca="false">IF(ISBLANK($C71),"",IF(Q71=Constants!$B$2, TRUE(), IF(Q71=Constants!$B$3, FALSE(), FALSE())))</f>
        <v/>
      </c>
      <c r="AE71" s="96" t="str">
        <f aca="false">IF(ISBLANK(C71), "", IF(AD71, Constants!$B$4,IF(COUNTA(G71:O71)=0, Constants!$B$5, Constants!$B$7)))</f>
        <v/>
      </c>
      <c r="AF71" s="96" t="str">
        <f aca="false">IF(ISBLANK($C71), "",IF($AE71=Constants!$B$7,1,$AE71))</f>
        <v/>
      </c>
      <c r="AG71" s="96" t="str">
        <f aca="false">IF($AE71=Constants!$B$7,IF(V71, 1, Constants!$B$11) * IF(X71, 1, Constants!$B$12),"")</f>
        <v/>
      </c>
      <c r="AH71" s="96" t="str">
        <f aca="false">IF(AND($AE71=Constants!$B$7, T71, U71) ,MAX(0, $AA71-$Y71),"")</f>
        <v/>
      </c>
      <c r="AI71" s="96" t="str">
        <f aca="false">IF(ISERROR(AH71),$AI$6,"")</f>
        <v/>
      </c>
      <c r="AJ71" s="96" t="str">
        <f aca="false">IF($AE71=Constants!$B$7,IF(AND(T71,U71,W71),IF($AH$6=0,Constants!$B$9,Constants!$B$9*AH71/$AH$6), 0),"")</f>
        <v/>
      </c>
      <c r="AK71" s="96" t="str">
        <f aca="false">IF(AJ71&lt;&gt;"", AJ71*AG71,"")</f>
        <v/>
      </c>
      <c r="AL71" s="96" t="str">
        <f aca="false">IF(AND($AE71=Constants!$B$7, T71, U71) ,IF($Z71="", "", MAX(0,1-ABS($AA71-$Z71)/$AA71)),"")</f>
        <v/>
      </c>
      <c r="AM71" s="96" t="str">
        <f aca="false">IF(AND(NOT(ISERROR(AH71)),ISERROR(AL71)),$AM$6,"")</f>
        <v/>
      </c>
      <c r="AN71" s="96" t="str">
        <f aca="false">IF($AE71=Constants!$B$7 ,IF(AND(T71,U71,W71,ISNUMBER(Z71)),IF($AL$6=0,Constants!$B$10,Constants!$B$10*AL71/$AL$6), 0),"")</f>
        <v/>
      </c>
      <c r="AO71" s="96" t="str">
        <f aca="false">IF(AN71&lt;&gt;"", AN71*AG71,"")</f>
        <v/>
      </c>
      <c r="AP71" s="96" t="str">
        <f aca="false">IF($AE71=Constants!$B$7,IF($AP$6=0,Constants!$B$8,Constants!$B$8*AB71/$AP$6),"")</f>
        <v/>
      </c>
      <c r="AQ71" s="96" t="str">
        <f aca="false">IF($AE71&lt;&gt;Constants!$B$7,$AE71,AK71+AO71+AP71)</f>
        <v/>
      </c>
      <c r="AR71" s="96" t="str">
        <f aca="false">IF(ISBLANK($C71),"",IF($AE71=Constants!$B$7,RANK(AQ71,$AQ$8:$AQ$507),$AE71))</f>
        <v/>
      </c>
      <c r="AS71" s="96" t="str">
        <f aca="false">IF(ISBLANK($C71), "",AK71)</f>
        <v/>
      </c>
      <c r="AT71" s="96" t="str">
        <f aca="false">IF(ISBLANK($C71),"",IF($AE71=Constants!$B$7,RANK(AS71,AS$8:AS$507),$AE71))</f>
        <v/>
      </c>
      <c r="AU71" s="96" t="str">
        <f aca="false">IF(ISBLANK($C71), "",AP71)</f>
        <v/>
      </c>
      <c r="AV71" s="96" t="str">
        <f aca="false">IF(ISBLANK($C71),"",IF($AE71=Constants!$B$7,RANK(AU71,AU$8:AU$507),$AE71))</f>
        <v/>
      </c>
      <c r="AW71" s="96" t="str">
        <f aca="false">IF(ISBLANK($C71), "",AC71)</f>
        <v/>
      </c>
      <c r="AX71" s="96" t="str">
        <f aca="false">IF(ISBLANK($C71),"",
IF($AE71=Constants!$B$7,
  COUNTIFS($AR$8:$AR$507,"&lt;"&amp;$AR71)
  + COUNTIFS($AR$8:$AR$507,$AR71,$AT$8:$AT$507,"&lt;"&amp;$AT71)
  + COUNTIFS($AR$8:$AR$507,$AR71,$AT$8:$AT$507,$AT71,$AV$8:$AV$507,"&lt;"&amp;$AV71)
  + COUNTIFS($AR$8:$AR$507,$AR71,$AT$8:$AT$507,$AT71,$AV$8:$AV$507,$AV71,$AW$8:$AW$507,"&lt;"&amp;$AW71)
  + 1,
$AE71))</f>
        <v/>
      </c>
      <c r="AY71" s="96" t="str">
        <f aca="false">IF(ISBLANK(C71),"",IF($AE71=Constants!$B$7, AR71-AX71,$AE71))</f>
        <v/>
      </c>
      <c r="AZ71" s="100"/>
      <c r="BA71" s="101" t="str">
        <f aca="false">IF(ISBLANK($C71),"",TRIM(AI71&amp;" "&amp;AM71))</f>
        <v/>
      </c>
      <c r="BB71" s="102" t="str">
        <f aca="false">IF(ISBLANK($C71),"",IF($AE71&lt;&gt;Constants!$B$7, $AE71 ,AQ71))</f>
        <v/>
      </c>
      <c r="BC71" s="103" t="str">
        <f aca="false">IF(ISBLANK($C71),"",IF($AE71&lt;&gt;Constants!$B$7, $AE71 ,AF71))</f>
        <v/>
      </c>
      <c r="BD71" s="104" t="str">
        <f aca="false">IF(ISBLANK(C71),"",AY71)</f>
        <v/>
      </c>
      <c r="BE71" s="104" t="str">
        <f aca="false">IF(ISBLANK(C71),"",AX71)</f>
        <v/>
      </c>
      <c r="BF71" s="105" t="str">
        <f aca="false">IF(ISBLANK(C71),"",IFERROR(_xlfn.SWITCH(BE71, Constants!$B$4, COUNTA($C$8:$C570)+2, Constants!$B$5, COUNTA($C$8:$C570)+1, Constants!$B$6, COUNTA($C$8:$C570)),BE71))</f>
        <v/>
      </c>
      <c r="BG71" s="5"/>
      <c r="BH71" s="106" t="n">
        <f aca="false">IF(OR(ISNUMBER(BE71),BE71="DQ",BE71="P",BE71="NS"),
    1,
    0
)</f>
        <v>0</v>
      </c>
      <c r="BI71" s="106" t="n">
        <v>64</v>
      </c>
      <c r="BJ71" s="106" t="str">
        <f aca="false">IF(ISBLANK($C71),
    "",
   BF71+ROW($B71)/1000
)</f>
        <v/>
      </c>
      <c r="BK71" s="106" t="str">
        <f aca="false">IF(ISNUMBER(BJ71), RANK(BJ71,BJ$8:BJ$507,1), "")</f>
        <v/>
      </c>
      <c r="BL71" s="106" t="str">
        <f aca="false">IF(ISBLANK($C71),
    "",
    $B71
)</f>
        <v/>
      </c>
      <c r="BM71" s="106" t="str">
        <f aca="false">IF(ISBLANK($C71),
    "",
    $C71
)</f>
        <v/>
      </c>
      <c r="BN71" s="106" t="str">
        <f aca="false">IF(ISBLANK($C71),
    "",
    $D71
)</f>
        <v/>
      </c>
      <c r="BO71" s="107" t="str">
        <f aca="false">BC71</f>
        <v/>
      </c>
      <c r="BP71" s="108" t="str">
        <f aca="false">BB71</f>
        <v/>
      </c>
      <c r="BQ71" s="106" t="str">
        <f aca="false">IF(ISBLANK($C71),
    "",
    BE71
)</f>
        <v/>
      </c>
      <c r="BR71" s="109" t="str">
        <f aca="false">IF(BI71&gt;BH$7,
    "",
    VLOOKUP(BI71,BK$8:BQ570,7,FALSE())
)</f>
        <v/>
      </c>
      <c r="BS71" s="110" t="str">
        <f aca="false">IF(BI71&gt;BH$7,
    "",
    VLOOKUP(BI71,BK$8:BQ570,2,FALSE())
)</f>
        <v/>
      </c>
      <c r="BT71" s="110" t="str">
        <f aca="false">IF(BI71&gt;BH$7,
    "",
    VLOOKUP(BI71,BK$8:BQ570,3,FALSE())
)</f>
        <v/>
      </c>
      <c r="BU71" s="110" t="str">
        <f aca="false">IF(BI71&gt;BH$7,
    "",
    VLOOKUP(BI71,BK$8:BQ570,4,FALSE())
)</f>
        <v/>
      </c>
      <c r="BV71" s="110" t="str">
        <f aca="false">IF(BI71&gt;BH$7,
    "",
    VLOOKUP(BI71,BK$8:BQ570,5,FALSE())
)</f>
        <v/>
      </c>
      <c r="BW71" s="111" t="str">
        <f aca="false">IF(BI71&gt;BH$7,
    "",
    VLOOKUP(BI71,BK$8:BQ570,6,FALSE())
)</f>
        <v/>
      </c>
      <c r="BX71" s="50"/>
    </row>
    <row r="72" customFormat="false" ht="15.75" hidden="false" customHeight="false" outlineLevel="0" collapsed="false">
      <c r="A72" s="5"/>
      <c r="B72" s="122"/>
      <c r="C72" s="123"/>
      <c r="D72" s="112"/>
      <c r="E72" s="116"/>
      <c r="F72" s="116"/>
      <c r="G72" s="88"/>
      <c r="H72" s="89"/>
      <c r="I72" s="125"/>
      <c r="J72" s="125"/>
      <c r="K72" s="125"/>
      <c r="L72" s="91"/>
      <c r="M72" s="91"/>
      <c r="N72" s="91"/>
      <c r="O72" s="92"/>
      <c r="P72" s="93"/>
      <c r="Q72" s="125"/>
      <c r="R72" s="95"/>
      <c r="S72" s="96"/>
      <c r="T72" s="96" t="str">
        <f aca="false">IF(ISBLANK($C72),"",IF(G72=Constants!$B$2, TRUE(), IF(G72=Constants!$B$3, FALSE(), TRUE())))</f>
        <v/>
      </c>
      <c r="U72" s="96" t="str">
        <f aca="false">IF(ISBLANK($C72),"",IF(H72=Constants!$B$2, TRUE(), IF(H72=Constants!$B$3, FALSE(), TRUE())))</f>
        <v/>
      </c>
      <c r="V72" s="96" t="str">
        <f aca="false">IF(ISBLANK($C72),"",IF(I72=Constants!$B$2, TRUE(), IF(I72=Constants!$B$3, FALSE(), TRUE())))</f>
        <v/>
      </c>
      <c r="W72" s="96" t="str">
        <f aca="false">IF(ISBLANK($C72),"",IF(J72=Constants!$B$2, TRUE(), IF(J72=Constants!$B$3, FALSE(), TRUE())))</f>
        <v/>
      </c>
      <c r="X72" s="97" t="str">
        <f aca="false">IF(ISBLANK($C72),"",IF(K72=Constants!$B$2, TRUE(), IF(K72=Constants!$B$3, FALSE(), TRUE())))</f>
        <v/>
      </c>
      <c r="Y72" s="98" t="str">
        <f aca="false">IF(ISBLANK($C72),"",IF(ISNUMBER(L72), L72, ""))</f>
        <v/>
      </c>
      <c r="Z72" s="98" t="str">
        <f aca="false">IF(ISBLANK($C72),"",IF(ISNUMBER(M72), M72, ""))</f>
        <v/>
      </c>
      <c r="AA72" s="98" t="str">
        <f aca="false">IF(ISBLANK($C72),"",IF(ISNUMBER(N72), N72, ""))</f>
        <v/>
      </c>
      <c r="AB72" s="99" t="str">
        <f aca="false">IF(ISBLANK($C72),"",IF(ISNUMBER(O72), O72, ""))</f>
        <v/>
      </c>
      <c r="AC72" s="99" t="str">
        <f aca="false">IF(ISBLANK($C72),"",IF(ISNUMBER(P72), P72, Constants!$B$13))</f>
        <v/>
      </c>
      <c r="AD72" s="96" t="str">
        <f aca="false">IF(ISBLANK($C72),"",IF(Q72=Constants!$B$2, TRUE(), IF(Q72=Constants!$B$3, FALSE(), FALSE())))</f>
        <v/>
      </c>
      <c r="AE72" s="96" t="str">
        <f aca="false">IF(ISBLANK(C72), "", IF(AD72, Constants!$B$4,IF(COUNTA(G72:O72)=0, Constants!$B$5, Constants!$B$7)))</f>
        <v/>
      </c>
      <c r="AF72" s="96" t="str">
        <f aca="false">IF(ISBLANK($C72), "",IF($AE72=Constants!$B$7,1,$AE72))</f>
        <v/>
      </c>
      <c r="AG72" s="96" t="str">
        <f aca="false">IF($AE72=Constants!$B$7,IF(V72, 1, Constants!$B$11) * IF(X72, 1, Constants!$B$12),"")</f>
        <v/>
      </c>
      <c r="AH72" s="96" t="str">
        <f aca="false">IF(AND($AE72=Constants!$B$7, T72, U72) ,MAX(0, $AA72-$Y72),"")</f>
        <v/>
      </c>
      <c r="AI72" s="96" t="str">
        <f aca="false">IF(ISERROR(AH72),$AI$6,"")</f>
        <v/>
      </c>
      <c r="AJ72" s="96" t="str">
        <f aca="false">IF($AE72=Constants!$B$7,IF(AND(T72,U72,W72),IF($AH$6=0,Constants!$B$9,Constants!$B$9*AH72/$AH$6), 0),"")</f>
        <v/>
      </c>
      <c r="AK72" s="96" t="str">
        <f aca="false">IF(AJ72&lt;&gt;"", AJ72*AG72,"")</f>
        <v/>
      </c>
      <c r="AL72" s="96" t="str">
        <f aca="false">IF(AND($AE72=Constants!$B$7, T72, U72) ,IF($Z72="", "", MAX(0,1-ABS($AA72-$Z72)/$AA72)),"")</f>
        <v/>
      </c>
      <c r="AM72" s="96" t="str">
        <f aca="false">IF(AND(NOT(ISERROR(AH72)),ISERROR(AL72)),$AM$6,"")</f>
        <v/>
      </c>
      <c r="AN72" s="96" t="str">
        <f aca="false">IF($AE72=Constants!$B$7 ,IF(AND(T72,U72,W72,ISNUMBER(Z72)),IF($AL$6=0,Constants!$B$10,Constants!$B$10*AL72/$AL$6), 0),"")</f>
        <v/>
      </c>
      <c r="AO72" s="96" t="str">
        <f aca="false">IF(AN72&lt;&gt;"", AN72*AG72,"")</f>
        <v/>
      </c>
      <c r="AP72" s="96" t="str">
        <f aca="false">IF($AE72=Constants!$B$7,IF($AP$6=0,Constants!$B$8,Constants!$B$8*AB72/$AP$6),"")</f>
        <v/>
      </c>
      <c r="AQ72" s="96" t="str">
        <f aca="false">IF($AE72&lt;&gt;Constants!$B$7,$AE72,AK72+AO72+AP72)</f>
        <v/>
      </c>
      <c r="AR72" s="96" t="str">
        <f aca="false">IF(ISBLANK($C72),"",IF($AE72=Constants!$B$7,RANK(AQ72,$AQ$8:$AQ$507),$AE72))</f>
        <v/>
      </c>
      <c r="AS72" s="96" t="str">
        <f aca="false">IF(ISBLANK($C72), "",AK72)</f>
        <v/>
      </c>
      <c r="AT72" s="96" t="str">
        <f aca="false">IF(ISBLANK($C72),"",IF($AE72=Constants!$B$7,RANK(AS72,AS$8:AS$507),$AE72))</f>
        <v/>
      </c>
      <c r="AU72" s="96" t="str">
        <f aca="false">IF(ISBLANK($C72), "",AP72)</f>
        <v/>
      </c>
      <c r="AV72" s="96" t="str">
        <f aca="false">IF(ISBLANK($C72),"",IF($AE72=Constants!$B$7,RANK(AU72,AU$8:AU$507),$AE72))</f>
        <v/>
      </c>
      <c r="AW72" s="96" t="str">
        <f aca="false">IF(ISBLANK($C72), "",AC72)</f>
        <v/>
      </c>
      <c r="AX72" s="96" t="str">
        <f aca="false">IF(ISBLANK($C72),"",
IF($AE72=Constants!$B$7,
  COUNTIFS($AR$8:$AR$507,"&lt;"&amp;$AR72)
  + COUNTIFS($AR$8:$AR$507,$AR72,$AT$8:$AT$507,"&lt;"&amp;$AT72)
  + COUNTIFS($AR$8:$AR$507,$AR72,$AT$8:$AT$507,$AT72,$AV$8:$AV$507,"&lt;"&amp;$AV72)
  + COUNTIFS($AR$8:$AR$507,$AR72,$AT$8:$AT$507,$AT72,$AV$8:$AV$507,$AV72,$AW$8:$AW$507,"&lt;"&amp;$AW72)
  + 1,
$AE72))</f>
        <v/>
      </c>
      <c r="AY72" s="96" t="str">
        <f aca="false">IF(ISBLANK(C72),"",IF($AE72=Constants!$B$7, AR72-AX72,$AE72))</f>
        <v/>
      </c>
      <c r="AZ72" s="100"/>
      <c r="BA72" s="101" t="str">
        <f aca="false">IF(ISBLANK($C72),"",TRIM(AI72&amp;" "&amp;AM72))</f>
        <v/>
      </c>
      <c r="BB72" s="102" t="str">
        <f aca="false">IF(ISBLANK($C72),"",IF($AE72&lt;&gt;Constants!$B$7, $AE72 ,AQ72))</f>
        <v/>
      </c>
      <c r="BC72" s="103" t="str">
        <f aca="false">IF(ISBLANK($C72),"",IF($AE72&lt;&gt;Constants!$B$7, $AE72 ,AF72))</f>
        <v/>
      </c>
      <c r="BD72" s="104" t="str">
        <f aca="false">IF(ISBLANK(C72),"",AY72)</f>
        <v/>
      </c>
      <c r="BE72" s="104" t="str">
        <f aca="false">IF(ISBLANK(C72),"",AX72)</f>
        <v/>
      </c>
      <c r="BF72" s="105" t="str">
        <f aca="false">IF(ISBLANK(C72),"",IFERROR(_xlfn.SWITCH(BE72, Constants!$B$4, COUNTA($C$8:$C571)+2, Constants!$B$5, COUNTA($C$8:$C571)+1, Constants!$B$6, COUNTA($C$8:$C571)),BE72))</f>
        <v/>
      </c>
      <c r="BG72" s="5"/>
      <c r="BH72" s="106" t="n">
        <f aca="false">IF(OR(ISNUMBER(BE72),BE72="DQ",BE72="P",BE72="NS"),
    1,
    0
)</f>
        <v>0</v>
      </c>
      <c r="BI72" s="106" t="n">
        <v>65</v>
      </c>
      <c r="BJ72" s="106" t="str">
        <f aca="false">IF(ISBLANK($C72),
    "",
   BF72+ROW($B72)/1000
)</f>
        <v/>
      </c>
      <c r="BK72" s="106" t="str">
        <f aca="false">IF(ISNUMBER(BJ72), RANK(BJ72,BJ$8:BJ$507,1), "")</f>
        <v/>
      </c>
      <c r="BL72" s="106" t="str">
        <f aca="false">IF(ISBLANK($C72),
    "",
    $B72
)</f>
        <v/>
      </c>
      <c r="BM72" s="106" t="str">
        <f aca="false">IF(ISBLANK($C72),
    "",
    $C72
)</f>
        <v/>
      </c>
      <c r="BN72" s="106" t="str">
        <f aca="false">IF(ISBLANK($C72),
    "",
    $D72
)</f>
        <v/>
      </c>
      <c r="BO72" s="107" t="str">
        <f aca="false">BC72</f>
        <v/>
      </c>
      <c r="BP72" s="108" t="str">
        <f aca="false">BB72</f>
        <v/>
      </c>
      <c r="BQ72" s="106" t="str">
        <f aca="false">IF(ISBLANK($C72),
    "",
    BE72
)</f>
        <v/>
      </c>
      <c r="BR72" s="109" t="str">
        <f aca="false">IF(BI72&gt;BH$7,
    "",
    VLOOKUP(BI72,BK$8:BQ571,7,FALSE())
)</f>
        <v/>
      </c>
      <c r="BS72" s="110" t="str">
        <f aca="false">IF(BI72&gt;BH$7,
    "",
    VLOOKUP(BI72,BK$8:BQ571,2,FALSE())
)</f>
        <v/>
      </c>
      <c r="BT72" s="110" t="str">
        <f aca="false">IF(BI72&gt;BH$7,
    "",
    VLOOKUP(BI72,BK$8:BQ571,3,FALSE())
)</f>
        <v/>
      </c>
      <c r="BU72" s="110" t="str">
        <f aca="false">IF(BI72&gt;BH$7,
    "",
    VLOOKUP(BI72,BK$8:BQ571,4,FALSE())
)</f>
        <v/>
      </c>
      <c r="BV72" s="110" t="str">
        <f aca="false">IF(BI72&gt;BH$7,
    "",
    VLOOKUP(BI72,BK$8:BQ571,5,FALSE())
)</f>
        <v/>
      </c>
      <c r="BW72" s="111" t="str">
        <f aca="false">IF(BI72&gt;BH$7,
    "",
    VLOOKUP(BI72,BK$8:BQ571,6,FALSE())
)</f>
        <v/>
      </c>
      <c r="BX72" s="50"/>
    </row>
    <row r="73" customFormat="false" ht="15.75" hidden="false" customHeight="false" outlineLevel="0" collapsed="false">
      <c r="A73" s="5"/>
      <c r="B73" s="122"/>
      <c r="C73" s="123"/>
      <c r="D73" s="112"/>
      <c r="E73" s="116"/>
      <c r="F73" s="116"/>
      <c r="G73" s="88"/>
      <c r="H73" s="89"/>
      <c r="I73" s="125"/>
      <c r="J73" s="125"/>
      <c r="K73" s="125"/>
      <c r="L73" s="91"/>
      <c r="M73" s="91"/>
      <c r="N73" s="91"/>
      <c r="O73" s="92"/>
      <c r="P73" s="93"/>
      <c r="Q73" s="125"/>
      <c r="R73" s="95"/>
      <c r="S73" s="96"/>
      <c r="T73" s="96" t="str">
        <f aca="false">IF(ISBLANK($C73),"",IF(G73=Constants!$B$2, TRUE(), IF(G73=Constants!$B$3, FALSE(), TRUE())))</f>
        <v/>
      </c>
      <c r="U73" s="96" t="str">
        <f aca="false">IF(ISBLANK($C73),"",IF(H73=Constants!$B$2, TRUE(), IF(H73=Constants!$B$3, FALSE(), TRUE())))</f>
        <v/>
      </c>
      <c r="V73" s="96" t="str">
        <f aca="false">IF(ISBLANK($C73),"",IF(I73=Constants!$B$2, TRUE(), IF(I73=Constants!$B$3, FALSE(), TRUE())))</f>
        <v/>
      </c>
      <c r="W73" s="96" t="str">
        <f aca="false">IF(ISBLANK($C73),"",IF(J73=Constants!$B$2, TRUE(), IF(J73=Constants!$B$3, FALSE(), TRUE())))</f>
        <v/>
      </c>
      <c r="X73" s="97" t="str">
        <f aca="false">IF(ISBLANK($C73),"",IF(K73=Constants!$B$2, TRUE(), IF(K73=Constants!$B$3, FALSE(), TRUE())))</f>
        <v/>
      </c>
      <c r="Y73" s="98" t="str">
        <f aca="false">IF(ISBLANK($C73),"",IF(ISNUMBER(L73), L73, ""))</f>
        <v/>
      </c>
      <c r="Z73" s="98" t="str">
        <f aca="false">IF(ISBLANK($C73),"",IF(ISNUMBER(M73), M73, ""))</f>
        <v/>
      </c>
      <c r="AA73" s="98" t="str">
        <f aca="false">IF(ISBLANK($C73),"",IF(ISNUMBER(N73), N73, ""))</f>
        <v/>
      </c>
      <c r="AB73" s="99" t="str">
        <f aca="false">IF(ISBLANK($C73),"",IF(ISNUMBER(O73), O73, ""))</f>
        <v/>
      </c>
      <c r="AC73" s="99" t="str">
        <f aca="false">IF(ISBLANK($C73),"",IF(ISNUMBER(P73), P73, Constants!$B$13))</f>
        <v/>
      </c>
      <c r="AD73" s="96" t="str">
        <f aca="false">IF(ISBLANK($C73),"",IF(Q73=Constants!$B$2, TRUE(), IF(Q73=Constants!$B$3, FALSE(), FALSE())))</f>
        <v/>
      </c>
      <c r="AE73" s="96" t="str">
        <f aca="false">IF(ISBLANK(C73), "", IF(AD73, Constants!$B$4,IF(COUNTA(G73:O73)=0, Constants!$B$5, Constants!$B$7)))</f>
        <v/>
      </c>
      <c r="AF73" s="96" t="str">
        <f aca="false">IF(ISBLANK($C73), "",IF($AE73=Constants!$B$7,1,$AE73))</f>
        <v/>
      </c>
      <c r="AG73" s="96" t="str">
        <f aca="false">IF($AE73=Constants!$B$7,IF(V73, 1, Constants!$B$11) * IF(X73, 1, Constants!$B$12),"")</f>
        <v/>
      </c>
      <c r="AH73" s="96" t="str">
        <f aca="false">IF(AND($AE73=Constants!$B$7, T73, U73) ,MAX(0, $AA73-$Y73),"")</f>
        <v/>
      </c>
      <c r="AI73" s="96" t="str">
        <f aca="false">IF(ISERROR(AH73),$AI$6,"")</f>
        <v/>
      </c>
      <c r="AJ73" s="96" t="str">
        <f aca="false">IF($AE73=Constants!$B$7,IF(AND(T73,U73,W73),IF($AH$6=0,Constants!$B$9,Constants!$B$9*AH73/$AH$6), 0),"")</f>
        <v/>
      </c>
      <c r="AK73" s="96" t="str">
        <f aca="false">IF(AJ73&lt;&gt;"", AJ73*AG73,"")</f>
        <v/>
      </c>
      <c r="AL73" s="96" t="str">
        <f aca="false">IF(AND($AE73=Constants!$B$7, T73, U73) ,IF($Z73="", "", MAX(0,1-ABS($AA73-$Z73)/$AA73)),"")</f>
        <v/>
      </c>
      <c r="AM73" s="96" t="str">
        <f aca="false">IF(AND(NOT(ISERROR(AH73)),ISERROR(AL73)),$AM$6,"")</f>
        <v/>
      </c>
      <c r="AN73" s="96" t="str">
        <f aca="false">IF($AE73=Constants!$B$7 ,IF(AND(T73,U73,W73,ISNUMBER(Z73)),IF($AL$6=0,Constants!$B$10,Constants!$B$10*AL73/$AL$6), 0),"")</f>
        <v/>
      </c>
      <c r="AO73" s="96" t="str">
        <f aca="false">IF(AN73&lt;&gt;"", AN73*AG73,"")</f>
        <v/>
      </c>
      <c r="AP73" s="96" t="str">
        <f aca="false">IF($AE73=Constants!$B$7,IF($AP$6=0,Constants!$B$8,Constants!$B$8*AB73/$AP$6),"")</f>
        <v/>
      </c>
      <c r="AQ73" s="96" t="str">
        <f aca="false">IF($AE73&lt;&gt;Constants!$B$7,$AE73,AK73+AO73+AP73)</f>
        <v/>
      </c>
      <c r="AR73" s="96" t="str">
        <f aca="false">IF(ISBLANK($C73),"",IF($AE73=Constants!$B$7,RANK(AQ73,$AQ$8:$AQ$507),$AE73))</f>
        <v/>
      </c>
      <c r="AS73" s="96" t="str">
        <f aca="false">IF(ISBLANK($C73), "",AK73)</f>
        <v/>
      </c>
      <c r="AT73" s="96" t="str">
        <f aca="false">IF(ISBLANK($C73),"",IF($AE73=Constants!$B$7,RANK(AS73,AS$8:AS$507),$AE73))</f>
        <v/>
      </c>
      <c r="AU73" s="96" t="str">
        <f aca="false">IF(ISBLANK($C73), "",AP73)</f>
        <v/>
      </c>
      <c r="AV73" s="96" t="str">
        <f aca="false">IF(ISBLANK($C73),"",IF($AE73=Constants!$B$7,RANK(AU73,AU$8:AU$507),$AE73))</f>
        <v/>
      </c>
      <c r="AW73" s="96" t="str">
        <f aca="false">IF(ISBLANK($C73), "",AC73)</f>
        <v/>
      </c>
      <c r="AX73" s="96" t="str">
        <f aca="false">IF(ISBLANK($C73),"",
IF($AE73=Constants!$B$7,
  COUNTIFS($AR$8:$AR$507,"&lt;"&amp;$AR73)
  + COUNTIFS($AR$8:$AR$507,$AR73,$AT$8:$AT$507,"&lt;"&amp;$AT73)
  + COUNTIFS($AR$8:$AR$507,$AR73,$AT$8:$AT$507,$AT73,$AV$8:$AV$507,"&lt;"&amp;$AV73)
  + COUNTIFS($AR$8:$AR$507,$AR73,$AT$8:$AT$507,$AT73,$AV$8:$AV$507,$AV73,$AW$8:$AW$507,"&lt;"&amp;$AW73)
  + 1,
$AE73))</f>
        <v/>
      </c>
      <c r="AY73" s="96" t="str">
        <f aca="false">IF(ISBLANK(C73),"",IF($AE73=Constants!$B$7, AR73-AX73,$AE73))</f>
        <v/>
      </c>
      <c r="AZ73" s="100"/>
      <c r="BA73" s="101" t="str">
        <f aca="false">IF(ISBLANK($C73),"",TRIM(AI73&amp;" "&amp;AM73))</f>
        <v/>
      </c>
      <c r="BB73" s="102" t="str">
        <f aca="false">IF(ISBLANK($C73),"",IF($AE73&lt;&gt;Constants!$B$7, $AE73 ,AQ73))</f>
        <v/>
      </c>
      <c r="BC73" s="103" t="str">
        <f aca="false">IF(ISBLANK($C73),"",IF($AE73&lt;&gt;Constants!$B$7, $AE73 ,AF73))</f>
        <v/>
      </c>
      <c r="BD73" s="104" t="str">
        <f aca="false">IF(ISBLANK(C73),"",AY73)</f>
        <v/>
      </c>
      <c r="BE73" s="104" t="str">
        <f aca="false">IF(ISBLANK(C73),"",AX73)</f>
        <v/>
      </c>
      <c r="BF73" s="105" t="str">
        <f aca="false">IF(ISBLANK(C73),"",IFERROR(_xlfn.SWITCH(BE73, Constants!$B$4, COUNTA($C$8:$C572)+2, Constants!$B$5, COUNTA($C$8:$C572)+1, Constants!$B$6, COUNTA($C$8:$C572)),BE73))</f>
        <v/>
      </c>
      <c r="BG73" s="5"/>
      <c r="BH73" s="106" t="n">
        <f aca="false">IF(OR(ISNUMBER(BE73),BE73="DQ",BE73="P",BE73="NS"),
    1,
    0
)</f>
        <v>0</v>
      </c>
      <c r="BI73" s="106" t="n">
        <v>66</v>
      </c>
      <c r="BJ73" s="106" t="str">
        <f aca="false">IF(ISBLANK($C73),
    "",
   BF73+ROW($B73)/1000
)</f>
        <v/>
      </c>
      <c r="BK73" s="106" t="str">
        <f aca="false">IF(ISNUMBER(BJ73), RANK(BJ73,BJ$8:BJ$507,1), "")</f>
        <v/>
      </c>
      <c r="BL73" s="106" t="str">
        <f aca="false">IF(ISBLANK($C73),
    "",
    $B73
)</f>
        <v/>
      </c>
      <c r="BM73" s="106" t="str">
        <f aca="false">IF(ISBLANK($C73),
    "",
    $C73
)</f>
        <v/>
      </c>
      <c r="BN73" s="106" t="str">
        <f aca="false">IF(ISBLANK($C73),
    "",
    $D73
)</f>
        <v/>
      </c>
      <c r="BO73" s="107" t="str">
        <f aca="false">BC73</f>
        <v/>
      </c>
      <c r="BP73" s="108" t="str">
        <f aca="false">BB73</f>
        <v/>
      </c>
      <c r="BQ73" s="106" t="str">
        <f aca="false">IF(ISBLANK($C73),
    "",
    BE73
)</f>
        <v/>
      </c>
      <c r="BR73" s="109" t="str">
        <f aca="false">IF(BI73&gt;BH$7,
    "",
    VLOOKUP(BI73,BK$8:BQ572,7,FALSE())
)</f>
        <v/>
      </c>
      <c r="BS73" s="110" t="str">
        <f aca="false">IF(BI73&gt;BH$7,
    "",
    VLOOKUP(BI73,BK$8:BQ572,2,FALSE())
)</f>
        <v/>
      </c>
      <c r="BT73" s="110" t="str">
        <f aca="false">IF(BI73&gt;BH$7,
    "",
    VLOOKUP(BI73,BK$8:BQ572,3,FALSE())
)</f>
        <v/>
      </c>
      <c r="BU73" s="110" t="str">
        <f aca="false">IF(BI73&gt;BH$7,
    "",
    VLOOKUP(BI73,BK$8:BQ572,4,FALSE())
)</f>
        <v/>
      </c>
      <c r="BV73" s="110" t="str">
        <f aca="false">IF(BI73&gt;BH$7,
    "",
    VLOOKUP(BI73,BK$8:BQ572,5,FALSE())
)</f>
        <v/>
      </c>
      <c r="BW73" s="111" t="str">
        <f aca="false">IF(BI73&gt;BH$7,
    "",
    VLOOKUP(BI73,BK$8:BQ572,6,FALSE())
)</f>
        <v/>
      </c>
      <c r="BX73" s="50"/>
    </row>
    <row r="74" customFormat="false" ht="15.75" hidden="false" customHeight="false" outlineLevel="0" collapsed="false">
      <c r="A74" s="5"/>
      <c r="B74" s="126"/>
      <c r="C74" s="52"/>
      <c r="D74" s="53"/>
      <c r="E74" s="120"/>
      <c r="F74" s="120"/>
      <c r="G74" s="55"/>
      <c r="H74" s="56"/>
      <c r="I74" s="80"/>
      <c r="J74" s="80"/>
      <c r="K74" s="80"/>
      <c r="L74" s="58"/>
      <c r="M74" s="58"/>
      <c r="N74" s="58"/>
      <c r="O74" s="59"/>
      <c r="P74" s="60"/>
      <c r="Q74" s="80"/>
      <c r="R74" s="62"/>
      <c r="S74" s="63"/>
      <c r="T74" s="63" t="str">
        <f aca="false">IF(ISBLANK($C74),"",IF(G74=Constants!$B$2, TRUE(), IF(G74=Constants!$B$3, FALSE(), TRUE())))</f>
        <v/>
      </c>
      <c r="U74" s="63" t="str">
        <f aca="false">IF(ISBLANK($C74),"",IF(H74=Constants!$B$2, TRUE(), IF(H74=Constants!$B$3, FALSE(), TRUE())))</f>
        <v/>
      </c>
      <c r="V74" s="63" t="str">
        <f aca="false">IF(ISBLANK($C74),"",IF(I74=Constants!$B$2, TRUE(), IF(I74=Constants!$B$3, FALSE(), TRUE())))</f>
        <v/>
      </c>
      <c r="W74" s="63" t="str">
        <f aca="false">IF(ISBLANK($C74),"",IF(J74=Constants!$B$2, TRUE(), IF(J74=Constants!$B$3, FALSE(), TRUE())))</f>
        <v/>
      </c>
      <c r="X74" s="63" t="str">
        <f aca="false">IF(ISBLANK($C74),"",IF(K74=Constants!$B$2, TRUE(), IF(K74=Constants!$B$3, FALSE(), TRUE())))</f>
        <v/>
      </c>
      <c r="Y74" s="65" t="str">
        <f aca="false">IF(ISBLANK($C74),"",IF(ISNUMBER(L74), L74, ""))</f>
        <v/>
      </c>
      <c r="Z74" s="65" t="str">
        <f aca="false">IF(ISBLANK($C74),"",IF(ISNUMBER(M74), M74, ""))</f>
        <v/>
      </c>
      <c r="AA74" s="65" t="str">
        <f aca="false">IF(ISBLANK($C74),"",IF(ISNUMBER(N74), N74, ""))</f>
        <v/>
      </c>
      <c r="AB74" s="66" t="str">
        <f aca="false">IF(ISBLANK($C74),"",IF(ISNUMBER(O74), O74, ""))</f>
        <v/>
      </c>
      <c r="AC74" s="66" t="str">
        <f aca="false">IF(ISBLANK($C74),"",IF(ISNUMBER(P74), P74, Constants!$B$13))</f>
        <v/>
      </c>
      <c r="AD74" s="63" t="str">
        <f aca="false">IF(ISBLANK($C74),"",IF(Q74=Constants!$B$2, TRUE(), IF(Q74=Constants!$B$3, FALSE(), FALSE())))</f>
        <v/>
      </c>
      <c r="AE74" s="63" t="str">
        <f aca="false">IF(ISBLANK(C74), "", IF(AD74, Constants!$B$4,IF(COUNTA(G74:O74)=0, Constants!$B$5, Constants!$B$7)))</f>
        <v/>
      </c>
      <c r="AF74" s="63" t="str">
        <f aca="false">IF(ISBLANK($C74), "",IF($AE74=Constants!$B$7,1,$AE74))</f>
        <v/>
      </c>
      <c r="AG74" s="63" t="str">
        <f aca="false">IF($AE74=Constants!$B$7,IF(V74, 1, Constants!$B$11) * IF(X74, 1, Constants!$B$12),"")</f>
        <v/>
      </c>
      <c r="AH74" s="63" t="str">
        <f aca="false">IF(AND($AE74=Constants!$B$7, T74, U74) ,MAX(0, $AA74-$Y74),"")</f>
        <v/>
      </c>
      <c r="AI74" s="63" t="str">
        <f aca="false">IF(ISERROR(AH74),$AI$6,"")</f>
        <v/>
      </c>
      <c r="AJ74" s="63" t="str">
        <f aca="false">IF($AE74=Constants!$B$7,IF(AND(T74,U74,W74),IF($AH$6=0,Constants!$B$9,Constants!$B$9*AH74/$AH$6), 0),"")</f>
        <v/>
      </c>
      <c r="AK74" s="63" t="str">
        <f aca="false">IF(AJ74&lt;&gt;"", AJ74*AG74,"")</f>
        <v/>
      </c>
      <c r="AL74" s="63" t="str">
        <f aca="false">IF(AND($AE74=Constants!$B$7, T74, U74) ,IF($Z74="", "", MAX(0,1-ABS($AA74-$Z74)/$AA74)),"")</f>
        <v/>
      </c>
      <c r="AM74" s="63" t="str">
        <f aca="false">IF(AND(NOT(ISERROR(AH74)),ISERROR(AL74)),$AM$6,"")</f>
        <v/>
      </c>
      <c r="AN74" s="63" t="str">
        <f aca="false">IF($AE74=Constants!$B$7 ,IF(AND(T74,U74,W74,ISNUMBER(Z74)),IF($AL$6=0,Constants!$B$10,Constants!$B$10*AL74/$AL$6), 0),"")</f>
        <v/>
      </c>
      <c r="AO74" s="63" t="str">
        <f aca="false">IF(AN74&lt;&gt;"", AN74*AG74,"")</f>
        <v/>
      </c>
      <c r="AP74" s="63" t="str">
        <f aca="false">IF($AE74=Constants!$B$7,IF($AP$6=0,Constants!$B$8,Constants!$B$8*AB74/$AP$6),"")</f>
        <v/>
      </c>
      <c r="AQ74" s="63" t="str">
        <f aca="false">IF($AE74&lt;&gt;Constants!$B$7,$AE74,AK74+AO74+AP74)</f>
        <v/>
      </c>
      <c r="AR74" s="63" t="str">
        <f aca="false">IF(ISBLANK($C74),"",IF($AE74=Constants!$B$7,RANK(AQ74,$AQ$8:$AQ$507),$AE74))</f>
        <v/>
      </c>
      <c r="AS74" s="63" t="str">
        <f aca="false">IF(ISBLANK($C74), "",AK74)</f>
        <v/>
      </c>
      <c r="AT74" s="63" t="str">
        <f aca="false">IF(ISBLANK($C74),"",IF($AE74=Constants!$B$7,RANK(AS74,AS$8:AS$507),$AE74))</f>
        <v/>
      </c>
      <c r="AU74" s="63" t="str">
        <f aca="false">IF(ISBLANK($C74), "",AP74)</f>
        <v/>
      </c>
      <c r="AV74" s="63" t="str">
        <f aca="false">IF(ISBLANK($C74),"",IF($AE74=Constants!$B$7,RANK(AU74,AU$8:AU$507),$AE74))</f>
        <v/>
      </c>
      <c r="AW74" s="63" t="str">
        <f aca="false">IF(ISBLANK($C74), "",AC74)</f>
        <v/>
      </c>
      <c r="AX74" s="63" t="str">
        <f aca="false">IF(ISBLANK($C74),"",
IF($AE74=Constants!$B$7,
  COUNTIFS($AR$8:$AR$507,"&lt;"&amp;$AR74)
  + COUNTIFS($AR$8:$AR$507,$AR74,$AT$8:$AT$507,"&lt;"&amp;$AT74)
  + COUNTIFS($AR$8:$AR$507,$AR74,$AT$8:$AT$507,$AT74,$AV$8:$AV$507,"&lt;"&amp;$AV74)
  + COUNTIFS($AR$8:$AR$507,$AR74,$AT$8:$AT$507,$AT74,$AV$8:$AV$507,$AV74,$AW$8:$AW$507,"&lt;"&amp;$AW74)
  + 1,
$AE74))</f>
        <v/>
      </c>
      <c r="AY74" s="63" t="str">
        <f aca="false">IF(ISBLANK(C74),"",IF($AE74=Constants!$B$7, AR74-AX74,$AE74))</f>
        <v/>
      </c>
      <c r="AZ74" s="67"/>
      <c r="BA74" s="81" t="str">
        <f aca="false">IF(ISBLANK($C74),"",TRIM(AI74&amp;" "&amp;AM74))</f>
        <v/>
      </c>
      <c r="BB74" s="69" t="str">
        <f aca="false">IF(ISBLANK($C74),"",IF($AE74&lt;&gt;Constants!$B$7, $AE74 ,AQ74))</f>
        <v/>
      </c>
      <c r="BC74" s="70" t="str">
        <f aca="false">IF(ISBLANK($C74),"",IF($AE74&lt;&gt;Constants!$B$7, $AE74 ,AF74))</f>
        <v/>
      </c>
      <c r="BD74" s="71" t="str">
        <f aca="false">IF(ISBLANK(C74),"",AY74)</f>
        <v/>
      </c>
      <c r="BE74" s="71" t="str">
        <f aca="false">IF(ISBLANK(C74),"",AX74)</f>
        <v/>
      </c>
      <c r="BF74" s="72" t="str">
        <f aca="false">IF(ISBLANK(C74),"",IFERROR(_xlfn.SWITCH(BE74, Constants!$B$4, COUNTA($C$8:$C573)+2, Constants!$B$5, COUNTA($C$8:$C573)+1, Constants!$B$6, COUNTA($C$8:$C573)),BE74))</f>
        <v/>
      </c>
      <c r="BG74" s="5"/>
      <c r="BH74" s="73" t="n">
        <f aca="false">IF(OR(ISNUMBER(BE74),BE74="DQ",BE74="P",BE74="NS"),
    1,
    0
)</f>
        <v>0</v>
      </c>
      <c r="BI74" s="73" t="n">
        <v>67</v>
      </c>
      <c r="BJ74" s="73" t="str">
        <f aca="false">IF(ISBLANK($C74),
    "",
   BF74+ROW($B74)/1000
)</f>
        <v/>
      </c>
      <c r="BK74" s="73" t="str">
        <f aca="false">IF(ISNUMBER(BJ74), RANK(BJ74,BJ$8:BJ$507,1), "")</f>
        <v/>
      </c>
      <c r="BL74" s="73" t="str">
        <f aca="false">IF(ISBLANK($C74),
    "",
    $B74
)</f>
        <v/>
      </c>
      <c r="BM74" s="73" t="str">
        <f aca="false">IF(ISBLANK($C74),
    "",
    $C74
)</f>
        <v/>
      </c>
      <c r="BN74" s="73" t="str">
        <f aca="false">IF(ISBLANK($C74),
    "",
    $D74
)</f>
        <v/>
      </c>
      <c r="BO74" s="74" t="str">
        <f aca="false">BC74</f>
        <v/>
      </c>
      <c r="BP74" s="75" t="str">
        <f aca="false">BB74</f>
        <v/>
      </c>
      <c r="BQ74" s="73" t="str">
        <f aca="false">IF(ISBLANK($C74),
    "",
    BE74
)</f>
        <v/>
      </c>
      <c r="BR74" s="76" t="str">
        <f aca="false">IF(BI74&gt;BH$7,
    "",
    VLOOKUP(BI74,BK$8:BQ573,7,FALSE())
)</f>
        <v/>
      </c>
      <c r="BS74" s="77" t="str">
        <f aca="false">IF(BI74&gt;BH$7,
    "",
    VLOOKUP(BI74,BK$8:BQ573,2,FALSE())
)</f>
        <v/>
      </c>
      <c r="BT74" s="77" t="str">
        <f aca="false">IF(BI74&gt;BH$7,
    "",
    VLOOKUP(BI74,BK$8:BQ573,3,FALSE())
)</f>
        <v/>
      </c>
      <c r="BU74" s="77" t="str">
        <f aca="false">IF(BI74&gt;BH$7,
    "",
    VLOOKUP(BI74,BK$8:BQ573,4,FALSE())
)</f>
        <v/>
      </c>
      <c r="BV74" s="77" t="str">
        <f aca="false">IF(BI74&gt;BH$7,
    "",
    VLOOKUP(BI74,BK$8:BQ573,5,FALSE())
)</f>
        <v/>
      </c>
      <c r="BW74" s="78" t="str">
        <f aca="false">IF(BI74&gt;BH$7,
    "",
    VLOOKUP(BI74,BK$8:BQ573,6,FALSE())
)</f>
        <v/>
      </c>
      <c r="BX74" s="50"/>
    </row>
    <row r="75" customFormat="false" ht="15.75" hidden="false" customHeight="false" outlineLevel="0" collapsed="false">
      <c r="A75" s="5"/>
      <c r="B75" s="126"/>
      <c r="C75" s="52"/>
      <c r="D75" s="53"/>
      <c r="E75" s="120"/>
      <c r="F75" s="120"/>
      <c r="G75" s="55"/>
      <c r="H75" s="56"/>
      <c r="I75" s="80"/>
      <c r="J75" s="80"/>
      <c r="K75" s="80"/>
      <c r="L75" s="58"/>
      <c r="M75" s="58"/>
      <c r="N75" s="58"/>
      <c r="O75" s="59"/>
      <c r="P75" s="60"/>
      <c r="Q75" s="80"/>
      <c r="R75" s="62"/>
      <c r="S75" s="63"/>
      <c r="T75" s="63" t="str">
        <f aca="false">IF(ISBLANK($C75),"",IF(G75=Constants!$B$2, TRUE(), IF(G75=Constants!$B$3, FALSE(), TRUE())))</f>
        <v/>
      </c>
      <c r="U75" s="63" t="str">
        <f aca="false">IF(ISBLANK($C75),"",IF(H75=Constants!$B$2, TRUE(), IF(H75=Constants!$B$3, FALSE(), TRUE())))</f>
        <v/>
      </c>
      <c r="V75" s="63" t="str">
        <f aca="false">IF(ISBLANK($C75),"",IF(I75=Constants!$B$2, TRUE(), IF(I75=Constants!$B$3, FALSE(), TRUE())))</f>
        <v/>
      </c>
      <c r="W75" s="63" t="str">
        <f aca="false">IF(ISBLANK($C75),"",IF(J75=Constants!$B$2, TRUE(), IF(J75=Constants!$B$3, FALSE(), TRUE())))</f>
        <v/>
      </c>
      <c r="X75" s="63" t="str">
        <f aca="false">IF(ISBLANK($C75),"",IF(K75=Constants!$B$2, TRUE(), IF(K75=Constants!$B$3, FALSE(), TRUE())))</f>
        <v/>
      </c>
      <c r="Y75" s="65" t="str">
        <f aca="false">IF(ISBLANK($C75),"",IF(ISNUMBER(L75), L75, ""))</f>
        <v/>
      </c>
      <c r="Z75" s="65" t="str">
        <f aca="false">IF(ISBLANK($C75),"",IF(ISNUMBER(M75), M75, ""))</f>
        <v/>
      </c>
      <c r="AA75" s="65" t="str">
        <f aca="false">IF(ISBLANK($C75),"",IF(ISNUMBER(N75), N75, ""))</f>
        <v/>
      </c>
      <c r="AB75" s="66" t="str">
        <f aca="false">IF(ISBLANK($C75),"",IF(ISNUMBER(O75), O75, ""))</f>
        <v/>
      </c>
      <c r="AC75" s="66" t="str">
        <f aca="false">IF(ISBLANK($C75),"",IF(ISNUMBER(P75), P75, Constants!$B$13))</f>
        <v/>
      </c>
      <c r="AD75" s="63" t="str">
        <f aca="false">IF(ISBLANK($C75),"",IF(Q75=Constants!$B$2, TRUE(), IF(Q75=Constants!$B$3, FALSE(), FALSE())))</f>
        <v/>
      </c>
      <c r="AE75" s="63" t="str">
        <f aca="false">IF(ISBLANK(C75), "", IF(AD75, Constants!$B$4,IF(COUNTA(G75:O75)=0, Constants!$B$5, Constants!$B$7)))</f>
        <v/>
      </c>
      <c r="AF75" s="63" t="str">
        <f aca="false">IF(ISBLANK($C75), "",IF($AE75=Constants!$B$7,1,$AE75))</f>
        <v/>
      </c>
      <c r="AG75" s="63" t="str">
        <f aca="false">IF($AE75=Constants!$B$7,IF(V75, 1, Constants!$B$11) * IF(X75, 1, Constants!$B$12),"")</f>
        <v/>
      </c>
      <c r="AH75" s="63" t="str">
        <f aca="false">IF(AND($AE75=Constants!$B$7, T75, U75) ,MAX(0, $AA75-$Y75),"")</f>
        <v/>
      </c>
      <c r="AI75" s="63" t="str">
        <f aca="false">IF(ISERROR(AH75),$AI$6,"")</f>
        <v/>
      </c>
      <c r="AJ75" s="63" t="str">
        <f aca="false">IF($AE75=Constants!$B$7,IF(AND(T75,U75,W75),IF($AH$6=0,Constants!$B$9,Constants!$B$9*AH75/$AH$6), 0),"")</f>
        <v/>
      </c>
      <c r="AK75" s="63" t="str">
        <f aca="false">IF(AJ75&lt;&gt;"", AJ75*AG75,"")</f>
        <v/>
      </c>
      <c r="AL75" s="63" t="str">
        <f aca="false">IF(AND($AE75=Constants!$B$7, T75, U75) ,IF($Z75="", "", MAX(0,1-ABS($AA75-$Z75)/$AA75)),"")</f>
        <v/>
      </c>
      <c r="AM75" s="63" t="str">
        <f aca="false">IF(AND(NOT(ISERROR(AH75)),ISERROR(AL75)),$AM$6,"")</f>
        <v/>
      </c>
      <c r="AN75" s="63" t="str">
        <f aca="false">IF($AE75=Constants!$B$7 ,IF(AND(T75,U75,W75,ISNUMBER(Z75)),IF($AL$6=0,Constants!$B$10,Constants!$B$10*AL75/$AL$6), 0),"")</f>
        <v/>
      </c>
      <c r="AO75" s="63" t="str">
        <f aca="false">IF(AN75&lt;&gt;"", AN75*AG75,"")</f>
        <v/>
      </c>
      <c r="AP75" s="63" t="str">
        <f aca="false">IF($AE75=Constants!$B$7,IF($AP$6=0,Constants!$B$8,Constants!$B$8*AB75/$AP$6),"")</f>
        <v/>
      </c>
      <c r="AQ75" s="63" t="str">
        <f aca="false">IF($AE75&lt;&gt;Constants!$B$7,$AE75,AK75+AO75+AP75)</f>
        <v/>
      </c>
      <c r="AR75" s="63" t="str">
        <f aca="false">IF(ISBLANK($C75),"",IF($AE75=Constants!$B$7,RANK(AQ75,$AQ$8:$AQ$507),$AE75))</f>
        <v/>
      </c>
      <c r="AS75" s="63" t="str">
        <f aca="false">IF(ISBLANK($C75), "",AK75)</f>
        <v/>
      </c>
      <c r="AT75" s="63" t="str">
        <f aca="false">IF(ISBLANK($C75),"",IF($AE75=Constants!$B$7,RANK(AS75,AS$8:AS$507),$AE75))</f>
        <v/>
      </c>
      <c r="AU75" s="63" t="str">
        <f aca="false">IF(ISBLANK($C75), "",AP75)</f>
        <v/>
      </c>
      <c r="AV75" s="63" t="str">
        <f aca="false">IF(ISBLANK($C75),"",IF($AE75=Constants!$B$7,RANK(AU75,AU$8:AU$507),$AE75))</f>
        <v/>
      </c>
      <c r="AW75" s="63" t="str">
        <f aca="false">IF(ISBLANK($C75), "",AC75)</f>
        <v/>
      </c>
      <c r="AX75" s="63" t="str">
        <f aca="false">IF(ISBLANK($C75),"",
IF($AE75=Constants!$B$7,
  COUNTIFS($AR$8:$AR$507,"&lt;"&amp;$AR75)
  + COUNTIFS($AR$8:$AR$507,$AR75,$AT$8:$AT$507,"&lt;"&amp;$AT75)
  + COUNTIFS($AR$8:$AR$507,$AR75,$AT$8:$AT$507,$AT75,$AV$8:$AV$507,"&lt;"&amp;$AV75)
  + COUNTIFS($AR$8:$AR$507,$AR75,$AT$8:$AT$507,$AT75,$AV$8:$AV$507,$AV75,$AW$8:$AW$507,"&lt;"&amp;$AW75)
  + 1,
$AE75))</f>
        <v/>
      </c>
      <c r="AY75" s="63" t="str">
        <f aca="false">IF(ISBLANK(C75),"",IF($AE75=Constants!$B$7, AR75-AX75,$AE75))</f>
        <v/>
      </c>
      <c r="AZ75" s="67"/>
      <c r="BA75" s="81" t="str">
        <f aca="false">IF(ISBLANK($C75),"",TRIM(AI75&amp;" "&amp;AM75))</f>
        <v/>
      </c>
      <c r="BB75" s="69" t="str">
        <f aca="false">IF(ISBLANK($C75),"",IF($AE75&lt;&gt;Constants!$B$7, $AE75 ,AQ75))</f>
        <v/>
      </c>
      <c r="BC75" s="70" t="str">
        <f aca="false">IF(ISBLANK($C75),"",IF($AE75&lt;&gt;Constants!$B$7, $AE75 ,AF75))</f>
        <v/>
      </c>
      <c r="BD75" s="71" t="str">
        <f aca="false">IF(ISBLANK(C75),"",AY75)</f>
        <v/>
      </c>
      <c r="BE75" s="71" t="str">
        <f aca="false">IF(ISBLANK(C75),"",AX75)</f>
        <v/>
      </c>
      <c r="BF75" s="72" t="str">
        <f aca="false">IF(ISBLANK(C75),"",IFERROR(_xlfn.SWITCH(BE75, Constants!$B$4, COUNTA($C$8:$C574)+2, Constants!$B$5, COUNTA($C$8:$C574)+1, Constants!$B$6, COUNTA($C$8:$C574)),BE75))</f>
        <v/>
      </c>
      <c r="BG75" s="5"/>
      <c r="BH75" s="73" t="n">
        <f aca="false">IF(OR(ISNUMBER(BE75),BE75="DQ",BE75="P",BE75="NS"),
    1,
    0
)</f>
        <v>0</v>
      </c>
      <c r="BI75" s="73" t="n">
        <v>68</v>
      </c>
      <c r="BJ75" s="73" t="str">
        <f aca="false">IF(ISBLANK($C75),
    "",
   BF75+ROW($B75)/1000
)</f>
        <v/>
      </c>
      <c r="BK75" s="73" t="str">
        <f aca="false">IF(ISNUMBER(BJ75), RANK(BJ75,BJ$8:BJ$507,1), "")</f>
        <v/>
      </c>
      <c r="BL75" s="73" t="str">
        <f aca="false">IF(ISBLANK($C75),
    "",
    $B75
)</f>
        <v/>
      </c>
      <c r="BM75" s="73" t="str">
        <f aca="false">IF(ISBLANK($C75),
    "",
    $C75
)</f>
        <v/>
      </c>
      <c r="BN75" s="73" t="str">
        <f aca="false">IF(ISBLANK($C75),
    "",
    $D75
)</f>
        <v/>
      </c>
      <c r="BO75" s="74" t="str">
        <f aca="false">BC75</f>
        <v/>
      </c>
      <c r="BP75" s="75" t="str">
        <f aca="false">BB75</f>
        <v/>
      </c>
      <c r="BQ75" s="73" t="str">
        <f aca="false">IF(ISBLANK($C75),
    "",
    BE75
)</f>
        <v/>
      </c>
      <c r="BR75" s="76" t="str">
        <f aca="false">IF(BI75&gt;BH$7,
    "",
    VLOOKUP(BI75,BK$8:BQ574,7,FALSE())
)</f>
        <v/>
      </c>
      <c r="BS75" s="77" t="str">
        <f aca="false">IF(BI75&gt;BH$7,
    "",
    VLOOKUP(BI75,BK$8:BQ574,2,FALSE())
)</f>
        <v/>
      </c>
      <c r="BT75" s="77" t="str">
        <f aca="false">IF(BI75&gt;BH$7,
    "",
    VLOOKUP(BI75,BK$8:BQ574,3,FALSE())
)</f>
        <v/>
      </c>
      <c r="BU75" s="77" t="str">
        <f aca="false">IF(BI75&gt;BH$7,
    "",
    VLOOKUP(BI75,BK$8:BQ574,4,FALSE())
)</f>
        <v/>
      </c>
      <c r="BV75" s="77" t="str">
        <f aca="false">IF(BI75&gt;BH$7,
    "",
    VLOOKUP(BI75,BK$8:BQ574,5,FALSE())
)</f>
        <v/>
      </c>
      <c r="BW75" s="78" t="str">
        <f aca="false">IF(BI75&gt;BH$7,
    "",
    VLOOKUP(BI75,BK$8:BQ574,6,FALSE())
)</f>
        <v/>
      </c>
      <c r="BX75" s="50"/>
    </row>
    <row r="76" customFormat="false" ht="15.75" hidden="false" customHeight="false" outlineLevel="0" collapsed="false">
      <c r="A76" s="5"/>
      <c r="B76" s="126"/>
      <c r="C76" s="52"/>
      <c r="D76" s="53"/>
      <c r="E76" s="120"/>
      <c r="F76" s="120"/>
      <c r="G76" s="55"/>
      <c r="H76" s="56"/>
      <c r="I76" s="80"/>
      <c r="J76" s="80"/>
      <c r="K76" s="80"/>
      <c r="L76" s="58"/>
      <c r="M76" s="58"/>
      <c r="N76" s="58"/>
      <c r="O76" s="59"/>
      <c r="P76" s="60"/>
      <c r="Q76" s="80"/>
      <c r="R76" s="62"/>
      <c r="S76" s="63"/>
      <c r="T76" s="63" t="str">
        <f aca="false">IF(ISBLANK($C76),"",IF(G76=Constants!$B$2, TRUE(), IF(G76=Constants!$B$3, FALSE(), TRUE())))</f>
        <v/>
      </c>
      <c r="U76" s="63" t="str">
        <f aca="false">IF(ISBLANK($C76),"",IF(H76=Constants!$B$2, TRUE(), IF(H76=Constants!$B$3, FALSE(), TRUE())))</f>
        <v/>
      </c>
      <c r="V76" s="63" t="str">
        <f aca="false">IF(ISBLANK($C76),"",IF(I76=Constants!$B$2, TRUE(), IF(I76=Constants!$B$3, FALSE(), TRUE())))</f>
        <v/>
      </c>
      <c r="W76" s="63" t="str">
        <f aca="false">IF(ISBLANK($C76),"",IF(J76=Constants!$B$2, TRUE(), IF(J76=Constants!$B$3, FALSE(), TRUE())))</f>
        <v/>
      </c>
      <c r="X76" s="63" t="str">
        <f aca="false">IF(ISBLANK($C76),"",IF(K76=Constants!$B$2, TRUE(), IF(K76=Constants!$B$3, FALSE(), TRUE())))</f>
        <v/>
      </c>
      <c r="Y76" s="65" t="str">
        <f aca="false">IF(ISBLANK($C76),"",IF(ISNUMBER(L76), L76, ""))</f>
        <v/>
      </c>
      <c r="Z76" s="65" t="str">
        <f aca="false">IF(ISBLANK($C76),"",IF(ISNUMBER(M76), M76, ""))</f>
        <v/>
      </c>
      <c r="AA76" s="65" t="str">
        <f aca="false">IF(ISBLANK($C76),"",IF(ISNUMBER(N76), N76, ""))</f>
        <v/>
      </c>
      <c r="AB76" s="66" t="str">
        <f aca="false">IF(ISBLANK($C76),"",IF(ISNUMBER(O76), O76, ""))</f>
        <v/>
      </c>
      <c r="AC76" s="66" t="str">
        <f aca="false">IF(ISBLANK($C76),"",IF(ISNUMBER(P76), P76, Constants!$B$13))</f>
        <v/>
      </c>
      <c r="AD76" s="63" t="str">
        <f aca="false">IF(ISBLANK($C76),"",IF(Q76=Constants!$B$2, TRUE(), IF(Q76=Constants!$B$3, FALSE(), FALSE())))</f>
        <v/>
      </c>
      <c r="AE76" s="63" t="str">
        <f aca="false">IF(ISBLANK(C76), "", IF(AD76, Constants!$B$4,IF(COUNTA(G76:O76)=0, Constants!$B$5, Constants!$B$7)))</f>
        <v/>
      </c>
      <c r="AF76" s="63" t="str">
        <f aca="false">IF(ISBLANK($C76), "",IF($AE76=Constants!$B$7,1,$AE76))</f>
        <v/>
      </c>
      <c r="AG76" s="63" t="str">
        <f aca="false">IF($AE76=Constants!$B$7,IF(V76, 1, Constants!$B$11) * IF(X76, 1, Constants!$B$12),"")</f>
        <v/>
      </c>
      <c r="AH76" s="63" t="str">
        <f aca="false">IF(AND($AE76=Constants!$B$7, T76, U76) ,MAX(0, $AA76-$Y76),"")</f>
        <v/>
      </c>
      <c r="AI76" s="63" t="str">
        <f aca="false">IF(ISERROR(AH76),$AI$6,"")</f>
        <v/>
      </c>
      <c r="AJ76" s="63" t="str">
        <f aca="false">IF($AE76=Constants!$B$7,IF(AND(T76,U76,W76),IF($AH$6=0,Constants!$B$9,Constants!$B$9*AH76/$AH$6), 0),"")</f>
        <v/>
      </c>
      <c r="AK76" s="63" t="str">
        <f aca="false">IF(AJ76&lt;&gt;"", AJ76*AG76,"")</f>
        <v/>
      </c>
      <c r="AL76" s="63" t="str">
        <f aca="false">IF(AND($AE76=Constants!$B$7, T76, U76) ,IF($Z76="", "", MAX(0,1-ABS($AA76-$Z76)/$AA76)),"")</f>
        <v/>
      </c>
      <c r="AM76" s="63" t="str">
        <f aca="false">IF(AND(NOT(ISERROR(AH76)),ISERROR(AL76)),$AM$6,"")</f>
        <v/>
      </c>
      <c r="AN76" s="63" t="str">
        <f aca="false">IF($AE76=Constants!$B$7 ,IF(AND(T76,U76,W76,ISNUMBER(Z76)),IF($AL$6=0,Constants!$B$10,Constants!$B$10*AL76/$AL$6), 0),"")</f>
        <v/>
      </c>
      <c r="AO76" s="63" t="str">
        <f aca="false">IF(AN76&lt;&gt;"", AN76*AG76,"")</f>
        <v/>
      </c>
      <c r="AP76" s="63" t="str">
        <f aca="false">IF($AE76=Constants!$B$7,IF($AP$6=0,Constants!$B$8,Constants!$B$8*AB76/$AP$6),"")</f>
        <v/>
      </c>
      <c r="AQ76" s="63" t="str">
        <f aca="false">IF($AE76&lt;&gt;Constants!$B$7,$AE76,AK76+AO76+AP76)</f>
        <v/>
      </c>
      <c r="AR76" s="63" t="str">
        <f aca="false">IF(ISBLANK($C76),"",IF($AE76=Constants!$B$7,RANK(AQ76,$AQ$8:$AQ$507),$AE76))</f>
        <v/>
      </c>
      <c r="AS76" s="63" t="str">
        <f aca="false">IF(ISBLANK($C76), "",AK76)</f>
        <v/>
      </c>
      <c r="AT76" s="63" t="str">
        <f aca="false">IF(ISBLANK($C76),"",IF($AE76=Constants!$B$7,RANK(AS76,AS$8:AS$507),$AE76))</f>
        <v/>
      </c>
      <c r="AU76" s="63" t="str">
        <f aca="false">IF(ISBLANK($C76), "",AP76)</f>
        <v/>
      </c>
      <c r="AV76" s="63" t="str">
        <f aca="false">IF(ISBLANK($C76),"",IF($AE76=Constants!$B$7,RANK(AU76,AU$8:AU$507),$AE76))</f>
        <v/>
      </c>
      <c r="AW76" s="63" t="str">
        <f aca="false">IF(ISBLANK($C76), "",AC76)</f>
        <v/>
      </c>
      <c r="AX76" s="63" t="str">
        <f aca="false">IF(ISBLANK($C76),"",
IF($AE76=Constants!$B$7,
  COUNTIFS($AR$8:$AR$507,"&lt;"&amp;$AR76)
  + COUNTIFS($AR$8:$AR$507,$AR76,$AT$8:$AT$507,"&lt;"&amp;$AT76)
  + COUNTIFS($AR$8:$AR$507,$AR76,$AT$8:$AT$507,$AT76,$AV$8:$AV$507,"&lt;"&amp;$AV76)
  + COUNTIFS($AR$8:$AR$507,$AR76,$AT$8:$AT$507,$AT76,$AV$8:$AV$507,$AV76,$AW$8:$AW$507,"&lt;"&amp;$AW76)
  + 1,
$AE76))</f>
        <v/>
      </c>
      <c r="AY76" s="63" t="str">
        <f aca="false">IF(ISBLANK(C76),"",IF($AE76=Constants!$B$7, AR76-AX76,$AE76))</f>
        <v/>
      </c>
      <c r="AZ76" s="67"/>
      <c r="BA76" s="81" t="str">
        <f aca="false">IF(ISBLANK($C76),"",TRIM(AI76&amp;" "&amp;AM76))</f>
        <v/>
      </c>
      <c r="BB76" s="69" t="str">
        <f aca="false">IF(ISBLANK($C76),"",IF($AE76&lt;&gt;Constants!$B$7, $AE76 ,AQ76))</f>
        <v/>
      </c>
      <c r="BC76" s="70" t="str">
        <f aca="false">IF(ISBLANK($C76),"",IF($AE76&lt;&gt;Constants!$B$7, $AE76 ,AF76))</f>
        <v/>
      </c>
      <c r="BD76" s="71" t="str">
        <f aca="false">IF(ISBLANK(C76),"",AY76)</f>
        <v/>
      </c>
      <c r="BE76" s="71" t="str">
        <f aca="false">IF(ISBLANK(C76),"",AX76)</f>
        <v/>
      </c>
      <c r="BF76" s="72" t="str">
        <f aca="false">IF(ISBLANK(C76),"",IFERROR(_xlfn.SWITCH(BE76, Constants!$B$4, COUNTA($C$8:$C575)+2, Constants!$B$5, COUNTA($C$8:$C575)+1, Constants!$B$6, COUNTA($C$8:$C575)),BE76))</f>
        <v/>
      </c>
      <c r="BG76" s="5"/>
      <c r="BH76" s="73" t="n">
        <f aca="false">IF(OR(ISNUMBER(BE76),BE76="DQ",BE76="P",BE76="NS"),
    1,
    0
)</f>
        <v>0</v>
      </c>
      <c r="BI76" s="73" t="n">
        <v>69</v>
      </c>
      <c r="BJ76" s="73" t="str">
        <f aca="false">IF(ISBLANK($C76),
    "",
   BF76+ROW($B76)/1000
)</f>
        <v/>
      </c>
      <c r="BK76" s="73" t="str">
        <f aca="false">IF(ISNUMBER(BJ76), RANK(BJ76,BJ$8:BJ$507,1), "")</f>
        <v/>
      </c>
      <c r="BL76" s="73" t="str">
        <f aca="false">IF(ISBLANK($C76),
    "",
    $B76
)</f>
        <v/>
      </c>
      <c r="BM76" s="73" t="str">
        <f aca="false">IF(ISBLANK($C76),
    "",
    $C76
)</f>
        <v/>
      </c>
      <c r="BN76" s="73" t="str">
        <f aca="false">IF(ISBLANK($C76),
    "",
    $D76
)</f>
        <v/>
      </c>
      <c r="BO76" s="74" t="str">
        <f aca="false">BC76</f>
        <v/>
      </c>
      <c r="BP76" s="75" t="str">
        <f aca="false">BB76</f>
        <v/>
      </c>
      <c r="BQ76" s="73" t="str">
        <f aca="false">IF(ISBLANK($C76),
    "",
    BE76
)</f>
        <v/>
      </c>
      <c r="BR76" s="76" t="str">
        <f aca="false">IF(BI76&gt;BH$7,
    "",
    VLOOKUP(BI76,BK$8:BQ575,7,FALSE())
)</f>
        <v/>
      </c>
      <c r="BS76" s="77" t="str">
        <f aca="false">IF(BI76&gt;BH$7,
    "",
    VLOOKUP(BI76,BK$8:BQ575,2,FALSE())
)</f>
        <v/>
      </c>
      <c r="BT76" s="77" t="str">
        <f aca="false">IF(BI76&gt;BH$7,
    "",
    VLOOKUP(BI76,BK$8:BQ575,3,FALSE())
)</f>
        <v/>
      </c>
      <c r="BU76" s="77" t="str">
        <f aca="false">IF(BI76&gt;BH$7,
    "",
    VLOOKUP(BI76,BK$8:BQ575,4,FALSE())
)</f>
        <v/>
      </c>
      <c r="BV76" s="77" t="str">
        <f aca="false">IF(BI76&gt;BH$7,
    "",
    VLOOKUP(BI76,BK$8:BQ575,5,FALSE())
)</f>
        <v/>
      </c>
      <c r="BW76" s="78" t="str">
        <f aca="false">IF(BI76&gt;BH$7,
    "",
    VLOOKUP(BI76,BK$8:BQ575,6,FALSE())
)</f>
        <v/>
      </c>
      <c r="BX76" s="50"/>
    </row>
    <row r="77" customFormat="false" ht="15.75" hidden="false" customHeight="false" outlineLevel="0" collapsed="false">
      <c r="A77" s="5"/>
      <c r="B77" s="122"/>
      <c r="C77" s="123"/>
      <c r="D77" s="112"/>
      <c r="E77" s="116"/>
      <c r="F77" s="116"/>
      <c r="G77" s="88"/>
      <c r="H77" s="89"/>
      <c r="I77" s="125"/>
      <c r="J77" s="125"/>
      <c r="K77" s="125"/>
      <c r="L77" s="91"/>
      <c r="M77" s="91"/>
      <c r="N77" s="91"/>
      <c r="O77" s="92"/>
      <c r="P77" s="93"/>
      <c r="Q77" s="125"/>
      <c r="R77" s="95"/>
      <c r="S77" s="96"/>
      <c r="T77" s="96" t="str">
        <f aca="false">IF(ISBLANK($C77),"",IF(G77=Constants!$B$2, TRUE(), IF(G77=Constants!$B$3, FALSE(), TRUE())))</f>
        <v/>
      </c>
      <c r="U77" s="96" t="str">
        <f aca="false">IF(ISBLANK($C77),"",IF(H77=Constants!$B$2, TRUE(), IF(H77=Constants!$B$3, FALSE(), TRUE())))</f>
        <v/>
      </c>
      <c r="V77" s="96" t="str">
        <f aca="false">IF(ISBLANK($C77),"",IF(I77=Constants!$B$2, TRUE(), IF(I77=Constants!$B$3, FALSE(), TRUE())))</f>
        <v/>
      </c>
      <c r="W77" s="96" t="str">
        <f aca="false">IF(ISBLANK($C77),"",IF(J77=Constants!$B$2, TRUE(), IF(J77=Constants!$B$3, FALSE(), TRUE())))</f>
        <v/>
      </c>
      <c r="X77" s="97" t="str">
        <f aca="false">IF(ISBLANK($C77),"",IF(K77=Constants!$B$2, TRUE(), IF(K77=Constants!$B$3, FALSE(), TRUE())))</f>
        <v/>
      </c>
      <c r="Y77" s="98" t="str">
        <f aca="false">IF(ISBLANK($C77),"",IF(ISNUMBER(L77), L77, ""))</f>
        <v/>
      </c>
      <c r="Z77" s="98" t="str">
        <f aca="false">IF(ISBLANK($C77),"",IF(ISNUMBER(M77), M77, ""))</f>
        <v/>
      </c>
      <c r="AA77" s="98" t="str">
        <f aca="false">IF(ISBLANK($C77),"",IF(ISNUMBER(N77), N77, ""))</f>
        <v/>
      </c>
      <c r="AB77" s="99" t="str">
        <f aca="false">IF(ISBLANK($C77),"",IF(ISNUMBER(O77), O77, ""))</f>
        <v/>
      </c>
      <c r="AC77" s="99" t="str">
        <f aca="false">IF(ISBLANK($C77),"",IF(ISNUMBER(P77), P77, Constants!$B$13))</f>
        <v/>
      </c>
      <c r="AD77" s="96" t="str">
        <f aca="false">IF(ISBLANK($C77),"",IF(Q77=Constants!$B$2, TRUE(), IF(Q77=Constants!$B$3, FALSE(), FALSE())))</f>
        <v/>
      </c>
      <c r="AE77" s="96" t="str">
        <f aca="false">IF(ISBLANK(C77), "", IF(AD77, Constants!$B$4,IF(COUNTA(G77:O77)=0, Constants!$B$5, Constants!$B$7)))</f>
        <v/>
      </c>
      <c r="AF77" s="96" t="str">
        <f aca="false">IF(ISBLANK($C77), "",IF($AE77=Constants!$B$7,1,$AE77))</f>
        <v/>
      </c>
      <c r="AG77" s="96" t="str">
        <f aca="false">IF($AE77=Constants!$B$7,IF(V77, 1, Constants!$B$11) * IF(X77, 1, Constants!$B$12),"")</f>
        <v/>
      </c>
      <c r="AH77" s="96" t="str">
        <f aca="false">IF(AND($AE77=Constants!$B$7, T77, U77) ,MAX(0, $AA77-$Y77),"")</f>
        <v/>
      </c>
      <c r="AI77" s="96" t="str">
        <f aca="false">IF(ISERROR(AH77),$AI$6,"")</f>
        <v/>
      </c>
      <c r="AJ77" s="96" t="str">
        <f aca="false">IF($AE77=Constants!$B$7,IF(AND(T77,U77,W77),IF($AH$6=0,Constants!$B$9,Constants!$B$9*AH77/$AH$6), 0),"")</f>
        <v/>
      </c>
      <c r="AK77" s="96" t="str">
        <f aca="false">IF(AJ77&lt;&gt;"", AJ77*AG77,"")</f>
        <v/>
      </c>
      <c r="AL77" s="96" t="str">
        <f aca="false">IF(AND($AE77=Constants!$B$7, T77, U77) ,IF($Z77="", "", MAX(0,1-ABS($AA77-$Z77)/$AA77)),"")</f>
        <v/>
      </c>
      <c r="AM77" s="96" t="str">
        <f aca="false">IF(AND(NOT(ISERROR(AH77)),ISERROR(AL77)),$AM$6,"")</f>
        <v/>
      </c>
      <c r="AN77" s="96" t="str">
        <f aca="false">IF($AE77=Constants!$B$7 ,IF(AND(T77,U77,W77,ISNUMBER(Z77)),IF($AL$6=0,Constants!$B$10,Constants!$B$10*AL77/$AL$6), 0),"")</f>
        <v/>
      </c>
      <c r="AO77" s="96" t="str">
        <f aca="false">IF(AN77&lt;&gt;"", AN77*AG77,"")</f>
        <v/>
      </c>
      <c r="AP77" s="96" t="str">
        <f aca="false">IF($AE77=Constants!$B$7,IF($AP$6=0,Constants!$B$8,Constants!$B$8*AB77/$AP$6),"")</f>
        <v/>
      </c>
      <c r="AQ77" s="96" t="str">
        <f aca="false">IF($AE77&lt;&gt;Constants!$B$7,$AE77,AK77+AO77+AP77)</f>
        <v/>
      </c>
      <c r="AR77" s="96" t="str">
        <f aca="false">IF(ISBLANK($C77),"",IF($AE77=Constants!$B$7,RANK(AQ77,$AQ$8:$AQ$507),$AE77))</f>
        <v/>
      </c>
      <c r="AS77" s="96" t="str">
        <f aca="false">IF(ISBLANK($C77), "",AK77)</f>
        <v/>
      </c>
      <c r="AT77" s="96" t="str">
        <f aca="false">IF(ISBLANK($C77),"",IF($AE77=Constants!$B$7,RANK(AS77,AS$8:AS$507),$AE77))</f>
        <v/>
      </c>
      <c r="AU77" s="96" t="str">
        <f aca="false">IF(ISBLANK($C77), "",AP77)</f>
        <v/>
      </c>
      <c r="AV77" s="96" t="str">
        <f aca="false">IF(ISBLANK($C77),"",IF($AE77=Constants!$B$7,RANK(AU77,AU$8:AU$507),$AE77))</f>
        <v/>
      </c>
      <c r="AW77" s="96" t="str">
        <f aca="false">IF(ISBLANK($C77), "",AC77)</f>
        <v/>
      </c>
      <c r="AX77" s="96" t="str">
        <f aca="false">IF(ISBLANK($C77),"",
IF($AE77=Constants!$B$7,
  COUNTIFS($AR$8:$AR$507,"&lt;"&amp;$AR77)
  + COUNTIFS($AR$8:$AR$507,$AR77,$AT$8:$AT$507,"&lt;"&amp;$AT77)
  + COUNTIFS($AR$8:$AR$507,$AR77,$AT$8:$AT$507,$AT77,$AV$8:$AV$507,"&lt;"&amp;$AV77)
  + COUNTIFS($AR$8:$AR$507,$AR77,$AT$8:$AT$507,$AT77,$AV$8:$AV$507,$AV77,$AW$8:$AW$507,"&lt;"&amp;$AW77)
  + 1,
$AE77))</f>
        <v/>
      </c>
      <c r="AY77" s="96" t="str">
        <f aca="false">IF(ISBLANK(C77),"",IF($AE77=Constants!$B$7, AR77-AX77,$AE77))</f>
        <v/>
      </c>
      <c r="AZ77" s="100"/>
      <c r="BA77" s="101" t="str">
        <f aca="false">IF(ISBLANK($C77),"",TRIM(AI77&amp;" "&amp;AM77))</f>
        <v/>
      </c>
      <c r="BB77" s="102" t="str">
        <f aca="false">IF(ISBLANK($C77),"",IF($AE77&lt;&gt;Constants!$B$7, $AE77 ,AQ77))</f>
        <v/>
      </c>
      <c r="BC77" s="103" t="str">
        <f aca="false">IF(ISBLANK($C77),"",IF($AE77&lt;&gt;Constants!$B$7, $AE77 ,AF77))</f>
        <v/>
      </c>
      <c r="BD77" s="104" t="str">
        <f aca="false">IF(ISBLANK(C77),"",AY77)</f>
        <v/>
      </c>
      <c r="BE77" s="104" t="str">
        <f aca="false">IF(ISBLANK(C77),"",AX77)</f>
        <v/>
      </c>
      <c r="BF77" s="105" t="str">
        <f aca="false">IF(ISBLANK(C77),"",IFERROR(_xlfn.SWITCH(BE77, Constants!$B$4, COUNTA($C$8:$C576)+2, Constants!$B$5, COUNTA($C$8:$C576)+1, Constants!$B$6, COUNTA($C$8:$C576)),BE77))</f>
        <v/>
      </c>
      <c r="BG77" s="5"/>
      <c r="BH77" s="106" t="n">
        <f aca="false">IF(OR(ISNUMBER(BE77),BE77="DQ",BE77="P",BE77="NS"),
    1,
    0
)</f>
        <v>0</v>
      </c>
      <c r="BI77" s="106" t="n">
        <v>70</v>
      </c>
      <c r="BJ77" s="106" t="str">
        <f aca="false">IF(ISBLANK($C77),
    "",
   BF77+ROW($B77)/1000
)</f>
        <v/>
      </c>
      <c r="BK77" s="106" t="str">
        <f aca="false">IF(ISNUMBER(BJ77), RANK(BJ77,BJ$8:BJ$507,1), "")</f>
        <v/>
      </c>
      <c r="BL77" s="106" t="str">
        <f aca="false">IF(ISBLANK($C77),
    "",
    $B77
)</f>
        <v/>
      </c>
      <c r="BM77" s="106" t="str">
        <f aca="false">IF(ISBLANK($C77),
    "",
    $C77
)</f>
        <v/>
      </c>
      <c r="BN77" s="106" t="str">
        <f aca="false">IF(ISBLANK($C77),
    "",
    $D77
)</f>
        <v/>
      </c>
      <c r="BO77" s="107" t="str">
        <f aca="false">BC77</f>
        <v/>
      </c>
      <c r="BP77" s="108" t="str">
        <f aca="false">BB77</f>
        <v/>
      </c>
      <c r="BQ77" s="106" t="str">
        <f aca="false">IF(ISBLANK($C77),
    "",
    BE77
)</f>
        <v/>
      </c>
      <c r="BR77" s="109" t="str">
        <f aca="false">IF(BI77&gt;BH$7,
    "",
    VLOOKUP(BI77,BK$8:BQ576,7,FALSE())
)</f>
        <v/>
      </c>
      <c r="BS77" s="110" t="str">
        <f aca="false">IF(BI77&gt;BH$7,
    "",
    VLOOKUP(BI77,BK$8:BQ576,2,FALSE())
)</f>
        <v/>
      </c>
      <c r="BT77" s="110" t="str">
        <f aca="false">IF(BI77&gt;BH$7,
    "",
    VLOOKUP(BI77,BK$8:BQ576,3,FALSE())
)</f>
        <v/>
      </c>
      <c r="BU77" s="110" t="str">
        <f aca="false">IF(BI77&gt;BH$7,
    "",
    VLOOKUP(BI77,BK$8:BQ576,4,FALSE())
)</f>
        <v/>
      </c>
      <c r="BV77" s="110" t="str">
        <f aca="false">IF(BI77&gt;BH$7,
    "",
    VLOOKUP(BI77,BK$8:BQ576,5,FALSE())
)</f>
        <v/>
      </c>
      <c r="BW77" s="111" t="str">
        <f aca="false">IF(BI77&gt;BH$7,
    "",
    VLOOKUP(BI77,BK$8:BQ576,6,FALSE())
)</f>
        <v/>
      </c>
      <c r="BX77" s="50"/>
    </row>
    <row r="78" customFormat="false" ht="15.75" hidden="false" customHeight="false" outlineLevel="0" collapsed="false">
      <c r="A78" s="5"/>
      <c r="B78" s="122"/>
      <c r="C78" s="123"/>
      <c r="D78" s="112"/>
      <c r="E78" s="116"/>
      <c r="F78" s="116"/>
      <c r="G78" s="88"/>
      <c r="H78" s="89"/>
      <c r="I78" s="125"/>
      <c r="J78" s="125"/>
      <c r="K78" s="125"/>
      <c r="L78" s="91"/>
      <c r="M78" s="91"/>
      <c r="N78" s="91"/>
      <c r="O78" s="92"/>
      <c r="P78" s="93"/>
      <c r="Q78" s="125"/>
      <c r="R78" s="95"/>
      <c r="S78" s="96"/>
      <c r="T78" s="96" t="str">
        <f aca="false">IF(ISBLANK($C78),"",IF(G78=Constants!$B$2, TRUE(), IF(G78=Constants!$B$3, FALSE(), TRUE())))</f>
        <v/>
      </c>
      <c r="U78" s="96" t="str">
        <f aca="false">IF(ISBLANK($C78),"",IF(H78=Constants!$B$2, TRUE(), IF(H78=Constants!$B$3, FALSE(), TRUE())))</f>
        <v/>
      </c>
      <c r="V78" s="96" t="str">
        <f aca="false">IF(ISBLANK($C78),"",IF(I78=Constants!$B$2, TRUE(), IF(I78=Constants!$B$3, FALSE(), TRUE())))</f>
        <v/>
      </c>
      <c r="W78" s="96" t="str">
        <f aca="false">IF(ISBLANK($C78),"",IF(J78=Constants!$B$2, TRUE(), IF(J78=Constants!$B$3, FALSE(), TRUE())))</f>
        <v/>
      </c>
      <c r="X78" s="97" t="str">
        <f aca="false">IF(ISBLANK($C78),"",IF(K78=Constants!$B$2, TRUE(), IF(K78=Constants!$B$3, FALSE(), TRUE())))</f>
        <v/>
      </c>
      <c r="Y78" s="98" t="str">
        <f aca="false">IF(ISBLANK($C78),"",IF(ISNUMBER(L78), L78, ""))</f>
        <v/>
      </c>
      <c r="Z78" s="98" t="str">
        <f aca="false">IF(ISBLANK($C78),"",IF(ISNUMBER(M78), M78, ""))</f>
        <v/>
      </c>
      <c r="AA78" s="98" t="str">
        <f aca="false">IF(ISBLANK($C78),"",IF(ISNUMBER(N78), N78, ""))</f>
        <v/>
      </c>
      <c r="AB78" s="99" t="str">
        <f aca="false">IF(ISBLANK($C78),"",IF(ISNUMBER(O78), O78, ""))</f>
        <v/>
      </c>
      <c r="AC78" s="99" t="str">
        <f aca="false">IF(ISBLANK($C78),"",IF(ISNUMBER(P78), P78, Constants!$B$13))</f>
        <v/>
      </c>
      <c r="AD78" s="96" t="str">
        <f aca="false">IF(ISBLANK($C78),"",IF(Q78=Constants!$B$2, TRUE(), IF(Q78=Constants!$B$3, FALSE(), FALSE())))</f>
        <v/>
      </c>
      <c r="AE78" s="96" t="str">
        <f aca="false">IF(ISBLANK(C78), "", IF(AD78, Constants!$B$4,IF(COUNTA(G78:O78)=0, Constants!$B$5, Constants!$B$7)))</f>
        <v/>
      </c>
      <c r="AF78" s="96" t="str">
        <f aca="false">IF(ISBLANK($C78), "",IF($AE78=Constants!$B$7,1,$AE78))</f>
        <v/>
      </c>
      <c r="AG78" s="96" t="str">
        <f aca="false">IF($AE78=Constants!$B$7,IF(V78, 1, Constants!$B$11) * IF(X78, 1, Constants!$B$12),"")</f>
        <v/>
      </c>
      <c r="AH78" s="96" t="str">
        <f aca="false">IF(AND($AE78=Constants!$B$7, T78, U78) ,MAX(0, $AA78-$Y78),"")</f>
        <v/>
      </c>
      <c r="AI78" s="96" t="str">
        <f aca="false">IF(ISERROR(AH78),$AI$6,"")</f>
        <v/>
      </c>
      <c r="AJ78" s="96" t="str">
        <f aca="false">IF($AE78=Constants!$B$7,IF(AND(T78,U78,W78),IF($AH$6=0,Constants!$B$9,Constants!$B$9*AH78/$AH$6), 0),"")</f>
        <v/>
      </c>
      <c r="AK78" s="96" t="str">
        <f aca="false">IF(AJ78&lt;&gt;"", AJ78*AG78,"")</f>
        <v/>
      </c>
      <c r="AL78" s="96" t="str">
        <f aca="false">IF(AND($AE78=Constants!$B$7, T78, U78) ,IF($Z78="", "", MAX(0,1-ABS($AA78-$Z78)/$AA78)),"")</f>
        <v/>
      </c>
      <c r="AM78" s="96" t="str">
        <f aca="false">IF(AND(NOT(ISERROR(AH78)),ISERROR(AL78)),$AM$6,"")</f>
        <v/>
      </c>
      <c r="AN78" s="96" t="str">
        <f aca="false">IF($AE78=Constants!$B$7 ,IF(AND(T78,U78,W78,ISNUMBER(Z78)),IF($AL$6=0,Constants!$B$10,Constants!$B$10*AL78/$AL$6), 0),"")</f>
        <v/>
      </c>
      <c r="AO78" s="96" t="str">
        <f aca="false">IF(AN78&lt;&gt;"", AN78*AG78,"")</f>
        <v/>
      </c>
      <c r="AP78" s="96" t="str">
        <f aca="false">IF($AE78=Constants!$B$7,IF($AP$6=0,Constants!$B$8,Constants!$B$8*AB78/$AP$6),"")</f>
        <v/>
      </c>
      <c r="AQ78" s="96" t="str">
        <f aca="false">IF($AE78&lt;&gt;Constants!$B$7,$AE78,AK78+AO78+AP78)</f>
        <v/>
      </c>
      <c r="AR78" s="96" t="str">
        <f aca="false">IF(ISBLANK($C78),"",IF($AE78=Constants!$B$7,RANK(AQ78,$AQ$8:$AQ$507),$AE78))</f>
        <v/>
      </c>
      <c r="AS78" s="96" t="str">
        <f aca="false">IF(ISBLANK($C78), "",AK78)</f>
        <v/>
      </c>
      <c r="AT78" s="96" t="str">
        <f aca="false">IF(ISBLANK($C78),"",IF($AE78=Constants!$B$7,RANK(AS78,AS$8:AS$507),$AE78))</f>
        <v/>
      </c>
      <c r="AU78" s="96" t="str">
        <f aca="false">IF(ISBLANK($C78), "",AP78)</f>
        <v/>
      </c>
      <c r="AV78" s="96" t="str">
        <f aca="false">IF(ISBLANK($C78),"",IF($AE78=Constants!$B$7,RANK(AU78,AU$8:AU$507),$AE78))</f>
        <v/>
      </c>
      <c r="AW78" s="96" t="str">
        <f aca="false">IF(ISBLANK($C78), "",AC78)</f>
        <v/>
      </c>
      <c r="AX78" s="96" t="str">
        <f aca="false">IF(ISBLANK($C78),"",
IF($AE78=Constants!$B$7,
  COUNTIFS($AR$8:$AR$507,"&lt;"&amp;$AR78)
  + COUNTIFS($AR$8:$AR$507,$AR78,$AT$8:$AT$507,"&lt;"&amp;$AT78)
  + COUNTIFS($AR$8:$AR$507,$AR78,$AT$8:$AT$507,$AT78,$AV$8:$AV$507,"&lt;"&amp;$AV78)
  + COUNTIFS($AR$8:$AR$507,$AR78,$AT$8:$AT$507,$AT78,$AV$8:$AV$507,$AV78,$AW$8:$AW$507,"&lt;"&amp;$AW78)
  + 1,
$AE78))</f>
        <v/>
      </c>
      <c r="AY78" s="96" t="str">
        <f aca="false">IF(ISBLANK(C78),"",IF($AE78=Constants!$B$7, AR78-AX78,$AE78))</f>
        <v/>
      </c>
      <c r="AZ78" s="100"/>
      <c r="BA78" s="101" t="str">
        <f aca="false">IF(ISBLANK($C78),"",TRIM(AI78&amp;" "&amp;AM78))</f>
        <v/>
      </c>
      <c r="BB78" s="102" t="str">
        <f aca="false">IF(ISBLANK($C78),"",IF($AE78&lt;&gt;Constants!$B$7, $AE78 ,AQ78))</f>
        <v/>
      </c>
      <c r="BC78" s="103" t="str">
        <f aca="false">IF(ISBLANK($C78),"",IF($AE78&lt;&gt;Constants!$B$7, $AE78 ,AF78))</f>
        <v/>
      </c>
      <c r="BD78" s="104" t="str">
        <f aca="false">IF(ISBLANK(C78),"",AY78)</f>
        <v/>
      </c>
      <c r="BE78" s="104" t="str">
        <f aca="false">IF(ISBLANK(C78),"",AX78)</f>
        <v/>
      </c>
      <c r="BF78" s="105" t="str">
        <f aca="false">IF(ISBLANK(C78),"",IFERROR(_xlfn.SWITCH(BE78, Constants!$B$4, COUNTA($C$8:$C577)+2, Constants!$B$5, COUNTA($C$8:$C577)+1, Constants!$B$6, COUNTA($C$8:$C577)),BE78))</f>
        <v/>
      </c>
      <c r="BG78" s="5"/>
      <c r="BH78" s="106" t="n">
        <f aca="false">IF(OR(ISNUMBER(BE78),BE78="DQ",BE78="P",BE78="NS"),
    1,
    0
)</f>
        <v>0</v>
      </c>
      <c r="BI78" s="106" t="n">
        <v>71</v>
      </c>
      <c r="BJ78" s="106" t="str">
        <f aca="false">IF(ISBLANK($C78),
    "",
   BF78+ROW($B78)/1000
)</f>
        <v/>
      </c>
      <c r="BK78" s="106" t="str">
        <f aca="false">IF(ISNUMBER(BJ78), RANK(BJ78,BJ$8:BJ$507,1), "")</f>
        <v/>
      </c>
      <c r="BL78" s="106" t="str">
        <f aca="false">IF(ISBLANK($C78),
    "",
    $B78
)</f>
        <v/>
      </c>
      <c r="BM78" s="106" t="str">
        <f aca="false">IF(ISBLANK($C78),
    "",
    $C78
)</f>
        <v/>
      </c>
      <c r="BN78" s="106" t="str">
        <f aca="false">IF(ISBLANK($C78),
    "",
    $D78
)</f>
        <v/>
      </c>
      <c r="BO78" s="107" t="str">
        <f aca="false">BC78</f>
        <v/>
      </c>
      <c r="BP78" s="108" t="str">
        <f aca="false">BB78</f>
        <v/>
      </c>
      <c r="BQ78" s="106" t="str">
        <f aca="false">IF(ISBLANK($C78),
    "",
    BE78
)</f>
        <v/>
      </c>
      <c r="BR78" s="109" t="str">
        <f aca="false">IF(BI78&gt;BH$7,
    "",
    VLOOKUP(BI78,BK$8:BQ577,7,FALSE())
)</f>
        <v/>
      </c>
      <c r="BS78" s="110" t="str">
        <f aca="false">IF(BI78&gt;BH$7,
    "",
    VLOOKUP(BI78,BK$8:BQ577,2,FALSE())
)</f>
        <v/>
      </c>
      <c r="BT78" s="110" t="str">
        <f aca="false">IF(BI78&gt;BH$7,
    "",
    VLOOKUP(BI78,BK$8:BQ577,3,FALSE())
)</f>
        <v/>
      </c>
      <c r="BU78" s="110" t="str">
        <f aca="false">IF(BI78&gt;BH$7,
    "",
    VLOOKUP(BI78,BK$8:BQ577,4,FALSE())
)</f>
        <v/>
      </c>
      <c r="BV78" s="110" t="str">
        <f aca="false">IF(BI78&gt;BH$7,
    "",
    VLOOKUP(BI78,BK$8:BQ577,5,FALSE())
)</f>
        <v/>
      </c>
      <c r="BW78" s="111" t="str">
        <f aca="false">IF(BI78&gt;BH$7,
    "",
    VLOOKUP(BI78,BK$8:BQ577,6,FALSE())
)</f>
        <v/>
      </c>
      <c r="BX78" s="50"/>
    </row>
    <row r="79" customFormat="false" ht="15.75" hidden="false" customHeight="false" outlineLevel="0" collapsed="false">
      <c r="A79" s="5"/>
      <c r="B79" s="122"/>
      <c r="C79" s="123"/>
      <c r="D79" s="112"/>
      <c r="E79" s="116"/>
      <c r="F79" s="116"/>
      <c r="G79" s="88"/>
      <c r="H79" s="89"/>
      <c r="I79" s="125"/>
      <c r="J79" s="125"/>
      <c r="K79" s="125"/>
      <c r="L79" s="91"/>
      <c r="M79" s="91"/>
      <c r="N79" s="91"/>
      <c r="O79" s="92"/>
      <c r="P79" s="93"/>
      <c r="Q79" s="125"/>
      <c r="R79" s="95"/>
      <c r="S79" s="96"/>
      <c r="T79" s="96" t="str">
        <f aca="false">IF(ISBLANK($C79),"",IF(G79=Constants!$B$2, TRUE(), IF(G79=Constants!$B$3, FALSE(), TRUE())))</f>
        <v/>
      </c>
      <c r="U79" s="96" t="str">
        <f aca="false">IF(ISBLANK($C79),"",IF(H79=Constants!$B$2, TRUE(), IF(H79=Constants!$B$3, FALSE(), TRUE())))</f>
        <v/>
      </c>
      <c r="V79" s="96" t="str">
        <f aca="false">IF(ISBLANK($C79),"",IF(I79=Constants!$B$2, TRUE(), IF(I79=Constants!$B$3, FALSE(), TRUE())))</f>
        <v/>
      </c>
      <c r="W79" s="96" t="str">
        <f aca="false">IF(ISBLANK($C79),"",IF(J79=Constants!$B$2, TRUE(), IF(J79=Constants!$B$3, FALSE(), TRUE())))</f>
        <v/>
      </c>
      <c r="X79" s="97" t="str">
        <f aca="false">IF(ISBLANK($C79),"",IF(K79=Constants!$B$2, TRUE(), IF(K79=Constants!$B$3, FALSE(), TRUE())))</f>
        <v/>
      </c>
      <c r="Y79" s="98" t="str">
        <f aca="false">IF(ISBLANK($C79),"",IF(ISNUMBER(L79), L79, ""))</f>
        <v/>
      </c>
      <c r="Z79" s="98" t="str">
        <f aca="false">IF(ISBLANK($C79),"",IF(ISNUMBER(M79), M79, ""))</f>
        <v/>
      </c>
      <c r="AA79" s="98" t="str">
        <f aca="false">IF(ISBLANK($C79),"",IF(ISNUMBER(N79), N79, ""))</f>
        <v/>
      </c>
      <c r="AB79" s="99" t="str">
        <f aca="false">IF(ISBLANK($C79),"",IF(ISNUMBER(O79), O79, ""))</f>
        <v/>
      </c>
      <c r="AC79" s="99" t="str">
        <f aca="false">IF(ISBLANK($C79),"",IF(ISNUMBER(P79), P79, Constants!$B$13))</f>
        <v/>
      </c>
      <c r="AD79" s="96" t="str">
        <f aca="false">IF(ISBLANK($C79),"",IF(Q79=Constants!$B$2, TRUE(), IF(Q79=Constants!$B$3, FALSE(), FALSE())))</f>
        <v/>
      </c>
      <c r="AE79" s="96" t="str">
        <f aca="false">IF(ISBLANK(C79), "", IF(AD79, Constants!$B$4,IF(COUNTA(G79:O79)=0, Constants!$B$5, Constants!$B$7)))</f>
        <v/>
      </c>
      <c r="AF79" s="96" t="str">
        <f aca="false">IF(ISBLANK($C79), "",IF($AE79=Constants!$B$7,1,$AE79))</f>
        <v/>
      </c>
      <c r="AG79" s="96" t="str">
        <f aca="false">IF($AE79=Constants!$B$7,IF(V79, 1, Constants!$B$11) * IF(X79, 1, Constants!$B$12),"")</f>
        <v/>
      </c>
      <c r="AH79" s="96" t="str">
        <f aca="false">IF(AND($AE79=Constants!$B$7, T79, U79) ,MAX(0, $AA79-$Y79),"")</f>
        <v/>
      </c>
      <c r="AI79" s="96" t="str">
        <f aca="false">IF(ISERROR(AH79),$AI$6,"")</f>
        <v/>
      </c>
      <c r="AJ79" s="96" t="str">
        <f aca="false">IF($AE79=Constants!$B$7,IF(AND(T79,U79,W79),IF($AH$6=0,Constants!$B$9,Constants!$B$9*AH79/$AH$6), 0),"")</f>
        <v/>
      </c>
      <c r="AK79" s="96" t="str">
        <f aca="false">IF(AJ79&lt;&gt;"", AJ79*AG79,"")</f>
        <v/>
      </c>
      <c r="AL79" s="96" t="str">
        <f aca="false">IF(AND($AE79=Constants!$B$7, T79, U79) ,IF($Z79="", "", MAX(0,1-ABS($AA79-$Z79)/$AA79)),"")</f>
        <v/>
      </c>
      <c r="AM79" s="96" t="str">
        <f aca="false">IF(AND(NOT(ISERROR(AH79)),ISERROR(AL79)),$AM$6,"")</f>
        <v/>
      </c>
      <c r="AN79" s="96" t="str">
        <f aca="false">IF($AE79=Constants!$B$7 ,IF(AND(T79,U79,W79,ISNUMBER(Z79)),IF($AL$6=0,Constants!$B$10,Constants!$B$10*AL79/$AL$6), 0),"")</f>
        <v/>
      </c>
      <c r="AO79" s="96" t="str">
        <f aca="false">IF(AN79&lt;&gt;"", AN79*AG79,"")</f>
        <v/>
      </c>
      <c r="AP79" s="96" t="str">
        <f aca="false">IF($AE79=Constants!$B$7,IF($AP$6=0,Constants!$B$8,Constants!$B$8*AB79/$AP$6),"")</f>
        <v/>
      </c>
      <c r="AQ79" s="96" t="str">
        <f aca="false">IF($AE79&lt;&gt;Constants!$B$7,$AE79,AK79+AO79+AP79)</f>
        <v/>
      </c>
      <c r="AR79" s="96" t="str">
        <f aca="false">IF(ISBLANK($C79),"",IF($AE79=Constants!$B$7,RANK(AQ79,$AQ$8:$AQ$507),$AE79))</f>
        <v/>
      </c>
      <c r="AS79" s="96" t="str">
        <f aca="false">IF(ISBLANK($C79), "",AK79)</f>
        <v/>
      </c>
      <c r="AT79" s="96" t="str">
        <f aca="false">IF(ISBLANK($C79),"",IF($AE79=Constants!$B$7,RANK(AS79,AS$8:AS$507),$AE79))</f>
        <v/>
      </c>
      <c r="AU79" s="96" t="str">
        <f aca="false">IF(ISBLANK($C79), "",AP79)</f>
        <v/>
      </c>
      <c r="AV79" s="96" t="str">
        <f aca="false">IF(ISBLANK($C79),"",IF($AE79=Constants!$B$7,RANK(AU79,AU$8:AU$507),$AE79))</f>
        <v/>
      </c>
      <c r="AW79" s="96" t="str">
        <f aca="false">IF(ISBLANK($C79), "",AC79)</f>
        <v/>
      </c>
      <c r="AX79" s="96" t="str">
        <f aca="false">IF(ISBLANK($C79),"",
IF($AE79=Constants!$B$7,
  COUNTIFS($AR$8:$AR$507,"&lt;"&amp;$AR79)
  + COUNTIFS($AR$8:$AR$507,$AR79,$AT$8:$AT$507,"&lt;"&amp;$AT79)
  + COUNTIFS($AR$8:$AR$507,$AR79,$AT$8:$AT$507,$AT79,$AV$8:$AV$507,"&lt;"&amp;$AV79)
  + COUNTIFS($AR$8:$AR$507,$AR79,$AT$8:$AT$507,$AT79,$AV$8:$AV$507,$AV79,$AW$8:$AW$507,"&lt;"&amp;$AW79)
  + 1,
$AE79))</f>
        <v/>
      </c>
      <c r="AY79" s="96" t="str">
        <f aca="false">IF(ISBLANK(C79),"",IF($AE79=Constants!$B$7, AR79-AX79,$AE79))</f>
        <v/>
      </c>
      <c r="AZ79" s="100"/>
      <c r="BA79" s="101" t="str">
        <f aca="false">IF(ISBLANK($C79),"",TRIM(AI79&amp;" "&amp;AM79))</f>
        <v/>
      </c>
      <c r="BB79" s="102" t="str">
        <f aca="false">IF(ISBLANK($C79),"",IF($AE79&lt;&gt;Constants!$B$7, $AE79 ,AQ79))</f>
        <v/>
      </c>
      <c r="BC79" s="103" t="str">
        <f aca="false">IF(ISBLANK($C79),"",IF($AE79&lt;&gt;Constants!$B$7, $AE79 ,AF79))</f>
        <v/>
      </c>
      <c r="BD79" s="104" t="str">
        <f aca="false">IF(ISBLANK(C79),"",AY79)</f>
        <v/>
      </c>
      <c r="BE79" s="104" t="str">
        <f aca="false">IF(ISBLANK(C79),"",AX79)</f>
        <v/>
      </c>
      <c r="BF79" s="105" t="str">
        <f aca="false">IF(ISBLANK(C79),"",IFERROR(_xlfn.SWITCH(BE79, Constants!$B$4, COUNTA($C$8:$C578)+2, Constants!$B$5, COUNTA($C$8:$C578)+1, Constants!$B$6, COUNTA($C$8:$C578)),BE79))</f>
        <v/>
      </c>
      <c r="BG79" s="5"/>
      <c r="BH79" s="106" t="n">
        <f aca="false">IF(OR(ISNUMBER(BE79),BE79="DQ",BE79="P",BE79="NS"),
    1,
    0
)</f>
        <v>0</v>
      </c>
      <c r="BI79" s="106" t="n">
        <v>72</v>
      </c>
      <c r="BJ79" s="106" t="str">
        <f aca="false">IF(ISBLANK($C79),
    "",
   BF79+ROW($B79)/1000
)</f>
        <v/>
      </c>
      <c r="BK79" s="106" t="str">
        <f aca="false">IF(ISNUMBER(BJ79), RANK(BJ79,BJ$8:BJ$507,1), "")</f>
        <v/>
      </c>
      <c r="BL79" s="106" t="str">
        <f aca="false">IF(ISBLANK($C79),
    "",
    $B79
)</f>
        <v/>
      </c>
      <c r="BM79" s="106" t="str">
        <f aca="false">IF(ISBLANK($C79),
    "",
    $C79
)</f>
        <v/>
      </c>
      <c r="BN79" s="106" t="str">
        <f aca="false">IF(ISBLANK($C79),
    "",
    $D79
)</f>
        <v/>
      </c>
      <c r="BO79" s="107" t="str">
        <f aca="false">BC79</f>
        <v/>
      </c>
      <c r="BP79" s="108" t="str">
        <f aca="false">BB79</f>
        <v/>
      </c>
      <c r="BQ79" s="106" t="str">
        <f aca="false">IF(ISBLANK($C79),
    "",
    BE79
)</f>
        <v/>
      </c>
      <c r="BR79" s="109" t="str">
        <f aca="false">IF(BI79&gt;BH$7,
    "",
    VLOOKUP(BI79,BK$8:BQ578,7,FALSE())
)</f>
        <v/>
      </c>
      <c r="BS79" s="110" t="str">
        <f aca="false">IF(BI79&gt;BH$7,
    "",
    VLOOKUP(BI79,BK$8:BQ578,2,FALSE())
)</f>
        <v/>
      </c>
      <c r="BT79" s="110" t="str">
        <f aca="false">IF(BI79&gt;BH$7,
    "",
    VLOOKUP(BI79,BK$8:BQ578,3,FALSE())
)</f>
        <v/>
      </c>
      <c r="BU79" s="110" t="str">
        <f aca="false">IF(BI79&gt;BH$7,
    "",
    VLOOKUP(BI79,BK$8:BQ578,4,FALSE())
)</f>
        <v/>
      </c>
      <c r="BV79" s="110" t="str">
        <f aca="false">IF(BI79&gt;BH$7,
    "",
    VLOOKUP(BI79,BK$8:BQ578,5,FALSE())
)</f>
        <v/>
      </c>
      <c r="BW79" s="111" t="str">
        <f aca="false">IF(BI79&gt;BH$7,
    "",
    VLOOKUP(BI79,BK$8:BQ578,6,FALSE())
)</f>
        <v/>
      </c>
      <c r="BX79" s="50"/>
    </row>
    <row r="80" customFormat="false" ht="15.75" hidden="false" customHeight="false" outlineLevel="0" collapsed="false">
      <c r="A80" s="5"/>
      <c r="B80" s="126"/>
      <c r="C80" s="52"/>
      <c r="D80" s="53"/>
      <c r="E80" s="120"/>
      <c r="F80" s="120"/>
      <c r="G80" s="55"/>
      <c r="H80" s="56"/>
      <c r="I80" s="80"/>
      <c r="J80" s="80"/>
      <c r="K80" s="80"/>
      <c r="L80" s="58"/>
      <c r="M80" s="58"/>
      <c r="N80" s="58"/>
      <c r="O80" s="59"/>
      <c r="P80" s="60"/>
      <c r="Q80" s="80"/>
      <c r="R80" s="62"/>
      <c r="S80" s="63"/>
      <c r="T80" s="63" t="str">
        <f aca="false">IF(ISBLANK($C80),"",IF(G80=Constants!$B$2, TRUE(), IF(G80=Constants!$B$3, FALSE(), TRUE())))</f>
        <v/>
      </c>
      <c r="U80" s="63" t="str">
        <f aca="false">IF(ISBLANK($C80),"",IF(H80=Constants!$B$2, TRUE(), IF(H80=Constants!$B$3, FALSE(), TRUE())))</f>
        <v/>
      </c>
      <c r="V80" s="63" t="str">
        <f aca="false">IF(ISBLANK($C80),"",IF(I80=Constants!$B$2, TRUE(), IF(I80=Constants!$B$3, FALSE(), TRUE())))</f>
        <v/>
      </c>
      <c r="W80" s="63" t="str">
        <f aca="false">IF(ISBLANK($C80),"",IF(J80=Constants!$B$2, TRUE(), IF(J80=Constants!$B$3, FALSE(), TRUE())))</f>
        <v/>
      </c>
      <c r="X80" s="63" t="str">
        <f aca="false">IF(ISBLANK($C80),"",IF(K80=Constants!$B$2, TRUE(), IF(K80=Constants!$B$3, FALSE(), TRUE())))</f>
        <v/>
      </c>
      <c r="Y80" s="65" t="str">
        <f aca="false">IF(ISBLANK($C80),"",IF(ISNUMBER(L80), L80, ""))</f>
        <v/>
      </c>
      <c r="Z80" s="65" t="str">
        <f aca="false">IF(ISBLANK($C80),"",IF(ISNUMBER(M80), M80, ""))</f>
        <v/>
      </c>
      <c r="AA80" s="65" t="str">
        <f aca="false">IF(ISBLANK($C80),"",IF(ISNUMBER(N80), N80, ""))</f>
        <v/>
      </c>
      <c r="AB80" s="66" t="str">
        <f aca="false">IF(ISBLANK($C80),"",IF(ISNUMBER(O80), O80, ""))</f>
        <v/>
      </c>
      <c r="AC80" s="66" t="str">
        <f aca="false">IF(ISBLANK($C80),"",IF(ISNUMBER(P80), P80, Constants!$B$13))</f>
        <v/>
      </c>
      <c r="AD80" s="63" t="str">
        <f aca="false">IF(ISBLANK($C80),"",IF(Q80=Constants!$B$2, TRUE(), IF(Q80=Constants!$B$3, FALSE(), FALSE())))</f>
        <v/>
      </c>
      <c r="AE80" s="63" t="str">
        <f aca="false">IF(ISBLANK(C80), "", IF(AD80, Constants!$B$4,IF(COUNTA(G80:O80)=0, Constants!$B$5, Constants!$B$7)))</f>
        <v/>
      </c>
      <c r="AF80" s="63" t="str">
        <f aca="false">IF(ISBLANK($C80), "",IF($AE80=Constants!$B$7,1,$AE80))</f>
        <v/>
      </c>
      <c r="AG80" s="63" t="str">
        <f aca="false">IF($AE80=Constants!$B$7,IF(V80, 1, Constants!$B$11) * IF(X80, 1, Constants!$B$12),"")</f>
        <v/>
      </c>
      <c r="AH80" s="63" t="str">
        <f aca="false">IF(AND($AE80=Constants!$B$7, T80, U80) ,MAX(0, $AA80-$Y80),"")</f>
        <v/>
      </c>
      <c r="AI80" s="63" t="str">
        <f aca="false">IF(ISERROR(AH80),$AI$6,"")</f>
        <v/>
      </c>
      <c r="AJ80" s="63" t="str">
        <f aca="false">IF($AE80=Constants!$B$7,IF(AND(T80,U80,W80),IF($AH$6=0,Constants!$B$9,Constants!$B$9*AH80/$AH$6), 0),"")</f>
        <v/>
      </c>
      <c r="AK80" s="63" t="str">
        <f aca="false">IF(AJ80&lt;&gt;"", AJ80*AG80,"")</f>
        <v/>
      </c>
      <c r="AL80" s="63" t="str">
        <f aca="false">IF(AND($AE80=Constants!$B$7, T80, U80) ,IF($Z80="", "", MAX(0,1-ABS($AA80-$Z80)/$AA80)),"")</f>
        <v/>
      </c>
      <c r="AM80" s="63" t="str">
        <f aca="false">IF(AND(NOT(ISERROR(AH80)),ISERROR(AL80)),$AM$6,"")</f>
        <v/>
      </c>
      <c r="AN80" s="63" t="str">
        <f aca="false">IF($AE80=Constants!$B$7 ,IF(AND(T80,U80,W80,ISNUMBER(Z80)),IF($AL$6=0,Constants!$B$10,Constants!$B$10*AL80/$AL$6), 0),"")</f>
        <v/>
      </c>
      <c r="AO80" s="63" t="str">
        <f aca="false">IF(AN80&lt;&gt;"", AN80*AG80,"")</f>
        <v/>
      </c>
      <c r="AP80" s="63" t="str">
        <f aca="false">IF($AE80=Constants!$B$7,IF($AP$6=0,Constants!$B$8,Constants!$B$8*AB80/$AP$6),"")</f>
        <v/>
      </c>
      <c r="AQ80" s="63" t="str">
        <f aca="false">IF($AE80&lt;&gt;Constants!$B$7,$AE80,AK80+AO80+AP80)</f>
        <v/>
      </c>
      <c r="AR80" s="63" t="str">
        <f aca="false">IF(ISBLANK($C80),"",IF($AE80=Constants!$B$7,RANK(AQ80,$AQ$8:$AQ$507),$AE80))</f>
        <v/>
      </c>
      <c r="AS80" s="63" t="str">
        <f aca="false">IF(ISBLANK($C80), "",AK80)</f>
        <v/>
      </c>
      <c r="AT80" s="63" t="str">
        <f aca="false">IF(ISBLANK($C80),"",IF($AE80=Constants!$B$7,RANK(AS80,AS$8:AS$507),$AE80))</f>
        <v/>
      </c>
      <c r="AU80" s="63" t="str">
        <f aca="false">IF(ISBLANK($C80), "",AP80)</f>
        <v/>
      </c>
      <c r="AV80" s="63" t="str">
        <f aca="false">IF(ISBLANK($C80),"",IF($AE80=Constants!$B$7,RANK(AU80,AU$8:AU$507),$AE80))</f>
        <v/>
      </c>
      <c r="AW80" s="63" t="str">
        <f aca="false">IF(ISBLANK($C80), "",AC80)</f>
        <v/>
      </c>
      <c r="AX80" s="63" t="str">
        <f aca="false">IF(ISBLANK($C80),"",
IF($AE80=Constants!$B$7,
  COUNTIFS($AR$8:$AR$507,"&lt;"&amp;$AR80)
  + COUNTIFS($AR$8:$AR$507,$AR80,$AT$8:$AT$507,"&lt;"&amp;$AT80)
  + COUNTIFS($AR$8:$AR$507,$AR80,$AT$8:$AT$507,$AT80,$AV$8:$AV$507,"&lt;"&amp;$AV80)
  + COUNTIFS($AR$8:$AR$507,$AR80,$AT$8:$AT$507,$AT80,$AV$8:$AV$507,$AV80,$AW$8:$AW$507,"&lt;"&amp;$AW80)
  + 1,
$AE80))</f>
        <v/>
      </c>
      <c r="AY80" s="63" t="str">
        <f aca="false">IF(ISBLANK(C80),"",IF($AE80=Constants!$B$7, AR80-AX80,$AE80))</f>
        <v/>
      </c>
      <c r="AZ80" s="67"/>
      <c r="BA80" s="81" t="str">
        <f aca="false">IF(ISBLANK($C80),"",TRIM(AI80&amp;" "&amp;AM80))</f>
        <v/>
      </c>
      <c r="BB80" s="69" t="str">
        <f aca="false">IF(ISBLANK($C80),"",IF($AE80&lt;&gt;Constants!$B$7, $AE80 ,AQ80))</f>
        <v/>
      </c>
      <c r="BC80" s="70" t="str">
        <f aca="false">IF(ISBLANK($C80),"",IF($AE80&lt;&gt;Constants!$B$7, $AE80 ,AF80))</f>
        <v/>
      </c>
      <c r="BD80" s="71" t="str">
        <f aca="false">IF(ISBLANK(C80),"",AY80)</f>
        <v/>
      </c>
      <c r="BE80" s="71" t="str">
        <f aca="false">IF(ISBLANK(C80),"",AX80)</f>
        <v/>
      </c>
      <c r="BF80" s="72" t="str">
        <f aca="false">IF(ISBLANK(C80),"",IFERROR(_xlfn.SWITCH(BE80, Constants!$B$4, COUNTA($C$8:$C579)+2, Constants!$B$5, COUNTA($C$8:$C579)+1, Constants!$B$6, COUNTA($C$8:$C579)),BE80))</f>
        <v/>
      </c>
      <c r="BG80" s="5"/>
      <c r="BH80" s="73" t="n">
        <f aca="false">IF(OR(ISNUMBER(BE80),BE80="DQ",BE80="P",BE80="NS"),
    1,
    0
)</f>
        <v>0</v>
      </c>
      <c r="BI80" s="73" t="n">
        <v>73</v>
      </c>
      <c r="BJ80" s="73" t="str">
        <f aca="false">IF(ISBLANK($C80),
    "",
   BF80+ROW($B80)/1000
)</f>
        <v/>
      </c>
      <c r="BK80" s="73" t="str">
        <f aca="false">IF(ISNUMBER(BJ80), RANK(BJ80,BJ$8:BJ$507,1), "")</f>
        <v/>
      </c>
      <c r="BL80" s="73" t="str">
        <f aca="false">IF(ISBLANK($C80),
    "",
    $B80
)</f>
        <v/>
      </c>
      <c r="BM80" s="73" t="str">
        <f aca="false">IF(ISBLANK($C80),
    "",
    $C80
)</f>
        <v/>
      </c>
      <c r="BN80" s="73" t="str">
        <f aca="false">IF(ISBLANK($C80),
    "",
    $D80
)</f>
        <v/>
      </c>
      <c r="BO80" s="74" t="str">
        <f aca="false">BC80</f>
        <v/>
      </c>
      <c r="BP80" s="75" t="str">
        <f aca="false">BB80</f>
        <v/>
      </c>
      <c r="BQ80" s="73" t="str">
        <f aca="false">IF(ISBLANK($C80),
    "",
    BE80
)</f>
        <v/>
      </c>
      <c r="BR80" s="76" t="str">
        <f aca="false">IF(BI80&gt;BH$7,
    "",
    VLOOKUP(BI80,BK$8:BQ579,7,FALSE())
)</f>
        <v/>
      </c>
      <c r="BS80" s="77" t="str">
        <f aca="false">IF(BI80&gt;BH$7,
    "",
    VLOOKUP(BI80,BK$8:BQ579,2,FALSE())
)</f>
        <v/>
      </c>
      <c r="BT80" s="77" t="str">
        <f aca="false">IF(BI80&gt;BH$7,
    "",
    VLOOKUP(BI80,BK$8:BQ579,3,FALSE())
)</f>
        <v/>
      </c>
      <c r="BU80" s="77" t="str">
        <f aca="false">IF(BI80&gt;BH$7,
    "",
    VLOOKUP(BI80,BK$8:BQ579,4,FALSE())
)</f>
        <v/>
      </c>
      <c r="BV80" s="77" t="str">
        <f aca="false">IF(BI80&gt;BH$7,
    "",
    VLOOKUP(BI80,BK$8:BQ579,5,FALSE())
)</f>
        <v/>
      </c>
      <c r="BW80" s="78" t="str">
        <f aca="false">IF(BI80&gt;BH$7,
    "",
    VLOOKUP(BI80,BK$8:BQ579,6,FALSE())
)</f>
        <v/>
      </c>
      <c r="BX80" s="50"/>
    </row>
    <row r="81" customFormat="false" ht="15.75" hidden="false" customHeight="false" outlineLevel="0" collapsed="false">
      <c r="A81" s="5"/>
      <c r="B81" s="126"/>
      <c r="C81" s="52"/>
      <c r="D81" s="53"/>
      <c r="E81" s="120"/>
      <c r="F81" s="120"/>
      <c r="G81" s="55"/>
      <c r="H81" s="56"/>
      <c r="I81" s="80"/>
      <c r="J81" s="80"/>
      <c r="K81" s="80"/>
      <c r="L81" s="58"/>
      <c r="M81" s="58"/>
      <c r="N81" s="58"/>
      <c r="O81" s="59"/>
      <c r="P81" s="60"/>
      <c r="Q81" s="80"/>
      <c r="R81" s="62"/>
      <c r="S81" s="63"/>
      <c r="T81" s="63" t="str">
        <f aca="false">IF(ISBLANK($C81),"",IF(G81=Constants!$B$2, TRUE(), IF(G81=Constants!$B$3, FALSE(), TRUE())))</f>
        <v/>
      </c>
      <c r="U81" s="63" t="str">
        <f aca="false">IF(ISBLANK($C81),"",IF(H81=Constants!$B$2, TRUE(), IF(H81=Constants!$B$3, FALSE(), TRUE())))</f>
        <v/>
      </c>
      <c r="V81" s="63" t="str">
        <f aca="false">IF(ISBLANK($C81),"",IF(I81=Constants!$B$2, TRUE(), IF(I81=Constants!$B$3, FALSE(), TRUE())))</f>
        <v/>
      </c>
      <c r="W81" s="63" t="str">
        <f aca="false">IF(ISBLANK($C81),"",IF(J81=Constants!$B$2, TRUE(), IF(J81=Constants!$B$3, FALSE(), TRUE())))</f>
        <v/>
      </c>
      <c r="X81" s="63" t="str">
        <f aca="false">IF(ISBLANK($C81),"",IF(K81=Constants!$B$2, TRUE(), IF(K81=Constants!$B$3, FALSE(), TRUE())))</f>
        <v/>
      </c>
      <c r="Y81" s="65" t="str">
        <f aca="false">IF(ISBLANK($C81),"",IF(ISNUMBER(L81), L81, ""))</f>
        <v/>
      </c>
      <c r="Z81" s="65" t="str">
        <f aca="false">IF(ISBLANK($C81),"",IF(ISNUMBER(M81), M81, ""))</f>
        <v/>
      </c>
      <c r="AA81" s="65" t="str">
        <f aca="false">IF(ISBLANK($C81),"",IF(ISNUMBER(N81), N81, ""))</f>
        <v/>
      </c>
      <c r="AB81" s="66" t="str">
        <f aca="false">IF(ISBLANK($C81),"",IF(ISNUMBER(O81), O81, ""))</f>
        <v/>
      </c>
      <c r="AC81" s="66" t="str">
        <f aca="false">IF(ISBLANK($C81),"",IF(ISNUMBER(P81), P81, Constants!$B$13))</f>
        <v/>
      </c>
      <c r="AD81" s="63" t="str">
        <f aca="false">IF(ISBLANK($C81),"",IF(Q81=Constants!$B$2, TRUE(), IF(Q81=Constants!$B$3, FALSE(), FALSE())))</f>
        <v/>
      </c>
      <c r="AE81" s="63" t="str">
        <f aca="false">IF(ISBLANK(C81), "", IF(AD81, Constants!$B$4,IF(COUNTA(G81:O81)=0, Constants!$B$5, Constants!$B$7)))</f>
        <v/>
      </c>
      <c r="AF81" s="63" t="str">
        <f aca="false">IF(ISBLANK($C81), "",IF($AE81=Constants!$B$7,1,$AE81))</f>
        <v/>
      </c>
      <c r="AG81" s="63" t="str">
        <f aca="false">IF($AE81=Constants!$B$7,IF(V81, 1, Constants!$B$11) * IF(X81, 1, Constants!$B$12),"")</f>
        <v/>
      </c>
      <c r="AH81" s="63" t="str">
        <f aca="false">IF(AND($AE81=Constants!$B$7, T81, U81) ,MAX(0, $AA81-$Y81),"")</f>
        <v/>
      </c>
      <c r="AI81" s="63" t="str">
        <f aca="false">IF(ISERROR(AH81),$AI$6,"")</f>
        <v/>
      </c>
      <c r="AJ81" s="63" t="str">
        <f aca="false">IF($AE81=Constants!$B$7,IF(AND(T81,U81,W81),IF($AH$6=0,Constants!$B$9,Constants!$B$9*AH81/$AH$6), 0),"")</f>
        <v/>
      </c>
      <c r="AK81" s="63" t="str">
        <f aca="false">IF(AJ81&lt;&gt;"", AJ81*AG81,"")</f>
        <v/>
      </c>
      <c r="AL81" s="63" t="str">
        <f aca="false">IF(AND($AE81=Constants!$B$7, T81, U81) ,IF($Z81="", "", MAX(0,1-ABS($AA81-$Z81)/$AA81)),"")</f>
        <v/>
      </c>
      <c r="AM81" s="63" t="str">
        <f aca="false">IF(AND(NOT(ISERROR(AH81)),ISERROR(AL81)),$AM$6,"")</f>
        <v/>
      </c>
      <c r="AN81" s="63" t="str">
        <f aca="false">IF($AE81=Constants!$B$7 ,IF(AND(T81,U81,W81,ISNUMBER(Z81)),IF($AL$6=0,Constants!$B$10,Constants!$B$10*AL81/$AL$6), 0),"")</f>
        <v/>
      </c>
      <c r="AO81" s="63" t="str">
        <f aca="false">IF(AN81&lt;&gt;"", AN81*AG81,"")</f>
        <v/>
      </c>
      <c r="AP81" s="63" t="str">
        <f aca="false">IF($AE81=Constants!$B$7,IF($AP$6=0,Constants!$B$8,Constants!$B$8*AB81/$AP$6),"")</f>
        <v/>
      </c>
      <c r="AQ81" s="63" t="str">
        <f aca="false">IF($AE81&lt;&gt;Constants!$B$7,$AE81,AK81+AO81+AP81)</f>
        <v/>
      </c>
      <c r="AR81" s="63" t="str">
        <f aca="false">IF(ISBLANK($C81),"",IF($AE81=Constants!$B$7,RANK(AQ81,$AQ$8:$AQ$507),$AE81))</f>
        <v/>
      </c>
      <c r="AS81" s="63" t="str">
        <f aca="false">IF(ISBLANK($C81), "",AK81)</f>
        <v/>
      </c>
      <c r="AT81" s="63" t="str">
        <f aca="false">IF(ISBLANK($C81),"",IF($AE81=Constants!$B$7,RANK(AS81,AS$8:AS$507),$AE81))</f>
        <v/>
      </c>
      <c r="AU81" s="63" t="str">
        <f aca="false">IF(ISBLANK($C81), "",AP81)</f>
        <v/>
      </c>
      <c r="AV81" s="63" t="str">
        <f aca="false">IF(ISBLANK($C81),"",IF($AE81=Constants!$B$7,RANK(AU81,AU$8:AU$507),$AE81))</f>
        <v/>
      </c>
      <c r="AW81" s="63" t="str">
        <f aca="false">IF(ISBLANK($C81), "",AC81)</f>
        <v/>
      </c>
      <c r="AX81" s="63" t="str">
        <f aca="false">IF(ISBLANK($C81),"",
IF($AE81=Constants!$B$7,
  COUNTIFS($AR$8:$AR$507,"&lt;"&amp;$AR81)
  + COUNTIFS($AR$8:$AR$507,$AR81,$AT$8:$AT$507,"&lt;"&amp;$AT81)
  + COUNTIFS($AR$8:$AR$507,$AR81,$AT$8:$AT$507,$AT81,$AV$8:$AV$507,"&lt;"&amp;$AV81)
  + COUNTIFS($AR$8:$AR$507,$AR81,$AT$8:$AT$507,$AT81,$AV$8:$AV$507,$AV81,$AW$8:$AW$507,"&lt;"&amp;$AW81)
  + 1,
$AE81))</f>
        <v/>
      </c>
      <c r="AY81" s="63" t="str">
        <f aca="false">IF(ISBLANK(C81),"",IF($AE81=Constants!$B$7, AR81-AX81,$AE81))</f>
        <v/>
      </c>
      <c r="AZ81" s="67"/>
      <c r="BA81" s="81" t="str">
        <f aca="false">IF(ISBLANK($C81),"",TRIM(AI81&amp;" "&amp;AM81))</f>
        <v/>
      </c>
      <c r="BB81" s="69" t="str">
        <f aca="false">IF(ISBLANK($C81),"",IF($AE81&lt;&gt;Constants!$B$7, $AE81 ,AQ81))</f>
        <v/>
      </c>
      <c r="BC81" s="70" t="str">
        <f aca="false">IF(ISBLANK($C81),"",IF($AE81&lt;&gt;Constants!$B$7, $AE81 ,AF81))</f>
        <v/>
      </c>
      <c r="BD81" s="71" t="str">
        <f aca="false">IF(ISBLANK(C81),"",AY81)</f>
        <v/>
      </c>
      <c r="BE81" s="71" t="str">
        <f aca="false">IF(ISBLANK(C81),"",AX81)</f>
        <v/>
      </c>
      <c r="BF81" s="72" t="str">
        <f aca="false">IF(ISBLANK(C81),"",IFERROR(_xlfn.SWITCH(BE81, Constants!$B$4, COUNTA($C$8:$C580)+2, Constants!$B$5, COUNTA($C$8:$C580)+1, Constants!$B$6, COUNTA($C$8:$C580)),BE81))</f>
        <v/>
      </c>
      <c r="BG81" s="5"/>
      <c r="BH81" s="73" t="n">
        <f aca="false">IF(OR(ISNUMBER(BE81),BE81="DQ",BE81="P",BE81="NS"),
    1,
    0
)</f>
        <v>0</v>
      </c>
      <c r="BI81" s="73" t="n">
        <v>74</v>
      </c>
      <c r="BJ81" s="73" t="str">
        <f aca="false">IF(ISBLANK($C81),
    "",
   BF81+ROW($B81)/1000
)</f>
        <v/>
      </c>
      <c r="BK81" s="73" t="str">
        <f aca="false">IF(ISNUMBER(BJ81), RANK(BJ81,BJ$8:BJ$507,1), "")</f>
        <v/>
      </c>
      <c r="BL81" s="73" t="str">
        <f aca="false">IF(ISBLANK($C81),
    "",
    $B81
)</f>
        <v/>
      </c>
      <c r="BM81" s="73" t="str">
        <f aca="false">IF(ISBLANK($C81),
    "",
    $C81
)</f>
        <v/>
      </c>
      <c r="BN81" s="73" t="str">
        <f aca="false">IF(ISBLANK($C81),
    "",
    $D81
)</f>
        <v/>
      </c>
      <c r="BO81" s="74" t="str">
        <f aca="false">BC81</f>
        <v/>
      </c>
      <c r="BP81" s="75" t="str">
        <f aca="false">BB81</f>
        <v/>
      </c>
      <c r="BQ81" s="73" t="str">
        <f aca="false">IF(ISBLANK($C81),
    "",
    BE81
)</f>
        <v/>
      </c>
      <c r="BR81" s="76" t="str">
        <f aca="false">IF(BI81&gt;BH$7,
    "",
    VLOOKUP(BI81,BK$8:BQ580,7,FALSE())
)</f>
        <v/>
      </c>
      <c r="BS81" s="77" t="str">
        <f aca="false">IF(BI81&gt;BH$7,
    "",
    VLOOKUP(BI81,BK$8:BQ580,2,FALSE())
)</f>
        <v/>
      </c>
      <c r="BT81" s="77" t="str">
        <f aca="false">IF(BI81&gt;BH$7,
    "",
    VLOOKUP(BI81,BK$8:BQ580,3,FALSE())
)</f>
        <v/>
      </c>
      <c r="BU81" s="77" t="str">
        <f aca="false">IF(BI81&gt;BH$7,
    "",
    VLOOKUP(BI81,BK$8:BQ580,4,FALSE())
)</f>
        <v/>
      </c>
      <c r="BV81" s="77" t="str">
        <f aca="false">IF(BI81&gt;BH$7,
    "",
    VLOOKUP(BI81,BK$8:BQ580,5,FALSE())
)</f>
        <v/>
      </c>
      <c r="BW81" s="78" t="str">
        <f aca="false">IF(BI81&gt;BH$7,
    "",
    VLOOKUP(BI81,BK$8:BQ580,6,FALSE())
)</f>
        <v/>
      </c>
      <c r="BX81" s="50"/>
    </row>
    <row r="82" customFormat="false" ht="15.75" hidden="false" customHeight="false" outlineLevel="0" collapsed="false">
      <c r="A82" s="5"/>
      <c r="B82" s="126"/>
      <c r="C82" s="52"/>
      <c r="D82" s="53"/>
      <c r="E82" s="120"/>
      <c r="F82" s="120"/>
      <c r="G82" s="55"/>
      <c r="H82" s="56"/>
      <c r="I82" s="80"/>
      <c r="J82" s="80"/>
      <c r="K82" s="80"/>
      <c r="L82" s="58"/>
      <c r="M82" s="58"/>
      <c r="N82" s="58"/>
      <c r="O82" s="59"/>
      <c r="P82" s="60"/>
      <c r="Q82" s="80"/>
      <c r="R82" s="62"/>
      <c r="S82" s="63"/>
      <c r="T82" s="63" t="str">
        <f aca="false">IF(ISBLANK($C82),"",IF(G82=Constants!$B$2, TRUE(), IF(G82=Constants!$B$3, FALSE(), TRUE())))</f>
        <v/>
      </c>
      <c r="U82" s="63" t="str">
        <f aca="false">IF(ISBLANK($C82),"",IF(H82=Constants!$B$2, TRUE(), IF(H82=Constants!$B$3, FALSE(), TRUE())))</f>
        <v/>
      </c>
      <c r="V82" s="63" t="str">
        <f aca="false">IF(ISBLANK($C82),"",IF(I82=Constants!$B$2, TRUE(), IF(I82=Constants!$B$3, FALSE(), TRUE())))</f>
        <v/>
      </c>
      <c r="W82" s="63" t="str">
        <f aca="false">IF(ISBLANK($C82),"",IF(J82=Constants!$B$2, TRUE(), IF(J82=Constants!$B$3, FALSE(), TRUE())))</f>
        <v/>
      </c>
      <c r="X82" s="63" t="str">
        <f aca="false">IF(ISBLANK($C82),"",IF(K82=Constants!$B$2, TRUE(), IF(K82=Constants!$B$3, FALSE(), TRUE())))</f>
        <v/>
      </c>
      <c r="Y82" s="65" t="str">
        <f aca="false">IF(ISBLANK($C82),"",IF(ISNUMBER(L82), L82, ""))</f>
        <v/>
      </c>
      <c r="Z82" s="65" t="str">
        <f aca="false">IF(ISBLANK($C82),"",IF(ISNUMBER(M82), M82, ""))</f>
        <v/>
      </c>
      <c r="AA82" s="65" t="str">
        <f aca="false">IF(ISBLANK($C82),"",IF(ISNUMBER(N82), N82, ""))</f>
        <v/>
      </c>
      <c r="AB82" s="66" t="str">
        <f aca="false">IF(ISBLANK($C82),"",IF(ISNUMBER(O82), O82, ""))</f>
        <v/>
      </c>
      <c r="AC82" s="66" t="str">
        <f aca="false">IF(ISBLANK($C82),"",IF(ISNUMBER(P82), P82, Constants!$B$13))</f>
        <v/>
      </c>
      <c r="AD82" s="63" t="str">
        <f aca="false">IF(ISBLANK($C82),"",IF(Q82=Constants!$B$2, TRUE(), IF(Q82=Constants!$B$3, FALSE(), FALSE())))</f>
        <v/>
      </c>
      <c r="AE82" s="63" t="str">
        <f aca="false">IF(ISBLANK(C82), "", IF(AD82, Constants!$B$4,IF(COUNTA(G82:O82)=0, Constants!$B$5, Constants!$B$7)))</f>
        <v/>
      </c>
      <c r="AF82" s="63" t="str">
        <f aca="false">IF(ISBLANK($C82), "",IF($AE82=Constants!$B$7,1,$AE82))</f>
        <v/>
      </c>
      <c r="AG82" s="63" t="str">
        <f aca="false">IF($AE82=Constants!$B$7,IF(V82, 1, Constants!$B$11) * IF(X82, 1, Constants!$B$12),"")</f>
        <v/>
      </c>
      <c r="AH82" s="63" t="str">
        <f aca="false">IF(AND($AE82=Constants!$B$7, T82, U82) ,MAX(0, $AA82-$Y82),"")</f>
        <v/>
      </c>
      <c r="AI82" s="63" t="str">
        <f aca="false">IF(ISERROR(AH82),$AI$6,"")</f>
        <v/>
      </c>
      <c r="AJ82" s="63" t="str">
        <f aca="false">IF($AE82=Constants!$B$7,IF(AND(T82,U82,W82),IF($AH$6=0,Constants!$B$9,Constants!$B$9*AH82/$AH$6), 0),"")</f>
        <v/>
      </c>
      <c r="AK82" s="63" t="str">
        <f aca="false">IF(AJ82&lt;&gt;"", AJ82*AG82,"")</f>
        <v/>
      </c>
      <c r="AL82" s="63" t="str">
        <f aca="false">IF(AND($AE82=Constants!$B$7, T82, U82) ,IF($Z82="", "", MAX(0,1-ABS($AA82-$Z82)/$AA82)),"")</f>
        <v/>
      </c>
      <c r="AM82" s="63" t="str">
        <f aca="false">IF(AND(NOT(ISERROR(AH82)),ISERROR(AL82)),$AM$6,"")</f>
        <v/>
      </c>
      <c r="AN82" s="63" t="str">
        <f aca="false">IF($AE82=Constants!$B$7 ,IF(AND(T82,U82,W82,ISNUMBER(Z82)),IF($AL$6=0,Constants!$B$10,Constants!$B$10*AL82/$AL$6), 0),"")</f>
        <v/>
      </c>
      <c r="AO82" s="63" t="str">
        <f aca="false">IF(AN82&lt;&gt;"", AN82*AG82,"")</f>
        <v/>
      </c>
      <c r="AP82" s="63" t="str">
        <f aca="false">IF($AE82=Constants!$B$7,IF($AP$6=0,Constants!$B$8,Constants!$B$8*AB82/$AP$6),"")</f>
        <v/>
      </c>
      <c r="AQ82" s="63" t="str">
        <f aca="false">IF($AE82&lt;&gt;Constants!$B$7,$AE82,AK82+AO82+AP82)</f>
        <v/>
      </c>
      <c r="AR82" s="63" t="str">
        <f aca="false">IF(ISBLANK($C82),"",IF($AE82=Constants!$B$7,RANK(AQ82,$AQ$8:$AQ$507),$AE82))</f>
        <v/>
      </c>
      <c r="AS82" s="63" t="str">
        <f aca="false">IF(ISBLANK($C82), "",AK82)</f>
        <v/>
      </c>
      <c r="AT82" s="63" t="str">
        <f aca="false">IF(ISBLANK($C82),"",IF($AE82=Constants!$B$7,RANK(AS82,AS$8:AS$507),$AE82))</f>
        <v/>
      </c>
      <c r="AU82" s="63" t="str">
        <f aca="false">IF(ISBLANK($C82), "",AP82)</f>
        <v/>
      </c>
      <c r="AV82" s="63" t="str">
        <f aca="false">IF(ISBLANK($C82),"",IF($AE82=Constants!$B$7,RANK(AU82,AU$8:AU$507),$AE82))</f>
        <v/>
      </c>
      <c r="AW82" s="63" t="str">
        <f aca="false">IF(ISBLANK($C82), "",AC82)</f>
        <v/>
      </c>
      <c r="AX82" s="63" t="str">
        <f aca="false">IF(ISBLANK($C82),"",
IF($AE82=Constants!$B$7,
  COUNTIFS($AR$8:$AR$507,"&lt;"&amp;$AR82)
  + COUNTIFS($AR$8:$AR$507,$AR82,$AT$8:$AT$507,"&lt;"&amp;$AT82)
  + COUNTIFS($AR$8:$AR$507,$AR82,$AT$8:$AT$507,$AT82,$AV$8:$AV$507,"&lt;"&amp;$AV82)
  + COUNTIFS($AR$8:$AR$507,$AR82,$AT$8:$AT$507,$AT82,$AV$8:$AV$507,$AV82,$AW$8:$AW$507,"&lt;"&amp;$AW82)
  + 1,
$AE82))</f>
        <v/>
      </c>
      <c r="AY82" s="63" t="str">
        <f aca="false">IF(ISBLANK(C82),"",IF($AE82=Constants!$B$7, AR82-AX82,$AE82))</f>
        <v/>
      </c>
      <c r="AZ82" s="67"/>
      <c r="BA82" s="81" t="str">
        <f aca="false">IF(ISBLANK($C82),"",TRIM(AI82&amp;" "&amp;AM82))</f>
        <v/>
      </c>
      <c r="BB82" s="69" t="str">
        <f aca="false">IF(ISBLANK($C82),"",IF($AE82&lt;&gt;Constants!$B$7, $AE82 ,AQ82))</f>
        <v/>
      </c>
      <c r="BC82" s="70" t="str">
        <f aca="false">IF(ISBLANK($C82),"",IF($AE82&lt;&gt;Constants!$B$7, $AE82 ,AF82))</f>
        <v/>
      </c>
      <c r="BD82" s="71" t="str">
        <f aca="false">IF(ISBLANK(C82),"",AY82)</f>
        <v/>
      </c>
      <c r="BE82" s="71" t="str">
        <f aca="false">IF(ISBLANK(C82),"",AX82)</f>
        <v/>
      </c>
      <c r="BF82" s="72" t="str">
        <f aca="false">IF(ISBLANK(C82),"",IFERROR(_xlfn.SWITCH(BE82, Constants!$B$4, COUNTA($C$8:$C581)+2, Constants!$B$5, COUNTA($C$8:$C581)+1, Constants!$B$6, COUNTA($C$8:$C581)),BE82))</f>
        <v/>
      </c>
      <c r="BG82" s="5"/>
      <c r="BH82" s="73" t="n">
        <f aca="false">IF(OR(ISNUMBER(BE82),BE82="DQ",BE82="P",BE82="NS"),
    1,
    0
)</f>
        <v>0</v>
      </c>
      <c r="BI82" s="73" t="n">
        <v>75</v>
      </c>
      <c r="BJ82" s="73" t="str">
        <f aca="false">IF(ISBLANK($C82),
    "",
   BF82+ROW($B82)/1000
)</f>
        <v/>
      </c>
      <c r="BK82" s="73" t="str">
        <f aca="false">IF(ISNUMBER(BJ82), RANK(BJ82,BJ$8:BJ$507,1), "")</f>
        <v/>
      </c>
      <c r="BL82" s="73" t="str">
        <f aca="false">IF(ISBLANK($C82),
    "",
    $B82
)</f>
        <v/>
      </c>
      <c r="BM82" s="73" t="str">
        <f aca="false">IF(ISBLANK($C82),
    "",
    $C82
)</f>
        <v/>
      </c>
      <c r="BN82" s="73" t="str">
        <f aca="false">IF(ISBLANK($C82),
    "",
    $D82
)</f>
        <v/>
      </c>
      <c r="BO82" s="74" t="str">
        <f aca="false">BC82</f>
        <v/>
      </c>
      <c r="BP82" s="75" t="str">
        <f aca="false">BB82</f>
        <v/>
      </c>
      <c r="BQ82" s="73" t="str">
        <f aca="false">IF(ISBLANK($C82),
    "",
    BE82
)</f>
        <v/>
      </c>
      <c r="BR82" s="76" t="str">
        <f aca="false">IF(BI82&gt;BH$7,
    "",
    VLOOKUP(BI82,BK$8:BQ581,7,FALSE())
)</f>
        <v/>
      </c>
      <c r="BS82" s="77" t="str">
        <f aca="false">IF(BI82&gt;BH$7,
    "",
    VLOOKUP(BI82,BK$8:BQ581,2,FALSE())
)</f>
        <v/>
      </c>
      <c r="BT82" s="77" t="str">
        <f aca="false">IF(BI82&gt;BH$7,
    "",
    VLOOKUP(BI82,BK$8:BQ581,3,FALSE())
)</f>
        <v/>
      </c>
      <c r="BU82" s="77" t="str">
        <f aca="false">IF(BI82&gt;BH$7,
    "",
    VLOOKUP(BI82,BK$8:BQ581,4,FALSE())
)</f>
        <v/>
      </c>
      <c r="BV82" s="77" t="str">
        <f aca="false">IF(BI82&gt;BH$7,
    "",
    VLOOKUP(BI82,BK$8:BQ581,5,FALSE())
)</f>
        <v/>
      </c>
      <c r="BW82" s="78" t="str">
        <f aca="false">IF(BI82&gt;BH$7,
    "",
    VLOOKUP(BI82,BK$8:BQ581,6,FALSE())
)</f>
        <v/>
      </c>
      <c r="BX82" s="50"/>
    </row>
    <row r="83" customFormat="false" ht="15.75" hidden="false" customHeight="false" outlineLevel="0" collapsed="false">
      <c r="A83" s="5"/>
      <c r="B83" s="122"/>
      <c r="C83" s="123"/>
      <c r="D83" s="112"/>
      <c r="E83" s="116"/>
      <c r="F83" s="116"/>
      <c r="G83" s="88"/>
      <c r="H83" s="89"/>
      <c r="I83" s="125"/>
      <c r="J83" s="125"/>
      <c r="K83" s="125"/>
      <c r="L83" s="91"/>
      <c r="M83" s="91"/>
      <c r="N83" s="91"/>
      <c r="O83" s="92"/>
      <c r="P83" s="93"/>
      <c r="Q83" s="125"/>
      <c r="R83" s="95"/>
      <c r="S83" s="96"/>
      <c r="T83" s="96" t="str">
        <f aca="false">IF(ISBLANK($C83),"",IF(G83=Constants!$B$2, TRUE(), IF(G83=Constants!$B$3, FALSE(), TRUE())))</f>
        <v/>
      </c>
      <c r="U83" s="96" t="str">
        <f aca="false">IF(ISBLANK($C83),"",IF(H83=Constants!$B$2, TRUE(), IF(H83=Constants!$B$3, FALSE(), TRUE())))</f>
        <v/>
      </c>
      <c r="V83" s="96" t="str">
        <f aca="false">IF(ISBLANK($C83),"",IF(I83=Constants!$B$2, TRUE(), IF(I83=Constants!$B$3, FALSE(), TRUE())))</f>
        <v/>
      </c>
      <c r="W83" s="96" t="str">
        <f aca="false">IF(ISBLANK($C83),"",IF(J83=Constants!$B$2, TRUE(), IF(J83=Constants!$B$3, FALSE(), TRUE())))</f>
        <v/>
      </c>
      <c r="X83" s="97" t="str">
        <f aca="false">IF(ISBLANK($C83),"",IF(K83=Constants!$B$2, TRUE(), IF(K83=Constants!$B$3, FALSE(), TRUE())))</f>
        <v/>
      </c>
      <c r="Y83" s="98" t="str">
        <f aca="false">IF(ISBLANK($C83),"",IF(ISNUMBER(L83), L83, ""))</f>
        <v/>
      </c>
      <c r="Z83" s="98" t="str">
        <f aca="false">IF(ISBLANK($C83),"",IF(ISNUMBER(M83), M83, ""))</f>
        <v/>
      </c>
      <c r="AA83" s="98" t="str">
        <f aca="false">IF(ISBLANK($C83),"",IF(ISNUMBER(N83), N83, ""))</f>
        <v/>
      </c>
      <c r="AB83" s="99" t="str">
        <f aca="false">IF(ISBLANK($C83),"",IF(ISNUMBER(O83), O83, ""))</f>
        <v/>
      </c>
      <c r="AC83" s="99" t="str">
        <f aca="false">IF(ISBLANK($C83),"",IF(ISNUMBER(P83), P83, Constants!$B$13))</f>
        <v/>
      </c>
      <c r="AD83" s="96" t="str">
        <f aca="false">IF(ISBLANK($C83),"",IF(Q83=Constants!$B$2, TRUE(), IF(Q83=Constants!$B$3, FALSE(), FALSE())))</f>
        <v/>
      </c>
      <c r="AE83" s="96" t="str">
        <f aca="false">IF(ISBLANK(C83), "", IF(AD83, Constants!$B$4,IF(COUNTA(G83:O83)=0, Constants!$B$5, Constants!$B$7)))</f>
        <v/>
      </c>
      <c r="AF83" s="96" t="str">
        <f aca="false">IF(ISBLANK($C83), "",IF($AE83=Constants!$B$7,1,$AE83))</f>
        <v/>
      </c>
      <c r="AG83" s="96" t="str">
        <f aca="false">IF($AE83=Constants!$B$7,IF(V83, 1, Constants!$B$11) * IF(X83, 1, Constants!$B$12),"")</f>
        <v/>
      </c>
      <c r="AH83" s="96" t="str">
        <f aca="false">IF(AND($AE83=Constants!$B$7, T83, U83) ,MAX(0, $AA83-$Y83),"")</f>
        <v/>
      </c>
      <c r="AI83" s="96" t="str">
        <f aca="false">IF(ISERROR(AH83),$AI$6,"")</f>
        <v/>
      </c>
      <c r="AJ83" s="96" t="str">
        <f aca="false">IF($AE83=Constants!$B$7,IF(AND(T83,U83,W83),IF($AH$6=0,Constants!$B$9,Constants!$B$9*AH83/$AH$6), 0),"")</f>
        <v/>
      </c>
      <c r="AK83" s="96" t="str">
        <f aca="false">IF(AJ83&lt;&gt;"", AJ83*AG83,"")</f>
        <v/>
      </c>
      <c r="AL83" s="96" t="str">
        <f aca="false">IF(AND($AE83=Constants!$B$7, T83, U83) ,IF($Z83="", "", MAX(0,1-ABS($AA83-$Z83)/$AA83)),"")</f>
        <v/>
      </c>
      <c r="AM83" s="96" t="str">
        <f aca="false">IF(AND(NOT(ISERROR(AH83)),ISERROR(AL83)),$AM$6,"")</f>
        <v/>
      </c>
      <c r="AN83" s="96" t="str">
        <f aca="false">IF($AE83=Constants!$B$7 ,IF(AND(T83,U83,W83,ISNUMBER(Z83)),IF($AL$6=0,Constants!$B$10,Constants!$B$10*AL83/$AL$6), 0),"")</f>
        <v/>
      </c>
      <c r="AO83" s="96" t="str">
        <f aca="false">IF(AN83&lt;&gt;"", AN83*AG83,"")</f>
        <v/>
      </c>
      <c r="AP83" s="96" t="str">
        <f aca="false">IF($AE83=Constants!$B$7,IF($AP$6=0,Constants!$B$8,Constants!$B$8*AB83/$AP$6),"")</f>
        <v/>
      </c>
      <c r="AQ83" s="96" t="str">
        <f aca="false">IF($AE83&lt;&gt;Constants!$B$7,$AE83,AK83+AO83+AP83)</f>
        <v/>
      </c>
      <c r="AR83" s="96" t="str">
        <f aca="false">IF(ISBLANK($C83),"",IF($AE83=Constants!$B$7,RANK(AQ83,$AQ$8:$AQ$507),$AE83))</f>
        <v/>
      </c>
      <c r="AS83" s="96" t="str">
        <f aca="false">IF(ISBLANK($C83), "",AK83)</f>
        <v/>
      </c>
      <c r="AT83" s="96" t="str">
        <f aca="false">IF(ISBLANK($C83),"",IF($AE83=Constants!$B$7,RANK(AS83,AS$8:AS$507),$AE83))</f>
        <v/>
      </c>
      <c r="AU83" s="96" t="str">
        <f aca="false">IF(ISBLANK($C83), "",AP83)</f>
        <v/>
      </c>
      <c r="AV83" s="96" t="str">
        <f aca="false">IF(ISBLANK($C83),"",IF($AE83=Constants!$B$7,RANK(AU83,AU$8:AU$507),$AE83))</f>
        <v/>
      </c>
      <c r="AW83" s="96" t="str">
        <f aca="false">IF(ISBLANK($C83), "",AC83)</f>
        <v/>
      </c>
      <c r="AX83" s="96" t="str">
        <f aca="false">IF(ISBLANK($C83),"",
IF($AE83=Constants!$B$7,
  COUNTIFS($AR$8:$AR$507,"&lt;"&amp;$AR83)
  + COUNTIFS($AR$8:$AR$507,$AR83,$AT$8:$AT$507,"&lt;"&amp;$AT83)
  + COUNTIFS($AR$8:$AR$507,$AR83,$AT$8:$AT$507,$AT83,$AV$8:$AV$507,"&lt;"&amp;$AV83)
  + COUNTIFS($AR$8:$AR$507,$AR83,$AT$8:$AT$507,$AT83,$AV$8:$AV$507,$AV83,$AW$8:$AW$507,"&lt;"&amp;$AW83)
  + 1,
$AE83))</f>
        <v/>
      </c>
      <c r="AY83" s="96" t="str">
        <f aca="false">IF(ISBLANK(C83),"",IF($AE83=Constants!$B$7, AR83-AX83,$AE83))</f>
        <v/>
      </c>
      <c r="AZ83" s="100"/>
      <c r="BA83" s="101" t="str">
        <f aca="false">IF(ISBLANK($C83),"",TRIM(AI83&amp;" "&amp;AM83))</f>
        <v/>
      </c>
      <c r="BB83" s="102" t="str">
        <f aca="false">IF(ISBLANK($C83),"",IF($AE83&lt;&gt;Constants!$B$7, $AE83 ,AQ83))</f>
        <v/>
      </c>
      <c r="BC83" s="103" t="str">
        <f aca="false">IF(ISBLANK($C83),"",IF($AE83&lt;&gt;Constants!$B$7, $AE83 ,AF83))</f>
        <v/>
      </c>
      <c r="BD83" s="104" t="str">
        <f aca="false">IF(ISBLANK(C83),"",AY83)</f>
        <v/>
      </c>
      <c r="BE83" s="104" t="str">
        <f aca="false">IF(ISBLANK(C83),"",AX83)</f>
        <v/>
      </c>
      <c r="BF83" s="105" t="str">
        <f aca="false">IF(ISBLANK(C83),"",IFERROR(_xlfn.SWITCH(BE83, Constants!$B$4, COUNTA($C$8:$C582)+2, Constants!$B$5, COUNTA($C$8:$C582)+1, Constants!$B$6, COUNTA($C$8:$C582)),BE83))</f>
        <v/>
      </c>
      <c r="BG83" s="5"/>
      <c r="BH83" s="106" t="n">
        <f aca="false">IF(OR(ISNUMBER(BE83),BE83="DQ",BE83="P",BE83="NS"),
    1,
    0
)</f>
        <v>0</v>
      </c>
      <c r="BI83" s="106" t="n">
        <v>76</v>
      </c>
      <c r="BJ83" s="106" t="str">
        <f aca="false">IF(ISBLANK($C83),
    "",
   BF83+ROW($B83)/1000
)</f>
        <v/>
      </c>
      <c r="BK83" s="106" t="str">
        <f aca="false">IF(ISNUMBER(BJ83), RANK(BJ83,BJ$8:BJ$507,1), "")</f>
        <v/>
      </c>
      <c r="BL83" s="106" t="str">
        <f aca="false">IF(ISBLANK($C83),
    "",
    $B83
)</f>
        <v/>
      </c>
      <c r="BM83" s="106" t="str">
        <f aca="false">IF(ISBLANK($C83),
    "",
    $C83
)</f>
        <v/>
      </c>
      <c r="BN83" s="106" t="str">
        <f aca="false">IF(ISBLANK($C83),
    "",
    $D83
)</f>
        <v/>
      </c>
      <c r="BO83" s="107" t="str">
        <f aca="false">BC83</f>
        <v/>
      </c>
      <c r="BP83" s="108" t="str">
        <f aca="false">BB83</f>
        <v/>
      </c>
      <c r="BQ83" s="106" t="str">
        <f aca="false">IF(ISBLANK($C83),
    "",
    BE83
)</f>
        <v/>
      </c>
      <c r="BR83" s="109" t="str">
        <f aca="false">IF(BI83&gt;BH$7,
    "",
    VLOOKUP(BI83,BK$8:BQ582,7,FALSE())
)</f>
        <v/>
      </c>
      <c r="BS83" s="110" t="str">
        <f aca="false">IF(BI83&gt;BH$7,
    "",
    VLOOKUP(BI83,BK$8:BQ582,2,FALSE())
)</f>
        <v/>
      </c>
      <c r="BT83" s="110" t="str">
        <f aca="false">IF(BI83&gt;BH$7,
    "",
    VLOOKUP(BI83,BK$8:BQ582,3,FALSE())
)</f>
        <v/>
      </c>
      <c r="BU83" s="110" t="str">
        <f aca="false">IF(BI83&gt;BH$7,
    "",
    VLOOKUP(BI83,BK$8:BQ582,4,FALSE())
)</f>
        <v/>
      </c>
      <c r="BV83" s="110" t="str">
        <f aca="false">IF(BI83&gt;BH$7,
    "",
    VLOOKUP(BI83,BK$8:BQ582,5,FALSE())
)</f>
        <v/>
      </c>
      <c r="BW83" s="111" t="str">
        <f aca="false">IF(BI83&gt;BH$7,
    "",
    VLOOKUP(BI83,BK$8:BQ582,6,FALSE())
)</f>
        <v/>
      </c>
      <c r="BX83" s="50"/>
    </row>
    <row r="84" customFormat="false" ht="15.75" hidden="false" customHeight="false" outlineLevel="0" collapsed="false">
      <c r="A84" s="5"/>
      <c r="B84" s="122"/>
      <c r="C84" s="123"/>
      <c r="D84" s="112"/>
      <c r="E84" s="116"/>
      <c r="F84" s="116"/>
      <c r="G84" s="88"/>
      <c r="H84" s="89"/>
      <c r="I84" s="125"/>
      <c r="J84" s="125"/>
      <c r="K84" s="125"/>
      <c r="L84" s="91"/>
      <c r="M84" s="91"/>
      <c r="N84" s="91"/>
      <c r="O84" s="92"/>
      <c r="P84" s="93"/>
      <c r="Q84" s="125"/>
      <c r="R84" s="95"/>
      <c r="S84" s="96"/>
      <c r="T84" s="96" t="str">
        <f aca="false">IF(ISBLANK($C84),"",IF(G84=Constants!$B$2, TRUE(), IF(G84=Constants!$B$3, FALSE(), TRUE())))</f>
        <v/>
      </c>
      <c r="U84" s="96" t="str">
        <f aca="false">IF(ISBLANK($C84),"",IF(H84=Constants!$B$2, TRUE(), IF(H84=Constants!$B$3, FALSE(), TRUE())))</f>
        <v/>
      </c>
      <c r="V84" s="96" t="str">
        <f aca="false">IF(ISBLANK($C84),"",IF(I84=Constants!$B$2, TRUE(), IF(I84=Constants!$B$3, FALSE(), TRUE())))</f>
        <v/>
      </c>
      <c r="W84" s="96" t="str">
        <f aca="false">IF(ISBLANK($C84),"",IF(J84=Constants!$B$2, TRUE(), IF(J84=Constants!$B$3, FALSE(), TRUE())))</f>
        <v/>
      </c>
      <c r="X84" s="97" t="str">
        <f aca="false">IF(ISBLANK($C84),"",IF(K84=Constants!$B$2, TRUE(), IF(K84=Constants!$B$3, FALSE(), TRUE())))</f>
        <v/>
      </c>
      <c r="Y84" s="98" t="str">
        <f aca="false">IF(ISBLANK($C84),"",IF(ISNUMBER(L84), L84, ""))</f>
        <v/>
      </c>
      <c r="Z84" s="98" t="str">
        <f aca="false">IF(ISBLANK($C84),"",IF(ISNUMBER(M84), M84, ""))</f>
        <v/>
      </c>
      <c r="AA84" s="98" t="str">
        <f aca="false">IF(ISBLANK($C84),"",IF(ISNUMBER(N84), N84, ""))</f>
        <v/>
      </c>
      <c r="AB84" s="99" t="str">
        <f aca="false">IF(ISBLANK($C84),"",IF(ISNUMBER(O84), O84, ""))</f>
        <v/>
      </c>
      <c r="AC84" s="99" t="str">
        <f aca="false">IF(ISBLANK($C84),"",IF(ISNUMBER(P84), P84, Constants!$B$13))</f>
        <v/>
      </c>
      <c r="AD84" s="96" t="str">
        <f aca="false">IF(ISBLANK($C84),"",IF(Q84=Constants!$B$2, TRUE(), IF(Q84=Constants!$B$3, FALSE(), FALSE())))</f>
        <v/>
      </c>
      <c r="AE84" s="96" t="str">
        <f aca="false">IF(ISBLANK(C84), "", IF(AD84, Constants!$B$4,IF(COUNTA(G84:O84)=0, Constants!$B$5, Constants!$B$7)))</f>
        <v/>
      </c>
      <c r="AF84" s="96" t="str">
        <f aca="false">IF(ISBLANK($C84), "",IF($AE84=Constants!$B$7,1,$AE84))</f>
        <v/>
      </c>
      <c r="AG84" s="96" t="str">
        <f aca="false">IF($AE84=Constants!$B$7,IF(V84, 1, Constants!$B$11) * IF(X84, 1, Constants!$B$12),"")</f>
        <v/>
      </c>
      <c r="AH84" s="96" t="str">
        <f aca="false">IF(AND($AE84=Constants!$B$7, T84, U84) ,MAX(0, $AA84-$Y84),"")</f>
        <v/>
      </c>
      <c r="AI84" s="96" t="str">
        <f aca="false">IF(ISERROR(AH84),$AI$6,"")</f>
        <v/>
      </c>
      <c r="AJ84" s="96" t="str">
        <f aca="false">IF($AE84=Constants!$B$7,IF(AND(T84,U84,W84),IF($AH$6=0,Constants!$B$9,Constants!$B$9*AH84/$AH$6), 0),"")</f>
        <v/>
      </c>
      <c r="AK84" s="96" t="str">
        <f aca="false">IF(AJ84&lt;&gt;"", AJ84*AG84,"")</f>
        <v/>
      </c>
      <c r="AL84" s="96" t="str">
        <f aca="false">IF(AND($AE84=Constants!$B$7, T84, U84) ,IF($Z84="", "", MAX(0,1-ABS($AA84-$Z84)/$AA84)),"")</f>
        <v/>
      </c>
      <c r="AM84" s="96" t="str">
        <f aca="false">IF(AND(NOT(ISERROR(AH84)),ISERROR(AL84)),$AM$6,"")</f>
        <v/>
      </c>
      <c r="AN84" s="96" t="str">
        <f aca="false">IF($AE84=Constants!$B$7 ,IF(AND(T84,U84,W84,ISNUMBER(Z84)),IF($AL$6=0,Constants!$B$10,Constants!$B$10*AL84/$AL$6), 0),"")</f>
        <v/>
      </c>
      <c r="AO84" s="96" t="str">
        <f aca="false">IF(AN84&lt;&gt;"", AN84*AG84,"")</f>
        <v/>
      </c>
      <c r="AP84" s="96" t="str">
        <f aca="false">IF($AE84=Constants!$B$7,IF($AP$6=0,Constants!$B$8,Constants!$B$8*AB84/$AP$6),"")</f>
        <v/>
      </c>
      <c r="AQ84" s="96" t="str">
        <f aca="false">IF($AE84&lt;&gt;Constants!$B$7,$AE84,AK84+AO84+AP84)</f>
        <v/>
      </c>
      <c r="AR84" s="96" t="str">
        <f aca="false">IF(ISBLANK($C84),"",IF($AE84=Constants!$B$7,RANK(AQ84,$AQ$8:$AQ$507),$AE84))</f>
        <v/>
      </c>
      <c r="AS84" s="96" t="str">
        <f aca="false">IF(ISBLANK($C84), "",AK84)</f>
        <v/>
      </c>
      <c r="AT84" s="96" t="str">
        <f aca="false">IF(ISBLANK($C84),"",IF($AE84=Constants!$B$7,RANK(AS84,AS$8:AS$507),$AE84))</f>
        <v/>
      </c>
      <c r="AU84" s="96" t="str">
        <f aca="false">IF(ISBLANK($C84), "",AP84)</f>
        <v/>
      </c>
      <c r="AV84" s="96" t="str">
        <f aca="false">IF(ISBLANK($C84),"",IF($AE84=Constants!$B$7,RANK(AU84,AU$8:AU$507),$AE84))</f>
        <v/>
      </c>
      <c r="AW84" s="96" t="str">
        <f aca="false">IF(ISBLANK($C84), "",AC84)</f>
        <v/>
      </c>
      <c r="AX84" s="96" t="str">
        <f aca="false">IF(ISBLANK($C84),"",
IF($AE84=Constants!$B$7,
  COUNTIFS($AR$8:$AR$507,"&lt;"&amp;$AR84)
  + COUNTIFS($AR$8:$AR$507,$AR84,$AT$8:$AT$507,"&lt;"&amp;$AT84)
  + COUNTIFS($AR$8:$AR$507,$AR84,$AT$8:$AT$507,$AT84,$AV$8:$AV$507,"&lt;"&amp;$AV84)
  + COUNTIFS($AR$8:$AR$507,$AR84,$AT$8:$AT$507,$AT84,$AV$8:$AV$507,$AV84,$AW$8:$AW$507,"&lt;"&amp;$AW84)
  + 1,
$AE84))</f>
        <v/>
      </c>
      <c r="AY84" s="96" t="str">
        <f aca="false">IF(ISBLANK(C84),"",IF($AE84=Constants!$B$7, AR84-AX84,$AE84))</f>
        <v/>
      </c>
      <c r="AZ84" s="100"/>
      <c r="BA84" s="101" t="str">
        <f aca="false">IF(ISBLANK($C84),"",TRIM(AI84&amp;" "&amp;AM84))</f>
        <v/>
      </c>
      <c r="BB84" s="102" t="str">
        <f aca="false">IF(ISBLANK($C84),"",IF($AE84&lt;&gt;Constants!$B$7, $AE84 ,AQ84))</f>
        <v/>
      </c>
      <c r="BC84" s="103" t="str">
        <f aca="false">IF(ISBLANK($C84),"",IF($AE84&lt;&gt;Constants!$B$7, $AE84 ,AF84))</f>
        <v/>
      </c>
      <c r="BD84" s="104" t="str">
        <f aca="false">IF(ISBLANK(C84),"",AY84)</f>
        <v/>
      </c>
      <c r="BE84" s="104" t="str">
        <f aca="false">IF(ISBLANK(C84),"",AX84)</f>
        <v/>
      </c>
      <c r="BF84" s="105" t="str">
        <f aca="false">IF(ISBLANK(C84),"",IFERROR(_xlfn.SWITCH(BE84, Constants!$B$4, COUNTA($C$8:$C583)+2, Constants!$B$5, COUNTA($C$8:$C583)+1, Constants!$B$6, COUNTA($C$8:$C583)),BE84))</f>
        <v/>
      </c>
      <c r="BG84" s="5"/>
      <c r="BH84" s="106" t="n">
        <f aca="false">IF(OR(ISNUMBER(BE84),BE84="DQ",BE84="P",BE84="NS"),
    1,
    0
)</f>
        <v>0</v>
      </c>
      <c r="BI84" s="106" t="n">
        <v>77</v>
      </c>
      <c r="BJ84" s="106" t="str">
        <f aca="false">IF(ISBLANK($C84),
    "",
   BF84+ROW($B84)/1000
)</f>
        <v/>
      </c>
      <c r="BK84" s="106" t="str">
        <f aca="false">IF(ISNUMBER(BJ84), RANK(BJ84,BJ$8:BJ$507,1), "")</f>
        <v/>
      </c>
      <c r="BL84" s="106" t="str">
        <f aca="false">IF(ISBLANK($C84),
    "",
    $B84
)</f>
        <v/>
      </c>
      <c r="BM84" s="106" t="str">
        <f aca="false">IF(ISBLANK($C84),
    "",
    $C84
)</f>
        <v/>
      </c>
      <c r="BN84" s="106" t="str">
        <f aca="false">IF(ISBLANK($C84),
    "",
    $D84
)</f>
        <v/>
      </c>
      <c r="BO84" s="107" t="str">
        <f aca="false">BC84</f>
        <v/>
      </c>
      <c r="BP84" s="108" t="str">
        <f aca="false">BB84</f>
        <v/>
      </c>
      <c r="BQ84" s="106" t="str">
        <f aca="false">IF(ISBLANK($C84),
    "",
    BE84
)</f>
        <v/>
      </c>
      <c r="BR84" s="109" t="str">
        <f aca="false">IF(BI84&gt;BH$7,
    "",
    VLOOKUP(BI84,BK$8:BQ583,7,FALSE())
)</f>
        <v/>
      </c>
      <c r="BS84" s="110" t="str">
        <f aca="false">IF(BI84&gt;BH$7,
    "",
    VLOOKUP(BI84,BK$8:BQ583,2,FALSE())
)</f>
        <v/>
      </c>
      <c r="BT84" s="110" t="str">
        <f aca="false">IF(BI84&gt;BH$7,
    "",
    VLOOKUP(BI84,BK$8:BQ583,3,FALSE())
)</f>
        <v/>
      </c>
      <c r="BU84" s="110" t="str">
        <f aca="false">IF(BI84&gt;BH$7,
    "",
    VLOOKUP(BI84,BK$8:BQ583,4,FALSE())
)</f>
        <v/>
      </c>
      <c r="BV84" s="110" t="str">
        <f aca="false">IF(BI84&gt;BH$7,
    "",
    VLOOKUP(BI84,BK$8:BQ583,5,FALSE())
)</f>
        <v/>
      </c>
      <c r="BW84" s="111" t="str">
        <f aca="false">IF(BI84&gt;BH$7,
    "",
    VLOOKUP(BI84,BK$8:BQ583,6,FALSE())
)</f>
        <v/>
      </c>
      <c r="BX84" s="50"/>
    </row>
    <row r="85" customFormat="false" ht="15.75" hidden="false" customHeight="false" outlineLevel="0" collapsed="false">
      <c r="A85" s="5"/>
      <c r="B85" s="122"/>
      <c r="C85" s="123"/>
      <c r="D85" s="112"/>
      <c r="E85" s="116"/>
      <c r="F85" s="116"/>
      <c r="G85" s="88"/>
      <c r="H85" s="89"/>
      <c r="I85" s="125"/>
      <c r="J85" s="125"/>
      <c r="K85" s="125"/>
      <c r="L85" s="91"/>
      <c r="M85" s="91"/>
      <c r="N85" s="91"/>
      <c r="O85" s="92"/>
      <c r="P85" s="93"/>
      <c r="Q85" s="125"/>
      <c r="R85" s="95"/>
      <c r="S85" s="96"/>
      <c r="T85" s="96" t="str">
        <f aca="false">IF(ISBLANK($C85),"",IF(G85=Constants!$B$2, TRUE(), IF(G85=Constants!$B$3, FALSE(), TRUE())))</f>
        <v/>
      </c>
      <c r="U85" s="96" t="str">
        <f aca="false">IF(ISBLANK($C85),"",IF(H85=Constants!$B$2, TRUE(), IF(H85=Constants!$B$3, FALSE(), TRUE())))</f>
        <v/>
      </c>
      <c r="V85" s="96" t="str">
        <f aca="false">IF(ISBLANK($C85),"",IF(I85=Constants!$B$2, TRUE(), IF(I85=Constants!$B$3, FALSE(), TRUE())))</f>
        <v/>
      </c>
      <c r="W85" s="96" t="str">
        <f aca="false">IF(ISBLANK($C85),"",IF(J85=Constants!$B$2, TRUE(), IF(J85=Constants!$B$3, FALSE(), TRUE())))</f>
        <v/>
      </c>
      <c r="X85" s="97" t="str">
        <f aca="false">IF(ISBLANK($C85),"",IF(K85=Constants!$B$2, TRUE(), IF(K85=Constants!$B$3, FALSE(), TRUE())))</f>
        <v/>
      </c>
      <c r="Y85" s="98" t="str">
        <f aca="false">IF(ISBLANK($C85),"",IF(ISNUMBER(L85), L85, ""))</f>
        <v/>
      </c>
      <c r="Z85" s="98" t="str">
        <f aca="false">IF(ISBLANK($C85),"",IF(ISNUMBER(M85), M85, ""))</f>
        <v/>
      </c>
      <c r="AA85" s="98" t="str">
        <f aca="false">IF(ISBLANK($C85),"",IF(ISNUMBER(N85), N85, ""))</f>
        <v/>
      </c>
      <c r="AB85" s="99" t="str">
        <f aca="false">IF(ISBLANK($C85),"",IF(ISNUMBER(O85), O85, ""))</f>
        <v/>
      </c>
      <c r="AC85" s="99" t="str">
        <f aca="false">IF(ISBLANK($C85),"",IF(ISNUMBER(P85), P85, Constants!$B$13))</f>
        <v/>
      </c>
      <c r="AD85" s="96" t="str">
        <f aca="false">IF(ISBLANK($C85),"",IF(Q85=Constants!$B$2, TRUE(), IF(Q85=Constants!$B$3, FALSE(), FALSE())))</f>
        <v/>
      </c>
      <c r="AE85" s="96" t="str">
        <f aca="false">IF(ISBLANK(C85), "", IF(AD85, Constants!$B$4,IF(COUNTA(G85:O85)=0, Constants!$B$5, Constants!$B$7)))</f>
        <v/>
      </c>
      <c r="AF85" s="96" t="str">
        <f aca="false">IF(ISBLANK($C85), "",IF($AE85=Constants!$B$7,1,$AE85))</f>
        <v/>
      </c>
      <c r="AG85" s="96" t="str">
        <f aca="false">IF($AE85=Constants!$B$7,IF(V85, 1, Constants!$B$11) * IF(X85, 1, Constants!$B$12),"")</f>
        <v/>
      </c>
      <c r="AH85" s="96" t="str">
        <f aca="false">IF(AND($AE85=Constants!$B$7, T85, U85) ,MAX(0, $AA85-$Y85),"")</f>
        <v/>
      </c>
      <c r="AI85" s="96" t="str">
        <f aca="false">IF(ISERROR(AH85),$AI$6,"")</f>
        <v/>
      </c>
      <c r="AJ85" s="96" t="str">
        <f aca="false">IF($AE85=Constants!$B$7,IF(AND(T85,U85,W85),IF($AH$6=0,Constants!$B$9,Constants!$B$9*AH85/$AH$6), 0),"")</f>
        <v/>
      </c>
      <c r="AK85" s="96" t="str">
        <f aca="false">IF(AJ85&lt;&gt;"", AJ85*AG85,"")</f>
        <v/>
      </c>
      <c r="AL85" s="96" t="str">
        <f aca="false">IF(AND($AE85=Constants!$B$7, T85, U85) ,IF($Z85="", "", MAX(0,1-ABS($AA85-$Z85)/$AA85)),"")</f>
        <v/>
      </c>
      <c r="AM85" s="96" t="str">
        <f aca="false">IF(AND(NOT(ISERROR(AH85)),ISERROR(AL85)),$AM$6,"")</f>
        <v/>
      </c>
      <c r="AN85" s="96" t="str">
        <f aca="false">IF($AE85=Constants!$B$7 ,IF(AND(T85,U85,W85,ISNUMBER(Z85)),IF($AL$6=0,Constants!$B$10,Constants!$B$10*AL85/$AL$6), 0),"")</f>
        <v/>
      </c>
      <c r="AO85" s="96" t="str">
        <f aca="false">IF(AN85&lt;&gt;"", AN85*AG85,"")</f>
        <v/>
      </c>
      <c r="AP85" s="96" t="str">
        <f aca="false">IF($AE85=Constants!$B$7,IF($AP$6=0,Constants!$B$8,Constants!$B$8*AB85/$AP$6),"")</f>
        <v/>
      </c>
      <c r="AQ85" s="96" t="str">
        <f aca="false">IF($AE85&lt;&gt;Constants!$B$7,$AE85,AK85+AO85+AP85)</f>
        <v/>
      </c>
      <c r="AR85" s="96" t="str">
        <f aca="false">IF(ISBLANK($C85),"",IF($AE85=Constants!$B$7,RANK(AQ85,$AQ$8:$AQ$507),$AE85))</f>
        <v/>
      </c>
      <c r="AS85" s="96" t="str">
        <f aca="false">IF(ISBLANK($C85), "",AK85)</f>
        <v/>
      </c>
      <c r="AT85" s="96" t="str">
        <f aca="false">IF(ISBLANK($C85),"",IF($AE85=Constants!$B$7,RANK(AS85,AS$8:AS$507),$AE85))</f>
        <v/>
      </c>
      <c r="AU85" s="96" t="str">
        <f aca="false">IF(ISBLANK($C85), "",AP85)</f>
        <v/>
      </c>
      <c r="AV85" s="96" t="str">
        <f aca="false">IF(ISBLANK($C85),"",IF($AE85=Constants!$B$7,RANK(AU85,AU$8:AU$507),$AE85))</f>
        <v/>
      </c>
      <c r="AW85" s="96" t="str">
        <f aca="false">IF(ISBLANK($C85), "",AC85)</f>
        <v/>
      </c>
      <c r="AX85" s="96" t="str">
        <f aca="false">IF(ISBLANK($C85),"",
IF($AE85=Constants!$B$7,
  COUNTIFS($AR$8:$AR$507,"&lt;"&amp;$AR85)
  + COUNTIFS($AR$8:$AR$507,$AR85,$AT$8:$AT$507,"&lt;"&amp;$AT85)
  + COUNTIFS($AR$8:$AR$507,$AR85,$AT$8:$AT$507,$AT85,$AV$8:$AV$507,"&lt;"&amp;$AV85)
  + COUNTIFS($AR$8:$AR$507,$AR85,$AT$8:$AT$507,$AT85,$AV$8:$AV$507,$AV85,$AW$8:$AW$507,"&lt;"&amp;$AW85)
  + 1,
$AE85))</f>
        <v/>
      </c>
      <c r="AY85" s="96" t="str">
        <f aca="false">IF(ISBLANK(C85),"",IF($AE85=Constants!$B$7, AR85-AX85,$AE85))</f>
        <v/>
      </c>
      <c r="AZ85" s="100"/>
      <c r="BA85" s="101" t="str">
        <f aca="false">IF(ISBLANK($C85),"",TRIM(AI85&amp;" "&amp;AM85))</f>
        <v/>
      </c>
      <c r="BB85" s="102" t="str">
        <f aca="false">IF(ISBLANK($C85),"",IF($AE85&lt;&gt;Constants!$B$7, $AE85 ,AQ85))</f>
        <v/>
      </c>
      <c r="BC85" s="103" t="str">
        <f aca="false">IF(ISBLANK($C85),"",IF($AE85&lt;&gt;Constants!$B$7, $AE85 ,AF85))</f>
        <v/>
      </c>
      <c r="BD85" s="104" t="str">
        <f aca="false">IF(ISBLANK(C85),"",AY85)</f>
        <v/>
      </c>
      <c r="BE85" s="104" t="str">
        <f aca="false">IF(ISBLANK(C85),"",AX85)</f>
        <v/>
      </c>
      <c r="BF85" s="105" t="str">
        <f aca="false">IF(ISBLANK(C85),"",IFERROR(_xlfn.SWITCH(BE85, Constants!$B$4, COUNTA($C$8:$C584)+2, Constants!$B$5, COUNTA($C$8:$C584)+1, Constants!$B$6, COUNTA($C$8:$C584)),BE85))</f>
        <v/>
      </c>
      <c r="BG85" s="5"/>
      <c r="BH85" s="106" t="n">
        <f aca="false">IF(OR(ISNUMBER(BE85),BE85="DQ",BE85="P",BE85="NS"),
    1,
    0
)</f>
        <v>0</v>
      </c>
      <c r="BI85" s="106" t="n">
        <v>78</v>
      </c>
      <c r="BJ85" s="106" t="str">
        <f aca="false">IF(ISBLANK($C85),
    "",
   BF85+ROW($B85)/1000
)</f>
        <v/>
      </c>
      <c r="BK85" s="106" t="str">
        <f aca="false">IF(ISNUMBER(BJ85), RANK(BJ85,BJ$8:BJ$507,1), "")</f>
        <v/>
      </c>
      <c r="BL85" s="106" t="str">
        <f aca="false">IF(ISBLANK($C85),
    "",
    $B85
)</f>
        <v/>
      </c>
      <c r="BM85" s="106" t="str">
        <f aca="false">IF(ISBLANK($C85),
    "",
    $C85
)</f>
        <v/>
      </c>
      <c r="BN85" s="106" t="str">
        <f aca="false">IF(ISBLANK($C85),
    "",
    $D85
)</f>
        <v/>
      </c>
      <c r="BO85" s="107" t="str">
        <f aca="false">BC85</f>
        <v/>
      </c>
      <c r="BP85" s="108" t="str">
        <f aca="false">BB85</f>
        <v/>
      </c>
      <c r="BQ85" s="106" t="str">
        <f aca="false">IF(ISBLANK($C85),
    "",
    BE85
)</f>
        <v/>
      </c>
      <c r="BR85" s="109" t="str">
        <f aca="false">IF(BI85&gt;BH$7,
    "",
    VLOOKUP(BI85,BK$8:BQ584,7,FALSE())
)</f>
        <v/>
      </c>
      <c r="BS85" s="110" t="str">
        <f aca="false">IF(BI85&gt;BH$7,
    "",
    VLOOKUP(BI85,BK$8:BQ584,2,FALSE())
)</f>
        <v/>
      </c>
      <c r="BT85" s="110" t="str">
        <f aca="false">IF(BI85&gt;BH$7,
    "",
    VLOOKUP(BI85,BK$8:BQ584,3,FALSE())
)</f>
        <v/>
      </c>
      <c r="BU85" s="110" t="str">
        <f aca="false">IF(BI85&gt;BH$7,
    "",
    VLOOKUP(BI85,BK$8:BQ584,4,FALSE())
)</f>
        <v/>
      </c>
      <c r="BV85" s="110" t="str">
        <f aca="false">IF(BI85&gt;BH$7,
    "",
    VLOOKUP(BI85,BK$8:BQ584,5,FALSE())
)</f>
        <v/>
      </c>
      <c r="BW85" s="111" t="str">
        <f aca="false">IF(BI85&gt;BH$7,
    "",
    VLOOKUP(BI85,BK$8:BQ584,6,FALSE())
)</f>
        <v/>
      </c>
      <c r="BX85" s="50"/>
    </row>
    <row r="86" customFormat="false" ht="15.75" hidden="false" customHeight="false" outlineLevel="0" collapsed="false">
      <c r="A86" s="5"/>
      <c r="B86" s="126"/>
      <c r="C86" s="52"/>
      <c r="D86" s="53"/>
      <c r="E86" s="120"/>
      <c r="F86" s="120"/>
      <c r="G86" s="55"/>
      <c r="H86" s="56"/>
      <c r="I86" s="80"/>
      <c r="J86" s="80"/>
      <c r="K86" s="80"/>
      <c r="L86" s="58"/>
      <c r="M86" s="58"/>
      <c r="N86" s="58"/>
      <c r="O86" s="59"/>
      <c r="P86" s="60"/>
      <c r="Q86" s="80"/>
      <c r="R86" s="62"/>
      <c r="S86" s="63"/>
      <c r="T86" s="63" t="str">
        <f aca="false">IF(ISBLANK($C86),"",IF(G86=Constants!$B$2, TRUE(), IF(G86=Constants!$B$3, FALSE(), TRUE())))</f>
        <v/>
      </c>
      <c r="U86" s="63" t="str">
        <f aca="false">IF(ISBLANK($C86),"",IF(H86=Constants!$B$2, TRUE(), IF(H86=Constants!$B$3, FALSE(), TRUE())))</f>
        <v/>
      </c>
      <c r="V86" s="63" t="str">
        <f aca="false">IF(ISBLANK($C86),"",IF(I86=Constants!$B$2, TRUE(), IF(I86=Constants!$B$3, FALSE(), TRUE())))</f>
        <v/>
      </c>
      <c r="W86" s="63" t="str">
        <f aca="false">IF(ISBLANK($C86),"",IF(J86=Constants!$B$2, TRUE(), IF(J86=Constants!$B$3, FALSE(), TRUE())))</f>
        <v/>
      </c>
      <c r="X86" s="63" t="str">
        <f aca="false">IF(ISBLANK($C86),"",IF(K86=Constants!$B$2, TRUE(), IF(K86=Constants!$B$3, FALSE(), TRUE())))</f>
        <v/>
      </c>
      <c r="Y86" s="65" t="str">
        <f aca="false">IF(ISBLANK($C86),"",IF(ISNUMBER(L86), L86, ""))</f>
        <v/>
      </c>
      <c r="Z86" s="65" t="str">
        <f aca="false">IF(ISBLANK($C86),"",IF(ISNUMBER(M86), M86, ""))</f>
        <v/>
      </c>
      <c r="AA86" s="65" t="str">
        <f aca="false">IF(ISBLANK($C86),"",IF(ISNUMBER(N86), N86, ""))</f>
        <v/>
      </c>
      <c r="AB86" s="66" t="str">
        <f aca="false">IF(ISBLANK($C86),"",IF(ISNUMBER(O86), O86, ""))</f>
        <v/>
      </c>
      <c r="AC86" s="66" t="str">
        <f aca="false">IF(ISBLANK($C86),"",IF(ISNUMBER(P86), P86, Constants!$B$13))</f>
        <v/>
      </c>
      <c r="AD86" s="63" t="str">
        <f aca="false">IF(ISBLANK($C86),"",IF(Q86=Constants!$B$2, TRUE(), IF(Q86=Constants!$B$3, FALSE(), FALSE())))</f>
        <v/>
      </c>
      <c r="AE86" s="63" t="str">
        <f aca="false">IF(ISBLANK(C86), "", IF(AD86, Constants!$B$4,IF(COUNTA(G86:O86)=0, Constants!$B$5, Constants!$B$7)))</f>
        <v/>
      </c>
      <c r="AF86" s="63" t="str">
        <f aca="false">IF(ISBLANK($C86), "",IF($AE86=Constants!$B$7,1,$AE86))</f>
        <v/>
      </c>
      <c r="AG86" s="63" t="str">
        <f aca="false">IF($AE86=Constants!$B$7,IF(V86, 1, Constants!$B$11) * IF(X86, 1, Constants!$B$12),"")</f>
        <v/>
      </c>
      <c r="AH86" s="63" t="str">
        <f aca="false">IF(AND($AE86=Constants!$B$7, T86, U86) ,MAX(0, $AA86-$Y86),"")</f>
        <v/>
      </c>
      <c r="AI86" s="63" t="str">
        <f aca="false">IF(ISERROR(AH86),$AI$6,"")</f>
        <v/>
      </c>
      <c r="AJ86" s="63" t="str">
        <f aca="false">IF($AE86=Constants!$B$7,IF(AND(T86,U86,W86),IF($AH$6=0,Constants!$B$9,Constants!$B$9*AH86/$AH$6), 0),"")</f>
        <v/>
      </c>
      <c r="AK86" s="63" t="str">
        <f aca="false">IF(AJ86&lt;&gt;"", AJ86*AG86,"")</f>
        <v/>
      </c>
      <c r="AL86" s="63" t="str">
        <f aca="false">IF(AND($AE86=Constants!$B$7, T86, U86) ,IF($Z86="", "", MAX(0,1-ABS($AA86-$Z86)/$AA86)),"")</f>
        <v/>
      </c>
      <c r="AM86" s="63" t="str">
        <f aca="false">IF(AND(NOT(ISERROR(AH86)),ISERROR(AL86)),$AM$6,"")</f>
        <v/>
      </c>
      <c r="AN86" s="63" t="str">
        <f aca="false">IF($AE86=Constants!$B$7 ,IF(AND(T86,U86,W86,ISNUMBER(Z86)),IF($AL$6=0,Constants!$B$10,Constants!$B$10*AL86/$AL$6), 0),"")</f>
        <v/>
      </c>
      <c r="AO86" s="63" t="str">
        <f aca="false">IF(AN86&lt;&gt;"", AN86*AG86,"")</f>
        <v/>
      </c>
      <c r="AP86" s="63" t="str">
        <f aca="false">IF($AE86=Constants!$B$7,IF($AP$6=0,Constants!$B$8,Constants!$B$8*AB86/$AP$6),"")</f>
        <v/>
      </c>
      <c r="AQ86" s="63" t="str">
        <f aca="false">IF($AE86&lt;&gt;Constants!$B$7,$AE86,AK86+AO86+AP86)</f>
        <v/>
      </c>
      <c r="AR86" s="63" t="str">
        <f aca="false">IF(ISBLANK($C86),"",IF($AE86=Constants!$B$7,RANK(AQ86,$AQ$8:$AQ$507),$AE86))</f>
        <v/>
      </c>
      <c r="AS86" s="63" t="str">
        <f aca="false">IF(ISBLANK($C86), "",AK86)</f>
        <v/>
      </c>
      <c r="AT86" s="63" t="str">
        <f aca="false">IF(ISBLANK($C86),"",IF($AE86=Constants!$B$7,RANK(AS86,AS$8:AS$507),$AE86))</f>
        <v/>
      </c>
      <c r="AU86" s="63" t="str">
        <f aca="false">IF(ISBLANK($C86), "",AP86)</f>
        <v/>
      </c>
      <c r="AV86" s="63" t="str">
        <f aca="false">IF(ISBLANK($C86),"",IF($AE86=Constants!$B$7,RANK(AU86,AU$8:AU$507),$AE86))</f>
        <v/>
      </c>
      <c r="AW86" s="63" t="str">
        <f aca="false">IF(ISBLANK($C86), "",AC86)</f>
        <v/>
      </c>
      <c r="AX86" s="63" t="str">
        <f aca="false">IF(ISBLANK($C86),"",
IF($AE86=Constants!$B$7,
  COUNTIFS($AR$8:$AR$507,"&lt;"&amp;$AR86)
  + COUNTIFS($AR$8:$AR$507,$AR86,$AT$8:$AT$507,"&lt;"&amp;$AT86)
  + COUNTIFS($AR$8:$AR$507,$AR86,$AT$8:$AT$507,$AT86,$AV$8:$AV$507,"&lt;"&amp;$AV86)
  + COUNTIFS($AR$8:$AR$507,$AR86,$AT$8:$AT$507,$AT86,$AV$8:$AV$507,$AV86,$AW$8:$AW$507,"&lt;"&amp;$AW86)
  + 1,
$AE86))</f>
        <v/>
      </c>
      <c r="AY86" s="63" t="str">
        <f aca="false">IF(ISBLANK(C86),"",IF($AE86=Constants!$B$7, AR86-AX86,$AE86))</f>
        <v/>
      </c>
      <c r="AZ86" s="67"/>
      <c r="BA86" s="81" t="str">
        <f aca="false">IF(ISBLANK($C86),"",TRIM(AI86&amp;" "&amp;AM86))</f>
        <v/>
      </c>
      <c r="BB86" s="69" t="str">
        <f aca="false">IF(ISBLANK($C86),"",IF($AE86&lt;&gt;Constants!$B$7, $AE86 ,AQ86))</f>
        <v/>
      </c>
      <c r="BC86" s="70" t="str">
        <f aca="false">IF(ISBLANK($C86),"",IF($AE86&lt;&gt;Constants!$B$7, $AE86 ,AF86))</f>
        <v/>
      </c>
      <c r="BD86" s="71" t="str">
        <f aca="false">IF(ISBLANK(C86),"",AY86)</f>
        <v/>
      </c>
      <c r="BE86" s="71" t="str">
        <f aca="false">IF(ISBLANK(C86),"",AX86)</f>
        <v/>
      </c>
      <c r="BF86" s="72" t="str">
        <f aca="false">IF(ISBLANK(C86),"",IFERROR(_xlfn.SWITCH(BE86, Constants!$B$4, COUNTA($C$8:$C585)+2, Constants!$B$5, COUNTA($C$8:$C585)+1, Constants!$B$6, COUNTA($C$8:$C585)),BE86))</f>
        <v/>
      </c>
      <c r="BG86" s="5"/>
      <c r="BH86" s="73" t="n">
        <f aca="false">IF(OR(ISNUMBER(BE86),BE86="DQ",BE86="P",BE86="NS"),
    1,
    0
)</f>
        <v>0</v>
      </c>
      <c r="BI86" s="73" t="n">
        <v>79</v>
      </c>
      <c r="BJ86" s="73" t="str">
        <f aca="false">IF(ISBLANK($C86),
    "",
   BF86+ROW($B86)/1000
)</f>
        <v/>
      </c>
      <c r="BK86" s="73" t="str">
        <f aca="false">IF(ISNUMBER(BJ86), RANK(BJ86,BJ$8:BJ$507,1), "")</f>
        <v/>
      </c>
      <c r="BL86" s="73" t="str">
        <f aca="false">IF(ISBLANK($C86),
    "",
    $B86
)</f>
        <v/>
      </c>
      <c r="BM86" s="73" t="str">
        <f aca="false">IF(ISBLANK($C86),
    "",
    $C86
)</f>
        <v/>
      </c>
      <c r="BN86" s="73" t="str">
        <f aca="false">IF(ISBLANK($C86),
    "",
    $D86
)</f>
        <v/>
      </c>
      <c r="BO86" s="74" t="str">
        <f aca="false">BC86</f>
        <v/>
      </c>
      <c r="BP86" s="75" t="str">
        <f aca="false">BB86</f>
        <v/>
      </c>
      <c r="BQ86" s="73" t="str">
        <f aca="false">IF(ISBLANK($C86),
    "",
    BE86
)</f>
        <v/>
      </c>
      <c r="BR86" s="76" t="str">
        <f aca="false">IF(BI86&gt;BH$7,
    "",
    VLOOKUP(BI86,BK$8:BQ585,7,FALSE())
)</f>
        <v/>
      </c>
      <c r="BS86" s="77" t="str">
        <f aca="false">IF(BI86&gt;BH$7,
    "",
    VLOOKUP(BI86,BK$8:BQ585,2,FALSE())
)</f>
        <v/>
      </c>
      <c r="BT86" s="77" t="str">
        <f aca="false">IF(BI86&gt;BH$7,
    "",
    VLOOKUP(BI86,BK$8:BQ585,3,FALSE())
)</f>
        <v/>
      </c>
      <c r="BU86" s="77" t="str">
        <f aca="false">IF(BI86&gt;BH$7,
    "",
    VLOOKUP(BI86,BK$8:BQ585,4,FALSE())
)</f>
        <v/>
      </c>
      <c r="BV86" s="77" t="str">
        <f aca="false">IF(BI86&gt;BH$7,
    "",
    VLOOKUP(BI86,BK$8:BQ585,5,FALSE())
)</f>
        <v/>
      </c>
      <c r="BW86" s="78" t="str">
        <f aca="false">IF(BI86&gt;BH$7,
    "",
    VLOOKUP(BI86,BK$8:BQ585,6,FALSE())
)</f>
        <v/>
      </c>
      <c r="BX86" s="50"/>
    </row>
    <row r="87" customFormat="false" ht="15.75" hidden="false" customHeight="false" outlineLevel="0" collapsed="false">
      <c r="A87" s="5"/>
      <c r="B87" s="126"/>
      <c r="C87" s="52"/>
      <c r="D87" s="53"/>
      <c r="E87" s="120"/>
      <c r="F87" s="120"/>
      <c r="G87" s="55"/>
      <c r="H87" s="56"/>
      <c r="I87" s="80"/>
      <c r="J87" s="80"/>
      <c r="K87" s="80"/>
      <c r="L87" s="58"/>
      <c r="M87" s="58"/>
      <c r="N87" s="58"/>
      <c r="O87" s="59"/>
      <c r="P87" s="60"/>
      <c r="Q87" s="80"/>
      <c r="R87" s="62"/>
      <c r="S87" s="63"/>
      <c r="T87" s="63" t="str">
        <f aca="false">IF(ISBLANK($C87),"",IF(G87=Constants!$B$2, TRUE(), IF(G87=Constants!$B$3, FALSE(), TRUE())))</f>
        <v/>
      </c>
      <c r="U87" s="63" t="str">
        <f aca="false">IF(ISBLANK($C87),"",IF(H87=Constants!$B$2, TRUE(), IF(H87=Constants!$B$3, FALSE(), TRUE())))</f>
        <v/>
      </c>
      <c r="V87" s="63" t="str">
        <f aca="false">IF(ISBLANK($C87),"",IF(I87=Constants!$B$2, TRUE(), IF(I87=Constants!$B$3, FALSE(), TRUE())))</f>
        <v/>
      </c>
      <c r="W87" s="63" t="str">
        <f aca="false">IF(ISBLANK($C87),"",IF(J87=Constants!$B$2, TRUE(), IF(J87=Constants!$B$3, FALSE(), TRUE())))</f>
        <v/>
      </c>
      <c r="X87" s="63" t="str">
        <f aca="false">IF(ISBLANK($C87),"",IF(K87=Constants!$B$2, TRUE(), IF(K87=Constants!$B$3, FALSE(), TRUE())))</f>
        <v/>
      </c>
      <c r="Y87" s="65" t="str">
        <f aca="false">IF(ISBLANK($C87),"",IF(ISNUMBER(L87), L87, ""))</f>
        <v/>
      </c>
      <c r="Z87" s="65" t="str">
        <f aca="false">IF(ISBLANK($C87),"",IF(ISNUMBER(M87), M87, ""))</f>
        <v/>
      </c>
      <c r="AA87" s="65" t="str">
        <f aca="false">IF(ISBLANK($C87),"",IF(ISNUMBER(N87), N87, ""))</f>
        <v/>
      </c>
      <c r="AB87" s="66" t="str">
        <f aca="false">IF(ISBLANK($C87),"",IF(ISNUMBER(O87), O87, ""))</f>
        <v/>
      </c>
      <c r="AC87" s="66" t="str">
        <f aca="false">IF(ISBLANK($C87),"",IF(ISNUMBER(P87), P87, Constants!$B$13))</f>
        <v/>
      </c>
      <c r="AD87" s="63" t="str">
        <f aca="false">IF(ISBLANK($C87),"",IF(Q87=Constants!$B$2, TRUE(), IF(Q87=Constants!$B$3, FALSE(), FALSE())))</f>
        <v/>
      </c>
      <c r="AE87" s="63" t="str">
        <f aca="false">IF(ISBLANK(C87), "", IF(AD87, Constants!$B$4,IF(COUNTA(G87:O87)=0, Constants!$B$5, Constants!$B$7)))</f>
        <v/>
      </c>
      <c r="AF87" s="63" t="str">
        <f aca="false">IF(ISBLANK($C87), "",IF($AE87=Constants!$B$7,1,$AE87))</f>
        <v/>
      </c>
      <c r="AG87" s="63" t="str">
        <f aca="false">IF($AE87=Constants!$B$7,IF(V87, 1, Constants!$B$11) * IF(X87, 1, Constants!$B$12),"")</f>
        <v/>
      </c>
      <c r="AH87" s="63" t="str">
        <f aca="false">IF(AND($AE87=Constants!$B$7, T87, U87) ,MAX(0, $AA87-$Y87),"")</f>
        <v/>
      </c>
      <c r="AI87" s="63" t="str">
        <f aca="false">IF(ISERROR(AH87),$AI$6,"")</f>
        <v/>
      </c>
      <c r="AJ87" s="63" t="str">
        <f aca="false">IF($AE87=Constants!$B$7,IF(AND(T87,U87,W87),IF($AH$6=0,Constants!$B$9,Constants!$B$9*AH87/$AH$6), 0),"")</f>
        <v/>
      </c>
      <c r="AK87" s="63" t="str">
        <f aca="false">IF(AJ87&lt;&gt;"", AJ87*AG87,"")</f>
        <v/>
      </c>
      <c r="AL87" s="63" t="str">
        <f aca="false">IF(AND($AE87=Constants!$B$7, T87, U87) ,IF($Z87="", "", MAX(0,1-ABS($AA87-$Z87)/$AA87)),"")</f>
        <v/>
      </c>
      <c r="AM87" s="63" t="str">
        <f aca="false">IF(AND(NOT(ISERROR(AH87)),ISERROR(AL87)),$AM$6,"")</f>
        <v/>
      </c>
      <c r="AN87" s="63" t="str">
        <f aca="false">IF($AE87=Constants!$B$7 ,IF(AND(T87,U87,W87,ISNUMBER(Z87)),IF($AL$6=0,Constants!$B$10,Constants!$B$10*AL87/$AL$6), 0),"")</f>
        <v/>
      </c>
      <c r="AO87" s="63" t="str">
        <f aca="false">IF(AN87&lt;&gt;"", AN87*AG87,"")</f>
        <v/>
      </c>
      <c r="AP87" s="63" t="str">
        <f aca="false">IF($AE87=Constants!$B$7,IF($AP$6=0,Constants!$B$8,Constants!$B$8*AB87/$AP$6),"")</f>
        <v/>
      </c>
      <c r="AQ87" s="63" t="str">
        <f aca="false">IF($AE87&lt;&gt;Constants!$B$7,$AE87,AK87+AO87+AP87)</f>
        <v/>
      </c>
      <c r="AR87" s="63" t="str">
        <f aca="false">IF(ISBLANK($C87),"",IF($AE87=Constants!$B$7,RANK(AQ87,$AQ$8:$AQ$507),$AE87))</f>
        <v/>
      </c>
      <c r="AS87" s="63" t="str">
        <f aca="false">IF(ISBLANK($C87), "",AK87)</f>
        <v/>
      </c>
      <c r="AT87" s="63" t="str">
        <f aca="false">IF(ISBLANK($C87),"",IF($AE87=Constants!$B$7,RANK(AS87,AS$8:AS$507),$AE87))</f>
        <v/>
      </c>
      <c r="AU87" s="63" t="str">
        <f aca="false">IF(ISBLANK($C87), "",AP87)</f>
        <v/>
      </c>
      <c r="AV87" s="63" t="str">
        <f aca="false">IF(ISBLANK($C87),"",IF($AE87=Constants!$B$7,RANK(AU87,AU$8:AU$507),$AE87))</f>
        <v/>
      </c>
      <c r="AW87" s="63" t="str">
        <f aca="false">IF(ISBLANK($C87), "",AC87)</f>
        <v/>
      </c>
      <c r="AX87" s="63" t="str">
        <f aca="false">IF(ISBLANK($C87),"",
IF($AE87=Constants!$B$7,
  COUNTIFS($AR$8:$AR$507,"&lt;"&amp;$AR87)
  + COUNTIFS($AR$8:$AR$507,$AR87,$AT$8:$AT$507,"&lt;"&amp;$AT87)
  + COUNTIFS($AR$8:$AR$507,$AR87,$AT$8:$AT$507,$AT87,$AV$8:$AV$507,"&lt;"&amp;$AV87)
  + COUNTIFS($AR$8:$AR$507,$AR87,$AT$8:$AT$507,$AT87,$AV$8:$AV$507,$AV87,$AW$8:$AW$507,"&lt;"&amp;$AW87)
  + 1,
$AE87))</f>
        <v/>
      </c>
      <c r="AY87" s="63" t="str">
        <f aca="false">IF(ISBLANK(C87),"",IF($AE87=Constants!$B$7, AR87-AX87,$AE87))</f>
        <v/>
      </c>
      <c r="AZ87" s="67"/>
      <c r="BA87" s="81" t="str">
        <f aca="false">IF(ISBLANK($C87),"",TRIM(AI87&amp;" "&amp;AM87))</f>
        <v/>
      </c>
      <c r="BB87" s="69" t="str">
        <f aca="false">IF(ISBLANK($C87),"",IF($AE87&lt;&gt;Constants!$B$7, $AE87 ,AQ87))</f>
        <v/>
      </c>
      <c r="BC87" s="70" t="str">
        <f aca="false">IF(ISBLANK($C87),"",IF($AE87&lt;&gt;Constants!$B$7, $AE87 ,AF87))</f>
        <v/>
      </c>
      <c r="BD87" s="71" t="str">
        <f aca="false">IF(ISBLANK(C87),"",AY87)</f>
        <v/>
      </c>
      <c r="BE87" s="71" t="str">
        <f aca="false">IF(ISBLANK(C87),"",AX87)</f>
        <v/>
      </c>
      <c r="BF87" s="72" t="str">
        <f aca="false">IF(ISBLANK(C87),"",IFERROR(_xlfn.SWITCH(BE87, Constants!$B$4, COUNTA($C$8:$C586)+2, Constants!$B$5, COUNTA($C$8:$C586)+1, Constants!$B$6, COUNTA($C$8:$C586)),BE87))</f>
        <v/>
      </c>
      <c r="BG87" s="5"/>
      <c r="BH87" s="73" t="n">
        <f aca="false">IF(OR(ISNUMBER(BE87),BE87="DQ",BE87="P",BE87="NS"),
    1,
    0
)</f>
        <v>0</v>
      </c>
      <c r="BI87" s="73" t="n">
        <v>80</v>
      </c>
      <c r="BJ87" s="73" t="str">
        <f aca="false">IF(ISBLANK($C87),
    "",
   BF87+ROW($B87)/1000
)</f>
        <v/>
      </c>
      <c r="BK87" s="73" t="str">
        <f aca="false">IF(ISNUMBER(BJ87), RANK(BJ87,BJ$8:BJ$507,1), "")</f>
        <v/>
      </c>
      <c r="BL87" s="73" t="str">
        <f aca="false">IF(ISBLANK($C87),
    "",
    $B87
)</f>
        <v/>
      </c>
      <c r="BM87" s="73" t="str">
        <f aca="false">IF(ISBLANK($C87),
    "",
    $C87
)</f>
        <v/>
      </c>
      <c r="BN87" s="73" t="str">
        <f aca="false">IF(ISBLANK($C87),
    "",
    $D87
)</f>
        <v/>
      </c>
      <c r="BO87" s="74" t="str">
        <f aca="false">BC87</f>
        <v/>
      </c>
      <c r="BP87" s="75" t="str">
        <f aca="false">BB87</f>
        <v/>
      </c>
      <c r="BQ87" s="73" t="str">
        <f aca="false">IF(ISBLANK($C87),
    "",
    BE87
)</f>
        <v/>
      </c>
      <c r="BR87" s="76" t="str">
        <f aca="false">IF(BI87&gt;BH$7,
    "",
    VLOOKUP(BI87,BK$8:BQ586,7,FALSE())
)</f>
        <v/>
      </c>
      <c r="BS87" s="77" t="str">
        <f aca="false">IF(BI87&gt;BH$7,
    "",
    VLOOKUP(BI87,BK$8:BQ586,2,FALSE())
)</f>
        <v/>
      </c>
      <c r="BT87" s="77" t="str">
        <f aca="false">IF(BI87&gt;BH$7,
    "",
    VLOOKUP(BI87,BK$8:BQ586,3,FALSE())
)</f>
        <v/>
      </c>
      <c r="BU87" s="77" t="str">
        <f aca="false">IF(BI87&gt;BH$7,
    "",
    VLOOKUP(BI87,BK$8:BQ586,4,FALSE())
)</f>
        <v/>
      </c>
      <c r="BV87" s="77" t="str">
        <f aca="false">IF(BI87&gt;BH$7,
    "",
    VLOOKUP(BI87,BK$8:BQ586,5,FALSE())
)</f>
        <v/>
      </c>
      <c r="BW87" s="78" t="str">
        <f aca="false">IF(BI87&gt;BH$7,
    "",
    VLOOKUP(BI87,BK$8:BQ586,6,FALSE())
)</f>
        <v/>
      </c>
      <c r="BX87" s="50"/>
    </row>
    <row r="88" customFormat="false" ht="15.75" hidden="false" customHeight="false" outlineLevel="0" collapsed="false">
      <c r="A88" s="5"/>
      <c r="B88" s="126"/>
      <c r="C88" s="52"/>
      <c r="D88" s="53"/>
      <c r="E88" s="120"/>
      <c r="F88" s="120"/>
      <c r="G88" s="55"/>
      <c r="H88" s="56"/>
      <c r="I88" s="80"/>
      <c r="J88" s="80"/>
      <c r="K88" s="80"/>
      <c r="L88" s="58"/>
      <c r="M88" s="58"/>
      <c r="N88" s="58"/>
      <c r="O88" s="59"/>
      <c r="P88" s="60"/>
      <c r="Q88" s="80"/>
      <c r="R88" s="62"/>
      <c r="S88" s="63"/>
      <c r="T88" s="63" t="str">
        <f aca="false">IF(ISBLANK($C88),"",IF(G88=Constants!$B$2, TRUE(), IF(G88=Constants!$B$3, FALSE(), TRUE())))</f>
        <v/>
      </c>
      <c r="U88" s="63" t="str">
        <f aca="false">IF(ISBLANK($C88),"",IF(H88=Constants!$B$2, TRUE(), IF(H88=Constants!$B$3, FALSE(), TRUE())))</f>
        <v/>
      </c>
      <c r="V88" s="63" t="str">
        <f aca="false">IF(ISBLANK($C88),"",IF(I88=Constants!$B$2, TRUE(), IF(I88=Constants!$B$3, FALSE(), TRUE())))</f>
        <v/>
      </c>
      <c r="W88" s="63" t="str">
        <f aca="false">IF(ISBLANK($C88),"",IF(J88=Constants!$B$2, TRUE(), IF(J88=Constants!$B$3, FALSE(), TRUE())))</f>
        <v/>
      </c>
      <c r="X88" s="63" t="str">
        <f aca="false">IF(ISBLANK($C88),"",IF(K88=Constants!$B$2, TRUE(), IF(K88=Constants!$B$3, FALSE(), TRUE())))</f>
        <v/>
      </c>
      <c r="Y88" s="65" t="str">
        <f aca="false">IF(ISBLANK($C88),"",IF(ISNUMBER(L88), L88, ""))</f>
        <v/>
      </c>
      <c r="Z88" s="65" t="str">
        <f aca="false">IF(ISBLANK($C88),"",IF(ISNUMBER(M88), M88, ""))</f>
        <v/>
      </c>
      <c r="AA88" s="65" t="str">
        <f aca="false">IF(ISBLANK($C88),"",IF(ISNUMBER(N88), N88, ""))</f>
        <v/>
      </c>
      <c r="AB88" s="66" t="str">
        <f aca="false">IF(ISBLANK($C88),"",IF(ISNUMBER(O88), O88, ""))</f>
        <v/>
      </c>
      <c r="AC88" s="66" t="str">
        <f aca="false">IF(ISBLANK($C88),"",IF(ISNUMBER(P88), P88, Constants!$B$13))</f>
        <v/>
      </c>
      <c r="AD88" s="63" t="str">
        <f aca="false">IF(ISBLANK($C88),"",IF(Q88=Constants!$B$2, TRUE(), IF(Q88=Constants!$B$3, FALSE(), FALSE())))</f>
        <v/>
      </c>
      <c r="AE88" s="63" t="str">
        <f aca="false">IF(ISBLANK(C88), "", IF(AD88, Constants!$B$4,IF(COUNTA(G88:O88)=0, Constants!$B$5, Constants!$B$7)))</f>
        <v/>
      </c>
      <c r="AF88" s="63" t="str">
        <f aca="false">IF(ISBLANK($C88), "",IF($AE88=Constants!$B$7,1,$AE88))</f>
        <v/>
      </c>
      <c r="AG88" s="63" t="str">
        <f aca="false">IF($AE88=Constants!$B$7,IF(V88, 1, Constants!$B$11) * IF(X88, 1, Constants!$B$12),"")</f>
        <v/>
      </c>
      <c r="AH88" s="63" t="str">
        <f aca="false">IF(AND($AE88=Constants!$B$7, T88, U88) ,MAX(0, $AA88-$Y88),"")</f>
        <v/>
      </c>
      <c r="AI88" s="63" t="str">
        <f aca="false">IF(ISERROR(AH88),$AI$6,"")</f>
        <v/>
      </c>
      <c r="AJ88" s="63" t="str">
        <f aca="false">IF($AE88=Constants!$B$7,IF(AND(T88,U88,W88),IF($AH$6=0,Constants!$B$9,Constants!$B$9*AH88/$AH$6), 0),"")</f>
        <v/>
      </c>
      <c r="AK88" s="63" t="str">
        <f aca="false">IF(AJ88&lt;&gt;"", AJ88*AG88,"")</f>
        <v/>
      </c>
      <c r="AL88" s="63" t="str">
        <f aca="false">IF(AND($AE88=Constants!$B$7, T88, U88) ,IF($Z88="", "", MAX(0,1-ABS($AA88-$Z88)/$AA88)),"")</f>
        <v/>
      </c>
      <c r="AM88" s="63" t="str">
        <f aca="false">IF(AND(NOT(ISERROR(AH88)),ISERROR(AL88)),$AM$6,"")</f>
        <v/>
      </c>
      <c r="AN88" s="63" t="str">
        <f aca="false">IF($AE88=Constants!$B$7 ,IF(AND(T88,U88,W88,ISNUMBER(Z88)),IF($AL$6=0,Constants!$B$10,Constants!$B$10*AL88/$AL$6), 0),"")</f>
        <v/>
      </c>
      <c r="AO88" s="63" t="str">
        <f aca="false">IF(AN88&lt;&gt;"", AN88*AG88,"")</f>
        <v/>
      </c>
      <c r="AP88" s="63" t="str">
        <f aca="false">IF($AE88=Constants!$B$7,IF($AP$6=0,Constants!$B$8,Constants!$B$8*AB88/$AP$6),"")</f>
        <v/>
      </c>
      <c r="AQ88" s="63" t="str">
        <f aca="false">IF($AE88&lt;&gt;Constants!$B$7,$AE88,AK88+AO88+AP88)</f>
        <v/>
      </c>
      <c r="AR88" s="63" t="str">
        <f aca="false">IF(ISBLANK($C88),"",IF($AE88=Constants!$B$7,RANK(AQ88,$AQ$8:$AQ$507),$AE88))</f>
        <v/>
      </c>
      <c r="AS88" s="63" t="str">
        <f aca="false">IF(ISBLANK($C88), "",AK88)</f>
        <v/>
      </c>
      <c r="AT88" s="63" t="str">
        <f aca="false">IF(ISBLANK($C88),"",IF($AE88=Constants!$B$7,RANK(AS88,AS$8:AS$507),$AE88))</f>
        <v/>
      </c>
      <c r="AU88" s="63" t="str">
        <f aca="false">IF(ISBLANK($C88), "",AP88)</f>
        <v/>
      </c>
      <c r="AV88" s="63" t="str">
        <f aca="false">IF(ISBLANK($C88),"",IF($AE88=Constants!$B$7,RANK(AU88,AU$8:AU$507),$AE88))</f>
        <v/>
      </c>
      <c r="AW88" s="63" t="str">
        <f aca="false">IF(ISBLANK($C88), "",AC88)</f>
        <v/>
      </c>
      <c r="AX88" s="63" t="str">
        <f aca="false">IF(ISBLANK($C88),"",
IF($AE88=Constants!$B$7,
  COUNTIFS($AR$8:$AR$507,"&lt;"&amp;$AR88)
  + COUNTIFS($AR$8:$AR$507,$AR88,$AT$8:$AT$507,"&lt;"&amp;$AT88)
  + COUNTIFS($AR$8:$AR$507,$AR88,$AT$8:$AT$507,$AT88,$AV$8:$AV$507,"&lt;"&amp;$AV88)
  + COUNTIFS($AR$8:$AR$507,$AR88,$AT$8:$AT$507,$AT88,$AV$8:$AV$507,$AV88,$AW$8:$AW$507,"&lt;"&amp;$AW88)
  + 1,
$AE88))</f>
        <v/>
      </c>
      <c r="AY88" s="63" t="str">
        <f aca="false">IF(ISBLANK(C88),"",IF($AE88=Constants!$B$7, AR88-AX88,$AE88))</f>
        <v/>
      </c>
      <c r="AZ88" s="67"/>
      <c r="BA88" s="81" t="str">
        <f aca="false">IF(ISBLANK($C88),"",TRIM(AI88&amp;" "&amp;AM88))</f>
        <v/>
      </c>
      <c r="BB88" s="69" t="str">
        <f aca="false">IF(ISBLANK($C88),"",IF($AE88&lt;&gt;Constants!$B$7, $AE88 ,AQ88))</f>
        <v/>
      </c>
      <c r="BC88" s="70" t="str">
        <f aca="false">IF(ISBLANK($C88),"",IF($AE88&lt;&gt;Constants!$B$7, $AE88 ,AF88))</f>
        <v/>
      </c>
      <c r="BD88" s="71" t="str">
        <f aca="false">IF(ISBLANK(C88),"",AY88)</f>
        <v/>
      </c>
      <c r="BE88" s="71" t="str">
        <f aca="false">IF(ISBLANK(C88),"",AX88)</f>
        <v/>
      </c>
      <c r="BF88" s="72" t="str">
        <f aca="false">IF(ISBLANK(C88),"",IFERROR(_xlfn.SWITCH(BE88, Constants!$B$4, COUNTA($C$8:$C587)+2, Constants!$B$5, COUNTA($C$8:$C587)+1, Constants!$B$6, COUNTA($C$8:$C587)),BE88))</f>
        <v/>
      </c>
      <c r="BG88" s="5"/>
      <c r="BH88" s="73" t="n">
        <f aca="false">IF(OR(ISNUMBER(BE88),BE88="DQ",BE88="P",BE88="NS"),
    1,
    0
)</f>
        <v>0</v>
      </c>
      <c r="BI88" s="73" t="n">
        <v>81</v>
      </c>
      <c r="BJ88" s="73" t="str">
        <f aca="false">IF(ISBLANK($C88),
    "",
   BF88+ROW($B88)/1000
)</f>
        <v/>
      </c>
      <c r="BK88" s="73" t="str">
        <f aca="false">IF(ISNUMBER(BJ88), RANK(BJ88,BJ$8:BJ$507,1), "")</f>
        <v/>
      </c>
      <c r="BL88" s="73" t="str">
        <f aca="false">IF(ISBLANK($C88),
    "",
    $B88
)</f>
        <v/>
      </c>
      <c r="BM88" s="73" t="str">
        <f aca="false">IF(ISBLANK($C88),
    "",
    $C88
)</f>
        <v/>
      </c>
      <c r="BN88" s="73" t="str">
        <f aca="false">IF(ISBLANK($C88),
    "",
    $D88
)</f>
        <v/>
      </c>
      <c r="BO88" s="74" t="str">
        <f aca="false">BC88</f>
        <v/>
      </c>
      <c r="BP88" s="75" t="str">
        <f aca="false">BB88</f>
        <v/>
      </c>
      <c r="BQ88" s="73" t="str">
        <f aca="false">IF(ISBLANK($C88),
    "",
    BE88
)</f>
        <v/>
      </c>
      <c r="BR88" s="76" t="str">
        <f aca="false">IF(BI88&gt;BH$7,
    "",
    VLOOKUP(BI88,BK$8:BQ587,7,FALSE())
)</f>
        <v/>
      </c>
      <c r="BS88" s="77" t="str">
        <f aca="false">IF(BI88&gt;BH$7,
    "",
    VLOOKUP(BI88,BK$8:BQ587,2,FALSE())
)</f>
        <v/>
      </c>
      <c r="BT88" s="77" t="str">
        <f aca="false">IF(BI88&gt;BH$7,
    "",
    VLOOKUP(BI88,BK$8:BQ587,3,FALSE())
)</f>
        <v/>
      </c>
      <c r="BU88" s="77" t="str">
        <f aca="false">IF(BI88&gt;BH$7,
    "",
    VLOOKUP(BI88,BK$8:BQ587,4,FALSE())
)</f>
        <v/>
      </c>
      <c r="BV88" s="77" t="str">
        <f aca="false">IF(BI88&gt;BH$7,
    "",
    VLOOKUP(BI88,BK$8:BQ587,5,FALSE())
)</f>
        <v/>
      </c>
      <c r="BW88" s="78" t="str">
        <f aca="false">IF(BI88&gt;BH$7,
    "",
    VLOOKUP(BI88,BK$8:BQ587,6,FALSE())
)</f>
        <v/>
      </c>
      <c r="BX88" s="50"/>
    </row>
    <row r="89" customFormat="false" ht="15.75" hidden="false" customHeight="false" outlineLevel="0" collapsed="false">
      <c r="A89" s="5"/>
      <c r="B89" s="122"/>
      <c r="C89" s="123"/>
      <c r="D89" s="112"/>
      <c r="E89" s="116"/>
      <c r="F89" s="116"/>
      <c r="G89" s="88"/>
      <c r="H89" s="89"/>
      <c r="I89" s="125"/>
      <c r="J89" s="125"/>
      <c r="K89" s="125"/>
      <c r="L89" s="91"/>
      <c r="M89" s="91"/>
      <c r="N89" s="91"/>
      <c r="O89" s="92"/>
      <c r="P89" s="93"/>
      <c r="Q89" s="125"/>
      <c r="R89" s="95"/>
      <c r="S89" s="96"/>
      <c r="T89" s="96" t="str">
        <f aca="false">IF(ISBLANK($C89),"",IF(G89=Constants!$B$2, TRUE(), IF(G89=Constants!$B$3, FALSE(), TRUE())))</f>
        <v/>
      </c>
      <c r="U89" s="96" t="str">
        <f aca="false">IF(ISBLANK($C89),"",IF(H89=Constants!$B$2, TRUE(), IF(H89=Constants!$B$3, FALSE(), TRUE())))</f>
        <v/>
      </c>
      <c r="V89" s="96" t="str">
        <f aca="false">IF(ISBLANK($C89),"",IF(I89=Constants!$B$2, TRUE(), IF(I89=Constants!$B$3, FALSE(), TRUE())))</f>
        <v/>
      </c>
      <c r="W89" s="96" t="str">
        <f aca="false">IF(ISBLANK($C89),"",IF(J89=Constants!$B$2, TRUE(), IF(J89=Constants!$B$3, FALSE(), TRUE())))</f>
        <v/>
      </c>
      <c r="X89" s="97" t="str">
        <f aca="false">IF(ISBLANK($C89),"",IF(K89=Constants!$B$2, TRUE(), IF(K89=Constants!$B$3, FALSE(), TRUE())))</f>
        <v/>
      </c>
      <c r="Y89" s="98" t="str">
        <f aca="false">IF(ISBLANK($C89),"",IF(ISNUMBER(L89), L89, ""))</f>
        <v/>
      </c>
      <c r="Z89" s="98" t="str">
        <f aca="false">IF(ISBLANK($C89),"",IF(ISNUMBER(M89), M89, ""))</f>
        <v/>
      </c>
      <c r="AA89" s="98" t="str">
        <f aca="false">IF(ISBLANK($C89),"",IF(ISNUMBER(N89), N89, ""))</f>
        <v/>
      </c>
      <c r="AB89" s="99" t="str">
        <f aca="false">IF(ISBLANK($C89),"",IF(ISNUMBER(O89), O89, ""))</f>
        <v/>
      </c>
      <c r="AC89" s="99" t="str">
        <f aca="false">IF(ISBLANK($C89),"",IF(ISNUMBER(P89), P89, Constants!$B$13))</f>
        <v/>
      </c>
      <c r="AD89" s="96" t="str">
        <f aca="false">IF(ISBLANK($C89),"",IF(Q89=Constants!$B$2, TRUE(), IF(Q89=Constants!$B$3, FALSE(), FALSE())))</f>
        <v/>
      </c>
      <c r="AE89" s="96" t="str">
        <f aca="false">IF(ISBLANK(C89), "", IF(AD89, Constants!$B$4,IF(COUNTA(G89:O89)=0, Constants!$B$5, Constants!$B$7)))</f>
        <v/>
      </c>
      <c r="AF89" s="96" t="str">
        <f aca="false">IF(ISBLANK($C89), "",IF($AE89=Constants!$B$7,1,$AE89))</f>
        <v/>
      </c>
      <c r="AG89" s="96" t="str">
        <f aca="false">IF($AE89=Constants!$B$7,IF(V89, 1, Constants!$B$11) * IF(X89, 1, Constants!$B$12),"")</f>
        <v/>
      </c>
      <c r="AH89" s="96" t="str">
        <f aca="false">IF(AND($AE89=Constants!$B$7, T89, U89) ,MAX(0, $AA89-$Y89),"")</f>
        <v/>
      </c>
      <c r="AI89" s="96" t="str">
        <f aca="false">IF(ISERROR(AH89),$AI$6,"")</f>
        <v/>
      </c>
      <c r="AJ89" s="96" t="str">
        <f aca="false">IF($AE89=Constants!$B$7,IF(AND(T89,U89,W89),IF($AH$6=0,Constants!$B$9,Constants!$B$9*AH89/$AH$6), 0),"")</f>
        <v/>
      </c>
      <c r="AK89" s="96" t="str">
        <f aca="false">IF(AJ89&lt;&gt;"", AJ89*AG89,"")</f>
        <v/>
      </c>
      <c r="AL89" s="96" t="str">
        <f aca="false">IF(AND($AE89=Constants!$B$7, T89, U89) ,IF($Z89="", "", MAX(0,1-ABS($AA89-$Z89)/$AA89)),"")</f>
        <v/>
      </c>
      <c r="AM89" s="96" t="str">
        <f aca="false">IF(AND(NOT(ISERROR(AH89)),ISERROR(AL89)),$AM$6,"")</f>
        <v/>
      </c>
      <c r="AN89" s="96" t="str">
        <f aca="false">IF($AE89=Constants!$B$7 ,IF(AND(T89,U89,W89,ISNUMBER(Z89)),IF($AL$6=0,Constants!$B$10,Constants!$B$10*AL89/$AL$6), 0),"")</f>
        <v/>
      </c>
      <c r="AO89" s="96" t="str">
        <f aca="false">IF(AN89&lt;&gt;"", AN89*AG89,"")</f>
        <v/>
      </c>
      <c r="AP89" s="96" t="str">
        <f aca="false">IF($AE89=Constants!$B$7,IF($AP$6=0,Constants!$B$8,Constants!$B$8*AB89/$AP$6),"")</f>
        <v/>
      </c>
      <c r="AQ89" s="96" t="str">
        <f aca="false">IF($AE89&lt;&gt;Constants!$B$7,$AE89,AK89+AO89+AP89)</f>
        <v/>
      </c>
      <c r="AR89" s="96" t="str">
        <f aca="false">IF(ISBLANK($C89),"",IF($AE89=Constants!$B$7,RANK(AQ89,$AQ$8:$AQ$507),$AE89))</f>
        <v/>
      </c>
      <c r="AS89" s="96" t="str">
        <f aca="false">IF(ISBLANK($C89), "",AK89)</f>
        <v/>
      </c>
      <c r="AT89" s="96" t="str">
        <f aca="false">IF(ISBLANK($C89),"",IF($AE89=Constants!$B$7,RANK(AS89,AS$8:AS$507),$AE89))</f>
        <v/>
      </c>
      <c r="AU89" s="96" t="str">
        <f aca="false">IF(ISBLANK($C89), "",AP89)</f>
        <v/>
      </c>
      <c r="AV89" s="96" t="str">
        <f aca="false">IF(ISBLANK($C89),"",IF($AE89=Constants!$B$7,RANK(AU89,AU$8:AU$507),$AE89))</f>
        <v/>
      </c>
      <c r="AW89" s="96" t="str">
        <f aca="false">IF(ISBLANK($C89), "",AC89)</f>
        <v/>
      </c>
      <c r="AX89" s="96" t="str">
        <f aca="false">IF(ISBLANK($C89),"",
IF($AE89=Constants!$B$7,
  COUNTIFS($AR$8:$AR$507,"&lt;"&amp;$AR89)
  + COUNTIFS($AR$8:$AR$507,$AR89,$AT$8:$AT$507,"&lt;"&amp;$AT89)
  + COUNTIFS($AR$8:$AR$507,$AR89,$AT$8:$AT$507,$AT89,$AV$8:$AV$507,"&lt;"&amp;$AV89)
  + COUNTIFS($AR$8:$AR$507,$AR89,$AT$8:$AT$507,$AT89,$AV$8:$AV$507,$AV89,$AW$8:$AW$507,"&lt;"&amp;$AW89)
  + 1,
$AE89))</f>
        <v/>
      </c>
      <c r="AY89" s="96" t="str">
        <f aca="false">IF(ISBLANK(C89),"",IF($AE89=Constants!$B$7, AR89-AX89,$AE89))</f>
        <v/>
      </c>
      <c r="AZ89" s="100"/>
      <c r="BA89" s="101" t="str">
        <f aca="false">IF(ISBLANK($C89),"",TRIM(AI89&amp;" "&amp;AM89))</f>
        <v/>
      </c>
      <c r="BB89" s="102" t="str">
        <f aca="false">IF(ISBLANK($C89),"",IF($AE89&lt;&gt;Constants!$B$7, $AE89 ,AQ89))</f>
        <v/>
      </c>
      <c r="BC89" s="103" t="str">
        <f aca="false">IF(ISBLANK($C89),"",IF($AE89&lt;&gt;Constants!$B$7, $AE89 ,AF89))</f>
        <v/>
      </c>
      <c r="BD89" s="104" t="str">
        <f aca="false">IF(ISBLANK(C89),"",AY89)</f>
        <v/>
      </c>
      <c r="BE89" s="104" t="str">
        <f aca="false">IF(ISBLANK(C89),"",AX89)</f>
        <v/>
      </c>
      <c r="BF89" s="105" t="str">
        <f aca="false">IF(ISBLANK(C89),"",IFERROR(_xlfn.SWITCH(BE89, Constants!$B$4, COUNTA($C$8:$C588)+2, Constants!$B$5, COUNTA($C$8:$C588)+1, Constants!$B$6, COUNTA($C$8:$C588)),BE89))</f>
        <v/>
      </c>
      <c r="BG89" s="5"/>
      <c r="BH89" s="106" t="n">
        <f aca="false">IF(OR(ISNUMBER(BE89),BE89="DQ",BE89="P",BE89="NS"),
    1,
    0
)</f>
        <v>0</v>
      </c>
      <c r="BI89" s="106" t="n">
        <v>82</v>
      </c>
      <c r="BJ89" s="106" t="str">
        <f aca="false">IF(ISBLANK($C89),
    "",
   BF89+ROW($B89)/1000
)</f>
        <v/>
      </c>
      <c r="BK89" s="106" t="str">
        <f aca="false">IF(ISNUMBER(BJ89), RANK(BJ89,BJ$8:BJ$507,1), "")</f>
        <v/>
      </c>
      <c r="BL89" s="106" t="str">
        <f aca="false">IF(ISBLANK($C89),
    "",
    $B89
)</f>
        <v/>
      </c>
      <c r="BM89" s="106" t="str">
        <f aca="false">IF(ISBLANK($C89),
    "",
    $C89
)</f>
        <v/>
      </c>
      <c r="BN89" s="106" t="str">
        <f aca="false">IF(ISBLANK($C89),
    "",
    $D89
)</f>
        <v/>
      </c>
      <c r="BO89" s="107" t="str">
        <f aca="false">BC89</f>
        <v/>
      </c>
      <c r="BP89" s="108" t="str">
        <f aca="false">BB89</f>
        <v/>
      </c>
      <c r="BQ89" s="106" t="str">
        <f aca="false">IF(ISBLANK($C89),
    "",
    BE89
)</f>
        <v/>
      </c>
      <c r="BR89" s="109" t="str">
        <f aca="false">IF(BI89&gt;BH$7,
    "",
    VLOOKUP(BI89,BK$8:BQ588,7,FALSE())
)</f>
        <v/>
      </c>
      <c r="BS89" s="110" t="str">
        <f aca="false">IF(BI89&gt;BH$7,
    "",
    VLOOKUP(BI89,BK$8:BQ588,2,FALSE())
)</f>
        <v/>
      </c>
      <c r="BT89" s="110" t="str">
        <f aca="false">IF(BI89&gt;BH$7,
    "",
    VLOOKUP(BI89,BK$8:BQ588,3,FALSE())
)</f>
        <v/>
      </c>
      <c r="BU89" s="110" t="str">
        <f aca="false">IF(BI89&gt;BH$7,
    "",
    VLOOKUP(BI89,BK$8:BQ588,4,FALSE())
)</f>
        <v/>
      </c>
      <c r="BV89" s="110" t="str">
        <f aca="false">IF(BI89&gt;BH$7,
    "",
    VLOOKUP(BI89,BK$8:BQ588,5,FALSE())
)</f>
        <v/>
      </c>
      <c r="BW89" s="111" t="str">
        <f aca="false">IF(BI89&gt;BH$7,
    "",
    VLOOKUP(BI89,BK$8:BQ588,6,FALSE())
)</f>
        <v/>
      </c>
      <c r="BX89" s="50"/>
    </row>
    <row r="90" customFormat="false" ht="15.75" hidden="false" customHeight="false" outlineLevel="0" collapsed="false">
      <c r="A90" s="5"/>
      <c r="B90" s="122"/>
      <c r="C90" s="123"/>
      <c r="D90" s="112"/>
      <c r="E90" s="116"/>
      <c r="F90" s="116"/>
      <c r="G90" s="88"/>
      <c r="H90" s="89"/>
      <c r="I90" s="125"/>
      <c r="J90" s="125"/>
      <c r="K90" s="125"/>
      <c r="L90" s="91"/>
      <c r="M90" s="91"/>
      <c r="N90" s="91"/>
      <c r="O90" s="92"/>
      <c r="P90" s="93"/>
      <c r="Q90" s="125"/>
      <c r="R90" s="95"/>
      <c r="S90" s="96"/>
      <c r="T90" s="96" t="str">
        <f aca="false">IF(ISBLANK($C90),"",IF(G90=Constants!$B$2, TRUE(), IF(G90=Constants!$B$3, FALSE(), TRUE())))</f>
        <v/>
      </c>
      <c r="U90" s="96" t="str">
        <f aca="false">IF(ISBLANK($C90),"",IF(H90=Constants!$B$2, TRUE(), IF(H90=Constants!$B$3, FALSE(), TRUE())))</f>
        <v/>
      </c>
      <c r="V90" s="96" t="str">
        <f aca="false">IF(ISBLANK($C90),"",IF(I90=Constants!$B$2, TRUE(), IF(I90=Constants!$B$3, FALSE(), TRUE())))</f>
        <v/>
      </c>
      <c r="W90" s="96" t="str">
        <f aca="false">IF(ISBLANK($C90),"",IF(J90=Constants!$B$2, TRUE(), IF(J90=Constants!$B$3, FALSE(), TRUE())))</f>
        <v/>
      </c>
      <c r="X90" s="97" t="str">
        <f aca="false">IF(ISBLANK($C90),"",IF(K90=Constants!$B$2, TRUE(), IF(K90=Constants!$B$3, FALSE(), TRUE())))</f>
        <v/>
      </c>
      <c r="Y90" s="98" t="str">
        <f aca="false">IF(ISBLANK($C90),"",IF(ISNUMBER(L90), L90, ""))</f>
        <v/>
      </c>
      <c r="Z90" s="98" t="str">
        <f aca="false">IF(ISBLANK($C90),"",IF(ISNUMBER(M90), M90, ""))</f>
        <v/>
      </c>
      <c r="AA90" s="98" t="str">
        <f aca="false">IF(ISBLANK($C90),"",IF(ISNUMBER(N90), N90, ""))</f>
        <v/>
      </c>
      <c r="AB90" s="99" t="str">
        <f aca="false">IF(ISBLANK($C90),"",IF(ISNUMBER(O90), O90, ""))</f>
        <v/>
      </c>
      <c r="AC90" s="99" t="str">
        <f aca="false">IF(ISBLANK($C90),"",IF(ISNUMBER(P90), P90, Constants!$B$13))</f>
        <v/>
      </c>
      <c r="AD90" s="96" t="str">
        <f aca="false">IF(ISBLANK($C90),"",IF(Q90=Constants!$B$2, TRUE(), IF(Q90=Constants!$B$3, FALSE(), FALSE())))</f>
        <v/>
      </c>
      <c r="AE90" s="96" t="str">
        <f aca="false">IF(ISBLANK(C90), "", IF(AD90, Constants!$B$4,IF(COUNTA(G90:O90)=0, Constants!$B$5, Constants!$B$7)))</f>
        <v/>
      </c>
      <c r="AF90" s="96" t="str">
        <f aca="false">IF(ISBLANK($C90), "",IF($AE90=Constants!$B$7,1,$AE90))</f>
        <v/>
      </c>
      <c r="AG90" s="96" t="str">
        <f aca="false">IF($AE90=Constants!$B$7,IF(V90, 1, Constants!$B$11) * IF(X90, 1, Constants!$B$12),"")</f>
        <v/>
      </c>
      <c r="AH90" s="96" t="str">
        <f aca="false">IF(AND($AE90=Constants!$B$7, T90, U90) ,MAX(0, $AA90-$Y90),"")</f>
        <v/>
      </c>
      <c r="AI90" s="96" t="str">
        <f aca="false">IF(ISERROR(AH90),$AI$6,"")</f>
        <v/>
      </c>
      <c r="AJ90" s="96" t="str">
        <f aca="false">IF($AE90=Constants!$B$7,IF(AND(T90,U90,W90),IF($AH$6=0,Constants!$B$9,Constants!$B$9*AH90/$AH$6), 0),"")</f>
        <v/>
      </c>
      <c r="AK90" s="96" t="str">
        <f aca="false">IF(AJ90&lt;&gt;"", AJ90*AG90,"")</f>
        <v/>
      </c>
      <c r="AL90" s="96" t="str">
        <f aca="false">IF(AND($AE90=Constants!$B$7, T90, U90) ,IF($Z90="", "", MAX(0,1-ABS($AA90-$Z90)/$AA90)),"")</f>
        <v/>
      </c>
      <c r="AM90" s="96" t="str">
        <f aca="false">IF(AND(NOT(ISERROR(AH90)),ISERROR(AL90)),$AM$6,"")</f>
        <v/>
      </c>
      <c r="AN90" s="96" t="str">
        <f aca="false">IF($AE90=Constants!$B$7 ,IF(AND(T90,U90,W90,ISNUMBER(Z90)),IF($AL$6=0,Constants!$B$10,Constants!$B$10*AL90/$AL$6), 0),"")</f>
        <v/>
      </c>
      <c r="AO90" s="96" t="str">
        <f aca="false">IF(AN90&lt;&gt;"", AN90*AG90,"")</f>
        <v/>
      </c>
      <c r="AP90" s="96" t="str">
        <f aca="false">IF($AE90=Constants!$B$7,IF($AP$6=0,Constants!$B$8,Constants!$B$8*AB90/$AP$6),"")</f>
        <v/>
      </c>
      <c r="AQ90" s="96" t="str">
        <f aca="false">IF($AE90&lt;&gt;Constants!$B$7,$AE90,AK90+AO90+AP90)</f>
        <v/>
      </c>
      <c r="AR90" s="96" t="str">
        <f aca="false">IF(ISBLANK($C90),"",IF($AE90=Constants!$B$7,RANK(AQ90,$AQ$8:$AQ$507),$AE90))</f>
        <v/>
      </c>
      <c r="AS90" s="96" t="str">
        <f aca="false">IF(ISBLANK($C90), "",AK90)</f>
        <v/>
      </c>
      <c r="AT90" s="96" t="str">
        <f aca="false">IF(ISBLANK($C90),"",IF($AE90=Constants!$B$7,RANK(AS90,AS$8:AS$507),$AE90))</f>
        <v/>
      </c>
      <c r="AU90" s="96" t="str">
        <f aca="false">IF(ISBLANK($C90), "",AP90)</f>
        <v/>
      </c>
      <c r="AV90" s="96" t="str">
        <f aca="false">IF(ISBLANK($C90),"",IF($AE90=Constants!$B$7,RANK(AU90,AU$8:AU$507),$AE90))</f>
        <v/>
      </c>
      <c r="AW90" s="96" t="str">
        <f aca="false">IF(ISBLANK($C90), "",AC90)</f>
        <v/>
      </c>
      <c r="AX90" s="96" t="str">
        <f aca="false">IF(ISBLANK($C90),"",
IF($AE90=Constants!$B$7,
  COUNTIFS($AR$8:$AR$507,"&lt;"&amp;$AR90)
  + COUNTIFS($AR$8:$AR$507,$AR90,$AT$8:$AT$507,"&lt;"&amp;$AT90)
  + COUNTIFS($AR$8:$AR$507,$AR90,$AT$8:$AT$507,$AT90,$AV$8:$AV$507,"&lt;"&amp;$AV90)
  + COUNTIFS($AR$8:$AR$507,$AR90,$AT$8:$AT$507,$AT90,$AV$8:$AV$507,$AV90,$AW$8:$AW$507,"&lt;"&amp;$AW90)
  + 1,
$AE90))</f>
        <v/>
      </c>
      <c r="AY90" s="96" t="str">
        <f aca="false">IF(ISBLANK(C90),"",IF($AE90=Constants!$B$7, AR90-AX90,$AE90))</f>
        <v/>
      </c>
      <c r="AZ90" s="100"/>
      <c r="BA90" s="101" t="str">
        <f aca="false">IF(ISBLANK($C90),"",TRIM(AI90&amp;" "&amp;AM90))</f>
        <v/>
      </c>
      <c r="BB90" s="102" t="str">
        <f aca="false">IF(ISBLANK($C90),"",IF($AE90&lt;&gt;Constants!$B$7, $AE90 ,AQ90))</f>
        <v/>
      </c>
      <c r="BC90" s="103" t="str">
        <f aca="false">IF(ISBLANK($C90),"",IF($AE90&lt;&gt;Constants!$B$7, $AE90 ,AF90))</f>
        <v/>
      </c>
      <c r="BD90" s="104" t="str">
        <f aca="false">IF(ISBLANK(C90),"",AY90)</f>
        <v/>
      </c>
      <c r="BE90" s="104" t="str">
        <f aca="false">IF(ISBLANK(C90),"",AX90)</f>
        <v/>
      </c>
      <c r="BF90" s="105" t="str">
        <f aca="false">IF(ISBLANK(C90),"",IFERROR(_xlfn.SWITCH(BE90, Constants!$B$4, COUNTA($C$8:$C589)+2, Constants!$B$5, COUNTA($C$8:$C589)+1, Constants!$B$6, COUNTA($C$8:$C589)),BE90))</f>
        <v/>
      </c>
      <c r="BG90" s="5"/>
      <c r="BH90" s="106" t="n">
        <f aca="false">IF(OR(ISNUMBER(BE90),BE90="DQ",BE90="P",BE90="NS"),
    1,
    0
)</f>
        <v>0</v>
      </c>
      <c r="BI90" s="106" t="n">
        <v>83</v>
      </c>
      <c r="BJ90" s="106" t="str">
        <f aca="false">IF(ISBLANK($C90),
    "",
   BF90+ROW($B90)/1000
)</f>
        <v/>
      </c>
      <c r="BK90" s="106" t="str">
        <f aca="false">IF(ISNUMBER(BJ90), RANK(BJ90,BJ$8:BJ$507,1), "")</f>
        <v/>
      </c>
      <c r="BL90" s="106" t="str">
        <f aca="false">IF(ISBLANK($C90),
    "",
    $B90
)</f>
        <v/>
      </c>
      <c r="BM90" s="106" t="str">
        <f aca="false">IF(ISBLANK($C90),
    "",
    $C90
)</f>
        <v/>
      </c>
      <c r="BN90" s="106" t="str">
        <f aca="false">IF(ISBLANK($C90),
    "",
    $D90
)</f>
        <v/>
      </c>
      <c r="BO90" s="107" t="str">
        <f aca="false">BC90</f>
        <v/>
      </c>
      <c r="BP90" s="108" t="str">
        <f aca="false">BB90</f>
        <v/>
      </c>
      <c r="BQ90" s="106" t="str">
        <f aca="false">IF(ISBLANK($C90),
    "",
    BE90
)</f>
        <v/>
      </c>
      <c r="BR90" s="109" t="str">
        <f aca="false">IF(BI90&gt;BH$7,
    "",
    VLOOKUP(BI90,BK$8:BQ589,7,FALSE())
)</f>
        <v/>
      </c>
      <c r="BS90" s="110" t="str">
        <f aca="false">IF(BI90&gt;BH$7,
    "",
    VLOOKUP(BI90,BK$8:BQ589,2,FALSE())
)</f>
        <v/>
      </c>
      <c r="BT90" s="110" t="str">
        <f aca="false">IF(BI90&gt;BH$7,
    "",
    VLOOKUP(BI90,BK$8:BQ589,3,FALSE())
)</f>
        <v/>
      </c>
      <c r="BU90" s="110" t="str">
        <f aca="false">IF(BI90&gt;BH$7,
    "",
    VLOOKUP(BI90,BK$8:BQ589,4,FALSE())
)</f>
        <v/>
      </c>
      <c r="BV90" s="110" t="str">
        <f aca="false">IF(BI90&gt;BH$7,
    "",
    VLOOKUP(BI90,BK$8:BQ589,5,FALSE())
)</f>
        <v/>
      </c>
      <c r="BW90" s="111" t="str">
        <f aca="false">IF(BI90&gt;BH$7,
    "",
    VLOOKUP(BI90,BK$8:BQ589,6,FALSE())
)</f>
        <v/>
      </c>
      <c r="BX90" s="50"/>
    </row>
    <row r="91" customFormat="false" ht="15.75" hidden="false" customHeight="false" outlineLevel="0" collapsed="false">
      <c r="A91" s="5"/>
      <c r="B91" s="122"/>
      <c r="C91" s="123"/>
      <c r="D91" s="112"/>
      <c r="E91" s="116"/>
      <c r="F91" s="116"/>
      <c r="G91" s="88"/>
      <c r="H91" s="89"/>
      <c r="I91" s="125"/>
      <c r="J91" s="125"/>
      <c r="K91" s="125"/>
      <c r="L91" s="91"/>
      <c r="M91" s="91"/>
      <c r="N91" s="91"/>
      <c r="O91" s="92"/>
      <c r="P91" s="93"/>
      <c r="Q91" s="125"/>
      <c r="R91" s="95"/>
      <c r="S91" s="96"/>
      <c r="T91" s="96" t="str">
        <f aca="false">IF(ISBLANK($C91),"",IF(G91=Constants!$B$2, TRUE(), IF(G91=Constants!$B$3, FALSE(), TRUE())))</f>
        <v/>
      </c>
      <c r="U91" s="96" t="str">
        <f aca="false">IF(ISBLANK($C91),"",IF(H91=Constants!$B$2, TRUE(), IF(H91=Constants!$B$3, FALSE(), TRUE())))</f>
        <v/>
      </c>
      <c r="V91" s="96" t="str">
        <f aca="false">IF(ISBLANK($C91),"",IF(I91=Constants!$B$2, TRUE(), IF(I91=Constants!$B$3, FALSE(), TRUE())))</f>
        <v/>
      </c>
      <c r="W91" s="96" t="str">
        <f aca="false">IF(ISBLANK($C91),"",IF(J91=Constants!$B$2, TRUE(), IF(J91=Constants!$B$3, FALSE(), TRUE())))</f>
        <v/>
      </c>
      <c r="X91" s="97" t="str">
        <f aca="false">IF(ISBLANK($C91),"",IF(K91=Constants!$B$2, TRUE(), IF(K91=Constants!$B$3, FALSE(), TRUE())))</f>
        <v/>
      </c>
      <c r="Y91" s="98" t="str">
        <f aca="false">IF(ISBLANK($C91),"",IF(ISNUMBER(L91), L91, ""))</f>
        <v/>
      </c>
      <c r="Z91" s="98" t="str">
        <f aca="false">IF(ISBLANK($C91),"",IF(ISNUMBER(M91), M91, ""))</f>
        <v/>
      </c>
      <c r="AA91" s="98" t="str">
        <f aca="false">IF(ISBLANK($C91),"",IF(ISNUMBER(N91), N91, ""))</f>
        <v/>
      </c>
      <c r="AB91" s="99" t="str">
        <f aca="false">IF(ISBLANK($C91),"",IF(ISNUMBER(O91), O91, ""))</f>
        <v/>
      </c>
      <c r="AC91" s="99" t="str">
        <f aca="false">IF(ISBLANK($C91),"",IF(ISNUMBER(P91), P91, Constants!$B$13))</f>
        <v/>
      </c>
      <c r="AD91" s="96" t="str">
        <f aca="false">IF(ISBLANK($C91),"",IF(Q91=Constants!$B$2, TRUE(), IF(Q91=Constants!$B$3, FALSE(), FALSE())))</f>
        <v/>
      </c>
      <c r="AE91" s="96" t="str">
        <f aca="false">IF(ISBLANK(C91), "", IF(AD91, Constants!$B$4,IF(COUNTA(G91:O91)=0, Constants!$B$5, Constants!$B$7)))</f>
        <v/>
      </c>
      <c r="AF91" s="96" t="str">
        <f aca="false">IF(ISBLANK($C91), "",IF($AE91=Constants!$B$7,1,$AE91))</f>
        <v/>
      </c>
      <c r="AG91" s="96" t="str">
        <f aca="false">IF($AE91=Constants!$B$7,IF(V91, 1, Constants!$B$11) * IF(X91, 1, Constants!$B$12),"")</f>
        <v/>
      </c>
      <c r="AH91" s="96" t="str">
        <f aca="false">IF(AND($AE91=Constants!$B$7, T91, U91) ,MAX(0, $AA91-$Y91),"")</f>
        <v/>
      </c>
      <c r="AI91" s="96" t="str">
        <f aca="false">IF(ISERROR(AH91),$AI$6,"")</f>
        <v/>
      </c>
      <c r="AJ91" s="96" t="str">
        <f aca="false">IF($AE91=Constants!$B$7,IF(AND(T91,U91,W91),IF($AH$6=0,Constants!$B$9,Constants!$B$9*AH91/$AH$6), 0),"")</f>
        <v/>
      </c>
      <c r="AK91" s="96" t="str">
        <f aca="false">IF(AJ91&lt;&gt;"", AJ91*AG91,"")</f>
        <v/>
      </c>
      <c r="AL91" s="96" t="str">
        <f aca="false">IF(AND($AE91=Constants!$B$7, T91, U91) ,IF($Z91="", "", MAX(0,1-ABS($AA91-$Z91)/$AA91)),"")</f>
        <v/>
      </c>
      <c r="AM91" s="96" t="str">
        <f aca="false">IF(AND(NOT(ISERROR(AH91)),ISERROR(AL91)),$AM$6,"")</f>
        <v/>
      </c>
      <c r="AN91" s="96" t="str">
        <f aca="false">IF($AE91=Constants!$B$7 ,IF(AND(T91,U91,W91,ISNUMBER(Z91)),IF($AL$6=0,Constants!$B$10,Constants!$B$10*AL91/$AL$6), 0),"")</f>
        <v/>
      </c>
      <c r="AO91" s="96" t="str">
        <f aca="false">IF(AN91&lt;&gt;"", AN91*AG91,"")</f>
        <v/>
      </c>
      <c r="AP91" s="96" t="str">
        <f aca="false">IF($AE91=Constants!$B$7,IF($AP$6=0,Constants!$B$8,Constants!$B$8*AB91/$AP$6),"")</f>
        <v/>
      </c>
      <c r="AQ91" s="96" t="str">
        <f aca="false">IF($AE91&lt;&gt;Constants!$B$7,$AE91,AK91+AO91+AP91)</f>
        <v/>
      </c>
      <c r="AR91" s="96" t="str">
        <f aca="false">IF(ISBLANK($C91),"",IF($AE91=Constants!$B$7,RANK(AQ91,$AQ$8:$AQ$507),$AE91))</f>
        <v/>
      </c>
      <c r="AS91" s="96" t="str">
        <f aca="false">IF(ISBLANK($C91), "",AK91)</f>
        <v/>
      </c>
      <c r="AT91" s="96" t="str">
        <f aca="false">IF(ISBLANK($C91),"",IF($AE91=Constants!$B$7,RANK(AS91,AS$8:AS$507),$AE91))</f>
        <v/>
      </c>
      <c r="AU91" s="96" t="str">
        <f aca="false">IF(ISBLANK($C91), "",AP91)</f>
        <v/>
      </c>
      <c r="AV91" s="96" t="str">
        <f aca="false">IF(ISBLANK($C91),"",IF($AE91=Constants!$B$7,RANK(AU91,AU$8:AU$507),$AE91))</f>
        <v/>
      </c>
      <c r="AW91" s="96" t="str">
        <f aca="false">IF(ISBLANK($C91), "",AC91)</f>
        <v/>
      </c>
      <c r="AX91" s="96" t="str">
        <f aca="false">IF(ISBLANK($C91),"",
IF($AE91=Constants!$B$7,
  COUNTIFS($AR$8:$AR$507,"&lt;"&amp;$AR91)
  + COUNTIFS($AR$8:$AR$507,$AR91,$AT$8:$AT$507,"&lt;"&amp;$AT91)
  + COUNTIFS($AR$8:$AR$507,$AR91,$AT$8:$AT$507,$AT91,$AV$8:$AV$507,"&lt;"&amp;$AV91)
  + COUNTIFS($AR$8:$AR$507,$AR91,$AT$8:$AT$507,$AT91,$AV$8:$AV$507,$AV91,$AW$8:$AW$507,"&lt;"&amp;$AW91)
  + 1,
$AE91))</f>
        <v/>
      </c>
      <c r="AY91" s="96" t="str">
        <f aca="false">IF(ISBLANK(C91),"",IF($AE91=Constants!$B$7, AR91-AX91,$AE91))</f>
        <v/>
      </c>
      <c r="AZ91" s="100"/>
      <c r="BA91" s="101" t="str">
        <f aca="false">IF(ISBLANK($C91),"",TRIM(AI91&amp;" "&amp;AM91))</f>
        <v/>
      </c>
      <c r="BB91" s="102" t="str">
        <f aca="false">IF(ISBLANK($C91),"",IF($AE91&lt;&gt;Constants!$B$7, $AE91 ,AQ91))</f>
        <v/>
      </c>
      <c r="BC91" s="103" t="str">
        <f aca="false">IF(ISBLANK($C91),"",IF($AE91&lt;&gt;Constants!$B$7, $AE91 ,AF91))</f>
        <v/>
      </c>
      <c r="BD91" s="104" t="str">
        <f aca="false">IF(ISBLANK(C91),"",AY91)</f>
        <v/>
      </c>
      <c r="BE91" s="104" t="str">
        <f aca="false">IF(ISBLANK(C91),"",AX91)</f>
        <v/>
      </c>
      <c r="BF91" s="105" t="str">
        <f aca="false">IF(ISBLANK(C91),"",IFERROR(_xlfn.SWITCH(BE91, Constants!$B$4, COUNTA($C$8:$C590)+2, Constants!$B$5, COUNTA($C$8:$C590)+1, Constants!$B$6, COUNTA($C$8:$C590)),BE91))</f>
        <v/>
      </c>
      <c r="BG91" s="5"/>
      <c r="BH91" s="106" t="n">
        <f aca="false">IF(OR(ISNUMBER(BE91),BE91="DQ",BE91="P",BE91="NS"),
    1,
    0
)</f>
        <v>0</v>
      </c>
      <c r="BI91" s="106" t="n">
        <v>84</v>
      </c>
      <c r="BJ91" s="106" t="str">
        <f aca="false">IF(ISBLANK($C91),
    "",
   BF91+ROW($B91)/1000
)</f>
        <v/>
      </c>
      <c r="BK91" s="106" t="str">
        <f aca="false">IF(ISNUMBER(BJ91), RANK(BJ91,BJ$8:BJ$507,1), "")</f>
        <v/>
      </c>
      <c r="BL91" s="106" t="str">
        <f aca="false">IF(ISBLANK($C91),
    "",
    $B91
)</f>
        <v/>
      </c>
      <c r="BM91" s="106" t="str">
        <f aca="false">IF(ISBLANK($C91),
    "",
    $C91
)</f>
        <v/>
      </c>
      <c r="BN91" s="106" t="str">
        <f aca="false">IF(ISBLANK($C91),
    "",
    $D91
)</f>
        <v/>
      </c>
      <c r="BO91" s="107" t="str">
        <f aca="false">BC91</f>
        <v/>
      </c>
      <c r="BP91" s="108" t="str">
        <f aca="false">BB91</f>
        <v/>
      </c>
      <c r="BQ91" s="106" t="str">
        <f aca="false">IF(ISBLANK($C91),
    "",
    BE91
)</f>
        <v/>
      </c>
      <c r="BR91" s="109" t="str">
        <f aca="false">IF(BI91&gt;BH$7,
    "",
    VLOOKUP(BI91,BK$8:BQ590,7,FALSE())
)</f>
        <v/>
      </c>
      <c r="BS91" s="110" t="str">
        <f aca="false">IF(BI91&gt;BH$7,
    "",
    VLOOKUP(BI91,BK$8:BQ590,2,FALSE())
)</f>
        <v/>
      </c>
      <c r="BT91" s="110" t="str">
        <f aca="false">IF(BI91&gt;BH$7,
    "",
    VLOOKUP(BI91,BK$8:BQ590,3,FALSE())
)</f>
        <v/>
      </c>
      <c r="BU91" s="110" t="str">
        <f aca="false">IF(BI91&gt;BH$7,
    "",
    VLOOKUP(BI91,BK$8:BQ590,4,FALSE())
)</f>
        <v/>
      </c>
      <c r="BV91" s="110" t="str">
        <f aca="false">IF(BI91&gt;BH$7,
    "",
    VLOOKUP(BI91,BK$8:BQ590,5,FALSE())
)</f>
        <v/>
      </c>
      <c r="BW91" s="111" t="str">
        <f aca="false">IF(BI91&gt;BH$7,
    "",
    VLOOKUP(BI91,BK$8:BQ590,6,FALSE())
)</f>
        <v/>
      </c>
      <c r="BX91" s="50"/>
    </row>
    <row r="92" customFormat="false" ht="15.75" hidden="false" customHeight="false" outlineLevel="0" collapsed="false">
      <c r="A92" s="5"/>
      <c r="B92" s="126"/>
      <c r="C92" s="52"/>
      <c r="D92" s="53"/>
      <c r="E92" s="120"/>
      <c r="F92" s="120"/>
      <c r="G92" s="55"/>
      <c r="H92" s="56"/>
      <c r="I92" s="80"/>
      <c r="J92" s="80"/>
      <c r="K92" s="80"/>
      <c r="L92" s="58"/>
      <c r="M92" s="58"/>
      <c r="N92" s="58"/>
      <c r="O92" s="59"/>
      <c r="P92" s="60"/>
      <c r="Q92" s="80"/>
      <c r="R92" s="62"/>
      <c r="S92" s="63"/>
      <c r="T92" s="63" t="str">
        <f aca="false">IF(ISBLANK($C92),"",IF(G92=Constants!$B$2, TRUE(), IF(G92=Constants!$B$3, FALSE(), TRUE())))</f>
        <v/>
      </c>
      <c r="U92" s="63" t="str">
        <f aca="false">IF(ISBLANK($C92),"",IF(H92=Constants!$B$2, TRUE(), IF(H92=Constants!$B$3, FALSE(), TRUE())))</f>
        <v/>
      </c>
      <c r="V92" s="63" t="str">
        <f aca="false">IF(ISBLANK($C92),"",IF(I92=Constants!$B$2, TRUE(), IF(I92=Constants!$B$3, FALSE(), TRUE())))</f>
        <v/>
      </c>
      <c r="W92" s="63" t="str">
        <f aca="false">IF(ISBLANK($C92),"",IF(J92=Constants!$B$2, TRUE(), IF(J92=Constants!$B$3, FALSE(), TRUE())))</f>
        <v/>
      </c>
      <c r="X92" s="63" t="str">
        <f aca="false">IF(ISBLANK($C92),"",IF(K92=Constants!$B$2, TRUE(), IF(K92=Constants!$B$3, FALSE(), TRUE())))</f>
        <v/>
      </c>
      <c r="Y92" s="65" t="str">
        <f aca="false">IF(ISBLANK($C92),"",IF(ISNUMBER(L92), L92, ""))</f>
        <v/>
      </c>
      <c r="Z92" s="65" t="str">
        <f aca="false">IF(ISBLANK($C92),"",IF(ISNUMBER(M92), M92, ""))</f>
        <v/>
      </c>
      <c r="AA92" s="65" t="str">
        <f aca="false">IF(ISBLANK($C92),"",IF(ISNUMBER(N92), N92, ""))</f>
        <v/>
      </c>
      <c r="AB92" s="66" t="str">
        <f aca="false">IF(ISBLANK($C92),"",IF(ISNUMBER(O92), O92, ""))</f>
        <v/>
      </c>
      <c r="AC92" s="66" t="str">
        <f aca="false">IF(ISBLANK($C92),"",IF(ISNUMBER(P92), P92, Constants!$B$13))</f>
        <v/>
      </c>
      <c r="AD92" s="63" t="str">
        <f aca="false">IF(ISBLANK($C92),"",IF(Q92=Constants!$B$2, TRUE(), IF(Q92=Constants!$B$3, FALSE(), FALSE())))</f>
        <v/>
      </c>
      <c r="AE92" s="63" t="str">
        <f aca="false">IF(ISBLANK(C92), "", IF(AD92, Constants!$B$4,IF(COUNTA(G92:O92)=0, Constants!$B$5, Constants!$B$7)))</f>
        <v/>
      </c>
      <c r="AF92" s="63" t="str">
        <f aca="false">IF(ISBLANK($C92), "",IF($AE92=Constants!$B$7,1,$AE92))</f>
        <v/>
      </c>
      <c r="AG92" s="63" t="str">
        <f aca="false">IF($AE92=Constants!$B$7,IF(V92, 1, Constants!$B$11) * IF(X92, 1, Constants!$B$12),"")</f>
        <v/>
      </c>
      <c r="AH92" s="63" t="str">
        <f aca="false">IF(AND($AE92=Constants!$B$7, T92, U92) ,MAX(0, $AA92-$Y92),"")</f>
        <v/>
      </c>
      <c r="AI92" s="63" t="str">
        <f aca="false">IF(ISERROR(AH92),$AI$6,"")</f>
        <v/>
      </c>
      <c r="AJ92" s="63" t="str">
        <f aca="false">IF($AE92=Constants!$B$7,IF(AND(T92,U92,W92),IF($AH$6=0,Constants!$B$9,Constants!$B$9*AH92/$AH$6), 0),"")</f>
        <v/>
      </c>
      <c r="AK92" s="63" t="str">
        <f aca="false">IF(AJ92&lt;&gt;"", AJ92*AG92,"")</f>
        <v/>
      </c>
      <c r="AL92" s="63" t="str">
        <f aca="false">IF(AND($AE92=Constants!$B$7, T92, U92) ,IF($Z92="", "", MAX(0,1-ABS($AA92-$Z92)/$AA92)),"")</f>
        <v/>
      </c>
      <c r="AM92" s="63" t="str">
        <f aca="false">IF(AND(NOT(ISERROR(AH92)),ISERROR(AL92)),$AM$6,"")</f>
        <v/>
      </c>
      <c r="AN92" s="63" t="str">
        <f aca="false">IF($AE92=Constants!$B$7 ,IF(AND(T92,U92,W92,ISNUMBER(Z92)),IF($AL$6=0,Constants!$B$10,Constants!$B$10*AL92/$AL$6), 0),"")</f>
        <v/>
      </c>
      <c r="AO92" s="63" t="str">
        <f aca="false">IF(AN92&lt;&gt;"", AN92*AG92,"")</f>
        <v/>
      </c>
      <c r="AP92" s="63" t="str">
        <f aca="false">IF($AE92=Constants!$B$7,IF($AP$6=0,Constants!$B$8,Constants!$B$8*AB92/$AP$6),"")</f>
        <v/>
      </c>
      <c r="AQ92" s="63" t="str">
        <f aca="false">IF($AE92&lt;&gt;Constants!$B$7,$AE92,AK92+AO92+AP92)</f>
        <v/>
      </c>
      <c r="AR92" s="63" t="str">
        <f aca="false">IF(ISBLANK($C92),"",IF($AE92=Constants!$B$7,RANK(AQ92,$AQ$8:$AQ$507),$AE92))</f>
        <v/>
      </c>
      <c r="AS92" s="63" t="str">
        <f aca="false">IF(ISBLANK($C92), "",AK92)</f>
        <v/>
      </c>
      <c r="AT92" s="63" t="str">
        <f aca="false">IF(ISBLANK($C92),"",IF($AE92=Constants!$B$7,RANK(AS92,AS$8:AS$507),$AE92))</f>
        <v/>
      </c>
      <c r="AU92" s="63" t="str">
        <f aca="false">IF(ISBLANK($C92), "",AP92)</f>
        <v/>
      </c>
      <c r="AV92" s="63" t="str">
        <f aca="false">IF(ISBLANK($C92),"",IF($AE92=Constants!$B$7,RANK(AU92,AU$8:AU$507),$AE92))</f>
        <v/>
      </c>
      <c r="AW92" s="63" t="str">
        <f aca="false">IF(ISBLANK($C92), "",AC92)</f>
        <v/>
      </c>
      <c r="AX92" s="63" t="str">
        <f aca="false">IF(ISBLANK($C92),"",
IF($AE92=Constants!$B$7,
  COUNTIFS($AR$8:$AR$507,"&lt;"&amp;$AR92)
  + COUNTIFS($AR$8:$AR$507,$AR92,$AT$8:$AT$507,"&lt;"&amp;$AT92)
  + COUNTIFS($AR$8:$AR$507,$AR92,$AT$8:$AT$507,$AT92,$AV$8:$AV$507,"&lt;"&amp;$AV92)
  + COUNTIFS($AR$8:$AR$507,$AR92,$AT$8:$AT$507,$AT92,$AV$8:$AV$507,$AV92,$AW$8:$AW$507,"&lt;"&amp;$AW92)
  + 1,
$AE92))</f>
        <v/>
      </c>
      <c r="AY92" s="63" t="str">
        <f aca="false">IF(ISBLANK(C92),"",IF($AE92=Constants!$B$7, AR92-AX92,$AE92))</f>
        <v/>
      </c>
      <c r="AZ92" s="67"/>
      <c r="BA92" s="81" t="str">
        <f aca="false">IF(ISBLANK($C92),"",TRIM(AI92&amp;" "&amp;AM92))</f>
        <v/>
      </c>
      <c r="BB92" s="69" t="str">
        <f aca="false">IF(ISBLANK($C92),"",IF($AE92&lt;&gt;Constants!$B$7, $AE92 ,AQ92))</f>
        <v/>
      </c>
      <c r="BC92" s="70" t="str">
        <f aca="false">IF(ISBLANK($C92),"",IF($AE92&lt;&gt;Constants!$B$7, $AE92 ,AF92))</f>
        <v/>
      </c>
      <c r="BD92" s="71" t="str">
        <f aca="false">IF(ISBLANK(C92),"",AY92)</f>
        <v/>
      </c>
      <c r="BE92" s="71" t="str">
        <f aca="false">IF(ISBLANK(C92),"",AX92)</f>
        <v/>
      </c>
      <c r="BF92" s="72" t="str">
        <f aca="false">IF(ISBLANK(C92),"",IFERROR(_xlfn.SWITCH(BE92, Constants!$B$4, COUNTA($C$8:$C591)+2, Constants!$B$5, COUNTA($C$8:$C591)+1, Constants!$B$6, COUNTA($C$8:$C591)),BE92))</f>
        <v/>
      </c>
      <c r="BG92" s="5"/>
      <c r="BH92" s="73" t="n">
        <f aca="false">IF(OR(ISNUMBER(BE92),BE92="DQ",BE92="P",BE92="NS"),
    1,
    0
)</f>
        <v>0</v>
      </c>
      <c r="BI92" s="73" t="n">
        <v>85</v>
      </c>
      <c r="BJ92" s="73" t="str">
        <f aca="false">IF(ISBLANK($C92),
    "",
   BF92+ROW($B92)/1000
)</f>
        <v/>
      </c>
      <c r="BK92" s="73" t="str">
        <f aca="false">IF(ISNUMBER(BJ92), RANK(BJ92,BJ$8:BJ$507,1), "")</f>
        <v/>
      </c>
      <c r="BL92" s="73" t="str">
        <f aca="false">IF(ISBLANK($C92),
    "",
    $B92
)</f>
        <v/>
      </c>
      <c r="BM92" s="73" t="str">
        <f aca="false">IF(ISBLANK($C92),
    "",
    $C92
)</f>
        <v/>
      </c>
      <c r="BN92" s="73" t="str">
        <f aca="false">IF(ISBLANK($C92),
    "",
    $D92
)</f>
        <v/>
      </c>
      <c r="BO92" s="74" t="str">
        <f aca="false">BC92</f>
        <v/>
      </c>
      <c r="BP92" s="75" t="str">
        <f aca="false">BB92</f>
        <v/>
      </c>
      <c r="BQ92" s="73" t="str">
        <f aca="false">IF(ISBLANK($C92),
    "",
    BE92
)</f>
        <v/>
      </c>
      <c r="BR92" s="76" t="str">
        <f aca="false">IF(BI92&gt;BH$7,
    "",
    VLOOKUP(BI92,BK$8:BQ591,7,FALSE())
)</f>
        <v/>
      </c>
      <c r="BS92" s="77" t="str">
        <f aca="false">IF(BI92&gt;BH$7,
    "",
    VLOOKUP(BI92,BK$8:BQ591,2,FALSE())
)</f>
        <v/>
      </c>
      <c r="BT92" s="77" t="str">
        <f aca="false">IF(BI92&gt;BH$7,
    "",
    VLOOKUP(BI92,BK$8:BQ591,3,FALSE())
)</f>
        <v/>
      </c>
      <c r="BU92" s="77" t="str">
        <f aca="false">IF(BI92&gt;BH$7,
    "",
    VLOOKUP(BI92,BK$8:BQ591,4,FALSE())
)</f>
        <v/>
      </c>
      <c r="BV92" s="77" t="str">
        <f aca="false">IF(BI92&gt;BH$7,
    "",
    VLOOKUP(BI92,BK$8:BQ591,5,FALSE())
)</f>
        <v/>
      </c>
      <c r="BW92" s="78" t="str">
        <f aca="false">IF(BI92&gt;BH$7,
    "",
    VLOOKUP(BI92,BK$8:BQ591,6,FALSE())
)</f>
        <v/>
      </c>
      <c r="BX92" s="50"/>
    </row>
    <row r="93" customFormat="false" ht="15.75" hidden="false" customHeight="false" outlineLevel="0" collapsed="false">
      <c r="A93" s="5"/>
      <c r="B93" s="126"/>
      <c r="C93" s="52"/>
      <c r="D93" s="53"/>
      <c r="E93" s="120"/>
      <c r="F93" s="120"/>
      <c r="G93" s="55"/>
      <c r="H93" s="56"/>
      <c r="I93" s="80"/>
      <c r="J93" s="80"/>
      <c r="K93" s="80"/>
      <c r="L93" s="58"/>
      <c r="M93" s="58"/>
      <c r="N93" s="58"/>
      <c r="O93" s="59"/>
      <c r="P93" s="60"/>
      <c r="Q93" s="80"/>
      <c r="R93" s="62"/>
      <c r="S93" s="63"/>
      <c r="T93" s="63" t="str">
        <f aca="false">IF(ISBLANK($C93),"",IF(G93=Constants!$B$2, TRUE(), IF(G93=Constants!$B$3, FALSE(), TRUE())))</f>
        <v/>
      </c>
      <c r="U93" s="63" t="str">
        <f aca="false">IF(ISBLANK($C93),"",IF(H93=Constants!$B$2, TRUE(), IF(H93=Constants!$B$3, FALSE(), TRUE())))</f>
        <v/>
      </c>
      <c r="V93" s="63" t="str">
        <f aca="false">IF(ISBLANK($C93),"",IF(I93=Constants!$B$2, TRUE(), IF(I93=Constants!$B$3, FALSE(), TRUE())))</f>
        <v/>
      </c>
      <c r="W93" s="63" t="str">
        <f aca="false">IF(ISBLANK($C93),"",IF(J93=Constants!$B$2, TRUE(), IF(J93=Constants!$B$3, FALSE(), TRUE())))</f>
        <v/>
      </c>
      <c r="X93" s="63" t="str">
        <f aca="false">IF(ISBLANK($C93),"",IF(K93=Constants!$B$2, TRUE(), IF(K93=Constants!$B$3, FALSE(), TRUE())))</f>
        <v/>
      </c>
      <c r="Y93" s="65" t="str">
        <f aca="false">IF(ISBLANK($C93),"",IF(ISNUMBER(L93), L93, ""))</f>
        <v/>
      </c>
      <c r="Z93" s="65" t="str">
        <f aca="false">IF(ISBLANK($C93),"",IF(ISNUMBER(M93), M93, ""))</f>
        <v/>
      </c>
      <c r="AA93" s="65" t="str">
        <f aca="false">IF(ISBLANK($C93),"",IF(ISNUMBER(N93), N93, ""))</f>
        <v/>
      </c>
      <c r="AB93" s="66" t="str">
        <f aca="false">IF(ISBLANK($C93),"",IF(ISNUMBER(O93), O93, ""))</f>
        <v/>
      </c>
      <c r="AC93" s="66" t="str">
        <f aca="false">IF(ISBLANK($C93),"",IF(ISNUMBER(P93), P93, Constants!$B$13))</f>
        <v/>
      </c>
      <c r="AD93" s="63" t="str">
        <f aca="false">IF(ISBLANK($C93),"",IF(Q93=Constants!$B$2, TRUE(), IF(Q93=Constants!$B$3, FALSE(), FALSE())))</f>
        <v/>
      </c>
      <c r="AE93" s="63" t="str">
        <f aca="false">IF(ISBLANK(C93), "", IF(AD93, Constants!$B$4,IF(COUNTA(G93:O93)=0, Constants!$B$5, Constants!$B$7)))</f>
        <v/>
      </c>
      <c r="AF93" s="63" t="str">
        <f aca="false">IF(ISBLANK($C93), "",IF($AE93=Constants!$B$7,1,$AE93))</f>
        <v/>
      </c>
      <c r="AG93" s="63" t="str">
        <f aca="false">IF($AE93=Constants!$B$7,IF(V93, 1, Constants!$B$11) * IF(X93, 1, Constants!$B$12),"")</f>
        <v/>
      </c>
      <c r="AH93" s="63" t="str">
        <f aca="false">IF(AND($AE93=Constants!$B$7, T93, U93) ,MAX(0, $AA93-$Y93),"")</f>
        <v/>
      </c>
      <c r="AI93" s="63" t="str">
        <f aca="false">IF(ISERROR(AH93),$AI$6,"")</f>
        <v/>
      </c>
      <c r="AJ93" s="63" t="str">
        <f aca="false">IF($AE93=Constants!$B$7,IF(AND(T93,U93,W93),IF($AH$6=0,Constants!$B$9,Constants!$B$9*AH93/$AH$6), 0),"")</f>
        <v/>
      </c>
      <c r="AK93" s="63" t="str">
        <f aca="false">IF(AJ93&lt;&gt;"", AJ93*AG93,"")</f>
        <v/>
      </c>
      <c r="AL93" s="63" t="str">
        <f aca="false">IF(AND($AE93=Constants!$B$7, T93, U93) ,IF($Z93="", "", MAX(0,1-ABS($AA93-$Z93)/$AA93)),"")</f>
        <v/>
      </c>
      <c r="AM93" s="63" t="str">
        <f aca="false">IF(AND(NOT(ISERROR(AH93)),ISERROR(AL93)),$AM$6,"")</f>
        <v/>
      </c>
      <c r="AN93" s="63" t="str">
        <f aca="false">IF($AE93=Constants!$B$7 ,IF(AND(T93,U93,W93,ISNUMBER(Z93)),IF($AL$6=0,Constants!$B$10,Constants!$B$10*AL93/$AL$6), 0),"")</f>
        <v/>
      </c>
      <c r="AO93" s="63" t="str">
        <f aca="false">IF(AN93&lt;&gt;"", AN93*AG93,"")</f>
        <v/>
      </c>
      <c r="AP93" s="63" t="str">
        <f aca="false">IF($AE93=Constants!$B$7,IF($AP$6=0,Constants!$B$8,Constants!$B$8*AB93/$AP$6),"")</f>
        <v/>
      </c>
      <c r="AQ93" s="63" t="str">
        <f aca="false">IF($AE93&lt;&gt;Constants!$B$7,$AE93,AK93+AO93+AP93)</f>
        <v/>
      </c>
      <c r="AR93" s="63" t="str">
        <f aca="false">IF(ISBLANK($C93),"",IF($AE93=Constants!$B$7,RANK(AQ93,$AQ$8:$AQ$507),$AE93))</f>
        <v/>
      </c>
      <c r="AS93" s="63" t="str">
        <f aca="false">IF(ISBLANK($C93), "",AK93)</f>
        <v/>
      </c>
      <c r="AT93" s="63" t="str">
        <f aca="false">IF(ISBLANK($C93),"",IF($AE93=Constants!$B$7,RANK(AS93,AS$8:AS$507),$AE93))</f>
        <v/>
      </c>
      <c r="AU93" s="63" t="str">
        <f aca="false">IF(ISBLANK($C93), "",AP93)</f>
        <v/>
      </c>
      <c r="AV93" s="63" t="str">
        <f aca="false">IF(ISBLANK($C93),"",IF($AE93=Constants!$B$7,RANK(AU93,AU$8:AU$507),$AE93))</f>
        <v/>
      </c>
      <c r="AW93" s="63" t="str">
        <f aca="false">IF(ISBLANK($C93), "",AC93)</f>
        <v/>
      </c>
      <c r="AX93" s="63" t="str">
        <f aca="false">IF(ISBLANK($C93),"",
IF($AE93=Constants!$B$7,
  COUNTIFS($AR$8:$AR$507,"&lt;"&amp;$AR93)
  + COUNTIFS($AR$8:$AR$507,$AR93,$AT$8:$AT$507,"&lt;"&amp;$AT93)
  + COUNTIFS($AR$8:$AR$507,$AR93,$AT$8:$AT$507,$AT93,$AV$8:$AV$507,"&lt;"&amp;$AV93)
  + COUNTIFS($AR$8:$AR$507,$AR93,$AT$8:$AT$507,$AT93,$AV$8:$AV$507,$AV93,$AW$8:$AW$507,"&lt;"&amp;$AW93)
  + 1,
$AE93))</f>
        <v/>
      </c>
      <c r="AY93" s="63" t="str">
        <f aca="false">IF(ISBLANK(C93),"",IF($AE93=Constants!$B$7, AR93-AX93,$AE93))</f>
        <v/>
      </c>
      <c r="AZ93" s="67"/>
      <c r="BA93" s="81" t="str">
        <f aca="false">IF(ISBLANK($C93),"",TRIM(AI93&amp;" "&amp;AM93))</f>
        <v/>
      </c>
      <c r="BB93" s="69" t="str">
        <f aca="false">IF(ISBLANK($C93),"",IF($AE93&lt;&gt;Constants!$B$7, $AE93 ,AQ93))</f>
        <v/>
      </c>
      <c r="BC93" s="70" t="str">
        <f aca="false">IF(ISBLANK($C93),"",IF($AE93&lt;&gt;Constants!$B$7, $AE93 ,AF93))</f>
        <v/>
      </c>
      <c r="BD93" s="71" t="str">
        <f aca="false">IF(ISBLANK(C93),"",AY93)</f>
        <v/>
      </c>
      <c r="BE93" s="71" t="str">
        <f aca="false">IF(ISBLANK(C93),"",AX93)</f>
        <v/>
      </c>
      <c r="BF93" s="72" t="str">
        <f aca="false">IF(ISBLANK(C93),"",IFERROR(_xlfn.SWITCH(BE93, Constants!$B$4, COUNTA($C$8:$C592)+2, Constants!$B$5, COUNTA($C$8:$C592)+1, Constants!$B$6, COUNTA($C$8:$C592)),BE93))</f>
        <v/>
      </c>
      <c r="BG93" s="5"/>
      <c r="BH93" s="73" t="n">
        <f aca="false">IF(OR(ISNUMBER(BE93),BE93="DQ",BE93="P",BE93="NS"),
    1,
    0
)</f>
        <v>0</v>
      </c>
      <c r="BI93" s="73" t="n">
        <v>86</v>
      </c>
      <c r="BJ93" s="73" t="str">
        <f aca="false">IF(ISBLANK($C93),
    "",
   BF93+ROW($B93)/1000
)</f>
        <v/>
      </c>
      <c r="BK93" s="73" t="str">
        <f aca="false">IF(ISNUMBER(BJ93), RANK(BJ93,BJ$8:BJ$507,1), "")</f>
        <v/>
      </c>
      <c r="BL93" s="73" t="str">
        <f aca="false">IF(ISBLANK($C93),
    "",
    $B93
)</f>
        <v/>
      </c>
      <c r="BM93" s="73" t="str">
        <f aca="false">IF(ISBLANK($C93),
    "",
    $C93
)</f>
        <v/>
      </c>
      <c r="BN93" s="73" t="str">
        <f aca="false">IF(ISBLANK($C93),
    "",
    $D93
)</f>
        <v/>
      </c>
      <c r="BO93" s="74" t="str">
        <f aca="false">BC93</f>
        <v/>
      </c>
      <c r="BP93" s="75" t="str">
        <f aca="false">BB93</f>
        <v/>
      </c>
      <c r="BQ93" s="73" t="str">
        <f aca="false">IF(ISBLANK($C93),
    "",
    BE93
)</f>
        <v/>
      </c>
      <c r="BR93" s="76" t="str">
        <f aca="false">IF(BI93&gt;BH$7,
    "",
    VLOOKUP(BI93,BK$8:BQ592,7,FALSE())
)</f>
        <v/>
      </c>
      <c r="BS93" s="77" t="str">
        <f aca="false">IF(BI93&gt;BH$7,
    "",
    VLOOKUP(BI93,BK$8:BQ592,2,FALSE())
)</f>
        <v/>
      </c>
      <c r="BT93" s="77" t="str">
        <f aca="false">IF(BI93&gt;BH$7,
    "",
    VLOOKUP(BI93,BK$8:BQ592,3,FALSE())
)</f>
        <v/>
      </c>
      <c r="BU93" s="77" t="str">
        <f aca="false">IF(BI93&gt;BH$7,
    "",
    VLOOKUP(BI93,BK$8:BQ592,4,FALSE())
)</f>
        <v/>
      </c>
      <c r="BV93" s="77" t="str">
        <f aca="false">IF(BI93&gt;BH$7,
    "",
    VLOOKUP(BI93,BK$8:BQ592,5,FALSE())
)</f>
        <v/>
      </c>
      <c r="BW93" s="78" t="str">
        <f aca="false">IF(BI93&gt;BH$7,
    "",
    VLOOKUP(BI93,BK$8:BQ592,6,FALSE())
)</f>
        <v/>
      </c>
      <c r="BX93" s="50"/>
    </row>
    <row r="94" customFormat="false" ht="15.75" hidden="false" customHeight="false" outlineLevel="0" collapsed="false">
      <c r="A94" s="5"/>
      <c r="B94" s="126"/>
      <c r="C94" s="52"/>
      <c r="D94" s="53"/>
      <c r="E94" s="120"/>
      <c r="F94" s="120"/>
      <c r="G94" s="55"/>
      <c r="H94" s="56"/>
      <c r="I94" s="80"/>
      <c r="J94" s="80"/>
      <c r="K94" s="80"/>
      <c r="L94" s="58"/>
      <c r="M94" s="58"/>
      <c r="N94" s="58"/>
      <c r="O94" s="59"/>
      <c r="P94" s="60"/>
      <c r="Q94" s="80"/>
      <c r="R94" s="62"/>
      <c r="S94" s="63"/>
      <c r="T94" s="63" t="str">
        <f aca="false">IF(ISBLANK($C94),"",IF(G94=Constants!$B$2, TRUE(), IF(G94=Constants!$B$3, FALSE(), TRUE())))</f>
        <v/>
      </c>
      <c r="U94" s="63" t="str">
        <f aca="false">IF(ISBLANK($C94),"",IF(H94=Constants!$B$2, TRUE(), IF(H94=Constants!$B$3, FALSE(), TRUE())))</f>
        <v/>
      </c>
      <c r="V94" s="63" t="str">
        <f aca="false">IF(ISBLANK($C94),"",IF(I94=Constants!$B$2, TRUE(), IF(I94=Constants!$B$3, FALSE(), TRUE())))</f>
        <v/>
      </c>
      <c r="W94" s="63" t="str">
        <f aca="false">IF(ISBLANK($C94),"",IF(J94=Constants!$B$2, TRUE(), IF(J94=Constants!$B$3, FALSE(), TRUE())))</f>
        <v/>
      </c>
      <c r="X94" s="63" t="str">
        <f aca="false">IF(ISBLANK($C94),"",IF(K94=Constants!$B$2, TRUE(), IF(K94=Constants!$B$3, FALSE(), TRUE())))</f>
        <v/>
      </c>
      <c r="Y94" s="65" t="str">
        <f aca="false">IF(ISBLANK($C94),"",IF(ISNUMBER(L94), L94, ""))</f>
        <v/>
      </c>
      <c r="Z94" s="65" t="str">
        <f aca="false">IF(ISBLANK($C94),"",IF(ISNUMBER(M94), M94, ""))</f>
        <v/>
      </c>
      <c r="AA94" s="65" t="str">
        <f aca="false">IF(ISBLANK($C94),"",IF(ISNUMBER(N94), N94, ""))</f>
        <v/>
      </c>
      <c r="AB94" s="66" t="str">
        <f aca="false">IF(ISBLANK($C94),"",IF(ISNUMBER(O94), O94, ""))</f>
        <v/>
      </c>
      <c r="AC94" s="66" t="str">
        <f aca="false">IF(ISBLANK($C94),"",IF(ISNUMBER(P94), P94, Constants!$B$13))</f>
        <v/>
      </c>
      <c r="AD94" s="63" t="str">
        <f aca="false">IF(ISBLANK($C94),"",IF(Q94=Constants!$B$2, TRUE(), IF(Q94=Constants!$B$3, FALSE(), FALSE())))</f>
        <v/>
      </c>
      <c r="AE94" s="63" t="str">
        <f aca="false">IF(ISBLANK(C94), "", IF(AD94, Constants!$B$4,IF(COUNTA(G94:O94)=0, Constants!$B$5, Constants!$B$7)))</f>
        <v/>
      </c>
      <c r="AF94" s="63" t="str">
        <f aca="false">IF(ISBLANK($C94), "",IF($AE94=Constants!$B$7,1,$AE94))</f>
        <v/>
      </c>
      <c r="AG94" s="63" t="str">
        <f aca="false">IF($AE94=Constants!$B$7,IF(V94, 1, Constants!$B$11) * IF(X94, 1, Constants!$B$12),"")</f>
        <v/>
      </c>
      <c r="AH94" s="63" t="str">
        <f aca="false">IF(AND($AE94=Constants!$B$7, T94, U94) ,MAX(0, $AA94-$Y94),"")</f>
        <v/>
      </c>
      <c r="AI94" s="63" t="str">
        <f aca="false">IF(ISERROR(AH94),$AI$6,"")</f>
        <v/>
      </c>
      <c r="AJ94" s="63" t="str">
        <f aca="false">IF($AE94=Constants!$B$7,IF(AND(T94,U94,W94),IF($AH$6=0,Constants!$B$9,Constants!$B$9*AH94/$AH$6), 0),"")</f>
        <v/>
      </c>
      <c r="AK94" s="63" t="str">
        <f aca="false">IF(AJ94&lt;&gt;"", AJ94*AG94,"")</f>
        <v/>
      </c>
      <c r="AL94" s="63" t="str">
        <f aca="false">IF(AND($AE94=Constants!$B$7, T94, U94) ,IF($Z94="", "", MAX(0,1-ABS($AA94-$Z94)/$AA94)),"")</f>
        <v/>
      </c>
      <c r="AM94" s="63" t="str">
        <f aca="false">IF(AND(NOT(ISERROR(AH94)),ISERROR(AL94)),$AM$6,"")</f>
        <v/>
      </c>
      <c r="AN94" s="63" t="str">
        <f aca="false">IF($AE94=Constants!$B$7 ,IF(AND(T94,U94,W94,ISNUMBER(Z94)),IF($AL$6=0,Constants!$B$10,Constants!$B$10*AL94/$AL$6), 0),"")</f>
        <v/>
      </c>
      <c r="AO94" s="63" t="str">
        <f aca="false">IF(AN94&lt;&gt;"", AN94*AG94,"")</f>
        <v/>
      </c>
      <c r="AP94" s="63" t="str">
        <f aca="false">IF($AE94=Constants!$B$7,IF($AP$6=0,Constants!$B$8,Constants!$B$8*AB94/$AP$6),"")</f>
        <v/>
      </c>
      <c r="AQ94" s="63" t="str">
        <f aca="false">IF($AE94&lt;&gt;Constants!$B$7,$AE94,AK94+AO94+AP94)</f>
        <v/>
      </c>
      <c r="AR94" s="63" t="str">
        <f aca="false">IF(ISBLANK($C94),"",IF($AE94=Constants!$B$7,RANK(AQ94,$AQ$8:$AQ$507),$AE94))</f>
        <v/>
      </c>
      <c r="AS94" s="63" t="str">
        <f aca="false">IF(ISBLANK($C94), "",AK94)</f>
        <v/>
      </c>
      <c r="AT94" s="63" t="str">
        <f aca="false">IF(ISBLANK($C94),"",IF($AE94=Constants!$B$7,RANK(AS94,AS$8:AS$507),$AE94))</f>
        <v/>
      </c>
      <c r="AU94" s="63" t="str">
        <f aca="false">IF(ISBLANK($C94), "",AP94)</f>
        <v/>
      </c>
      <c r="AV94" s="63" t="str">
        <f aca="false">IF(ISBLANK($C94),"",IF($AE94=Constants!$B$7,RANK(AU94,AU$8:AU$507),$AE94))</f>
        <v/>
      </c>
      <c r="AW94" s="63" t="str">
        <f aca="false">IF(ISBLANK($C94), "",AC94)</f>
        <v/>
      </c>
      <c r="AX94" s="63" t="str">
        <f aca="false">IF(ISBLANK($C94),"",
IF($AE94=Constants!$B$7,
  COUNTIFS($AR$8:$AR$507,"&lt;"&amp;$AR94)
  + COUNTIFS($AR$8:$AR$507,$AR94,$AT$8:$AT$507,"&lt;"&amp;$AT94)
  + COUNTIFS($AR$8:$AR$507,$AR94,$AT$8:$AT$507,$AT94,$AV$8:$AV$507,"&lt;"&amp;$AV94)
  + COUNTIFS($AR$8:$AR$507,$AR94,$AT$8:$AT$507,$AT94,$AV$8:$AV$507,$AV94,$AW$8:$AW$507,"&lt;"&amp;$AW94)
  + 1,
$AE94))</f>
        <v/>
      </c>
      <c r="AY94" s="63" t="str">
        <f aca="false">IF(ISBLANK(C94),"",IF($AE94=Constants!$B$7, AR94-AX94,$AE94))</f>
        <v/>
      </c>
      <c r="AZ94" s="67"/>
      <c r="BA94" s="81" t="str">
        <f aca="false">IF(ISBLANK($C94),"",TRIM(AI94&amp;" "&amp;AM94))</f>
        <v/>
      </c>
      <c r="BB94" s="69" t="str">
        <f aca="false">IF(ISBLANK($C94),"",IF($AE94&lt;&gt;Constants!$B$7, $AE94 ,AQ94))</f>
        <v/>
      </c>
      <c r="BC94" s="70" t="str">
        <f aca="false">IF(ISBLANK($C94),"",IF($AE94&lt;&gt;Constants!$B$7, $AE94 ,AF94))</f>
        <v/>
      </c>
      <c r="BD94" s="71" t="str">
        <f aca="false">IF(ISBLANK(C94),"",AY94)</f>
        <v/>
      </c>
      <c r="BE94" s="71" t="str">
        <f aca="false">IF(ISBLANK(C94),"",AX94)</f>
        <v/>
      </c>
      <c r="BF94" s="72" t="str">
        <f aca="false">IF(ISBLANK(C94),"",IFERROR(_xlfn.SWITCH(BE94, Constants!$B$4, COUNTA($C$8:$C593)+2, Constants!$B$5, COUNTA($C$8:$C593)+1, Constants!$B$6, COUNTA($C$8:$C593)),BE94))</f>
        <v/>
      </c>
      <c r="BG94" s="5"/>
      <c r="BH94" s="73" t="n">
        <f aca="false">IF(OR(ISNUMBER(BE94),BE94="DQ",BE94="P",BE94="NS"),
    1,
    0
)</f>
        <v>0</v>
      </c>
      <c r="BI94" s="73" t="n">
        <v>87</v>
      </c>
      <c r="BJ94" s="73" t="str">
        <f aca="false">IF(ISBLANK($C94),
    "",
   BF94+ROW($B94)/1000
)</f>
        <v/>
      </c>
      <c r="BK94" s="73" t="str">
        <f aca="false">IF(ISNUMBER(BJ94), RANK(BJ94,BJ$8:BJ$507,1), "")</f>
        <v/>
      </c>
      <c r="BL94" s="73" t="str">
        <f aca="false">IF(ISBLANK($C94),
    "",
    $B94
)</f>
        <v/>
      </c>
      <c r="BM94" s="73" t="str">
        <f aca="false">IF(ISBLANK($C94),
    "",
    $C94
)</f>
        <v/>
      </c>
      <c r="BN94" s="73" t="str">
        <f aca="false">IF(ISBLANK($C94),
    "",
    $D94
)</f>
        <v/>
      </c>
      <c r="BO94" s="74" t="str">
        <f aca="false">BC94</f>
        <v/>
      </c>
      <c r="BP94" s="75" t="str">
        <f aca="false">BB94</f>
        <v/>
      </c>
      <c r="BQ94" s="73" t="str">
        <f aca="false">IF(ISBLANK($C94),
    "",
    BE94
)</f>
        <v/>
      </c>
      <c r="BR94" s="76" t="str">
        <f aca="false">IF(BI94&gt;BH$7,
    "",
    VLOOKUP(BI94,BK$8:BQ593,7,FALSE())
)</f>
        <v/>
      </c>
      <c r="BS94" s="77" t="str">
        <f aca="false">IF(BI94&gt;BH$7,
    "",
    VLOOKUP(BI94,BK$8:BQ593,2,FALSE())
)</f>
        <v/>
      </c>
      <c r="BT94" s="77" t="str">
        <f aca="false">IF(BI94&gt;BH$7,
    "",
    VLOOKUP(BI94,BK$8:BQ593,3,FALSE())
)</f>
        <v/>
      </c>
      <c r="BU94" s="77" t="str">
        <f aca="false">IF(BI94&gt;BH$7,
    "",
    VLOOKUP(BI94,BK$8:BQ593,4,FALSE())
)</f>
        <v/>
      </c>
      <c r="BV94" s="77" t="str">
        <f aca="false">IF(BI94&gt;BH$7,
    "",
    VLOOKUP(BI94,BK$8:BQ593,5,FALSE())
)</f>
        <v/>
      </c>
      <c r="BW94" s="78" t="str">
        <f aca="false">IF(BI94&gt;BH$7,
    "",
    VLOOKUP(BI94,BK$8:BQ593,6,FALSE())
)</f>
        <v/>
      </c>
      <c r="BX94" s="50"/>
    </row>
    <row r="95" customFormat="false" ht="15.75" hidden="false" customHeight="false" outlineLevel="0" collapsed="false">
      <c r="A95" s="5"/>
      <c r="B95" s="122"/>
      <c r="C95" s="123"/>
      <c r="D95" s="112"/>
      <c r="E95" s="116"/>
      <c r="F95" s="116"/>
      <c r="G95" s="88"/>
      <c r="H95" s="89"/>
      <c r="I95" s="125"/>
      <c r="J95" s="125"/>
      <c r="K95" s="125"/>
      <c r="L95" s="91"/>
      <c r="M95" s="91"/>
      <c r="N95" s="91"/>
      <c r="O95" s="92"/>
      <c r="P95" s="93"/>
      <c r="Q95" s="125"/>
      <c r="R95" s="95"/>
      <c r="S95" s="96"/>
      <c r="T95" s="96" t="str">
        <f aca="false">IF(ISBLANK($C95),"",IF(G95=Constants!$B$2, TRUE(), IF(G95=Constants!$B$3, FALSE(), TRUE())))</f>
        <v/>
      </c>
      <c r="U95" s="96" t="str">
        <f aca="false">IF(ISBLANK($C95),"",IF(H95=Constants!$B$2, TRUE(), IF(H95=Constants!$B$3, FALSE(), TRUE())))</f>
        <v/>
      </c>
      <c r="V95" s="96" t="str">
        <f aca="false">IF(ISBLANK($C95),"",IF(I95=Constants!$B$2, TRUE(), IF(I95=Constants!$B$3, FALSE(), TRUE())))</f>
        <v/>
      </c>
      <c r="W95" s="96" t="str">
        <f aca="false">IF(ISBLANK($C95),"",IF(J95=Constants!$B$2, TRUE(), IF(J95=Constants!$B$3, FALSE(), TRUE())))</f>
        <v/>
      </c>
      <c r="X95" s="97" t="str">
        <f aca="false">IF(ISBLANK($C95),"",IF(K95=Constants!$B$2, TRUE(), IF(K95=Constants!$B$3, FALSE(), TRUE())))</f>
        <v/>
      </c>
      <c r="Y95" s="98" t="str">
        <f aca="false">IF(ISBLANK($C95),"",IF(ISNUMBER(L95), L95, ""))</f>
        <v/>
      </c>
      <c r="Z95" s="98" t="str">
        <f aca="false">IF(ISBLANK($C95),"",IF(ISNUMBER(M95), M95, ""))</f>
        <v/>
      </c>
      <c r="AA95" s="98" t="str">
        <f aca="false">IF(ISBLANK($C95),"",IF(ISNUMBER(N95), N95, ""))</f>
        <v/>
      </c>
      <c r="AB95" s="99" t="str">
        <f aca="false">IF(ISBLANK($C95),"",IF(ISNUMBER(O95), O95, ""))</f>
        <v/>
      </c>
      <c r="AC95" s="99" t="str">
        <f aca="false">IF(ISBLANK($C95),"",IF(ISNUMBER(P95), P95, Constants!$B$13))</f>
        <v/>
      </c>
      <c r="AD95" s="96" t="str">
        <f aca="false">IF(ISBLANK($C95),"",IF(Q95=Constants!$B$2, TRUE(), IF(Q95=Constants!$B$3, FALSE(), FALSE())))</f>
        <v/>
      </c>
      <c r="AE95" s="96" t="str">
        <f aca="false">IF(ISBLANK(C95), "", IF(AD95, Constants!$B$4,IF(COUNTA(G95:O95)=0, Constants!$B$5, Constants!$B$7)))</f>
        <v/>
      </c>
      <c r="AF95" s="96" t="str">
        <f aca="false">IF(ISBLANK($C95), "",IF($AE95=Constants!$B$7,1,$AE95))</f>
        <v/>
      </c>
      <c r="AG95" s="96" t="str">
        <f aca="false">IF($AE95=Constants!$B$7,IF(V95, 1, Constants!$B$11) * IF(X95, 1, Constants!$B$12),"")</f>
        <v/>
      </c>
      <c r="AH95" s="96" t="str">
        <f aca="false">IF(AND($AE95=Constants!$B$7, T95, U95) ,MAX(0, $AA95-$Y95),"")</f>
        <v/>
      </c>
      <c r="AI95" s="96" t="str">
        <f aca="false">IF(ISERROR(AH95),$AI$6,"")</f>
        <v/>
      </c>
      <c r="AJ95" s="96" t="str">
        <f aca="false">IF($AE95=Constants!$B$7,IF(AND(T95,U95,W95),IF($AH$6=0,Constants!$B$9,Constants!$B$9*AH95/$AH$6), 0),"")</f>
        <v/>
      </c>
      <c r="AK95" s="96" t="str">
        <f aca="false">IF(AJ95&lt;&gt;"", AJ95*AG95,"")</f>
        <v/>
      </c>
      <c r="AL95" s="96" t="str">
        <f aca="false">IF(AND($AE95=Constants!$B$7, T95, U95) ,IF($Z95="", "", MAX(0,1-ABS($AA95-$Z95)/$AA95)),"")</f>
        <v/>
      </c>
      <c r="AM95" s="96" t="str">
        <f aca="false">IF(AND(NOT(ISERROR(AH95)),ISERROR(AL95)),$AM$6,"")</f>
        <v/>
      </c>
      <c r="AN95" s="96" t="str">
        <f aca="false">IF($AE95=Constants!$B$7 ,IF(AND(T95,U95,W95,ISNUMBER(Z95)),IF($AL$6=0,Constants!$B$10,Constants!$B$10*AL95/$AL$6), 0),"")</f>
        <v/>
      </c>
      <c r="AO95" s="96" t="str">
        <f aca="false">IF(AN95&lt;&gt;"", AN95*AG95,"")</f>
        <v/>
      </c>
      <c r="AP95" s="96" t="str">
        <f aca="false">IF($AE95=Constants!$B$7,IF($AP$6=0,Constants!$B$8,Constants!$B$8*AB95/$AP$6),"")</f>
        <v/>
      </c>
      <c r="AQ95" s="96" t="str">
        <f aca="false">IF($AE95&lt;&gt;Constants!$B$7,$AE95,AK95+AO95+AP95)</f>
        <v/>
      </c>
      <c r="AR95" s="96" t="str">
        <f aca="false">IF(ISBLANK($C95),"",IF($AE95=Constants!$B$7,RANK(AQ95,$AQ$8:$AQ$507),$AE95))</f>
        <v/>
      </c>
      <c r="AS95" s="96" t="str">
        <f aca="false">IF(ISBLANK($C95), "",AK95)</f>
        <v/>
      </c>
      <c r="AT95" s="96" t="str">
        <f aca="false">IF(ISBLANK($C95),"",IF($AE95=Constants!$B$7,RANK(AS95,AS$8:AS$507),$AE95))</f>
        <v/>
      </c>
      <c r="AU95" s="96" t="str">
        <f aca="false">IF(ISBLANK($C95), "",AP95)</f>
        <v/>
      </c>
      <c r="AV95" s="96" t="str">
        <f aca="false">IF(ISBLANK($C95),"",IF($AE95=Constants!$B$7,RANK(AU95,AU$8:AU$507),$AE95))</f>
        <v/>
      </c>
      <c r="AW95" s="96" t="str">
        <f aca="false">IF(ISBLANK($C95), "",AC95)</f>
        <v/>
      </c>
      <c r="AX95" s="96" t="str">
        <f aca="false">IF(ISBLANK($C95),"",
IF($AE95=Constants!$B$7,
  COUNTIFS($AR$8:$AR$507,"&lt;"&amp;$AR95)
  + COUNTIFS($AR$8:$AR$507,$AR95,$AT$8:$AT$507,"&lt;"&amp;$AT95)
  + COUNTIFS($AR$8:$AR$507,$AR95,$AT$8:$AT$507,$AT95,$AV$8:$AV$507,"&lt;"&amp;$AV95)
  + COUNTIFS($AR$8:$AR$507,$AR95,$AT$8:$AT$507,$AT95,$AV$8:$AV$507,$AV95,$AW$8:$AW$507,"&lt;"&amp;$AW95)
  + 1,
$AE95))</f>
        <v/>
      </c>
      <c r="AY95" s="96" t="str">
        <f aca="false">IF(ISBLANK(C95),"",IF($AE95=Constants!$B$7, AR95-AX95,$AE95))</f>
        <v/>
      </c>
      <c r="AZ95" s="100"/>
      <c r="BA95" s="101" t="str">
        <f aca="false">IF(ISBLANK($C95),"",TRIM(AI95&amp;" "&amp;AM95))</f>
        <v/>
      </c>
      <c r="BB95" s="102" t="str">
        <f aca="false">IF(ISBLANK($C95),"",IF($AE95&lt;&gt;Constants!$B$7, $AE95 ,AQ95))</f>
        <v/>
      </c>
      <c r="BC95" s="103" t="str">
        <f aca="false">IF(ISBLANK($C95),"",IF($AE95&lt;&gt;Constants!$B$7, $AE95 ,AF95))</f>
        <v/>
      </c>
      <c r="BD95" s="104" t="str">
        <f aca="false">IF(ISBLANK(C95),"",AY95)</f>
        <v/>
      </c>
      <c r="BE95" s="104" t="str">
        <f aca="false">IF(ISBLANK(C95),"",AX95)</f>
        <v/>
      </c>
      <c r="BF95" s="105" t="str">
        <f aca="false">IF(ISBLANK(C95),"",IFERROR(_xlfn.SWITCH(BE95, Constants!$B$4, COUNTA($C$8:$C594)+2, Constants!$B$5, COUNTA($C$8:$C594)+1, Constants!$B$6, COUNTA($C$8:$C594)),BE95))</f>
        <v/>
      </c>
      <c r="BG95" s="5"/>
      <c r="BH95" s="106" t="n">
        <f aca="false">IF(OR(ISNUMBER(BE95),BE95="DQ",BE95="P",BE95="NS"),
    1,
    0
)</f>
        <v>0</v>
      </c>
      <c r="BI95" s="106" t="n">
        <v>88</v>
      </c>
      <c r="BJ95" s="106" t="str">
        <f aca="false">IF(ISBLANK($C95),
    "",
   BF95+ROW($B95)/1000
)</f>
        <v/>
      </c>
      <c r="BK95" s="106" t="str">
        <f aca="false">IF(ISNUMBER(BJ95), RANK(BJ95,BJ$8:BJ$507,1), "")</f>
        <v/>
      </c>
      <c r="BL95" s="106" t="str">
        <f aca="false">IF(ISBLANK($C95),
    "",
    $B95
)</f>
        <v/>
      </c>
      <c r="BM95" s="106" t="str">
        <f aca="false">IF(ISBLANK($C95),
    "",
    $C95
)</f>
        <v/>
      </c>
      <c r="BN95" s="106" t="str">
        <f aca="false">IF(ISBLANK($C95),
    "",
    $D95
)</f>
        <v/>
      </c>
      <c r="BO95" s="107" t="str">
        <f aca="false">BC95</f>
        <v/>
      </c>
      <c r="BP95" s="108" t="str">
        <f aca="false">BB95</f>
        <v/>
      </c>
      <c r="BQ95" s="106" t="str">
        <f aca="false">IF(ISBLANK($C95),
    "",
    BE95
)</f>
        <v/>
      </c>
      <c r="BR95" s="109" t="str">
        <f aca="false">IF(BI95&gt;BH$7,
    "",
    VLOOKUP(BI95,BK$8:BQ594,7,FALSE())
)</f>
        <v/>
      </c>
      <c r="BS95" s="110" t="str">
        <f aca="false">IF(BI95&gt;BH$7,
    "",
    VLOOKUP(BI95,BK$8:BQ594,2,FALSE())
)</f>
        <v/>
      </c>
      <c r="BT95" s="110" t="str">
        <f aca="false">IF(BI95&gt;BH$7,
    "",
    VLOOKUP(BI95,BK$8:BQ594,3,FALSE())
)</f>
        <v/>
      </c>
      <c r="BU95" s="110" t="str">
        <f aca="false">IF(BI95&gt;BH$7,
    "",
    VLOOKUP(BI95,BK$8:BQ594,4,FALSE())
)</f>
        <v/>
      </c>
      <c r="BV95" s="110" t="str">
        <f aca="false">IF(BI95&gt;BH$7,
    "",
    VLOOKUP(BI95,BK$8:BQ594,5,FALSE())
)</f>
        <v/>
      </c>
      <c r="BW95" s="111" t="str">
        <f aca="false">IF(BI95&gt;BH$7,
    "",
    VLOOKUP(BI95,BK$8:BQ594,6,FALSE())
)</f>
        <v/>
      </c>
      <c r="BX95" s="50"/>
    </row>
    <row r="96" customFormat="false" ht="15.75" hidden="false" customHeight="false" outlineLevel="0" collapsed="false">
      <c r="A96" s="5"/>
      <c r="B96" s="122"/>
      <c r="C96" s="123"/>
      <c r="D96" s="112"/>
      <c r="E96" s="116"/>
      <c r="F96" s="116"/>
      <c r="G96" s="88"/>
      <c r="H96" s="89"/>
      <c r="I96" s="125"/>
      <c r="J96" s="125"/>
      <c r="K96" s="125"/>
      <c r="L96" s="91"/>
      <c r="M96" s="91"/>
      <c r="N96" s="91"/>
      <c r="O96" s="92"/>
      <c r="P96" s="93"/>
      <c r="Q96" s="125"/>
      <c r="R96" s="95"/>
      <c r="S96" s="96"/>
      <c r="T96" s="96" t="str">
        <f aca="false">IF(ISBLANK($C96),"",IF(G96=Constants!$B$2, TRUE(), IF(G96=Constants!$B$3, FALSE(), TRUE())))</f>
        <v/>
      </c>
      <c r="U96" s="96" t="str">
        <f aca="false">IF(ISBLANK($C96),"",IF(H96=Constants!$B$2, TRUE(), IF(H96=Constants!$B$3, FALSE(), TRUE())))</f>
        <v/>
      </c>
      <c r="V96" s="96" t="str">
        <f aca="false">IF(ISBLANK($C96),"",IF(I96=Constants!$B$2, TRUE(), IF(I96=Constants!$B$3, FALSE(), TRUE())))</f>
        <v/>
      </c>
      <c r="W96" s="96" t="str">
        <f aca="false">IF(ISBLANK($C96),"",IF(J96=Constants!$B$2, TRUE(), IF(J96=Constants!$B$3, FALSE(), TRUE())))</f>
        <v/>
      </c>
      <c r="X96" s="97" t="str">
        <f aca="false">IF(ISBLANK($C96),"",IF(K96=Constants!$B$2, TRUE(), IF(K96=Constants!$B$3, FALSE(), TRUE())))</f>
        <v/>
      </c>
      <c r="Y96" s="98" t="str">
        <f aca="false">IF(ISBLANK($C96),"",IF(ISNUMBER(L96), L96, ""))</f>
        <v/>
      </c>
      <c r="Z96" s="98" t="str">
        <f aca="false">IF(ISBLANK($C96),"",IF(ISNUMBER(M96), M96, ""))</f>
        <v/>
      </c>
      <c r="AA96" s="98" t="str">
        <f aca="false">IF(ISBLANK($C96),"",IF(ISNUMBER(N96), N96, ""))</f>
        <v/>
      </c>
      <c r="AB96" s="99" t="str">
        <f aca="false">IF(ISBLANK($C96),"",IF(ISNUMBER(O96), O96, ""))</f>
        <v/>
      </c>
      <c r="AC96" s="99" t="str">
        <f aca="false">IF(ISBLANK($C96),"",IF(ISNUMBER(P96), P96, Constants!$B$13))</f>
        <v/>
      </c>
      <c r="AD96" s="96" t="str">
        <f aca="false">IF(ISBLANK($C96),"",IF(Q96=Constants!$B$2, TRUE(), IF(Q96=Constants!$B$3, FALSE(), FALSE())))</f>
        <v/>
      </c>
      <c r="AE96" s="96" t="str">
        <f aca="false">IF(ISBLANK(C96), "", IF(AD96, Constants!$B$4,IF(COUNTA(G96:O96)=0, Constants!$B$5, Constants!$B$7)))</f>
        <v/>
      </c>
      <c r="AF96" s="96" t="str">
        <f aca="false">IF(ISBLANK($C96), "",IF($AE96=Constants!$B$7,1,$AE96))</f>
        <v/>
      </c>
      <c r="AG96" s="96" t="str">
        <f aca="false">IF($AE96=Constants!$B$7,IF(V96, 1, Constants!$B$11) * IF(X96, 1, Constants!$B$12),"")</f>
        <v/>
      </c>
      <c r="AH96" s="96" t="str">
        <f aca="false">IF(AND($AE96=Constants!$B$7, T96, U96) ,MAX(0, $AA96-$Y96),"")</f>
        <v/>
      </c>
      <c r="AI96" s="96" t="str">
        <f aca="false">IF(ISERROR(AH96),$AI$6,"")</f>
        <v/>
      </c>
      <c r="AJ96" s="96" t="str">
        <f aca="false">IF($AE96=Constants!$B$7,IF(AND(T96,U96,W96),IF($AH$6=0,Constants!$B$9,Constants!$B$9*AH96/$AH$6), 0),"")</f>
        <v/>
      </c>
      <c r="AK96" s="96" t="str">
        <f aca="false">IF(AJ96&lt;&gt;"", AJ96*AG96,"")</f>
        <v/>
      </c>
      <c r="AL96" s="96" t="str">
        <f aca="false">IF(AND($AE96=Constants!$B$7, T96, U96) ,IF($Z96="", "", MAX(0,1-ABS($AA96-$Z96)/$AA96)),"")</f>
        <v/>
      </c>
      <c r="AM96" s="96" t="str">
        <f aca="false">IF(AND(NOT(ISERROR(AH96)),ISERROR(AL96)),$AM$6,"")</f>
        <v/>
      </c>
      <c r="AN96" s="96" t="str">
        <f aca="false">IF($AE96=Constants!$B$7 ,IF(AND(T96,U96,W96,ISNUMBER(Z96)),IF($AL$6=0,Constants!$B$10,Constants!$B$10*AL96/$AL$6), 0),"")</f>
        <v/>
      </c>
      <c r="AO96" s="96" t="str">
        <f aca="false">IF(AN96&lt;&gt;"", AN96*AG96,"")</f>
        <v/>
      </c>
      <c r="AP96" s="96" t="str">
        <f aca="false">IF($AE96=Constants!$B$7,IF($AP$6=0,Constants!$B$8,Constants!$B$8*AB96/$AP$6),"")</f>
        <v/>
      </c>
      <c r="AQ96" s="96" t="str">
        <f aca="false">IF($AE96&lt;&gt;Constants!$B$7,$AE96,AK96+AO96+AP96)</f>
        <v/>
      </c>
      <c r="AR96" s="96" t="str">
        <f aca="false">IF(ISBLANK($C96),"",IF($AE96=Constants!$B$7,RANK(AQ96,$AQ$8:$AQ$507),$AE96))</f>
        <v/>
      </c>
      <c r="AS96" s="96" t="str">
        <f aca="false">IF(ISBLANK($C96), "",AK96)</f>
        <v/>
      </c>
      <c r="AT96" s="96" t="str">
        <f aca="false">IF(ISBLANK($C96),"",IF($AE96=Constants!$B$7,RANK(AS96,AS$8:AS$507),$AE96))</f>
        <v/>
      </c>
      <c r="AU96" s="96" t="str">
        <f aca="false">IF(ISBLANK($C96), "",AP96)</f>
        <v/>
      </c>
      <c r="AV96" s="96" t="str">
        <f aca="false">IF(ISBLANK($C96),"",IF($AE96=Constants!$B$7,RANK(AU96,AU$8:AU$507),$AE96))</f>
        <v/>
      </c>
      <c r="AW96" s="96" t="str">
        <f aca="false">IF(ISBLANK($C96), "",AC96)</f>
        <v/>
      </c>
      <c r="AX96" s="96" t="str">
        <f aca="false">IF(ISBLANK($C96),"",
IF($AE96=Constants!$B$7,
  COUNTIFS($AR$8:$AR$507,"&lt;"&amp;$AR96)
  + COUNTIFS($AR$8:$AR$507,$AR96,$AT$8:$AT$507,"&lt;"&amp;$AT96)
  + COUNTIFS($AR$8:$AR$507,$AR96,$AT$8:$AT$507,$AT96,$AV$8:$AV$507,"&lt;"&amp;$AV96)
  + COUNTIFS($AR$8:$AR$507,$AR96,$AT$8:$AT$507,$AT96,$AV$8:$AV$507,$AV96,$AW$8:$AW$507,"&lt;"&amp;$AW96)
  + 1,
$AE96))</f>
        <v/>
      </c>
      <c r="AY96" s="96" t="str">
        <f aca="false">IF(ISBLANK(C96),"",IF($AE96=Constants!$B$7, AR96-AX96,$AE96))</f>
        <v/>
      </c>
      <c r="AZ96" s="100"/>
      <c r="BA96" s="101" t="str">
        <f aca="false">IF(ISBLANK($C96),"",TRIM(AI96&amp;" "&amp;AM96))</f>
        <v/>
      </c>
      <c r="BB96" s="102" t="str">
        <f aca="false">IF(ISBLANK($C96),"",IF($AE96&lt;&gt;Constants!$B$7, $AE96 ,AQ96))</f>
        <v/>
      </c>
      <c r="BC96" s="103" t="str">
        <f aca="false">IF(ISBLANK($C96),"",IF($AE96&lt;&gt;Constants!$B$7, $AE96 ,AF96))</f>
        <v/>
      </c>
      <c r="BD96" s="104" t="str">
        <f aca="false">IF(ISBLANK(C96),"",AY96)</f>
        <v/>
      </c>
      <c r="BE96" s="104" t="str">
        <f aca="false">IF(ISBLANK(C96),"",AX96)</f>
        <v/>
      </c>
      <c r="BF96" s="105" t="str">
        <f aca="false">IF(ISBLANK(C96),"",IFERROR(_xlfn.SWITCH(BE96, Constants!$B$4, COUNTA($C$8:$C595)+2, Constants!$B$5, COUNTA($C$8:$C595)+1, Constants!$B$6, COUNTA($C$8:$C595)),BE96))</f>
        <v/>
      </c>
      <c r="BG96" s="5"/>
      <c r="BH96" s="106" t="n">
        <f aca="false">IF(OR(ISNUMBER(BE96),BE96="DQ",BE96="P",BE96="NS"),
    1,
    0
)</f>
        <v>0</v>
      </c>
      <c r="BI96" s="106" t="n">
        <v>89</v>
      </c>
      <c r="BJ96" s="106" t="str">
        <f aca="false">IF(ISBLANK($C96),
    "",
   BF96+ROW($B96)/1000
)</f>
        <v/>
      </c>
      <c r="BK96" s="106" t="str">
        <f aca="false">IF(ISNUMBER(BJ96), RANK(BJ96,BJ$8:BJ$507,1), "")</f>
        <v/>
      </c>
      <c r="BL96" s="106" t="str">
        <f aca="false">IF(ISBLANK($C96),
    "",
    $B96
)</f>
        <v/>
      </c>
      <c r="BM96" s="106" t="str">
        <f aca="false">IF(ISBLANK($C96),
    "",
    $C96
)</f>
        <v/>
      </c>
      <c r="BN96" s="106" t="str">
        <f aca="false">IF(ISBLANK($C96),
    "",
    $D96
)</f>
        <v/>
      </c>
      <c r="BO96" s="107" t="str">
        <f aca="false">BC96</f>
        <v/>
      </c>
      <c r="BP96" s="108" t="str">
        <f aca="false">BB96</f>
        <v/>
      </c>
      <c r="BQ96" s="106" t="str">
        <f aca="false">IF(ISBLANK($C96),
    "",
    BE96
)</f>
        <v/>
      </c>
      <c r="BR96" s="109" t="str">
        <f aca="false">IF(BI96&gt;BH$7,
    "",
    VLOOKUP(BI96,BK$8:BQ595,7,FALSE())
)</f>
        <v/>
      </c>
      <c r="BS96" s="110" t="str">
        <f aca="false">IF(BI96&gt;BH$7,
    "",
    VLOOKUP(BI96,BK$8:BQ595,2,FALSE())
)</f>
        <v/>
      </c>
      <c r="BT96" s="110" t="str">
        <f aca="false">IF(BI96&gt;BH$7,
    "",
    VLOOKUP(BI96,BK$8:BQ595,3,FALSE())
)</f>
        <v/>
      </c>
      <c r="BU96" s="110" t="str">
        <f aca="false">IF(BI96&gt;BH$7,
    "",
    VLOOKUP(BI96,BK$8:BQ595,4,FALSE())
)</f>
        <v/>
      </c>
      <c r="BV96" s="110" t="str">
        <f aca="false">IF(BI96&gt;BH$7,
    "",
    VLOOKUP(BI96,BK$8:BQ595,5,FALSE())
)</f>
        <v/>
      </c>
      <c r="BW96" s="111" t="str">
        <f aca="false">IF(BI96&gt;BH$7,
    "",
    VLOOKUP(BI96,BK$8:BQ595,6,FALSE())
)</f>
        <v/>
      </c>
      <c r="BX96" s="50"/>
    </row>
    <row r="97" customFormat="false" ht="15.75" hidden="false" customHeight="false" outlineLevel="0" collapsed="false">
      <c r="A97" s="5"/>
      <c r="B97" s="122"/>
      <c r="C97" s="123"/>
      <c r="D97" s="112"/>
      <c r="E97" s="116"/>
      <c r="F97" s="116"/>
      <c r="G97" s="88"/>
      <c r="H97" s="89"/>
      <c r="I97" s="125"/>
      <c r="J97" s="125"/>
      <c r="K97" s="125"/>
      <c r="L97" s="91"/>
      <c r="M97" s="91"/>
      <c r="N97" s="91"/>
      <c r="O97" s="92"/>
      <c r="P97" s="93"/>
      <c r="Q97" s="125"/>
      <c r="R97" s="95"/>
      <c r="S97" s="96"/>
      <c r="T97" s="96" t="str">
        <f aca="false">IF(ISBLANK($C97),"",IF(G97=Constants!$B$2, TRUE(), IF(G97=Constants!$B$3, FALSE(), TRUE())))</f>
        <v/>
      </c>
      <c r="U97" s="96" t="str">
        <f aca="false">IF(ISBLANK($C97),"",IF(H97=Constants!$B$2, TRUE(), IF(H97=Constants!$B$3, FALSE(), TRUE())))</f>
        <v/>
      </c>
      <c r="V97" s="96" t="str">
        <f aca="false">IF(ISBLANK($C97),"",IF(I97=Constants!$B$2, TRUE(), IF(I97=Constants!$B$3, FALSE(), TRUE())))</f>
        <v/>
      </c>
      <c r="W97" s="96" t="str">
        <f aca="false">IF(ISBLANK($C97),"",IF(J97=Constants!$B$2, TRUE(), IF(J97=Constants!$B$3, FALSE(), TRUE())))</f>
        <v/>
      </c>
      <c r="X97" s="97" t="str">
        <f aca="false">IF(ISBLANK($C97),"",IF(K97=Constants!$B$2, TRUE(), IF(K97=Constants!$B$3, FALSE(), TRUE())))</f>
        <v/>
      </c>
      <c r="Y97" s="98" t="str">
        <f aca="false">IF(ISBLANK($C97),"",IF(ISNUMBER(L97), L97, ""))</f>
        <v/>
      </c>
      <c r="Z97" s="98" t="str">
        <f aca="false">IF(ISBLANK($C97),"",IF(ISNUMBER(M97), M97, ""))</f>
        <v/>
      </c>
      <c r="AA97" s="98" t="str">
        <f aca="false">IF(ISBLANK($C97),"",IF(ISNUMBER(N97), N97, ""))</f>
        <v/>
      </c>
      <c r="AB97" s="99" t="str">
        <f aca="false">IF(ISBLANK($C97),"",IF(ISNUMBER(O97), O97, ""))</f>
        <v/>
      </c>
      <c r="AC97" s="99" t="str">
        <f aca="false">IF(ISBLANK($C97),"",IF(ISNUMBER(P97), P97, Constants!$B$13))</f>
        <v/>
      </c>
      <c r="AD97" s="96" t="str">
        <f aca="false">IF(ISBLANK($C97),"",IF(Q97=Constants!$B$2, TRUE(), IF(Q97=Constants!$B$3, FALSE(), FALSE())))</f>
        <v/>
      </c>
      <c r="AE97" s="96" t="str">
        <f aca="false">IF(ISBLANK(C97), "", IF(AD97, Constants!$B$4,IF(COUNTA(G97:O97)=0, Constants!$B$5, Constants!$B$7)))</f>
        <v/>
      </c>
      <c r="AF97" s="96" t="str">
        <f aca="false">IF(ISBLANK($C97), "",IF($AE97=Constants!$B$7,1,$AE97))</f>
        <v/>
      </c>
      <c r="AG97" s="96" t="str">
        <f aca="false">IF($AE97=Constants!$B$7,IF(V97, 1, Constants!$B$11) * IF(X97, 1, Constants!$B$12),"")</f>
        <v/>
      </c>
      <c r="AH97" s="96" t="str">
        <f aca="false">IF(AND($AE97=Constants!$B$7, T97, U97) ,MAX(0, $AA97-$Y97),"")</f>
        <v/>
      </c>
      <c r="AI97" s="96" t="str">
        <f aca="false">IF(ISERROR(AH97),$AI$6,"")</f>
        <v/>
      </c>
      <c r="AJ97" s="96" t="str">
        <f aca="false">IF($AE97=Constants!$B$7,IF(AND(T97,U97,W97),IF($AH$6=0,Constants!$B$9,Constants!$B$9*AH97/$AH$6), 0),"")</f>
        <v/>
      </c>
      <c r="AK97" s="96" t="str">
        <f aca="false">IF(AJ97&lt;&gt;"", AJ97*AG97,"")</f>
        <v/>
      </c>
      <c r="AL97" s="96" t="str">
        <f aca="false">IF(AND($AE97=Constants!$B$7, T97, U97) ,IF($Z97="", "", MAX(0,1-ABS($AA97-$Z97)/$AA97)),"")</f>
        <v/>
      </c>
      <c r="AM97" s="96" t="str">
        <f aca="false">IF(AND(NOT(ISERROR(AH97)),ISERROR(AL97)),$AM$6,"")</f>
        <v/>
      </c>
      <c r="AN97" s="96" t="str">
        <f aca="false">IF($AE97=Constants!$B$7 ,IF(AND(T97,U97,W97,ISNUMBER(Z97)),IF($AL$6=0,Constants!$B$10,Constants!$B$10*AL97/$AL$6), 0),"")</f>
        <v/>
      </c>
      <c r="AO97" s="96" t="str">
        <f aca="false">IF(AN97&lt;&gt;"", AN97*AG97,"")</f>
        <v/>
      </c>
      <c r="AP97" s="96" t="str">
        <f aca="false">IF($AE97=Constants!$B$7,IF($AP$6=0,Constants!$B$8,Constants!$B$8*AB97/$AP$6),"")</f>
        <v/>
      </c>
      <c r="AQ97" s="96" t="str">
        <f aca="false">IF($AE97&lt;&gt;Constants!$B$7,$AE97,AK97+AO97+AP97)</f>
        <v/>
      </c>
      <c r="AR97" s="96" t="str">
        <f aca="false">IF(ISBLANK($C97),"",IF($AE97=Constants!$B$7,RANK(AQ97,$AQ$8:$AQ$507),$AE97))</f>
        <v/>
      </c>
      <c r="AS97" s="96" t="str">
        <f aca="false">IF(ISBLANK($C97), "",AK97)</f>
        <v/>
      </c>
      <c r="AT97" s="96" t="str">
        <f aca="false">IF(ISBLANK($C97),"",IF($AE97=Constants!$B$7,RANK(AS97,AS$8:AS$507),$AE97))</f>
        <v/>
      </c>
      <c r="AU97" s="96" t="str">
        <f aca="false">IF(ISBLANK($C97), "",AP97)</f>
        <v/>
      </c>
      <c r="AV97" s="96" t="str">
        <f aca="false">IF(ISBLANK($C97),"",IF($AE97=Constants!$B$7,RANK(AU97,AU$8:AU$507),$AE97))</f>
        <v/>
      </c>
      <c r="AW97" s="96" t="str">
        <f aca="false">IF(ISBLANK($C97), "",AC97)</f>
        <v/>
      </c>
      <c r="AX97" s="96" t="str">
        <f aca="false">IF(ISBLANK($C97),"",
IF($AE97=Constants!$B$7,
  COUNTIFS($AR$8:$AR$507,"&lt;"&amp;$AR97)
  + COUNTIFS($AR$8:$AR$507,$AR97,$AT$8:$AT$507,"&lt;"&amp;$AT97)
  + COUNTIFS($AR$8:$AR$507,$AR97,$AT$8:$AT$507,$AT97,$AV$8:$AV$507,"&lt;"&amp;$AV97)
  + COUNTIFS($AR$8:$AR$507,$AR97,$AT$8:$AT$507,$AT97,$AV$8:$AV$507,$AV97,$AW$8:$AW$507,"&lt;"&amp;$AW97)
  + 1,
$AE97))</f>
        <v/>
      </c>
      <c r="AY97" s="96" t="str">
        <f aca="false">IF(ISBLANK(C97),"",IF($AE97=Constants!$B$7, AR97-AX97,$AE97))</f>
        <v/>
      </c>
      <c r="AZ97" s="100"/>
      <c r="BA97" s="101" t="str">
        <f aca="false">IF(ISBLANK($C97),"",TRIM(AI97&amp;" "&amp;AM97))</f>
        <v/>
      </c>
      <c r="BB97" s="102" t="str">
        <f aca="false">IF(ISBLANK($C97),"",IF($AE97&lt;&gt;Constants!$B$7, $AE97 ,AQ97))</f>
        <v/>
      </c>
      <c r="BC97" s="103" t="str">
        <f aca="false">IF(ISBLANK($C97),"",IF($AE97&lt;&gt;Constants!$B$7, $AE97 ,AF97))</f>
        <v/>
      </c>
      <c r="BD97" s="104" t="str">
        <f aca="false">IF(ISBLANK(C97),"",AY97)</f>
        <v/>
      </c>
      <c r="BE97" s="104" t="str">
        <f aca="false">IF(ISBLANK(C97),"",AX97)</f>
        <v/>
      </c>
      <c r="BF97" s="105" t="str">
        <f aca="false">IF(ISBLANK(C97),"",IFERROR(_xlfn.SWITCH(BE97, Constants!$B$4, COUNTA($C$8:$C596)+2, Constants!$B$5, COUNTA($C$8:$C596)+1, Constants!$B$6, COUNTA($C$8:$C596)),BE97))</f>
        <v/>
      </c>
      <c r="BG97" s="5"/>
      <c r="BH97" s="106" t="n">
        <f aca="false">IF(OR(ISNUMBER(BE97),BE97="DQ",BE97="P",BE97="NS"),
    1,
    0
)</f>
        <v>0</v>
      </c>
      <c r="BI97" s="106" t="n">
        <v>90</v>
      </c>
      <c r="BJ97" s="106" t="str">
        <f aca="false">IF(ISBLANK($C97),
    "",
   BF97+ROW($B97)/1000
)</f>
        <v/>
      </c>
      <c r="BK97" s="106" t="str">
        <f aca="false">IF(ISNUMBER(BJ97), RANK(BJ97,BJ$8:BJ$507,1), "")</f>
        <v/>
      </c>
      <c r="BL97" s="106" t="str">
        <f aca="false">IF(ISBLANK($C97),
    "",
    $B97
)</f>
        <v/>
      </c>
      <c r="BM97" s="106" t="str">
        <f aca="false">IF(ISBLANK($C97),
    "",
    $C97
)</f>
        <v/>
      </c>
      <c r="BN97" s="106" t="str">
        <f aca="false">IF(ISBLANK($C97),
    "",
    $D97
)</f>
        <v/>
      </c>
      <c r="BO97" s="107" t="str">
        <f aca="false">BC97</f>
        <v/>
      </c>
      <c r="BP97" s="108" t="str">
        <f aca="false">BB97</f>
        <v/>
      </c>
      <c r="BQ97" s="106" t="str">
        <f aca="false">IF(ISBLANK($C97),
    "",
    BE97
)</f>
        <v/>
      </c>
      <c r="BR97" s="109" t="str">
        <f aca="false">IF(BI97&gt;BH$7,
    "",
    VLOOKUP(BI97,BK$8:BQ596,7,FALSE())
)</f>
        <v/>
      </c>
      <c r="BS97" s="110" t="str">
        <f aca="false">IF(BI97&gt;BH$7,
    "",
    VLOOKUP(BI97,BK$8:BQ596,2,FALSE())
)</f>
        <v/>
      </c>
      <c r="BT97" s="110" t="str">
        <f aca="false">IF(BI97&gt;BH$7,
    "",
    VLOOKUP(BI97,BK$8:BQ596,3,FALSE())
)</f>
        <v/>
      </c>
      <c r="BU97" s="110" t="str">
        <f aca="false">IF(BI97&gt;BH$7,
    "",
    VLOOKUP(BI97,BK$8:BQ596,4,FALSE())
)</f>
        <v/>
      </c>
      <c r="BV97" s="110" t="str">
        <f aca="false">IF(BI97&gt;BH$7,
    "",
    VLOOKUP(BI97,BK$8:BQ596,5,FALSE())
)</f>
        <v/>
      </c>
      <c r="BW97" s="111" t="str">
        <f aca="false">IF(BI97&gt;BH$7,
    "",
    VLOOKUP(BI97,BK$8:BQ596,6,FALSE())
)</f>
        <v/>
      </c>
      <c r="BX97" s="50"/>
    </row>
    <row r="98" customFormat="false" ht="15.75" hidden="false" customHeight="false" outlineLevel="0" collapsed="false">
      <c r="A98" s="5"/>
      <c r="B98" s="126"/>
      <c r="C98" s="52"/>
      <c r="D98" s="53"/>
      <c r="E98" s="120"/>
      <c r="F98" s="120"/>
      <c r="G98" s="55"/>
      <c r="H98" s="56"/>
      <c r="I98" s="80"/>
      <c r="J98" s="80"/>
      <c r="K98" s="80"/>
      <c r="L98" s="58"/>
      <c r="M98" s="58"/>
      <c r="N98" s="58"/>
      <c r="O98" s="59"/>
      <c r="P98" s="60"/>
      <c r="Q98" s="80"/>
      <c r="R98" s="62"/>
      <c r="S98" s="63"/>
      <c r="T98" s="63" t="str">
        <f aca="false">IF(ISBLANK($C98),"",IF(G98=Constants!$B$2, TRUE(), IF(G98=Constants!$B$3, FALSE(), TRUE())))</f>
        <v/>
      </c>
      <c r="U98" s="63" t="str">
        <f aca="false">IF(ISBLANK($C98),"",IF(H98=Constants!$B$2, TRUE(), IF(H98=Constants!$B$3, FALSE(), TRUE())))</f>
        <v/>
      </c>
      <c r="V98" s="63" t="str">
        <f aca="false">IF(ISBLANK($C98),"",IF(I98=Constants!$B$2, TRUE(), IF(I98=Constants!$B$3, FALSE(), TRUE())))</f>
        <v/>
      </c>
      <c r="W98" s="63" t="str">
        <f aca="false">IF(ISBLANK($C98),"",IF(J98=Constants!$B$2, TRUE(), IF(J98=Constants!$B$3, FALSE(), TRUE())))</f>
        <v/>
      </c>
      <c r="X98" s="63" t="str">
        <f aca="false">IF(ISBLANK($C98),"",IF(K98=Constants!$B$2, TRUE(), IF(K98=Constants!$B$3, FALSE(), TRUE())))</f>
        <v/>
      </c>
      <c r="Y98" s="65" t="str">
        <f aca="false">IF(ISBLANK($C98),"",IF(ISNUMBER(L98), L98, ""))</f>
        <v/>
      </c>
      <c r="Z98" s="65" t="str">
        <f aca="false">IF(ISBLANK($C98),"",IF(ISNUMBER(M98), M98, ""))</f>
        <v/>
      </c>
      <c r="AA98" s="65" t="str">
        <f aca="false">IF(ISBLANK($C98),"",IF(ISNUMBER(N98), N98, ""))</f>
        <v/>
      </c>
      <c r="AB98" s="66" t="str">
        <f aca="false">IF(ISBLANK($C98),"",IF(ISNUMBER(O98), O98, ""))</f>
        <v/>
      </c>
      <c r="AC98" s="66" t="str">
        <f aca="false">IF(ISBLANK($C98),"",IF(ISNUMBER(P98), P98, Constants!$B$13))</f>
        <v/>
      </c>
      <c r="AD98" s="63" t="str">
        <f aca="false">IF(ISBLANK($C98),"",IF(Q98=Constants!$B$2, TRUE(), IF(Q98=Constants!$B$3, FALSE(), FALSE())))</f>
        <v/>
      </c>
      <c r="AE98" s="63" t="str">
        <f aca="false">IF(ISBLANK(C98), "", IF(AD98, Constants!$B$4,IF(COUNTA(G98:O98)=0, Constants!$B$5, Constants!$B$7)))</f>
        <v/>
      </c>
      <c r="AF98" s="63" t="str">
        <f aca="false">IF(ISBLANK($C98), "",IF($AE98=Constants!$B$7,1,$AE98))</f>
        <v/>
      </c>
      <c r="AG98" s="63" t="str">
        <f aca="false">IF($AE98=Constants!$B$7,IF(V98, 1, Constants!$B$11) * IF(X98, 1, Constants!$B$12),"")</f>
        <v/>
      </c>
      <c r="AH98" s="63" t="str">
        <f aca="false">IF(AND($AE98=Constants!$B$7, T98, U98) ,MAX(0, $AA98-$Y98),"")</f>
        <v/>
      </c>
      <c r="AI98" s="63" t="str">
        <f aca="false">IF(ISERROR(AH98),$AI$6,"")</f>
        <v/>
      </c>
      <c r="AJ98" s="63" t="str">
        <f aca="false">IF($AE98=Constants!$B$7,IF(AND(T98,U98,W98),IF($AH$6=0,Constants!$B$9,Constants!$B$9*AH98/$AH$6), 0),"")</f>
        <v/>
      </c>
      <c r="AK98" s="63" t="str">
        <f aca="false">IF(AJ98&lt;&gt;"", AJ98*AG98,"")</f>
        <v/>
      </c>
      <c r="AL98" s="63" t="str">
        <f aca="false">IF(AND($AE98=Constants!$B$7, T98, U98) ,IF($Z98="", "", MAX(0,1-ABS($AA98-$Z98)/$AA98)),"")</f>
        <v/>
      </c>
      <c r="AM98" s="63" t="str">
        <f aca="false">IF(AND(NOT(ISERROR(AH98)),ISERROR(AL98)),$AM$6,"")</f>
        <v/>
      </c>
      <c r="AN98" s="63" t="str">
        <f aca="false">IF($AE98=Constants!$B$7 ,IF(AND(T98,U98,W98,ISNUMBER(Z98)),IF($AL$6=0,Constants!$B$10,Constants!$B$10*AL98/$AL$6), 0),"")</f>
        <v/>
      </c>
      <c r="AO98" s="63" t="str">
        <f aca="false">IF(AN98&lt;&gt;"", AN98*AG98,"")</f>
        <v/>
      </c>
      <c r="AP98" s="63" t="str">
        <f aca="false">IF($AE98=Constants!$B$7,IF($AP$6=0,Constants!$B$8,Constants!$B$8*AB98/$AP$6),"")</f>
        <v/>
      </c>
      <c r="AQ98" s="63" t="str">
        <f aca="false">IF($AE98&lt;&gt;Constants!$B$7,$AE98,AK98+AO98+AP98)</f>
        <v/>
      </c>
      <c r="AR98" s="63" t="str">
        <f aca="false">IF(ISBLANK($C98),"",IF($AE98=Constants!$B$7,RANK(AQ98,$AQ$8:$AQ$507),$AE98))</f>
        <v/>
      </c>
      <c r="AS98" s="63" t="str">
        <f aca="false">IF(ISBLANK($C98), "",AK98)</f>
        <v/>
      </c>
      <c r="AT98" s="63" t="str">
        <f aca="false">IF(ISBLANK($C98),"",IF($AE98=Constants!$B$7,RANK(AS98,AS$8:AS$507),$AE98))</f>
        <v/>
      </c>
      <c r="AU98" s="63" t="str">
        <f aca="false">IF(ISBLANK($C98), "",AP98)</f>
        <v/>
      </c>
      <c r="AV98" s="63" t="str">
        <f aca="false">IF(ISBLANK($C98),"",IF($AE98=Constants!$B$7,RANK(AU98,AU$8:AU$507),$AE98))</f>
        <v/>
      </c>
      <c r="AW98" s="63" t="str">
        <f aca="false">IF(ISBLANK($C98), "",AC98)</f>
        <v/>
      </c>
      <c r="AX98" s="63" t="str">
        <f aca="false">IF(ISBLANK($C98),"",
IF($AE98=Constants!$B$7,
  COUNTIFS($AR$8:$AR$507,"&lt;"&amp;$AR98)
  + COUNTIFS($AR$8:$AR$507,$AR98,$AT$8:$AT$507,"&lt;"&amp;$AT98)
  + COUNTIFS($AR$8:$AR$507,$AR98,$AT$8:$AT$507,$AT98,$AV$8:$AV$507,"&lt;"&amp;$AV98)
  + COUNTIFS($AR$8:$AR$507,$AR98,$AT$8:$AT$507,$AT98,$AV$8:$AV$507,$AV98,$AW$8:$AW$507,"&lt;"&amp;$AW98)
  + 1,
$AE98))</f>
        <v/>
      </c>
      <c r="AY98" s="63" t="str">
        <f aca="false">IF(ISBLANK(C98),"",IF($AE98=Constants!$B$7, AR98-AX98,$AE98))</f>
        <v/>
      </c>
      <c r="AZ98" s="67"/>
      <c r="BA98" s="81" t="str">
        <f aca="false">IF(ISBLANK($C98),"",TRIM(AI98&amp;" "&amp;AM98))</f>
        <v/>
      </c>
      <c r="BB98" s="69" t="str">
        <f aca="false">IF(ISBLANK($C98),"",IF($AE98&lt;&gt;Constants!$B$7, $AE98 ,AQ98))</f>
        <v/>
      </c>
      <c r="BC98" s="70" t="str">
        <f aca="false">IF(ISBLANK($C98),"",IF($AE98&lt;&gt;Constants!$B$7, $AE98 ,AF98))</f>
        <v/>
      </c>
      <c r="BD98" s="71" t="str">
        <f aca="false">IF(ISBLANK(C98),"",AY98)</f>
        <v/>
      </c>
      <c r="BE98" s="71" t="str">
        <f aca="false">IF(ISBLANK(C98),"",AX98)</f>
        <v/>
      </c>
      <c r="BF98" s="72" t="str">
        <f aca="false">IF(ISBLANK(C98),"",IFERROR(_xlfn.SWITCH(BE98, Constants!$B$4, COUNTA($C$8:$C597)+2, Constants!$B$5, COUNTA($C$8:$C597)+1, Constants!$B$6, COUNTA($C$8:$C597)),BE98))</f>
        <v/>
      </c>
      <c r="BG98" s="5"/>
      <c r="BH98" s="73" t="n">
        <f aca="false">IF(OR(ISNUMBER(BE98),BE98="DQ",BE98="P",BE98="NS"),
    1,
    0
)</f>
        <v>0</v>
      </c>
      <c r="BI98" s="73" t="n">
        <v>91</v>
      </c>
      <c r="BJ98" s="73" t="str">
        <f aca="false">IF(ISBLANK($C98),
    "",
   BF98+ROW($B98)/1000
)</f>
        <v/>
      </c>
      <c r="BK98" s="73" t="str">
        <f aca="false">IF(ISNUMBER(BJ98), RANK(BJ98,BJ$8:BJ$507,1), "")</f>
        <v/>
      </c>
      <c r="BL98" s="73" t="str">
        <f aca="false">IF(ISBLANK($C98),
    "",
    $B98
)</f>
        <v/>
      </c>
      <c r="BM98" s="73" t="str">
        <f aca="false">IF(ISBLANK($C98),
    "",
    $C98
)</f>
        <v/>
      </c>
      <c r="BN98" s="73" t="str">
        <f aca="false">IF(ISBLANK($C98),
    "",
    $D98
)</f>
        <v/>
      </c>
      <c r="BO98" s="74" t="str">
        <f aca="false">BC98</f>
        <v/>
      </c>
      <c r="BP98" s="75" t="str">
        <f aca="false">BB98</f>
        <v/>
      </c>
      <c r="BQ98" s="73" t="str">
        <f aca="false">IF(ISBLANK($C98),
    "",
    BE98
)</f>
        <v/>
      </c>
      <c r="BR98" s="76" t="str">
        <f aca="false">IF(BI98&gt;BH$7,
    "",
    VLOOKUP(BI98,BK$8:BQ597,7,FALSE())
)</f>
        <v/>
      </c>
      <c r="BS98" s="77" t="str">
        <f aca="false">IF(BI98&gt;BH$7,
    "",
    VLOOKUP(BI98,BK$8:BQ597,2,FALSE())
)</f>
        <v/>
      </c>
      <c r="BT98" s="77" t="str">
        <f aca="false">IF(BI98&gt;BH$7,
    "",
    VLOOKUP(BI98,BK$8:BQ597,3,FALSE())
)</f>
        <v/>
      </c>
      <c r="BU98" s="77" t="str">
        <f aca="false">IF(BI98&gt;BH$7,
    "",
    VLOOKUP(BI98,BK$8:BQ597,4,FALSE())
)</f>
        <v/>
      </c>
      <c r="BV98" s="77" t="str">
        <f aca="false">IF(BI98&gt;BH$7,
    "",
    VLOOKUP(BI98,BK$8:BQ597,5,FALSE())
)</f>
        <v/>
      </c>
      <c r="BW98" s="78" t="str">
        <f aca="false">IF(BI98&gt;BH$7,
    "",
    VLOOKUP(BI98,BK$8:BQ597,6,FALSE())
)</f>
        <v/>
      </c>
      <c r="BX98" s="50"/>
    </row>
    <row r="99" customFormat="false" ht="15.75" hidden="false" customHeight="false" outlineLevel="0" collapsed="false">
      <c r="A99" s="5"/>
      <c r="B99" s="126"/>
      <c r="C99" s="52"/>
      <c r="D99" s="53"/>
      <c r="E99" s="120"/>
      <c r="F99" s="120"/>
      <c r="G99" s="55"/>
      <c r="H99" s="56"/>
      <c r="I99" s="80"/>
      <c r="J99" s="80"/>
      <c r="K99" s="80"/>
      <c r="L99" s="58"/>
      <c r="M99" s="58"/>
      <c r="N99" s="58"/>
      <c r="O99" s="59"/>
      <c r="P99" s="60"/>
      <c r="Q99" s="80"/>
      <c r="R99" s="62"/>
      <c r="S99" s="63"/>
      <c r="T99" s="63" t="str">
        <f aca="false">IF(ISBLANK($C99),"",IF(G99=Constants!$B$2, TRUE(), IF(G99=Constants!$B$3, FALSE(), TRUE())))</f>
        <v/>
      </c>
      <c r="U99" s="63" t="str">
        <f aca="false">IF(ISBLANK($C99),"",IF(H99=Constants!$B$2, TRUE(), IF(H99=Constants!$B$3, FALSE(), TRUE())))</f>
        <v/>
      </c>
      <c r="V99" s="63" t="str">
        <f aca="false">IF(ISBLANK($C99),"",IF(I99=Constants!$B$2, TRUE(), IF(I99=Constants!$B$3, FALSE(), TRUE())))</f>
        <v/>
      </c>
      <c r="W99" s="63" t="str">
        <f aca="false">IF(ISBLANK($C99),"",IF(J99=Constants!$B$2, TRUE(), IF(J99=Constants!$B$3, FALSE(), TRUE())))</f>
        <v/>
      </c>
      <c r="X99" s="63" t="str">
        <f aca="false">IF(ISBLANK($C99),"",IF(K99=Constants!$B$2, TRUE(), IF(K99=Constants!$B$3, FALSE(), TRUE())))</f>
        <v/>
      </c>
      <c r="Y99" s="65" t="str">
        <f aca="false">IF(ISBLANK($C99),"",IF(ISNUMBER(L99), L99, ""))</f>
        <v/>
      </c>
      <c r="Z99" s="65" t="str">
        <f aca="false">IF(ISBLANK($C99),"",IF(ISNUMBER(M99), M99, ""))</f>
        <v/>
      </c>
      <c r="AA99" s="65" t="str">
        <f aca="false">IF(ISBLANK($C99),"",IF(ISNUMBER(N99), N99, ""))</f>
        <v/>
      </c>
      <c r="AB99" s="66" t="str">
        <f aca="false">IF(ISBLANK($C99),"",IF(ISNUMBER(O99), O99, ""))</f>
        <v/>
      </c>
      <c r="AC99" s="66" t="str">
        <f aca="false">IF(ISBLANK($C99),"",IF(ISNUMBER(P99), P99, Constants!$B$13))</f>
        <v/>
      </c>
      <c r="AD99" s="63" t="str">
        <f aca="false">IF(ISBLANK($C99),"",IF(Q99=Constants!$B$2, TRUE(), IF(Q99=Constants!$B$3, FALSE(), FALSE())))</f>
        <v/>
      </c>
      <c r="AE99" s="63" t="str">
        <f aca="false">IF(ISBLANK(C99), "", IF(AD99, Constants!$B$4,IF(COUNTA(G99:O99)=0, Constants!$B$5, Constants!$B$7)))</f>
        <v/>
      </c>
      <c r="AF99" s="63" t="str">
        <f aca="false">IF(ISBLANK($C99), "",IF($AE99=Constants!$B$7,1,$AE99))</f>
        <v/>
      </c>
      <c r="AG99" s="63" t="str">
        <f aca="false">IF($AE99=Constants!$B$7,IF(V99, 1, Constants!$B$11) * IF(X99, 1, Constants!$B$12),"")</f>
        <v/>
      </c>
      <c r="AH99" s="63" t="str">
        <f aca="false">IF(AND($AE99=Constants!$B$7, T99, U99) ,MAX(0, $AA99-$Y99),"")</f>
        <v/>
      </c>
      <c r="AI99" s="63" t="str">
        <f aca="false">IF(ISERROR(AH99),$AI$6,"")</f>
        <v/>
      </c>
      <c r="AJ99" s="63" t="str">
        <f aca="false">IF($AE99=Constants!$B$7,IF(AND(T99,U99,W99),IF($AH$6=0,Constants!$B$9,Constants!$B$9*AH99/$AH$6), 0),"")</f>
        <v/>
      </c>
      <c r="AK99" s="63" t="str">
        <f aca="false">IF(AJ99&lt;&gt;"", AJ99*AG99,"")</f>
        <v/>
      </c>
      <c r="AL99" s="63" t="str">
        <f aca="false">IF(AND($AE99=Constants!$B$7, T99, U99) ,IF($Z99="", "", MAX(0,1-ABS($AA99-$Z99)/$AA99)),"")</f>
        <v/>
      </c>
      <c r="AM99" s="63" t="str">
        <f aca="false">IF(AND(NOT(ISERROR(AH99)),ISERROR(AL99)),$AM$6,"")</f>
        <v/>
      </c>
      <c r="AN99" s="63" t="str">
        <f aca="false">IF($AE99=Constants!$B$7 ,IF(AND(T99,U99,W99,ISNUMBER(Z99)),IF($AL$6=0,Constants!$B$10,Constants!$B$10*AL99/$AL$6), 0),"")</f>
        <v/>
      </c>
      <c r="AO99" s="63" t="str">
        <f aca="false">IF(AN99&lt;&gt;"", AN99*AG99,"")</f>
        <v/>
      </c>
      <c r="AP99" s="63" t="str">
        <f aca="false">IF($AE99=Constants!$B$7,IF($AP$6=0,Constants!$B$8,Constants!$B$8*AB99/$AP$6),"")</f>
        <v/>
      </c>
      <c r="AQ99" s="63" t="str">
        <f aca="false">IF($AE99&lt;&gt;Constants!$B$7,$AE99,AK99+AO99+AP99)</f>
        <v/>
      </c>
      <c r="AR99" s="63" t="str">
        <f aca="false">IF(ISBLANK($C99),"",IF($AE99=Constants!$B$7,RANK(AQ99,$AQ$8:$AQ$507),$AE99))</f>
        <v/>
      </c>
      <c r="AS99" s="63" t="str">
        <f aca="false">IF(ISBLANK($C99), "",AK99)</f>
        <v/>
      </c>
      <c r="AT99" s="63" t="str">
        <f aca="false">IF(ISBLANK($C99),"",IF($AE99=Constants!$B$7,RANK(AS99,AS$8:AS$507),$AE99))</f>
        <v/>
      </c>
      <c r="AU99" s="63" t="str">
        <f aca="false">IF(ISBLANK($C99), "",AP99)</f>
        <v/>
      </c>
      <c r="AV99" s="63" t="str">
        <f aca="false">IF(ISBLANK($C99),"",IF($AE99=Constants!$B$7,RANK(AU99,AU$8:AU$507),$AE99))</f>
        <v/>
      </c>
      <c r="AW99" s="63" t="str">
        <f aca="false">IF(ISBLANK($C99), "",AC99)</f>
        <v/>
      </c>
      <c r="AX99" s="63" t="str">
        <f aca="false">IF(ISBLANK($C99),"",
IF($AE99=Constants!$B$7,
  COUNTIFS($AR$8:$AR$507,"&lt;"&amp;$AR99)
  + COUNTIFS($AR$8:$AR$507,$AR99,$AT$8:$AT$507,"&lt;"&amp;$AT99)
  + COUNTIFS($AR$8:$AR$507,$AR99,$AT$8:$AT$507,$AT99,$AV$8:$AV$507,"&lt;"&amp;$AV99)
  + COUNTIFS($AR$8:$AR$507,$AR99,$AT$8:$AT$507,$AT99,$AV$8:$AV$507,$AV99,$AW$8:$AW$507,"&lt;"&amp;$AW99)
  + 1,
$AE99))</f>
        <v/>
      </c>
      <c r="AY99" s="63" t="str">
        <f aca="false">IF(ISBLANK(C99),"",IF($AE99=Constants!$B$7, AR99-AX99,$AE99))</f>
        <v/>
      </c>
      <c r="AZ99" s="67"/>
      <c r="BA99" s="81" t="str">
        <f aca="false">IF(ISBLANK($C99),"",TRIM(AI99&amp;" "&amp;AM99))</f>
        <v/>
      </c>
      <c r="BB99" s="69" t="str">
        <f aca="false">IF(ISBLANK($C99),"",IF($AE99&lt;&gt;Constants!$B$7, $AE99 ,AQ99))</f>
        <v/>
      </c>
      <c r="BC99" s="70" t="str">
        <f aca="false">IF(ISBLANK($C99),"",IF($AE99&lt;&gt;Constants!$B$7, $AE99 ,AF99))</f>
        <v/>
      </c>
      <c r="BD99" s="71" t="str">
        <f aca="false">IF(ISBLANK(C99),"",AY99)</f>
        <v/>
      </c>
      <c r="BE99" s="71" t="str">
        <f aca="false">IF(ISBLANK(C99),"",AX99)</f>
        <v/>
      </c>
      <c r="BF99" s="72" t="str">
        <f aca="false">IF(ISBLANK(C99),"",IFERROR(_xlfn.SWITCH(BE99, Constants!$B$4, COUNTA($C$8:$C598)+2, Constants!$B$5, COUNTA($C$8:$C598)+1, Constants!$B$6, COUNTA($C$8:$C598)),BE99))</f>
        <v/>
      </c>
      <c r="BG99" s="5"/>
      <c r="BH99" s="73" t="n">
        <f aca="false">IF(OR(ISNUMBER(BE99),BE99="DQ",BE99="P",BE99="NS"),
    1,
    0
)</f>
        <v>0</v>
      </c>
      <c r="BI99" s="73" t="n">
        <v>92</v>
      </c>
      <c r="BJ99" s="73" t="str">
        <f aca="false">IF(ISBLANK($C99),
    "",
   BF99+ROW($B99)/1000
)</f>
        <v/>
      </c>
      <c r="BK99" s="73" t="str">
        <f aca="false">IF(ISNUMBER(BJ99), RANK(BJ99,BJ$8:BJ$507,1), "")</f>
        <v/>
      </c>
      <c r="BL99" s="73" t="str">
        <f aca="false">IF(ISBLANK($C99),
    "",
    $B99
)</f>
        <v/>
      </c>
      <c r="BM99" s="73" t="str">
        <f aca="false">IF(ISBLANK($C99),
    "",
    $C99
)</f>
        <v/>
      </c>
      <c r="BN99" s="73" t="str">
        <f aca="false">IF(ISBLANK($C99),
    "",
    $D99
)</f>
        <v/>
      </c>
      <c r="BO99" s="74" t="str">
        <f aca="false">BC99</f>
        <v/>
      </c>
      <c r="BP99" s="75" t="str">
        <f aca="false">BB99</f>
        <v/>
      </c>
      <c r="BQ99" s="73" t="str">
        <f aca="false">IF(ISBLANK($C99),
    "",
    BE99
)</f>
        <v/>
      </c>
      <c r="BR99" s="76" t="str">
        <f aca="false">IF(BI99&gt;BH$7,
    "",
    VLOOKUP(BI99,BK$8:BQ598,7,FALSE())
)</f>
        <v/>
      </c>
      <c r="BS99" s="77" t="str">
        <f aca="false">IF(BI99&gt;BH$7,
    "",
    VLOOKUP(BI99,BK$8:BQ598,2,FALSE())
)</f>
        <v/>
      </c>
      <c r="BT99" s="77" t="str">
        <f aca="false">IF(BI99&gt;BH$7,
    "",
    VLOOKUP(BI99,BK$8:BQ598,3,FALSE())
)</f>
        <v/>
      </c>
      <c r="BU99" s="77" t="str">
        <f aca="false">IF(BI99&gt;BH$7,
    "",
    VLOOKUP(BI99,BK$8:BQ598,4,FALSE())
)</f>
        <v/>
      </c>
      <c r="BV99" s="77" t="str">
        <f aca="false">IF(BI99&gt;BH$7,
    "",
    VLOOKUP(BI99,BK$8:BQ598,5,FALSE())
)</f>
        <v/>
      </c>
      <c r="BW99" s="78" t="str">
        <f aca="false">IF(BI99&gt;BH$7,
    "",
    VLOOKUP(BI99,BK$8:BQ598,6,FALSE())
)</f>
        <v/>
      </c>
      <c r="BX99" s="50"/>
    </row>
    <row r="100" customFormat="false" ht="15.75" hidden="false" customHeight="false" outlineLevel="0" collapsed="false">
      <c r="A100" s="5"/>
      <c r="B100" s="126"/>
      <c r="C100" s="52"/>
      <c r="D100" s="53"/>
      <c r="E100" s="120"/>
      <c r="F100" s="120"/>
      <c r="G100" s="55"/>
      <c r="H100" s="56"/>
      <c r="I100" s="80"/>
      <c r="J100" s="80"/>
      <c r="K100" s="80"/>
      <c r="L100" s="58"/>
      <c r="M100" s="58"/>
      <c r="N100" s="58"/>
      <c r="O100" s="59"/>
      <c r="P100" s="60"/>
      <c r="Q100" s="80"/>
      <c r="R100" s="62"/>
      <c r="S100" s="63"/>
      <c r="T100" s="63" t="str">
        <f aca="false">IF(ISBLANK($C100),"",IF(G100=Constants!$B$2, TRUE(), IF(G100=Constants!$B$3, FALSE(), TRUE())))</f>
        <v/>
      </c>
      <c r="U100" s="63" t="str">
        <f aca="false">IF(ISBLANK($C100),"",IF(H100=Constants!$B$2, TRUE(), IF(H100=Constants!$B$3, FALSE(), TRUE())))</f>
        <v/>
      </c>
      <c r="V100" s="63" t="str">
        <f aca="false">IF(ISBLANK($C100),"",IF(I100=Constants!$B$2, TRUE(), IF(I100=Constants!$B$3, FALSE(), TRUE())))</f>
        <v/>
      </c>
      <c r="W100" s="63" t="str">
        <f aca="false">IF(ISBLANK($C100),"",IF(J100=Constants!$B$2, TRUE(), IF(J100=Constants!$B$3, FALSE(), TRUE())))</f>
        <v/>
      </c>
      <c r="X100" s="63" t="str">
        <f aca="false">IF(ISBLANK($C100),"",IF(K100=Constants!$B$2, TRUE(), IF(K100=Constants!$B$3, FALSE(), TRUE())))</f>
        <v/>
      </c>
      <c r="Y100" s="65" t="str">
        <f aca="false">IF(ISBLANK($C100),"",IF(ISNUMBER(L100), L100, ""))</f>
        <v/>
      </c>
      <c r="Z100" s="65" t="str">
        <f aca="false">IF(ISBLANK($C100),"",IF(ISNUMBER(M100), M100, ""))</f>
        <v/>
      </c>
      <c r="AA100" s="65" t="str">
        <f aca="false">IF(ISBLANK($C100),"",IF(ISNUMBER(N100), N100, ""))</f>
        <v/>
      </c>
      <c r="AB100" s="66" t="str">
        <f aca="false">IF(ISBLANK($C100),"",IF(ISNUMBER(O100), O100, ""))</f>
        <v/>
      </c>
      <c r="AC100" s="66" t="str">
        <f aca="false">IF(ISBLANK($C100),"",IF(ISNUMBER(P100), P100, Constants!$B$13))</f>
        <v/>
      </c>
      <c r="AD100" s="63" t="str">
        <f aca="false">IF(ISBLANK($C100),"",IF(Q100=Constants!$B$2, TRUE(), IF(Q100=Constants!$B$3, FALSE(), FALSE())))</f>
        <v/>
      </c>
      <c r="AE100" s="63" t="str">
        <f aca="false">IF(ISBLANK(C100), "", IF(AD100, Constants!$B$4,IF(COUNTA(G100:O100)=0, Constants!$B$5, Constants!$B$7)))</f>
        <v/>
      </c>
      <c r="AF100" s="63" t="str">
        <f aca="false">IF(ISBLANK($C100), "",IF($AE100=Constants!$B$7,1,$AE100))</f>
        <v/>
      </c>
      <c r="AG100" s="63" t="str">
        <f aca="false">IF($AE100=Constants!$B$7,IF(V100, 1, Constants!$B$11) * IF(X100, 1, Constants!$B$12),"")</f>
        <v/>
      </c>
      <c r="AH100" s="63" t="str">
        <f aca="false">IF(AND($AE100=Constants!$B$7, T100, U100) ,MAX(0, $AA100-$Y100),"")</f>
        <v/>
      </c>
      <c r="AI100" s="63" t="str">
        <f aca="false">IF(ISERROR(AH100),$AI$6,"")</f>
        <v/>
      </c>
      <c r="AJ100" s="63" t="str">
        <f aca="false">IF($AE100=Constants!$B$7,IF(AND(T100,U100,W100),IF($AH$6=0,Constants!$B$9,Constants!$B$9*AH100/$AH$6), 0),"")</f>
        <v/>
      </c>
      <c r="AK100" s="63" t="str">
        <f aca="false">IF(AJ100&lt;&gt;"", AJ100*AG100,"")</f>
        <v/>
      </c>
      <c r="AL100" s="63" t="str">
        <f aca="false">IF(AND($AE100=Constants!$B$7, T100, U100) ,IF($Z100="", "", MAX(0,1-ABS($AA100-$Z100)/$AA100)),"")</f>
        <v/>
      </c>
      <c r="AM100" s="63" t="str">
        <f aca="false">IF(AND(NOT(ISERROR(AH100)),ISERROR(AL100)),$AM$6,"")</f>
        <v/>
      </c>
      <c r="AN100" s="63" t="str">
        <f aca="false">IF($AE100=Constants!$B$7 ,IF(AND(T100,U100,W100,ISNUMBER(Z100)),IF($AL$6=0,Constants!$B$10,Constants!$B$10*AL100/$AL$6), 0),"")</f>
        <v/>
      </c>
      <c r="AO100" s="63" t="str">
        <f aca="false">IF(AN100&lt;&gt;"", AN100*AG100,"")</f>
        <v/>
      </c>
      <c r="AP100" s="63" t="str">
        <f aca="false">IF($AE100=Constants!$B$7,IF($AP$6=0,Constants!$B$8,Constants!$B$8*AB100/$AP$6),"")</f>
        <v/>
      </c>
      <c r="AQ100" s="63" t="str">
        <f aca="false">IF($AE100&lt;&gt;Constants!$B$7,$AE100,AK100+AO100+AP100)</f>
        <v/>
      </c>
      <c r="AR100" s="63" t="str">
        <f aca="false">IF(ISBLANK($C100),"",IF($AE100=Constants!$B$7,RANK(AQ100,$AQ$8:$AQ$507),$AE100))</f>
        <v/>
      </c>
      <c r="AS100" s="63" t="str">
        <f aca="false">IF(ISBLANK($C100), "",AK100)</f>
        <v/>
      </c>
      <c r="AT100" s="63" t="str">
        <f aca="false">IF(ISBLANK($C100),"",IF($AE100=Constants!$B$7,RANK(AS100,AS$8:AS$507),$AE100))</f>
        <v/>
      </c>
      <c r="AU100" s="63" t="str">
        <f aca="false">IF(ISBLANK($C100), "",AP100)</f>
        <v/>
      </c>
      <c r="AV100" s="63" t="str">
        <f aca="false">IF(ISBLANK($C100),"",IF($AE100=Constants!$B$7,RANK(AU100,AU$8:AU$507),$AE100))</f>
        <v/>
      </c>
      <c r="AW100" s="63" t="str">
        <f aca="false">IF(ISBLANK($C100), "",AC100)</f>
        <v/>
      </c>
      <c r="AX100" s="63" t="str">
        <f aca="false">IF(ISBLANK($C100),"",
IF($AE100=Constants!$B$7,
  COUNTIFS($AR$8:$AR$507,"&lt;"&amp;$AR100)
  + COUNTIFS($AR$8:$AR$507,$AR100,$AT$8:$AT$507,"&lt;"&amp;$AT100)
  + COUNTIFS($AR$8:$AR$507,$AR100,$AT$8:$AT$507,$AT100,$AV$8:$AV$507,"&lt;"&amp;$AV100)
  + COUNTIFS($AR$8:$AR$507,$AR100,$AT$8:$AT$507,$AT100,$AV$8:$AV$507,$AV100,$AW$8:$AW$507,"&lt;"&amp;$AW100)
  + 1,
$AE100))</f>
        <v/>
      </c>
      <c r="AY100" s="63" t="str">
        <f aca="false">IF(ISBLANK(C100),"",IF($AE100=Constants!$B$7, AR100-AX100,$AE100))</f>
        <v/>
      </c>
      <c r="AZ100" s="67"/>
      <c r="BA100" s="81" t="str">
        <f aca="false">IF(ISBLANK($C100),"",TRIM(AI100&amp;" "&amp;AM100))</f>
        <v/>
      </c>
      <c r="BB100" s="69" t="str">
        <f aca="false">IF(ISBLANK($C100),"",IF($AE100&lt;&gt;Constants!$B$7, $AE100 ,AQ100))</f>
        <v/>
      </c>
      <c r="BC100" s="70" t="str">
        <f aca="false">IF(ISBLANK($C100),"",IF($AE100&lt;&gt;Constants!$B$7, $AE100 ,AF100))</f>
        <v/>
      </c>
      <c r="BD100" s="71" t="str">
        <f aca="false">IF(ISBLANK(C100),"",AY100)</f>
        <v/>
      </c>
      <c r="BE100" s="71" t="str">
        <f aca="false">IF(ISBLANK(C100),"",AX100)</f>
        <v/>
      </c>
      <c r="BF100" s="72" t="str">
        <f aca="false">IF(ISBLANK(C100),"",IFERROR(_xlfn.SWITCH(BE100, Constants!$B$4, COUNTA($C$8:$C599)+2, Constants!$B$5, COUNTA($C$8:$C599)+1, Constants!$B$6, COUNTA($C$8:$C599)),BE100))</f>
        <v/>
      </c>
      <c r="BG100" s="5"/>
      <c r="BH100" s="73" t="n">
        <f aca="false">IF(OR(ISNUMBER(BE100),BE100="DQ",BE100="P",BE100="NS"),
    1,
    0
)</f>
        <v>0</v>
      </c>
      <c r="BI100" s="73" t="n">
        <v>93</v>
      </c>
      <c r="BJ100" s="73" t="str">
        <f aca="false">IF(ISBLANK($C100),
    "",
   BF100+ROW($B100)/1000
)</f>
        <v/>
      </c>
      <c r="BK100" s="73" t="str">
        <f aca="false">IF(ISNUMBER(BJ100), RANK(BJ100,BJ$8:BJ$507,1), "")</f>
        <v/>
      </c>
      <c r="BL100" s="73" t="str">
        <f aca="false">IF(ISBLANK($C100),
    "",
    $B100
)</f>
        <v/>
      </c>
      <c r="BM100" s="73" t="str">
        <f aca="false">IF(ISBLANK($C100),
    "",
    $C100
)</f>
        <v/>
      </c>
      <c r="BN100" s="73" t="str">
        <f aca="false">IF(ISBLANK($C100),
    "",
    $D100
)</f>
        <v/>
      </c>
      <c r="BO100" s="74" t="str">
        <f aca="false">BC100</f>
        <v/>
      </c>
      <c r="BP100" s="75" t="str">
        <f aca="false">BB100</f>
        <v/>
      </c>
      <c r="BQ100" s="73" t="str">
        <f aca="false">IF(ISBLANK($C100),
    "",
    BE100
)</f>
        <v/>
      </c>
      <c r="BR100" s="76" t="str">
        <f aca="false">IF(BI100&gt;BH$7,
    "",
    VLOOKUP(BI100,BK$8:BQ599,7,FALSE())
)</f>
        <v/>
      </c>
      <c r="BS100" s="77" t="str">
        <f aca="false">IF(BI100&gt;BH$7,
    "",
    VLOOKUP(BI100,BK$8:BQ599,2,FALSE())
)</f>
        <v/>
      </c>
      <c r="BT100" s="77" t="str">
        <f aca="false">IF(BI100&gt;BH$7,
    "",
    VLOOKUP(BI100,BK$8:BQ599,3,FALSE())
)</f>
        <v/>
      </c>
      <c r="BU100" s="77" t="str">
        <f aca="false">IF(BI100&gt;BH$7,
    "",
    VLOOKUP(BI100,BK$8:BQ599,4,FALSE())
)</f>
        <v/>
      </c>
      <c r="BV100" s="77" t="str">
        <f aca="false">IF(BI100&gt;BH$7,
    "",
    VLOOKUP(BI100,BK$8:BQ599,5,FALSE())
)</f>
        <v/>
      </c>
      <c r="BW100" s="78" t="str">
        <f aca="false">IF(BI100&gt;BH$7,
    "",
    VLOOKUP(BI100,BK$8:BQ599,6,FALSE())
)</f>
        <v/>
      </c>
      <c r="BX100" s="50"/>
    </row>
    <row r="101" customFormat="false" ht="15.75" hidden="false" customHeight="false" outlineLevel="0" collapsed="false">
      <c r="A101" s="5"/>
      <c r="B101" s="122"/>
      <c r="C101" s="123"/>
      <c r="D101" s="112"/>
      <c r="E101" s="116"/>
      <c r="F101" s="116"/>
      <c r="G101" s="88"/>
      <c r="H101" s="89"/>
      <c r="I101" s="125"/>
      <c r="J101" s="125"/>
      <c r="K101" s="125"/>
      <c r="L101" s="91"/>
      <c r="M101" s="91"/>
      <c r="N101" s="91"/>
      <c r="O101" s="92"/>
      <c r="P101" s="93"/>
      <c r="Q101" s="125"/>
      <c r="R101" s="95"/>
      <c r="S101" s="96"/>
      <c r="T101" s="96" t="str">
        <f aca="false">IF(ISBLANK($C101),"",IF(G101=Constants!$B$2, TRUE(), IF(G101=Constants!$B$3, FALSE(), TRUE())))</f>
        <v/>
      </c>
      <c r="U101" s="96" t="str">
        <f aca="false">IF(ISBLANK($C101),"",IF(H101=Constants!$B$2, TRUE(), IF(H101=Constants!$B$3, FALSE(), TRUE())))</f>
        <v/>
      </c>
      <c r="V101" s="96" t="str">
        <f aca="false">IF(ISBLANK($C101),"",IF(I101=Constants!$B$2, TRUE(), IF(I101=Constants!$B$3, FALSE(), TRUE())))</f>
        <v/>
      </c>
      <c r="W101" s="96" t="str">
        <f aca="false">IF(ISBLANK($C101),"",IF(J101=Constants!$B$2, TRUE(), IF(J101=Constants!$B$3, FALSE(), TRUE())))</f>
        <v/>
      </c>
      <c r="X101" s="97" t="str">
        <f aca="false">IF(ISBLANK($C101),"",IF(K101=Constants!$B$2, TRUE(), IF(K101=Constants!$B$3, FALSE(), TRUE())))</f>
        <v/>
      </c>
      <c r="Y101" s="98" t="str">
        <f aca="false">IF(ISBLANK($C101),"",IF(ISNUMBER(L101), L101, ""))</f>
        <v/>
      </c>
      <c r="Z101" s="98" t="str">
        <f aca="false">IF(ISBLANK($C101),"",IF(ISNUMBER(M101), M101, ""))</f>
        <v/>
      </c>
      <c r="AA101" s="98" t="str">
        <f aca="false">IF(ISBLANK($C101),"",IF(ISNUMBER(N101), N101, ""))</f>
        <v/>
      </c>
      <c r="AB101" s="99" t="str">
        <f aca="false">IF(ISBLANK($C101),"",IF(ISNUMBER(O101), O101, ""))</f>
        <v/>
      </c>
      <c r="AC101" s="99" t="str">
        <f aca="false">IF(ISBLANK($C101),"",IF(ISNUMBER(P101), P101, Constants!$B$13))</f>
        <v/>
      </c>
      <c r="AD101" s="96" t="str">
        <f aca="false">IF(ISBLANK($C101),"",IF(Q101=Constants!$B$2, TRUE(), IF(Q101=Constants!$B$3, FALSE(), FALSE())))</f>
        <v/>
      </c>
      <c r="AE101" s="96" t="str">
        <f aca="false">IF(ISBLANK(C101), "", IF(AD101, Constants!$B$4,IF(COUNTA(G101:O101)=0, Constants!$B$5, Constants!$B$7)))</f>
        <v/>
      </c>
      <c r="AF101" s="96" t="str">
        <f aca="false">IF(ISBLANK($C101), "",IF($AE101=Constants!$B$7,1,$AE101))</f>
        <v/>
      </c>
      <c r="AG101" s="96" t="str">
        <f aca="false">IF($AE101=Constants!$B$7,IF(V101, 1, Constants!$B$11) * IF(X101, 1, Constants!$B$12),"")</f>
        <v/>
      </c>
      <c r="AH101" s="96" t="str">
        <f aca="false">IF(AND($AE101=Constants!$B$7, T101, U101) ,MAX(0, $AA101-$Y101),"")</f>
        <v/>
      </c>
      <c r="AI101" s="96" t="str">
        <f aca="false">IF(ISERROR(AH101),$AI$6,"")</f>
        <v/>
      </c>
      <c r="AJ101" s="96" t="str">
        <f aca="false">IF($AE101=Constants!$B$7,IF(AND(T101,U101,W101),IF($AH$6=0,Constants!$B$9,Constants!$B$9*AH101/$AH$6), 0),"")</f>
        <v/>
      </c>
      <c r="AK101" s="96" t="str">
        <f aca="false">IF(AJ101&lt;&gt;"", AJ101*AG101,"")</f>
        <v/>
      </c>
      <c r="AL101" s="96" t="str">
        <f aca="false">IF(AND($AE101=Constants!$B$7, T101, U101) ,IF($Z101="", "", MAX(0,1-ABS($AA101-$Z101)/$AA101)),"")</f>
        <v/>
      </c>
      <c r="AM101" s="96" t="str">
        <f aca="false">IF(AND(NOT(ISERROR(AH101)),ISERROR(AL101)),$AM$6,"")</f>
        <v/>
      </c>
      <c r="AN101" s="96" t="str">
        <f aca="false">IF($AE101=Constants!$B$7 ,IF(AND(T101,U101,W101,ISNUMBER(Z101)),IF($AL$6=0,Constants!$B$10,Constants!$B$10*AL101/$AL$6), 0),"")</f>
        <v/>
      </c>
      <c r="AO101" s="96" t="str">
        <f aca="false">IF(AN101&lt;&gt;"", AN101*AG101,"")</f>
        <v/>
      </c>
      <c r="AP101" s="96" t="str">
        <f aca="false">IF($AE101=Constants!$B$7,IF($AP$6=0,Constants!$B$8,Constants!$B$8*AB101/$AP$6),"")</f>
        <v/>
      </c>
      <c r="AQ101" s="96" t="str">
        <f aca="false">IF($AE101&lt;&gt;Constants!$B$7,$AE101,AK101+AO101+AP101)</f>
        <v/>
      </c>
      <c r="AR101" s="96" t="str">
        <f aca="false">IF(ISBLANK($C101),"",IF($AE101=Constants!$B$7,RANK(AQ101,$AQ$8:$AQ$507),$AE101))</f>
        <v/>
      </c>
      <c r="AS101" s="96" t="str">
        <f aca="false">IF(ISBLANK($C101), "",AK101)</f>
        <v/>
      </c>
      <c r="AT101" s="96" t="str">
        <f aca="false">IF(ISBLANK($C101),"",IF($AE101=Constants!$B$7,RANK(AS101,AS$8:AS$507),$AE101))</f>
        <v/>
      </c>
      <c r="AU101" s="96" t="str">
        <f aca="false">IF(ISBLANK($C101), "",AP101)</f>
        <v/>
      </c>
      <c r="AV101" s="96" t="str">
        <f aca="false">IF(ISBLANK($C101),"",IF($AE101=Constants!$B$7,RANK(AU101,AU$8:AU$507),$AE101))</f>
        <v/>
      </c>
      <c r="AW101" s="96" t="str">
        <f aca="false">IF(ISBLANK($C101), "",AC101)</f>
        <v/>
      </c>
      <c r="AX101" s="96" t="str">
        <f aca="false">IF(ISBLANK($C101),"",
IF($AE101=Constants!$B$7,
  COUNTIFS($AR$8:$AR$507,"&lt;"&amp;$AR101)
  + COUNTIFS($AR$8:$AR$507,$AR101,$AT$8:$AT$507,"&lt;"&amp;$AT101)
  + COUNTIFS($AR$8:$AR$507,$AR101,$AT$8:$AT$507,$AT101,$AV$8:$AV$507,"&lt;"&amp;$AV101)
  + COUNTIFS($AR$8:$AR$507,$AR101,$AT$8:$AT$507,$AT101,$AV$8:$AV$507,$AV101,$AW$8:$AW$507,"&lt;"&amp;$AW101)
  + 1,
$AE101))</f>
        <v/>
      </c>
      <c r="AY101" s="96" t="str">
        <f aca="false">IF(ISBLANK(C101),"",IF($AE101=Constants!$B$7, AR101-AX101,$AE101))</f>
        <v/>
      </c>
      <c r="AZ101" s="100"/>
      <c r="BA101" s="101" t="str">
        <f aca="false">IF(ISBLANK($C101),"",TRIM(AI101&amp;" "&amp;AM101))</f>
        <v/>
      </c>
      <c r="BB101" s="102" t="str">
        <f aca="false">IF(ISBLANK($C101),"",IF($AE101&lt;&gt;Constants!$B$7, $AE101 ,AQ101))</f>
        <v/>
      </c>
      <c r="BC101" s="103" t="str">
        <f aca="false">IF(ISBLANK($C101),"",IF($AE101&lt;&gt;Constants!$B$7, $AE101 ,AF101))</f>
        <v/>
      </c>
      <c r="BD101" s="104" t="str">
        <f aca="false">IF(ISBLANK(C101),"",AY101)</f>
        <v/>
      </c>
      <c r="BE101" s="104" t="str">
        <f aca="false">IF(ISBLANK(C101),"",AX101)</f>
        <v/>
      </c>
      <c r="BF101" s="105" t="str">
        <f aca="false">IF(ISBLANK(C101),"",IFERROR(_xlfn.SWITCH(BE101, Constants!$B$4, COUNTA($C$8:$C600)+2, Constants!$B$5, COUNTA($C$8:$C600)+1, Constants!$B$6, COUNTA($C$8:$C600)),BE101))</f>
        <v/>
      </c>
      <c r="BG101" s="5"/>
      <c r="BH101" s="106" t="n">
        <f aca="false">IF(OR(ISNUMBER(BE101),BE101="DQ",BE101="P",BE101="NS"),
    1,
    0
)</f>
        <v>0</v>
      </c>
      <c r="BI101" s="106" t="n">
        <v>94</v>
      </c>
      <c r="BJ101" s="106" t="str">
        <f aca="false">IF(ISBLANK($C101),
    "",
   BF101+ROW($B101)/1000
)</f>
        <v/>
      </c>
      <c r="BK101" s="106" t="str">
        <f aca="false">IF(ISNUMBER(BJ101), RANK(BJ101,BJ$8:BJ$507,1), "")</f>
        <v/>
      </c>
      <c r="BL101" s="106" t="str">
        <f aca="false">IF(ISBLANK($C101),
    "",
    $B101
)</f>
        <v/>
      </c>
      <c r="BM101" s="106" t="str">
        <f aca="false">IF(ISBLANK($C101),
    "",
    $C101
)</f>
        <v/>
      </c>
      <c r="BN101" s="106" t="str">
        <f aca="false">IF(ISBLANK($C101),
    "",
    $D101
)</f>
        <v/>
      </c>
      <c r="BO101" s="107" t="str">
        <f aca="false">BC101</f>
        <v/>
      </c>
      <c r="BP101" s="108" t="str">
        <f aca="false">BB101</f>
        <v/>
      </c>
      <c r="BQ101" s="106" t="str">
        <f aca="false">IF(ISBLANK($C101),
    "",
    BE101
)</f>
        <v/>
      </c>
      <c r="BR101" s="109" t="str">
        <f aca="false">IF(BI101&gt;BH$7,
    "",
    VLOOKUP(BI101,BK$8:BQ600,7,FALSE())
)</f>
        <v/>
      </c>
      <c r="BS101" s="110" t="str">
        <f aca="false">IF(BI101&gt;BH$7,
    "",
    VLOOKUP(BI101,BK$8:BQ600,2,FALSE())
)</f>
        <v/>
      </c>
      <c r="BT101" s="110" t="str">
        <f aca="false">IF(BI101&gt;BH$7,
    "",
    VLOOKUP(BI101,BK$8:BQ600,3,FALSE())
)</f>
        <v/>
      </c>
      <c r="BU101" s="110" t="str">
        <f aca="false">IF(BI101&gt;BH$7,
    "",
    VLOOKUP(BI101,BK$8:BQ600,4,FALSE())
)</f>
        <v/>
      </c>
      <c r="BV101" s="110" t="str">
        <f aca="false">IF(BI101&gt;BH$7,
    "",
    VLOOKUP(BI101,BK$8:BQ600,5,FALSE())
)</f>
        <v/>
      </c>
      <c r="BW101" s="111" t="str">
        <f aca="false">IF(BI101&gt;BH$7,
    "",
    VLOOKUP(BI101,BK$8:BQ600,6,FALSE())
)</f>
        <v/>
      </c>
      <c r="BX101" s="50"/>
    </row>
    <row r="102" customFormat="false" ht="15.75" hidden="false" customHeight="false" outlineLevel="0" collapsed="false">
      <c r="A102" s="5"/>
      <c r="B102" s="122"/>
      <c r="C102" s="123"/>
      <c r="D102" s="112"/>
      <c r="E102" s="116"/>
      <c r="F102" s="116"/>
      <c r="G102" s="88"/>
      <c r="H102" s="89"/>
      <c r="I102" s="125"/>
      <c r="J102" s="125"/>
      <c r="K102" s="125"/>
      <c r="L102" s="91"/>
      <c r="M102" s="91"/>
      <c r="N102" s="91"/>
      <c r="O102" s="92"/>
      <c r="P102" s="93"/>
      <c r="Q102" s="125"/>
      <c r="R102" s="95"/>
      <c r="S102" s="96"/>
      <c r="T102" s="96" t="str">
        <f aca="false">IF(ISBLANK($C102),"",IF(G102=Constants!$B$2, TRUE(), IF(G102=Constants!$B$3, FALSE(), TRUE())))</f>
        <v/>
      </c>
      <c r="U102" s="96" t="str">
        <f aca="false">IF(ISBLANK($C102),"",IF(H102=Constants!$B$2, TRUE(), IF(H102=Constants!$B$3, FALSE(), TRUE())))</f>
        <v/>
      </c>
      <c r="V102" s="96" t="str">
        <f aca="false">IF(ISBLANK($C102),"",IF(I102=Constants!$B$2, TRUE(), IF(I102=Constants!$B$3, FALSE(), TRUE())))</f>
        <v/>
      </c>
      <c r="W102" s="96" t="str">
        <f aca="false">IF(ISBLANK($C102),"",IF(J102=Constants!$B$2, TRUE(), IF(J102=Constants!$B$3, FALSE(), TRUE())))</f>
        <v/>
      </c>
      <c r="X102" s="97" t="str">
        <f aca="false">IF(ISBLANK($C102),"",IF(K102=Constants!$B$2, TRUE(), IF(K102=Constants!$B$3, FALSE(), TRUE())))</f>
        <v/>
      </c>
      <c r="Y102" s="98" t="str">
        <f aca="false">IF(ISBLANK($C102),"",IF(ISNUMBER(L102), L102, ""))</f>
        <v/>
      </c>
      <c r="Z102" s="98" t="str">
        <f aca="false">IF(ISBLANK($C102),"",IF(ISNUMBER(M102), M102, ""))</f>
        <v/>
      </c>
      <c r="AA102" s="98" t="str">
        <f aca="false">IF(ISBLANK($C102),"",IF(ISNUMBER(N102), N102, ""))</f>
        <v/>
      </c>
      <c r="AB102" s="99" t="str">
        <f aca="false">IF(ISBLANK($C102),"",IF(ISNUMBER(O102), O102, ""))</f>
        <v/>
      </c>
      <c r="AC102" s="99" t="str">
        <f aca="false">IF(ISBLANK($C102),"",IF(ISNUMBER(P102), P102, Constants!$B$13))</f>
        <v/>
      </c>
      <c r="AD102" s="96" t="str">
        <f aca="false">IF(ISBLANK($C102),"",IF(Q102=Constants!$B$2, TRUE(), IF(Q102=Constants!$B$3, FALSE(), FALSE())))</f>
        <v/>
      </c>
      <c r="AE102" s="96" t="str">
        <f aca="false">IF(ISBLANK(C102), "", IF(AD102, Constants!$B$4,IF(COUNTA(G102:O102)=0, Constants!$B$5, Constants!$B$7)))</f>
        <v/>
      </c>
      <c r="AF102" s="96" t="str">
        <f aca="false">IF(ISBLANK($C102), "",IF($AE102=Constants!$B$7,1,$AE102))</f>
        <v/>
      </c>
      <c r="AG102" s="96" t="str">
        <f aca="false">IF($AE102=Constants!$B$7,IF(V102, 1, Constants!$B$11) * IF(X102, 1, Constants!$B$12),"")</f>
        <v/>
      </c>
      <c r="AH102" s="96" t="str">
        <f aca="false">IF(AND($AE102=Constants!$B$7, T102, U102) ,MAX(0, $AA102-$Y102),"")</f>
        <v/>
      </c>
      <c r="AI102" s="96" t="str">
        <f aca="false">IF(ISERROR(AH102),$AI$6,"")</f>
        <v/>
      </c>
      <c r="AJ102" s="96" t="str">
        <f aca="false">IF($AE102=Constants!$B$7,IF(AND(T102,U102,W102),IF($AH$6=0,Constants!$B$9,Constants!$B$9*AH102/$AH$6), 0),"")</f>
        <v/>
      </c>
      <c r="AK102" s="96" t="str">
        <f aca="false">IF(AJ102&lt;&gt;"", AJ102*AG102,"")</f>
        <v/>
      </c>
      <c r="AL102" s="96" t="str">
        <f aca="false">IF(AND($AE102=Constants!$B$7, T102, U102) ,IF($Z102="", "", MAX(0,1-ABS($AA102-$Z102)/$AA102)),"")</f>
        <v/>
      </c>
      <c r="AM102" s="96" t="str">
        <f aca="false">IF(AND(NOT(ISERROR(AH102)),ISERROR(AL102)),$AM$6,"")</f>
        <v/>
      </c>
      <c r="AN102" s="96" t="str">
        <f aca="false">IF($AE102=Constants!$B$7 ,IF(AND(T102,U102,W102,ISNUMBER(Z102)),IF($AL$6=0,Constants!$B$10,Constants!$B$10*AL102/$AL$6), 0),"")</f>
        <v/>
      </c>
      <c r="AO102" s="96" t="str">
        <f aca="false">IF(AN102&lt;&gt;"", AN102*AG102,"")</f>
        <v/>
      </c>
      <c r="AP102" s="96" t="str">
        <f aca="false">IF($AE102=Constants!$B$7,IF($AP$6=0,Constants!$B$8,Constants!$B$8*AB102/$AP$6),"")</f>
        <v/>
      </c>
      <c r="AQ102" s="96" t="str">
        <f aca="false">IF($AE102&lt;&gt;Constants!$B$7,$AE102,AK102+AO102+AP102)</f>
        <v/>
      </c>
      <c r="AR102" s="96" t="str">
        <f aca="false">IF(ISBLANK($C102),"",IF($AE102=Constants!$B$7,RANK(AQ102,$AQ$8:$AQ$507),$AE102))</f>
        <v/>
      </c>
      <c r="AS102" s="96" t="str">
        <f aca="false">IF(ISBLANK($C102), "",AK102)</f>
        <v/>
      </c>
      <c r="AT102" s="96" t="str">
        <f aca="false">IF(ISBLANK($C102),"",IF($AE102=Constants!$B$7,RANK(AS102,AS$8:AS$507),$AE102))</f>
        <v/>
      </c>
      <c r="AU102" s="96" t="str">
        <f aca="false">IF(ISBLANK($C102), "",AP102)</f>
        <v/>
      </c>
      <c r="AV102" s="96" t="str">
        <f aca="false">IF(ISBLANK($C102),"",IF($AE102=Constants!$B$7,RANK(AU102,AU$8:AU$507),$AE102))</f>
        <v/>
      </c>
      <c r="AW102" s="96" t="str">
        <f aca="false">IF(ISBLANK($C102), "",AC102)</f>
        <v/>
      </c>
      <c r="AX102" s="96" t="str">
        <f aca="false">IF(ISBLANK($C102),"",
IF($AE102=Constants!$B$7,
  COUNTIFS($AR$8:$AR$507,"&lt;"&amp;$AR102)
  + COUNTIFS($AR$8:$AR$507,$AR102,$AT$8:$AT$507,"&lt;"&amp;$AT102)
  + COUNTIFS($AR$8:$AR$507,$AR102,$AT$8:$AT$507,$AT102,$AV$8:$AV$507,"&lt;"&amp;$AV102)
  + COUNTIFS($AR$8:$AR$507,$AR102,$AT$8:$AT$507,$AT102,$AV$8:$AV$507,$AV102,$AW$8:$AW$507,"&lt;"&amp;$AW102)
  + 1,
$AE102))</f>
        <v/>
      </c>
      <c r="AY102" s="96" t="str">
        <f aca="false">IF(ISBLANK(C102),"",IF($AE102=Constants!$B$7, AR102-AX102,$AE102))</f>
        <v/>
      </c>
      <c r="AZ102" s="100"/>
      <c r="BA102" s="101" t="str">
        <f aca="false">IF(ISBLANK($C102),"",TRIM(AI102&amp;" "&amp;AM102))</f>
        <v/>
      </c>
      <c r="BB102" s="102" t="str">
        <f aca="false">IF(ISBLANK($C102),"",IF($AE102&lt;&gt;Constants!$B$7, $AE102 ,AQ102))</f>
        <v/>
      </c>
      <c r="BC102" s="103" t="str">
        <f aca="false">IF(ISBLANK($C102),"",IF($AE102&lt;&gt;Constants!$B$7, $AE102 ,AF102))</f>
        <v/>
      </c>
      <c r="BD102" s="104" t="str">
        <f aca="false">IF(ISBLANK(C102),"",AY102)</f>
        <v/>
      </c>
      <c r="BE102" s="104" t="str">
        <f aca="false">IF(ISBLANK(C102),"",AX102)</f>
        <v/>
      </c>
      <c r="BF102" s="105" t="str">
        <f aca="false">IF(ISBLANK(C102),"",IFERROR(_xlfn.SWITCH(BE102, Constants!$B$4, COUNTA($C$8:$C601)+2, Constants!$B$5, COUNTA($C$8:$C601)+1, Constants!$B$6, COUNTA($C$8:$C601)),BE102))</f>
        <v/>
      </c>
      <c r="BG102" s="5"/>
      <c r="BH102" s="106" t="n">
        <f aca="false">IF(OR(ISNUMBER(BE102),BE102="DQ",BE102="P",BE102="NS"),
    1,
    0
)</f>
        <v>0</v>
      </c>
      <c r="BI102" s="106" t="n">
        <v>95</v>
      </c>
      <c r="BJ102" s="106" t="str">
        <f aca="false">IF(ISBLANK($C102),
    "",
   BF102+ROW($B102)/1000
)</f>
        <v/>
      </c>
      <c r="BK102" s="106" t="str">
        <f aca="false">IF(ISNUMBER(BJ102), RANK(BJ102,BJ$8:BJ$507,1), "")</f>
        <v/>
      </c>
      <c r="BL102" s="106" t="str">
        <f aca="false">IF(ISBLANK($C102),
    "",
    $B102
)</f>
        <v/>
      </c>
      <c r="BM102" s="106" t="str">
        <f aca="false">IF(ISBLANK($C102),
    "",
    $C102
)</f>
        <v/>
      </c>
      <c r="BN102" s="106" t="str">
        <f aca="false">IF(ISBLANK($C102),
    "",
    $D102
)</f>
        <v/>
      </c>
      <c r="BO102" s="107" t="str">
        <f aca="false">BC102</f>
        <v/>
      </c>
      <c r="BP102" s="108" t="str">
        <f aca="false">BB102</f>
        <v/>
      </c>
      <c r="BQ102" s="106" t="str">
        <f aca="false">IF(ISBLANK($C102),
    "",
    BE102
)</f>
        <v/>
      </c>
      <c r="BR102" s="109" t="str">
        <f aca="false">IF(BI102&gt;BH$7,
    "",
    VLOOKUP(BI102,BK$8:BQ601,7,FALSE())
)</f>
        <v/>
      </c>
      <c r="BS102" s="110" t="str">
        <f aca="false">IF(BI102&gt;BH$7,
    "",
    VLOOKUP(BI102,BK$8:BQ601,2,FALSE())
)</f>
        <v/>
      </c>
      <c r="BT102" s="110" t="str">
        <f aca="false">IF(BI102&gt;BH$7,
    "",
    VLOOKUP(BI102,BK$8:BQ601,3,FALSE())
)</f>
        <v/>
      </c>
      <c r="BU102" s="110" t="str">
        <f aca="false">IF(BI102&gt;BH$7,
    "",
    VLOOKUP(BI102,BK$8:BQ601,4,FALSE())
)</f>
        <v/>
      </c>
      <c r="BV102" s="110" t="str">
        <f aca="false">IF(BI102&gt;BH$7,
    "",
    VLOOKUP(BI102,BK$8:BQ601,5,FALSE())
)</f>
        <v/>
      </c>
      <c r="BW102" s="111" t="str">
        <f aca="false">IF(BI102&gt;BH$7,
    "",
    VLOOKUP(BI102,BK$8:BQ601,6,FALSE())
)</f>
        <v/>
      </c>
      <c r="BX102" s="50"/>
    </row>
    <row r="103" customFormat="false" ht="15.75" hidden="false" customHeight="false" outlineLevel="0" collapsed="false">
      <c r="A103" s="5"/>
      <c r="B103" s="122"/>
      <c r="C103" s="123"/>
      <c r="D103" s="112"/>
      <c r="E103" s="116"/>
      <c r="F103" s="116"/>
      <c r="G103" s="88"/>
      <c r="H103" s="89"/>
      <c r="I103" s="125"/>
      <c r="J103" s="125"/>
      <c r="K103" s="125"/>
      <c r="L103" s="91"/>
      <c r="M103" s="91"/>
      <c r="N103" s="91"/>
      <c r="O103" s="92"/>
      <c r="P103" s="93"/>
      <c r="Q103" s="125"/>
      <c r="R103" s="95"/>
      <c r="S103" s="96"/>
      <c r="T103" s="96" t="str">
        <f aca="false">IF(ISBLANK($C103),"",IF(G103=Constants!$B$2, TRUE(), IF(G103=Constants!$B$3, FALSE(), TRUE())))</f>
        <v/>
      </c>
      <c r="U103" s="96" t="str">
        <f aca="false">IF(ISBLANK($C103),"",IF(H103=Constants!$B$2, TRUE(), IF(H103=Constants!$B$3, FALSE(), TRUE())))</f>
        <v/>
      </c>
      <c r="V103" s="96" t="str">
        <f aca="false">IF(ISBLANK($C103),"",IF(I103=Constants!$B$2, TRUE(), IF(I103=Constants!$B$3, FALSE(), TRUE())))</f>
        <v/>
      </c>
      <c r="W103" s="96" t="str">
        <f aca="false">IF(ISBLANK($C103),"",IF(J103=Constants!$B$2, TRUE(), IF(J103=Constants!$B$3, FALSE(), TRUE())))</f>
        <v/>
      </c>
      <c r="X103" s="97" t="str">
        <f aca="false">IF(ISBLANK($C103),"",IF(K103=Constants!$B$2, TRUE(), IF(K103=Constants!$B$3, FALSE(), TRUE())))</f>
        <v/>
      </c>
      <c r="Y103" s="98" t="str">
        <f aca="false">IF(ISBLANK($C103),"",IF(ISNUMBER(L103), L103, ""))</f>
        <v/>
      </c>
      <c r="Z103" s="98" t="str">
        <f aca="false">IF(ISBLANK($C103),"",IF(ISNUMBER(M103), M103, ""))</f>
        <v/>
      </c>
      <c r="AA103" s="98" t="str">
        <f aca="false">IF(ISBLANK($C103),"",IF(ISNUMBER(N103), N103, ""))</f>
        <v/>
      </c>
      <c r="AB103" s="99" t="str">
        <f aca="false">IF(ISBLANK($C103),"",IF(ISNUMBER(O103), O103, ""))</f>
        <v/>
      </c>
      <c r="AC103" s="99" t="str">
        <f aca="false">IF(ISBLANK($C103),"",IF(ISNUMBER(P103), P103, Constants!$B$13))</f>
        <v/>
      </c>
      <c r="AD103" s="96" t="str">
        <f aca="false">IF(ISBLANK($C103),"",IF(Q103=Constants!$B$2, TRUE(), IF(Q103=Constants!$B$3, FALSE(), FALSE())))</f>
        <v/>
      </c>
      <c r="AE103" s="96" t="str">
        <f aca="false">IF(ISBLANK(C103), "", IF(AD103, Constants!$B$4,IF(COUNTA(G103:O103)=0, Constants!$B$5, Constants!$B$7)))</f>
        <v/>
      </c>
      <c r="AF103" s="96" t="str">
        <f aca="false">IF(ISBLANK($C103), "",IF($AE103=Constants!$B$7,1,$AE103))</f>
        <v/>
      </c>
      <c r="AG103" s="96" t="str">
        <f aca="false">IF($AE103=Constants!$B$7,IF(V103, 1, Constants!$B$11) * IF(X103, 1, Constants!$B$12),"")</f>
        <v/>
      </c>
      <c r="AH103" s="96" t="str">
        <f aca="false">IF(AND($AE103=Constants!$B$7, T103, U103) ,MAX(0, $AA103-$Y103),"")</f>
        <v/>
      </c>
      <c r="AI103" s="96" t="str">
        <f aca="false">IF(ISERROR(AH103),$AI$6,"")</f>
        <v/>
      </c>
      <c r="AJ103" s="96" t="str">
        <f aca="false">IF($AE103=Constants!$B$7,IF(AND(T103,U103,W103),IF($AH$6=0,Constants!$B$9,Constants!$B$9*AH103/$AH$6), 0),"")</f>
        <v/>
      </c>
      <c r="AK103" s="96" t="str">
        <f aca="false">IF(AJ103&lt;&gt;"", AJ103*AG103,"")</f>
        <v/>
      </c>
      <c r="AL103" s="96" t="str">
        <f aca="false">IF(AND($AE103=Constants!$B$7, T103, U103) ,IF($Z103="", "", MAX(0,1-ABS($AA103-$Z103)/$AA103)),"")</f>
        <v/>
      </c>
      <c r="AM103" s="96" t="str">
        <f aca="false">IF(AND(NOT(ISERROR(AH103)),ISERROR(AL103)),$AM$6,"")</f>
        <v/>
      </c>
      <c r="AN103" s="96" t="str">
        <f aca="false">IF($AE103=Constants!$B$7 ,IF(AND(T103,U103,W103,ISNUMBER(Z103)),IF($AL$6=0,Constants!$B$10,Constants!$B$10*AL103/$AL$6), 0),"")</f>
        <v/>
      </c>
      <c r="AO103" s="96" t="str">
        <f aca="false">IF(AN103&lt;&gt;"", AN103*AG103,"")</f>
        <v/>
      </c>
      <c r="AP103" s="96" t="str">
        <f aca="false">IF($AE103=Constants!$B$7,IF($AP$6=0,Constants!$B$8,Constants!$B$8*AB103/$AP$6),"")</f>
        <v/>
      </c>
      <c r="AQ103" s="96" t="str">
        <f aca="false">IF($AE103&lt;&gt;Constants!$B$7,$AE103,AK103+AO103+AP103)</f>
        <v/>
      </c>
      <c r="AR103" s="96" t="str">
        <f aca="false">IF(ISBLANK($C103),"",IF($AE103=Constants!$B$7,RANK(AQ103,$AQ$8:$AQ$507),$AE103))</f>
        <v/>
      </c>
      <c r="AS103" s="96" t="str">
        <f aca="false">IF(ISBLANK($C103), "",AK103)</f>
        <v/>
      </c>
      <c r="AT103" s="96" t="str">
        <f aca="false">IF(ISBLANK($C103),"",IF($AE103=Constants!$B$7,RANK(AS103,AS$8:AS$507),$AE103))</f>
        <v/>
      </c>
      <c r="AU103" s="96" t="str">
        <f aca="false">IF(ISBLANK($C103), "",AP103)</f>
        <v/>
      </c>
      <c r="AV103" s="96" t="str">
        <f aca="false">IF(ISBLANK($C103),"",IF($AE103=Constants!$B$7,RANK(AU103,AU$8:AU$507),$AE103))</f>
        <v/>
      </c>
      <c r="AW103" s="96" t="str">
        <f aca="false">IF(ISBLANK($C103), "",AC103)</f>
        <v/>
      </c>
      <c r="AX103" s="96" t="str">
        <f aca="false">IF(ISBLANK($C103),"",
IF($AE103=Constants!$B$7,
  COUNTIFS($AR$8:$AR$507,"&lt;"&amp;$AR103)
  + COUNTIFS($AR$8:$AR$507,$AR103,$AT$8:$AT$507,"&lt;"&amp;$AT103)
  + COUNTIFS($AR$8:$AR$507,$AR103,$AT$8:$AT$507,$AT103,$AV$8:$AV$507,"&lt;"&amp;$AV103)
  + COUNTIFS($AR$8:$AR$507,$AR103,$AT$8:$AT$507,$AT103,$AV$8:$AV$507,$AV103,$AW$8:$AW$507,"&lt;"&amp;$AW103)
  + 1,
$AE103))</f>
        <v/>
      </c>
      <c r="AY103" s="96" t="str">
        <f aca="false">IF(ISBLANK(C103),"",IF($AE103=Constants!$B$7, AR103-AX103,$AE103))</f>
        <v/>
      </c>
      <c r="AZ103" s="100"/>
      <c r="BA103" s="101" t="str">
        <f aca="false">IF(ISBLANK($C103),"",TRIM(AI103&amp;" "&amp;AM103))</f>
        <v/>
      </c>
      <c r="BB103" s="102" t="str">
        <f aca="false">IF(ISBLANK($C103),"",IF($AE103&lt;&gt;Constants!$B$7, $AE103 ,AQ103))</f>
        <v/>
      </c>
      <c r="BC103" s="103" t="str">
        <f aca="false">IF(ISBLANK($C103),"",IF($AE103&lt;&gt;Constants!$B$7, $AE103 ,AF103))</f>
        <v/>
      </c>
      <c r="BD103" s="104" t="str">
        <f aca="false">IF(ISBLANK(C103),"",AY103)</f>
        <v/>
      </c>
      <c r="BE103" s="104" t="str">
        <f aca="false">IF(ISBLANK(C103),"",AX103)</f>
        <v/>
      </c>
      <c r="BF103" s="105" t="str">
        <f aca="false">IF(ISBLANK(C103),"",IFERROR(_xlfn.SWITCH(BE103, Constants!$B$4, COUNTA($C$8:$C602)+2, Constants!$B$5, COUNTA($C$8:$C602)+1, Constants!$B$6, COUNTA($C$8:$C602)),BE103))</f>
        <v/>
      </c>
      <c r="BG103" s="5"/>
      <c r="BH103" s="106" t="n">
        <f aca="false">IF(OR(ISNUMBER(BE103),BE103="DQ",BE103="P",BE103="NS"),
    1,
    0
)</f>
        <v>0</v>
      </c>
      <c r="BI103" s="106" t="n">
        <v>96</v>
      </c>
      <c r="BJ103" s="106" t="str">
        <f aca="false">IF(ISBLANK($C103),
    "",
   BF103+ROW($B103)/1000
)</f>
        <v/>
      </c>
      <c r="BK103" s="106" t="str">
        <f aca="false">IF(ISNUMBER(BJ103), RANK(BJ103,BJ$8:BJ$507,1), "")</f>
        <v/>
      </c>
      <c r="BL103" s="106" t="str">
        <f aca="false">IF(ISBLANK($C103),
    "",
    $B103
)</f>
        <v/>
      </c>
      <c r="BM103" s="106" t="str">
        <f aca="false">IF(ISBLANK($C103),
    "",
    $C103
)</f>
        <v/>
      </c>
      <c r="BN103" s="106" t="str">
        <f aca="false">IF(ISBLANK($C103),
    "",
    $D103
)</f>
        <v/>
      </c>
      <c r="BO103" s="107" t="str">
        <f aca="false">BC103</f>
        <v/>
      </c>
      <c r="BP103" s="108" t="str">
        <f aca="false">BB103</f>
        <v/>
      </c>
      <c r="BQ103" s="106" t="str">
        <f aca="false">IF(ISBLANK($C103),
    "",
    BE103
)</f>
        <v/>
      </c>
      <c r="BR103" s="109" t="str">
        <f aca="false">IF(BI103&gt;BH$7,
    "",
    VLOOKUP(BI103,BK$8:BQ602,7,FALSE())
)</f>
        <v/>
      </c>
      <c r="BS103" s="110" t="str">
        <f aca="false">IF(BI103&gt;BH$7,
    "",
    VLOOKUP(BI103,BK$8:BQ602,2,FALSE())
)</f>
        <v/>
      </c>
      <c r="BT103" s="110" t="str">
        <f aca="false">IF(BI103&gt;BH$7,
    "",
    VLOOKUP(BI103,BK$8:BQ602,3,FALSE())
)</f>
        <v/>
      </c>
      <c r="BU103" s="110" t="str">
        <f aca="false">IF(BI103&gt;BH$7,
    "",
    VLOOKUP(BI103,BK$8:BQ602,4,FALSE())
)</f>
        <v/>
      </c>
      <c r="BV103" s="110" t="str">
        <f aca="false">IF(BI103&gt;BH$7,
    "",
    VLOOKUP(BI103,BK$8:BQ602,5,FALSE())
)</f>
        <v/>
      </c>
      <c r="BW103" s="111" t="str">
        <f aca="false">IF(BI103&gt;BH$7,
    "",
    VLOOKUP(BI103,BK$8:BQ602,6,FALSE())
)</f>
        <v/>
      </c>
      <c r="BX103" s="50"/>
    </row>
    <row r="104" customFormat="false" ht="15.75" hidden="false" customHeight="false" outlineLevel="0" collapsed="false">
      <c r="A104" s="5"/>
      <c r="B104" s="126"/>
      <c r="C104" s="52"/>
      <c r="D104" s="53"/>
      <c r="E104" s="120"/>
      <c r="F104" s="120"/>
      <c r="G104" s="55"/>
      <c r="H104" s="56"/>
      <c r="I104" s="80"/>
      <c r="J104" s="80"/>
      <c r="K104" s="80"/>
      <c r="L104" s="58"/>
      <c r="M104" s="58"/>
      <c r="N104" s="58"/>
      <c r="O104" s="59"/>
      <c r="P104" s="60"/>
      <c r="Q104" s="80"/>
      <c r="R104" s="62"/>
      <c r="S104" s="63"/>
      <c r="T104" s="63" t="str">
        <f aca="false">IF(ISBLANK($C104),"",IF(G104=Constants!$B$2, TRUE(), IF(G104=Constants!$B$3, FALSE(), TRUE())))</f>
        <v/>
      </c>
      <c r="U104" s="63" t="str">
        <f aca="false">IF(ISBLANK($C104),"",IF(H104=Constants!$B$2, TRUE(), IF(H104=Constants!$B$3, FALSE(), TRUE())))</f>
        <v/>
      </c>
      <c r="V104" s="63" t="str">
        <f aca="false">IF(ISBLANK($C104),"",IF(I104=Constants!$B$2, TRUE(), IF(I104=Constants!$B$3, FALSE(), TRUE())))</f>
        <v/>
      </c>
      <c r="W104" s="63" t="str">
        <f aca="false">IF(ISBLANK($C104),"",IF(J104=Constants!$B$2, TRUE(), IF(J104=Constants!$B$3, FALSE(), TRUE())))</f>
        <v/>
      </c>
      <c r="X104" s="63" t="str">
        <f aca="false">IF(ISBLANK($C104),"",IF(K104=Constants!$B$2, TRUE(), IF(K104=Constants!$B$3, FALSE(), TRUE())))</f>
        <v/>
      </c>
      <c r="Y104" s="65" t="str">
        <f aca="false">IF(ISBLANK($C104),"",IF(ISNUMBER(L104), L104, ""))</f>
        <v/>
      </c>
      <c r="Z104" s="65" t="str">
        <f aca="false">IF(ISBLANK($C104),"",IF(ISNUMBER(M104), M104, ""))</f>
        <v/>
      </c>
      <c r="AA104" s="65" t="str">
        <f aca="false">IF(ISBLANK($C104),"",IF(ISNUMBER(N104), N104, ""))</f>
        <v/>
      </c>
      <c r="AB104" s="66" t="str">
        <f aca="false">IF(ISBLANK($C104),"",IF(ISNUMBER(O104), O104, ""))</f>
        <v/>
      </c>
      <c r="AC104" s="66" t="str">
        <f aca="false">IF(ISBLANK($C104),"",IF(ISNUMBER(P104), P104, Constants!$B$13))</f>
        <v/>
      </c>
      <c r="AD104" s="63" t="str">
        <f aca="false">IF(ISBLANK($C104),"",IF(Q104=Constants!$B$2, TRUE(), IF(Q104=Constants!$B$3, FALSE(), FALSE())))</f>
        <v/>
      </c>
      <c r="AE104" s="63" t="str">
        <f aca="false">IF(ISBLANK(C104), "", IF(AD104, Constants!$B$4,IF(COUNTA(G104:O104)=0, Constants!$B$5, Constants!$B$7)))</f>
        <v/>
      </c>
      <c r="AF104" s="63" t="str">
        <f aca="false">IF(ISBLANK($C104), "",IF($AE104=Constants!$B$7,1,$AE104))</f>
        <v/>
      </c>
      <c r="AG104" s="63" t="str">
        <f aca="false">IF($AE104=Constants!$B$7,IF(V104, 1, Constants!$B$11) * IF(X104, 1, Constants!$B$12),"")</f>
        <v/>
      </c>
      <c r="AH104" s="63" t="str">
        <f aca="false">IF(AND($AE104=Constants!$B$7, T104, U104) ,MAX(0, $AA104-$Y104),"")</f>
        <v/>
      </c>
      <c r="AI104" s="63" t="str">
        <f aca="false">IF(ISERROR(AH104),$AI$6,"")</f>
        <v/>
      </c>
      <c r="AJ104" s="63" t="str">
        <f aca="false">IF($AE104=Constants!$B$7,IF(AND(T104,U104,W104),IF($AH$6=0,Constants!$B$9,Constants!$B$9*AH104/$AH$6), 0),"")</f>
        <v/>
      </c>
      <c r="AK104" s="63" t="str">
        <f aca="false">IF(AJ104&lt;&gt;"", AJ104*AG104,"")</f>
        <v/>
      </c>
      <c r="AL104" s="63" t="str">
        <f aca="false">IF(AND($AE104=Constants!$B$7, T104, U104) ,IF($Z104="", "", MAX(0,1-ABS($AA104-$Z104)/$AA104)),"")</f>
        <v/>
      </c>
      <c r="AM104" s="63" t="str">
        <f aca="false">IF(AND(NOT(ISERROR(AH104)),ISERROR(AL104)),$AM$6,"")</f>
        <v/>
      </c>
      <c r="AN104" s="63" t="str">
        <f aca="false">IF($AE104=Constants!$B$7 ,IF(AND(T104,U104,W104,ISNUMBER(Z104)),IF($AL$6=0,Constants!$B$10,Constants!$B$10*AL104/$AL$6), 0),"")</f>
        <v/>
      </c>
      <c r="AO104" s="63" t="str">
        <f aca="false">IF(AN104&lt;&gt;"", AN104*AG104,"")</f>
        <v/>
      </c>
      <c r="AP104" s="63" t="str">
        <f aca="false">IF($AE104=Constants!$B$7,IF($AP$6=0,Constants!$B$8,Constants!$B$8*AB104/$AP$6),"")</f>
        <v/>
      </c>
      <c r="AQ104" s="63" t="str">
        <f aca="false">IF($AE104&lt;&gt;Constants!$B$7,$AE104,AK104+AO104+AP104)</f>
        <v/>
      </c>
      <c r="AR104" s="63" t="str">
        <f aca="false">IF(ISBLANK($C104),"",IF($AE104=Constants!$B$7,RANK(AQ104,$AQ$8:$AQ$507),$AE104))</f>
        <v/>
      </c>
      <c r="AS104" s="63" t="str">
        <f aca="false">IF(ISBLANK($C104), "",AK104)</f>
        <v/>
      </c>
      <c r="AT104" s="63" t="str">
        <f aca="false">IF(ISBLANK($C104),"",IF($AE104=Constants!$B$7,RANK(AS104,AS$8:AS$507),$AE104))</f>
        <v/>
      </c>
      <c r="AU104" s="63" t="str">
        <f aca="false">IF(ISBLANK($C104), "",AP104)</f>
        <v/>
      </c>
      <c r="AV104" s="63" t="str">
        <f aca="false">IF(ISBLANK($C104),"",IF($AE104=Constants!$B$7,RANK(AU104,AU$8:AU$507),$AE104))</f>
        <v/>
      </c>
      <c r="AW104" s="63" t="str">
        <f aca="false">IF(ISBLANK($C104), "",AC104)</f>
        <v/>
      </c>
      <c r="AX104" s="63" t="str">
        <f aca="false">IF(ISBLANK($C104),"",
IF($AE104=Constants!$B$7,
  COUNTIFS($AR$8:$AR$507,"&lt;"&amp;$AR104)
  + COUNTIFS($AR$8:$AR$507,$AR104,$AT$8:$AT$507,"&lt;"&amp;$AT104)
  + COUNTIFS($AR$8:$AR$507,$AR104,$AT$8:$AT$507,$AT104,$AV$8:$AV$507,"&lt;"&amp;$AV104)
  + COUNTIFS($AR$8:$AR$507,$AR104,$AT$8:$AT$507,$AT104,$AV$8:$AV$507,$AV104,$AW$8:$AW$507,"&lt;"&amp;$AW104)
  + 1,
$AE104))</f>
        <v/>
      </c>
      <c r="AY104" s="63" t="str">
        <f aca="false">IF(ISBLANK(C104),"",IF($AE104=Constants!$B$7, AR104-AX104,$AE104))</f>
        <v/>
      </c>
      <c r="AZ104" s="67"/>
      <c r="BA104" s="81" t="str">
        <f aca="false">IF(ISBLANK($C104),"",TRIM(AI104&amp;" "&amp;AM104))</f>
        <v/>
      </c>
      <c r="BB104" s="69" t="str">
        <f aca="false">IF(ISBLANK($C104),"",IF($AE104&lt;&gt;Constants!$B$7, $AE104 ,AQ104))</f>
        <v/>
      </c>
      <c r="BC104" s="70" t="str">
        <f aca="false">IF(ISBLANK($C104),"",IF($AE104&lt;&gt;Constants!$B$7, $AE104 ,AF104))</f>
        <v/>
      </c>
      <c r="BD104" s="71" t="str">
        <f aca="false">IF(ISBLANK(C104),"",AY104)</f>
        <v/>
      </c>
      <c r="BE104" s="71" t="str">
        <f aca="false">IF(ISBLANK(C104),"",AX104)</f>
        <v/>
      </c>
      <c r="BF104" s="72" t="str">
        <f aca="false">IF(ISBLANK(C104),"",IFERROR(_xlfn.SWITCH(BE104, Constants!$B$4, COUNTA($C$8:$C603)+2, Constants!$B$5, COUNTA($C$8:$C603)+1, Constants!$B$6, COUNTA($C$8:$C603)),BE104))</f>
        <v/>
      </c>
      <c r="BG104" s="5"/>
      <c r="BH104" s="73" t="n">
        <f aca="false">IF(OR(ISNUMBER(BE104),BE104="DQ",BE104="P",BE104="NS"),
    1,
    0
)</f>
        <v>0</v>
      </c>
      <c r="BI104" s="73" t="n">
        <v>97</v>
      </c>
      <c r="BJ104" s="73" t="str">
        <f aca="false">IF(ISBLANK($C104),
    "",
   BF104+ROW($B104)/1000
)</f>
        <v/>
      </c>
      <c r="BK104" s="73" t="str">
        <f aca="false">IF(ISNUMBER(BJ104), RANK(BJ104,BJ$8:BJ$507,1), "")</f>
        <v/>
      </c>
      <c r="BL104" s="73" t="str">
        <f aca="false">IF(ISBLANK($C104),
    "",
    $B104
)</f>
        <v/>
      </c>
      <c r="BM104" s="73" t="str">
        <f aca="false">IF(ISBLANK($C104),
    "",
    $C104
)</f>
        <v/>
      </c>
      <c r="BN104" s="73" t="str">
        <f aca="false">IF(ISBLANK($C104),
    "",
    $D104
)</f>
        <v/>
      </c>
      <c r="BO104" s="74" t="str">
        <f aca="false">BC104</f>
        <v/>
      </c>
      <c r="BP104" s="75" t="str">
        <f aca="false">BB104</f>
        <v/>
      </c>
      <c r="BQ104" s="73" t="str">
        <f aca="false">IF(ISBLANK($C104),
    "",
    BE104
)</f>
        <v/>
      </c>
      <c r="BR104" s="76" t="str">
        <f aca="false">IF(BI104&gt;BH$7,
    "",
    VLOOKUP(BI104,BK$8:BQ603,7,FALSE())
)</f>
        <v/>
      </c>
      <c r="BS104" s="77" t="str">
        <f aca="false">IF(BI104&gt;BH$7,
    "",
    VLOOKUP(BI104,BK$8:BQ603,2,FALSE())
)</f>
        <v/>
      </c>
      <c r="BT104" s="77" t="str">
        <f aca="false">IF(BI104&gt;BH$7,
    "",
    VLOOKUP(BI104,BK$8:BQ603,3,FALSE())
)</f>
        <v/>
      </c>
      <c r="BU104" s="77" t="str">
        <f aca="false">IF(BI104&gt;BH$7,
    "",
    VLOOKUP(BI104,BK$8:BQ603,4,FALSE())
)</f>
        <v/>
      </c>
      <c r="BV104" s="77" t="str">
        <f aca="false">IF(BI104&gt;BH$7,
    "",
    VLOOKUP(BI104,BK$8:BQ603,5,FALSE())
)</f>
        <v/>
      </c>
      <c r="BW104" s="78" t="str">
        <f aca="false">IF(BI104&gt;BH$7,
    "",
    VLOOKUP(BI104,BK$8:BQ603,6,FALSE())
)</f>
        <v/>
      </c>
      <c r="BX104" s="50"/>
    </row>
    <row r="105" customFormat="false" ht="15.75" hidden="false" customHeight="false" outlineLevel="0" collapsed="false">
      <c r="A105" s="5"/>
      <c r="B105" s="126"/>
      <c r="C105" s="52"/>
      <c r="D105" s="53"/>
      <c r="E105" s="120"/>
      <c r="F105" s="120"/>
      <c r="G105" s="55"/>
      <c r="H105" s="56"/>
      <c r="I105" s="80"/>
      <c r="J105" s="80"/>
      <c r="K105" s="80"/>
      <c r="L105" s="58"/>
      <c r="M105" s="58"/>
      <c r="N105" s="58"/>
      <c r="O105" s="59"/>
      <c r="P105" s="60"/>
      <c r="Q105" s="80"/>
      <c r="R105" s="62"/>
      <c r="S105" s="63"/>
      <c r="T105" s="63" t="str">
        <f aca="false">IF(ISBLANK($C105),"",IF(G105=Constants!$B$2, TRUE(), IF(G105=Constants!$B$3, FALSE(), TRUE())))</f>
        <v/>
      </c>
      <c r="U105" s="63" t="str">
        <f aca="false">IF(ISBLANK($C105),"",IF(H105=Constants!$B$2, TRUE(), IF(H105=Constants!$B$3, FALSE(), TRUE())))</f>
        <v/>
      </c>
      <c r="V105" s="63" t="str">
        <f aca="false">IF(ISBLANK($C105),"",IF(I105=Constants!$B$2, TRUE(), IF(I105=Constants!$B$3, FALSE(), TRUE())))</f>
        <v/>
      </c>
      <c r="W105" s="63" t="str">
        <f aca="false">IF(ISBLANK($C105),"",IF(J105=Constants!$B$2, TRUE(), IF(J105=Constants!$B$3, FALSE(), TRUE())))</f>
        <v/>
      </c>
      <c r="X105" s="63" t="str">
        <f aca="false">IF(ISBLANK($C105),"",IF(K105=Constants!$B$2, TRUE(), IF(K105=Constants!$B$3, FALSE(), TRUE())))</f>
        <v/>
      </c>
      <c r="Y105" s="65" t="str">
        <f aca="false">IF(ISBLANK($C105),"",IF(ISNUMBER(L105), L105, ""))</f>
        <v/>
      </c>
      <c r="Z105" s="65" t="str">
        <f aca="false">IF(ISBLANK($C105),"",IF(ISNUMBER(M105), M105, ""))</f>
        <v/>
      </c>
      <c r="AA105" s="65" t="str">
        <f aca="false">IF(ISBLANK($C105),"",IF(ISNUMBER(N105), N105, ""))</f>
        <v/>
      </c>
      <c r="AB105" s="66" t="str">
        <f aca="false">IF(ISBLANK($C105),"",IF(ISNUMBER(O105), O105, ""))</f>
        <v/>
      </c>
      <c r="AC105" s="66" t="str">
        <f aca="false">IF(ISBLANK($C105),"",IF(ISNUMBER(P105), P105, Constants!$B$13))</f>
        <v/>
      </c>
      <c r="AD105" s="63" t="str">
        <f aca="false">IF(ISBLANK($C105),"",IF(Q105=Constants!$B$2, TRUE(), IF(Q105=Constants!$B$3, FALSE(), FALSE())))</f>
        <v/>
      </c>
      <c r="AE105" s="63" t="str">
        <f aca="false">IF(ISBLANK(C105), "", IF(AD105, Constants!$B$4,IF(COUNTA(G105:O105)=0, Constants!$B$5, Constants!$B$7)))</f>
        <v/>
      </c>
      <c r="AF105" s="63" t="str">
        <f aca="false">IF(ISBLANK($C105), "",IF($AE105=Constants!$B$7,1,$AE105))</f>
        <v/>
      </c>
      <c r="AG105" s="63" t="str">
        <f aca="false">IF($AE105=Constants!$B$7,IF(V105, 1, Constants!$B$11) * IF(X105, 1, Constants!$B$12),"")</f>
        <v/>
      </c>
      <c r="AH105" s="63" t="str">
        <f aca="false">IF(AND($AE105=Constants!$B$7, T105, U105) ,MAX(0, $AA105-$Y105),"")</f>
        <v/>
      </c>
      <c r="AI105" s="63" t="str">
        <f aca="false">IF(ISERROR(AH105),$AI$6,"")</f>
        <v/>
      </c>
      <c r="AJ105" s="63" t="str">
        <f aca="false">IF($AE105=Constants!$B$7,IF(AND(T105,U105,W105),IF($AH$6=0,Constants!$B$9,Constants!$B$9*AH105/$AH$6), 0),"")</f>
        <v/>
      </c>
      <c r="AK105" s="63" t="str">
        <f aca="false">IF(AJ105&lt;&gt;"", AJ105*AG105,"")</f>
        <v/>
      </c>
      <c r="AL105" s="63" t="str">
        <f aca="false">IF(AND($AE105=Constants!$B$7, T105, U105) ,IF($Z105="", "", MAX(0,1-ABS($AA105-$Z105)/$AA105)),"")</f>
        <v/>
      </c>
      <c r="AM105" s="63" t="str">
        <f aca="false">IF(AND(NOT(ISERROR(AH105)),ISERROR(AL105)),$AM$6,"")</f>
        <v/>
      </c>
      <c r="AN105" s="63" t="str">
        <f aca="false">IF($AE105=Constants!$B$7 ,IF(AND(T105,U105,W105,ISNUMBER(Z105)),IF($AL$6=0,Constants!$B$10,Constants!$B$10*AL105/$AL$6), 0),"")</f>
        <v/>
      </c>
      <c r="AO105" s="63" t="str">
        <f aca="false">IF(AN105&lt;&gt;"", AN105*AG105,"")</f>
        <v/>
      </c>
      <c r="AP105" s="63" t="str">
        <f aca="false">IF($AE105=Constants!$B$7,IF($AP$6=0,Constants!$B$8,Constants!$B$8*AB105/$AP$6),"")</f>
        <v/>
      </c>
      <c r="AQ105" s="63" t="str">
        <f aca="false">IF($AE105&lt;&gt;Constants!$B$7,$AE105,AK105+AO105+AP105)</f>
        <v/>
      </c>
      <c r="AR105" s="63" t="str">
        <f aca="false">IF(ISBLANK($C105),"",IF($AE105=Constants!$B$7,RANK(AQ105,$AQ$8:$AQ$507),$AE105))</f>
        <v/>
      </c>
      <c r="AS105" s="63" t="str">
        <f aca="false">IF(ISBLANK($C105), "",AK105)</f>
        <v/>
      </c>
      <c r="AT105" s="63" t="str">
        <f aca="false">IF(ISBLANK($C105),"",IF($AE105=Constants!$B$7,RANK(AS105,AS$8:AS$507),$AE105))</f>
        <v/>
      </c>
      <c r="AU105" s="63" t="str">
        <f aca="false">IF(ISBLANK($C105), "",AP105)</f>
        <v/>
      </c>
      <c r="AV105" s="63" t="str">
        <f aca="false">IF(ISBLANK($C105),"",IF($AE105=Constants!$B$7,RANK(AU105,AU$8:AU$507),$AE105))</f>
        <v/>
      </c>
      <c r="AW105" s="63" t="str">
        <f aca="false">IF(ISBLANK($C105), "",AC105)</f>
        <v/>
      </c>
      <c r="AX105" s="63" t="str">
        <f aca="false">IF(ISBLANK($C105),"",
IF($AE105=Constants!$B$7,
  COUNTIFS($AR$8:$AR$507,"&lt;"&amp;$AR105)
  + COUNTIFS($AR$8:$AR$507,$AR105,$AT$8:$AT$507,"&lt;"&amp;$AT105)
  + COUNTIFS($AR$8:$AR$507,$AR105,$AT$8:$AT$507,$AT105,$AV$8:$AV$507,"&lt;"&amp;$AV105)
  + COUNTIFS($AR$8:$AR$507,$AR105,$AT$8:$AT$507,$AT105,$AV$8:$AV$507,$AV105,$AW$8:$AW$507,"&lt;"&amp;$AW105)
  + 1,
$AE105))</f>
        <v/>
      </c>
      <c r="AY105" s="63" t="str">
        <f aca="false">IF(ISBLANK(C105),"",IF($AE105=Constants!$B$7, AR105-AX105,$AE105))</f>
        <v/>
      </c>
      <c r="AZ105" s="67"/>
      <c r="BA105" s="81" t="str">
        <f aca="false">IF(ISBLANK($C105),"",TRIM(AI105&amp;" "&amp;AM105))</f>
        <v/>
      </c>
      <c r="BB105" s="69" t="str">
        <f aca="false">IF(ISBLANK($C105),"",IF($AE105&lt;&gt;Constants!$B$7, $AE105 ,AQ105))</f>
        <v/>
      </c>
      <c r="BC105" s="70" t="str">
        <f aca="false">IF(ISBLANK($C105),"",IF($AE105&lt;&gt;Constants!$B$7, $AE105 ,AF105))</f>
        <v/>
      </c>
      <c r="BD105" s="71" t="str">
        <f aca="false">IF(ISBLANK(C105),"",AY105)</f>
        <v/>
      </c>
      <c r="BE105" s="71" t="str">
        <f aca="false">IF(ISBLANK(C105),"",AX105)</f>
        <v/>
      </c>
      <c r="BF105" s="72" t="str">
        <f aca="false">IF(ISBLANK(C105),"",IFERROR(_xlfn.SWITCH(BE105, Constants!$B$4, COUNTA($C$8:$C604)+2, Constants!$B$5, COUNTA($C$8:$C604)+1, Constants!$B$6, COUNTA($C$8:$C604)),BE105))</f>
        <v/>
      </c>
      <c r="BG105" s="5"/>
      <c r="BH105" s="73" t="n">
        <f aca="false">IF(OR(ISNUMBER(BE105),BE105="DQ",BE105="P",BE105="NS"),
    1,
    0
)</f>
        <v>0</v>
      </c>
      <c r="BI105" s="73" t="n">
        <v>98</v>
      </c>
      <c r="BJ105" s="73" t="str">
        <f aca="false">IF(ISBLANK($C105),
    "",
   BF105+ROW($B105)/1000
)</f>
        <v/>
      </c>
      <c r="BK105" s="73" t="str">
        <f aca="false">IF(ISNUMBER(BJ105), RANK(BJ105,BJ$8:BJ$507,1), "")</f>
        <v/>
      </c>
      <c r="BL105" s="73" t="str">
        <f aca="false">IF(ISBLANK($C105),
    "",
    $B105
)</f>
        <v/>
      </c>
      <c r="BM105" s="73" t="str">
        <f aca="false">IF(ISBLANK($C105),
    "",
    $C105
)</f>
        <v/>
      </c>
      <c r="BN105" s="73" t="str">
        <f aca="false">IF(ISBLANK($C105),
    "",
    $D105
)</f>
        <v/>
      </c>
      <c r="BO105" s="74" t="str">
        <f aca="false">BC105</f>
        <v/>
      </c>
      <c r="BP105" s="75" t="str">
        <f aca="false">BB105</f>
        <v/>
      </c>
      <c r="BQ105" s="73" t="str">
        <f aca="false">IF(ISBLANK($C105),
    "",
    BE105
)</f>
        <v/>
      </c>
      <c r="BR105" s="76" t="str">
        <f aca="false">IF(BI105&gt;BH$7,
    "",
    VLOOKUP(BI105,BK$8:BQ604,7,FALSE())
)</f>
        <v/>
      </c>
      <c r="BS105" s="77" t="str">
        <f aca="false">IF(BI105&gt;BH$7,
    "",
    VLOOKUP(BI105,BK$8:BQ604,2,FALSE())
)</f>
        <v/>
      </c>
      <c r="BT105" s="77" t="str">
        <f aca="false">IF(BI105&gt;BH$7,
    "",
    VLOOKUP(BI105,BK$8:BQ604,3,FALSE())
)</f>
        <v/>
      </c>
      <c r="BU105" s="77" t="str">
        <f aca="false">IF(BI105&gt;BH$7,
    "",
    VLOOKUP(BI105,BK$8:BQ604,4,FALSE())
)</f>
        <v/>
      </c>
      <c r="BV105" s="77" t="str">
        <f aca="false">IF(BI105&gt;BH$7,
    "",
    VLOOKUP(BI105,BK$8:BQ604,5,FALSE())
)</f>
        <v/>
      </c>
      <c r="BW105" s="78" t="str">
        <f aca="false">IF(BI105&gt;BH$7,
    "",
    VLOOKUP(BI105,BK$8:BQ604,6,FALSE())
)</f>
        <v/>
      </c>
      <c r="BX105" s="50"/>
    </row>
    <row r="106" customFormat="false" ht="15.75" hidden="false" customHeight="false" outlineLevel="0" collapsed="false">
      <c r="A106" s="5"/>
      <c r="B106" s="126"/>
      <c r="C106" s="52"/>
      <c r="D106" s="53"/>
      <c r="E106" s="120"/>
      <c r="F106" s="120"/>
      <c r="G106" s="55"/>
      <c r="H106" s="56"/>
      <c r="I106" s="80"/>
      <c r="J106" s="80"/>
      <c r="K106" s="80"/>
      <c r="L106" s="58"/>
      <c r="M106" s="58"/>
      <c r="N106" s="58"/>
      <c r="O106" s="59"/>
      <c r="P106" s="60"/>
      <c r="Q106" s="80"/>
      <c r="R106" s="62"/>
      <c r="S106" s="63"/>
      <c r="T106" s="63" t="str">
        <f aca="false">IF(ISBLANK($C106),"",IF(G106=Constants!$B$2, TRUE(), IF(G106=Constants!$B$3, FALSE(), TRUE())))</f>
        <v/>
      </c>
      <c r="U106" s="63" t="str">
        <f aca="false">IF(ISBLANK($C106),"",IF(H106=Constants!$B$2, TRUE(), IF(H106=Constants!$B$3, FALSE(), TRUE())))</f>
        <v/>
      </c>
      <c r="V106" s="63" t="str">
        <f aca="false">IF(ISBLANK($C106),"",IF(I106=Constants!$B$2, TRUE(), IF(I106=Constants!$B$3, FALSE(), TRUE())))</f>
        <v/>
      </c>
      <c r="W106" s="63" t="str">
        <f aca="false">IF(ISBLANK($C106),"",IF(J106=Constants!$B$2, TRUE(), IF(J106=Constants!$B$3, FALSE(), TRUE())))</f>
        <v/>
      </c>
      <c r="X106" s="63" t="str">
        <f aca="false">IF(ISBLANK($C106),"",IF(K106=Constants!$B$2, TRUE(), IF(K106=Constants!$B$3, FALSE(), TRUE())))</f>
        <v/>
      </c>
      <c r="Y106" s="65" t="str">
        <f aca="false">IF(ISBLANK($C106),"",IF(ISNUMBER(L106), L106, ""))</f>
        <v/>
      </c>
      <c r="Z106" s="65" t="str">
        <f aca="false">IF(ISBLANK($C106),"",IF(ISNUMBER(M106), M106, ""))</f>
        <v/>
      </c>
      <c r="AA106" s="65" t="str">
        <f aca="false">IF(ISBLANK($C106),"",IF(ISNUMBER(N106), N106, ""))</f>
        <v/>
      </c>
      <c r="AB106" s="66" t="str">
        <f aca="false">IF(ISBLANK($C106),"",IF(ISNUMBER(O106), O106, ""))</f>
        <v/>
      </c>
      <c r="AC106" s="66" t="str">
        <f aca="false">IF(ISBLANK($C106),"",IF(ISNUMBER(P106), P106, Constants!$B$13))</f>
        <v/>
      </c>
      <c r="AD106" s="63" t="str">
        <f aca="false">IF(ISBLANK($C106),"",IF(Q106=Constants!$B$2, TRUE(), IF(Q106=Constants!$B$3, FALSE(), FALSE())))</f>
        <v/>
      </c>
      <c r="AE106" s="63" t="str">
        <f aca="false">IF(ISBLANK(C106), "", IF(AD106, Constants!$B$4,IF(COUNTA(G106:O106)=0, Constants!$B$5, Constants!$B$7)))</f>
        <v/>
      </c>
      <c r="AF106" s="63" t="str">
        <f aca="false">IF(ISBLANK($C106), "",IF($AE106=Constants!$B$7,1,$AE106))</f>
        <v/>
      </c>
      <c r="AG106" s="63" t="str">
        <f aca="false">IF($AE106=Constants!$B$7,IF(V106, 1, Constants!$B$11) * IF(X106, 1, Constants!$B$12),"")</f>
        <v/>
      </c>
      <c r="AH106" s="63" t="str">
        <f aca="false">IF(AND($AE106=Constants!$B$7, T106, U106) ,MAX(0, $AA106-$Y106),"")</f>
        <v/>
      </c>
      <c r="AI106" s="63" t="str">
        <f aca="false">IF(ISERROR(AH106),$AI$6,"")</f>
        <v/>
      </c>
      <c r="AJ106" s="63" t="str">
        <f aca="false">IF($AE106=Constants!$B$7,IF(AND(T106,U106,W106),IF($AH$6=0,Constants!$B$9,Constants!$B$9*AH106/$AH$6), 0),"")</f>
        <v/>
      </c>
      <c r="AK106" s="63" t="str">
        <f aca="false">IF(AJ106&lt;&gt;"", AJ106*AG106,"")</f>
        <v/>
      </c>
      <c r="AL106" s="63" t="str">
        <f aca="false">IF(AND($AE106=Constants!$B$7, T106, U106) ,IF($Z106="", "", MAX(0,1-ABS($AA106-$Z106)/$AA106)),"")</f>
        <v/>
      </c>
      <c r="AM106" s="63" t="str">
        <f aca="false">IF(AND(NOT(ISERROR(AH106)),ISERROR(AL106)),$AM$6,"")</f>
        <v/>
      </c>
      <c r="AN106" s="63" t="str">
        <f aca="false">IF($AE106=Constants!$B$7 ,IF(AND(T106,U106,W106,ISNUMBER(Z106)),IF($AL$6=0,Constants!$B$10,Constants!$B$10*AL106/$AL$6), 0),"")</f>
        <v/>
      </c>
      <c r="AO106" s="63" t="str">
        <f aca="false">IF(AN106&lt;&gt;"", AN106*AG106,"")</f>
        <v/>
      </c>
      <c r="AP106" s="63" t="str">
        <f aca="false">IF($AE106=Constants!$B$7,IF($AP$6=0,Constants!$B$8,Constants!$B$8*AB106/$AP$6),"")</f>
        <v/>
      </c>
      <c r="AQ106" s="63" t="str">
        <f aca="false">IF($AE106&lt;&gt;Constants!$B$7,$AE106,AK106+AO106+AP106)</f>
        <v/>
      </c>
      <c r="AR106" s="63" t="str">
        <f aca="false">IF(ISBLANK($C106),"",IF($AE106=Constants!$B$7,RANK(AQ106,$AQ$8:$AQ$507),$AE106))</f>
        <v/>
      </c>
      <c r="AS106" s="63" t="str">
        <f aca="false">IF(ISBLANK($C106), "",AK106)</f>
        <v/>
      </c>
      <c r="AT106" s="63" t="str">
        <f aca="false">IF(ISBLANK($C106),"",IF($AE106=Constants!$B$7,RANK(AS106,AS$8:AS$507),$AE106))</f>
        <v/>
      </c>
      <c r="AU106" s="63" t="str">
        <f aca="false">IF(ISBLANK($C106), "",AP106)</f>
        <v/>
      </c>
      <c r="AV106" s="63" t="str">
        <f aca="false">IF(ISBLANK($C106),"",IF($AE106=Constants!$B$7,RANK(AU106,AU$8:AU$507),$AE106))</f>
        <v/>
      </c>
      <c r="AW106" s="63" t="str">
        <f aca="false">IF(ISBLANK($C106), "",AC106)</f>
        <v/>
      </c>
      <c r="AX106" s="63" t="str">
        <f aca="false">IF(ISBLANK($C106),"",
IF($AE106=Constants!$B$7,
  COUNTIFS($AR$8:$AR$507,"&lt;"&amp;$AR106)
  + COUNTIFS($AR$8:$AR$507,$AR106,$AT$8:$AT$507,"&lt;"&amp;$AT106)
  + COUNTIFS($AR$8:$AR$507,$AR106,$AT$8:$AT$507,$AT106,$AV$8:$AV$507,"&lt;"&amp;$AV106)
  + COUNTIFS($AR$8:$AR$507,$AR106,$AT$8:$AT$507,$AT106,$AV$8:$AV$507,$AV106,$AW$8:$AW$507,"&lt;"&amp;$AW106)
  + 1,
$AE106))</f>
        <v/>
      </c>
      <c r="AY106" s="63" t="str">
        <f aca="false">IF(ISBLANK(C106),"",IF($AE106=Constants!$B$7, AR106-AX106,$AE106))</f>
        <v/>
      </c>
      <c r="AZ106" s="67"/>
      <c r="BA106" s="81" t="str">
        <f aca="false">IF(ISBLANK($C106),"",TRIM(AI106&amp;" "&amp;AM106))</f>
        <v/>
      </c>
      <c r="BB106" s="69" t="str">
        <f aca="false">IF(ISBLANK($C106),"",IF($AE106&lt;&gt;Constants!$B$7, $AE106 ,AQ106))</f>
        <v/>
      </c>
      <c r="BC106" s="70" t="str">
        <f aca="false">IF(ISBLANK($C106),"",IF($AE106&lt;&gt;Constants!$B$7, $AE106 ,AF106))</f>
        <v/>
      </c>
      <c r="BD106" s="71" t="str">
        <f aca="false">IF(ISBLANK(C106),"",AY106)</f>
        <v/>
      </c>
      <c r="BE106" s="71" t="str">
        <f aca="false">IF(ISBLANK(C106),"",AX106)</f>
        <v/>
      </c>
      <c r="BF106" s="72" t="str">
        <f aca="false">IF(ISBLANK(C106),"",IFERROR(_xlfn.SWITCH(BE106, Constants!$B$4, COUNTA($C$8:$C605)+2, Constants!$B$5, COUNTA($C$8:$C605)+1, Constants!$B$6, COUNTA($C$8:$C605)),BE106))</f>
        <v/>
      </c>
      <c r="BG106" s="5"/>
      <c r="BH106" s="73" t="n">
        <f aca="false">IF(OR(ISNUMBER(BE106),BE106="DQ",BE106="P",BE106="NS"),
    1,
    0
)</f>
        <v>0</v>
      </c>
      <c r="BI106" s="73" t="n">
        <v>99</v>
      </c>
      <c r="BJ106" s="73" t="str">
        <f aca="false">IF(ISBLANK($C106),
    "",
   BF106+ROW($B106)/1000
)</f>
        <v/>
      </c>
      <c r="BK106" s="73" t="str">
        <f aca="false">IF(ISNUMBER(BJ106), RANK(BJ106,BJ$8:BJ$507,1), "")</f>
        <v/>
      </c>
      <c r="BL106" s="73" t="str">
        <f aca="false">IF(ISBLANK($C106),
    "",
    $B106
)</f>
        <v/>
      </c>
      <c r="BM106" s="73" t="str">
        <f aca="false">IF(ISBLANK($C106),
    "",
    $C106
)</f>
        <v/>
      </c>
      <c r="BN106" s="73" t="str">
        <f aca="false">IF(ISBLANK($C106),
    "",
    $D106
)</f>
        <v/>
      </c>
      <c r="BO106" s="74" t="str">
        <f aca="false">BC106</f>
        <v/>
      </c>
      <c r="BP106" s="75" t="str">
        <f aca="false">BB106</f>
        <v/>
      </c>
      <c r="BQ106" s="73" t="str">
        <f aca="false">IF(ISBLANK($C106),
    "",
    BE106
)</f>
        <v/>
      </c>
      <c r="BR106" s="76" t="str">
        <f aca="false">IF(BI106&gt;BH$7,
    "",
    VLOOKUP(BI106,BK$8:BQ605,7,FALSE())
)</f>
        <v/>
      </c>
      <c r="BS106" s="77" t="str">
        <f aca="false">IF(BI106&gt;BH$7,
    "",
    VLOOKUP(BI106,BK$8:BQ605,2,FALSE())
)</f>
        <v/>
      </c>
      <c r="BT106" s="77" t="str">
        <f aca="false">IF(BI106&gt;BH$7,
    "",
    VLOOKUP(BI106,BK$8:BQ605,3,FALSE())
)</f>
        <v/>
      </c>
      <c r="BU106" s="77" t="str">
        <f aca="false">IF(BI106&gt;BH$7,
    "",
    VLOOKUP(BI106,BK$8:BQ605,4,FALSE())
)</f>
        <v/>
      </c>
      <c r="BV106" s="77" t="str">
        <f aca="false">IF(BI106&gt;BH$7,
    "",
    VLOOKUP(BI106,BK$8:BQ605,5,FALSE())
)</f>
        <v/>
      </c>
      <c r="BW106" s="78" t="str">
        <f aca="false">IF(BI106&gt;BH$7,
    "",
    VLOOKUP(BI106,BK$8:BQ605,6,FALSE())
)</f>
        <v/>
      </c>
      <c r="BX106" s="50"/>
    </row>
    <row r="107" customFormat="false" ht="15.75" hidden="false" customHeight="false" outlineLevel="0" collapsed="false">
      <c r="A107" s="5"/>
      <c r="B107" s="122"/>
      <c r="C107" s="123"/>
      <c r="D107" s="112"/>
      <c r="E107" s="116"/>
      <c r="F107" s="116"/>
      <c r="G107" s="88"/>
      <c r="H107" s="89"/>
      <c r="I107" s="125"/>
      <c r="J107" s="125"/>
      <c r="K107" s="125"/>
      <c r="L107" s="91"/>
      <c r="M107" s="91"/>
      <c r="N107" s="91"/>
      <c r="O107" s="92"/>
      <c r="P107" s="93"/>
      <c r="Q107" s="125"/>
      <c r="R107" s="95"/>
      <c r="S107" s="96"/>
      <c r="T107" s="96" t="str">
        <f aca="false">IF(ISBLANK($C107),"",IF(G107=Constants!$B$2, TRUE(), IF(G107=Constants!$B$3, FALSE(), TRUE())))</f>
        <v/>
      </c>
      <c r="U107" s="96" t="str">
        <f aca="false">IF(ISBLANK($C107),"",IF(H107=Constants!$B$2, TRUE(), IF(H107=Constants!$B$3, FALSE(), TRUE())))</f>
        <v/>
      </c>
      <c r="V107" s="96" t="str">
        <f aca="false">IF(ISBLANK($C107),"",IF(I107=Constants!$B$2, TRUE(), IF(I107=Constants!$B$3, FALSE(), TRUE())))</f>
        <v/>
      </c>
      <c r="W107" s="96" t="str">
        <f aca="false">IF(ISBLANK($C107),"",IF(J107=Constants!$B$2, TRUE(), IF(J107=Constants!$B$3, FALSE(), TRUE())))</f>
        <v/>
      </c>
      <c r="X107" s="97" t="str">
        <f aca="false">IF(ISBLANK($C107),"",IF(K107=Constants!$B$2, TRUE(), IF(K107=Constants!$B$3, FALSE(), TRUE())))</f>
        <v/>
      </c>
      <c r="Y107" s="98" t="str">
        <f aca="false">IF(ISBLANK($C107),"",IF(ISNUMBER(L107), L107, ""))</f>
        <v/>
      </c>
      <c r="Z107" s="98" t="str">
        <f aca="false">IF(ISBLANK($C107),"",IF(ISNUMBER(M107), M107, ""))</f>
        <v/>
      </c>
      <c r="AA107" s="98" t="str">
        <f aca="false">IF(ISBLANK($C107),"",IF(ISNUMBER(N107), N107, ""))</f>
        <v/>
      </c>
      <c r="AB107" s="99" t="str">
        <f aca="false">IF(ISBLANK($C107),"",IF(ISNUMBER(O107), O107, ""))</f>
        <v/>
      </c>
      <c r="AC107" s="99" t="str">
        <f aca="false">IF(ISBLANK($C107),"",IF(ISNUMBER(P107), P107, Constants!$B$13))</f>
        <v/>
      </c>
      <c r="AD107" s="96" t="str">
        <f aca="false">IF(ISBLANK($C107),"",IF(Q107=Constants!$B$2, TRUE(), IF(Q107=Constants!$B$3, FALSE(), FALSE())))</f>
        <v/>
      </c>
      <c r="AE107" s="96" t="str">
        <f aca="false">IF(ISBLANK(C107), "", IF(AD107, Constants!$B$4,IF(COUNTA(G107:O107)=0, Constants!$B$5, Constants!$B$7)))</f>
        <v/>
      </c>
      <c r="AF107" s="96" t="str">
        <f aca="false">IF(ISBLANK($C107), "",IF($AE107=Constants!$B$7,1,$AE107))</f>
        <v/>
      </c>
      <c r="AG107" s="96" t="str">
        <f aca="false">IF($AE107=Constants!$B$7,IF(V107, 1, Constants!$B$11) * IF(X107, 1, Constants!$B$12),"")</f>
        <v/>
      </c>
      <c r="AH107" s="96" t="str">
        <f aca="false">IF(AND($AE107=Constants!$B$7, T107, U107) ,MAX(0, $AA107-$Y107),"")</f>
        <v/>
      </c>
      <c r="AI107" s="96" t="str">
        <f aca="false">IF(ISERROR(AH107),$AI$6,"")</f>
        <v/>
      </c>
      <c r="AJ107" s="96" t="str">
        <f aca="false">IF($AE107=Constants!$B$7,IF(AND(T107,U107,W107),IF($AH$6=0,Constants!$B$9,Constants!$B$9*AH107/$AH$6), 0),"")</f>
        <v/>
      </c>
      <c r="AK107" s="96" t="str">
        <f aca="false">IF(AJ107&lt;&gt;"", AJ107*AG107,"")</f>
        <v/>
      </c>
      <c r="AL107" s="96" t="str">
        <f aca="false">IF(AND($AE107=Constants!$B$7, T107, U107) ,IF($Z107="", "", MAX(0,1-ABS($AA107-$Z107)/$AA107)),"")</f>
        <v/>
      </c>
      <c r="AM107" s="96" t="str">
        <f aca="false">IF(AND(NOT(ISERROR(AH107)),ISERROR(AL107)),$AM$6,"")</f>
        <v/>
      </c>
      <c r="AN107" s="96" t="str">
        <f aca="false">IF($AE107=Constants!$B$7 ,IF(AND(T107,U107,W107,ISNUMBER(Z107)),IF($AL$6=0,Constants!$B$10,Constants!$B$10*AL107/$AL$6), 0),"")</f>
        <v/>
      </c>
      <c r="AO107" s="96" t="str">
        <f aca="false">IF(AN107&lt;&gt;"", AN107*AG107,"")</f>
        <v/>
      </c>
      <c r="AP107" s="96" t="str">
        <f aca="false">IF($AE107=Constants!$B$7,IF($AP$6=0,Constants!$B$8,Constants!$B$8*AB107/$AP$6),"")</f>
        <v/>
      </c>
      <c r="AQ107" s="96" t="str">
        <f aca="false">IF($AE107&lt;&gt;Constants!$B$7,$AE107,AK107+AO107+AP107)</f>
        <v/>
      </c>
      <c r="AR107" s="96" t="str">
        <f aca="false">IF(ISBLANK($C107),"",IF($AE107=Constants!$B$7,RANK(AQ107,$AQ$8:$AQ$507),$AE107))</f>
        <v/>
      </c>
      <c r="AS107" s="96" t="str">
        <f aca="false">IF(ISBLANK($C107), "",AK107)</f>
        <v/>
      </c>
      <c r="AT107" s="96" t="str">
        <f aca="false">IF(ISBLANK($C107),"",IF($AE107=Constants!$B$7,RANK(AS107,AS$8:AS$507),$AE107))</f>
        <v/>
      </c>
      <c r="AU107" s="96" t="str">
        <f aca="false">IF(ISBLANK($C107), "",AP107)</f>
        <v/>
      </c>
      <c r="AV107" s="96" t="str">
        <f aca="false">IF(ISBLANK($C107),"",IF($AE107=Constants!$B$7,RANK(AU107,AU$8:AU$507),$AE107))</f>
        <v/>
      </c>
      <c r="AW107" s="96" t="str">
        <f aca="false">IF(ISBLANK($C107), "",AC107)</f>
        <v/>
      </c>
      <c r="AX107" s="96" t="str">
        <f aca="false">IF(ISBLANK($C107),"",
IF($AE107=Constants!$B$7,
  COUNTIFS($AR$8:$AR$507,"&lt;"&amp;$AR107)
  + COUNTIFS($AR$8:$AR$507,$AR107,$AT$8:$AT$507,"&lt;"&amp;$AT107)
  + COUNTIFS($AR$8:$AR$507,$AR107,$AT$8:$AT$507,$AT107,$AV$8:$AV$507,"&lt;"&amp;$AV107)
  + COUNTIFS($AR$8:$AR$507,$AR107,$AT$8:$AT$507,$AT107,$AV$8:$AV$507,$AV107,$AW$8:$AW$507,"&lt;"&amp;$AW107)
  + 1,
$AE107))</f>
        <v/>
      </c>
      <c r="AY107" s="96" t="str">
        <f aca="false">IF(ISBLANK(C107),"",IF($AE107=Constants!$B$7, AR107-AX107,$AE107))</f>
        <v/>
      </c>
      <c r="AZ107" s="100"/>
      <c r="BA107" s="101" t="str">
        <f aca="false">IF(ISBLANK($C107),"",TRIM(AI107&amp;" "&amp;AM107))</f>
        <v/>
      </c>
      <c r="BB107" s="102" t="str">
        <f aca="false">IF(ISBLANK($C107),"",IF($AE107&lt;&gt;Constants!$B$7, $AE107 ,AQ107))</f>
        <v/>
      </c>
      <c r="BC107" s="103" t="str">
        <f aca="false">IF(ISBLANK($C107),"",IF($AE107&lt;&gt;Constants!$B$7, $AE107 ,AF107))</f>
        <v/>
      </c>
      <c r="BD107" s="104" t="str">
        <f aca="false">IF(ISBLANK(C107),"",AY107)</f>
        <v/>
      </c>
      <c r="BE107" s="104" t="str">
        <f aca="false">IF(ISBLANK(C107),"",AX107)</f>
        <v/>
      </c>
      <c r="BF107" s="105" t="str">
        <f aca="false">IF(ISBLANK(C107),"",IFERROR(_xlfn.SWITCH(BE107, Constants!$B$4, COUNTA($C$8:$C606)+2, Constants!$B$5, COUNTA($C$8:$C606)+1, Constants!$B$6, COUNTA($C$8:$C606)),BE107))</f>
        <v/>
      </c>
      <c r="BG107" s="5"/>
      <c r="BH107" s="106" t="n">
        <f aca="false">IF(OR(ISNUMBER(BE107),BE107="DQ",BE107="P",BE107="NS"),
    1,
    0
)</f>
        <v>0</v>
      </c>
      <c r="BI107" s="106" t="n">
        <v>100</v>
      </c>
      <c r="BJ107" s="106" t="str">
        <f aca="false">IF(ISBLANK($C107),
    "",
   BF107+ROW($B107)/1000
)</f>
        <v/>
      </c>
      <c r="BK107" s="106" t="str">
        <f aca="false">IF(ISNUMBER(BJ107), RANK(BJ107,BJ$8:BJ$507,1), "")</f>
        <v/>
      </c>
      <c r="BL107" s="106" t="str">
        <f aca="false">IF(ISBLANK($C107),
    "",
    $B107
)</f>
        <v/>
      </c>
      <c r="BM107" s="106" t="str">
        <f aca="false">IF(ISBLANK($C107),
    "",
    $C107
)</f>
        <v/>
      </c>
      <c r="BN107" s="106" t="str">
        <f aca="false">IF(ISBLANK($C107),
    "",
    $D107
)</f>
        <v/>
      </c>
      <c r="BO107" s="107" t="str">
        <f aca="false">BC107</f>
        <v/>
      </c>
      <c r="BP107" s="108" t="str">
        <f aca="false">BB107</f>
        <v/>
      </c>
      <c r="BQ107" s="106" t="str">
        <f aca="false">IF(ISBLANK($C107),
    "",
    BE107
)</f>
        <v/>
      </c>
      <c r="BR107" s="109" t="str">
        <f aca="false">IF(BI107&gt;BH$7,
    "",
    VLOOKUP(BI107,BK$8:BQ606,7,FALSE())
)</f>
        <v/>
      </c>
      <c r="BS107" s="110" t="str">
        <f aca="false">IF(BI107&gt;BH$7,
    "",
    VLOOKUP(BI107,BK$8:BQ606,2,FALSE())
)</f>
        <v/>
      </c>
      <c r="BT107" s="110" t="str">
        <f aca="false">IF(BI107&gt;BH$7,
    "",
    VLOOKUP(BI107,BK$8:BQ606,3,FALSE())
)</f>
        <v/>
      </c>
      <c r="BU107" s="110" t="str">
        <f aca="false">IF(BI107&gt;BH$7,
    "",
    VLOOKUP(BI107,BK$8:BQ606,4,FALSE())
)</f>
        <v/>
      </c>
      <c r="BV107" s="110" t="str">
        <f aca="false">IF(BI107&gt;BH$7,
    "",
    VLOOKUP(BI107,BK$8:BQ606,5,FALSE())
)</f>
        <v/>
      </c>
      <c r="BW107" s="111" t="str">
        <f aca="false">IF(BI107&gt;BH$7,
    "",
    VLOOKUP(BI107,BK$8:BQ606,6,FALSE())
)</f>
        <v/>
      </c>
      <c r="BX107" s="50"/>
    </row>
    <row r="108" customFormat="false" ht="15.75" hidden="false" customHeight="false" outlineLevel="0" collapsed="false">
      <c r="A108" s="5"/>
      <c r="B108" s="122"/>
      <c r="C108" s="123"/>
      <c r="D108" s="112"/>
      <c r="E108" s="116"/>
      <c r="F108" s="116"/>
      <c r="G108" s="88"/>
      <c r="H108" s="89"/>
      <c r="I108" s="125"/>
      <c r="J108" s="125"/>
      <c r="K108" s="125"/>
      <c r="L108" s="91"/>
      <c r="M108" s="91"/>
      <c r="N108" s="91"/>
      <c r="O108" s="92"/>
      <c r="P108" s="93"/>
      <c r="Q108" s="125"/>
      <c r="R108" s="95"/>
      <c r="S108" s="96"/>
      <c r="T108" s="96" t="str">
        <f aca="false">IF(ISBLANK($C108),"",IF(G108=Constants!$B$2, TRUE(), IF(G108=Constants!$B$3, FALSE(), TRUE())))</f>
        <v/>
      </c>
      <c r="U108" s="96" t="str">
        <f aca="false">IF(ISBLANK($C108),"",IF(H108=Constants!$B$2, TRUE(), IF(H108=Constants!$B$3, FALSE(), TRUE())))</f>
        <v/>
      </c>
      <c r="V108" s="96" t="str">
        <f aca="false">IF(ISBLANK($C108),"",IF(I108=Constants!$B$2, TRUE(), IF(I108=Constants!$B$3, FALSE(), TRUE())))</f>
        <v/>
      </c>
      <c r="W108" s="96" t="str">
        <f aca="false">IF(ISBLANK($C108),"",IF(J108=Constants!$B$2, TRUE(), IF(J108=Constants!$B$3, FALSE(), TRUE())))</f>
        <v/>
      </c>
      <c r="X108" s="97" t="str">
        <f aca="false">IF(ISBLANK($C108),"",IF(K108=Constants!$B$2, TRUE(), IF(K108=Constants!$B$3, FALSE(), TRUE())))</f>
        <v/>
      </c>
      <c r="Y108" s="98" t="str">
        <f aca="false">IF(ISBLANK($C108),"",IF(ISNUMBER(L108), L108, ""))</f>
        <v/>
      </c>
      <c r="Z108" s="98" t="str">
        <f aca="false">IF(ISBLANK($C108),"",IF(ISNUMBER(M108), M108, ""))</f>
        <v/>
      </c>
      <c r="AA108" s="98" t="str">
        <f aca="false">IF(ISBLANK($C108),"",IF(ISNUMBER(N108), N108, ""))</f>
        <v/>
      </c>
      <c r="AB108" s="99" t="str">
        <f aca="false">IF(ISBLANK($C108),"",IF(ISNUMBER(O108), O108, ""))</f>
        <v/>
      </c>
      <c r="AC108" s="99" t="str">
        <f aca="false">IF(ISBLANK($C108),"",IF(ISNUMBER(P108), P108, Constants!$B$13))</f>
        <v/>
      </c>
      <c r="AD108" s="96" t="str">
        <f aca="false">IF(ISBLANK($C108),"",IF(Q108=Constants!$B$2, TRUE(), IF(Q108=Constants!$B$3, FALSE(), FALSE())))</f>
        <v/>
      </c>
      <c r="AE108" s="96" t="str">
        <f aca="false">IF(ISBLANK(C108), "", IF(AD108, Constants!$B$4,IF(COUNTA(G108:O108)=0, Constants!$B$5, Constants!$B$7)))</f>
        <v/>
      </c>
      <c r="AF108" s="96" t="str">
        <f aca="false">IF(ISBLANK($C108), "",IF($AE108=Constants!$B$7,1,$AE108))</f>
        <v/>
      </c>
      <c r="AG108" s="96" t="str">
        <f aca="false">IF($AE108=Constants!$B$7,IF(V108, 1, Constants!$B$11) * IF(X108, 1, Constants!$B$12),"")</f>
        <v/>
      </c>
      <c r="AH108" s="96" t="str">
        <f aca="false">IF(AND($AE108=Constants!$B$7, T108, U108) ,MAX(0, $AA108-$Y108),"")</f>
        <v/>
      </c>
      <c r="AI108" s="96" t="str">
        <f aca="false">IF(ISERROR(AH108),$AI$6,"")</f>
        <v/>
      </c>
      <c r="AJ108" s="96" t="str">
        <f aca="false">IF($AE108=Constants!$B$7,IF(AND(T108,U108,W108),IF($AH$6=0,Constants!$B$9,Constants!$B$9*AH108/$AH$6), 0),"")</f>
        <v/>
      </c>
      <c r="AK108" s="96" t="str">
        <f aca="false">IF(AJ108&lt;&gt;"", AJ108*AG108,"")</f>
        <v/>
      </c>
      <c r="AL108" s="96" t="str">
        <f aca="false">IF(AND($AE108=Constants!$B$7, T108, U108) ,IF($Z108="", "", MAX(0,1-ABS($AA108-$Z108)/$AA108)),"")</f>
        <v/>
      </c>
      <c r="AM108" s="96" t="str">
        <f aca="false">IF(AND(NOT(ISERROR(AH108)),ISERROR(AL108)),$AM$6,"")</f>
        <v/>
      </c>
      <c r="AN108" s="96" t="str">
        <f aca="false">IF($AE108=Constants!$B$7 ,IF(AND(T108,U108,W108,ISNUMBER(Z108)),IF($AL$6=0,Constants!$B$10,Constants!$B$10*AL108/$AL$6), 0),"")</f>
        <v/>
      </c>
      <c r="AO108" s="96" t="str">
        <f aca="false">IF(AN108&lt;&gt;"", AN108*AG108,"")</f>
        <v/>
      </c>
      <c r="AP108" s="96" t="str">
        <f aca="false">IF($AE108=Constants!$B$7,IF($AP$6=0,Constants!$B$8,Constants!$B$8*AB108/$AP$6),"")</f>
        <v/>
      </c>
      <c r="AQ108" s="96" t="str">
        <f aca="false">IF($AE108&lt;&gt;Constants!$B$7,$AE108,AK108+AO108+AP108)</f>
        <v/>
      </c>
      <c r="AR108" s="96" t="str">
        <f aca="false">IF(ISBLANK($C108),"",IF($AE108=Constants!$B$7,RANK(AQ108,$AQ$8:$AQ$507),$AE108))</f>
        <v/>
      </c>
      <c r="AS108" s="96" t="str">
        <f aca="false">IF(ISBLANK($C108), "",AK108)</f>
        <v/>
      </c>
      <c r="AT108" s="96" t="str">
        <f aca="false">IF(ISBLANK($C108),"",IF($AE108=Constants!$B$7,RANK(AS108,AS$8:AS$507),$AE108))</f>
        <v/>
      </c>
      <c r="AU108" s="96" t="str">
        <f aca="false">IF(ISBLANK($C108), "",AP108)</f>
        <v/>
      </c>
      <c r="AV108" s="96" t="str">
        <f aca="false">IF(ISBLANK($C108),"",IF($AE108=Constants!$B$7,RANK(AU108,AU$8:AU$507),$AE108))</f>
        <v/>
      </c>
      <c r="AW108" s="96" t="str">
        <f aca="false">IF(ISBLANK($C108), "",AC108)</f>
        <v/>
      </c>
      <c r="AX108" s="96" t="str">
        <f aca="false">IF(ISBLANK($C108),"",
IF($AE108=Constants!$B$7,
  COUNTIFS($AR$8:$AR$507,"&lt;"&amp;$AR108)
  + COUNTIFS($AR$8:$AR$507,$AR108,$AT$8:$AT$507,"&lt;"&amp;$AT108)
  + COUNTIFS($AR$8:$AR$507,$AR108,$AT$8:$AT$507,$AT108,$AV$8:$AV$507,"&lt;"&amp;$AV108)
  + COUNTIFS($AR$8:$AR$507,$AR108,$AT$8:$AT$507,$AT108,$AV$8:$AV$507,$AV108,$AW$8:$AW$507,"&lt;"&amp;$AW108)
  + 1,
$AE108))</f>
        <v/>
      </c>
      <c r="AY108" s="96" t="str">
        <f aca="false">IF(ISBLANK(C108),"",IF($AE108=Constants!$B$7, AR108-AX108,$AE108))</f>
        <v/>
      </c>
      <c r="AZ108" s="100"/>
      <c r="BA108" s="101" t="str">
        <f aca="false">IF(ISBLANK($C108),"",TRIM(AI108&amp;" "&amp;AM108))</f>
        <v/>
      </c>
      <c r="BB108" s="102" t="str">
        <f aca="false">IF(ISBLANK($C108),"",IF($AE108&lt;&gt;Constants!$B$7, $AE108 ,AQ108))</f>
        <v/>
      </c>
      <c r="BC108" s="103" t="str">
        <f aca="false">IF(ISBLANK($C108),"",IF($AE108&lt;&gt;Constants!$B$7, $AE108 ,AF108))</f>
        <v/>
      </c>
      <c r="BD108" s="104" t="str">
        <f aca="false">IF(ISBLANK(C108),"",AY108)</f>
        <v/>
      </c>
      <c r="BE108" s="104" t="str">
        <f aca="false">IF(ISBLANK(C108),"",AX108)</f>
        <v/>
      </c>
      <c r="BF108" s="105" t="str">
        <f aca="false">IF(ISBLANK(C108),"",IFERROR(_xlfn.SWITCH(BE108, Constants!$B$4, COUNTA($C$8:$C607)+2, Constants!$B$5, COUNTA($C$8:$C607)+1, Constants!$B$6, COUNTA($C$8:$C607)),BE108))</f>
        <v/>
      </c>
      <c r="BG108" s="5"/>
      <c r="BH108" s="106" t="n">
        <f aca="false">IF(OR(ISNUMBER(BE108),BE108="DQ",BE108="P",BE108="NS"),
    1,
    0
)</f>
        <v>0</v>
      </c>
      <c r="BI108" s="106" t="n">
        <v>101</v>
      </c>
      <c r="BJ108" s="106" t="str">
        <f aca="false">IF(ISBLANK($C108),
    "",
   BF108+ROW($B108)/1000
)</f>
        <v/>
      </c>
      <c r="BK108" s="106" t="str">
        <f aca="false">IF(ISNUMBER(BJ108), RANK(BJ108,BJ$8:BJ$507,1), "")</f>
        <v/>
      </c>
      <c r="BL108" s="106" t="str">
        <f aca="false">IF(ISBLANK($C108),
    "",
    $B108
)</f>
        <v/>
      </c>
      <c r="BM108" s="106" t="str">
        <f aca="false">IF(ISBLANK($C108),
    "",
    $C108
)</f>
        <v/>
      </c>
      <c r="BN108" s="106" t="str">
        <f aca="false">IF(ISBLANK($C108),
    "",
    $D108
)</f>
        <v/>
      </c>
      <c r="BO108" s="107" t="str">
        <f aca="false">BC108</f>
        <v/>
      </c>
      <c r="BP108" s="108" t="str">
        <f aca="false">BB108</f>
        <v/>
      </c>
      <c r="BQ108" s="106" t="str">
        <f aca="false">IF(ISBLANK($C108),
    "",
    BE108
)</f>
        <v/>
      </c>
      <c r="BR108" s="109" t="str">
        <f aca="false">IF(BI108&gt;BH$7,
    "",
    VLOOKUP(BI108,BK$8:BQ607,7,FALSE())
)</f>
        <v/>
      </c>
      <c r="BS108" s="110" t="str">
        <f aca="false">IF(BI108&gt;BH$7,
    "",
    VLOOKUP(BI108,BK$8:BQ607,2,FALSE())
)</f>
        <v/>
      </c>
      <c r="BT108" s="110" t="str">
        <f aca="false">IF(BI108&gt;BH$7,
    "",
    VLOOKUP(BI108,BK$8:BQ607,3,FALSE())
)</f>
        <v/>
      </c>
      <c r="BU108" s="110" t="str">
        <f aca="false">IF(BI108&gt;BH$7,
    "",
    VLOOKUP(BI108,BK$8:BQ607,4,FALSE())
)</f>
        <v/>
      </c>
      <c r="BV108" s="110" t="str">
        <f aca="false">IF(BI108&gt;BH$7,
    "",
    VLOOKUP(BI108,BK$8:BQ607,5,FALSE())
)</f>
        <v/>
      </c>
      <c r="BW108" s="111" t="str">
        <f aca="false">IF(BI108&gt;BH$7,
    "",
    VLOOKUP(BI108,BK$8:BQ607,6,FALSE())
)</f>
        <v/>
      </c>
      <c r="BX108" s="50"/>
    </row>
    <row r="109" customFormat="false" ht="15.75" hidden="false" customHeight="false" outlineLevel="0" collapsed="false">
      <c r="A109" s="5"/>
      <c r="B109" s="122"/>
      <c r="C109" s="123"/>
      <c r="D109" s="112"/>
      <c r="E109" s="116"/>
      <c r="F109" s="116"/>
      <c r="G109" s="88"/>
      <c r="H109" s="89"/>
      <c r="I109" s="125"/>
      <c r="J109" s="125"/>
      <c r="K109" s="125"/>
      <c r="L109" s="91"/>
      <c r="M109" s="91"/>
      <c r="N109" s="91"/>
      <c r="O109" s="92"/>
      <c r="P109" s="93"/>
      <c r="Q109" s="125"/>
      <c r="R109" s="95"/>
      <c r="S109" s="96"/>
      <c r="T109" s="96" t="str">
        <f aca="false">IF(ISBLANK($C109),"",IF(G109=Constants!$B$2, TRUE(), IF(G109=Constants!$B$3, FALSE(), TRUE())))</f>
        <v/>
      </c>
      <c r="U109" s="96" t="str">
        <f aca="false">IF(ISBLANK($C109),"",IF(H109=Constants!$B$2, TRUE(), IF(H109=Constants!$B$3, FALSE(), TRUE())))</f>
        <v/>
      </c>
      <c r="V109" s="96" t="str">
        <f aca="false">IF(ISBLANK($C109),"",IF(I109=Constants!$B$2, TRUE(), IF(I109=Constants!$B$3, FALSE(), TRUE())))</f>
        <v/>
      </c>
      <c r="W109" s="96" t="str">
        <f aca="false">IF(ISBLANK($C109),"",IF(J109=Constants!$B$2, TRUE(), IF(J109=Constants!$B$3, FALSE(), TRUE())))</f>
        <v/>
      </c>
      <c r="X109" s="97" t="str">
        <f aca="false">IF(ISBLANK($C109),"",IF(K109=Constants!$B$2, TRUE(), IF(K109=Constants!$B$3, FALSE(), TRUE())))</f>
        <v/>
      </c>
      <c r="Y109" s="98" t="str">
        <f aca="false">IF(ISBLANK($C109),"",IF(ISNUMBER(L109), L109, ""))</f>
        <v/>
      </c>
      <c r="Z109" s="98" t="str">
        <f aca="false">IF(ISBLANK($C109),"",IF(ISNUMBER(M109), M109, ""))</f>
        <v/>
      </c>
      <c r="AA109" s="98" t="str">
        <f aca="false">IF(ISBLANK($C109),"",IF(ISNUMBER(N109), N109, ""))</f>
        <v/>
      </c>
      <c r="AB109" s="99" t="str">
        <f aca="false">IF(ISBLANK($C109),"",IF(ISNUMBER(O109), O109, ""))</f>
        <v/>
      </c>
      <c r="AC109" s="99" t="str">
        <f aca="false">IF(ISBLANK($C109),"",IF(ISNUMBER(P109), P109, Constants!$B$13))</f>
        <v/>
      </c>
      <c r="AD109" s="96" t="str">
        <f aca="false">IF(ISBLANK($C109),"",IF(Q109=Constants!$B$2, TRUE(), IF(Q109=Constants!$B$3, FALSE(), FALSE())))</f>
        <v/>
      </c>
      <c r="AE109" s="96" t="str">
        <f aca="false">IF(ISBLANK(C109), "", IF(AD109, Constants!$B$4,IF(COUNTA(G109:O109)=0, Constants!$B$5, Constants!$B$7)))</f>
        <v/>
      </c>
      <c r="AF109" s="96" t="str">
        <f aca="false">IF(ISBLANK($C109), "",IF($AE109=Constants!$B$7,1,$AE109))</f>
        <v/>
      </c>
      <c r="AG109" s="96" t="str">
        <f aca="false">IF($AE109=Constants!$B$7,IF(V109, 1, Constants!$B$11) * IF(X109, 1, Constants!$B$12),"")</f>
        <v/>
      </c>
      <c r="AH109" s="96" t="str">
        <f aca="false">IF(AND($AE109=Constants!$B$7, T109, U109) ,MAX(0, $AA109-$Y109),"")</f>
        <v/>
      </c>
      <c r="AI109" s="96" t="str">
        <f aca="false">IF(ISERROR(AH109),$AI$6,"")</f>
        <v/>
      </c>
      <c r="AJ109" s="96" t="str">
        <f aca="false">IF($AE109=Constants!$B$7,IF(AND(T109,U109,W109),IF($AH$6=0,Constants!$B$9,Constants!$B$9*AH109/$AH$6), 0),"")</f>
        <v/>
      </c>
      <c r="AK109" s="96" t="str">
        <f aca="false">IF(AJ109&lt;&gt;"", AJ109*AG109,"")</f>
        <v/>
      </c>
      <c r="AL109" s="96" t="str">
        <f aca="false">IF(AND($AE109=Constants!$B$7, T109, U109) ,IF($Z109="", "", MAX(0,1-ABS($AA109-$Z109)/$AA109)),"")</f>
        <v/>
      </c>
      <c r="AM109" s="96" t="str">
        <f aca="false">IF(AND(NOT(ISERROR(AH109)),ISERROR(AL109)),$AM$6,"")</f>
        <v/>
      </c>
      <c r="AN109" s="96" t="str">
        <f aca="false">IF($AE109=Constants!$B$7 ,IF(AND(T109,U109,W109,ISNUMBER(Z109)),IF($AL$6=0,Constants!$B$10,Constants!$B$10*AL109/$AL$6), 0),"")</f>
        <v/>
      </c>
      <c r="AO109" s="96" t="str">
        <f aca="false">IF(AN109&lt;&gt;"", AN109*AG109,"")</f>
        <v/>
      </c>
      <c r="AP109" s="96" t="str">
        <f aca="false">IF($AE109=Constants!$B$7,IF($AP$6=0,Constants!$B$8,Constants!$B$8*AB109/$AP$6),"")</f>
        <v/>
      </c>
      <c r="AQ109" s="96" t="str">
        <f aca="false">IF($AE109&lt;&gt;Constants!$B$7,$AE109,AK109+AO109+AP109)</f>
        <v/>
      </c>
      <c r="AR109" s="96" t="str">
        <f aca="false">IF(ISBLANK($C109),"",IF($AE109=Constants!$B$7,RANK(AQ109,$AQ$8:$AQ$507),$AE109))</f>
        <v/>
      </c>
      <c r="AS109" s="96" t="str">
        <f aca="false">IF(ISBLANK($C109), "",AK109)</f>
        <v/>
      </c>
      <c r="AT109" s="96" t="str">
        <f aca="false">IF(ISBLANK($C109),"",IF($AE109=Constants!$B$7,RANK(AS109,AS$8:AS$507),$AE109))</f>
        <v/>
      </c>
      <c r="AU109" s="96" t="str">
        <f aca="false">IF(ISBLANK($C109), "",AP109)</f>
        <v/>
      </c>
      <c r="AV109" s="96" t="str">
        <f aca="false">IF(ISBLANK($C109),"",IF($AE109=Constants!$B$7,RANK(AU109,AU$8:AU$507),$AE109))</f>
        <v/>
      </c>
      <c r="AW109" s="96" t="str">
        <f aca="false">IF(ISBLANK($C109), "",AC109)</f>
        <v/>
      </c>
      <c r="AX109" s="96" t="str">
        <f aca="false">IF(ISBLANK($C109),"",
IF($AE109=Constants!$B$7,
  COUNTIFS($AR$8:$AR$507,"&lt;"&amp;$AR109)
  + COUNTIFS($AR$8:$AR$507,$AR109,$AT$8:$AT$507,"&lt;"&amp;$AT109)
  + COUNTIFS($AR$8:$AR$507,$AR109,$AT$8:$AT$507,$AT109,$AV$8:$AV$507,"&lt;"&amp;$AV109)
  + COUNTIFS($AR$8:$AR$507,$AR109,$AT$8:$AT$507,$AT109,$AV$8:$AV$507,$AV109,$AW$8:$AW$507,"&lt;"&amp;$AW109)
  + 1,
$AE109))</f>
        <v/>
      </c>
      <c r="AY109" s="96" t="str">
        <f aca="false">IF(ISBLANK(C109),"",IF($AE109=Constants!$B$7, AR109-AX109,$AE109))</f>
        <v/>
      </c>
      <c r="AZ109" s="100"/>
      <c r="BA109" s="101" t="str">
        <f aca="false">IF(ISBLANK($C109),"",TRIM(AI109&amp;" "&amp;AM109))</f>
        <v/>
      </c>
      <c r="BB109" s="102" t="str">
        <f aca="false">IF(ISBLANK($C109),"",IF($AE109&lt;&gt;Constants!$B$7, $AE109 ,AQ109))</f>
        <v/>
      </c>
      <c r="BC109" s="103" t="str">
        <f aca="false">IF(ISBLANK($C109),"",IF($AE109&lt;&gt;Constants!$B$7, $AE109 ,AF109))</f>
        <v/>
      </c>
      <c r="BD109" s="104" t="str">
        <f aca="false">IF(ISBLANK(C109),"",AY109)</f>
        <v/>
      </c>
      <c r="BE109" s="104" t="str">
        <f aca="false">IF(ISBLANK(C109),"",AX109)</f>
        <v/>
      </c>
      <c r="BF109" s="105" t="str">
        <f aca="false">IF(ISBLANK(C109),"",IFERROR(_xlfn.SWITCH(BE109, Constants!$B$4, COUNTA($C$8:$C608)+2, Constants!$B$5, COUNTA($C$8:$C608)+1, Constants!$B$6, COUNTA($C$8:$C608)),BE109))</f>
        <v/>
      </c>
      <c r="BG109" s="5"/>
      <c r="BH109" s="106" t="n">
        <f aca="false">IF(OR(ISNUMBER(BE109),BE109="DQ",BE109="P",BE109="NS"),
    1,
    0
)</f>
        <v>0</v>
      </c>
      <c r="BI109" s="106" t="n">
        <v>102</v>
      </c>
      <c r="BJ109" s="106" t="str">
        <f aca="false">IF(ISBLANK($C109),
    "",
   BF109+ROW($B109)/1000
)</f>
        <v/>
      </c>
      <c r="BK109" s="106" t="str">
        <f aca="false">IF(ISNUMBER(BJ109), RANK(BJ109,BJ$8:BJ$507,1), "")</f>
        <v/>
      </c>
      <c r="BL109" s="106" t="str">
        <f aca="false">IF(ISBLANK($C109),
    "",
    $B109
)</f>
        <v/>
      </c>
      <c r="BM109" s="106" t="str">
        <f aca="false">IF(ISBLANK($C109),
    "",
    $C109
)</f>
        <v/>
      </c>
      <c r="BN109" s="106" t="str">
        <f aca="false">IF(ISBLANK($C109),
    "",
    $D109
)</f>
        <v/>
      </c>
      <c r="BO109" s="107" t="str">
        <f aca="false">BC109</f>
        <v/>
      </c>
      <c r="BP109" s="108" t="str">
        <f aca="false">BB109</f>
        <v/>
      </c>
      <c r="BQ109" s="106" t="str">
        <f aca="false">IF(ISBLANK($C109),
    "",
    BE109
)</f>
        <v/>
      </c>
      <c r="BR109" s="109" t="str">
        <f aca="false">IF(BI109&gt;BH$7,
    "",
    VLOOKUP(BI109,BK$8:BQ608,7,FALSE())
)</f>
        <v/>
      </c>
      <c r="BS109" s="110" t="str">
        <f aca="false">IF(BI109&gt;BH$7,
    "",
    VLOOKUP(BI109,BK$8:BQ608,2,FALSE())
)</f>
        <v/>
      </c>
      <c r="BT109" s="110" t="str">
        <f aca="false">IF(BI109&gt;BH$7,
    "",
    VLOOKUP(BI109,BK$8:BQ608,3,FALSE())
)</f>
        <v/>
      </c>
      <c r="BU109" s="110" t="str">
        <f aca="false">IF(BI109&gt;BH$7,
    "",
    VLOOKUP(BI109,BK$8:BQ608,4,FALSE())
)</f>
        <v/>
      </c>
      <c r="BV109" s="110" t="str">
        <f aca="false">IF(BI109&gt;BH$7,
    "",
    VLOOKUP(BI109,BK$8:BQ608,5,FALSE())
)</f>
        <v/>
      </c>
      <c r="BW109" s="111" t="str">
        <f aca="false">IF(BI109&gt;BH$7,
    "",
    VLOOKUP(BI109,BK$8:BQ608,6,FALSE())
)</f>
        <v/>
      </c>
      <c r="BX109" s="50"/>
    </row>
    <row r="110" customFormat="false" ht="15.75" hidden="false" customHeight="false" outlineLevel="0" collapsed="false">
      <c r="A110" s="5"/>
      <c r="B110" s="126"/>
      <c r="C110" s="52"/>
      <c r="D110" s="53"/>
      <c r="E110" s="120"/>
      <c r="F110" s="120"/>
      <c r="G110" s="55"/>
      <c r="H110" s="56"/>
      <c r="I110" s="80"/>
      <c r="J110" s="80"/>
      <c r="K110" s="80"/>
      <c r="L110" s="58"/>
      <c r="M110" s="58"/>
      <c r="N110" s="58"/>
      <c r="O110" s="59"/>
      <c r="P110" s="60"/>
      <c r="Q110" s="80"/>
      <c r="R110" s="62"/>
      <c r="S110" s="63"/>
      <c r="T110" s="63" t="str">
        <f aca="false">IF(ISBLANK($C110),"",IF(G110=Constants!$B$2, TRUE(), IF(G110=Constants!$B$3, FALSE(), TRUE())))</f>
        <v/>
      </c>
      <c r="U110" s="63" t="str">
        <f aca="false">IF(ISBLANK($C110),"",IF(H110=Constants!$B$2, TRUE(), IF(H110=Constants!$B$3, FALSE(), TRUE())))</f>
        <v/>
      </c>
      <c r="V110" s="63" t="str">
        <f aca="false">IF(ISBLANK($C110),"",IF(I110=Constants!$B$2, TRUE(), IF(I110=Constants!$B$3, FALSE(), TRUE())))</f>
        <v/>
      </c>
      <c r="W110" s="63" t="str">
        <f aca="false">IF(ISBLANK($C110),"",IF(J110=Constants!$B$2, TRUE(), IF(J110=Constants!$B$3, FALSE(), TRUE())))</f>
        <v/>
      </c>
      <c r="X110" s="63" t="str">
        <f aca="false">IF(ISBLANK($C110),"",IF(K110=Constants!$B$2, TRUE(), IF(K110=Constants!$B$3, FALSE(), TRUE())))</f>
        <v/>
      </c>
      <c r="Y110" s="65" t="str">
        <f aca="false">IF(ISBLANK($C110),"",IF(ISNUMBER(L110), L110, ""))</f>
        <v/>
      </c>
      <c r="Z110" s="65" t="str">
        <f aca="false">IF(ISBLANK($C110),"",IF(ISNUMBER(M110), M110, ""))</f>
        <v/>
      </c>
      <c r="AA110" s="65" t="str">
        <f aca="false">IF(ISBLANK($C110),"",IF(ISNUMBER(N110), N110, ""))</f>
        <v/>
      </c>
      <c r="AB110" s="66" t="str">
        <f aca="false">IF(ISBLANK($C110),"",IF(ISNUMBER(O110), O110, ""))</f>
        <v/>
      </c>
      <c r="AC110" s="66" t="str">
        <f aca="false">IF(ISBLANK($C110),"",IF(ISNUMBER(P110), P110, Constants!$B$13))</f>
        <v/>
      </c>
      <c r="AD110" s="63" t="str">
        <f aca="false">IF(ISBLANK($C110),"",IF(Q110=Constants!$B$2, TRUE(), IF(Q110=Constants!$B$3, FALSE(), FALSE())))</f>
        <v/>
      </c>
      <c r="AE110" s="63" t="str">
        <f aca="false">IF(ISBLANK(C110), "", IF(AD110, Constants!$B$4,IF(COUNTA(G110:O110)=0, Constants!$B$5, Constants!$B$7)))</f>
        <v/>
      </c>
      <c r="AF110" s="63" t="str">
        <f aca="false">IF(ISBLANK($C110), "",IF($AE110=Constants!$B$7,1,$AE110))</f>
        <v/>
      </c>
      <c r="AG110" s="63" t="str">
        <f aca="false">IF($AE110=Constants!$B$7,IF(V110, 1, Constants!$B$11) * IF(X110, 1, Constants!$B$12),"")</f>
        <v/>
      </c>
      <c r="AH110" s="63" t="str">
        <f aca="false">IF(AND($AE110=Constants!$B$7, T110, U110) ,MAX(0, $AA110-$Y110),"")</f>
        <v/>
      </c>
      <c r="AI110" s="63" t="str">
        <f aca="false">IF(ISERROR(AH110),$AI$6,"")</f>
        <v/>
      </c>
      <c r="AJ110" s="63" t="str">
        <f aca="false">IF($AE110=Constants!$B$7,IF(AND(T110,U110,W110),IF($AH$6=0,Constants!$B$9,Constants!$B$9*AH110/$AH$6), 0),"")</f>
        <v/>
      </c>
      <c r="AK110" s="63" t="str">
        <f aca="false">IF(AJ110&lt;&gt;"", AJ110*AG110,"")</f>
        <v/>
      </c>
      <c r="AL110" s="63" t="str">
        <f aca="false">IF(AND($AE110=Constants!$B$7, T110, U110) ,IF($Z110="", "", MAX(0,1-ABS($AA110-$Z110)/$AA110)),"")</f>
        <v/>
      </c>
      <c r="AM110" s="63" t="str">
        <f aca="false">IF(AND(NOT(ISERROR(AH110)),ISERROR(AL110)),$AM$6,"")</f>
        <v/>
      </c>
      <c r="AN110" s="63" t="str">
        <f aca="false">IF($AE110=Constants!$B$7 ,IF(AND(T110,U110,W110,ISNUMBER(Z110)),IF($AL$6=0,Constants!$B$10,Constants!$B$10*AL110/$AL$6), 0),"")</f>
        <v/>
      </c>
      <c r="AO110" s="63" t="str">
        <f aca="false">IF(AN110&lt;&gt;"", AN110*AG110,"")</f>
        <v/>
      </c>
      <c r="AP110" s="63" t="str">
        <f aca="false">IF($AE110=Constants!$B$7,IF($AP$6=0,Constants!$B$8,Constants!$B$8*AB110/$AP$6),"")</f>
        <v/>
      </c>
      <c r="AQ110" s="63" t="str">
        <f aca="false">IF($AE110&lt;&gt;Constants!$B$7,$AE110,AK110+AO110+AP110)</f>
        <v/>
      </c>
      <c r="AR110" s="63" t="str">
        <f aca="false">IF(ISBLANK($C110),"",IF($AE110=Constants!$B$7,RANK(AQ110,$AQ$8:$AQ$507),$AE110))</f>
        <v/>
      </c>
      <c r="AS110" s="63" t="str">
        <f aca="false">IF(ISBLANK($C110), "",AK110)</f>
        <v/>
      </c>
      <c r="AT110" s="63" t="str">
        <f aca="false">IF(ISBLANK($C110),"",IF($AE110=Constants!$B$7,RANK(AS110,AS$8:AS$507),$AE110))</f>
        <v/>
      </c>
      <c r="AU110" s="63" t="str">
        <f aca="false">IF(ISBLANK($C110), "",AP110)</f>
        <v/>
      </c>
      <c r="AV110" s="63" t="str">
        <f aca="false">IF(ISBLANK($C110),"",IF($AE110=Constants!$B$7,RANK(AU110,AU$8:AU$507),$AE110))</f>
        <v/>
      </c>
      <c r="AW110" s="63" t="str">
        <f aca="false">IF(ISBLANK($C110), "",AC110)</f>
        <v/>
      </c>
      <c r="AX110" s="63" t="str">
        <f aca="false">IF(ISBLANK($C110),"",
IF($AE110=Constants!$B$7,
  COUNTIFS($AR$8:$AR$507,"&lt;"&amp;$AR110)
  + COUNTIFS($AR$8:$AR$507,$AR110,$AT$8:$AT$507,"&lt;"&amp;$AT110)
  + COUNTIFS($AR$8:$AR$507,$AR110,$AT$8:$AT$507,$AT110,$AV$8:$AV$507,"&lt;"&amp;$AV110)
  + COUNTIFS($AR$8:$AR$507,$AR110,$AT$8:$AT$507,$AT110,$AV$8:$AV$507,$AV110,$AW$8:$AW$507,"&lt;"&amp;$AW110)
  + 1,
$AE110))</f>
        <v/>
      </c>
      <c r="AY110" s="63" t="str">
        <f aca="false">IF(ISBLANK(C110),"",IF($AE110=Constants!$B$7, AR110-AX110,$AE110))</f>
        <v/>
      </c>
      <c r="AZ110" s="67"/>
      <c r="BA110" s="81" t="str">
        <f aca="false">IF(ISBLANK($C110),"",TRIM(AI110&amp;" "&amp;AM110))</f>
        <v/>
      </c>
      <c r="BB110" s="69" t="str">
        <f aca="false">IF(ISBLANK($C110),"",IF($AE110&lt;&gt;Constants!$B$7, $AE110 ,AQ110))</f>
        <v/>
      </c>
      <c r="BC110" s="70" t="str">
        <f aca="false">IF(ISBLANK($C110),"",IF($AE110&lt;&gt;Constants!$B$7, $AE110 ,AF110))</f>
        <v/>
      </c>
      <c r="BD110" s="71" t="str">
        <f aca="false">IF(ISBLANK(C110),"",AY110)</f>
        <v/>
      </c>
      <c r="BE110" s="71" t="str">
        <f aca="false">IF(ISBLANK(C110),"",AX110)</f>
        <v/>
      </c>
      <c r="BF110" s="72" t="str">
        <f aca="false">IF(ISBLANK(C110),"",IFERROR(_xlfn.SWITCH(BE110, Constants!$B$4, COUNTA($C$8:$C609)+2, Constants!$B$5, COUNTA($C$8:$C609)+1, Constants!$B$6, COUNTA($C$8:$C609)),BE110))</f>
        <v/>
      </c>
      <c r="BG110" s="5"/>
      <c r="BH110" s="73" t="n">
        <f aca="false">IF(OR(ISNUMBER(BE110),BE110="DQ",BE110="P",BE110="NS"),
    1,
    0
)</f>
        <v>0</v>
      </c>
      <c r="BI110" s="73" t="n">
        <v>103</v>
      </c>
      <c r="BJ110" s="73" t="str">
        <f aca="false">IF(ISBLANK($C110),
    "",
   BF110+ROW($B110)/1000
)</f>
        <v/>
      </c>
      <c r="BK110" s="73" t="str">
        <f aca="false">IF(ISNUMBER(BJ110), RANK(BJ110,BJ$8:BJ$507,1), "")</f>
        <v/>
      </c>
      <c r="BL110" s="73" t="str">
        <f aca="false">IF(ISBLANK($C110),
    "",
    $B110
)</f>
        <v/>
      </c>
      <c r="BM110" s="73" t="str">
        <f aca="false">IF(ISBLANK($C110),
    "",
    $C110
)</f>
        <v/>
      </c>
      <c r="BN110" s="73" t="str">
        <f aca="false">IF(ISBLANK($C110),
    "",
    $D110
)</f>
        <v/>
      </c>
      <c r="BO110" s="74" t="str">
        <f aca="false">BC110</f>
        <v/>
      </c>
      <c r="BP110" s="75" t="str">
        <f aca="false">BB110</f>
        <v/>
      </c>
      <c r="BQ110" s="73" t="str">
        <f aca="false">IF(ISBLANK($C110),
    "",
    BE110
)</f>
        <v/>
      </c>
      <c r="BR110" s="76" t="str">
        <f aca="false">IF(BI110&gt;BH$7,
    "",
    VLOOKUP(BI110,BK$8:BQ609,7,FALSE())
)</f>
        <v/>
      </c>
      <c r="BS110" s="77" t="str">
        <f aca="false">IF(BI110&gt;BH$7,
    "",
    VLOOKUP(BI110,BK$8:BQ609,2,FALSE())
)</f>
        <v/>
      </c>
      <c r="BT110" s="77" t="str">
        <f aca="false">IF(BI110&gt;BH$7,
    "",
    VLOOKUP(BI110,BK$8:BQ609,3,FALSE())
)</f>
        <v/>
      </c>
      <c r="BU110" s="77" t="str">
        <f aca="false">IF(BI110&gt;BH$7,
    "",
    VLOOKUP(BI110,BK$8:BQ609,4,FALSE())
)</f>
        <v/>
      </c>
      <c r="BV110" s="77" t="str">
        <f aca="false">IF(BI110&gt;BH$7,
    "",
    VLOOKUP(BI110,BK$8:BQ609,5,FALSE())
)</f>
        <v/>
      </c>
      <c r="BW110" s="78" t="str">
        <f aca="false">IF(BI110&gt;BH$7,
    "",
    VLOOKUP(BI110,BK$8:BQ609,6,FALSE())
)</f>
        <v/>
      </c>
      <c r="BX110" s="50"/>
    </row>
    <row r="111" customFormat="false" ht="15.75" hidden="false" customHeight="false" outlineLevel="0" collapsed="false">
      <c r="A111" s="5"/>
      <c r="B111" s="126"/>
      <c r="C111" s="52"/>
      <c r="D111" s="53"/>
      <c r="E111" s="120"/>
      <c r="F111" s="120"/>
      <c r="G111" s="55"/>
      <c r="H111" s="56"/>
      <c r="I111" s="80"/>
      <c r="J111" s="80"/>
      <c r="K111" s="80"/>
      <c r="L111" s="58"/>
      <c r="M111" s="58"/>
      <c r="N111" s="58"/>
      <c r="O111" s="59"/>
      <c r="P111" s="60"/>
      <c r="Q111" s="80"/>
      <c r="R111" s="62"/>
      <c r="S111" s="63"/>
      <c r="T111" s="63" t="str">
        <f aca="false">IF(ISBLANK($C111),"",IF(G111=Constants!$B$2, TRUE(), IF(G111=Constants!$B$3, FALSE(), TRUE())))</f>
        <v/>
      </c>
      <c r="U111" s="63" t="str">
        <f aca="false">IF(ISBLANK($C111),"",IF(H111=Constants!$B$2, TRUE(), IF(H111=Constants!$B$3, FALSE(), TRUE())))</f>
        <v/>
      </c>
      <c r="V111" s="63" t="str">
        <f aca="false">IF(ISBLANK($C111),"",IF(I111=Constants!$B$2, TRUE(), IF(I111=Constants!$B$3, FALSE(), TRUE())))</f>
        <v/>
      </c>
      <c r="W111" s="63" t="str">
        <f aca="false">IF(ISBLANK($C111),"",IF(J111=Constants!$B$2, TRUE(), IF(J111=Constants!$B$3, FALSE(), TRUE())))</f>
        <v/>
      </c>
      <c r="X111" s="63" t="str">
        <f aca="false">IF(ISBLANK($C111),"",IF(K111=Constants!$B$2, TRUE(), IF(K111=Constants!$B$3, FALSE(), TRUE())))</f>
        <v/>
      </c>
      <c r="Y111" s="65" t="str">
        <f aca="false">IF(ISBLANK($C111),"",IF(ISNUMBER(L111), L111, ""))</f>
        <v/>
      </c>
      <c r="Z111" s="65" t="str">
        <f aca="false">IF(ISBLANK($C111),"",IF(ISNUMBER(M111), M111, ""))</f>
        <v/>
      </c>
      <c r="AA111" s="65" t="str">
        <f aca="false">IF(ISBLANK($C111),"",IF(ISNUMBER(N111), N111, ""))</f>
        <v/>
      </c>
      <c r="AB111" s="66" t="str">
        <f aca="false">IF(ISBLANK($C111),"",IF(ISNUMBER(O111), O111, ""))</f>
        <v/>
      </c>
      <c r="AC111" s="66" t="str">
        <f aca="false">IF(ISBLANK($C111),"",IF(ISNUMBER(P111), P111, Constants!$B$13))</f>
        <v/>
      </c>
      <c r="AD111" s="63" t="str">
        <f aca="false">IF(ISBLANK($C111),"",IF(Q111=Constants!$B$2, TRUE(), IF(Q111=Constants!$B$3, FALSE(), FALSE())))</f>
        <v/>
      </c>
      <c r="AE111" s="63" t="str">
        <f aca="false">IF(ISBLANK(C111), "", IF(AD111, Constants!$B$4,IF(COUNTA(G111:O111)=0, Constants!$B$5, Constants!$B$7)))</f>
        <v/>
      </c>
      <c r="AF111" s="63" t="str">
        <f aca="false">IF(ISBLANK($C111), "",IF($AE111=Constants!$B$7,1,$AE111))</f>
        <v/>
      </c>
      <c r="AG111" s="63" t="str">
        <f aca="false">IF($AE111=Constants!$B$7,IF(V111, 1, Constants!$B$11) * IF(X111, 1, Constants!$B$12),"")</f>
        <v/>
      </c>
      <c r="AH111" s="63" t="str">
        <f aca="false">IF(AND($AE111=Constants!$B$7, T111, U111) ,MAX(0, $AA111-$Y111),"")</f>
        <v/>
      </c>
      <c r="AI111" s="63" t="str">
        <f aca="false">IF(ISERROR(AH111),$AI$6,"")</f>
        <v/>
      </c>
      <c r="AJ111" s="63" t="str">
        <f aca="false">IF($AE111=Constants!$B$7,IF(AND(T111,U111,W111),IF($AH$6=0,Constants!$B$9,Constants!$B$9*AH111/$AH$6), 0),"")</f>
        <v/>
      </c>
      <c r="AK111" s="63" t="str">
        <f aca="false">IF(AJ111&lt;&gt;"", AJ111*AG111,"")</f>
        <v/>
      </c>
      <c r="AL111" s="63" t="str">
        <f aca="false">IF(AND($AE111=Constants!$B$7, T111, U111) ,IF($Z111="", "", MAX(0,1-ABS($AA111-$Z111)/$AA111)),"")</f>
        <v/>
      </c>
      <c r="AM111" s="63" t="str">
        <f aca="false">IF(AND(NOT(ISERROR(AH111)),ISERROR(AL111)),$AM$6,"")</f>
        <v/>
      </c>
      <c r="AN111" s="63" t="str">
        <f aca="false">IF($AE111=Constants!$B$7 ,IF(AND(T111,U111,W111,ISNUMBER(Z111)),IF($AL$6=0,Constants!$B$10,Constants!$B$10*AL111/$AL$6), 0),"")</f>
        <v/>
      </c>
      <c r="AO111" s="63" t="str">
        <f aca="false">IF(AN111&lt;&gt;"", AN111*AG111,"")</f>
        <v/>
      </c>
      <c r="AP111" s="63" t="str">
        <f aca="false">IF($AE111=Constants!$B$7,IF($AP$6=0,Constants!$B$8,Constants!$B$8*AB111/$AP$6),"")</f>
        <v/>
      </c>
      <c r="AQ111" s="63" t="str">
        <f aca="false">IF($AE111&lt;&gt;Constants!$B$7,$AE111,AK111+AO111+AP111)</f>
        <v/>
      </c>
      <c r="AR111" s="63" t="str">
        <f aca="false">IF(ISBLANK($C111),"",IF($AE111=Constants!$B$7,RANK(AQ111,$AQ$8:$AQ$507),$AE111))</f>
        <v/>
      </c>
      <c r="AS111" s="63" t="str">
        <f aca="false">IF(ISBLANK($C111), "",AK111)</f>
        <v/>
      </c>
      <c r="AT111" s="63" t="str">
        <f aca="false">IF(ISBLANK($C111),"",IF($AE111=Constants!$B$7,RANK(AS111,AS$8:AS$507),$AE111))</f>
        <v/>
      </c>
      <c r="AU111" s="63" t="str">
        <f aca="false">IF(ISBLANK($C111), "",AP111)</f>
        <v/>
      </c>
      <c r="AV111" s="63" t="str">
        <f aca="false">IF(ISBLANK($C111),"",IF($AE111=Constants!$B$7,RANK(AU111,AU$8:AU$507),$AE111))</f>
        <v/>
      </c>
      <c r="AW111" s="63" t="str">
        <f aca="false">IF(ISBLANK($C111), "",AC111)</f>
        <v/>
      </c>
      <c r="AX111" s="63" t="str">
        <f aca="false">IF(ISBLANK($C111),"",
IF($AE111=Constants!$B$7,
  COUNTIFS($AR$8:$AR$507,"&lt;"&amp;$AR111)
  + COUNTIFS($AR$8:$AR$507,$AR111,$AT$8:$AT$507,"&lt;"&amp;$AT111)
  + COUNTIFS($AR$8:$AR$507,$AR111,$AT$8:$AT$507,$AT111,$AV$8:$AV$507,"&lt;"&amp;$AV111)
  + COUNTIFS($AR$8:$AR$507,$AR111,$AT$8:$AT$507,$AT111,$AV$8:$AV$507,$AV111,$AW$8:$AW$507,"&lt;"&amp;$AW111)
  + 1,
$AE111))</f>
        <v/>
      </c>
      <c r="AY111" s="63" t="str">
        <f aca="false">IF(ISBLANK(C111),"",IF($AE111=Constants!$B$7, AR111-AX111,$AE111))</f>
        <v/>
      </c>
      <c r="AZ111" s="67"/>
      <c r="BA111" s="81" t="str">
        <f aca="false">IF(ISBLANK($C111),"",TRIM(AI111&amp;" "&amp;AM111))</f>
        <v/>
      </c>
      <c r="BB111" s="69" t="str">
        <f aca="false">IF(ISBLANK($C111),"",IF($AE111&lt;&gt;Constants!$B$7, $AE111 ,AQ111))</f>
        <v/>
      </c>
      <c r="BC111" s="70" t="str">
        <f aca="false">IF(ISBLANK($C111),"",IF($AE111&lt;&gt;Constants!$B$7, $AE111 ,AF111))</f>
        <v/>
      </c>
      <c r="BD111" s="71" t="str">
        <f aca="false">IF(ISBLANK(C111),"",AY111)</f>
        <v/>
      </c>
      <c r="BE111" s="71" t="str">
        <f aca="false">IF(ISBLANK(C111),"",AX111)</f>
        <v/>
      </c>
      <c r="BF111" s="72" t="str">
        <f aca="false">IF(ISBLANK(C111),"",IFERROR(_xlfn.SWITCH(BE111, Constants!$B$4, COUNTA($C$8:$C610)+2, Constants!$B$5, COUNTA($C$8:$C610)+1, Constants!$B$6, COUNTA($C$8:$C610)),BE111))</f>
        <v/>
      </c>
      <c r="BG111" s="5"/>
      <c r="BH111" s="73" t="n">
        <f aca="false">IF(OR(ISNUMBER(BE111),BE111="DQ",BE111="P",BE111="NS"),
    1,
    0
)</f>
        <v>0</v>
      </c>
      <c r="BI111" s="73" t="n">
        <v>104</v>
      </c>
      <c r="BJ111" s="73" t="str">
        <f aca="false">IF(ISBLANK($C111),
    "",
   BF111+ROW($B111)/1000
)</f>
        <v/>
      </c>
      <c r="BK111" s="73" t="str">
        <f aca="false">IF(ISNUMBER(BJ111), RANK(BJ111,BJ$8:BJ$507,1), "")</f>
        <v/>
      </c>
      <c r="BL111" s="73" t="str">
        <f aca="false">IF(ISBLANK($C111),
    "",
    $B111
)</f>
        <v/>
      </c>
      <c r="BM111" s="73" t="str">
        <f aca="false">IF(ISBLANK($C111),
    "",
    $C111
)</f>
        <v/>
      </c>
      <c r="BN111" s="73" t="str">
        <f aca="false">IF(ISBLANK($C111),
    "",
    $D111
)</f>
        <v/>
      </c>
      <c r="BO111" s="74" t="str">
        <f aca="false">BC111</f>
        <v/>
      </c>
      <c r="BP111" s="75" t="str">
        <f aca="false">BB111</f>
        <v/>
      </c>
      <c r="BQ111" s="73" t="str">
        <f aca="false">IF(ISBLANK($C111),
    "",
    BE111
)</f>
        <v/>
      </c>
      <c r="BR111" s="76" t="str">
        <f aca="false">IF(BI111&gt;BH$7,
    "",
    VLOOKUP(BI111,BK$8:BQ610,7,FALSE())
)</f>
        <v/>
      </c>
      <c r="BS111" s="77" t="str">
        <f aca="false">IF(BI111&gt;BH$7,
    "",
    VLOOKUP(BI111,BK$8:BQ610,2,FALSE())
)</f>
        <v/>
      </c>
      <c r="BT111" s="77" t="str">
        <f aca="false">IF(BI111&gt;BH$7,
    "",
    VLOOKUP(BI111,BK$8:BQ610,3,FALSE())
)</f>
        <v/>
      </c>
      <c r="BU111" s="77" t="str">
        <f aca="false">IF(BI111&gt;BH$7,
    "",
    VLOOKUP(BI111,BK$8:BQ610,4,FALSE())
)</f>
        <v/>
      </c>
      <c r="BV111" s="77" t="str">
        <f aca="false">IF(BI111&gt;BH$7,
    "",
    VLOOKUP(BI111,BK$8:BQ610,5,FALSE())
)</f>
        <v/>
      </c>
      <c r="BW111" s="78" t="str">
        <f aca="false">IF(BI111&gt;BH$7,
    "",
    VLOOKUP(BI111,BK$8:BQ610,6,FALSE())
)</f>
        <v/>
      </c>
      <c r="BX111" s="50"/>
    </row>
    <row r="112" customFormat="false" ht="15.75" hidden="false" customHeight="false" outlineLevel="0" collapsed="false">
      <c r="A112" s="5"/>
      <c r="B112" s="126"/>
      <c r="C112" s="52"/>
      <c r="D112" s="53"/>
      <c r="E112" s="120"/>
      <c r="F112" s="120"/>
      <c r="G112" s="55"/>
      <c r="H112" s="56"/>
      <c r="I112" s="80"/>
      <c r="J112" s="80"/>
      <c r="K112" s="80"/>
      <c r="L112" s="58"/>
      <c r="M112" s="58"/>
      <c r="N112" s="58"/>
      <c r="O112" s="59"/>
      <c r="P112" s="60"/>
      <c r="Q112" s="80"/>
      <c r="R112" s="62"/>
      <c r="S112" s="63"/>
      <c r="T112" s="63" t="str">
        <f aca="false">IF(ISBLANK($C112),"",IF(G112=Constants!$B$2, TRUE(), IF(G112=Constants!$B$3, FALSE(), TRUE())))</f>
        <v/>
      </c>
      <c r="U112" s="63" t="str">
        <f aca="false">IF(ISBLANK($C112),"",IF(H112=Constants!$B$2, TRUE(), IF(H112=Constants!$B$3, FALSE(), TRUE())))</f>
        <v/>
      </c>
      <c r="V112" s="63" t="str">
        <f aca="false">IF(ISBLANK($C112),"",IF(I112=Constants!$B$2, TRUE(), IF(I112=Constants!$B$3, FALSE(), TRUE())))</f>
        <v/>
      </c>
      <c r="W112" s="63" t="str">
        <f aca="false">IF(ISBLANK($C112),"",IF(J112=Constants!$B$2, TRUE(), IF(J112=Constants!$B$3, FALSE(), TRUE())))</f>
        <v/>
      </c>
      <c r="X112" s="63" t="str">
        <f aca="false">IF(ISBLANK($C112),"",IF(K112=Constants!$B$2, TRUE(), IF(K112=Constants!$B$3, FALSE(), TRUE())))</f>
        <v/>
      </c>
      <c r="Y112" s="65" t="str">
        <f aca="false">IF(ISBLANK($C112),"",IF(ISNUMBER(L112), L112, ""))</f>
        <v/>
      </c>
      <c r="Z112" s="65" t="str">
        <f aca="false">IF(ISBLANK($C112),"",IF(ISNUMBER(M112), M112, ""))</f>
        <v/>
      </c>
      <c r="AA112" s="65" t="str">
        <f aca="false">IF(ISBLANK($C112),"",IF(ISNUMBER(N112), N112, ""))</f>
        <v/>
      </c>
      <c r="AB112" s="66" t="str">
        <f aca="false">IF(ISBLANK($C112),"",IF(ISNUMBER(O112), O112, ""))</f>
        <v/>
      </c>
      <c r="AC112" s="66" t="str">
        <f aca="false">IF(ISBLANK($C112),"",IF(ISNUMBER(P112), P112, Constants!$B$13))</f>
        <v/>
      </c>
      <c r="AD112" s="63" t="str">
        <f aca="false">IF(ISBLANK($C112),"",IF(Q112=Constants!$B$2, TRUE(), IF(Q112=Constants!$B$3, FALSE(), FALSE())))</f>
        <v/>
      </c>
      <c r="AE112" s="63" t="str">
        <f aca="false">IF(ISBLANK(C112), "", IF(AD112, Constants!$B$4,IF(COUNTA(G112:O112)=0, Constants!$B$5, Constants!$B$7)))</f>
        <v/>
      </c>
      <c r="AF112" s="63" t="str">
        <f aca="false">IF(ISBLANK($C112), "",IF($AE112=Constants!$B$7,1,$AE112))</f>
        <v/>
      </c>
      <c r="AG112" s="63" t="str">
        <f aca="false">IF($AE112=Constants!$B$7,IF(V112, 1, Constants!$B$11) * IF(X112, 1, Constants!$B$12),"")</f>
        <v/>
      </c>
      <c r="AH112" s="63" t="str">
        <f aca="false">IF(AND($AE112=Constants!$B$7, T112, U112) ,MAX(0, $AA112-$Y112),"")</f>
        <v/>
      </c>
      <c r="AI112" s="63" t="str">
        <f aca="false">IF(ISERROR(AH112),$AI$6,"")</f>
        <v/>
      </c>
      <c r="AJ112" s="63" t="str">
        <f aca="false">IF($AE112=Constants!$B$7,IF(AND(T112,U112,W112),IF($AH$6=0,Constants!$B$9,Constants!$B$9*AH112/$AH$6), 0),"")</f>
        <v/>
      </c>
      <c r="AK112" s="63" t="str">
        <f aca="false">IF(AJ112&lt;&gt;"", AJ112*AG112,"")</f>
        <v/>
      </c>
      <c r="AL112" s="63" t="str">
        <f aca="false">IF(AND($AE112=Constants!$B$7, T112, U112) ,IF($Z112="", "", MAX(0,1-ABS($AA112-$Z112)/$AA112)),"")</f>
        <v/>
      </c>
      <c r="AM112" s="63" t="str">
        <f aca="false">IF(AND(NOT(ISERROR(AH112)),ISERROR(AL112)),$AM$6,"")</f>
        <v/>
      </c>
      <c r="AN112" s="63" t="str">
        <f aca="false">IF($AE112=Constants!$B$7 ,IF(AND(T112,U112,W112,ISNUMBER(Z112)),IF($AL$6=0,Constants!$B$10,Constants!$B$10*AL112/$AL$6), 0),"")</f>
        <v/>
      </c>
      <c r="AO112" s="63" t="str">
        <f aca="false">IF(AN112&lt;&gt;"", AN112*AG112,"")</f>
        <v/>
      </c>
      <c r="AP112" s="63" t="str">
        <f aca="false">IF($AE112=Constants!$B$7,IF($AP$6=0,Constants!$B$8,Constants!$B$8*AB112/$AP$6),"")</f>
        <v/>
      </c>
      <c r="AQ112" s="63" t="str">
        <f aca="false">IF($AE112&lt;&gt;Constants!$B$7,$AE112,AK112+AO112+AP112)</f>
        <v/>
      </c>
      <c r="AR112" s="63" t="str">
        <f aca="false">IF(ISBLANK($C112),"",IF($AE112=Constants!$B$7,RANK(AQ112,$AQ$8:$AQ$507),$AE112))</f>
        <v/>
      </c>
      <c r="AS112" s="63" t="str">
        <f aca="false">IF(ISBLANK($C112), "",AK112)</f>
        <v/>
      </c>
      <c r="AT112" s="63" t="str">
        <f aca="false">IF(ISBLANK($C112),"",IF($AE112=Constants!$B$7,RANK(AS112,AS$8:AS$507),$AE112))</f>
        <v/>
      </c>
      <c r="AU112" s="63" t="str">
        <f aca="false">IF(ISBLANK($C112), "",AP112)</f>
        <v/>
      </c>
      <c r="AV112" s="63" t="str">
        <f aca="false">IF(ISBLANK($C112),"",IF($AE112=Constants!$B$7,RANK(AU112,AU$8:AU$507),$AE112))</f>
        <v/>
      </c>
      <c r="AW112" s="63" t="str">
        <f aca="false">IF(ISBLANK($C112), "",AC112)</f>
        <v/>
      </c>
      <c r="AX112" s="63" t="str">
        <f aca="false">IF(ISBLANK($C112),"",
IF($AE112=Constants!$B$7,
  COUNTIFS($AR$8:$AR$507,"&lt;"&amp;$AR112)
  + COUNTIFS($AR$8:$AR$507,$AR112,$AT$8:$AT$507,"&lt;"&amp;$AT112)
  + COUNTIFS($AR$8:$AR$507,$AR112,$AT$8:$AT$507,$AT112,$AV$8:$AV$507,"&lt;"&amp;$AV112)
  + COUNTIFS($AR$8:$AR$507,$AR112,$AT$8:$AT$507,$AT112,$AV$8:$AV$507,$AV112,$AW$8:$AW$507,"&lt;"&amp;$AW112)
  + 1,
$AE112))</f>
        <v/>
      </c>
      <c r="AY112" s="63" t="str">
        <f aca="false">IF(ISBLANK(C112),"",IF($AE112=Constants!$B$7, AR112-AX112,$AE112))</f>
        <v/>
      </c>
      <c r="AZ112" s="67"/>
      <c r="BA112" s="81" t="str">
        <f aca="false">IF(ISBLANK($C112),"",TRIM(AI112&amp;" "&amp;AM112))</f>
        <v/>
      </c>
      <c r="BB112" s="69" t="str">
        <f aca="false">IF(ISBLANK($C112),"",IF($AE112&lt;&gt;Constants!$B$7, $AE112 ,AQ112))</f>
        <v/>
      </c>
      <c r="BC112" s="70" t="str">
        <f aca="false">IF(ISBLANK($C112),"",IF($AE112&lt;&gt;Constants!$B$7, $AE112 ,AF112))</f>
        <v/>
      </c>
      <c r="BD112" s="71" t="str">
        <f aca="false">IF(ISBLANK(C112),"",AY112)</f>
        <v/>
      </c>
      <c r="BE112" s="71" t="str">
        <f aca="false">IF(ISBLANK(C112),"",AX112)</f>
        <v/>
      </c>
      <c r="BF112" s="72" t="str">
        <f aca="false">IF(ISBLANK(C112),"",IFERROR(_xlfn.SWITCH(BE112, Constants!$B$4, COUNTA($C$8:$C611)+2, Constants!$B$5, COUNTA($C$8:$C611)+1, Constants!$B$6, COUNTA($C$8:$C611)),BE112))</f>
        <v/>
      </c>
      <c r="BG112" s="5"/>
      <c r="BH112" s="73" t="n">
        <f aca="false">IF(OR(ISNUMBER(BE112),BE112="DQ",BE112="P",BE112="NS"),
    1,
    0
)</f>
        <v>0</v>
      </c>
      <c r="BI112" s="73" t="n">
        <v>105</v>
      </c>
      <c r="BJ112" s="73" t="str">
        <f aca="false">IF(ISBLANK($C112),
    "",
   BF112+ROW($B112)/1000
)</f>
        <v/>
      </c>
      <c r="BK112" s="73" t="str">
        <f aca="false">IF(ISNUMBER(BJ112), RANK(BJ112,BJ$8:BJ$507,1), "")</f>
        <v/>
      </c>
      <c r="BL112" s="73" t="str">
        <f aca="false">IF(ISBLANK($C112),
    "",
    $B112
)</f>
        <v/>
      </c>
      <c r="BM112" s="73" t="str">
        <f aca="false">IF(ISBLANK($C112),
    "",
    $C112
)</f>
        <v/>
      </c>
      <c r="BN112" s="73" t="str">
        <f aca="false">IF(ISBLANK($C112),
    "",
    $D112
)</f>
        <v/>
      </c>
      <c r="BO112" s="74" t="str">
        <f aca="false">BC112</f>
        <v/>
      </c>
      <c r="BP112" s="75" t="str">
        <f aca="false">BB112</f>
        <v/>
      </c>
      <c r="BQ112" s="73" t="str">
        <f aca="false">IF(ISBLANK($C112),
    "",
    BE112
)</f>
        <v/>
      </c>
      <c r="BR112" s="76" t="str">
        <f aca="false">IF(BI112&gt;BH$7,
    "",
    VLOOKUP(BI112,BK$8:BQ611,7,FALSE())
)</f>
        <v/>
      </c>
      <c r="BS112" s="77" t="str">
        <f aca="false">IF(BI112&gt;BH$7,
    "",
    VLOOKUP(BI112,BK$8:BQ611,2,FALSE())
)</f>
        <v/>
      </c>
      <c r="BT112" s="77" t="str">
        <f aca="false">IF(BI112&gt;BH$7,
    "",
    VLOOKUP(BI112,BK$8:BQ611,3,FALSE())
)</f>
        <v/>
      </c>
      <c r="BU112" s="77" t="str">
        <f aca="false">IF(BI112&gt;BH$7,
    "",
    VLOOKUP(BI112,BK$8:BQ611,4,FALSE())
)</f>
        <v/>
      </c>
      <c r="BV112" s="77" t="str">
        <f aca="false">IF(BI112&gt;BH$7,
    "",
    VLOOKUP(BI112,BK$8:BQ611,5,FALSE())
)</f>
        <v/>
      </c>
      <c r="BW112" s="78" t="str">
        <f aca="false">IF(BI112&gt;BH$7,
    "",
    VLOOKUP(BI112,BK$8:BQ611,6,FALSE())
)</f>
        <v/>
      </c>
      <c r="BX112" s="50"/>
    </row>
    <row r="113" customFormat="false" ht="15.75" hidden="false" customHeight="false" outlineLevel="0" collapsed="false">
      <c r="A113" s="5"/>
      <c r="B113" s="122"/>
      <c r="C113" s="123"/>
      <c r="D113" s="112"/>
      <c r="E113" s="116"/>
      <c r="F113" s="116"/>
      <c r="G113" s="88"/>
      <c r="H113" s="89"/>
      <c r="I113" s="125"/>
      <c r="J113" s="125"/>
      <c r="K113" s="125"/>
      <c r="L113" s="91"/>
      <c r="M113" s="91"/>
      <c r="N113" s="91"/>
      <c r="O113" s="92"/>
      <c r="P113" s="93"/>
      <c r="Q113" s="125"/>
      <c r="R113" s="95"/>
      <c r="S113" s="96"/>
      <c r="T113" s="96" t="str">
        <f aca="false">IF(ISBLANK($C113),"",IF(G113=Constants!$B$2, TRUE(), IF(G113=Constants!$B$3, FALSE(), TRUE())))</f>
        <v/>
      </c>
      <c r="U113" s="96" t="str">
        <f aca="false">IF(ISBLANK($C113),"",IF(H113=Constants!$B$2, TRUE(), IF(H113=Constants!$B$3, FALSE(), TRUE())))</f>
        <v/>
      </c>
      <c r="V113" s="96" t="str">
        <f aca="false">IF(ISBLANK($C113),"",IF(I113=Constants!$B$2, TRUE(), IF(I113=Constants!$B$3, FALSE(), TRUE())))</f>
        <v/>
      </c>
      <c r="W113" s="96" t="str">
        <f aca="false">IF(ISBLANK($C113),"",IF(J113=Constants!$B$2, TRUE(), IF(J113=Constants!$B$3, FALSE(), TRUE())))</f>
        <v/>
      </c>
      <c r="X113" s="97" t="str">
        <f aca="false">IF(ISBLANK($C113),"",IF(K113=Constants!$B$2, TRUE(), IF(K113=Constants!$B$3, FALSE(), TRUE())))</f>
        <v/>
      </c>
      <c r="Y113" s="98" t="str">
        <f aca="false">IF(ISBLANK($C113),"",IF(ISNUMBER(L113), L113, ""))</f>
        <v/>
      </c>
      <c r="Z113" s="98" t="str">
        <f aca="false">IF(ISBLANK($C113),"",IF(ISNUMBER(M113), M113, ""))</f>
        <v/>
      </c>
      <c r="AA113" s="98" t="str">
        <f aca="false">IF(ISBLANK($C113),"",IF(ISNUMBER(N113), N113, ""))</f>
        <v/>
      </c>
      <c r="AB113" s="99" t="str">
        <f aca="false">IF(ISBLANK($C113),"",IF(ISNUMBER(O113), O113, ""))</f>
        <v/>
      </c>
      <c r="AC113" s="99" t="str">
        <f aca="false">IF(ISBLANK($C113),"",IF(ISNUMBER(P113), P113, Constants!$B$13))</f>
        <v/>
      </c>
      <c r="AD113" s="96" t="str">
        <f aca="false">IF(ISBLANK($C113),"",IF(Q113=Constants!$B$2, TRUE(), IF(Q113=Constants!$B$3, FALSE(), FALSE())))</f>
        <v/>
      </c>
      <c r="AE113" s="96" t="str">
        <f aca="false">IF(ISBLANK(C113), "", IF(AD113, Constants!$B$4,IF(COUNTA(G113:O113)=0, Constants!$B$5, Constants!$B$7)))</f>
        <v/>
      </c>
      <c r="AF113" s="96" t="str">
        <f aca="false">IF(ISBLANK($C113), "",IF($AE113=Constants!$B$7,1,$AE113))</f>
        <v/>
      </c>
      <c r="AG113" s="96" t="str">
        <f aca="false">IF($AE113=Constants!$B$7,IF(V113, 1, Constants!$B$11) * IF(X113, 1, Constants!$B$12),"")</f>
        <v/>
      </c>
      <c r="AH113" s="96" t="str">
        <f aca="false">IF(AND($AE113=Constants!$B$7, T113, U113) ,MAX(0, $AA113-$Y113),"")</f>
        <v/>
      </c>
      <c r="AI113" s="96" t="str">
        <f aca="false">IF(ISERROR(AH113),$AI$6,"")</f>
        <v/>
      </c>
      <c r="AJ113" s="96" t="str">
        <f aca="false">IF($AE113=Constants!$B$7,IF(AND(T113,U113,W113),IF($AH$6=0,Constants!$B$9,Constants!$B$9*AH113/$AH$6), 0),"")</f>
        <v/>
      </c>
      <c r="AK113" s="96" t="str">
        <f aca="false">IF(AJ113&lt;&gt;"", AJ113*AG113,"")</f>
        <v/>
      </c>
      <c r="AL113" s="96" t="str">
        <f aca="false">IF(AND($AE113=Constants!$B$7, T113, U113) ,IF($Z113="", "", MAX(0,1-ABS($AA113-$Z113)/$AA113)),"")</f>
        <v/>
      </c>
      <c r="AM113" s="96" t="str">
        <f aca="false">IF(AND(NOT(ISERROR(AH113)),ISERROR(AL113)),$AM$6,"")</f>
        <v/>
      </c>
      <c r="AN113" s="96" t="str">
        <f aca="false">IF($AE113=Constants!$B$7 ,IF(AND(T113,U113,W113,ISNUMBER(Z113)),IF($AL$6=0,Constants!$B$10,Constants!$B$10*AL113/$AL$6), 0),"")</f>
        <v/>
      </c>
      <c r="AO113" s="96" t="str">
        <f aca="false">IF(AN113&lt;&gt;"", AN113*AG113,"")</f>
        <v/>
      </c>
      <c r="AP113" s="96" t="str">
        <f aca="false">IF($AE113=Constants!$B$7,IF($AP$6=0,Constants!$B$8,Constants!$B$8*AB113/$AP$6),"")</f>
        <v/>
      </c>
      <c r="AQ113" s="96" t="str">
        <f aca="false">IF($AE113&lt;&gt;Constants!$B$7,$AE113,AK113+AO113+AP113)</f>
        <v/>
      </c>
      <c r="AR113" s="96" t="str">
        <f aca="false">IF(ISBLANK($C113),"",IF($AE113=Constants!$B$7,RANK(AQ113,$AQ$8:$AQ$507),$AE113))</f>
        <v/>
      </c>
      <c r="AS113" s="96" t="str">
        <f aca="false">IF(ISBLANK($C113), "",AK113)</f>
        <v/>
      </c>
      <c r="AT113" s="96" t="str">
        <f aca="false">IF(ISBLANK($C113),"",IF($AE113=Constants!$B$7,RANK(AS113,AS$8:AS$507),$AE113))</f>
        <v/>
      </c>
      <c r="AU113" s="96" t="str">
        <f aca="false">IF(ISBLANK($C113), "",AP113)</f>
        <v/>
      </c>
      <c r="AV113" s="96" t="str">
        <f aca="false">IF(ISBLANK($C113),"",IF($AE113=Constants!$B$7,RANK(AU113,AU$8:AU$507),$AE113))</f>
        <v/>
      </c>
      <c r="AW113" s="96" t="str">
        <f aca="false">IF(ISBLANK($C113), "",AC113)</f>
        <v/>
      </c>
      <c r="AX113" s="96" t="str">
        <f aca="false">IF(ISBLANK($C113),"",
IF($AE113=Constants!$B$7,
  COUNTIFS($AR$8:$AR$507,"&lt;"&amp;$AR113)
  + COUNTIFS($AR$8:$AR$507,$AR113,$AT$8:$AT$507,"&lt;"&amp;$AT113)
  + COUNTIFS($AR$8:$AR$507,$AR113,$AT$8:$AT$507,$AT113,$AV$8:$AV$507,"&lt;"&amp;$AV113)
  + COUNTIFS($AR$8:$AR$507,$AR113,$AT$8:$AT$507,$AT113,$AV$8:$AV$507,$AV113,$AW$8:$AW$507,"&lt;"&amp;$AW113)
  + 1,
$AE113))</f>
        <v/>
      </c>
      <c r="AY113" s="96" t="str">
        <f aca="false">IF(ISBLANK(C113),"",IF($AE113=Constants!$B$7, AR113-AX113,$AE113))</f>
        <v/>
      </c>
      <c r="AZ113" s="100"/>
      <c r="BA113" s="101" t="str">
        <f aca="false">IF(ISBLANK($C113),"",TRIM(AI113&amp;" "&amp;AM113))</f>
        <v/>
      </c>
      <c r="BB113" s="102" t="str">
        <f aca="false">IF(ISBLANK($C113),"",IF($AE113&lt;&gt;Constants!$B$7, $AE113 ,AQ113))</f>
        <v/>
      </c>
      <c r="BC113" s="103" t="str">
        <f aca="false">IF(ISBLANK($C113),"",IF($AE113&lt;&gt;Constants!$B$7, $AE113 ,AF113))</f>
        <v/>
      </c>
      <c r="BD113" s="104" t="str">
        <f aca="false">IF(ISBLANK(C113),"",AY113)</f>
        <v/>
      </c>
      <c r="BE113" s="104" t="str">
        <f aca="false">IF(ISBLANK(C113),"",AX113)</f>
        <v/>
      </c>
      <c r="BF113" s="105" t="str">
        <f aca="false">IF(ISBLANK(C113),"",IFERROR(_xlfn.SWITCH(BE113, Constants!$B$4, COUNTA($C$8:$C612)+2, Constants!$B$5, COUNTA($C$8:$C612)+1, Constants!$B$6, COUNTA($C$8:$C612)),BE113))</f>
        <v/>
      </c>
      <c r="BG113" s="5"/>
      <c r="BH113" s="106" t="n">
        <f aca="false">IF(OR(ISNUMBER(BE113),BE113="DQ",BE113="P",BE113="NS"),
    1,
    0
)</f>
        <v>0</v>
      </c>
      <c r="BI113" s="106" t="n">
        <v>106</v>
      </c>
      <c r="BJ113" s="106" t="str">
        <f aca="false">IF(ISBLANK($C113),
    "",
   BF113+ROW($B113)/1000
)</f>
        <v/>
      </c>
      <c r="BK113" s="106" t="str">
        <f aca="false">IF(ISNUMBER(BJ113), RANK(BJ113,BJ$8:BJ$507,1), "")</f>
        <v/>
      </c>
      <c r="BL113" s="106" t="str">
        <f aca="false">IF(ISBLANK($C113),
    "",
    $B113
)</f>
        <v/>
      </c>
      <c r="BM113" s="106" t="str">
        <f aca="false">IF(ISBLANK($C113),
    "",
    $C113
)</f>
        <v/>
      </c>
      <c r="BN113" s="106" t="str">
        <f aca="false">IF(ISBLANK($C113),
    "",
    $D113
)</f>
        <v/>
      </c>
      <c r="BO113" s="107" t="str">
        <f aca="false">BC113</f>
        <v/>
      </c>
      <c r="BP113" s="108" t="str">
        <f aca="false">BB113</f>
        <v/>
      </c>
      <c r="BQ113" s="106" t="str">
        <f aca="false">IF(ISBLANK($C113),
    "",
    BE113
)</f>
        <v/>
      </c>
      <c r="BR113" s="109" t="str">
        <f aca="false">IF(BI113&gt;BH$7,
    "",
    VLOOKUP(BI113,BK$8:BQ612,7,FALSE())
)</f>
        <v/>
      </c>
      <c r="BS113" s="110" t="str">
        <f aca="false">IF(BI113&gt;BH$7,
    "",
    VLOOKUP(BI113,BK$8:BQ612,2,FALSE())
)</f>
        <v/>
      </c>
      <c r="BT113" s="110" t="str">
        <f aca="false">IF(BI113&gt;BH$7,
    "",
    VLOOKUP(BI113,BK$8:BQ612,3,FALSE())
)</f>
        <v/>
      </c>
      <c r="BU113" s="110" t="str">
        <f aca="false">IF(BI113&gt;BH$7,
    "",
    VLOOKUP(BI113,BK$8:BQ612,4,FALSE())
)</f>
        <v/>
      </c>
      <c r="BV113" s="110" t="str">
        <f aca="false">IF(BI113&gt;BH$7,
    "",
    VLOOKUP(BI113,BK$8:BQ612,5,FALSE())
)</f>
        <v/>
      </c>
      <c r="BW113" s="111" t="str">
        <f aca="false">IF(BI113&gt;BH$7,
    "",
    VLOOKUP(BI113,BK$8:BQ612,6,FALSE())
)</f>
        <v/>
      </c>
      <c r="BX113" s="50"/>
    </row>
    <row r="114" customFormat="false" ht="15.75" hidden="false" customHeight="false" outlineLevel="0" collapsed="false">
      <c r="A114" s="5"/>
      <c r="B114" s="122"/>
      <c r="C114" s="123"/>
      <c r="D114" s="112"/>
      <c r="E114" s="116"/>
      <c r="F114" s="116"/>
      <c r="G114" s="88"/>
      <c r="H114" s="89"/>
      <c r="I114" s="125"/>
      <c r="J114" s="125"/>
      <c r="K114" s="125"/>
      <c r="L114" s="91"/>
      <c r="M114" s="91"/>
      <c r="N114" s="91"/>
      <c r="O114" s="92"/>
      <c r="P114" s="93"/>
      <c r="Q114" s="125"/>
      <c r="R114" s="95"/>
      <c r="S114" s="96"/>
      <c r="T114" s="96" t="str">
        <f aca="false">IF(ISBLANK($C114),"",IF(G114=Constants!$B$2, TRUE(), IF(G114=Constants!$B$3, FALSE(), TRUE())))</f>
        <v/>
      </c>
      <c r="U114" s="96" t="str">
        <f aca="false">IF(ISBLANK($C114),"",IF(H114=Constants!$B$2, TRUE(), IF(H114=Constants!$B$3, FALSE(), TRUE())))</f>
        <v/>
      </c>
      <c r="V114" s="96" t="str">
        <f aca="false">IF(ISBLANK($C114),"",IF(I114=Constants!$B$2, TRUE(), IF(I114=Constants!$B$3, FALSE(), TRUE())))</f>
        <v/>
      </c>
      <c r="W114" s="96" t="str">
        <f aca="false">IF(ISBLANK($C114),"",IF(J114=Constants!$B$2, TRUE(), IF(J114=Constants!$B$3, FALSE(), TRUE())))</f>
        <v/>
      </c>
      <c r="X114" s="97" t="str">
        <f aca="false">IF(ISBLANK($C114),"",IF(K114=Constants!$B$2, TRUE(), IF(K114=Constants!$B$3, FALSE(), TRUE())))</f>
        <v/>
      </c>
      <c r="Y114" s="98" t="str">
        <f aca="false">IF(ISBLANK($C114),"",IF(ISNUMBER(L114), L114, ""))</f>
        <v/>
      </c>
      <c r="Z114" s="98" t="str">
        <f aca="false">IF(ISBLANK($C114),"",IF(ISNUMBER(M114), M114, ""))</f>
        <v/>
      </c>
      <c r="AA114" s="98" t="str">
        <f aca="false">IF(ISBLANK($C114),"",IF(ISNUMBER(N114), N114, ""))</f>
        <v/>
      </c>
      <c r="AB114" s="99" t="str">
        <f aca="false">IF(ISBLANK($C114),"",IF(ISNUMBER(O114), O114, ""))</f>
        <v/>
      </c>
      <c r="AC114" s="99" t="str">
        <f aca="false">IF(ISBLANK($C114),"",IF(ISNUMBER(P114), P114, Constants!$B$13))</f>
        <v/>
      </c>
      <c r="AD114" s="96" t="str">
        <f aca="false">IF(ISBLANK($C114),"",IF(Q114=Constants!$B$2, TRUE(), IF(Q114=Constants!$B$3, FALSE(), FALSE())))</f>
        <v/>
      </c>
      <c r="AE114" s="96" t="str">
        <f aca="false">IF(ISBLANK(C114), "", IF(AD114, Constants!$B$4,IF(COUNTA(G114:O114)=0, Constants!$B$5, Constants!$B$7)))</f>
        <v/>
      </c>
      <c r="AF114" s="96" t="str">
        <f aca="false">IF(ISBLANK($C114), "",IF($AE114=Constants!$B$7,1,$AE114))</f>
        <v/>
      </c>
      <c r="AG114" s="96" t="str">
        <f aca="false">IF($AE114=Constants!$B$7,IF(V114, 1, Constants!$B$11) * IF(X114, 1, Constants!$B$12),"")</f>
        <v/>
      </c>
      <c r="AH114" s="96" t="str">
        <f aca="false">IF(AND($AE114=Constants!$B$7, T114, U114) ,MAX(0, $AA114-$Y114),"")</f>
        <v/>
      </c>
      <c r="AI114" s="96" t="str">
        <f aca="false">IF(ISERROR(AH114),$AI$6,"")</f>
        <v/>
      </c>
      <c r="AJ114" s="96" t="str">
        <f aca="false">IF($AE114=Constants!$B$7,IF(AND(T114,U114,W114),IF($AH$6=0,Constants!$B$9,Constants!$B$9*AH114/$AH$6), 0),"")</f>
        <v/>
      </c>
      <c r="AK114" s="96" t="str">
        <f aca="false">IF(AJ114&lt;&gt;"", AJ114*AG114,"")</f>
        <v/>
      </c>
      <c r="AL114" s="96" t="str">
        <f aca="false">IF(AND($AE114=Constants!$B$7, T114, U114) ,IF($Z114="", "", MAX(0,1-ABS($AA114-$Z114)/$AA114)),"")</f>
        <v/>
      </c>
      <c r="AM114" s="96" t="str">
        <f aca="false">IF(AND(NOT(ISERROR(AH114)),ISERROR(AL114)),$AM$6,"")</f>
        <v/>
      </c>
      <c r="AN114" s="96" t="str">
        <f aca="false">IF($AE114=Constants!$B$7 ,IF(AND(T114,U114,W114,ISNUMBER(Z114)),IF($AL$6=0,Constants!$B$10,Constants!$B$10*AL114/$AL$6), 0),"")</f>
        <v/>
      </c>
      <c r="AO114" s="96" t="str">
        <f aca="false">IF(AN114&lt;&gt;"", AN114*AG114,"")</f>
        <v/>
      </c>
      <c r="AP114" s="96" t="str">
        <f aca="false">IF($AE114=Constants!$B$7,IF($AP$6=0,Constants!$B$8,Constants!$B$8*AB114/$AP$6),"")</f>
        <v/>
      </c>
      <c r="AQ114" s="96" t="str">
        <f aca="false">IF($AE114&lt;&gt;Constants!$B$7,$AE114,AK114+AO114+AP114)</f>
        <v/>
      </c>
      <c r="AR114" s="96" t="str">
        <f aca="false">IF(ISBLANK($C114),"",IF($AE114=Constants!$B$7,RANK(AQ114,$AQ$8:$AQ$507),$AE114))</f>
        <v/>
      </c>
      <c r="AS114" s="96" t="str">
        <f aca="false">IF(ISBLANK($C114), "",AK114)</f>
        <v/>
      </c>
      <c r="AT114" s="96" t="str">
        <f aca="false">IF(ISBLANK($C114),"",IF($AE114=Constants!$B$7,RANK(AS114,AS$8:AS$507),$AE114))</f>
        <v/>
      </c>
      <c r="AU114" s="96" t="str">
        <f aca="false">IF(ISBLANK($C114), "",AP114)</f>
        <v/>
      </c>
      <c r="AV114" s="96" t="str">
        <f aca="false">IF(ISBLANK($C114),"",IF($AE114=Constants!$B$7,RANK(AU114,AU$8:AU$507),$AE114))</f>
        <v/>
      </c>
      <c r="AW114" s="96" t="str">
        <f aca="false">IF(ISBLANK($C114), "",AC114)</f>
        <v/>
      </c>
      <c r="AX114" s="96" t="str">
        <f aca="false">IF(ISBLANK($C114),"",
IF($AE114=Constants!$B$7,
  COUNTIFS($AR$8:$AR$507,"&lt;"&amp;$AR114)
  + COUNTIFS($AR$8:$AR$507,$AR114,$AT$8:$AT$507,"&lt;"&amp;$AT114)
  + COUNTIFS($AR$8:$AR$507,$AR114,$AT$8:$AT$507,$AT114,$AV$8:$AV$507,"&lt;"&amp;$AV114)
  + COUNTIFS($AR$8:$AR$507,$AR114,$AT$8:$AT$507,$AT114,$AV$8:$AV$507,$AV114,$AW$8:$AW$507,"&lt;"&amp;$AW114)
  + 1,
$AE114))</f>
        <v/>
      </c>
      <c r="AY114" s="96" t="str">
        <f aca="false">IF(ISBLANK(C114),"",IF($AE114=Constants!$B$7, AR114-AX114,$AE114))</f>
        <v/>
      </c>
      <c r="AZ114" s="100"/>
      <c r="BA114" s="101" t="str">
        <f aca="false">IF(ISBLANK($C114),"",TRIM(AI114&amp;" "&amp;AM114))</f>
        <v/>
      </c>
      <c r="BB114" s="102" t="str">
        <f aca="false">IF(ISBLANK($C114),"",IF($AE114&lt;&gt;Constants!$B$7, $AE114 ,AQ114))</f>
        <v/>
      </c>
      <c r="BC114" s="103" t="str">
        <f aca="false">IF(ISBLANK($C114),"",IF($AE114&lt;&gt;Constants!$B$7, $AE114 ,AF114))</f>
        <v/>
      </c>
      <c r="BD114" s="104" t="str">
        <f aca="false">IF(ISBLANK(C114),"",AY114)</f>
        <v/>
      </c>
      <c r="BE114" s="104" t="str">
        <f aca="false">IF(ISBLANK(C114),"",AX114)</f>
        <v/>
      </c>
      <c r="BF114" s="105" t="str">
        <f aca="false">IF(ISBLANK(C114),"",IFERROR(_xlfn.SWITCH(BE114, Constants!$B$4, COUNTA($C$8:$C613)+2, Constants!$B$5, COUNTA($C$8:$C613)+1, Constants!$B$6, COUNTA($C$8:$C613)),BE114))</f>
        <v/>
      </c>
      <c r="BG114" s="5"/>
      <c r="BH114" s="106" t="n">
        <f aca="false">IF(OR(ISNUMBER(BE114),BE114="DQ",BE114="P",BE114="NS"),
    1,
    0
)</f>
        <v>0</v>
      </c>
      <c r="BI114" s="106" t="n">
        <v>107</v>
      </c>
      <c r="BJ114" s="106" t="str">
        <f aca="false">IF(ISBLANK($C114),
    "",
   BF114+ROW($B114)/1000
)</f>
        <v/>
      </c>
      <c r="BK114" s="106" t="str">
        <f aca="false">IF(ISNUMBER(BJ114), RANK(BJ114,BJ$8:BJ$507,1), "")</f>
        <v/>
      </c>
      <c r="BL114" s="106" t="str">
        <f aca="false">IF(ISBLANK($C114),
    "",
    $B114
)</f>
        <v/>
      </c>
      <c r="BM114" s="106" t="str">
        <f aca="false">IF(ISBLANK($C114),
    "",
    $C114
)</f>
        <v/>
      </c>
      <c r="BN114" s="106" t="str">
        <f aca="false">IF(ISBLANK($C114),
    "",
    $D114
)</f>
        <v/>
      </c>
      <c r="BO114" s="107" t="str">
        <f aca="false">BC114</f>
        <v/>
      </c>
      <c r="BP114" s="108" t="str">
        <f aca="false">BB114</f>
        <v/>
      </c>
      <c r="BQ114" s="106" t="str">
        <f aca="false">IF(ISBLANK($C114),
    "",
    BE114
)</f>
        <v/>
      </c>
      <c r="BR114" s="109" t="str">
        <f aca="false">IF(BI114&gt;BH$7,
    "",
    VLOOKUP(BI114,BK$8:BQ613,7,FALSE())
)</f>
        <v/>
      </c>
      <c r="BS114" s="110" t="str">
        <f aca="false">IF(BI114&gt;BH$7,
    "",
    VLOOKUP(BI114,BK$8:BQ613,2,FALSE())
)</f>
        <v/>
      </c>
      <c r="BT114" s="110" t="str">
        <f aca="false">IF(BI114&gt;BH$7,
    "",
    VLOOKUP(BI114,BK$8:BQ613,3,FALSE())
)</f>
        <v/>
      </c>
      <c r="BU114" s="110" t="str">
        <f aca="false">IF(BI114&gt;BH$7,
    "",
    VLOOKUP(BI114,BK$8:BQ613,4,FALSE())
)</f>
        <v/>
      </c>
      <c r="BV114" s="110" t="str">
        <f aca="false">IF(BI114&gt;BH$7,
    "",
    VLOOKUP(BI114,BK$8:BQ613,5,FALSE())
)</f>
        <v/>
      </c>
      <c r="BW114" s="111" t="str">
        <f aca="false">IF(BI114&gt;BH$7,
    "",
    VLOOKUP(BI114,BK$8:BQ613,6,FALSE())
)</f>
        <v/>
      </c>
      <c r="BX114" s="50"/>
    </row>
    <row r="115" customFormat="false" ht="15.75" hidden="false" customHeight="false" outlineLevel="0" collapsed="false">
      <c r="A115" s="5"/>
      <c r="B115" s="122"/>
      <c r="C115" s="123"/>
      <c r="D115" s="112"/>
      <c r="E115" s="116"/>
      <c r="F115" s="116"/>
      <c r="G115" s="88"/>
      <c r="H115" s="89"/>
      <c r="I115" s="125"/>
      <c r="J115" s="125"/>
      <c r="K115" s="125"/>
      <c r="L115" s="91"/>
      <c r="M115" s="91"/>
      <c r="N115" s="91"/>
      <c r="O115" s="92"/>
      <c r="P115" s="93"/>
      <c r="Q115" s="125"/>
      <c r="R115" s="95"/>
      <c r="S115" s="96"/>
      <c r="T115" s="96" t="str">
        <f aca="false">IF(ISBLANK($C115),"",IF(G115=Constants!$B$2, TRUE(), IF(G115=Constants!$B$3, FALSE(), TRUE())))</f>
        <v/>
      </c>
      <c r="U115" s="96" t="str">
        <f aca="false">IF(ISBLANK($C115),"",IF(H115=Constants!$B$2, TRUE(), IF(H115=Constants!$B$3, FALSE(), TRUE())))</f>
        <v/>
      </c>
      <c r="V115" s="96" t="str">
        <f aca="false">IF(ISBLANK($C115),"",IF(I115=Constants!$B$2, TRUE(), IF(I115=Constants!$B$3, FALSE(), TRUE())))</f>
        <v/>
      </c>
      <c r="W115" s="96" t="str">
        <f aca="false">IF(ISBLANK($C115),"",IF(J115=Constants!$B$2, TRUE(), IF(J115=Constants!$B$3, FALSE(), TRUE())))</f>
        <v/>
      </c>
      <c r="X115" s="97" t="str">
        <f aca="false">IF(ISBLANK($C115),"",IF(K115=Constants!$B$2, TRUE(), IF(K115=Constants!$B$3, FALSE(), TRUE())))</f>
        <v/>
      </c>
      <c r="Y115" s="98" t="str">
        <f aca="false">IF(ISBLANK($C115),"",IF(ISNUMBER(L115), L115, ""))</f>
        <v/>
      </c>
      <c r="Z115" s="98" t="str">
        <f aca="false">IF(ISBLANK($C115),"",IF(ISNUMBER(M115), M115, ""))</f>
        <v/>
      </c>
      <c r="AA115" s="98" t="str">
        <f aca="false">IF(ISBLANK($C115),"",IF(ISNUMBER(N115), N115, ""))</f>
        <v/>
      </c>
      <c r="AB115" s="99" t="str">
        <f aca="false">IF(ISBLANK($C115),"",IF(ISNUMBER(O115), O115, ""))</f>
        <v/>
      </c>
      <c r="AC115" s="99" t="str">
        <f aca="false">IF(ISBLANK($C115),"",IF(ISNUMBER(P115), P115, Constants!$B$13))</f>
        <v/>
      </c>
      <c r="AD115" s="96" t="str">
        <f aca="false">IF(ISBLANK($C115),"",IF(Q115=Constants!$B$2, TRUE(), IF(Q115=Constants!$B$3, FALSE(), FALSE())))</f>
        <v/>
      </c>
      <c r="AE115" s="96" t="str">
        <f aca="false">IF(ISBLANK(C115), "", IF(AD115, Constants!$B$4,IF(COUNTA(G115:O115)=0, Constants!$B$5, Constants!$B$7)))</f>
        <v/>
      </c>
      <c r="AF115" s="96" t="str">
        <f aca="false">IF(ISBLANK($C115), "",IF($AE115=Constants!$B$7,1,$AE115))</f>
        <v/>
      </c>
      <c r="AG115" s="96" t="str">
        <f aca="false">IF($AE115=Constants!$B$7,IF(V115, 1, Constants!$B$11) * IF(X115, 1, Constants!$B$12),"")</f>
        <v/>
      </c>
      <c r="AH115" s="96" t="str">
        <f aca="false">IF(AND($AE115=Constants!$B$7, T115, U115) ,MAX(0, $AA115-$Y115),"")</f>
        <v/>
      </c>
      <c r="AI115" s="96" t="str">
        <f aca="false">IF(ISERROR(AH115),$AI$6,"")</f>
        <v/>
      </c>
      <c r="AJ115" s="96" t="str">
        <f aca="false">IF($AE115=Constants!$B$7,IF(AND(T115,U115,W115),IF($AH$6=0,Constants!$B$9,Constants!$B$9*AH115/$AH$6), 0),"")</f>
        <v/>
      </c>
      <c r="AK115" s="96" t="str">
        <f aca="false">IF(AJ115&lt;&gt;"", AJ115*AG115,"")</f>
        <v/>
      </c>
      <c r="AL115" s="96" t="str">
        <f aca="false">IF(AND($AE115=Constants!$B$7, T115, U115) ,IF($Z115="", "", MAX(0,1-ABS($AA115-$Z115)/$AA115)),"")</f>
        <v/>
      </c>
      <c r="AM115" s="96" t="str">
        <f aca="false">IF(AND(NOT(ISERROR(AH115)),ISERROR(AL115)),$AM$6,"")</f>
        <v/>
      </c>
      <c r="AN115" s="96" t="str">
        <f aca="false">IF($AE115=Constants!$B$7 ,IF(AND(T115,U115,W115,ISNUMBER(Z115)),IF($AL$6=0,Constants!$B$10,Constants!$B$10*AL115/$AL$6), 0),"")</f>
        <v/>
      </c>
      <c r="AO115" s="96" t="str">
        <f aca="false">IF(AN115&lt;&gt;"", AN115*AG115,"")</f>
        <v/>
      </c>
      <c r="AP115" s="96" t="str">
        <f aca="false">IF($AE115=Constants!$B$7,IF($AP$6=0,Constants!$B$8,Constants!$B$8*AB115/$AP$6),"")</f>
        <v/>
      </c>
      <c r="AQ115" s="96" t="str">
        <f aca="false">IF($AE115&lt;&gt;Constants!$B$7,$AE115,AK115+AO115+AP115)</f>
        <v/>
      </c>
      <c r="AR115" s="96" t="str">
        <f aca="false">IF(ISBLANK($C115),"",IF($AE115=Constants!$B$7,RANK(AQ115,$AQ$8:$AQ$507),$AE115))</f>
        <v/>
      </c>
      <c r="AS115" s="96" t="str">
        <f aca="false">IF(ISBLANK($C115), "",AK115)</f>
        <v/>
      </c>
      <c r="AT115" s="96" t="str">
        <f aca="false">IF(ISBLANK($C115),"",IF($AE115=Constants!$B$7,RANK(AS115,AS$8:AS$507),$AE115))</f>
        <v/>
      </c>
      <c r="AU115" s="96" t="str">
        <f aca="false">IF(ISBLANK($C115), "",AP115)</f>
        <v/>
      </c>
      <c r="AV115" s="96" t="str">
        <f aca="false">IF(ISBLANK($C115),"",IF($AE115=Constants!$B$7,RANK(AU115,AU$8:AU$507),$AE115))</f>
        <v/>
      </c>
      <c r="AW115" s="96" t="str">
        <f aca="false">IF(ISBLANK($C115), "",AC115)</f>
        <v/>
      </c>
      <c r="AX115" s="96" t="str">
        <f aca="false">IF(ISBLANK($C115),"",
IF($AE115=Constants!$B$7,
  COUNTIFS($AR$8:$AR$507,"&lt;"&amp;$AR115)
  + COUNTIFS($AR$8:$AR$507,$AR115,$AT$8:$AT$507,"&lt;"&amp;$AT115)
  + COUNTIFS($AR$8:$AR$507,$AR115,$AT$8:$AT$507,$AT115,$AV$8:$AV$507,"&lt;"&amp;$AV115)
  + COUNTIFS($AR$8:$AR$507,$AR115,$AT$8:$AT$507,$AT115,$AV$8:$AV$507,$AV115,$AW$8:$AW$507,"&lt;"&amp;$AW115)
  + 1,
$AE115))</f>
        <v/>
      </c>
      <c r="AY115" s="96" t="str">
        <f aca="false">IF(ISBLANK(C115),"",IF($AE115=Constants!$B$7, AR115-AX115,$AE115))</f>
        <v/>
      </c>
      <c r="AZ115" s="100"/>
      <c r="BA115" s="101" t="str">
        <f aca="false">IF(ISBLANK($C115),"",TRIM(AI115&amp;" "&amp;AM115))</f>
        <v/>
      </c>
      <c r="BB115" s="102" t="str">
        <f aca="false">IF(ISBLANK($C115),"",IF($AE115&lt;&gt;Constants!$B$7, $AE115 ,AQ115))</f>
        <v/>
      </c>
      <c r="BC115" s="103" t="str">
        <f aca="false">IF(ISBLANK($C115),"",IF($AE115&lt;&gt;Constants!$B$7, $AE115 ,AF115))</f>
        <v/>
      </c>
      <c r="BD115" s="104" t="str">
        <f aca="false">IF(ISBLANK(C115),"",AY115)</f>
        <v/>
      </c>
      <c r="BE115" s="104" t="str">
        <f aca="false">IF(ISBLANK(C115),"",AX115)</f>
        <v/>
      </c>
      <c r="BF115" s="105" t="str">
        <f aca="false">IF(ISBLANK(C115),"",IFERROR(_xlfn.SWITCH(BE115, Constants!$B$4, COUNTA($C$8:$C614)+2, Constants!$B$5, COUNTA($C$8:$C614)+1, Constants!$B$6, COUNTA($C$8:$C614)),BE115))</f>
        <v/>
      </c>
      <c r="BG115" s="5"/>
      <c r="BH115" s="106" t="n">
        <f aca="false">IF(OR(ISNUMBER(BE115),BE115="DQ",BE115="P",BE115="NS"),
    1,
    0
)</f>
        <v>0</v>
      </c>
      <c r="BI115" s="106" t="n">
        <v>108</v>
      </c>
      <c r="BJ115" s="106" t="str">
        <f aca="false">IF(ISBLANK($C115),
    "",
   BF115+ROW($B115)/1000
)</f>
        <v/>
      </c>
      <c r="BK115" s="106" t="str">
        <f aca="false">IF(ISNUMBER(BJ115), RANK(BJ115,BJ$8:BJ$507,1), "")</f>
        <v/>
      </c>
      <c r="BL115" s="106" t="str">
        <f aca="false">IF(ISBLANK($C115),
    "",
    $B115
)</f>
        <v/>
      </c>
      <c r="BM115" s="106" t="str">
        <f aca="false">IF(ISBLANK($C115),
    "",
    $C115
)</f>
        <v/>
      </c>
      <c r="BN115" s="106" t="str">
        <f aca="false">IF(ISBLANK($C115),
    "",
    $D115
)</f>
        <v/>
      </c>
      <c r="BO115" s="107" t="str">
        <f aca="false">BC115</f>
        <v/>
      </c>
      <c r="BP115" s="108" t="str">
        <f aca="false">BB115</f>
        <v/>
      </c>
      <c r="BQ115" s="106" t="str">
        <f aca="false">IF(ISBLANK($C115),
    "",
    BE115
)</f>
        <v/>
      </c>
      <c r="BR115" s="109" t="str">
        <f aca="false">IF(BI115&gt;BH$7,
    "",
    VLOOKUP(BI115,BK$8:BQ614,7,FALSE())
)</f>
        <v/>
      </c>
      <c r="BS115" s="110" t="str">
        <f aca="false">IF(BI115&gt;BH$7,
    "",
    VLOOKUP(BI115,BK$8:BQ614,2,FALSE())
)</f>
        <v/>
      </c>
      <c r="BT115" s="110" t="str">
        <f aca="false">IF(BI115&gt;BH$7,
    "",
    VLOOKUP(BI115,BK$8:BQ614,3,FALSE())
)</f>
        <v/>
      </c>
      <c r="BU115" s="110" t="str">
        <f aca="false">IF(BI115&gt;BH$7,
    "",
    VLOOKUP(BI115,BK$8:BQ614,4,FALSE())
)</f>
        <v/>
      </c>
      <c r="BV115" s="110" t="str">
        <f aca="false">IF(BI115&gt;BH$7,
    "",
    VLOOKUP(BI115,BK$8:BQ614,5,FALSE())
)</f>
        <v/>
      </c>
      <c r="BW115" s="111" t="str">
        <f aca="false">IF(BI115&gt;BH$7,
    "",
    VLOOKUP(BI115,BK$8:BQ614,6,FALSE())
)</f>
        <v/>
      </c>
      <c r="BX115" s="50"/>
    </row>
    <row r="116" customFormat="false" ht="15.75" hidden="false" customHeight="false" outlineLevel="0" collapsed="false">
      <c r="A116" s="5"/>
      <c r="B116" s="126"/>
      <c r="C116" s="52"/>
      <c r="D116" s="53"/>
      <c r="E116" s="120"/>
      <c r="F116" s="120"/>
      <c r="G116" s="55"/>
      <c r="H116" s="56"/>
      <c r="I116" s="80"/>
      <c r="J116" s="80"/>
      <c r="K116" s="80"/>
      <c r="L116" s="58"/>
      <c r="M116" s="58"/>
      <c r="N116" s="58"/>
      <c r="O116" s="59"/>
      <c r="P116" s="60"/>
      <c r="Q116" s="80"/>
      <c r="R116" s="62"/>
      <c r="S116" s="63"/>
      <c r="T116" s="63" t="str">
        <f aca="false">IF(ISBLANK($C116),"",IF(G116=Constants!$B$2, TRUE(), IF(G116=Constants!$B$3, FALSE(), TRUE())))</f>
        <v/>
      </c>
      <c r="U116" s="63" t="str">
        <f aca="false">IF(ISBLANK($C116),"",IF(H116=Constants!$B$2, TRUE(), IF(H116=Constants!$B$3, FALSE(), TRUE())))</f>
        <v/>
      </c>
      <c r="V116" s="63" t="str">
        <f aca="false">IF(ISBLANK($C116),"",IF(I116=Constants!$B$2, TRUE(), IF(I116=Constants!$B$3, FALSE(), TRUE())))</f>
        <v/>
      </c>
      <c r="W116" s="63" t="str">
        <f aca="false">IF(ISBLANK($C116),"",IF(J116=Constants!$B$2, TRUE(), IF(J116=Constants!$B$3, FALSE(), TRUE())))</f>
        <v/>
      </c>
      <c r="X116" s="63" t="str">
        <f aca="false">IF(ISBLANK($C116),"",IF(K116=Constants!$B$2, TRUE(), IF(K116=Constants!$B$3, FALSE(), TRUE())))</f>
        <v/>
      </c>
      <c r="Y116" s="65" t="str">
        <f aca="false">IF(ISBLANK($C116),"",IF(ISNUMBER(L116), L116, ""))</f>
        <v/>
      </c>
      <c r="Z116" s="65" t="str">
        <f aca="false">IF(ISBLANK($C116),"",IF(ISNUMBER(M116), M116, ""))</f>
        <v/>
      </c>
      <c r="AA116" s="65" t="str">
        <f aca="false">IF(ISBLANK($C116),"",IF(ISNUMBER(N116), N116, ""))</f>
        <v/>
      </c>
      <c r="AB116" s="66" t="str">
        <f aca="false">IF(ISBLANK($C116),"",IF(ISNUMBER(O116), O116, ""))</f>
        <v/>
      </c>
      <c r="AC116" s="66" t="str">
        <f aca="false">IF(ISBLANK($C116),"",IF(ISNUMBER(P116), P116, Constants!$B$13))</f>
        <v/>
      </c>
      <c r="AD116" s="63" t="str">
        <f aca="false">IF(ISBLANK($C116),"",IF(Q116=Constants!$B$2, TRUE(), IF(Q116=Constants!$B$3, FALSE(), FALSE())))</f>
        <v/>
      </c>
      <c r="AE116" s="63" t="str">
        <f aca="false">IF(ISBLANK(C116), "", IF(AD116, Constants!$B$4,IF(COUNTA(G116:O116)=0, Constants!$B$5, Constants!$B$7)))</f>
        <v/>
      </c>
      <c r="AF116" s="63" t="str">
        <f aca="false">IF(ISBLANK($C116), "",IF($AE116=Constants!$B$7,1,$AE116))</f>
        <v/>
      </c>
      <c r="AG116" s="63" t="str">
        <f aca="false">IF($AE116=Constants!$B$7,IF(V116, 1, Constants!$B$11) * IF(X116, 1, Constants!$B$12),"")</f>
        <v/>
      </c>
      <c r="AH116" s="63" t="str">
        <f aca="false">IF(AND($AE116=Constants!$B$7, T116, U116) ,MAX(0, $AA116-$Y116),"")</f>
        <v/>
      </c>
      <c r="AI116" s="63" t="str">
        <f aca="false">IF(ISERROR(AH116),$AI$6,"")</f>
        <v/>
      </c>
      <c r="AJ116" s="63" t="str">
        <f aca="false">IF($AE116=Constants!$B$7,IF(AND(T116,U116,W116),IF($AH$6=0,Constants!$B$9,Constants!$B$9*AH116/$AH$6), 0),"")</f>
        <v/>
      </c>
      <c r="AK116" s="63" t="str">
        <f aca="false">IF(AJ116&lt;&gt;"", AJ116*AG116,"")</f>
        <v/>
      </c>
      <c r="AL116" s="63" t="str">
        <f aca="false">IF(AND($AE116=Constants!$B$7, T116, U116) ,IF($Z116="", "", MAX(0,1-ABS($AA116-$Z116)/$AA116)),"")</f>
        <v/>
      </c>
      <c r="AM116" s="63" t="str">
        <f aca="false">IF(AND(NOT(ISERROR(AH116)),ISERROR(AL116)),$AM$6,"")</f>
        <v/>
      </c>
      <c r="AN116" s="63" t="str">
        <f aca="false">IF($AE116=Constants!$B$7 ,IF(AND(T116,U116,W116,ISNUMBER(Z116)),IF($AL$6=0,Constants!$B$10,Constants!$B$10*AL116/$AL$6), 0),"")</f>
        <v/>
      </c>
      <c r="AO116" s="63" t="str">
        <f aca="false">IF(AN116&lt;&gt;"", AN116*AG116,"")</f>
        <v/>
      </c>
      <c r="AP116" s="63" t="str">
        <f aca="false">IF($AE116=Constants!$B$7,IF($AP$6=0,Constants!$B$8,Constants!$B$8*AB116/$AP$6),"")</f>
        <v/>
      </c>
      <c r="AQ116" s="63" t="str">
        <f aca="false">IF($AE116&lt;&gt;Constants!$B$7,$AE116,AK116+AO116+AP116)</f>
        <v/>
      </c>
      <c r="AR116" s="63" t="str">
        <f aca="false">IF(ISBLANK($C116),"",IF($AE116=Constants!$B$7,RANK(AQ116,$AQ$8:$AQ$507),$AE116))</f>
        <v/>
      </c>
      <c r="AS116" s="63" t="str">
        <f aca="false">IF(ISBLANK($C116), "",AK116)</f>
        <v/>
      </c>
      <c r="AT116" s="63" t="str">
        <f aca="false">IF(ISBLANK($C116),"",IF($AE116=Constants!$B$7,RANK(AS116,AS$8:AS$507),$AE116))</f>
        <v/>
      </c>
      <c r="AU116" s="63" t="str">
        <f aca="false">IF(ISBLANK($C116), "",AP116)</f>
        <v/>
      </c>
      <c r="AV116" s="63" t="str">
        <f aca="false">IF(ISBLANK($C116),"",IF($AE116=Constants!$B$7,RANK(AU116,AU$8:AU$507),$AE116))</f>
        <v/>
      </c>
      <c r="AW116" s="63" t="str">
        <f aca="false">IF(ISBLANK($C116), "",AC116)</f>
        <v/>
      </c>
      <c r="AX116" s="63" t="str">
        <f aca="false">IF(ISBLANK($C116),"",
IF($AE116=Constants!$B$7,
  COUNTIFS($AR$8:$AR$507,"&lt;"&amp;$AR116)
  + COUNTIFS($AR$8:$AR$507,$AR116,$AT$8:$AT$507,"&lt;"&amp;$AT116)
  + COUNTIFS($AR$8:$AR$507,$AR116,$AT$8:$AT$507,$AT116,$AV$8:$AV$507,"&lt;"&amp;$AV116)
  + COUNTIFS($AR$8:$AR$507,$AR116,$AT$8:$AT$507,$AT116,$AV$8:$AV$507,$AV116,$AW$8:$AW$507,"&lt;"&amp;$AW116)
  + 1,
$AE116))</f>
        <v/>
      </c>
      <c r="AY116" s="63" t="str">
        <f aca="false">IF(ISBLANK(C116),"",IF($AE116=Constants!$B$7, AR116-AX116,$AE116))</f>
        <v/>
      </c>
      <c r="AZ116" s="67"/>
      <c r="BA116" s="81" t="str">
        <f aca="false">IF(ISBLANK($C116),"",TRIM(AI116&amp;" "&amp;AM116))</f>
        <v/>
      </c>
      <c r="BB116" s="69" t="str">
        <f aca="false">IF(ISBLANK($C116),"",IF($AE116&lt;&gt;Constants!$B$7, $AE116 ,AQ116))</f>
        <v/>
      </c>
      <c r="BC116" s="70" t="str">
        <f aca="false">IF(ISBLANK($C116),"",IF($AE116&lt;&gt;Constants!$B$7, $AE116 ,AF116))</f>
        <v/>
      </c>
      <c r="BD116" s="71" t="str">
        <f aca="false">IF(ISBLANK(C116),"",AY116)</f>
        <v/>
      </c>
      <c r="BE116" s="71" t="str">
        <f aca="false">IF(ISBLANK(C116),"",AX116)</f>
        <v/>
      </c>
      <c r="BF116" s="72" t="str">
        <f aca="false">IF(ISBLANK(C116),"",IFERROR(_xlfn.SWITCH(BE116, Constants!$B$4, COUNTA($C$8:$C615)+2, Constants!$B$5, COUNTA($C$8:$C615)+1, Constants!$B$6, COUNTA($C$8:$C615)),BE116))</f>
        <v/>
      </c>
      <c r="BG116" s="5"/>
      <c r="BH116" s="73" t="n">
        <f aca="false">IF(OR(ISNUMBER(BE116),BE116="DQ",BE116="P",BE116="NS"),
    1,
    0
)</f>
        <v>0</v>
      </c>
      <c r="BI116" s="73" t="n">
        <v>109</v>
      </c>
      <c r="BJ116" s="73" t="str">
        <f aca="false">IF(ISBLANK($C116),
    "",
   BF116+ROW($B116)/1000
)</f>
        <v/>
      </c>
      <c r="BK116" s="73" t="str">
        <f aca="false">IF(ISNUMBER(BJ116), RANK(BJ116,BJ$8:BJ$507,1), "")</f>
        <v/>
      </c>
      <c r="BL116" s="73" t="str">
        <f aca="false">IF(ISBLANK($C116),
    "",
    $B116
)</f>
        <v/>
      </c>
      <c r="BM116" s="73" t="str">
        <f aca="false">IF(ISBLANK($C116),
    "",
    $C116
)</f>
        <v/>
      </c>
      <c r="BN116" s="73" t="str">
        <f aca="false">IF(ISBLANK($C116),
    "",
    $D116
)</f>
        <v/>
      </c>
      <c r="BO116" s="74" t="str">
        <f aca="false">BC116</f>
        <v/>
      </c>
      <c r="BP116" s="75" t="str">
        <f aca="false">BB116</f>
        <v/>
      </c>
      <c r="BQ116" s="73" t="str">
        <f aca="false">IF(ISBLANK($C116),
    "",
    BE116
)</f>
        <v/>
      </c>
      <c r="BR116" s="76" t="str">
        <f aca="false">IF(BI116&gt;BH$7,
    "",
    VLOOKUP(BI116,BK$8:BQ615,7,FALSE())
)</f>
        <v/>
      </c>
      <c r="BS116" s="77" t="str">
        <f aca="false">IF(BI116&gt;BH$7,
    "",
    VLOOKUP(BI116,BK$8:BQ615,2,FALSE())
)</f>
        <v/>
      </c>
      <c r="BT116" s="77" t="str">
        <f aca="false">IF(BI116&gt;BH$7,
    "",
    VLOOKUP(BI116,BK$8:BQ615,3,FALSE())
)</f>
        <v/>
      </c>
      <c r="BU116" s="77" t="str">
        <f aca="false">IF(BI116&gt;BH$7,
    "",
    VLOOKUP(BI116,BK$8:BQ615,4,FALSE())
)</f>
        <v/>
      </c>
      <c r="BV116" s="77" t="str">
        <f aca="false">IF(BI116&gt;BH$7,
    "",
    VLOOKUP(BI116,BK$8:BQ615,5,FALSE())
)</f>
        <v/>
      </c>
      <c r="BW116" s="78" t="str">
        <f aca="false">IF(BI116&gt;BH$7,
    "",
    VLOOKUP(BI116,BK$8:BQ615,6,FALSE())
)</f>
        <v/>
      </c>
      <c r="BX116" s="50"/>
    </row>
    <row r="117" customFormat="false" ht="15.75" hidden="false" customHeight="false" outlineLevel="0" collapsed="false">
      <c r="A117" s="5"/>
      <c r="B117" s="126"/>
      <c r="C117" s="52"/>
      <c r="D117" s="53"/>
      <c r="E117" s="120"/>
      <c r="F117" s="120"/>
      <c r="G117" s="55"/>
      <c r="H117" s="56"/>
      <c r="I117" s="80"/>
      <c r="J117" s="80"/>
      <c r="K117" s="80"/>
      <c r="L117" s="58"/>
      <c r="M117" s="58"/>
      <c r="N117" s="58"/>
      <c r="O117" s="59"/>
      <c r="P117" s="60"/>
      <c r="Q117" s="80"/>
      <c r="R117" s="62"/>
      <c r="S117" s="63"/>
      <c r="T117" s="63" t="str">
        <f aca="false">IF(ISBLANK($C117),"",IF(G117=Constants!$B$2, TRUE(), IF(G117=Constants!$B$3, FALSE(), TRUE())))</f>
        <v/>
      </c>
      <c r="U117" s="63" t="str">
        <f aca="false">IF(ISBLANK($C117),"",IF(H117=Constants!$B$2, TRUE(), IF(H117=Constants!$B$3, FALSE(), TRUE())))</f>
        <v/>
      </c>
      <c r="V117" s="63" t="str">
        <f aca="false">IF(ISBLANK($C117),"",IF(I117=Constants!$B$2, TRUE(), IF(I117=Constants!$B$3, FALSE(), TRUE())))</f>
        <v/>
      </c>
      <c r="W117" s="63" t="str">
        <f aca="false">IF(ISBLANK($C117),"",IF(J117=Constants!$B$2, TRUE(), IF(J117=Constants!$B$3, FALSE(), TRUE())))</f>
        <v/>
      </c>
      <c r="X117" s="63" t="str">
        <f aca="false">IF(ISBLANK($C117),"",IF(K117=Constants!$B$2, TRUE(), IF(K117=Constants!$B$3, FALSE(), TRUE())))</f>
        <v/>
      </c>
      <c r="Y117" s="65" t="str">
        <f aca="false">IF(ISBLANK($C117),"",IF(ISNUMBER(L117), L117, ""))</f>
        <v/>
      </c>
      <c r="Z117" s="65" t="str">
        <f aca="false">IF(ISBLANK($C117),"",IF(ISNUMBER(M117), M117, ""))</f>
        <v/>
      </c>
      <c r="AA117" s="65" t="str">
        <f aca="false">IF(ISBLANK($C117),"",IF(ISNUMBER(N117), N117, ""))</f>
        <v/>
      </c>
      <c r="AB117" s="66" t="str">
        <f aca="false">IF(ISBLANK($C117),"",IF(ISNUMBER(O117), O117, ""))</f>
        <v/>
      </c>
      <c r="AC117" s="66" t="str">
        <f aca="false">IF(ISBLANK($C117),"",IF(ISNUMBER(P117), P117, Constants!$B$13))</f>
        <v/>
      </c>
      <c r="AD117" s="63" t="str">
        <f aca="false">IF(ISBLANK($C117),"",IF(Q117=Constants!$B$2, TRUE(), IF(Q117=Constants!$B$3, FALSE(), FALSE())))</f>
        <v/>
      </c>
      <c r="AE117" s="63" t="str">
        <f aca="false">IF(ISBLANK(C117), "", IF(AD117, Constants!$B$4,IF(COUNTA(G117:O117)=0, Constants!$B$5, Constants!$B$7)))</f>
        <v/>
      </c>
      <c r="AF117" s="63" t="str">
        <f aca="false">IF(ISBLANK($C117), "",IF($AE117=Constants!$B$7,1,$AE117))</f>
        <v/>
      </c>
      <c r="AG117" s="63" t="str">
        <f aca="false">IF($AE117=Constants!$B$7,IF(V117, 1, Constants!$B$11) * IF(X117, 1, Constants!$B$12),"")</f>
        <v/>
      </c>
      <c r="AH117" s="63" t="str">
        <f aca="false">IF(AND($AE117=Constants!$B$7, T117, U117) ,MAX(0, $AA117-$Y117),"")</f>
        <v/>
      </c>
      <c r="AI117" s="63" t="str">
        <f aca="false">IF(ISERROR(AH117),$AI$6,"")</f>
        <v/>
      </c>
      <c r="AJ117" s="63" t="str">
        <f aca="false">IF($AE117=Constants!$B$7,IF(AND(T117,U117,W117),IF($AH$6=0,Constants!$B$9,Constants!$B$9*AH117/$AH$6), 0),"")</f>
        <v/>
      </c>
      <c r="AK117" s="63" t="str">
        <f aca="false">IF(AJ117&lt;&gt;"", AJ117*AG117,"")</f>
        <v/>
      </c>
      <c r="AL117" s="63" t="str">
        <f aca="false">IF(AND($AE117=Constants!$B$7, T117, U117) ,IF($Z117="", "", MAX(0,1-ABS($AA117-$Z117)/$AA117)),"")</f>
        <v/>
      </c>
      <c r="AM117" s="63" t="str">
        <f aca="false">IF(AND(NOT(ISERROR(AH117)),ISERROR(AL117)),$AM$6,"")</f>
        <v/>
      </c>
      <c r="AN117" s="63" t="str">
        <f aca="false">IF($AE117=Constants!$B$7 ,IF(AND(T117,U117,W117,ISNUMBER(Z117)),IF($AL$6=0,Constants!$B$10,Constants!$B$10*AL117/$AL$6), 0),"")</f>
        <v/>
      </c>
      <c r="AO117" s="63" t="str">
        <f aca="false">IF(AN117&lt;&gt;"", AN117*AG117,"")</f>
        <v/>
      </c>
      <c r="AP117" s="63" t="str">
        <f aca="false">IF($AE117=Constants!$B$7,IF($AP$6=0,Constants!$B$8,Constants!$B$8*AB117/$AP$6),"")</f>
        <v/>
      </c>
      <c r="AQ117" s="63" t="str">
        <f aca="false">IF($AE117&lt;&gt;Constants!$B$7,$AE117,AK117+AO117+AP117)</f>
        <v/>
      </c>
      <c r="AR117" s="63" t="str">
        <f aca="false">IF(ISBLANK($C117),"",IF($AE117=Constants!$B$7,RANK(AQ117,$AQ$8:$AQ$507),$AE117))</f>
        <v/>
      </c>
      <c r="AS117" s="63" t="str">
        <f aca="false">IF(ISBLANK($C117), "",AK117)</f>
        <v/>
      </c>
      <c r="AT117" s="63" t="str">
        <f aca="false">IF(ISBLANK($C117),"",IF($AE117=Constants!$B$7,RANK(AS117,AS$8:AS$507),$AE117))</f>
        <v/>
      </c>
      <c r="AU117" s="63" t="str">
        <f aca="false">IF(ISBLANK($C117), "",AP117)</f>
        <v/>
      </c>
      <c r="AV117" s="63" t="str">
        <f aca="false">IF(ISBLANK($C117),"",IF($AE117=Constants!$B$7,RANK(AU117,AU$8:AU$507),$AE117))</f>
        <v/>
      </c>
      <c r="AW117" s="63" t="str">
        <f aca="false">IF(ISBLANK($C117), "",AC117)</f>
        <v/>
      </c>
      <c r="AX117" s="63" t="str">
        <f aca="false">IF(ISBLANK($C117),"",
IF($AE117=Constants!$B$7,
  COUNTIFS($AR$8:$AR$507,"&lt;"&amp;$AR117)
  + COUNTIFS($AR$8:$AR$507,$AR117,$AT$8:$AT$507,"&lt;"&amp;$AT117)
  + COUNTIFS($AR$8:$AR$507,$AR117,$AT$8:$AT$507,$AT117,$AV$8:$AV$507,"&lt;"&amp;$AV117)
  + COUNTIFS($AR$8:$AR$507,$AR117,$AT$8:$AT$507,$AT117,$AV$8:$AV$507,$AV117,$AW$8:$AW$507,"&lt;"&amp;$AW117)
  + 1,
$AE117))</f>
        <v/>
      </c>
      <c r="AY117" s="63" t="str">
        <f aca="false">IF(ISBLANK(C117),"",IF($AE117=Constants!$B$7, AR117-AX117,$AE117))</f>
        <v/>
      </c>
      <c r="AZ117" s="67"/>
      <c r="BA117" s="81" t="str">
        <f aca="false">IF(ISBLANK($C117),"",TRIM(AI117&amp;" "&amp;AM117))</f>
        <v/>
      </c>
      <c r="BB117" s="69" t="str">
        <f aca="false">IF(ISBLANK($C117),"",IF($AE117&lt;&gt;Constants!$B$7, $AE117 ,AQ117))</f>
        <v/>
      </c>
      <c r="BC117" s="70" t="str">
        <f aca="false">IF(ISBLANK($C117),"",IF($AE117&lt;&gt;Constants!$B$7, $AE117 ,AF117))</f>
        <v/>
      </c>
      <c r="BD117" s="71" t="str">
        <f aca="false">IF(ISBLANK(C117),"",AY117)</f>
        <v/>
      </c>
      <c r="BE117" s="71" t="str">
        <f aca="false">IF(ISBLANK(C117),"",AX117)</f>
        <v/>
      </c>
      <c r="BF117" s="72" t="str">
        <f aca="false">IF(ISBLANK(C117),"",IFERROR(_xlfn.SWITCH(BE117, Constants!$B$4, COUNTA($C$8:$C616)+2, Constants!$B$5, COUNTA($C$8:$C616)+1, Constants!$B$6, COUNTA($C$8:$C616)),BE117))</f>
        <v/>
      </c>
      <c r="BG117" s="5"/>
      <c r="BH117" s="73" t="n">
        <f aca="false">IF(OR(ISNUMBER(BE117),BE117="DQ",BE117="P",BE117="NS"),
    1,
    0
)</f>
        <v>0</v>
      </c>
      <c r="BI117" s="73" t="n">
        <v>110</v>
      </c>
      <c r="BJ117" s="73" t="str">
        <f aca="false">IF(ISBLANK($C117),
    "",
   BF117+ROW($B117)/1000
)</f>
        <v/>
      </c>
      <c r="BK117" s="73" t="str">
        <f aca="false">IF(ISNUMBER(BJ117), RANK(BJ117,BJ$8:BJ$507,1), "")</f>
        <v/>
      </c>
      <c r="BL117" s="73" t="str">
        <f aca="false">IF(ISBLANK($C117),
    "",
    $B117
)</f>
        <v/>
      </c>
      <c r="BM117" s="73" t="str">
        <f aca="false">IF(ISBLANK($C117),
    "",
    $C117
)</f>
        <v/>
      </c>
      <c r="BN117" s="73" t="str">
        <f aca="false">IF(ISBLANK($C117),
    "",
    $D117
)</f>
        <v/>
      </c>
      <c r="BO117" s="74" t="str">
        <f aca="false">BC117</f>
        <v/>
      </c>
      <c r="BP117" s="75" t="str">
        <f aca="false">BB117</f>
        <v/>
      </c>
      <c r="BQ117" s="73" t="str">
        <f aca="false">IF(ISBLANK($C117),
    "",
    BE117
)</f>
        <v/>
      </c>
      <c r="BR117" s="76" t="str">
        <f aca="false">IF(BI117&gt;BH$7,
    "",
    VLOOKUP(BI117,BK$8:BQ616,7,FALSE())
)</f>
        <v/>
      </c>
      <c r="BS117" s="77" t="str">
        <f aca="false">IF(BI117&gt;BH$7,
    "",
    VLOOKUP(BI117,BK$8:BQ616,2,FALSE())
)</f>
        <v/>
      </c>
      <c r="BT117" s="77" t="str">
        <f aca="false">IF(BI117&gt;BH$7,
    "",
    VLOOKUP(BI117,BK$8:BQ616,3,FALSE())
)</f>
        <v/>
      </c>
      <c r="BU117" s="77" t="str">
        <f aca="false">IF(BI117&gt;BH$7,
    "",
    VLOOKUP(BI117,BK$8:BQ616,4,FALSE())
)</f>
        <v/>
      </c>
      <c r="BV117" s="77" t="str">
        <f aca="false">IF(BI117&gt;BH$7,
    "",
    VLOOKUP(BI117,BK$8:BQ616,5,FALSE())
)</f>
        <v/>
      </c>
      <c r="BW117" s="78" t="str">
        <f aca="false">IF(BI117&gt;BH$7,
    "",
    VLOOKUP(BI117,BK$8:BQ616,6,FALSE())
)</f>
        <v/>
      </c>
      <c r="BX117" s="50"/>
    </row>
    <row r="118" customFormat="false" ht="15.75" hidden="false" customHeight="false" outlineLevel="0" collapsed="false">
      <c r="A118" s="5"/>
      <c r="B118" s="126"/>
      <c r="C118" s="52"/>
      <c r="D118" s="53"/>
      <c r="E118" s="120"/>
      <c r="F118" s="120"/>
      <c r="G118" s="55"/>
      <c r="H118" s="56"/>
      <c r="I118" s="80"/>
      <c r="J118" s="80"/>
      <c r="K118" s="80"/>
      <c r="L118" s="58"/>
      <c r="M118" s="58"/>
      <c r="N118" s="58"/>
      <c r="O118" s="59"/>
      <c r="P118" s="60"/>
      <c r="Q118" s="80"/>
      <c r="R118" s="62"/>
      <c r="S118" s="63"/>
      <c r="T118" s="63" t="str">
        <f aca="false">IF(ISBLANK($C118),"",IF(G118=Constants!$B$2, TRUE(), IF(G118=Constants!$B$3, FALSE(), TRUE())))</f>
        <v/>
      </c>
      <c r="U118" s="63" t="str">
        <f aca="false">IF(ISBLANK($C118),"",IF(H118=Constants!$B$2, TRUE(), IF(H118=Constants!$B$3, FALSE(), TRUE())))</f>
        <v/>
      </c>
      <c r="V118" s="63" t="str">
        <f aca="false">IF(ISBLANK($C118),"",IF(I118=Constants!$B$2, TRUE(), IF(I118=Constants!$B$3, FALSE(), TRUE())))</f>
        <v/>
      </c>
      <c r="W118" s="63" t="str">
        <f aca="false">IF(ISBLANK($C118),"",IF(J118=Constants!$B$2, TRUE(), IF(J118=Constants!$B$3, FALSE(), TRUE())))</f>
        <v/>
      </c>
      <c r="X118" s="63" t="str">
        <f aca="false">IF(ISBLANK($C118),"",IF(K118=Constants!$B$2, TRUE(), IF(K118=Constants!$B$3, FALSE(), TRUE())))</f>
        <v/>
      </c>
      <c r="Y118" s="65" t="str">
        <f aca="false">IF(ISBLANK($C118),"",IF(ISNUMBER(L118), L118, ""))</f>
        <v/>
      </c>
      <c r="Z118" s="65" t="str">
        <f aca="false">IF(ISBLANK($C118),"",IF(ISNUMBER(M118), M118, ""))</f>
        <v/>
      </c>
      <c r="AA118" s="65" t="str">
        <f aca="false">IF(ISBLANK($C118),"",IF(ISNUMBER(N118), N118, ""))</f>
        <v/>
      </c>
      <c r="AB118" s="66" t="str">
        <f aca="false">IF(ISBLANK($C118),"",IF(ISNUMBER(O118), O118, ""))</f>
        <v/>
      </c>
      <c r="AC118" s="66" t="str">
        <f aca="false">IF(ISBLANK($C118),"",IF(ISNUMBER(P118), P118, Constants!$B$13))</f>
        <v/>
      </c>
      <c r="AD118" s="63" t="str">
        <f aca="false">IF(ISBLANK($C118),"",IF(Q118=Constants!$B$2, TRUE(), IF(Q118=Constants!$B$3, FALSE(), FALSE())))</f>
        <v/>
      </c>
      <c r="AE118" s="63" t="str">
        <f aca="false">IF(ISBLANK(C118), "", IF(AD118, Constants!$B$4,IF(COUNTA(G118:O118)=0, Constants!$B$5, Constants!$B$7)))</f>
        <v/>
      </c>
      <c r="AF118" s="63" t="str">
        <f aca="false">IF(ISBLANK($C118), "",IF($AE118=Constants!$B$7,1,$AE118))</f>
        <v/>
      </c>
      <c r="AG118" s="63" t="str">
        <f aca="false">IF($AE118=Constants!$B$7,IF(V118, 1, Constants!$B$11) * IF(X118, 1, Constants!$B$12),"")</f>
        <v/>
      </c>
      <c r="AH118" s="63" t="str">
        <f aca="false">IF(AND($AE118=Constants!$B$7, T118, U118) ,MAX(0, $AA118-$Y118),"")</f>
        <v/>
      </c>
      <c r="AI118" s="63" t="str">
        <f aca="false">IF(ISERROR(AH118),$AI$6,"")</f>
        <v/>
      </c>
      <c r="AJ118" s="63" t="str">
        <f aca="false">IF($AE118=Constants!$B$7,IF(AND(T118,U118,W118),IF($AH$6=0,Constants!$B$9,Constants!$B$9*AH118/$AH$6), 0),"")</f>
        <v/>
      </c>
      <c r="AK118" s="63" t="str">
        <f aca="false">IF(AJ118&lt;&gt;"", AJ118*AG118,"")</f>
        <v/>
      </c>
      <c r="AL118" s="63" t="str">
        <f aca="false">IF(AND($AE118=Constants!$B$7, T118, U118) ,IF($Z118="", "", MAX(0,1-ABS($AA118-$Z118)/$AA118)),"")</f>
        <v/>
      </c>
      <c r="AM118" s="63" t="str">
        <f aca="false">IF(AND(NOT(ISERROR(AH118)),ISERROR(AL118)),$AM$6,"")</f>
        <v/>
      </c>
      <c r="AN118" s="63" t="str">
        <f aca="false">IF($AE118=Constants!$B$7 ,IF(AND(T118,U118,W118,ISNUMBER(Z118)),IF($AL$6=0,Constants!$B$10,Constants!$B$10*AL118/$AL$6), 0),"")</f>
        <v/>
      </c>
      <c r="AO118" s="63" t="str">
        <f aca="false">IF(AN118&lt;&gt;"", AN118*AG118,"")</f>
        <v/>
      </c>
      <c r="AP118" s="63" t="str">
        <f aca="false">IF($AE118=Constants!$B$7,IF($AP$6=0,Constants!$B$8,Constants!$B$8*AB118/$AP$6),"")</f>
        <v/>
      </c>
      <c r="AQ118" s="63" t="str">
        <f aca="false">IF($AE118&lt;&gt;Constants!$B$7,$AE118,AK118+AO118+AP118)</f>
        <v/>
      </c>
      <c r="AR118" s="63" t="str">
        <f aca="false">IF(ISBLANK($C118),"",IF($AE118=Constants!$B$7,RANK(AQ118,$AQ$8:$AQ$507),$AE118))</f>
        <v/>
      </c>
      <c r="AS118" s="63" t="str">
        <f aca="false">IF(ISBLANK($C118), "",AK118)</f>
        <v/>
      </c>
      <c r="AT118" s="63" t="str">
        <f aca="false">IF(ISBLANK($C118),"",IF($AE118=Constants!$B$7,RANK(AS118,AS$8:AS$507),$AE118))</f>
        <v/>
      </c>
      <c r="AU118" s="63" t="str">
        <f aca="false">IF(ISBLANK($C118), "",AP118)</f>
        <v/>
      </c>
      <c r="AV118" s="63" t="str">
        <f aca="false">IF(ISBLANK($C118),"",IF($AE118=Constants!$B$7,RANK(AU118,AU$8:AU$507),$AE118))</f>
        <v/>
      </c>
      <c r="AW118" s="63" t="str">
        <f aca="false">IF(ISBLANK($C118), "",AC118)</f>
        <v/>
      </c>
      <c r="AX118" s="63" t="str">
        <f aca="false">IF(ISBLANK($C118),"",
IF($AE118=Constants!$B$7,
  COUNTIFS($AR$8:$AR$507,"&lt;"&amp;$AR118)
  + COUNTIFS($AR$8:$AR$507,$AR118,$AT$8:$AT$507,"&lt;"&amp;$AT118)
  + COUNTIFS($AR$8:$AR$507,$AR118,$AT$8:$AT$507,$AT118,$AV$8:$AV$507,"&lt;"&amp;$AV118)
  + COUNTIFS($AR$8:$AR$507,$AR118,$AT$8:$AT$507,$AT118,$AV$8:$AV$507,$AV118,$AW$8:$AW$507,"&lt;"&amp;$AW118)
  + 1,
$AE118))</f>
        <v/>
      </c>
      <c r="AY118" s="63" t="str">
        <f aca="false">IF(ISBLANK(C118),"",IF($AE118=Constants!$B$7, AR118-AX118,$AE118))</f>
        <v/>
      </c>
      <c r="AZ118" s="67"/>
      <c r="BA118" s="81" t="str">
        <f aca="false">IF(ISBLANK($C118),"",TRIM(AI118&amp;" "&amp;AM118))</f>
        <v/>
      </c>
      <c r="BB118" s="69" t="str">
        <f aca="false">IF(ISBLANK($C118),"",IF($AE118&lt;&gt;Constants!$B$7, $AE118 ,AQ118))</f>
        <v/>
      </c>
      <c r="BC118" s="70" t="str">
        <f aca="false">IF(ISBLANK($C118),"",IF($AE118&lt;&gt;Constants!$B$7, $AE118 ,AF118))</f>
        <v/>
      </c>
      <c r="BD118" s="71" t="str">
        <f aca="false">IF(ISBLANK(C118),"",AY118)</f>
        <v/>
      </c>
      <c r="BE118" s="71" t="str">
        <f aca="false">IF(ISBLANK(C118),"",AX118)</f>
        <v/>
      </c>
      <c r="BF118" s="72" t="str">
        <f aca="false">IF(ISBLANK(C118),"",IFERROR(_xlfn.SWITCH(BE118, Constants!$B$4, COUNTA($C$8:$C617)+2, Constants!$B$5, COUNTA($C$8:$C617)+1, Constants!$B$6, COUNTA($C$8:$C617)),BE118))</f>
        <v/>
      </c>
      <c r="BG118" s="5"/>
      <c r="BH118" s="73" t="n">
        <f aca="false">IF(OR(ISNUMBER(BE118),BE118="DQ",BE118="P",BE118="NS"),
    1,
    0
)</f>
        <v>0</v>
      </c>
      <c r="BI118" s="73" t="n">
        <v>111</v>
      </c>
      <c r="BJ118" s="73" t="str">
        <f aca="false">IF(ISBLANK($C118),
    "",
   BF118+ROW($B118)/1000
)</f>
        <v/>
      </c>
      <c r="BK118" s="73" t="str">
        <f aca="false">IF(ISNUMBER(BJ118), RANK(BJ118,BJ$8:BJ$507,1), "")</f>
        <v/>
      </c>
      <c r="BL118" s="73" t="str">
        <f aca="false">IF(ISBLANK($C118),
    "",
    $B118
)</f>
        <v/>
      </c>
      <c r="BM118" s="73" t="str">
        <f aca="false">IF(ISBLANK($C118),
    "",
    $C118
)</f>
        <v/>
      </c>
      <c r="BN118" s="73" t="str">
        <f aca="false">IF(ISBLANK($C118),
    "",
    $D118
)</f>
        <v/>
      </c>
      <c r="BO118" s="74" t="str">
        <f aca="false">BC118</f>
        <v/>
      </c>
      <c r="BP118" s="75" t="str">
        <f aca="false">BB118</f>
        <v/>
      </c>
      <c r="BQ118" s="73" t="str">
        <f aca="false">IF(ISBLANK($C118),
    "",
    BE118
)</f>
        <v/>
      </c>
      <c r="BR118" s="76" t="str">
        <f aca="false">IF(BI118&gt;BH$7,
    "",
    VLOOKUP(BI118,BK$8:BQ617,7,FALSE())
)</f>
        <v/>
      </c>
      <c r="BS118" s="77" t="str">
        <f aca="false">IF(BI118&gt;BH$7,
    "",
    VLOOKUP(BI118,BK$8:BQ617,2,FALSE())
)</f>
        <v/>
      </c>
      <c r="BT118" s="77" t="str">
        <f aca="false">IF(BI118&gt;BH$7,
    "",
    VLOOKUP(BI118,BK$8:BQ617,3,FALSE())
)</f>
        <v/>
      </c>
      <c r="BU118" s="77" t="str">
        <f aca="false">IF(BI118&gt;BH$7,
    "",
    VLOOKUP(BI118,BK$8:BQ617,4,FALSE())
)</f>
        <v/>
      </c>
      <c r="BV118" s="77" t="str">
        <f aca="false">IF(BI118&gt;BH$7,
    "",
    VLOOKUP(BI118,BK$8:BQ617,5,FALSE())
)</f>
        <v/>
      </c>
      <c r="BW118" s="78" t="str">
        <f aca="false">IF(BI118&gt;BH$7,
    "",
    VLOOKUP(BI118,BK$8:BQ617,6,FALSE())
)</f>
        <v/>
      </c>
      <c r="BX118" s="50"/>
    </row>
    <row r="119" customFormat="false" ht="15.75" hidden="false" customHeight="false" outlineLevel="0" collapsed="false">
      <c r="A119" s="5"/>
      <c r="B119" s="122"/>
      <c r="C119" s="123"/>
      <c r="D119" s="112"/>
      <c r="E119" s="116"/>
      <c r="F119" s="116"/>
      <c r="G119" s="88"/>
      <c r="H119" s="89"/>
      <c r="I119" s="125"/>
      <c r="J119" s="125"/>
      <c r="K119" s="125"/>
      <c r="L119" s="91"/>
      <c r="M119" s="91"/>
      <c r="N119" s="91"/>
      <c r="O119" s="92"/>
      <c r="P119" s="93"/>
      <c r="Q119" s="125"/>
      <c r="R119" s="95"/>
      <c r="S119" s="96"/>
      <c r="T119" s="96" t="str">
        <f aca="false">IF(ISBLANK($C119),"",IF(G119=Constants!$B$2, TRUE(), IF(G119=Constants!$B$3, FALSE(), TRUE())))</f>
        <v/>
      </c>
      <c r="U119" s="96" t="str">
        <f aca="false">IF(ISBLANK($C119),"",IF(H119=Constants!$B$2, TRUE(), IF(H119=Constants!$B$3, FALSE(), TRUE())))</f>
        <v/>
      </c>
      <c r="V119" s="96" t="str">
        <f aca="false">IF(ISBLANK($C119),"",IF(I119=Constants!$B$2, TRUE(), IF(I119=Constants!$B$3, FALSE(), TRUE())))</f>
        <v/>
      </c>
      <c r="W119" s="96" t="str">
        <f aca="false">IF(ISBLANK($C119),"",IF(J119=Constants!$B$2, TRUE(), IF(J119=Constants!$B$3, FALSE(), TRUE())))</f>
        <v/>
      </c>
      <c r="X119" s="97" t="str">
        <f aca="false">IF(ISBLANK($C119),"",IF(K119=Constants!$B$2, TRUE(), IF(K119=Constants!$B$3, FALSE(), TRUE())))</f>
        <v/>
      </c>
      <c r="Y119" s="98" t="str">
        <f aca="false">IF(ISBLANK($C119),"",IF(ISNUMBER(L119), L119, ""))</f>
        <v/>
      </c>
      <c r="Z119" s="98" t="str">
        <f aca="false">IF(ISBLANK($C119),"",IF(ISNUMBER(M119), M119, ""))</f>
        <v/>
      </c>
      <c r="AA119" s="98" t="str">
        <f aca="false">IF(ISBLANK($C119),"",IF(ISNUMBER(N119), N119, ""))</f>
        <v/>
      </c>
      <c r="AB119" s="99" t="str">
        <f aca="false">IF(ISBLANK($C119),"",IF(ISNUMBER(O119), O119, ""))</f>
        <v/>
      </c>
      <c r="AC119" s="99" t="str">
        <f aca="false">IF(ISBLANK($C119),"",IF(ISNUMBER(P119), P119, Constants!$B$13))</f>
        <v/>
      </c>
      <c r="AD119" s="96" t="str">
        <f aca="false">IF(ISBLANK($C119),"",IF(Q119=Constants!$B$2, TRUE(), IF(Q119=Constants!$B$3, FALSE(), FALSE())))</f>
        <v/>
      </c>
      <c r="AE119" s="96" t="str">
        <f aca="false">IF(ISBLANK(C119), "", IF(AD119, Constants!$B$4,IF(COUNTA(G119:O119)=0, Constants!$B$5, Constants!$B$7)))</f>
        <v/>
      </c>
      <c r="AF119" s="96" t="str">
        <f aca="false">IF(ISBLANK($C119), "",IF($AE119=Constants!$B$7,1,$AE119))</f>
        <v/>
      </c>
      <c r="AG119" s="96" t="str">
        <f aca="false">IF($AE119=Constants!$B$7,IF(V119, 1, Constants!$B$11) * IF(X119, 1, Constants!$B$12),"")</f>
        <v/>
      </c>
      <c r="AH119" s="96" t="str">
        <f aca="false">IF(AND($AE119=Constants!$B$7, T119, U119) ,MAX(0, $AA119-$Y119),"")</f>
        <v/>
      </c>
      <c r="AI119" s="96" t="str">
        <f aca="false">IF(ISERROR(AH119),$AI$6,"")</f>
        <v/>
      </c>
      <c r="AJ119" s="96" t="str">
        <f aca="false">IF($AE119=Constants!$B$7,IF(AND(T119,U119,W119),IF($AH$6=0,Constants!$B$9,Constants!$B$9*AH119/$AH$6), 0),"")</f>
        <v/>
      </c>
      <c r="AK119" s="96" t="str">
        <f aca="false">IF(AJ119&lt;&gt;"", AJ119*AG119,"")</f>
        <v/>
      </c>
      <c r="AL119" s="96" t="str">
        <f aca="false">IF(AND($AE119=Constants!$B$7, T119, U119) ,IF($Z119="", "", MAX(0,1-ABS($AA119-$Z119)/$AA119)),"")</f>
        <v/>
      </c>
      <c r="AM119" s="96" t="str">
        <f aca="false">IF(AND(NOT(ISERROR(AH119)),ISERROR(AL119)),$AM$6,"")</f>
        <v/>
      </c>
      <c r="AN119" s="96" t="str">
        <f aca="false">IF($AE119=Constants!$B$7 ,IF(AND(T119,U119,W119,ISNUMBER(Z119)),IF($AL$6=0,Constants!$B$10,Constants!$B$10*AL119/$AL$6), 0),"")</f>
        <v/>
      </c>
      <c r="AO119" s="96" t="str">
        <f aca="false">IF(AN119&lt;&gt;"", AN119*AG119,"")</f>
        <v/>
      </c>
      <c r="AP119" s="96" t="str">
        <f aca="false">IF($AE119=Constants!$B$7,IF($AP$6=0,Constants!$B$8,Constants!$B$8*AB119/$AP$6),"")</f>
        <v/>
      </c>
      <c r="AQ119" s="96" t="str">
        <f aca="false">IF($AE119&lt;&gt;Constants!$B$7,$AE119,AK119+AO119+AP119)</f>
        <v/>
      </c>
      <c r="AR119" s="96" t="str">
        <f aca="false">IF(ISBLANK($C119),"",IF($AE119=Constants!$B$7,RANK(AQ119,$AQ$8:$AQ$507),$AE119))</f>
        <v/>
      </c>
      <c r="AS119" s="96" t="str">
        <f aca="false">IF(ISBLANK($C119), "",AK119)</f>
        <v/>
      </c>
      <c r="AT119" s="96" t="str">
        <f aca="false">IF(ISBLANK($C119),"",IF($AE119=Constants!$B$7,RANK(AS119,AS$8:AS$507),$AE119))</f>
        <v/>
      </c>
      <c r="AU119" s="96" t="str">
        <f aca="false">IF(ISBLANK($C119), "",AP119)</f>
        <v/>
      </c>
      <c r="AV119" s="96" t="str">
        <f aca="false">IF(ISBLANK($C119),"",IF($AE119=Constants!$B$7,RANK(AU119,AU$8:AU$507),$AE119))</f>
        <v/>
      </c>
      <c r="AW119" s="96" t="str">
        <f aca="false">IF(ISBLANK($C119), "",AC119)</f>
        <v/>
      </c>
      <c r="AX119" s="96" t="str">
        <f aca="false">IF(ISBLANK($C119),"",
IF($AE119=Constants!$B$7,
  COUNTIFS($AR$8:$AR$507,"&lt;"&amp;$AR119)
  + COUNTIFS($AR$8:$AR$507,$AR119,$AT$8:$AT$507,"&lt;"&amp;$AT119)
  + COUNTIFS($AR$8:$AR$507,$AR119,$AT$8:$AT$507,$AT119,$AV$8:$AV$507,"&lt;"&amp;$AV119)
  + COUNTIFS($AR$8:$AR$507,$AR119,$AT$8:$AT$507,$AT119,$AV$8:$AV$507,$AV119,$AW$8:$AW$507,"&lt;"&amp;$AW119)
  + 1,
$AE119))</f>
        <v/>
      </c>
      <c r="AY119" s="96" t="str">
        <f aca="false">IF(ISBLANK(C119),"",IF($AE119=Constants!$B$7, AR119-AX119,$AE119))</f>
        <v/>
      </c>
      <c r="AZ119" s="100"/>
      <c r="BA119" s="101" t="str">
        <f aca="false">IF(ISBLANK($C119),"",TRIM(AI119&amp;" "&amp;AM119))</f>
        <v/>
      </c>
      <c r="BB119" s="102" t="str">
        <f aca="false">IF(ISBLANK($C119),"",IF($AE119&lt;&gt;Constants!$B$7, $AE119 ,AQ119))</f>
        <v/>
      </c>
      <c r="BC119" s="103" t="str">
        <f aca="false">IF(ISBLANK($C119),"",IF($AE119&lt;&gt;Constants!$B$7, $AE119 ,AF119))</f>
        <v/>
      </c>
      <c r="BD119" s="104" t="str">
        <f aca="false">IF(ISBLANK(C119),"",AY119)</f>
        <v/>
      </c>
      <c r="BE119" s="104" t="str">
        <f aca="false">IF(ISBLANK(C119),"",AX119)</f>
        <v/>
      </c>
      <c r="BF119" s="105" t="str">
        <f aca="false">IF(ISBLANK(C119),"",IFERROR(_xlfn.SWITCH(BE119, Constants!$B$4, COUNTA($C$8:$C618)+2, Constants!$B$5, COUNTA($C$8:$C618)+1, Constants!$B$6, COUNTA($C$8:$C618)),BE119))</f>
        <v/>
      </c>
      <c r="BG119" s="5"/>
      <c r="BH119" s="106" t="n">
        <f aca="false">IF(OR(ISNUMBER(BE119),BE119="DQ",BE119="P",BE119="NS"),
    1,
    0
)</f>
        <v>0</v>
      </c>
      <c r="BI119" s="106" t="n">
        <v>112</v>
      </c>
      <c r="BJ119" s="106" t="str">
        <f aca="false">IF(ISBLANK($C119),
    "",
   BF119+ROW($B119)/1000
)</f>
        <v/>
      </c>
      <c r="BK119" s="106" t="str">
        <f aca="false">IF(ISNUMBER(BJ119), RANK(BJ119,BJ$8:BJ$507,1), "")</f>
        <v/>
      </c>
      <c r="BL119" s="106" t="str">
        <f aca="false">IF(ISBLANK($C119),
    "",
    $B119
)</f>
        <v/>
      </c>
      <c r="BM119" s="106" t="str">
        <f aca="false">IF(ISBLANK($C119),
    "",
    $C119
)</f>
        <v/>
      </c>
      <c r="BN119" s="106" t="str">
        <f aca="false">IF(ISBLANK($C119),
    "",
    $D119
)</f>
        <v/>
      </c>
      <c r="BO119" s="107" t="str">
        <f aca="false">BC119</f>
        <v/>
      </c>
      <c r="BP119" s="108" t="str">
        <f aca="false">BB119</f>
        <v/>
      </c>
      <c r="BQ119" s="106" t="str">
        <f aca="false">IF(ISBLANK($C119),
    "",
    BE119
)</f>
        <v/>
      </c>
      <c r="BR119" s="109" t="str">
        <f aca="false">IF(BI119&gt;BH$7,
    "",
    VLOOKUP(BI119,BK$8:BQ618,7,FALSE())
)</f>
        <v/>
      </c>
      <c r="BS119" s="110" t="str">
        <f aca="false">IF(BI119&gt;BH$7,
    "",
    VLOOKUP(BI119,BK$8:BQ618,2,FALSE())
)</f>
        <v/>
      </c>
      <c r="BT119" s="110" t="str">
        <f aca="false">IF(BI119&gt;BH$7,
    "",
    VLOOKUP(BI119,BK$8:BQ618,3,FALSE())
)</f>
        <v/>
      </c>
      <c r="BU119" s="110" t="str">
        <f aca="false">IF(BI119&gt;BH$7,
    "",
    VLOOKUP(BI119,BK$8:BQ618,4,FALSE())
)</f>
        <v/>
      </c>
      <c r="BV119" s="110" t="str">
        <f aca="false">IF(BI119&gt;BH$7,
    "",
    VLOOKUP(BI119,BK$8:BQ618,5,FALSE())
)</f>
        <v/>
      </c>
      <c r="BW119" s="111" t="str">
        <f aca="false">IF(BI119&gt;BH$7,
    "",
    VLOOKUP(BI119,BK$8:BQ618,6,FALSE())
)</f>
        <v/>
      </c>
      <c r="BX119" s="50"/>
    </row>
    <row r="120" customFormat="false" ht="15.75" hidden="false" customHeight="false" outlineLevel="0" collapsed="false">
      <c r="A120" s="5"/>
      <c r="B120" s="122"/>
      <c r="C120" s="123"/>
      <c r="D120" s="112"/>
      <c r="E120" s="116"/>
      <c r="F120" s="116"/>
      <c r="G120" s="88"/>
      <c r="H120" s="89"/>
      <c r="I120" s="125"/>
      <c r="J120" s="125"/>
      <c r="K120" s="125"/>
      <c r="L120" s="91"/>
      <c r="M120" s="91"/>
      <c r="N120" s="91"/>
      <c r="O120" s="92"/>
      <c r="P120" s="93"/>
      <c r="Q120" s="125"/>
      <c r="R120" s="95"/>
      <c r="S120" s="96"/>
      <c r="T120" s="96" t="str">
        <f aca="false">IF(ISBLANK($C120),"",IF(G120=Constants!$B$2, TRUE(), IF(G120=Constants!$B$3, FALSE(), TRUE())))</f>
        <v/>
      </c>
      <c r="U120" s="96" t="str">
        <f aca="false">IF(ISBLANK($C120),"",IF(H120=Constants!$B$2, TRUE(), IF(H120=Constants!$B$3, FALSE(), TRUE())))</f>
        <v/>
      </c>
      <c r="V120" s="96" t="str">
        <f aca="false">IF(ISBLANK($C120),"",IF(I120=Constants!$B$2, TRUE(), IF(I120=Constants!$B$3, FALSE(), TRUE())))</f>
        <v/>
      </c>
      <c r="W120" s="96" t="str">
        <f aca="false">IF(ISBLANK($C120),"",IF(J120=Constants!$B$2, TRUE(), IF(J120=Constants!$B$3, FALSE(), TRUE())))</f>
        <v/>
      </c>
      <c r="X120" s="97" t="str">
        <f aca="false">IF(ISBLANK($C120),"",IF(K120=Constants!$B$2, TRUE(), IF(K120=Constants!$B$3, FALSE(), TRUE())))</f>
        <v/>
      </c>
      <c r="Y120" s="98" t="str">
        <f aca="false">IF(ISBLANK($C120),"",IF(ISNUMBER(L120), L120, ""))</f>
        <v/>
      </c>
      <c r="Z120" s="98" t="str">
        <f aca="false">IF(ISBLANK($C120),"",IF(ISNUMBER(M120), M120, ""))</f>
        <v/>
      </c>
      <c r="AA120" s="98" t="str">
        <f aca="false">IF(ISBLANK($C120),"",IF(ISNUMBER(N120), N120, ""))</f>
        <v/>
      </c>
      <c r="AB120" s="99" t="str">
        <f aca="false">IF(ISBLANK($C120),"",IF(ISNUMBER(O120), O120, ""))</f>
        <v/>
      </c>
      <c r="AC120" s="99" t="str">
        <f aca="false">IF(ISBLANK($C120),"",IF(ISNUMBER(P120), P120, Constants!$B$13))</f>
        <v/>
      </c>
      <c r="AD120" s="96" t="str">
        <f aca="false">IF(ISBLANK($C120),"",IF(Q120=Constants!$B$2, TRUE(), IF(Q120=Constants!$B$3, FALSE(), FALSE())))</f>
        <v/>
      </c>
      <c r="AE120" s="96" t="str">
        <f aca="false">IF(ISBLANK(C120), "", IF(AD120, Constants!$B$4,IF(COUNTA(G120:O120)=0, Constants!$B$5, Constants!$B$7)))</f>
        <v/>
      </c>
      <c r="AF120" s="96" t="str">
        <f aca="false">IF(ISBLANK($C120), "",IF($AE120=Constants!$B$7,1,$AE120))</f>
        <v/>
      </c>
      <c r="AG120" s="96" t="str">
        <f aca="false">IF($AE120=Constants!$B$7,IF(V120, 1, Constants!$B$11) * IF(X120, 1, Constants!$B$12),"")</f>
        <v/>
      </c>
      <c r="AH120" s="96" t="str">
        <f aca="false">IF(AND($AE120=Constants!$B$7, T120, U120) ,MAX(0, $AA120-$Y120),"")</f>
        <v/>
      </c>
      <c r="AI120" s="96" t="str">
        <f aca="false">IF(ISERROR(AH120),$AI$6,"")</f>
        <v/>
      </c>
      <c r="AJ120" s="96" t="str">
        <f aca="false">IF($AE120=Constants!$B$7,IF(AND(T120,U120,W120),IF($AH$6=0,Constants!$B$9,Constants!$B$9*AH120/$AH$6), 0),"")</f>
        <v/>
      </c>
      <c r="AK120" s="96" t="str">
        <f aca="false">IF(AJ120&lt;&gt;"", AJ120*AG120,"")</f>
        <v/>
      </c>
      <c r="AL120" s="96" t="str">
        <f aca="false">IF(AND($AE120=Constants!$B$7, T120, U120) ,IF($Z120="", "", MAX(0,1-ABS($AA120-$Z120)/$AA120)),"")</f>
        <v/>
      </c>
      <c r="AM120" s="96" t="str">
        <f aca="false">IF(AND(NOT(ISERROR(AH120)),ISERROR(AL120)),$AM$6,"")</f>
        <v/>
      </c>
      <c r="AN120" s="96" t="str">
        <f aca="false">IF($AE120=Constants!$B$7 ,IF(AND(T120,U120,W120,ISNUMBER(Z120)),IF($AL$6=0,Constants!$B$10,Constants!$B$10*AL120/$AL$6), 0),"")</f>
        <v/>
      </c>
      <c r="AO120" s="96" t="str">
        <f aca="false">IF(AN120&lt;&gt;"", AN120*AG120,"")</f>
        <v/>
      </c>
      <c r="AP120" s="96" t="str">
        <f aca="false">IF($AE120=Constants!$B$7,IF($AP$6=0,Constants!$B$8,Constants!$B$8*AB120/$AP$6),"")</f>
        <v/>
      </c>
      <c r="AQ120" s="96" t="str">
        <f aca="false">IF($AE120&lt;&gt;Constants!$B$7,$AE120,AK120+AO120+AP120)</f>
        <v/>
      </c>
      <c r="AR120" s="96" t="str">
        <f aca="false">IF(ISBLANK($C120),"",IF($AE120=Constants!$B$7,RANK(AQ120,$AQ$8:$AQ$507),$AE120))</f>
        <v/>
      </c>
      <c r="AS120" s="96" t="str">
        <f aca="false">IF(ISBLANK($C120), "",AK120)</f>
        <v/>
      </c>
      <c r="AT120" s="96" t="str">
        <f aca="false">IF(ISBLANK($C120),"",IF($AE120=Constants!$B$7,RANK(AS120,AS$8:AS$507),$AE120))</f>
        <v/>
      </c>
      <c r="AU120" s="96" t="str">
        <f aca="false">IF(ISBLANK($C120), "",AP120)</f>
        <v/>
      </c>
      <c r="AV120" s="96" t="str">
        <f aca="false">IF(ISBLANK($C120),"",IF($AE120=Constants!$B$7,RANK(AU120,AU$8:AU$507),$AE120))</f>
        <v/>
      </c>
      <c r="AW120" s="96" t="str">
        <f aca="false">IF(ISBLANK($C120), "",AC120)</f>
        <v/>
      </c>
      <c r="AX120" s="96" t="str">
        <f aca="false">IF(ISBLANK($C120),"",
IF($AE120=Constants!$B$7,
  COUNTIFS($AR$8:$AR$507,"&lt;"&amp;$AR120)
  + COUNTIFS($AR$8:$AR$507,$AR120,$AT$8:$AT$507,"&lt;"&amp;$AT120)
  + COUNTIFS($AR$8:$AR$507,$AR120,$AT$8:$AT$507,$AT120,$AV$8:$AV$507,"&lt;"&amp;$AV120)
  + COUNTIFS($AR$8:$AR$507,$AR120,$AT$8:$AT$507,$AT120,$AV$8:$AV$507,$AV120,$AW$8:$AW$507,"&lt;"&amp;$AW120)
  + 1,
$AE120))</f>
        <v/>
      </c>
      <c r="AY120" s="96" t="str">
        <f aca="false">IF(ISBLANK(C120),"",IF($AE120=Constants!$B$7, AR120-AX120,$AE120))</f>
        <v/>
      </c>
      <c r="AZ120" s="100"/>
      <c r="BA120" s="101" t="str">
        <f aca="false">IF(ISBLANK($C120),"",TRIM(AI120&amp;" "&amp;AM120))</f>
        <v/>
      </c>
      <c r="BB120" s="102" t="str">
        <f aca="false">IF(ISBLANK($C120),"",IF($AE120&lt;&gt;Constants!$B$7, $AE120 ,AQ120))</f>
        <v/>
      </c>
      <c r="BC120" s="103" t="str">
        <f aca="false">IF(ISBLANK($C120),"",IF($AE120&lt;&gt;Constants!$B$7, $AE120 ,AF120))</f>
        <v/>
      </c>
      <c r="BD120" s="104" t="str">
        <f aca="false">IF(ISBLANK(C120),"",AY120)</f>
        <v/>
      </c>
      <c r="BE120" s="104" t="str">
        <f aca="false">IF(ISBLANK(C120),"",AX120)</f>
        <v/>
      </c>
      <c r="BF120" s="105" t="str">
        <f aca="false">IF(ISBLANK(C120),"",IFERROR(_xlfn.SWITCH(BE120, Constants!$B$4, COUNTA($C$8:$C619)+2, Constants!$B$5, COUNTA($C$8:$C619)+1, Constants!$B$6, COUNTA($C$8:$C619)),BE120))</f>
        <v/>
      </c>
      <c r="BG120" s="5"/>
      <c r="BH120" s="106" t="n">
        <f aca="false">IF(OR(ISNUMBER(BE120),BE120="DQ",BE120="P",BE120="NS"),
    1,
    0
)</f>
        <v>0</v>
      </c>
      <c r="BI120" s="106" t="n">
        <v>113</v>
      </c>
      <c r="BJ120" s="106" t="str">
        <f aca="false">IF(ISBLANK($C120),
    "",
   BF120+ROW($B120)/1000
)</f>
        <v/>
      </c>
      <c r="BK120" s="106" t="str">
        <f aca="false">IF(ISNUMBER(BJ120), RANK(BJ120,BJ$8:BJ$507,1), "")</f>
        <v/>
      </c>
      <c r="BL120" s="106" t="str">
        <f aca="false">IF(ISBLANK($C120),
    "",
    $B120
)</f>
        <v/>
      </c>
      <c r="BM120" s="106" t="str">
        <f aca="false">IF(ISBLANK($C120),
    "",
    $C120
)</f>
        <v/>
      </c>
      <c r="BN120" s="106" t="str">
        <f aca="false">IF(ISBLANK($C120),
    "",
    $D120
)</f>
        <v/>
      </c>
      <c r="BO120" s="107" t="str">
        <f aca="false">BC120</f>
        <v/>
      </c>
      <c r="BP120" s="108" t="str">
        <f aca="false">BB120</f>
        <v/>
      </c>
      <c r="BQ120" s="106" t="str">
        <f aca="false">IF(ISBLANK($C120),
    "",
    BE120
)</f>
        <v/>
      </c>
      <c r="BR120" s="109" t="str">
        <f aca="false">IF(BI120&gt;BH$7,
    "",
    VLOOKUP(BI120,BK$8:BQ619,7,FALSE())
)</f>
        <v/>
      </c>
      <c r="BS120" s="110" t="str">
        <f aca="false">IF(BI120&gt;BH$7,
    "",
    VLOOKUP(BI120,BK$8:BQ619,2,FALSE())
)</f>
        <v/>
      </c>
      <c r="BT120" s="110" t="str">
        <f aca="false">IF(BI120&gt;BH$7,
    "",
    VLOOKUP(BI120,BK$8:BQ619,3,FALSE())
)</f>
        <v/>
      </c>
      <c r="BU120" s="110" t="str">
        <f aca="false">IF(BI120&gt;BH$7,
    "",
    VLOOKUP(BI120,BK$8:BQ619,4,FALSE())
)</f>
        <v/>
      </c>
      <c r="BV120" s="110" t="str">
        <f aca="false">IF(BI120&gt;BH$7,
    "",
    VLOOKUP(BI120,BK$8:BQ619,5,FALSE())
)</f>
        <v/>
      </c>
      <c r="BW120" s="111" t="str">
        <f aca="false">IF(BI120&gt;BH$7,
    "",
    VLOOKUP(BI120,BK$8:BQ619,6,FALSE())
)</f>
        <v/>
      </c>
      <c r="BX120" s="50"/>
    </row>
    <row r="121" customFormat="false" ht="15.75" hidden="false" customHeight="false" outlineLevel="0" collapsed="false">
      <c r="A121" s="5"/>
      <c r="B121" s="122"/>
      <c r="C121" s="123"/>
      <c r="D121" s="112"/>
      <c r="E121" s="116"/>
      <c r="F121" s="116"/>
      <c r="G121" s="88"/>
      <c r="H121" s="89"/>
      <c r="I121" s="125"/>
      <c r="J121" s="125"/>
      <c r="K121" s="125"/>
      <c r="L121" s="91"/>
      <c r="M121" s="91"/>
      <c r="N121" s="91"/>
      <c r="O121" s="92"/>
      <c r="P121" s="93"/>
      <c r="Q121" s="125"/>
      <c r="R121" s="95"/>
      <c r="S121" s="96"/>
      <c r="T121" s="96" t="str">
        <f aca="false">IF(ISBLANK($C121),"",IF(G121=Constants!$B$2, TRUE(), IF(G121=Constants!$B$3, FALSE(), TRUE())))</f>
        <v/>
      </c>
      <c r="U121" s="96" t="str">
        <f aca="false">IF(ISBLANK($C121),"",IF(H121=Constants!$B$2, TRUE(), IF(H121=Constants!$B$3, FALSE(), TRUE())))</f>
        <v/>
      </c>
      <c r="V121" s="96" t="str">
        <f aca="false">IF(ISBLANK($C121),"",IF(I121=Constants!$B$2, TRUE(), IF(I121=Constants!$B$3, FALSE(), TRUE())))</f>
        <v/>
      </c>
      <c r="W121" s="96" t="str">
        <f aca="false">IF(ISBLANK($C121),"",IF(J121=Constants!$B$2, TRUE(), IF(J121=Constants!$B$3, FALSE(), TRUE())))</f>
        <v/>
      </c>
      <c r="X121" s="97" t="str">
        <f aca="false">IF(ISBLANK($C121),"",IF(K121=Constants!$B$2, TRUE(), IF(K121=Constants!$B$3, FALSE(), TRUE())))</f>
        <v/>
      </c>
      <c r="Y121" s="98" t="str">
        <f aca="false">IF(ISBLANK($C121),"",IF(ISNUMBER(L121), L121, ""))</f>
        <v/>
      </c>
      <c r="Z121" s="98" t="str">
        <f aca="false">IF(ISBLANK($C121),"",IF(ISNUMBER(M121), M121, ""))</f>
        <v/>
      </c>
      <c r="AA121" s="98" t="str">
        <f aca="false">IF(ISBLANK($C121),"",IF(ISNUMBER(N121), N121, ""))</f>
        <v/>
      </c>
      <c r="AB121" s="99" t="str">
        <f aca="false">IF(ISBLANK($C121),"",IF(ISNUMBER(O121), O121, ""))</f>
        <v/>
      </c>
      <c r="AC121" s="99" t="str">
        <f aca="false">IF(ISBLANK($C121),"",IF(ISNUMBER(P121), P121, Constants!$B$13))</f>
        <v/>
      </c>
      <c r="AD121" s="96" t="str">
        <f aca="false">IF(ISBLANK($C121),"",IF(Q121=Constants!$B$2, TRUE(), IF(Q121=Constants!$B$3, FALSE(), FALSE())))</f>
        <v/>
      </c>
      <c r="AE121" s="96" t="str">
        <f aca="false">IF(ISBLANK(C121), "", IF(AD121, Constants!$B$4,IF(COUNTA(G121:O121)=0, Constants!$B$5, Constants!$B$7)))</f>
        <v/>
      </c>
      <c r="AF121" s="96" t="str">
        <f aca="false">IF(ISBLANK($C121), "",IF($AE121=Constants!$B$7,1,$AE121))</f>
        <v/>
      </c>
      <c r="AG121" s="96" t="str">
        <f aca="false">IF($AE121=Constants!$B$7,IF(V121, 1, Constants!$B$11) * IF(X121, 1, Constants!$B$12),"")</f>
        <v/>
      </c>
      <c r="AH121" s="96" t="str">
        <f aca="false">IF(AND($AE121=Constants!$B$7, T121, U121) ,MAX(0, $AA121-$Y121),"")</f>
        <v/>
      </c>
      <c r="AI121" s="96" t="str">
        <f aca="false">IF(ISERROR(AH121),$AI$6,"")</f>
        <v/>
      </c>
      <c r="AJ121" s="96" t="str">
        <f aca="false">IF($AE121=Constants!$B$7,IF(AND(T121,U121,W121),IF($AH$6=0,Constants!$B$9,Constants!$B$9*AH121/$AH$6), 0),"")</f>
        <v/>
      </c>
      <c r="AK121" s="96" t="str">
        <f aca="false">IF(AJ121&lt;&gt;"", AJ121*AG121,"")</f>
        <v/>
      </c>
      <c r="AL121" s="96" t="str">
        <f aca="false">IF(AND($AE121=Constants!$B$7, T121, U121) ,IF($Z121="", "", MAX(0,1-ABS($AA121-$Z121)/$AA121)),"")</f>
        <v/>
      </c>
      <c r="AM121" s="96" t="str">
        <f aca="false">IF(AND(NOT(ISERROR(AH121)),ISERROR(AL121)),$AM$6,"")</f>
        <v/>
      </c>
      <c r="AN121" s="96" t="str">
        <f aca="false">IF($AE121=Constants!$B$7 ,IF(AND(T121,U121,W121,ISNUMBER(Z121)),IF($AL$6=0,Constants!$B$10,Constants!$B$10*AL121/$AL$6), 0),"")</f>
        <v/>
      </c>
      <c r="AO121" s="96" t="str">
        <f aca="false">IF(AN121&lt;&gt;"", AN121*AG121,"")</f>
        <v/>
      </c>
      <c r="AP121" s="96" t="str">
        <f aca="false">IF($AE121=Constants!$B$7,IF($AP$6=0,Constants!$B$8,Constants!$B$8*AB121/$AP$6),"")</f>
        <v/>
      </c>
      <c r="AQ121" s="96" t="str">
        <f aca="false">IF($AE121&lt;&gt;Constants!$B$7,$AE121,AK121+AO121+AP121)</f>
        <v/>
      </c>
      <c r="AR121" s="96" t="str">
        <f aca="false">IF(ISBLANK($C121),"",IF($AE121=Constants!$B$7,RANK(AQ121,$AQ$8:$AQ$507),$AE121))</f>
        <v/>
      </c>
      <c r="AS121" s="96" t="str">
        <f aca="false">IF(ISBLANK($C121), "",AK121)</f>
        <v/>
      </c>
      <c r="AT121" s="96" t="str">
        <f aca="false">IF(ISBLANK($C121),"",IF($AE121=Constants!$B$7,RANK(AS121,AS$8:AS$507),$AE121))</f>
        <v/>
      </c>
      <c r="AU121" s="96" t="str">
        <f aca="false">IF(ISBLANK($C121), "",AP121)</f>
        <v/>
      </c>
      <c r="AV121" s="96" t="str">
        <f aca="false">IF(ISBLANK($C121),"",IF($AE121=Constants!$B$7,RANK(AU121,AU$8:AU$507),$AE121))</f>
        <v/>
      </c>
      <c r="AW121" s="96" t="str">
        <f aca="false">IF(ISBLANK($C121), "",AC121)</f>
        <v/>
      </c>
      <c r="AX121" s="96" t="str">
        <f aca="false">IF(ISBLANK($C121),"",
IF($AE121=Constants!$B$7,
  COUNTIFS($AR$8:$AR$507,"&lt;"&amp;$AR121)
  + COUNTIFS($AR$8:$AR$507,$AR121,$AT$8:$AT$507,"&lt;"&amp;$AT121)
  + COUNTIFS($AR$8:$AR$507,$AR121,$AT$8:$AT$507,$AT121,$AV$8:$AV$507,"&lt;"&amp;$AV121)
  + COUNTIFS($AR$8:$AR$507,$AR121,$AT$8:$AT$507,$AT121,$AV$8:$AV$507,$AV121,$AW$8:$AW$507,"&lt;"&amp;$AW121)
  + 1,
$AE121))</f>
        <v/>
      </c>
      <c r="AY121" s="96" t="str">
        <f aca="false">IF(ISBLANK(C121),"",IF($AE121=Constants!$B$7, AR121-AX121,$AE121))</f>
        <v/>
      </c>
      <c r="AZ121" s="100"/>
      <c r="BA121" s="101" t="str">
        <f aca="false">IF(ISBLANK($C121),"",TRIM(AI121&amp;" "&amp;AM121))</f>
        <v/>
      </c>
      <c r="BB121" s="102" t="str">
        <f aca="false">IF(ISBLANK($C121),"",IF($AE121&lt;&gt;Constants!$B$7, $AE121 ,AQ121))</f>
        <v/>
      </c>
      <c r="BC121" s="103" t="str">
        <f aca="false">IF(ISBLANK($C121),"",IF($AE121&lt;&gt;Constants!$B$7, $AE121 ,AF121))</f>
        <v/>
      </c>
      <c r="BD121" s="104" t="str">
        <f aca="false">IF(ISBLANK(C121),"",AY121)</f>
        <v/>
      </c>
      <c r="BE121" s="104" t="str">
        <f aca="false">IF(ISBLANK(C121),"",AX121)</f>
        <v/>
      </c>
      <c r="BF121" s="105" t="str">
        <f aca="false">IF(ISBLANK(C121),"",IFERROR(_xlfn.SWITCH(BE121, Constants!$B$4, COUNTA($C$8:$C620)+2, Constants!$B$5, COUNTA($C$8:$C620)+1, Constants!$B$6, COUNTA($C$8:$C620)),BE121))</f>
        <v/>
      </c>
      <c r="BG121" s="5"/>
      <c r="BH121" s="106" t="n">
        <f aca="false">IF(OR(ISNUMBER(BE121),BE121="DQ",BE121="P",BE121="NS"),
    1,
    0
)</f>
        <v>0</v>
      </c>
      <c r="BI121" s="106" t="n">
        <v>114</v>
      </c>
      <c r="BJ121" s="106" t="str">
        <f aca="false">IF(ISBLANK($C121),
    "",
   BF121+ROW($B121)/1000
)</f>
        <v/>
      </c>
      <c r="BK121" s="106" t="str">
        <f aca="false">IF(ISNUMBER(BJ121), RANK(BJ121,BJ$8:BJ$507,1), "")</f>
        <v/>
      </c>
      <c r="BL121" s="106" t="str">
        <f aca="false">IF(ISBLANK($C121),
    "",
    $B121
)</f>
        <v/>
      </c>
      <c r="BM121" s="106" t="str">
        <f aca="false">IF(ISBLANK($C121),
    "",
    $C121
)</f>
        <v/>
      </c>
      <c r="BN121" s="106" t="str">
        <f aca="false">IF(ISBLANK($C121),
    "",
    $D121
)</f>
        <v/>
      </c>
      <c r="BO121" s="107" t="str">
        <f aca="false">BC121</f>
        <v/>
      </c>
      <c r="BP121" s="108" t="str">
        <f aca="false">BB121</f>
        <v/>
      </c>
      <c r="BQ121" s="106" t="str">
        <f aca="false">IF(ISBLANK($C121),
    "",
    BE121
)</f>
        <v/>
      </c>
      <c r="BR121" s="109" t="str">
        <f aca="false">IF(BI121&gt;BH$7,
    "",
    VLOOKUP(BI121,BK$8:BQ620,7,FALSE())
)</f>
        <v/>
      </c>
      <c r="BS121" s="110" t="str">
        <f aca="false">IF(BI121&gt;BH$7,
    "",
    VLOOKUP(BI121,BK$8:BQ620,2,FALSE())
)</f>
        <v/>
      </c>
      <c r="BT121" s="110" t="str">
        <f aca="false">IF(BI121&gt;BH$7,
    "",
    VLOOKUP(BI121,BK$8:BQ620,3,FALSE())
)</f>
        <v/>
      </c>
      <c r="BU121" s="110" t="str">
        <f aca="false">IF(BI121&gt;BH$7,
    "",
    VLOOKUP(BI121,BK$8:BQ620,4,FALSE())
)</f>
        <v/>
      </c>
      <c r="BV121" s="110" t="str">
        <f aca="false">IF(BI121&gt;BH$7,
    "",
    VLOOKUP(BI121,BK$8:BQ620,5,FALSE())
)</f>
        <v/>
      </c>
      <c r="BW121" s="111" t="str">
        <f aca="false">IF(BI121&gt;BH$7,
    "",
    VLOOKUP(BI121,BK$8:BQ620,6,FALSE())
)</f>
        <v/>
      </c>
      <c r="BX121" s="50"/>
    </row>
    <row r="122" customFormat="false" ht="15.75" hidden="false" customHeight="false" outlineLevel="0" collapsed="false">
      <c r="A122" s="5"/>
      <c r="B122" s="126"/>
      <c r="C122" s="52"/>
      <c r="D122" s="53"/>
      <c r="E122" s="120"/>
      <c r="F122" s="120"/>
      <c r="G122" s="55"/>
      <c r="H122" s="56"/>
      <c r="I122" s="80"/>
      <c r="J122" s="80"/>
      <c r="K122" s="80"/>
      <c r="L122" s="58"/>
      <c r="M122" s="58"/>
      <c r="N122" s="58"/>
      <c r="O122" s="59"/>
      <c r="P122" s="60"/>
      <c r="Q122" s="80"/>
      <c r="R122" s="62"/>
      <c r="S122" s="63"/>
      <c r="T122" s="63" t="str">
        <f aca="false">IF(ISBLANK($C122),"",IF(G122=Constants!$B$2, TRUE(), IF(G122=Constants!$B$3, FALSE(), TRUE())))</f>
        <v/>
      </c>
      <c r="U122" s="63" t="str">
        <f aca="false">IF(ISBLANK($C122),"",IF(H122=Constants!$B$2, TRUE(), IF(H122=Constants!$B$3, FALSE(), TRUE())))</f>
        <v/>
      </c>
      <c r="V122" s="63" t="str">
        <f aca="false">IF(ISBLANK($C122),"",IF(I122=Constants!$B$2, TRUE(), IF(I122=Constants!$B$3, FALSE(), TRUE())))</f>
        <v/>
      </c>
      <c r="W122" s="63" t="str">
        <f aca="false">IF(ISBLANK($C122),"",IF(J122=Constants!$B$2, TRUE(), IF(J122=Constants!$B$3, FALSE(), TRUE())))</f>
        <v/>
      </c>
      <c r="X122" s="63" t="str">
        <f aca="false">IF(ISBLANK($C122),"",IF(K122=Constants!$B$2, TRUE(), IF(K122=Constants!$B$3, FALSE(), TRUE())))</f>
        <v/>
      </c>
      <c r="Y122" s="65" t="str">
        <f aca="false">IF(ISBLANK($C122),"",IF(ISNUMBER(L122), L122, ""))</f>
        <v/>
      </c>
      <c r="Z122" s="65" t="str">
        <f aca="false">IF(ISBLANK($C122),"",IF(ISNUMBER(M122), M122, ""))</f>
        <v/>
      </c>
      <c r="AA122" s="65" t="str">
        <f aca="false">IF(ISBLANK($C122),"",IF(ISNUMBER(N122), N122, ""))</f>
        <v/>
      </c>
      <c r="AB122" s="66" t="str">
        <f aca="false">IF(ISBLANK($C122),"",IF(ISNUMBER(O122), O122, ""))</f>
        <v/>
      </c>
      <c r="AC122" s="66" t="str">
        <f aca="false">IF(ISBLANK($C122),"",IF(ISNUMBER(P122), P122, Constants!$B$13))</f>
        <v/>
      </c>
      <c r="AD122" s="63" t="str">
        <f aca="false">IF(ISBLANK($C122),"",IF(Q122=Constants!$B$2, TRUE(), IF(Q122=Constants!$B$3, FALSE(), FALSE())))</f>
        <v/>
      </c>
      <c r="AE122" s="63" t="str">
        <f aca="false">IF(ISBLANK(C122), "", IF(AD122, Constants!$B$4,IF(COUNTA(G122:O122)=0, Constants!$B$5, Constants!$B$7)))</f>
        <v/>
      </c>
      <c r="AF122" s="63" t="str">
        <f aca="false">IF(ISBLANK($C122), "",IF($AE122=Constants!$B$7,1,$AE122))</f>
        <v/>
      </c>
      <c r="AG122" s="63" t="str">
        <f aca="false">IF($AE122=Constants!$B$7,IF(V122, 1, Constants!$B$11) * IF(X122, 1, Constants!$B$12),"")</f>
        <v/>
      </c>
      <c r="AH122" s="63" t="str">
        <f aca="false">IF(AND($AE122=Constants!$B$7, T122, U122) ,MAX(0, $AA122-$Y122),"")</f>
        <v/>
      </c>
      <c r="AI122" s="63" t="str">
        <f aca="false">IF(ISERROR(AH122),$AI$6,"")</f>
        <v/>
      </c>
      <c r="AJ122" s="63" t="str">
        <f aca="false">IF($AE122=Constants!$B$7,IF(AND(T122,U122,W122),IF($AH$6=0,Constants!$B$9,Constants!$B$9*AH122/$AH$6), 0),"")</f>
        <v/>
      </c>
      <c r="AK122" s="63" t="str">
        <f aca="false">IF(AJ122&lt;&gt;"", AJ122*AG122,"")</f>
        <v/>
      </c>
      <c r="AL122" s="63" t="str">
        <f aca="false">IF(AND($AE122=Constants!$B$7, T122, U122) ,IF($Z122="", "", MAX(0,1-ABS($AA122-$Z122)/$AA122)),"")</f>
        <v/>
      </c>
      <c r="AM122" s="63" t="str">
        <f aca="false">IF(AND(NOT(ISERROR(AH122)),ISERROR(AL122)),$AM$6,"")</f>
        <v/>
      </c>
      <c r="AN122" s="63" t="str">
        <f aca="false">IF($AE122=Constants!$B$7 ,IF(AND(T122,U122,W122,ISNUMBER(Z122)),IF($AL$6=0,Constants!$B$10,Constants!$B$10*AL122/$AL$6), 0),"")</f>
        <v/>
      </c>
      <c r="AO122" s="63" t="str">
        <f aca="false">IF(AN122&lt;&gt;"", AN122*AG122,"")</f>
        <v/>
      </c>
      <c r="AP122" s="63" t="str">
        <f aca="false">IF($AE122=Constants!$B$7,IF($AP$6=0,Constants!$B$8,Constants!$B$8*AB122/$AP$6),"")</f>
        <v/>
      </c>
      <c r="AQ122" s="63" t="str">
        <f aca="false">IF($AE122&lt;&gt;Constants!$B$7,$AE122,AK122+AO122+AP122)</f>
        <v/>
      </c>
      <c r="AR122" s="63" t="str">
        <f aca="false">IF(ISBLANK($C122),"",IF($AE122=Constants!$B$7,RANK(AQ122,$AQ$8:$AQ$507),$AE122))</f>
        <v/>
      </c>
      <c r="AS122" s="63" t="str">
        <f aca="false">IF(ISBLANK($C122), "",AK122)</f>
        <v/>
      </c>
      <c r="AT122" s="63" t="str">
        <f aca="false">IF(ISBLANK($C122),"",IF($AE122=Constants!$B$7,RANK(AS122,AS$8:AS$507),$AE122))</f>
        <v/>
      </c>
      <c r="AU122" s="63" t="str">
        <f aca="false">IF(ISBLANK($C122), "",AP122)</f>
        <v/>
      </c>
      <c r="AV122" s="63" t="str">
        <f aca="false">IF(ISBLANK($C122),"",IF($AE122=Constants!$B$7,RANK(AU122,AU$8:AU$507),$AE122))</f>
        <v/>
      </c>
      <c r="AW122" s="63" t="str">
        <f aca="false">IF(ISBLANK($C122), "",AC122)</f>
        <v/>
      </c>
      <c r="AX122" s="63" t="str">
        <f aca="false">IF(ISBLANK($C122),"",
IF($AE122=Constants!$B$7,
  COUNTIFS($AR$8:$AR$507,"&lt;"&amp;$AR122)
  + COUNTIFS($AR$8:$AR$507,$AR122,$AT$8:$AT$507,"&lt;"&amp;$AT122)
  + COUNTIFS($AR$8:$AR$507,$AR122,$AT$8:$AT$507,$AT122,$AV$8:$AV$507,"&lt;"&amp;$AV122)
  + COUNTIFS($AR$8:$AR$507,$AR122,$AT$8:$AT$507,$AT122,$AV$8:$AV$507,$AV122,$AW$8:$AW$507,"&lt;"&amp;$AW122)
  + 1,
$AE122))</f>
        <v/>
      </c>
      <c r="AY122" s="63" t="str">
        <f aca="false">IF(ISBLANK(C122),"",IF($AE122=Constants!$B$7, AR122-AX122,$AE122))</f>
        <v/>
      </c>
      <c r="AZ122" s="67"/>
      <c r="BA122" s="81" t="str">
        <f aca="false">IF(ISBLANK($C122),"",TRIM(AI122&amp;" "&amp;AM122))</f>
        <v/>
      </c>
      <c r="BB122" s="69" t="str">
        <f aca="false">IF(ISBLANK($C122),"",IF($AE122&lt;&gt;Constants!$B$7, $AE122 ,AQ122))</f>
        <v/>
      </c>
      <c r="BC122" s="70" t="str">
        <f aca="false">IF(ISBLANK($C122),"",IF($AE122&lt;&gt;Constants!$B$7, $AE122 ,AF122))</f>
        <v/>
      </c>
      <c r="BD122" s="71" t="str">
        <f aca="false">IF(ISBLANK(C122),"",AY122)</f>
        <v/>
      </c>
      <c r="BE122" s="71" t="str">
        <f aca="false">IF(ISBLANK(C122),"",AX122)</f>
        <v/>
      </c>
      <c r="BF122" s="72" t="str">
        <f aca="false">IF(ISBLANK(C122),"",IFERROR(_xlfn.SWITCH(BE122, Constants!$B$4, COUNTA($C$8:$C621)+2, Constants!$B$5, COUNTA($C$8:$C621)+1, Constants!$B$6, COUNTA($C$8:$C621)),BE122))</f>
        <v/>
      </c>
      <c r="BG122" s="5"/>
      <c r="BH122" s="73" t="n">
        <f aca="false">IF(OR(ISNUMBER(BE122),BE122="DQ",BE122="P",BE122="NS"),
    1,
    0
)</f>
        <v>0</v>
      </c>
      <c r="BI122" s="73" t="n">
        <v>115</v>
      </c>
      <c r="BJ122" s="73" t="str">
        <f aca="false">IF(ISBLANK($C122),
    "",
   BF122+ROW($B122)/1000
)</f>
        <v/>
      </c>
      <c r="BK122" s="73" t="str">
        <f aca="false">IF(ISNUMBER(BJ122), RANK(BJ122,BJ$8:BJ$507,1), "")</f>
        <v/>
      </c>
      <c r="BL122" s="73" t="str">
        <f aca="false">IF(ISBLANK($C122),
    "",
    $B122
)</f>
        <v/>
      </c>
      <c r="BM122" s="73" t="str">
        <f aca="false">IF(ISBLANK($C122),
    "",
    $C122
)</f>
        <v/>
      </c>
      <c r="BN122" s="73" t="str">
        <f aca="false">IF(ISBLANK($C122),
    "",
    $D122
)</f>
        <v/>
      </c>
      <c r="BO122" s="74" t="str">
        <f aca="false">BC122</f>
        <v/>
      </c>
      <c r="BP122" s="75" t="str">
        <f aca="false">BB122</f>
        <v/>
      </c>
      <c r="BQ122" s="73" t="str">
        <f aca="false">IF(ISBLANK($C122),
    "",
    BE122
)</f>
        <v/>
      </c>
      <c r="BR122" s="76" t="str">
        <f aca="false">IF(BI122&gt;BH$7,
    "",
    VLOOKUP(BI122,BK$8:BQ621,7,FALSE())
)</f>
        <v/>
      </c>
      <c r="BS122" s="77" t="str">
        <f aca="false">IF(BI122&gt;BH$7,
    "",
    VLOOKUP(BI122,BK$8:BQ621,2,FALSE())
)</f>
        <v/>
      </c>
      <c r="BT122" s="77" t="str">
        <f aca="false">IF(BI122&gt;BH$7,
    "",
    VLOOKUP(BI122,BK$8:BQ621,3,FALSE())
)</f>
        <v/>
      </c>
      <c r="BU122" s="77" t="str">
        <f aca="false">IF(BI122&gt;BH$7,
    "",
    VLOOKUP(BI122,BK$8:BQ621,4,FALSE())
)</f>
        <v/>
      </c>
      <c r="BV122" s="77" t="str">
        <f aca="false">IF(BI122&gt;BH$7,
    "",
    VLOOKUP(BI122,BK$8:BQ621,5,FALSE())
)</f>
        <v/>
      </c>
      <c r="BW122" s="78" t="str">
        <f aca="false">IF(BI122&gt;BH$7,
    "",
    VLOOKUP(BI122,BK$8:BQ621,6,FALSE())
)</f>
        <v/>
      </c>
      <c r="BX122" s="50"/>
    </row>
    <row r="123" customFormat="false" ht="15.75" hidden="false" customHeight="false" outlineLevel="0" collapsed="false">
      <c r="A123" s="5"/>
      <c r="B123" s="126"/>
      <c r="C123" s="52"/>
      <c r="D123" s="53"/>
      <c r="E123" s="120"/>
      <c r="F123" s="120"/>
      <c r="G123" s="55"/>
      <c r="H123" s="56"/>
      <c r="I123" s="80"/>
      <c r="J123" s="80"/>
      <c r="K123" s="80"/>
      <c r="L123" s="58"/>
      <c r="M123" s="58"/>
      <c r="N123" s="58"/>
      <c r="O123" s="59"/>
      <c r="P123" s="60"/>
      <c r="Q123" s="80"/>
      <c r="R123" s="62"/>
      <c r="S123" s="63"/>
      <c r="T123" s="63" t="str">
        <f aca="false">IF(ISBLANK($C123),"",IF(G123=Constants!$B$2, TRUE(), IF(G123=Constants!$B$3, FALSE(), TRUE())))</f>
        <v/>
      </c>
      <c r="U123" s="63" t="str">
        <f aca="false">IF(ISBLANK($C123),"",IF(H123=Constants!$B$2, TRUE(), IF(H123=Constants!$B$3, FALSE(), TRUE())))</f>
        <v/>
      </c>
      <c r="V123" s="63" t="str">
        <f aca="false">IF(ISBLANK($C123),"",IF(I123=Constants!$B$2, TRUE(), IF(I123=Constants!$B$3, FALSE(), TRUE())))</f>
        <v/>
      </c>
      <c r="W123" s="63" t="str">
        <f aca="false">IF(ISBLANK($C123),"",IF(J123=Constants!$B$2, TRUE(), IF(J123=Constants!$B$3, FALSE(), TRUE())))</f>
        <v/>
      </c>
      <c r="X123" s="63" t="str">
        <f aca="false">IF(ISBLANK($C123),"",IF(K123=Constants!$B$2, TRUE(), IF(K123=Constants!$B$3, FALSE(), TRUE())))</f>
        <v/>
      </c>
      <c r="Y123" s="65" t="str">
        <f aca="false">IF(ISBLANK($C123),"",IF(ISNUMBER(L123), L123, ""))</f>
        <v/>
      </c>
      <c r="Z123" s="65" t="str">
        <f aca="false">IF(ISBLANK($C123),"",IF(ISNUMBER(M123), M123, ""))</f>
        <v/>
      </c>
      <c r="AA123" s="65" t="str">
        <f aca="false">IF(ISBLANK($C123),"",IF(ISNUMBER(N123), N123, ""))</f>
        <v/>
      </c>
      <c r="AB123" s="66" t="str">
        <f aca="false">IF(ISBLANK($C123),"",IF(ISNUMBER(O123), O123, ""))</f>
        <v/>
      </c>
      <c r="AC123" s="66" t="str">
        <f aca="false">IF(ISBLANK($C123),"",IF(ISNUMBER(P123), P123, Constants!$B$13))</f>
        <v/>
      </c>
      <c r="AD123" s="63" t="str">
        <f aca="false">IF(ISBLANK($C123),"",IF(Q123=Constants!$B$2, TRUE(), IF(Q123=Constants!$B$3, FALSE(), FALSE())))</f>
        <v/>
      </c>
      <c r="AE123" s="63" t="str">
        <f aca="false">IF(ISBLANK(C123), "", IF(AD123, Constants!$B$4,IF(COUNTA(G123:O123)=0, Constants!$B$5, Constants!$B$7)))</f>
        <v/>
      </c>
      <c r="AF123" s="63" t="str">
        <f aca="false">IF(ISBLANK($C123), "",IF($AE123=Constants!$B$7,1,$AE123))</f>
        <v/>
      </c>
      <c r="AG123" s="63" t="str">
        <f aca="false">IF($AE123=Constants!$B$7,IF(V123, 1, Constants!$B$11) * IF(X123, 1, Constants!$B$12),"")</f>
        <v/>
      </c>
      <c r="AH123" s="63" t="str">
        <f aca="false">IF(AND($AE123=Constants!$B$7, T123, U123) ,MAX(0, $AA123-$Y123),"")</f>
        <v/>
      </c>
      <c r="AI123" s="63" t="str">
        <f aca="false">IF(ISERROR(AH123),$AI$6,"")</f>
        <v/>
      </c>
      <c r="AJ123" s="63" t="str">
        <f aca="false">IF($AE123=Constants!$B$7,IF(AND(T123,U123,W123),IF($AH$6=0,Constants!$B$9,Constants!$B$9*AH123/$AH$6), 0),"")</f>
        <v/>
      </c>
      <c r="AK123" s="63" t="str">
        <f aca="false">IF(AJ123&lt;&gt;"", AJ123*AG123,"")</f>
        <v/>
      </c>
      <c r="AL123" s="63" t="str">
        <f aca="false">IF(AND($AE123=Constants!$B$7, T123, U123) ,IF($Z123="", "", MAX(0,1-ABS($AA123-$Z123)/$AA123)),"")</f>
        <v/>
      </c>
      <c r="AM123" s="63" t="str">
        <f aca="false">IF(AND(NOT(ISERROR(AH123)),ISERROR(AL123)),$AM$6,"")</f>
        <v/>
      </c>
      <c r="AN123" s="63" t="str">
        <f aca="false">IF($AE123=Constants!$B$7 ,IF(AND(T123,U123,W123,ISNUMBER(Z123)),IF($AL$6=0,Constants!$B$10,Constants!$B$10*AL123/$AL$6), 0),"")</f>
        <v/>
      </c>
      <c r="AO123" s="63" t="str">
        <f aca="false">IF(AN123&lt;&gt;"", AN123*AG123,"")</f>
        <v/>
      </c>
      <c r="AP123" s="63" t="str">
        <f aca="false">IF($AE123=Constants!$B$7,IF($AP$6=0,Constants!$B$8,Constants!$B$8*AB123/$AP$6),"")</f>
        <v/>
      </c>
      <c r="AQ123" s="63" t="str">
        <f aca="false">IF($AE123&lt;&gt;Constants!$B$7,$AE123,AK123+AO123+AP123)</f>
        <v/>
      </c>
      <c r="AR123" s="63" t="str">
        <f aca="false">IF(ISBLANK($C123),"",IF($AE123=Constants!$B$7,RANK(AQ123,$AQ$8:$AQ$507),$AE123))</f>
        <v/>
      </c>
      <c r="AS123" s="63" t="str">
        <f aca="false">IF(ISBLANK($C123), "",AK123)</f>
        <v/>
      </c>
      <c r="AT123" s="63" t="str">
        <f aca="false">IF(ISBLANK($C123),"",IF($AE123=Constants!$B$7,RANK(AS123,AS$8:AS$507),$AE123))</f>
        <v/>
      </c>
      <c r="AU123" s="63" t="str">
        <f aca="false">IF(ISBLANK($C123), "",AP123)</f>
        <v/>
      </c>
      <c r="AV123" s="63" t="str">
        <f aca="false">IF(ISBLANK($C123),"",IF($AE123=Constants!$B$7,RANK(AU123,AU$8:AU$507),$AE123))</f>
        <v/>
      </c>
      <c r="AW123" s="63" t="str">
        <f aca="false">IF(ISBLANK($C123), "",AC123)</f>
        <v/>
      </c>
      <c r="AX123" s="63" t="str">
        <f aca="false">IF(ISBLANK($C123),"",
IF($AE123=Constants!$B$7,
  COUNTIFS($AR$8:$AR$507,"&lt;"&amp;$AR123)
  + COUNTIFS($AR$8:$AR$507,$AR123,$AT$8:$AT$507,"&lt;"&amp;$AT123)
  + COUNTIFS($AR$8:$AR$507,$AR123,$AT$8:$AT$507,$AT123,$AV$8:$AV$507,"&lt;"&amp;$AV123)
  + COUNTIFS($AR$8:$AR$507,$AR123,$AT$8:$AT$507,$AT123,$AV$8:$AV$507,$AV123,$AW$8:$AW$507,"&lt;"&amp;$AW123)
  + 1,
$AE123))</f>
        <v/>
      </c>
      <c r="AY123" s="63" t="str">
        <f aca="false">IF(ISBLANK(C123),"",IF($AE123=Constants!$B$7, AR123-AX123,$AE123))</f>
        <v/>
      </c>
      <c r="AZ123" s="67"/>
      <c r="BA123" s="81" t="str">
        <f aca="false">IF(ISBLANK($C123),"",TRIM(AI123&amp;" "&amp;AM123))</f>
        <v/>
      </c>
      <c r="BB123" s="69" t="str">
        <f aca="false">IF(ISBLANK($C123),"",IF($AE123&lt;&gt;Constants!$B$7, $AE123 ,AQ123))</f>
        <v/>
      </c>
      <c r="BC123" s="70" t="str">
        <f aca="false">IF(ISBLANK($C123),"",IF($AE123&lt;&gt;Constants!$B$7, $AE123 ,AF123))</f>
        <v/>
      </c>
      <c r="BD123" s="71" t="str">
        <f aca="false">IF(ISBLANK(C123),"",AY123)</f>
        <v/>
      </c>
      <c r="BE123" s="71" t="str">
        <f aca="false">IF(ISBLANK(C123),"",AX123)</f>
        <v/>
      </c>
      <c r="BF123" s="72" t="str">
        <f aca="false">IF(ISBLANK(C123),"",IFERROR(_xlfn.SWITCH(BE123, Constants!$B$4, COUNTA($C$8:$C622)+2, Constants!$B$5, COUNTA($C$8:$C622)+1, Constants!$B$6, COUNTA($C$8:$C622)),BE123))</f>
        <v/>
      </c>
      <c r="BG123" s="5"/>
      <c r="BH123" s="73" t="n">
        <f aca="false">IF(OR(ISNUMBER(BE123),BE123="DQ",BE123="P",BE123="NS"),
    1,
    0
)</f>
        <v>0</v>
      </c>
      <c r="BI123" s="73" t="n">
        <v>116</v>
      </c>
      <c r="BJ123" s="73" t="str">
        <f aca="false">IF(ISBLANK($C123),
    "",
   BF123+ROW($B123)/1000
)</f>
        <v/>
      </c>
      <c r="BK123" s="73" t="str">
        <f aca="false">IF(ISNUMBER(BJ123), RANK(BJ123,BJ$8:BJ$507,1), "")</f>
        <v/>
      </c>
      <c r="BL123" s="73" t="str">
        <f aca="false">IF(ISBLANK($C123),
    "",
    $B123
)</f>
        <v/>
      </c>
      <c r="BM123" s="73" t="str">
        <f aca="false">IF(ISBLANK($C123),
    "",
    $C123
)</f>
        <v/>
      </c>
      <c r="BN123" s="73" t="str">
        <f aca="false">IF(ISBLANK($C123),
    "",
    $D123
)</f>
        <v/>
      </c>
      <c r="BO123" s="74" t="str">
        <f aca="false">BC123</f>
        <v/>
      </c>
      <c r="BP123" s="75" t="str">
        <f aca="false">BB123</f>
        <v/>
      </c>
      <c r="BQ123" s="73" t="str">
        <f aca="false">IF(ISBLANK($C123),
    "",
    BE123
)</f>
        <v/>
      </c>
      <c r="BR123" s="76" t="str">
        <f aca="false">IF(BI123&gt;BH$7,
    "",
    VLOOKUP(BI123,BK$8:BQ622,7,FALSE())
)</f>
        <v/>
      </c>
      <c r="BS123" s="77" t="str">
        <f aca="false">IF(BI123&gt;BH$7,
    "",
    VLOOKUP(BI123,BK$8:BQ622,2,FALSE())
)</f>
        <v/>
      </c>
      <c r="BT123" s="77" t="str">
        <f aca="false">IF(BI123&gt;BH$7,
    "",
    VLOOKUP(BI123,BK$8:BQ622,3,FALSE())
)</f>
        <v/>
      </c>
      <c r="BU123" s="77" t="str">
        <f aca="false">IF(BI123&gt;BH$7,
    "",
    VLOOKUP(BI123,BK$8:BQ622,4,FALSE())
)</f>
        <v/>
      </c>
      <c r="BV123" s="77" t="str">
        <f aca="false">IF(BI123&gt;BH$7,
    "",
    VLOOKUP(BI123,BK$8:BQ622,5,FALSE())
)</f>
        <v/>
      </c>
      <c r="BW123" s="78" t="str">
        <f aca="false">IF(BI123&gt;BH$7,
    "",
    VLOOKUP(BI123,BK$8:BQ622,6,FALSE())
)</f>
        <v/>
      </c>
      <c r="BX123" s="50"/>
    </row>
    <row r="124" customFormat="false" ht="15.75" hidden="false" customHeight="false" outlineLevel="0" collapsed="false">
      <c r="A124" s="5"/>
      <c r="B124" s="126"/>
      <c r="C124" s="52"/>
      <c r="D124" s="53"/>
      <c r="E124" s="120"/>
      <c r="F124" s="120"/>
      <c r="G124" s="55"/>
      <c r="H124" s="56"/>
      <c r="I124" s="80"/>
      <c r="J124" s="80"/>
      <c r="K124" s="80"/>
      <c r="L124" s="58"/>
      <c r="M124" s="58"/>
      <c r="N124" s="58"/>
      <c r="O124" s="59"/>
      <c r="P124" s="60"/>
      <c r="Q124" s="80"/>
      <c r="R124" s="62"/>
      <c r="S124" s="63"/>
      <c r="T124" s="63" t="str">
        <f aca="false">IF(ISBLANK($C124),"",IF(G124=Constants!$B$2, TRUE(), IF(G124=Constants!$B$3, FALSE(), TRUE())))</f>
        <v/>
      </c>
      <c r="U124" s="63" t="str">
        <f aca="false">IF(ISBLANK($C124),"",IF(H124=Constants!$B$2, TRUE(), IF(H124=Constants!$B$3, FALSE(), TRUE())))</f>
        <v/>
      </c>
      <c r="V124" s="63" t="str">
        <f aca="false">IF(ISBLANK($C124),"",IF(I124=Constants!$B$2, TRUE(), IF(I124=Constants!$B$3, FALSE(), TRUE())))</f>
        <v/>
      </c>
      <c r="W124" s="63" t="str">
        <f aca="false">IF(ISBLANK($C124),"",IF(J124=Constants!$B$2, TRUE(), IF(J124=Constants!$B$3, FALSE(), TRUE())))</f>
        <v/>
      </c>
      <c r="X124" s="63" t="str">
        <f aca="false">IF(ISBLANK($C124),"",IF(K124=Constants!$B$2, TRUE(), IF(K124=Constants!$B$3, FALSE(), TRUE())))</f>
        <v/>
      </c>
      <c r="Y124" s="65" t="str">
        <f aca="false">IF(ISBLANK($C124),"",IF(ISNUMBER(L124), L124, ""))</f>
        <v/>
      </c>
      <c r="Z124" s="65" t="str">
        <f aca="false">IF(ISBLANK($C124),"",IF(ISNUMBER(M124), M124, ""))</f>
        <v/>
      </c>
      <c r="AA124" s="65" t="str">
        <f aca="false">IF(ISBLANK($C124),"",IF(ISNUMBER(N124), N124, ""))</f>
        <v/>
      </c>
      <c r="AB124" s="66" t="str">
        <f aca="false">IF(ISBLANK($C124),"",IF(ISNUMBER(O124), O124, ""))</f>
        <v/>
      </c>
      <c r="AC124" s="66" t="str">
        <f aca="false">IF(ISBLANK($C124),"",IF(ISNUMBER(P124), P124, Constants!$B$13))</f>
        <v/>
      </c>
      <c r="AD124" s="63" t="str">
        <f aca="false">IF(ISBLANK($C124),"",IF(Q124=Constants!$B$2, TRUE(), IF(Q124=Constants!$B$3, FALSE(), FALSE())))</f>
        <v/>
      </c>
      <c r="AE124" s="63" t="str">
        <f aca="false">IF(ISBLANK(C124), "", IF(AD124, Constants!$B$4,IF(COUNTA(G124:O124)=0, Constants!$B$5, Constants!$B$7)))</f>
        <v/>
      </c>
      <c r="AF124" s="63" t="str">
        <f aca="false">IF(ISBLANK($C124), "",IF($AE124=Constants!$B$7,1,$AE124))</f>
        <v/>
      </c>
      <c r="AG124" s="63" t="str">
        <f aca="false">IF($AE124=Constants!$B$7,IF(V124, 1, Constants!$B$11) * IF(X124, 1, Constants!$B$12),"")</f>
        <v/>
      </c>
      <c r="AH124" s="63" t="str">
        <f aca="false">IF(AND($AE124=Constants!$B$7, T124, U124) ,MAX(0, $AA124-$Y124),"")</f>
        <v/>
      </c>
      <c r="AI124" s="63" t="str">
        <f aca="false">IF(ISERROR(AH124),$AI$6,"")</f>
        <v/>
      </c>
      <c r="AJ124" s="63" t="str">
        <f aca="false">IF($AE124=Constants!$B$7,IF(AND(T124,U124,W124),IF($AH$6=0,Constants!$B$9,Constants!$B$9*AH124/$AH$6), 0),"")</f>
        <v/>
      </c>
      <c r="AK124" s="63" t="str">
        <f aca="false">IF(AJ124&lt;&gt;"", AJ124*AG124,"")</f>
        <v/>
      </c>
      <c r="AL124" s="63" t="str">
        <f aca="false">IF(AND($AE124=Constants!$B$7, T124, U124) ,IF($Z124="", "", MAX(0,1-ABS($AA124-$Z124)/$AA124)),"")</f>
        <v/>
      </c>
      <c r="AM124" s="63" t="str">
        <f aca="false">IF(AND(NOT(ISERROR(AH124)),ISERROR(AL124)),$AM$6,"")</f>
        <v/>
      </c>
      <c r="AN124" s="63" t="str">
        <f aca="false">IF($AE124=Constants!$B$7 ,IF(AND(T124,U124,W124,ISNUMBER(Z124)),IF($AL$6=0,Constants!$B$10,Constants!$B$10*AL124/$AL$6), 0),"")</f>
        <v/>
      </c>
      <c r="AO124" s="63" t="str">
        <f aca="false">IF(AN124&lt;&gt;"", AN124*AG124,"")</f>
        <v/>
      </c>
      <c r="AP124" s="63" t="str">
        <f aca="false">IF($AE124=Constants!$B$7,IF($AP$6=0,Constants!$B$8,Constants!$B$8*AB124/$AP$6),"")</f>
        <v/>
      </c>
      <c r="AQ124" s="63" t="str">
        <f aca="false">IF($AE124&lt;&gt;Constants!$B$7,$AE124,AK124+AO124+AP124)</f>
        <v/>
      </c>
      <c r="AR124" s="63" t="str">
        <f aca="false">IF(ISBLANK($C124),"",IF($AE124=Constants!$B$7,RANK(AQ124,$AQ$8:$AQ$507),$AE124))</f>
        <v/>
      </c>
      <c r="AS124" s="63" t="str">
        <f aca="false">IF(ISBLANK($C124), "",AK124)</f>
        <v/>
      </c>
      <c r="AT124" s="63" t="str">
        <f aca="false">IF(ISBLANK($C124),"",IF($AE124=Constants!$B$7,RANK(AS124,AS$8:AS$507),$AE124))</f>
        <v/>
      </c>
      <c r="AU124" s="63" t="str">
        <f aca="false">IF(ISBLANK($C124), "",AP124)</f>
        <v/>
      </c>
      <c r="AV124" s="63" t="str">
        <f aca="false">IF(ISBLANK($C124),"",IF($AE124=Constants!$B$7,RANK(AU124,AU$8:AU$507),$AE124))</f>
        <v/>
      </c>
      <c r="AW124" s="63" t="str">
        <f aca="false">IF(ISBLANK($C124), "",AC124)</f>
        <v/>
      </c>
      <c r="AX124" s="63" t="str">
        <f aca="false">IF(ISBLANK($C124),"",
IF($AE124=Constants!$B$7,
  COUNTIFS($AR$8:$AR$507,"&lt;"&amp;$AR124)
  + COUNTIFS($AR$8:$AR$507,$AR124,$AT$8:$AT$507,"&lt;"&amp;$AT124)
  + COUNTIFS($AR$8:$AR$507,$AR124,$AT$8:$AT$507,$AT124,$AV$8:$AV$507,"&lt;"&amp;$AV124)
  + COUNTIFS($AR$8:$AR$507,$AR124,$AT$8:$AT$507,$AT124,$AV$8:$AV$507,$AV124,$AW$8:$AW$507,"&lt;"&amp;$AW124)
  + 1,
$AE124))</f>
        <v/>
      </c>
      <c r="AY124" s="63" t="str">
        <f aca="false">IF(ISBLANK(C124),"",IF($AE124=Constants!$B$7, AR124-AX124,$AE124))</f>
        <v/>
      </c>
      <c r="AZ124" s="67"/>
      <c r="BA124" s="81" t="str">
        <f aca="false">IF(ISBLANK($C124),"",TRIM(AI124&amp;" "&amp;AM124))</f>
        <v/>
      </c>
      <c r="BB124" s="69" t="str">
        <f aca="false">IF(ISBLANK($C124),"",IF($AE124&lt;&gt;Constants!$B$7, $AE124 ,AQ124))</f>
        <v/>
      </c>
      <c r="BC124" s="70" t="str">
        <f aca="false">IF(ISBLANK($C124),"",IF($AE124&lt;&gt;Constants!$B$7, $AE124 ,AF124))</f>
        <v/>
      </c>
      <c r="BD124" s="71" t="str">
        <f aca="false">IF(ISBLANK(C124),"",AY124)</f>
        <v/>
      </c>
      <c r="BE124" s="71" t="str">
        <f aca="false">IF(ISBLANK(C124),"",AX124)</f>
        <v/>
      </c>
      <c r="BF124" s="72" t="str">
        <f aca="false">IF(ISBLANK(C124),"",IFERROR(_xlfn.SWITCH(BE124, Constants!$B$4, COUNTA($C$8:$C623)+2, Constants!$B$5, COUNTA($C$8:$C623)+1, Constants!$B$6, COUNTA($C$8:$C623)),BE124))</f>
        <v/>
      </c>
      <c r="BG124" s="5"/>
      <c r="BH124" s="73" t="n">
        <f aca="false">IF(OR(ISNUMBER(BE124),BE124="DQ",BE124="P",BE124="NS"),
    1,
    0
)</f>
        <v>0</v>
      </c>
      <c r="BI124" s="73" t="n">
        <v>117</v>
      </c>
      <c r="BJ124" s="73" t="str">
        <f aca="false">IF(ISBLANK($C124),
    "",
   BF124+ROW($B124)/1000
)</f>
        <v/>
      </c>
      <c r="BK124" s="73" t="str">
        <f aca="false">IF(ISNUMBER(BJ124), RANK(BJ124,BJ$8:BJ$507,1), "")</f>
        <v/>
      </c>
      <c r="BL124" s="73" t="str">
        <f aca="false">IF(ISBLANK($C124),
    "",
    $B124
)</f>
        <v/>
      </c>
      <c r="BM124" s="73" t="str">
        <f aca="false">IF(ISBLANK($C124),
    "",
    $C124
)</f>
        <v/>
      </c>
      <c r="BN124" s="73" t="str">
        <f aca="false">IF(ISBLANK($C124),
    "",
    $D124
)</f>
        <v/>
      </c>
      <c r="BO124" s="74" t="str">
        <f aca="false">BC124</f>
        <v/>
      </c>
      <c r="BP124" s="75" t="str">
        <f aca="false">BB124</f>
        <v/>
      </c>
      <c r="BQ124" s="73" t="str">
        <f aca="false">IF(ISBLANK($C124),
    "",
    BE124
)</f>
        <v/>
      </c>
      <c r="BR124" s="76" t="str">
        <f aca="false">IF(BI124&gt;BH$7,
    "",
    VLOOKUP(BI124,BK$8:BQ623,7,FALSE())
)</f>
        <v/>
      </c>
      <c r="BS124" s="77" t="str">
        <f aca="false">IF(BI124&gt;BH$7,
    "",
    VLOOKUP(BI124,BK$8:BQ623,2,FALSE())
)</f>
        <v/>
      </c>
      <c r="BT124" s="77" t="str">
        <f aca="false">IF(BI124&gt;BH$7,
    "",
    VLOOKUP(BI124,BK$8:BQ623,3,FALSE())
)</f>
        <v/>
      </c>
      <c r="BU124" s="77" t="str">
        <f aca="false">IF(BI124&gt;BH$7,
    "",
    VLOOKUP(BI124,BK$8:BQ623,4,FALSE())
)</f>
        <v/>
      </c>
      <c r="BV124" s="77" t="str">
        <f aca="false">IF(BI124&gt;BH$7,
    "",
    VLOOKUP(BI124,BK$8:BQ623,5,FALSE())
)</f>
        <v/>
      </c>
      <c r="BW124" s="78" t="str">
        <f aca="false">IF(BI124&gt;BH$7,
    "",
    VLOOKUP(BI124,BK$8:BQ623,6,FALSE())
)</f>
        <v/>
      </c>
      <c r="BX124" s="50"/>
    </row>
    <row r="125" customFormat="false" ht="15.75" hidden="false" customHeight="false" outlineLevel="0" collapsed="false">
      <c r="A125" s="5"/>
      <c r="B125" s="122"/>
      <c r="C125" s="123"/>
      <c r="D125" s="112"/>
      <c r="E125" s="116"/>
      <c r="F125" s="116"/>
      <c r="G125" s="88"/>
      <c r="H125" s="89"/>
      <c r="I125" s="125"/>
      <c r="J125" s="125"/>
      <c r="K125" s="125"/>
      <c r="L125" s="91"/>
      <c r="M125" s="91"/>
      <c r="N125" s="91"/>
      <c r="O125" s="92"/>
      <c r="P125" s="93"/>
      <c r="Q125" s="125"/>
      <c r="R125" s="95"/>
      <c r="S125" s="96"/>
      <c r="T125" s="96" t="str">
        <f aca="false">IF(ISBLANK($C125),"",IF(G125=Constants!$B$2, TRUE(), IF(G125=Constants!$B$3, FALSE(), TRUE())))</f>
        <v/>
      </c>
      <c r="U125" s="96" t="str">
        <f aca="false">IF(ISBLANK($C125),"",IF(H125=Constants!$B$2, TRUE(), IF(H125=Constants!$B$3, FALSE(), TRUE())))</f>
        <v/>
      </c>
      <c r="V125" s="96" t="str">
        <f aca="false">IF(ISBLANK($C125),"",IF(I125=Constants!$B$2, TRUE(), IF(I125=Constants!$B$3, FALSE(), TRUE())))</f>
        <v/>
      </c>
      <c r="W125" s="96" t="str">
        <f aca="false">IF(ISBLANK($C125),"",IF(J125=Constants!$B$2, TRUE(), IF(J125=Constants!$B$3, FALSE(), TRUE())))</f>
        <v/>
      </c>
      <c r="X125" s="97" t="str">
        <f aca="false">IF(ISBLANK($C125),"",IF(K125=Constants!$B$2, TRUE(), IF(K125=Constants!$B$3, FALSE(), TRUE())))</f>
        <v/>
      </c>
      <c r="Y125" s="98" t="str">
        <f aca="false">IF(ISBLANK($C125),"",IF(ISNUMBER(L125), L125, ""))</f>
        <v/>
      </c>
      <c r="Z125" s="98" t="str">
        <f aca="false">IF(ISBLANK($C125),"",IF(ISNUMBER(M125), M125, ""))</f>
        <v/>
      </c>
      <c r="AA125" s="98" t="str">
        <f aca="false">IF(ISBLANK($C125),"",IF(ISNUMBER(N125), N125, ""))</f>
        <v/>
      </c>
      <c r="AB125" s="99" t="str">
        <f aca="false">IF(ISBLANK($C125),"",IF(ISNUMBER(O125), O125, ""))</f>
        <v/>
      </c>
      <c r="AC125" s="99" t="str">
        <f aca="false">IF(ISBLANK($C125),"",IF(ISNUMBER(P125), P125, Constants!$B$13))</f>
        <v/>
      </c>
      <c r="AD125" s="96" t="str">
        <f aca="false">IF(ISBLANK($C125),"",IF(Q125=Constants!$B$2, TRUE(), IF(Q125=Constants!$B$3, FALSE(), FALSE())))</f>
        <v/>
      </c>
      <c r="AE125" s="96" t="str">
        <f aca="false">IF(ISBLANK(C125), "", IF(AD125, Constants!$B$4,IF(COUNTA(G125:O125)=0, Constants!$B$5, Constants!$B$7)))</f>
        <v/>
      </c>
      <c r="AF125" s="96" t="str">
        <f aca="false">IF(ISBLANK($C125), "",IF($AE125=Constants!$B$7,1,$AE125))</f>
        <v/>
      </c>
      <c r="AG125" s="96" t="str">
        <f aca="false">IF($AE125=Constants!$B$7,IF(V125, 1, Constants!$B$11) * IF(X125, 1, Constants!$B$12),"")</f>
        <v/>
      </c>
      <c r="AH125" s="96" t="str">
        <f aca="false">IF(AND($AE125=Constants!$B$7, T125, U125) ,MAX(0, $AA125-$Y125),"")</f>
        <v/>
      </c>
      <c r="AI125" s="96" t="str">
        <f aca="false">IF(ISERROR(AH125),$AI$6,"")</f>
        <v/>
      </c>
      <c r="AJ125" s="96" t="str">
        <f aca="false">IF($AE125=Constants!$B$7,IF(AND(T125,U125,W125),IF($AH$6=0,Constants!$B$9,Constants!$B$9*AH125/$AH$6), 0),"")</f>
        <v/>
      </c>
      <c r="AK125" s="96" t="str">
        <f aca="false">IF(AJ125&lt;&gt;"", AJ125*AG125,"")</f>
        <v/>
      </c>
      <c r="AL125" s="96" t="str">
        <f aca="false">IF(AND($AE125=Constants!$B$7, T125, U125) ,IF($Z125="", "", MAX(0,1-ABS($AA125-$Z125)/$AA125)),"")</f>
        <v/>
      </c>
      <c r="AM125" s="96" t="str">
        <f aca="false">IF(AND(NOT(ISERROR(AH125)),ISERROR(AL125)),$AM$6,"")</f>
        <v/>
      </c>
      <c r="AN125" s="96" t="str">
        <f aca="false">IF($AE125=Constants!$B$7 ,IF(AND(T125,U125,W125,ISNUMBER(Z125)),IF($AL$6=0,Constants!$B$10,Constants!$B$10*AL125/$AL$6), 0),"")</f>
        <v/>
      </c>
      <c r="AO125" s="96" t="str">
        <f aca="false">IF(AN125&lt;&gt;"", AN125*AG125,"")</f>
        <v/>
      </c>
      <c r="AP125" s="96" t="str">
        <f aca="false">IF($AE125=Constants!$B$7,IF($AP$6=0,Constants!$B$8,Constants!$B$8*AB125/$AP$6),"")</f>
        <v/>
      </c>
      <c r="AQ125" s="96" t="str">
        <f aca="false">IF($AE125&lt;&gt;Constants!$B$7,$AE125,AK125+AO125+AP125)</f>
        <v/>
      </c>
      <c r="AR125" s="96" t="str">
        <f aca="false">IF(ISBLANK($C125),"",IF($AE125=Constants!$B$7,RANK(AQ125,$AQ$8:$AQ$507),$AE125))</f>
        <v/>
      </c>
      <c r="AS125" s="96" t="str">
        <f aca="false">IF(ISBLANK($C125), "",AK125)</f>
        <v/>
      </c>
      <c r="AT125" s="96" t="str">
        <f aca="false">IF(ISBLANK($C125),"",IF($AE125=Constants!$B$7,RANK(AS125,AS$8:AS$507),$AE125))</f>
        <v/>
      </c>
      <c r="AU125" s="96" t="str">
        <f aca="false">IF(ISBLANK($C125), "",AP125)</f>
        <v/>
      </c>
      <c r="AV125" s="96" t="str">
        <f aca="false">IF(ISBLANK($C125),"",IF($AE125=Constants!$B$7,RANK(AU125,AU$8:AU$507),$AE125))</f>
        <v/>
      </c>
      <c r="AW125" s="96" t="str">
        <f aca="false">IF(ISBLANK($C125), "",AC125)</f>
        <v/>
      </c>
      <c r="AX125" s="96" t="str">
        <f aca="false">IF(ISBLANK($C125),"",
IF($AE125=Constants!$B$7,
  COUNTIFS($AR$8:$AR$507,"&lt;"&amp;$AR125)
  + COUNTIFS($AR$8:$AR$507,$AR125,$AT$8:$AT$507,"&lt;"&amp;$AT125)
  + COUNTIFS($AR$8:$AR$507,$AR125,$AT$8:$AT$507,$AT125,$AV$8:$AV$507,"&lt;"&amp;$AV125)
  + COUNTIFS($AR$8:$AR$507,$AR125,$AT$8:$AT$507,$AT125,$AV$8:$AV$507,$AV125,$AW$8:$AW$507,"&lt;"&amp;$AW125)
  + 1,
$AE125))</f>
        <v/>
      </c>
      <c r="AY125" s="96" t="str">
        <f aca="false">IF(ISBLANK(C125),"",IF($AE125=Constants!$B$7, AR125-AX125,$AE125))</f>
        <v/>
      </c>
      <c r="AZ125" s="100"/>
      <c r="BA125" s="101" t="str">
        <f aca="false">IF(ISBLANK($C125),"",TRIM(AI125&amp;" "&amp;AM125))</f>
        <v/>
      </c>
      <c r="BB125" s="102" t="str">
        <f aca="false">IF(ISBLANK($C125),"",IF($AE125&lt;&gt;Constants!$B$7, $AE125 ,AQ125))</f>
        <v/>
      </c>
      <c r="BC125" s="103" t="str">
        <f aca="false">IF(ISBLANK($C125),"",IF($AE125&lt;&gt;Constants!$B$7, $AE125 ,AF125))</f>
        <v/>
      </c>
      <c r="BD125" s="104" t="str">
        <f aca="false">IF(ISBLANK(C125),"",AY125)</f>
        <v/>
      </c>
      <c r="BE125" s="104" t="str">
        <f aca="false">IF(ISBLANK(C125),"",AX125)</f>
        <v/>
      </c>
      <c r="BF125" s="105" t="str">
        <f aca="false">IF(ISBLANK(C125),"",IFERROR(_xlfn.SWITCH(BE125, Constants!$B$4, COUNTA($C$8:$C624)+2, Constants!$B$5, COUNTA($C$8:$C624)+1, Constants!$B$6, COUNTA($C$8:$C624)),BE125))</f>
        <v/>
      </c>
      <c r="BG125" s="5"/>
      <c r="BH125" s="106" t="n">
        <f aca="false">IF(OR(ISNUMBER(BE125),BE125="DQ",BE125="P",BE125="NS"),
    1,
    0
)</f>
        <v>0</v>
      </c>
      <c r="BI125" s="106" t="n">
        <v>118</v>
      </c>
      <c r="BJ125" s="106" t="str">
        <f aca="false">IF(ISBLANK($C125),
    "",
   BF125+ROW($B125)/1000
)</f>
        <v/>
      </c>
      <c r="BK125" s="106" t="str">
        <f aca="false">IF(ISNUMBER(BJ125), RANK(BJ125,BJ$8:BJ$507,1), "")</f>
        <v/>
      </c>
      <c r="BL125" s="106" t="str">
        <f aca="false">IF(ISBLANK($C125),
    "",
    $B125
)</f>
        <v/>
      </c>
      <c r="BM125" s="106" t="str">
        <f aca="false">IF(ISBLANK($C125),
    "",
    $C125
)</f>
        <v/>
      </c>
      <c r="BN125" s="106" t="str">
        <f aca="false">IF(ISBLANK($C125),
    "",
    $D125
)</f>
        <v/>
      </c>
      <c r="BO125" s="107" t="str">
        <f aca="false">BC125</f>
        <v/>
      </c>
      <c r="BP125" s="108" t="str">
        <f aca="false">BB125</f>
        <v/>
      </c>
      <c r="BQ125" s="106" t="str">
        <f aca="false">IF(ISBLANK($C125),
    "",
    BE125
)</f>
        <v/>
      </c>
      <c r="BR125" s="109" t="str">
        <f aca="false">IF(BI125&gt;BH$7,
    "",
    VLOOKUP(BI125,BK$8:BQ624,7,FALSE())
)</f>
        <v/>
      </c>
      <c r="BS125" s="110" t="str">
        <f aca="false">IF(BI125&gt;BH$7,
    "",
    VLOOKUP(BI125,BK$8:BQ624,2,FALSE())
)</f>
        <v/>
      </c>
      <c r="BT125" s="110" t="str">
        <f aca="false">IF(BI125&gt;BH$7,
    "",
    VLOOKUP(BI125,BK$8:BQ624,3,FALSE())
)</f>
        <v/>
      </c>
      <c r="BU125" s="110" t="str">
        <f aca="false">IF(BI125&gt;BH$7,
    "",
    VLOOKUP(BI125,BK$8:BQ624,4,FALSE())
)</f>
        <v/>
      </c>
      <c r="BV125" s="110" t="str">
        <f aca="false">IF(BI125&gt;BH$7,
    "",
    VLOOKUP(BI125,BK$8:BQ624,5,FALSE())
)</f>
        <v/>
      </c>
      <c r="BW125" s="111" t="str">
        <f aca="false">IF(BI125&gt;BH$7,
    "",
    VLOOKUP(BI125,BK$8:BQ624,6,FALSE())
)</f>
        <v/>
      </c>
      <c r="BX125" s="50"/>
    </row>
    <row r="126" customFormat="false" ht="15.75" hidden="false" customHeight="false" outlineLevel="0" collapsed="false">
      <c r="A126" s="5"/>
      <c r="B126" s="122"/>
      <c r="C126" s="123"/>
      <c r="D126" s="112"/>
      <c r="E126" s="116"/>
      <c r="F126" s="116"/>
      <c r="G126" s="88"/>
      <c r="H126" s="89"/>
      <c r="I126" s="125"/>
      <c r="J126" s="125"/>
      <c r="K126" s="125"/>
      <c r="L126" s="91"/>
      <c r="M126" s="91"/>
      <c r="N126" s="91"/>
      <c r="O126" s="92"/>
      <c r="P126" s="93"/>
      <c r="Q126" s="125"/>
      <c r="R126" s="95"/>
      <c r="S126" s="96"/>
      <c r="T126" s="96" t="str">
        <f aca="false">IF(ISBLANK($C126),"",IF(G126=Constants!$B$2, TRUE(), IF(G126=Constants!$B$3, FALSE(), TRUE())))</f>
        <v/>
      </c>
      <c r="U126" s="96" t="str">
        <f aca="false">IF(ISBLANK($C126),"",IF(H126=Constants!$B$2, TRUE(), IF(H126=Constants!$B$3, FALSE(), TRUE())))</f>
        <v/>
      </c>
      <c r="V126" s="96" t="str">
        <f aca="false">IF(ISBLANK($C126),"",IF(I126=Constants!$B$2, TRUE(), IF(I126=Constants!$B$3, FALSE(), TRUE())))</f>
        <v/>
      </c>
      <c r="W126" s="96" t="str">
        <f aca="false">IF(ISBLANK($C126),"",IF(J126=Constants!$B$2, TRUE(), IF(J126=Constants!$B$3, FALSE(), TRUE())))</f>
        <v/>
      </c>
      <c r="X126" s="97" t="str">
        <f aca="false">IF(ISBLANK($C126),"",IF(K126=Constants!$B$2, TRUE(), IF(K126=Constants!$B$3, FALSE(), TRUE())))</f>
        <v/>
      </c>
      <c r="Y126" s="98" t="str">
        <f aca="false">IF(ISBLANK($C126),"",IF(ISNUMBER(L126), L126, ""))</f>
        <v/>
      </c>
      <c r="Z126" s="98" t="str">
        <f aca="false">IF(ISBLANK($C126),"",IF(ISNUMBER(M126), M126, ""))</f>
        <v/>
      </c>
      <c r="AA126" s="98" t="str">
        <f aca="false">IF(ISBLANK($C126),"",IF(ISNUMBER(N126), N126, ""))</f>
        <v/>
      </c>
      <c r="AB126" s="99" t="str">
        <f aca="false">IF(ISBLANK($C126),"",IF(ISNUMBER(O126), O126, ""))</f>
        <v/>
      </c>
      <c r="AC126" s="99" t="str">
        <f aca="false">IF(ISBLANK($C126),"",IF(ISNUMBER(P126), P126, Constants!$B$13))</f>
        <v/>
      </c>
      <c r="AD126" s="96" t="str">
        <f aca="false">IF(ISBLANK($C126),"",IF(Q126=Constants!$B$2, TRUE(), IF(Q126=Constants!$B$3, FALSE(), FALSE())))</f>
        <v/>
      </c>
      <c r="AE126" s="96" t="str">
        <f aca="false">IF(ISBLANK(C126), "", IF(AD126, Constants!$B$4,IF(COUNTA(G126:O126)=0, Constants!$B$5, Constants!$B$7)))</f>
        <v/>
      </c>
      <c r="AF126" s="96" t="str">
        <f aca="false">IF(ISBLANK($C126), "",IF($AE126=Constants!$B$7,1,$AE126))</f>
        <v/>
      </c>
      <c r="AG126" s="96" t="str">
        <f aca="false">IF($AE126=Constants!$B$7,IF(V126, 1, Constants!$B$11) * IF(X126, 1, Constants!$B$12),"")</f>
        <v/>
      </c>
      <c r="AH126" s="96" t="str">
        <f aca="false">IF(AND($AE126=Constants!$B$7, T126, U126) ,MAX(0, $AA126-$Y126),"")</f>
        <v/>
      </c>
      <c r="AI126" s="96" t="str">
        <f aca="false">IF(ISERROR(AH126),$AI$6,"")</f>
        <v/>
      </c>
      <c r="AJ126" s="96" t="str">
        <f aca="false">IF($AE126=Constants!$B$7,IF(AND(T126,U126,W126),IF($AH$6=0,Constants!$B$9,Constants!$B$9*AH126/$AH$6), 0),"")</f>
        <v/>
      </c>
      <c r="AK126" s="96" t="str">
        <f aca="false">IF(AJ126&lt;&gt;"", AJ126*AG126,"")</f>
        <v/>
      </c>
      <c r="AL126" s="96" t="str">
        <f aca="false">IF(AND($AE126=Constants!$B$7, T126, U126) ,IF($Z126="", "", MAX(0,1-ABS($AA126-$Z126)/$AA126)),"")</f>
        <v/>
      </c>
      <c r="AM126" s="96" t="str">
        <f aca="false">IF(AND(NOT(ISERROR(AH126)),ISERROR(AL126)),$AM$6,"")</f>
        <v/>
      </c>
      <c r="AN126" s="96" t="str">
        <f aca="false">IF($AE126=Constants!$B$7 ,IF(AND(T126,U126,W126,ISNUMBER(Z126)),IF($AL$6=0,Constants!$B$10,Constants!$B$10*AL126/$AL$6), 0),"")</f>
        <v/>
      </c>
      <c r="AO126" s="96" t="str">
        <f aca="false">IF(AN126&lt;&gt;"", AN126*AG126,"")</f>
        <v/>
      </c>
      <c r="AP126" s="96" t="str">
        <f aca="false">IF($AE126=Constants!$B$7,IF($AP$6=0,Constants!$B$8,Constants!$B$8*AB126/$AP$6),"")</f>
        <v/>
      </c>
      <c r="AQ126" s="96" t="str">
        <f aca="false">IF($AE126&lt;&gt;Constants!$B$7,$AE126,AK126+AO126+AP126)</f>
        <v/>
      </c>
      <c r="AR126" s="96" t="str">
        <f aca="false">IF(ISBLANK($C126),"",IF($AE126=Constants!$B$7,RANK(AQ126,$AQ$8:$AQ$507),$AE126))</f>
        <v/>
      </c>
      <c r="AS126" s="96" t="str">
        <f aca="false">IF(ISBLANK($C126), "",AK126)</f>
        <v/>
      </c>
      <c r="AT126" s="96" t="str">
        <f aca="false">IF(ISBLANK($C126),"",IF($AE126=Constants!$B$7,RANK(AS126,AS$8:AS$507),$AE126))</f>
        <v/>
      </c>
      <c r="AU126" s="96" t="str">
        <f aca="false">IF(ISBLANK($C126), "",AP126)</f>
        <v/>
      </c>
      <c r="AV126" s="96" t="str">
        <f aca="false">IF(ISBLANK($C126),"",IF($AE126=Constants!$B$7,RANK(AU126,AU$8:AU$507),$AE126))</f>
        <v/>
      </c>
      <c r="AW126" s="96" t="str">
        <f aca="false">IF(ISBLANK($C126), "",AC126)</f>
        <v/>
      </c>
      <c r="AX126" s="96" t="str">
        <f aca="false">IF(ISBLANK($C126),"",
IF($AE126=Constants!$B$7,
  COUNTIFS($AR$8:$AR$507,"&lt;"&amp;$AR126)
  + COUNTIFS($AR$8:$AR$507,$AR126,$AT$8:$AT$507,"&lt;"&amp;$AT126)
  + COUNTIFS($AR$8:$AR$507,$AR126,$AT$8:$AT$507,$AT126,$AV$8:$AV$507,"&lt;"&amp;$AV126)
  + COUNTIFS($AR$8:$AR$507,$AR126,$AT$8:$AT$507,$AT126,$AV$8:$AV$507,$AV126,$AW$8:$AW$507,"&lt;"&amp;$AW126)
  + 1,
$AE126))</f>
        <v/>
      </c>
      <c r="AY126" s="96" t="str">
        <f aca="false">IF(ISBLANK(C126),"",IF($AE126=Constants!$B$7, AR126-AX126,$AE126))</f>
        <v/>
      </c>
      <c r="AZ126" s="100"/>
      <c r="BA126" s="101" t="str">
        <f aca="false">IF(ISBLANK($C126),"",TRIM(AI126&amp;" "&amp;AM126))</f>
        <v/>
      </c>
      <c r="BB126" s="102" t="str">
        <f aca="false">IF(ISBLANK($C126),"",IF($AE126&lt;&gt;Constants!$B$7, $AE126 ,AQ126))</f>
        <v/>
      </c>
      <c r="BC126" s="103" t="str">
        <f aca="false">IF(ISBLANK($C126),"",IF($AE126&lt;&gt;Constants!$B$7, $AE126 ,AF126))</f>
        <v/>
      </c>
      <c r="BD126" s="104" t="str">
        <f aca="false">IF(ISBLANK(C126),"",AY126)</f>
        <v/>
      </c>
      <c r="BE126" s="104" t="str">
        <f aca="false">IF(ISBLANK(C126),"",AX126)</f>
        <v/>
      </c>
      <c r="BF126" s="105" t="str">
        <f aca="false">IF(ISBLANK(C126),"",IFERROR(_xlfn.SWITCH(BE126, Constants!$B$4, COUNTA($C$8:$C625)+2, Constants!$B$5, COUNTA($C$8:$C625)+1, Constants!$B$6, COUNTA($C$8:$C625)),BE126))</f>
        <v/>
      </c>
      <c r="BG126" s="5"/>
      <c r="BH126" s="106" t="n">
        <f aca="false">IF(OR(ISNUMBER(BE126),BE126="DQ",BE126="P",BE126="NS"),
    1,
    0
)</f>
        <v>0</v>
      </c>
      <c r="BI126" s="106" t="n">
        <v>119</v>
      </c>
      <c r="BJ126" s="106" t="str">
        <f aca="false">IF(ISBLANK($C126),
    "",
   BF126+ROW($B126)/1000
)</f>
        <v/>
      </c>
      <c r="BK126" s="106" t="str">
        <f aca="false">IF(ISNUMBER(BJ126), RANK(BJ126,BJ$8:BJ$507,1), "")</f>
        <v/>
      </c>
      <c r="BL126" s="106" t="str">
        <f aca="false">IF(ISBLANK($C126),
    "",
    $B126
)</f>
        <v/>
      </c>
      <c r="BM126" s="106" t="str">
        <f aca="false">IF(ISBLANK($C126),
    "",
    $C126
)</f>
        <v/>
      </c>
      <c r="BN126" s="106" t="str">
        <f aca="false">IF(ISBLANK($C126),
    "",
    $D126
)</f>
        <v/>
      </c>
      <c r="BO126" s="107" t="str">
        <f aca="false">BC126</f>
        <v/>
      </c>
      <c r="BP126" s="108" t="str">
        <f aca="false">BB126</f>
        <v/>
      </c>
      <c r="BQ126" s="106" t="str">
        <f aca="false">IF(ISBLANK($C126),
    "",
    BE126
)</f>
        <v/>
      </c>
      <c r="BR126" s="109" t="str">
        <f aca="false">IF(BI126&gt;BH$7,
    "",
    VLOOKUP(BI126,BK$8:BQ625,7,FALSE())
)</f>
        <v/>
      </c>
      <c r="BS126" s="110" t="str">
        <f aca="false">IF(BI126&gt;BH$7,
    "",
    VLOOKUP(BI126,BK$8:BQ625,2,FALSE())
)</f>
        <v/>
      </c>
      <c r="BT126" s="110" t="str">
        <f aca="false">IF(BI126&gt;BH$7,
    "",
    VLOOKUP(BI126,BK$8:BQ625,3,FALSE())
)</f>
        <v/>
      </c>
      <c r="BU126" s="110" t="str">
        <f aca="false">IF(BI126&gt;BH$7,
    "",
    VLOOKUP(BI126,BK$8:BQ625,4,FALSE())
)</f>
        <v/>
      </c>
      <c r="BV126" s="110" t="str">
        <f aca="false">IF(BI126&gt;BH$7,
    "",
    VLOOKUP(BI126,BK$8:BQ625,5,FALSE())
)</f>
        <v/>
      </c>
      <c r="BW126" s="111" t="str">
        <f aca="false">IF(BI126&gt;BH$7,
    "",
    VLOOKUP(BI126,BK$8:BQ625,6,FALSE())
)</f>
        <v/>
      </c>
      <c r="BX126" s="50"/>
    </row>
    <row r="127" customFormat="false" ht="15.75" hidden="false" customHeight="false" outlineLevel="0" collapsed="false">
      <c r="A127" s="5"/>
      <c r="B127" s="122"/>
      <c r="C127" s="123"/>
      <c r="D127" s="112"/>
      <c r="E127" s="116"/>
      <c r="F127" s="116"/>
      <c r="G127" s="88"/>
      <c r="H127" s="89"/>
      <c r="I127" s="125"/>
      <c r="J127" s="125"/>
      <c r="K127" s="125"/>
      <c r="L127" s="91"/>
      <c r="M127" s="91"/>
      <c r="N127" s="91"/>
      <c r="O127" s="92"/>
      <c r="P127" s="93"/>
      <c r="Q127" s="125"/>
      <c r="R127" s="95"/>
      <c r="S127" s="96"/>
      <c r="T127" s="96" t="str">
        <f aca="false">IF(ISBLANK($C127),"",IF(G127=Constants!$B$2, TRUE(), IF(G127=Constants!$B$3, FALSE(), TRUE())))</f>
        <v/>
      </c>
      <c r="U127" s="96" t="str">
        <f aca="false">IF(ISBLANK($C127),"",IF(H127=Constants!$B$2, TRUE(), IF(H127=Constants!$B$3, FALSE(), TRUE())))</f>
        <v/>
      </c>
      <c r="V127" s="96" t="str">
        <f aca="false">IF(ISBLANK($C127),"",IF(I127=Constants!$B$2, TRUE(), IF(I127=Constants!$B$3, FALSE(), TRUE())))</f>
        <v/>
      </c>
      <c r="W127" s="96" t="str">
        <f aca="false">IF(ISBLANK($C127),"",IF(J127=Constants!$B$2, TRUE(), IF(J127=Constants!$B$3, FALSE(), TRUE())))</f>
        <v/>
      </c>
      <c r="X127" s="97" t="str">
        <f aca="false">IF(ISBLANK($C127),"",IF(K127=Constants!$B$2, TRUE(), IF(K127=Constants!$B$3, FALSE(), TRUE())))</f>
        <v/>
      </c>
      <c r="Y127" s="98" t="str">
        <f aca="false">IF(ISBLANK($C127),"",IF(ISNUMBER(L127), L127, ""))</f>
        <v/>
      </c>
      <c r="Z127" s="98" t="str">
        <f aca="false">IF(ISBLANK($C127),"",IF(ISNUMBER(M127), M127, ""))</f>
        <v/>
      </c>
      <c r="AA127" s="98" t="str">
        <f aca="false">IF(ISBLANK($C127),"",IF(ISNUMBER(N127), N127, ""))</f>
        <v/>
      </c>
      <c r="AB127" s="99" t="str">
        <f aca="false">IF(ISBLANK($C127),"",IF(ISNUMBER(O127), O127, ""))</f>
        <v/>
      </c>
      <c r="AC127" s="99" t="str">
        <f aca="false">IF(ISBLANK($C127),"",IF(ISNUMBER(P127), P127, Constants!$B$13))</f>
        <v/>
      </c>
      <c r="AD127" s="96" t="str">
        <f aca="false">IF(ISBLANK($C127),"",IF(Q127=Constants!$B$2, TRUE(), IF(Q127=Constants!$B$3, FALSE(), FALSE())))</f>
        <v/>
      </c>
      <c r="AE127" s="96" t="str">
        <f aca="false">IF(ISBLANK(C127), "", IF(AD127, Constants!$B$4,IF(COUNTA(G127:O127)=0, Constants!$B$5, Constants!$B$7)))</f>
        <v/>
      </c>
      <c r="AF127" s="96" t="str">
        <f aca="false">IF(ISBLANK($C127), "",IF($AE127=Constants!$B$7,1,$AE127))</f>
        <v/>
      </c>
      <c r="AG127" s="96" t="str">
        <f aca="false">IF($AE127=Constants!$B$7,IF(V127, 1, Constants!$B$11) * IF(X127, 1, Constants!$B$12),"")</f>
        <v/>
      </c>
      <c r="AH127" s="96" t="str">
        <f aca="false">IF(AND($AE127=Constants!$B$7, T127, U127) ,MAX(0, $AA127-$Y127),"")</f>
        <v/>
      </c>
      <c r="AI127" s="96" t="str">
        <f aca="false">IF(ISERROR(AH127),$AI$6,"")</f>
        <v/>
      </c>
      <c r="AJ127" s="96" t="str">
        <f aca="false">IF($AE127=Constants!$B$7,IF(AND(T127,U127,W127),IF($AH$6=0,Constants!$B$9,Constants!$B$9*AH127/$AH$6), 0),"")</f>
        <v/>
      </c>
      <c r="AK127" s="96" t="str">
        <f aca="false">IF(AJ127&lt;&gt;"", AJ127*AG127,"")</f>
        <v/>
      </c>
      <c r="AL127" s="96" t="str">
        <f aca="false">IF(AND($AE127=Constants!$B$7, T127, U127) ,IF($Z127="", "", MAX(0,1-ABS($AA127-$Z127)/$AA127)),"")</f>
        <v/>
      </c>
      <c r="AM127" s="96" t="str">
        <f aca="false">IF(AND(NOT(ISERROR(AH127)),ISERROR(AL127)),$AM$6,"")</f>
        <v/>
      </c>
      <c r="AN127" s="96" t="str">
        <f aca="false">IF($AE127=Constants!$B$7 ,IF(AND(T127,U127,W127,ISNUMBER(Z127)),IF($AL$6=0,Constants!$B$10,Constants!$B$10*AL127/$AL$6), 0),"")</f>
        <v/>
      </c>
      <c r="AO127" s="96" t="str">
        <f aca="false">IF(AN127&lt;&gt;"", AN127*AG127,"")</f>
        <v/>
      </c>
      <c r="AP127" s="96" t="str">
        <f aca="false">IF($AE127=Constants!$B$7,IF($AP$6=0,Constants!$B$8,Constants!$B$8*AB127/$AP$6),"")</f>
        <v/>
      </c>
      <c r="AQ127" s="96" t="str">
        <f aca="false">IF($AE127&lt;&gt;Constants!$B$7,$AE127,AK127+AO127+AP127)</f>
        <v/>
      </c>
      <c r="AR127" s="96" t="str">
        <f aca="false">IF(ISBLANK($C127),"",IF($AE127=Constants!$B$7,RANK(AQ127,$AQ$8:$AQ$507),$AE127))</f>
        <v/>
      </c>
      <c r="AS127" s="96" t="str">
        <f aca="false">IF(ISBLANK($C127), "",AK127)</f>
        <v/>
      </c>
      <c r="AT127" s="96" t="str">
        <f aca="false">IF(ISBLANK($C127),"",IF($AE127=Constants!$B$7,RANK(AS127,AS$8:AS$507),$AE127))</f>
        <v/>
      </c>
      <c r="AU127" s="96" t="str">
        <f aca="false">IF(ISBLANK($C127), "",AP127)</f>
        <v/>
      </c>
      <c r="AV127" s="96" t="str">
        <f aca="false">IF(ISBLANK($C127),"",IF($AE127=Constants!$B$7,RANK(AU127,AU$8:AU$507),$AE127))</f>
        <v/>
      </c>
      <c r="AW127" s="96" t="str">
        <f aca="false">IF(ISBLANK($C127), "",AC127)</f>
        <v/>
      </c>
      <c r="AX127" s="96" t="str">
        <f aca="false">IF(ISBLANK($C127),"",
IF($AE127=Constants!$B$7,
  COUNTIFS($AR$8:$AR$507,"&lt;"&amp;$AR127)
  + COUNTIFS($AR$8:$AR$507,$AR127,$AT$8:$AT$507,"&lt;"&amp;$AT127)
  + COUNTIFS($AR$8:$AR$507,$AR127,$AT$8:$AT$507,$AT127,$AV$8:$AV$507,"&lt;"&amp;$AV127)
  + COUNTIFS($AR$8:$AR$507,$AR127,$AT$8:$AT$507,$AT127,$AV$8:$AV$507,$AV127,$AW$8:$AW$507,"&lt;"&amp;$AW127)
  + 1,
$AE127))</f>
        <v/>
      </c>
      <c r="AY127" s="96" t="str">
        <f aca="false">IF(ISBLANK(C127),"",IF($AE127=Constants!$B$7, AR127-AX127,$AE127))</f>
        <v/>
      </c>
      <c r="AZ127" s="100"/>
      <c r="BA127" s="101" t="str">
        <f aca="false">IF(ISBLANK($C127),"",TRIM(AI127&amp;" "&amp;AM127))</f>
        <v/>
      </c>
      <c r="BB127" s="102" t="str">
        <f aca="false">IF(ISBLANK($C127),"",IF($AE127&lt;&gt;Constants!$B$7, $AE127 ,AQ127))</f>
        <v/>
      </c>
      <c r="BC127" s="103" t="str">
        <f aca="false">IF(ISBLANK($C127),"",IF($AE127&lt;&gt;Constants!$B$7, $AE127 ,AF127))</f>
        <v/>
      </c>
      <c r="BD127" s="104" t="str">
        <f aca="false">IF(ISBLANK(C127),"",AY127)</f>
        <v/>
      </c>
      <c r="BE127" s="104" t="str">
        <f aca="false">IF(ISBLANK(C127),"",AX127)</f>
        <v/>
      </c>
      <c r="BF127" s="105" t="str">
        <f aca="false">IF(ISBLANK(C127),"",IFERROR(_xlfn.SWITCH(BE127, Constants!$B$4, COUNTA($C$8:$C626)+2, Constants!$B$5, COUNTA($C$8:$C626)+1, Constants!$B$6, COUNTA($C$8:$C626)),BE127))</f>
        <v/>
      </c>
      <c r="BG127" s="5"/>
      <c r="BH127" s="106" t="n">
        <f aca="false">IF(OR(ISNUMBER(BE127),BE127="DQ",BE127="P",BE127="NS"),
    1,
    0
)</f>
        <v>0</v>
      </c>
      <c r="BI127" s="106" t="n">
        <v>120</v>
      </c>
      <c r="BJ127" s="106" t="str">
        <f aca="false">IF(ISBLANK($C127),
    "",
   BF127+ROW($B127)/1000
)</f>
        <v/>
      </c>
      <c r="BK127" s="106" t="str">
        <f aca="false">IF(ISNUMBER(BJ127), RANK(BJ127,BJ$8:BJ$507,1), "")</f>
        <v/>
      </c>
      <c r="BL127" s="106" t="str">
        <f aca="false">IF(ISBLANK($C127),
    "",
    $B127
)</f>
        <v/>
      </c>
      <c r="BM127" s="106" t="str">
        <f aca="false">IF(ISBLANK($C127),
    "",
    $C127
)</f>
        <v/>
      </c>
      <c r="BN127" s="106" t="str">
        <f aca="false">IF(ISBLANK($C127),
    "",
    $D127
)</f>
        <v/>
      </c>
      <c r="BO127" s="107" t="str">
        <f aca="false">BC127</f>
        <v/>
      </c>
      <c r="BP127" s="108" t="str">
        <f aca="false">BB127</f>
        <v/>
      </c>
      <c r="BQ127" s="106" t="str">
        <f aca="false">IF(ISBLANK($C127),
    "",
    BE127
)</f>
        <v/>
      </c>
      <c r="BR127" s="109" t="str">
        <f aca="false">IF(BI127&gt;BH$7,
    "",
    VLOOKUP(BI127,BK$8:BQ626,7,FALSE())
)</f>
        <v/>
      </c>
      <c r="BS127" s="110" t="str">
        <f aca="false">IF(BI127&gt;BH$7,
    "",
    VLOOKUP(BI127,BK$8:BQ626,2,FALSE())
)</f>
        <v/>
      </c>
      <c r="BT127" s="110" t="str">
        <f aca="false">IF(BI127&gt;BH$7,
    "",
    VLOOKUP(BI127,BK$8:BQ626,3,FALSE())
)</f>
        <v/>
      </c>
      <c r="BU127" s="110" t="str">
        <f aca="false">IF(BI127&gt;BH$7,
    "",
    VLOOKUP(BI127,BK$8:BQ626,4,FALSE())
)</f>
        <v/>
      </c>
      <c r="BV127" s="110" t="str">
        <f aca="false">IF(BI127&gt;BH$7,
    "",
    VLOOKUP(BI127,BK$8:BQ626,5,FALSE())
)</f>
        <v/>
      </c>
      <c r="BW127" s="111" t="str">
        <f aca="false">IF(BI127&gt;BH$7,
    "",
    VLOOKUP(BI127,BK$8:BQ626,6,FALSE())
)</f>
        <v/>
      </c>
      <c r="BX127" s="50"/>
    </row>
    <row r="128" customFormat="false" ht="15.75" hidden="false" customHeight="false" outlineLevel="0" collapsed="false">
      <c r="A128" s="5"/>
      <c r="B128" s="126"/>
      <c r="C128" s="52"/>
      <c r="D128" s="53"/>
      <c r="E128" s="120"/>
      <c r="F128" s="120"/>
      <c r="G128" s="55"/>
      <c r="H128" s="56"/>
      <c r="I128" s="80"/>
      <c r="J128" s="80"/>
      <c r="K128" s="80"/>
      <c r="L128" s="58"/>
      <c r="M128" s="58"/>
      <c r="N128" s="58"/>
      <c r="O128" s="59"/>
      <c r="P128" s="60"/>
      <c r="Q128" s="80"/>
      <c r="R128" s="62"/>
      <c r="S128" s="63"/>
      <c r="T128" s="63" t="str">
        <f aca="false">IF(ISBLANK($C128),"",IF(G128=Constants!$B$2, TRUE(), IF(G128=Constants!$B$3, FALSE(), TRUE())))</f>
        <v/>
      </c>
      <c r="U128" s="63" t="str">
        <f aca="false">IF(ISBLANK($C128),"",IF(H128=Constants!$B$2, TRUE(), IF(H128=Constants!$B$3, FALSE(), TRUE())))</f>
        <v/>
      </c>
      <c r="V128" s="63" t="str">
        <f aca="false">IF(ISBLANK($C128),"",IF(I128=Constants!$B$2, TRUE(), IF(I128=Constants!$B$3, FALSE(), TRUE())))</f>
        <v/>
      </c>
      <c r="W128" s="63" t="str">
        <f aca="false">IF(ISBLANK($C128),"",IF(J128=Constants!$B$2, TRUE(), IF(J128=Constants!$B$3, FALSE(), TRUE())))</f>
        <v/>
      </c>
      <c r="X128" s="63" t="str">
        <f aca="false">IF(ISBLANK($C128),"",IF(K128=Constants!$B$2, TRUE(), IF(K128=Constants!$B$3, FALSE(), TRUE())))</f>
        <v/>
      </c>
      <c r="Y128" s="65" t="str">
        <f aca="false">IF(ISBLANK($C128),"",IF(ISNUMBER(L128), L128, ""))</f>
        <v/>
      </c>
      <c r="Z128" s="65" t="str">
        <f aca="false">IF(ISBLANK($C128),"",IF(ISNUMBER(M128), M128, ""))</f>
        <v/>
      </c>
      <c r="AA128" s="65" t="str">
        <f aca="false">IF(ISBLANK($C128),"",IF(ISNUMBER(N128), N128, ""))</f>
        <v/>
      </c>
      <c r="AB128" s="66" t="str">
        <f aca="false">IF(ISBLANK($C128),"",IF(ISNUMBER(O128), O128, ""))</f>
        <v/>
      </c>
      <c r="AC128" s="66" t="str">
        <f aca="false">IF(ISBLANK($C128),"",IF(ISNUMBER(P128), P128, Constants!$B$13))</f>
        <v/>
      </c>
      <c r="AD128" s="63" t="str">
        <f aca="false">IF(ISBLANK($C128),"",IF(Q128=Constants!$B$2, TRUE(), IF(Q128=Constants!$B$3, FALSE(), FALSE())))</f>
        <v/>
      </c>
      <c r="AE128" s="63" t="str">
        <f aca="false">IF(ISBLANK(C128), "", IF(AD128, Constants!$B$4,IF(COUNTA(G128:O128)=0, Constants!$B$5, Constants!$B$7)))</f>
        <v/>
      </c>
      <c r="AF128" s="63" t="str">
        <f aca="false">IF(ISBLANK($C128), "",IF($AE128=Constants!$B$7,1,$AE128))</f>
        <v/>
      </c>
      <c r="AG128" s="63" t="str">
        <f aca="false">IF($AE128=Constants!$B$7,IF(V128, 1, Constants!$B$11) * IF(X128, 1, Constants!$B$12),"")</f>
        <v/>
      </c>
      <c r="AH128" s="63" t="str">
        <f aca="false">IF(AND($AE128=Constants!$B$7, T128, U128) ,MAX(0, $AA128-$Y128),"")</f>
        <v/>
      </c>
      <c r="AI128" s="63" t="str">
        <f aca="false">IF(ISERROR(AH128),$AI$6,"")</f>
        <v/>
      </c>
      <c r="AJ128" s="63" t="str">
        <f aca="false">IF($AE128=Constants!$B$7,IF(AND(T128,U128,W128),IF($AH$6=0,Constants!$B$9,Constants!$B$9*AH128/$AH$6), 0),"")</f>
        <v/>
      </c>
      <c r="AK128" s="63" t="str">
        <f aca="false">IF(AJ128&lt;&gt;"", AJ128*AG128,"")</f>
        <v/>
      </c>
      <c r="AL128" s="63" t="str">
        <f aca="false">IF(AND($AE128=Constants!$B$7, T128, U128) ,IF($Z128="", "", MAX(0,1-ABS($AA128-$Z128)/$AA128)),"")</f>
        <v/>
      </c>
      <c r="AM128" s="63" t="str">
        <f aca="false">IF(AND(NOT(ISERROR(AH128)),ISERROR(AL128)),$AM$6,"")</f>
        <v/>
      </c>
      <c r="AN128" s="63" t="str">
        <f aca="false">IF($AE128=Constants!$B$7 ,IF(AND(T128,U128,W128,ISNUMBER(Z128)),IF($AL$6=0,Constants!$B$10,Constants!$B$10*AL128/$AL$6), 0),"")</f>
        <v/>
      </c>
      <c r="AO128" s="63" t="str">
        <f aca="false">IF(AN128&lt;&gt;"", AN128*AG128,"")</f>
        <v/>
      </c>
      <c r="AP128" s="63" t="str">
        <f aca="false">IF($AE128=Constants!$B$7,IF($AP$6=0,Constants!$B$8,Constants!$B$8*AB128/$AP$6),"")</f>
        <v/>
      </c>
      <c r="AQ128" s="63" t="str">
        <f aca="false">IF($AE128&lt;&gt;Constants!$B$7,$AE128,AK128+AO128+AP128)</f>
        <v/>
      </c>
      <c r="AR128" s="63" t="str">
        <f aca="false">IF(ISBLANK($C128),"",IF($AE128=Constants!$B$7,RANK(AQ128,$AQ$8:$AQ$507),$AE128))</f>
        <v/>
      </c>
      <c r="AS128" s="63" t="str">
        <f aca="false">IF(ISBLANK($C128), "",AK128)</f>
        <v/>
      </c>
      <c r="AT128" s="63" t="str">
        <f aca="false">IF(ISBLANK($C128),"",IF($AE128=Constants!$B$7,RANK(AS128,AS$8:AS$507),$AE128))</f>
        <v/>
      </c>
      <c r="AU128" s="63" t="str">
        <f aca="false">IF(ISBLANK($C128), "",AP128)</f>
        <v/>
      </c>
      <c r="AV128" s="63" t="str">
        <f aca="false">IF(ISBLANK($C128),"",IF($AE128=Constants!$B$7,RANK(AU128,AU$8:AU$507),$AE128))</f>
        <v/>
      </c>
      <c r="AW128" s="63" t="str">
        <f aca="false">IF(ISBLANK($C128), "",AC128)</f>
        <v/>
      </c>
      <c r="AX128" s="63" t="str">
        <f aca="false">IF(ISBLANK($C128),"",
IF($AE128=Constants!$B$7,
  COUNTIFS($AR$8:$AR$507,"&lt;"&amp;$AR128)
  + COUNTIFS($AR$8:$AR$507,$AR128,$AT$8:$AT$507,"&lt;"&amp;$AT128)
  + COUNTIFS($AR$8:$AR$507,$AR128,$AT$8:$AT$507,$AT128,$AV$8:$AV$507,"&lt;"&amp;$AV128)
  + COUNTIFS($AR$8:$AR$507,$AR128,$AT$8:$AT$507,$AT128,$AV$8:$AV$507,$AV128,$AW$8:$AW$507,"&lt;"&amp;$AW128)
  + 1,
$AE128))</f>
        <v/>
      </c>
      <c r="AY128" s="63" t="str">
        <f aca="false">IF(ISBLANK(C128),"",IF($AE128=Constants!$B$7, AR128-AX128,$AE128))</f>
        <v/>
      </c>
      <c r="AZ128" s="67"/>
      <c r="BA128" s="81" t="str">
        <f aca="false">IF(ISBLANK($C128),"",TRIM(AI128&amp;" "&amp;AM128))</f>
        <v/>
      </c>
      <c r="BB128" s="69" t="str">
        <f aca="false">IF(ISBLANK($C128),"",IF($AE128&lt;&gt;Constants!$B$7, $AE128 ,AQ128))</f>
        <v/>
      </c>
      <c r="BC128" s="70" t="str">
        <f aca="false">IF(ISBLANK($C128),"",IF($AE128&lt;&gt;Constants!$B$7, $AE128 ,AF128))</f>
        <v/>
      </c>
      <c r="BD128" s="71" t="str">
        <f aca="false">IF(ISBLANK(C128),"",AY128)</f>
        <v/>
      </c>
      <c r="BE128" s="71" t="str">
        <f aca="false">IF(ISBLANK(C128),"",AX128)</f>
        <v/>
      </c>
      <c r="BF128" s="72" t="str">
        <f aca="false">IF(ISBLANK(C128),"",IFERROR(_xlfn.SWITCH(BE128, Constants!$B$4, COUNTA($C$8:$C627)+2, Constants!$B$5, COUNTA($C$8:$C627)+1, Constants!$B$6, COUNTA($C$8:$C627)),BE128))</f>
        <v/>
      </c>
      <c r="BG128" s="5"/>
      <c r="BH128" s="73" t="n">
        <f aca="false">IF(OR(ISNUMBER(BE128),BE128="DQ",BE128="P",BE128="NS"),
    1,
    0
)</f>
        <v>0</v>
      </c>
      <c r="BI128" s="73" t="n">
        <v>121</v>
      </c>
      <c r="BJ128" s="73" t="str">
        <f aca="false">IF(ISBLANK($C128),
    "",
   BF128+ROW($B128)/1000
)</f>
        <v/>
      </c>
      <c r="BK128" s="73" t="str">
        <f aca="false">IF(ISNUMBER(BJ128), RANK(BJ128,BJ$8:BJ$507,1), "")</f>
        <v/>
      </c>
      <c r="BL128" s="73" t="str">
        <f aca="false">IF(ISBLANK($C128),
    "",
    $B128
)</f>
        <v/>
      </c>
      <c r="BM128" s="73" t="str">
        <f aca="false">IF(ISBLANK($C128),
    "",
    $C128
)</f>
        <v/>
      </c>
      <c r="BN128" s="73" t="str">
        <f aca="false">IF(ISBLANK($C128),
    "",
    $D128
)</f>
        <v/>
      </c>
      <c r="BO128" s="74" t="str">
        <f aca="false">BC128</f>
        <v/>
      </c>
      <c r="BP128" s="75" t="str">
        <f aca="false">BB128</f>
        <v/>
      </c>
      <c r="BQ128" s="73" t="str">
        <f aca="false">IF(ISBLANK($C128),
    "",
    BE128
)</f>
        <v/>
      </c>
      <c r="BR128" s="76" t="str">
        <f aca="false">IF(BI128&gt;BH$7,
    "",
    VLOOKUP(BI128,BK$8:BQ627,7,FALSE())
)</f>
        <v/>
      </c>
      <c r="BS128" s="77" t="str">
        <f aca="false">IF(BI128&gt;BH$7,
    "",
    VLOOKUP(BI128,BK$8:BQ627,2,FALSE())
)</f>
        <v/>
      </c>
      <c r="BT128" s="77" t="str">
        <f aca="false">IF(BI128&gt;BH$7,
    "",
    VLOOKUP(BI128,BK$8:BQ627,3,FALSE())
)</f>
        <v/>
      </c>
      <c r="BU128" s="77" t="str">
        <f aca="false">IF(BI128&gt;BH$7,
    "",
    VLOOKUP(BI128,BK$8:BQ627,4,FALSE())
)</f>
        <v/>
      </c>
      <c r="BV128" s="77" t="str">
        <f aca="false">IF(BI128&gt;BH$7,
    "",
    VLOOKUP(BI128,BK$8:BQ627,5,FALSE())
)</f>
        <v/>
      </c>
      <c r="BW128" s="78" t="str">
        <f aca="false">IF(BI128&gt;BH$7,
    "",
    VLOOKUP(BI128,BK$8:BQ627,6,FALSE())
)</f>
        <v/>
      </c>
      <c r="BX128" s="50"/>
    </row>
    <row r="129" customFormat="false" ht="15.75" hidden="false" customHeight="false" outlineLevel="0" collapsed="false">
      <c r="A129" s="5"/>
      <c r="B129" s="126"/>
      <c r="C129" s="52"/>
      <c r="D129" s="53"/>
      <c r="E129" s="120"/>
      <c r="F129" s="120"/>
      <c r="G129" s="55"/>
      <c r="H129" s="56"/>
      <c r="I129" s="80"/>
      <c r="J129" s="80"/>
      <c r="K129" s="80"/>
      <c r="L129" s="58"/>
      <c r="M129" s="58"/>
      <c r="N129" s="58"/>
      <c r="O129" s="59"/>
      <c r="P129" s="60"/>
      <c r="Q129" s="80"/>
      <c r="R129" s="62"/>
      <c r="S129" s="63"/>
      <c r="T129" s="63" t="str">
        <f aca="false">IF(ISBLANK($C129),"",IF(G129=Constants!$B$2, TRUE(), IF(G129=Constants!$B$3, FALSE(), TRUE())))</f>
        <v/>
      </c>
      <c r="U129" s="63" t="str">
        <f aca="false">IF(ISBLANK($C129),"",IF(H129=Constants!$B$2, TRUE(), IF(H129=Constants!$B$3, FALSE(), TRUE())))</f>
        <v/>
      </c>
      <c r="V129" s="63" t="str">
        <f aca="false">IF(ISBLANK($C129),"",IF(I129=Constants!$B$2, TRUE(), IF(I129=Constants!$B$3, FALSE(), TRUE())))</f>
        <v/>
      </c>
      <c r="W129" s="63" t="str">
        <f aca="false">IF(ISBLANK($C129),"",IF(J129=Constants!$B$2, TRUE(), IF(J129=Constants!$B$3, FALSE(), TRUE())))</f>
        <v/>
      </c>
      <c r="X129" s="63" t="str">
        <f aca="false">IF(ISBLANK($C129),"",IF(K129=Constants!$B$2, TRUE(), IF(K129=Constants!$B$3, FALSE(), TRUE())))</f>
        <v/>
      </c>
      <c r="Y129" s="65" t="str">
        <f aca="false">IF(ISBLANK($C129),"",IF(ISNUMBER(L129), L129, ""))</f>
        <v/>
      </c>
      <c r="Z129" s="65" t="str">
        <f aca="false">IF(ISBLANK($C129),"",IF(ISNUMBER(M129), M129, ""))</f>
        <v/>
      </c>
      <c r="AA129" s="65" t="str">
        <f aca="false">IF(ISBLANK($C129),"",IF(ISNUMBER(N129), N129, ""))</f>
        <v/>
      </c>
      <c r="AB129" s="66" t="str">
        <f aca="false">IF(ISBLANK($C129),"",IF(ISNUMBER(O129), O129, ""))</f>
        <v/>
      </c>
      <c r="AC129" s="66" t="str">
        <f aca="false">IF(ISBLANK($C129),"",IF(ISNUMBER(P129), P129, Constants!$B$13))</f>
        <v/>
      </c>
      <c r="AD129" s="63" t="str">
        <f aca="false">IF(ISBLANK($C129),"",IF(Q129=Constants!$B$2, TRUE(), IF(Q129=Constants!$B$3, FALSE(), FALSE())))</f>
        <v/>
      </c>
      <c r="AE129" s="63" t="str">
        <f aca="false">IF(ISBLANK(C129), "", IF(AD129, Constants!$B$4,IF(COUNTA(G129:O129)=0, Constants!$B$5, Constants!$B$7)))</f>
        <v/>
      </c>
      <c r="AF129" s="63" t="str">
        <f aca="false">IF(ISBLANK($C129), "",IF($AE129=Constants!$B$7,1,$AE129))</f>
        <v/>
      </c>
      <c r="AG129" s="63" t="str">
        <f aca="false">IF($AE129=Constants!$B$7,IF(V129, 1, Constants!$B$11) * IF(X129, 1, Constants!$B$12),"")</f>
        <v/>
      </c>
      <c r="AH129" s="63" t="str">
        <f aca="false">IF(AND($AE129=Constants!$B$7, T129, U129) ,MAX(0, $AA129-$Y129),"")</f>
        <v/>
      </c>
      <c r="AI129" s="63" t="str">
        <f aca="false">IF(ISERROR(AH129),$AI$6,"")</f>
        <v/>
      </c>
      <c r="AJ129" s="63" t="str">
        <f aca="false">IF($AE129=Constants!$B$7,IF(AND(T129,U129,W129),IF($AH$6=0,Constants!$B$9,Constants!$B$9*AH129/$AH$6), 0),"")</f>
        <v/>
      </c>
      <c r="AK129" s="63" t="str">
        <f aca="false">IF(AJ129&lt;&gt;"", AJ129*AG129,"")</f>
        <v/>
      </c>
      <c r="AL129" s="63" t="str">
        <f aca="false">IF(AND($AE129=Constants!$B$7, T129, U129) ,IF($Z129="", "", MAX(0,1-ABS($AA129-$Z129)/$AA129)),"")</f>
        <v/>
      </c>
      <c r="AM129" s="63" t="str">
        <f aca="false">IF(AND(NOT(ISERROR(AH129)),ISERROR(AL129)),$AM$6,"")</f>
        <v/>
      </c>
      <c r="AN129" s="63" t="str">
        <f aca="false">IF($AE129=Constants!$B$7 ,IF(AND(T129,U129,W129,ISNUMBER(Z129)),IF($AL$6=0,Constants!$B$10,Constants!$B$10*AL129/$AL$6), 0),"")</f>
        <v/>
      </c>
      <c r="AO129" s="63" t="str">
        <f aca="false">IF(AN129&lt;&gt;"", AN129*AG129,"")</f>
        <v/>
      </c>
      <c r="AP129" s="63" t="str">
        <f aca="false">IF($AE129=Constants!$B$7,IF($AP$6=0,Constants!$B$8,Constants!$B$8*AB129/$AP$6),"")</f>
        <v/>
      </c>
      <c r="AQ129" s="63" t="str">
        <f aca="false">IF($AE129&lt;&gt;Constants!$B$7,$AE129,AK129+AO129+AP129)</f>
        <v/>
      </c>
      <c r="AR129" s="63" t="str">
        <f aca="false">IF(ISBLANK($C129),"",IF($AE129=Constants!$B$7,RANK(AQ129,$AQ$8:$AQ$507),$AE129))</f>
        <v/>
      </c>
      <c r="AS129" s="63" t="str">
        <f aca="false">IF(ISBLANK($C129), "",AK129)</f>
        <v/>
      </c>
      <c r="AT129" s="63" t="str">
        <f aca="false">IF(ISBLANK($C129),"",IF($AE129=Constants!$B$7,RANK(AS129,AS$8:AS$507),$AE129))</f>
        <v/>
      </c>
      <c r="AU129" s="63" t="str">
        <f aca="false">IF(ISBLANK($C129), "",AP129)</f>
        <v/>
      </c>
      <c r="AV129" s="63" t="str">
        <f aca="false">IF(ISBLANK($C129),"",IF($AE129=Constants!$B$7,RANK(AU129,AU$8:AU$507),$AE129))</f>
        <v/>
      </c>
      <c r="AW129" s="63" t="str">
        <f aca="false">IF(ISBLANK($C129), "",AC129)</f>
        <v/>
      </c>
      <c r="AX129" s="63" t="str">
        <f aca="false">IF(ISBLANK($C129),"",
IF($AE129=Constants!$B$7,
  COUNTIFS($AR$8:$AR$507,"&lt;"&amp;$AR129)
  + COUNTIFS($AR$8:$AR$507,$AR129,$AT$8:$AT$507,"&lt;"&amp;$AT129)
  + COUNTIFS($AR$8:$AR$507,$AR129,$AT$8:$AT$507,$AT129,$AV$8:$AV$507,"&lt;"&amp;$AV129)
  + COUNTIFS($AR$8:$AR$507,$AR129,$AT$8:$AT$507,$AT129,$AV$8:$AV$507,$AV129,$AW$8:$AW$507,"&lt;"&amp;$AW129)
  + 1,
$AE129))</f>
        <v/>
      </c>
      <c r="AY129" s="63" t="str">
        <f aca="false">IF(ISBLANK(C129),"",IF($AE129=Constants!$B$7, AR129-AX129,$AE129))</f>
        <v/>
      </c>
      <c r="AZ129" s="67"/>
      <c r="BA129" s="81" t="str">
        <f aca="false">IF(ISBLANK($C129),"",TRIM(AI129&amp;" "&amp;AM129))</f>
        <v/>
      </c>
      <c r="BB129" s="69" t="str">
        <f aca="false">IF(ISBLANK($C129),"",IF($AE129&lt;&gt;Constants!$B$7, $AE129 ,AQ129))</f>
        <v/>
      </c>
      <c r="BC129" s="70" t="str">
        <f aca="false">IF(ISBLANK($C129),"",IF($AE129&lt;&gt;Constants!$B$7, $AE129 ,AF129))</f>
        <v/>
      </c>
      <c r="BD129" s="71" t="str">
        <f aca="false">IF(ISBLANK(C129),"",AY129)</f>
        <v/>
      </c>
      <c r="BE129" s="71" t="str">
        <f aca="false">IF(ISBLANK(C129),"",AX129)</f>
        <v/>
      </c>
      <c r="BF129" s="72" t="str">
        <f aca="false">IF(ISBLANK(C129),"",IFERROR(_xlfn.SWITCH(BE129, Constants!$B$4, COUNTA($C$8:$C628)+2, Constants!$B$5, COUNTA($C$8:$C628)+1, Constants!$B$6, COUNTA($C$8:$C628)),BE129))</f>
        <v/>
      </c>
      <c r="BG129" s="5"/>
      <c r="BH129" s="73" t="n">
        <f aca="false">IF(OR(ISNUMBER(BE129),BE129="DQ",BE129="P",BE129="NS"),
    1,
    0
)</f>
        <v>0</v>
      </c>
      <c r="BI129" s="73" t="n">
        <v>122</v>
      </c>
      <c r="BJ129" s="73" t="str">
        <f aca="false">IF(ISBLANK($C129),
    "",
   BF129+ROW($B129)/1000
)</f>
        <v/>
      </c>
      <c r="BK129" s="73" t="str">
        <f aca="false">IF(ISNUMBER(BJ129), RANK(BJ129,BJ$8:BJ$507,1), "")</f>
        <v/>
      </c>
      <c r="BL129" s="73" t="str">
        <f aca="false">IF(ISBLANK($C129),
    "",
    $B129
)</f>
        <v/>
      </c>
      <c r="BM129" s="73" t="str">
        <f aca="false">IF(ISBLANK($C129),
    "",
    $C129
)</f>
        <v/>
      </c>
      <c r="BN129" s="73" t="str">
        <f aca="false">IF(ISBLANK($C129),
    "",
    $D129
)</f>
        <v/>
      </c>
      <c r="BO129" s="74" t="str">
        <f aca="false">BC129</f>
        <v/>
      </c>
      <c r="BP129" s="75" t="str">
        <f aca="false">BB129</f>
        <v/>
      </c>
      <c r="BQ129" s="73" t="str">
        <f aca="false">IF(ISBLANK($C129),
    "",
    BE129
)</f>
        <v/>
      </c>
      <c r="BR129" s="76" t="str">
        <f aca="false">IF(BI129&gt;BH$7,
    "",
    VLOOKUP(BI129,BK$8:BQ628,7,FALSE())
)</f>
        <v/>
      </c>
      <c r="BS129" s="77" t="str">
        <f aca="false">IF(BI129&gt;BH$7,
    "",
    VLOOKUP(BI129,BK$8:BQ628,2,FALSE())
)</f>
        <v/>
      </c>
      <c r="BT129" s="77" t="str">
        <f aca="false">IF(BI129&gt;BH$7,
    "",
    VLOOKUP(BI129,BK$8:BQ628,3,FALSE())
)</f>
        <v/>
      </c>
      <c r="BU129" s="77" t="str">
        <f aca="false">IF(BI129&gt;BH$7,
    "",
    VLOOKUP(BI129,BK$8:BQ628,4,FALSE())
)</f>
        <v/>
      </c>
      <c r="BV129" s="77" t="str">
        <f aca="false">IF(BI129&gt;BH$7,
    "",
    VLOOKUP(BI129,BK$8:BQ628,5,FALSE())
)</f>
        <v/>
      </c>
      <c r="BW129" s="78" t="str">
        <f aca="false">IF(BI129&gt;BH$7,
    "",
    VLOOKUP(BI129,BK$8:BQ628,6,FALSE())
)</f>
        <v/>
      </c>
      <c r="BX129" s="50"/>
    </row>
    <row r="130" customFormat="false" ht="15.75" hidden="false" customHeight="false" outlineLevel="0" collapsed="false">
      <c r="A130" s="5"/>
      <c r="B130" s="126"/>
      <c r="C130" s="52"/>
      <c r="D130" s="53"/>
      <c r="E130" s="120"/>
      <c r="F130" s="120"/>
      <c r="G130" s="55"/>
      <c r="H130" s="56"/>
      <c r="I130" s="80"/>
      <c r="J130" s="80"/>
      <c r="K130" s="80"/>
      <c r="L130" s="58"/>
      <c r="M130" s="58"/>
      <c r="N130" s="58"/>
      <c r="O130" s="59"/>
      <c r="P130" s="60"/>
      <c r="Q130" s="80"/>
      <c r="R130" s="62"/>
      <c r="S130" s="63"/>
      <c r="T130" s="63" t="str">
        <f aca="false">IF(ISBLANK($C130),"",IF(G130=Constants!$B$2, TRUE(), IF(G130=Constants!$B$3, FALSE(), TRUE())))</f>
        <v/>
      </c>
      <c r="U130" s="63" t="str">
        <f aca="false">IF(ISBLANK($C130),"",IF(H130=Constants!$B$2, TRUE(), IF(H130=Constants!$B$3, FALSE(), TRUE())))</f>
        <v/>
      </c>
      <c r="V130" s="63" t="str">
        <f aca="false">IF(ISBLANK($C130),"",IF(I130=Constants!$B$2, TRUE(), IF(I130=Constants!$B$3, FALSE(), TRUE())))</f>
        <v/>
      </c>
      <c r="W130" s="63" t="str">
        <f aca="false">IF(ISBLANK($C130),"",IF(J130=Constants!$B$2, TRUE(), IF(J130=Constants!$B$3, FALSE(), TRUE())))</f>
        <v/>
      </c>
      <c r="X130" s="63" t="str">
        <f aca="false">IF(ISBLANK($C130),"",IF(K130=Constants!$B$2, TRUE(), IF(K130=Constants!$B$3, FALSE(), TRUE())))</f>
        <v/>
      </c>
      <c r="Y130" s="65" t="str">
        <f aca="false">IF(ISBLANK($C130),"",IF(ISNUMBER(L130), L130, ""))</f>
        <v/>
      </c>
      <c r="Z130" s="65" t="str">
        <f aca="false">IF(ISBLANK($C130),"",IF(ISNUMBER(M130), M130, ""))</f>
        <v/>
      </c>
      <c r="AA130" s="65" t="str">
        <f aca="false">IF(ISBLANK($C130),"",IF(ISNUMBER(N130), N130, ""))</f>
        <v/>
      </c>
      <c r="AB130" s="66" t="str">
        <f aca="false">IF(ISBLANK($C130),"",IF(ISNUMBER(O130), O130, ""))</f>
        <v/>
      </c>
      <c r="AC130" s="66" t="str">
        <f aca="false">IF(ISBLANK($C130),"",IF(ISNUMBER(P130), P130, Constants!$B$13))</f>
        <v/>
      </c>
      <c r="AD130" s="63" t="str">
        <f aca="false">IF(ISBLANK($C130),"",IF(Q130=Constants!$B$2, TRUE(), IF(Q130=Constants!$B$3, FALSE(), FALSE())))</f>
        <v/>
      </c>
      <c r="AE130" s="63" t="str">
        <f aca="false">IF(ISBLANK(C130), "", IF(AD130, Constants!$B$4,IF(COUNTA(G130:O130)=0, Constants!$B$5, Constants!$B$7)))</f>
        <v/>
      </c>
      <c r="AF130" s="63" t="str">
        <f aca="false">IF(ISBLANK($C130), "",IF($AE130=Constants!$B$7,1,$AE130))</f>
        <v/>
      </c>
      <c r="AG130" s="63" t="str">
        <f aca="false">IF($AE130=Constants!$B$7,IF(V130, 1, Constants!$B$11) * IF(X130, 1, Constants!$B$12),"")</f>
        <v/>
      </c>
      <c r="AH130" s="63" t="str">
        <f aca="false">IF(AND($AE130=Constants!$B$7, T130, U130) ,MAX(0, $AA130-$Y130),"")</f>
        <v/>
      </c>
      <c r="AI130" s="63" t="str">
        <f aca="false">IF(ISERROR(AH130),$AI$6,"")</f>
        <v/>
      </c>
      <c r="AJ130" s="63" t="str">
        <f aca="false">IF($AE130=Constants!$B$7,IF(AND(T130,U130,W130),IF($AH$6=0,Constants!$B$9,Constants!$B$9*AH130/$AH$6), 0),"")</f>
        <v/>
      </c>
      <c r="AK130" s="63" t="str">
        <f aca="false">IF(AJ130&lt;&gt;"", AJ130*AG130,"")</f>
        <v/>
      </c>
      <c r="AL130" s="63" t="str">
        <f aca="false">IF(AND($AE130=Constants!$B$7, T130, U130) ,IF($Z130="", "", MAX(0,1-ABS($AA130-$Z130)/$AA130)),"")</f>
        <v/>
      </c>
      <c r="AM130" s="63" t="str">
        <f aca="false">IF(AND(NOT(ISERROR(AH130)),ISERROR(AL130)),$AM$6,"")</f>
        <v/>
      </c>
      <c r="AN130" s="63" t="str">
        <f aca="false">IF($AE130=Constants!$B$7 ,IF(AND(T130,U130,W130,ISNUMBER(Z130)),IF($AL$6=0,Constants!$B$10,Constants!$B$10*AL130/$AL$6), 0),"")</f>
        <v/>
      </c>
      <c r="AO130" s="63" t="str">
        <f aca="false">IF(AN130&lt;&gt;"", AN130*AG130,"")</f>
        <v/>
      </c>
      <c r="AP130" s="63" t="str">
        <f aca="false">IF($AE130=Constants!$B$7,IF($AP$6=0,Constants!$B$8,Constants!$B$8*AB130/$AP$6),"")</f>
        <v/>
      </c>
      <c r="AQ130" s="63" t="str">
        <f aca="false">IF($AE130&lt;&gt;Constants!$B$7,$AE130,AK130+AO130+AP130)</f>
        <v/>
      </c>
      <c r="AR130" s="63" t="str">
        <f aca="false">IF(ISBLANK($C130),"",IF($AE130=Constants!$B$7,RANK(AQ130,$AQ$8:$AQ$507),$AE130))</f>
        <v/>
      </c>
      <c r="AS130" s="63" t="str">
        <f aca="false">IF(ISBLANK($C130), "",AK130)</f>
        <v/>
      </c>
      <c r="AT130" s="63" t="str">
        <f aca="false">IF(ISBLANK($C130),"",IF($AE130=Constants!$B$7,RANK(AS130,AS$8:AS$507),$AE130))</f>
        <v/>
      </c>
      <c r="AU130" s="63" t="str">
        <f aca="false">IF(ISBLANK($C130), "",AP130)</f>
        <v/>
      </c>
      <c r="AV130" s="63" t="str">
        <f aca="false">IF(ISBLANK($C130),"",IF($AE130=Constants!$B$7,RANK(AU130,AU$8:AU$507),$AE130))</f>
        <v/>
      </c>
      <c r="AW130" s="63" t="str">
        <f aca="false">IF(ISBLANK($C130), "",AC130)</f>
        <v/>
      </c>
      <c r="AX130" s="63" t="str">
        <f aca="false">IF(ISBLANK($C130),"",
IF($AE130=Constants!$B$7,
  COUNTIFS($AR$8:$AR$507,"&lt;"&amp;$AR130)
  + COUNTIFS($AR$8:$AR$507,$AR130,$AT$8:$AT$507,"&lt;"&amp;$AT130)
  + COUNTIFS($AR$8:$AR$507,$AR130,$AT$8:$AT$507,$AT130,$AV$8:$AV$507,"&lt;"&amp;$AV130)
  + COUNTIFS($AR$8:$AR$507,$AR130,$AT$8:$AT$507,$AT130,$AV$8:$AV$507,$AV130,$AW$8:$AW$507,"&lt;"&amp;$AW130)
  + 1,
$AE130))</f>
        <v/>
      </c>
      <c r="AY130" s="63" t="str">
        <f aca="false">IF(ISBLANK(C130),"",IF($AE130=Constants!$B$7, AR130-AX130,$AE130))</f>
        <v/>
      </c>
      <c r="AZ130" s="67"/>
      <c r="BA130" s="81" t="str">
        <f aca="false">IF(ISBLANK($C130),"",TRIM(AI130&amp;" "&amp;AM130))</f>
        <v/>
      </c>
      <c r="BB130" s="69" t="str">
        <f aca="false">IF(ISBLANK($C130),"",IF($AE130&lt;&gt;Constants!$B$7, $AE130 ,AQ130))</f>
        <v/>
      </c>
      <c r="BC130" s="70" t="str">
        <f aca="false">IF(ISBLANK($C130),"",IF($AE130&lt;&gt;Constants!$B$7, $AE130 ,AF130))</f>
        <v/>
      </c>
      <c r="BD130" s="71" t="str">
        <f aca="false">IF(ISBLANK(C130),"",AY130)</f>
        <v/>
      </c>
      <c r="BE130" s="71" t="str">
        <f aca="false">IF(ISBLANK(C130),"",AX130)</f>
        <v/>
      </c>
      <c r="BF130" s="72" t="str">
        <f aca="false">IF(ISBLANK(C130),"",IFERROR(_xlfn.SWITCH(BE130, Constants!$B$4, COUNTA($C$8:$C629)+2, Constants!$B$5, COUNTA($C$8:$C629)+1, Constants!$B$6, COUNTA($C$8:$C629)),BE130))</f>
        <v/>
      </c>
      <c r="BG130" s="5"/>
      <c r="BH130" s="73" t="n">
        <f aca="false">IF(OR(ISNUMBER(BE130),BE130="DQ",BE130="P",BE130="NS"),
    1,
    0
)</f>
        <v>0</v>
      </c>
      <c r="BI130" s="73" t="n">
        <v>123</v>
      </c>
      <c r="BJ130" s="73" t="str">
        <f aca="false">IF(ISBLANK($C130),
    "",
   BF130+ROW($B130)/1000
)</f>
        <v/>
      </c>
      <c r="BK130" s="73" t="str">
        <f aca="false">IF(ISNUMBER(BJ130), RANK(BJ130,BJ$8:BJ$507,1), "")</f>
        <v/>
      </c>
      <c r="BL130" s="73" t="str">
        <f aca="false">IF(ISBLANK($C130),
    "",
    $B130
)</f>
        <v/>
      </c>
      <c r="BM130" s="73" t="str">
        <f aca="false">IF(ISBLANK($C130),
    "",
    $C130
)</f>
        <v/>
      </c>
      <c r="BN130" s="73" t="str">
        <f aca="false">IF(ISBLANK($C130),
    "",
    $D130
)</f>
        <v/>
      </c>
      <c r="BO130" s="74" t="str">
        <f aca="false">BC130</f>
        <v/>
      </c>
      <c r="BP130" s="75" t="str">
        <f aca="false">BB130</f>
        <v/>
      </c>
      <c r="BQ130" s="73" t="str">
        <f aca="false">IF(ISBLANK($C130),
    "",
    BE130
)</f>
        <v/>
      </c>
      <c r="BR130" s="76" t="str">
        <f aca="false">IF(BI130&gt;BH$7,
    "",
    VLOOKUP(BI130,BK$8:BQ629,7,FALSE())
)</f>
        <v/>
      </c>
      <c r="BS130" s="77" t="str">
        <f aca="false">IF(BI130&gt;BH$7,
    "",
    VLOOKUP(BI130,BK$8:BQ629,2,FALSE())
)</f>
        <v/>
      </c>
      <c r="BT130" s="77" t="str">
        <f aca="false">IF(BI130&gt;BH$7,
    "",
    VLOOKUP(BI130,BK$8:BQ629,3,FALSE())
)</f>
        <v/>
      </c>
      <c r="BU130" s="77" t="str">
        <f aca="false">IF(BI130&gt;BH$7,
    "",
    VLOOKUP(BI130,BK$8:BQ629,4,FALSE())
)</f>
        <v/>
      </c>
      <c r="BV130" s="77" t="str">
        <f aca="false">IF(BI130&gt;BH$7,
    "",
    VLOOKUP(BI130,BK$8:BQ629,5,FALSE())
)</f>
        <v/>
      </c>
      <c r="BW130" s="78" t="str">
        <f aca="false">IF(BI130&gt;BH$7,
    "",
    VLOOKUP(BI130,BK$8:BQ629,6,FALSE())
)</f>
        <v/>
      </c>
      <c r="BX130" s="50"/>
    </row>
    <row r="131" customFormat="false" ht="15.75" hidden="false" customHeight="false" outlineLevel="0" collapsed="false">
      <c r="A131" s="5"/>
      <c r="B131" s="122"/>
      <c r="C131" s="123"/>
      <c r="D131" s="112"/>
      <c r="E131" s="116"/>
      <c r="F131" s="116"/>
      <c r="G131" s="88"/>
      <c r="H131" s="89"/>
      <c r="I131" s="125"/>
      <c r="J131" s="125"/>
      <c r="K131" s="125"/>
      <c r="L131" s="91"/>
      <c r="M131" s="91"/>
      <c r="N131" s="91"/>
      <c r="O131" s="92"/>
      <c r="P131" s="93"/>
      <c r="Q131" s="125"/>
      <c r="R131" s="95"/>
      <c r="S131" s="96"/>
      <c r="T131" s="96" t="str">
        <f aca="false">IF(ISBLANK($C131),"",IF(G131=Constants!$B$2, TRUE(), IF(G131=Constants!$B$3, FALSE(), TRUE())))</f>
        <v/>
      </c>
      <c r="U131" s="96" t="str">
        <f aca="false">IF(ISBLANK($C131),"",IF(H131=Constants!$B$2, TRUE(), IF(H131=Constants!$B$3, FALSE(), TRUE())))</f>
        <v/>
      </c>
      <c r="V131" s="96" t="str">
        <f aca="false">IF(ISBLANK($C131),"",IF(I131=Constants!$B$2, TRUE(), IF(I131=Constants!$B$3, FALSE(), TRUE())))</f>
        <v/>
      </c>
      <c r="W131" s="96" t="str">
        <f aca="false">IF(ISBLANK($C131),"",IF(J131=Constants!$B$2, TRUE(), IF(J131=Constants!$B$3, FALSE(), TRUE())))</f>
        <v/>
      </c>
      <c r="X131" s="97" t="str">
        <f aca="false">IF(ISBLANK($C131),"",IF(K131=Constants!$B$2, TRUE(), IF(K131=Constants!$B$3, FALSE(), TRUE())))</f>
        <v/>
      </c>
      <c r="Y131" s="98" t="str">
        <f aca="false">IF(ISBLANK($C131),"",IF(ISNUMBER(L131), L131, ""))</f>
        <v/>
      </c>
      <c r="Z131" s="98" t="str">
        <f aca="false">IF(ISBLANK($C131),"",IF(ISNUMBER(M131), M131, ""))</f>
        <v/>
      </c>
      <c r="AA131" s="98" t="str">
        <f aca="false">IF(ISBLANK($C131),"",IF(ISNUMBER(N131), N131, ""))</f>
        <v/>
      </c>
      <c r="AB131" s="99" t="str">
        <f aca="false">IF(ISBLANK($C131),"",IF(ISNUMBER(O131), O131, ""))</f>
        <v/>
      </c>
      <c r="AC131" s="99" t="str">
        <f aca="false">IF(ISBLANK($C131),"",IF(ISNUMBER(P131), P131, Constants!$B$13))</f>
        <v/>
      </c>
      <c r="AD131" s="96" t="str">
        <f aca="false">IF(ISBLANK($C131),"",IF(Q131=Constants!$B$2, TRUE(), IF(Q131=Constants!$B$3, FALSE(), FALSE())))</f>
        <v/>
      </c>
      <c r="AE131" s="96" t="str">
        <f aca="false">IF(ISBLANK(C131), "", IF(AD131, Constants!$B$4,IF(COUNTA(G131:O131)=0, Constants!$B$5, Constants!$B$7)))</f>
        <v/>
      </c>
      <c r="AF131" s="96" t="str">
        <f aca="false">IF(ISBLANK($C131), "",IF($AE131=Constants!$B$7,1,$AE131))</f>
        <v/>
      </c>
      <c r="AG131" s="96" t="str">
        <f aca="false">IF($AE131=Constants!$B$7,IF(V131, 1, Constants!$B$11) * IF(X131, 1, Constants!$B$12),"")</f>
        <v/>
      </c>
      <c r="AH131" s="96" t="str">
        <f aca="false">IF(AND($AE131=Constants!$B$7, T131, U131) ,MAX(0, $AA131-$Y131),"")</f>
        <v/>
      </c>
      <c r="AI131" s="96" t="str">
        <f aca="false">IF(ISERROR(AH131),$AI$6,"")</f>
        <v/>
      </c>
      <c r="AJ131" s="96" t="str">
        <f aca="false">IF($AE131=Constants!$B$7,IF(AND(T131,U131,W131),IF($AH$6=0,Constants!$B$9,Constants!$B$9*AH131/$AH$6), 0),"")</f>
        <v/>
      </c>
      <c r="AK131" s="96" t="str">
        <f aca="false">IF(AJ131&lt;&gt;"", AJ131*AG131,"")</f>
        <v/>
      </c>
      <c r="AL131" s="96" t="str">
        <f aca="false">IF(AND($AE131=Constants!$B$7, T131, U131) ,IF($Z131="", "", MAX(0,1-ABS($AA131-$Z131)/$AA131)),"")</f>
        <v/>
      </c>
      <c r="AM131" s="96" t="str">
        <f aca="false">IF(AND(NOT(ISERROR(AH131)),ISERROR(AL131)),$AM$6,"")</f>
        <v/>
      </c>
      <c r="AN131" s="96" t="str">
        <f aca="false">IF($AE131=Constants!$B$7 ,IF(AND(T131,U131,W131,ISNUMBER(Z131)),IF($AL$6=0,Constants!$B$10,Constants!$B$10*AL131/$AL$6), 0),"")</f>
        <v/>
      </c>
      <c r="AO131" s="96" t="str">
        <f aca="false">IF(AN131&lt;&gt;"", AN131*AG131,"")</f>
        <v/>
      </c>
      <c r="AP131" s="96" t="str">
        <f aca="false">IF($AE131=Constants!$B$7,IF($AP$6=0,Constants!$B$8,Constants!$B$8*AB131/$AP$6),"")</f>
        <v/>
      </c>
      <c r="AQ131" s="96" t="str">
        <f aca="false">IF($AE131&lt;&gt;Constants!$B$7,$AE131,AK131+AO131+AP131)</f>
        <v/>
      </c>
      <c r="AR131" s="96" t="str">
        <f aca="false">IF(ISBLANK($C131),"",IF($AE131=Constants!$B$7,RANK(AQ131,$AQ$8:$AQ$507),$AE131))</f>
        <v/>
      </c>
      <c r="AS131" s="96" t="str">
        <f aca="false">IF(ISBLANK($C131), "",AK131)</f>
        <v/>
      </c>
      <c r="AT131" s="96" t="str">
        <f aca="false">IF(ISBLANK($C131),"",IF($AE131=Constants!$B$7,RANK(AS131,AS$8:AS$507),$AE131))</f>
        <v/>
      </c>
      <c r="AU131" s="96" t="str">
        <f aca="false">IF(ISBLANK($C131), "",AP131)</f>
        <v/>
      </c>
      <c r="AV131" s="96" t="str">
        <f aca="false">IF(ISBLANK($C131),"",IF($AE131=Constants!$B$7,RANK(AU131,AU$8:AU$507),$AE131))</f>
        <v/>
      </c>
      <c r="AW131" s="96" t="str">
        <f aca="false">IF(ISBLANK($C131), "",AC131)</f>
        <v/>
      </c>
      <c r="AX131" s="96" t="str">
        <f aca="false">IF(ISBLANK($C131),"",
IF($AE131=Constants!$B$7,
  COUNTIFS($AR$8:$AR$507,"&lt;"&amp;$AR131)
  + COUNTIFS($AR$8:$AR$507,$AR131,$AT$8:$AT$507,"&lt;"&amp;$AT131)
  + COUNTIFS($AR$8:$AR$507,$AR131,$AT$8:$AT$507,$AT131,$AV$8:$AV$507,"&lt;"&amp;$AV131)
  + COUNTIFS($AR$8:$AR$507,$AR131,$AT$8:$AT$507,$AT131,$AV$8:$AV$507,$AV131,$AW$8:$AW$507,"&lt;"&amp;$AW131)
  + 1,
$AE131))</f>
        <v/>
      </c>
      <c r="AY131" s="96" t="str">
        <f aca="false">IF(ISBLANK(C131),"",IF($AE131=Constants!$B$7, AR131-AX131,$AE131))</f>
        <v/>
      </c>
      <c r="AZ131" s="100"/>
      <c r="BA131" s="101" t="str">
        <f aca="false">IF(ISBLANK($C131),"",TRIM(AI131&amp;" "&amp;AM131))</f>
        <v/>
      </c>
      <c r="BB131" s="102" t="str">
        <f aca="false">IF(ISBLANK($C131),"",IF($AE131&lt;&gt;Constants!$B$7, $AE131 ,AQ131))</f>
        <v/>
      </c>
      <c r="BC131" s="103" t="str">
        <f aca="false">IF(ISBLANK($C131),"",IF($AE131&lt;&gt;Constants!$B$7, $AE131 ,AF131))</f>
        <v/>
      </c>
      <c r="BD131" s="104" t="str">
        <f aca="false">IF(ISBLANK(C131),"",AY131)</f>
        <v/>
      </c>
      <c r="BE131" s="104" t="str">
        <f aca="false">IF(ISBLANK(C131),"",AX131)</f>
        <v/>
      </c>
      <c r="BF131" s="105" t="str">
        <f aca="false">IF(ISBLANK(C131),"",IFERROR(_xlfn.SWITCH(BE131, Constants!$B$4, COUNTA($C$8:$C630)+2, Constants!$B$5, COUNTA($C$8:$C630)+1, Constants!$B$6, COUNTA($C$8:$C630)),BE131))</f>
        <v/>
      </c>
      <c r="BG131" s="5"/>
      <c r="BH131" s="106" t="n">
        <f aca="false">IF(OR(ISNUMBER(BE131),BE131="DQ",BE131="P",BE131="NS"),
    1,
    0
)</f>
        <v>0</v>
      </c>
      <c r="BI131" s="106" t="n">
        <v>124</v>
      </c>
      <c r="BJ131" s="106" t="str">
        <f aca="false">IF(ISBLANK($C131),
    "",
   BF131+ROW($B131)/1000
)</f>
        <v/>
      </c>
      <c r="BK131" s="106" t="str">
        <f aca="false">IF(ISNUMBER(BJ131), RANK(BJ131,BJ$8:BJ$507,1), "")</f>
        <v/>
      </c>
      <c r="BL131" s="106" t="str">
        <f aca="false">IF(ISBLANK($C131),
    "",
    $B131
)</f>
        <v/>
      </c>
      <c r="BM131" s="106" t="str">
        <f aca="false">IF(ISBLANK($C131),
    "",
    $C131
)</f>
        <v/>
      </c>
      <c r="BN131" s="106" t="str">
        <f aca="false">IF(ISBLANK($C131),
    "",
    $D131
)</f>
        <v/>
      </c>
      <c r="BO131" s="107" t="str">
        <f aca="false">BC131</f>
        <v/>
      </c>
      <c r="BP131" s="108" t="str">
        <f aca="false">BB131</f>
        <v/>
      </c>
      <c r="BQ131" s="106" t="str">
        <f aca="false">IF(ISBLANK($C131),
    "",
    BE131
)</f>
        <v/>
      </c>
      <c r="BR131" s="109" t="str">
        <f aca="false">IF(BI131&gt;BH$7,
    "",
    VLOOKUP(BI131,BK$8:BQ630,7,FALSE())
)</f>
        <v/>
      </c>
      <c r="BS131" s="110" t="str">
        <f aca="false">IF(BI131&gt;BH$7,
    "",
    VLOOKUP(BI131,BK$8:BQ630,2,FALSE())
)</f>
        <v/>
      </c>
      <c r="BT131" s="110" t="str">
        <f aca="false">IF(BI131&gt;BH$7,
    "",
    VLOOKUP(BI131,BK$8:BQ630,3,FALSE())
)</f>
        <v/>
      </c>
      <c r="BU131" s="110" t="str">
        <f aca="false">IF(BI131&gt;BH$7,
    "",
    VLOOKUP(BI131,BK$8:BQ630,4,FALSE())
)</f>
        <v/>
      </c>
      <c r="BV131" s="110" t="str">
        <f aca="false">IF(BI131&gt;BH$7,
    "",
    VLOOKUP(BI131,BK$8:BQ630,5,FALSE())
)</f>
        <v/>
      </c>
      <c r="BW131" s="111" t="str">
        <f aca="false">IF(BI131&gt;BH$7,
    "",
    VLOOKUP(BI131,BK$8:BQ630,6,FALSE())
)</f>
        <v/>
      </c>
      <c r="BX131" s="50"/>
    </row>
    <row r="132" customFormat="false" ht="15.75" hidden="false" customHeight="false" outlineLevel="0" collapsed="false">
      <c r="A132" s="5"/>
      <c r="B132" s="122"/>
      <c r="C132" s="123"/>
      <c r="D132" s="112"/>
      <c r="E132" s="116"/>
      <c r="F132" s="116"/>
      <c r="G132" s="88"/>
      <c r="H132" s="89"/>
      <c r="I132" s="125"/>
      <c r="J132" s="125"/>
      <c r="K132" s="125"/>
      <c r="L132" s="91"/>
      <c r="M132" s="91"/>
      <c r="N132" s="91"/>
      <c r="O132" s="92"/>
      <c r="P132" s="93"/>
      <c r="Q132" s="125"/>
      <c r="R132" s="95"/>
      <c r="S132" s="96"/>
      <c r="T132" s="96" t="str">
        <f aca="false">IF(ISBLANK($C132),"",IF(G132=Constants!$B$2, TRUE(), IF(G132=Constants!$B$3, FALSE(), TRUE())))</f>
        <v/>
      </c>
      <c r="U132" s="96" t="str">
        <f aca="false">IF(ISBLANK($C132),"",IF(H132=Constants!$B$2, TRUE(), IF(H132=Constants!$B$3, FALSE(), TRUE())))</f>
        <v/>
      </c>
      <c r="V132" s="96" t="str">
        <f aca="false">IF(ISBLANK($C132),"",IF(I132=Constants!$B$2, TRUE(), IF(I132=Constants!$B$3, FALSE(), TRUE())))</f>
        <v/>
      </c>
      <c r="W132" s="96" t="str">
        <f aca="false">IF(ISBLANK($C132),"",IF(J132=Constants!$B$2, TRUE(), IF(J132=Constants!$B$3, FALSE(), TRUE())))</f>
        <v/>
      </c>
      <c r="X132" s="97" t="str">
        <f aca="false">IF(ISBLANK($C132),"",IF(K132=Constants!$B$2, TRUE(), IF(K132=Constants!$B$3, FALSE(), TRUE())))</f>
        <v/>
      </c>
      <c r="Y132" s="98" t="str">
        <f aca="false">IF(ISBLANK($C132),"",IF(ISNUMBER(L132), L132, ""))</f>
        <v/>
      </c>
      <c r="Z132" s="98" t="str">
        <f aca="false">IF(ISBLANK($C132),"",IF(ISNUMBER(M132), M132, ""))</f>
        <v/>
      </c>
      <c r="AA132" s="98" t="str">
        <f aca="false">IF(ISBLANK($C132),"",IF(ISNUMBER(N132), N132, ""))</f>
        <v/>
      </c>
      <c r="AB132" s="99" t="str">
        <f aca="false">IF(ISBLANK($C132),"",IF(ISNUMBER(O132), O132, ""))</f>
        <v/>
      </c>
      <c r="AC132" s="99" t="str">
        <f aca="false">IF(ISBLANK($C132),"",IF(ISNUMBER(P132), P132, Constants!$B$13))</f>
        <v/>
      </c>
      <c r="AD132" s="96" t="str">
        <f aca="false">IF(ISBLANK($C132),"",IF(Q132=Constants!$B$2, TRUE(), IF(Q132=Constants!$B$3, FALSE(), FALSE())))</f>
        <v/>
      </c>
      <c r="AE132" s="96" t="str">
        <f aca="false">IF(ISBLANK(C132), "", IF(AD132, Constants!$B$4,IF(COUNTA(G132:O132)=0, Constants!$B$5, Constants!$B$7)))</f>
        <v/>
      </c>
      <c r="AF132" s="96" t="str">
        <f aca="false">IF(ISBLANK($C132), "",IF($AE132=Constants!$B$7,1,$AE132))</f>
        <v/>
      </c>
      <c r="AG132" s="96" t="str">
        <f aca="false">IF($AE132=Constants!$B$7,IF(V132, 1, Constants!$B$11) * IF(X132, 1, Constants!$B$12),"")</f>
        <v/>
      </c>
      <c r="AH132" s="96" t="str">
        <f aca="false">IF(AND($AE132=Constants!$B$7, T132, U132) ,MAX(0, $AA132-$Y132),"")</f>
        <v/>
      </c>
      <c r="AI132" s="96" t="str">
        <f aca="false">IF(ISERROR(AH132),$AI$6,"")</f>
        <v/>
      </c>
      <c r="AJ132" s="96" t="str">
        <f aca="false">IF($AE132=Constants!$B$7,IF(AND(T132,U132,W132),IF($AH$6=0,Constants!$B$9,Constants!$B$9*AH132/$AH$6), 0),"")</f>
        <v/>
      </c>
      <c r="AK132" s="96" t="str">
        <f aca="false">IF(AJ132&lt;&gt;"", AJ132*AG132,"")</f>
        <v/>
      </c>
      <c r="AL132" s="96" t="str">
        <f aca="false">IF(AND($AE132=Constants!$B$7, T132, U132) ,IF($Z132="", "", MAX(0,1-ABS($AA132-$Z132)/$AA132)),"")</f>
        <v/>
      </c>
      <c r="AM132" s="96" t="str">
        <f aca="false">IF(AND(NOT(ISERROR(AH132)),ISERROR(AL132)),$AM$6,"")</f>
        <v/>
      </c>
      <c r="AN132" s="96" t="str">
        <f aca="false">IF($AE132=Constants!$B$7 ,IF(AND(T132,U132,W132,ISNUMBER(Z132)),IF($AL$6=0,Constants!$B$10,Constants!$B$10*AL132/$AL$6), 0),"")</f>
        <v/>
      </c>
      <c r="AO132" s="96" t="str">
        <f aca="false">IF(AN132&lt;&gt;"", AN132*AG132,"")</f>
        <v/>
      </c>
      <c r="AP132" s="96" t="str">
        <f aca="false">IF($AE132=Constants!$B$7,IF($AP$6=0,Constants!$B$8,Constants!$B$8*AB132/$AP$6),"")</f>
        <v/>
      </c>
      <c r="AQ132" s="96" t="str">
        <f aca="false">IF($AE132&lt;&gt;Constants!$B$7,$AE132,AK132+AO132+AP132)</f>
        <v/>
      </c>
      <c r="AR132" s="96" t="str">
        <f aca="false">IF(ISBLANK($C132),"",IF($AE132=Constants!$B$7,RANK(AQ132,$AQ$8:$AQ$507),$AE132))</f>
        <v/>
      </c>
      <c r="AS132" s="96" t="str">
        <f aca="false">IF(ISBLANK($C132), "",AK132)</f>
        <v/>
      </c>
      <c r="AT132" s="96" t="str">
        <f aca="false">IF(ISBLANK($C132),"",IF($AE132=Constants!$B$7,RANK(AS132,AS$8:AS$507),$AE132))</f>
        <v/>
      </c>
      <c r="AU132" s="96" t="str">
        <f aca="false">IF(ISBLANK($C132), "",AP132)</f>
        <v/>
      </c>
      <c r="AV132" s="96" t="str">
        <f aca="false">IF(ISBLANK($C132),"",IF($AE132=Constants!$B$7,RANK(AU132,AU$8:AU$507),$AE132))</f>
        <v/>
      </c>
      <c r="AW132" s="96" t="str">
        <f aca="false">IF(ISBLANK($C132), "",AC132)</f>
        <v/>
      </c>
      <c r="AX132" s="96" t="str">
        <f aca="false">IF(ISBLANK($C132),"",
IF($AE132=Constants!$B$7,
  COUNTIFS($AR$8:$AR$507,"&lt;"&amp;$AR132)
  + COUNTIFS($AR$8:$AR$507,$AR132,$AT$8:$AT$507,"&lt;"&amp;$AT132)
  + COUNTIFS($AR$8:$AR$507,$AR132,$AT$8:$AT$507,$AT132,$AV$8:$AV$507,"&lt;"&amp;$AV132)
  + COUNTIFS($AR$8:$AR$507,$AR132,$AT$8:$AT$507,$AT132,$AV$8:$AV$507,$AV132,$AW$8:$AW$507,"&lt;"&amp;$AW132)
  + 1,
$AE132))</f>
        <v/>
      </c>
      <c r="AY132" s="96" t="str">
        <f aca="false">IF(ISBLANK(C132),"",IF($AE132=Constants!$B$7, AR132-AX132,$AE132))</f>
        <v/>
      </c>
      <c r="AZ132" s="100"/>
      <c r="BA132" s="101" t="str">
        <f aca="false">IF(ISBLANK($C132),"",TRIM(AI132&amp;" "&amp;AM132))</f>
        <v/>
      </c>
      <c r="BB132" s="102" t="str">
        <f aca="false">IF(ISBLANK($C132),"",IF($AE132&lt;&gt;Constants!$B$7, $AE132 ,AQ132))</f>
        <v/>
      </c>
      <c r="BC132" s="103" t="str">
        <f aca="false">IF(ISBLANK($C132),"",IF($AE132&lt;&gt;Constants!$B$7, $AE132 ,AF132))</f>
        <v/>
      </c>
      <c r="BD132" s="104" t="str">
        <f aca="false">IF(ISBLANK(C132),"",AY132)</f>
        <v/>
      </c>
      <c r="BE132" s="104" t="str">
        <f aca="false">IF(ISBLANK(C132),"",AX132)</f>
        <v/>
      </c>
      <c r="BF132" s="105" t="str">
        <f aca="false">IF(ISBLANK(C132),"",IFERROR(_xlfn.SWITCH(BE132, Constants!$B$4, COUNTA($C$8:$C631)+2, Constants!$B$5, COUNTA($C$8:$C631)+1, Constants!$B$6, COUNTA($C$8:$C631)),BE132))</f>
        <v/>
      </c>
      <c r="BG132" s="5"/>
      <c r="BH132" s="106" t="n">
        <f aca="false">IF(OR(ISNUMBER(BE132),BE132="DQ",BE132="P",BE132="NS"),
    1,
    0
)</f>
        <v>0</v>
      </c>
      <c r="BI132" s="106" t="n">
        <v>125</v>
      </c>
      <c r="BJ132" s="106" t="str">
        <f aca="false">IF(ISBLANK($C132),
    "",
   BF132+ROW($B132)/1000
)</f>
        <v/>
      </c>
      <c r="BK132" s="106" t="str">
        <f aca="false">IF(ISNUMBER(BJ132), RANK(BJ132,BJ$8:BJ$507,1), "")</f>
        <v/>
      </c>
      <c r="BL132" s="106" t="str">
        <f aca="false">IF(ISBLANK($C132),
    "",
    $B132
)</f>
        <v/>
      </c>
      <c r="BM132" s="106" t="str">
        <f aca="false">IF(ISBLANK($C132),
    "",
    $C132
)</f>
        <v/>
      </c>
      <c r="BN132" s="106" t="str">
        <f aca="false">IF(ISBLANK($C132),
    "",
    $D132
)</f>
        <v/>
      </c>
      <c r="BO132" s="107" t="str">
        <f aca="false">BC132</f>
        <v/>
      </c>
      <c r="BP132" s="108" t="str">
        <f aca="false">BB132</f>
        <v/>
      </c>
      <c r="BQ132" s="106" t="str">
        <f aca="false">IF(ISBLANK($C132),
    "",
    BE132
)</f>
        <v/>
      </c>
      <c r="BR132" s="109" t="str">
        <f aca="false">IF(BI132&gt;BH$7,
    "",
    VLOOKUP(BI132,BK$8:BQ631,7,FALSE())
)</f>
        <v/>
      </c>
      <c r="BS132" s="110" t="str">
        <f aca="false">IF(BI132&gt;BH$7,
    "",
    VLOOKUP(BI132,BK$8:BQ631,2,FALSE())
)</f>
        <v/>
      </c>
      <c r="BT132" s="110" t="str">
        <f aca="false">IF(BI132&gt;BH$7,
    "",
    VLOOKUP(BI132,BK$8:BQ631,3,FALSE())
)</f>
        <v/>
      </c>
      <c r="BU132" s="110" t="str">
        <f aca="false">IF(BI132&gt;BH$7,
    "",
    VLOOKUP(BI132,BK$8:BQ631,4,FALSE())
)</f>
        <v/>
      </c>
      <c r="BV132" s="110" t="str">
        <f aca="false">IF(BI132&gt;BH$7,
    "",
    VLOOKUP(BI132,BK$8:BQ631,5,FALSE())
)</f>
        <v/>
      </c>
      <c r="BW132" s="111" t="str">
        <f aca="false">IF(BI132&gt;BH$7,
    "",
    VLOOKUP(BI132,BK$8:BQ631,6,FALSE())
)</f>
        <v/>
      </c>
      <c r="BX132" s="50"/>
    </row>
    <row r="133" customFormat="false" ht="15.75" hidden="false" customHeight="false" outlineLevel="0" collapsed="false">
      <c r="A133" s="5"/>
      <c r="B133" s="122"/>
      <c r="C133" s="123"/>
      <c r="D133" s="112"/>
      <c r="E133" s="116"/>
      <c r="F133" s="116"/>
      <c r="G133" s="88"/>
      <c r="H133" s="89"/>
      <c r="I133" s="125"/>
      <c r="J133" s="125"/>
      <c r="K133" s="125"/>
      <c r="L133" s="91"/>
      <c r="M133" s="91"/>
      <c r="N133" s="91"/>
      <c r="O133" s="92"/>
      <c r="P133" s="93"/>
      <c r="Q133" s="125"/>
      <c r="R133" s="95"/>
      <c r="S133" s="96"/>
      <c r="T133" s="96" t="str">
        <f aca="false">IF(ISBLANK($C133),"",IF(G133=Constants!$B$2, TRUE(), IF(G133=Constants!$B$3, FALSE(), TRUE())))</f>
        <v/>
      </c>
      <c r="U133" s="96" t="str">
        <f aca="false">IF(ISBLANK($C133),"",IF(H133=Constants!$B$2, TRUE(), IF(H133=Constants!$B$3, FALSE(), TRUE())))</f>
        <v/>
      </c>
      <c r="V133" s="96" t="str">
        <f aca="false">IF(ISBLANK($C133),"",IF(I133=Constants!$B$2, TRUE(), IF(I133=Constants!$B$3, FALSE(), TRUE())))</f>
        <v/>
      </c>
      <c r="W133" s="96" t="str">
        <f aca="false">IF(ISBLANK($C133),"",IF(J133=Constants!$B$2, TRUE(), IF(J133=Constants!$B$3, FALSE(), TRUE())))</f>
        <v/>
      </c>
      <c r="X133" s="97" t="str">
        <f aca="false">IF(ISBLANK($C133),"",IF(K133=Constants!$B$2, TRUE(), IF(K133=Constants!$B$3, FALSE(), TRUE())))</f>
        <v/>
      </c>
      <c r="Y133" s="98" t="str">
        <f aca="false">IF(ISBLANK($C133),"",IF(ISNUMBER(L133), L133, ""))</f>
        <v/>
      </c>
      <c r="Z133" s="98" t="str">
        <f aca="false">IF(ISBLANK($C133),"",IF(ISNUMBER(M133), M133, ""))</f>
        <v/>
      </c>
      <c r="AA133" s="98" t="str">
        <f aca="false">IF(ISBLANK($C133),"",IF(ISNUMBER(N133), N133, ""))</f>
        <v/>
      </c>
      <c r="AB133" s="99" t="str">
        <f aca="false">IF(ISBLANK($C133),"",IF(ISNUMBER(O133), O133, ""))</f>
        <v/>
      </c>
      <c r="AC133" s="99" t="str">
        <f aca="false">IF(ISBLANK($C133),"",IF(ISNUMBER(P133), P133, Constants!$B$13))</f>
        <v/>
      </c>
      <c r="AD133" s="96" t="str">
        <f aca="false">IF(ISBLANK($C133),"",IF(Q133=Constants!$B$2, TRUE(), IF(Q133=Constants!$B$3, FALSE(), FALSE())))</f>
        <v/>
      </c>
      <c r="AE133" s="96" t="str">
        <f aca="false">IF(ISBLANK(C133), "", IF(AD133, Constants!$B$4,IF(COUNTA(G133:O133)=0, Constants!$B$5, Constants!$B$7)))</f>
        <v/>
      </c>
      <c r="AF133" s="96" t="str">
        <f aca="false">IF(ISBLANK($C133), "",IF($AE133=Constants!$B$7,1,$AE133))</f>
        <v/>
      </c>
      <c r="AG133" s="96" t="str">
        <f aca="false">IF($AE133=Constants!$B$7,IF(V133, 1, Constants!$B$11) * IF(X133, 1, Constants!$B$12),"")</f>
        <v/>
      </c>
      <c r="AH133" s="96" t="str">
        <f aca="false">IF(AND($AE133=Constants!$B$7, T133, U133) ,MAX(0, $AA133-$Y133),"")</f>
        <v/>
      </c>
      <c r="AI133" s="96" t="str">
        <f aca="false">IF(ISERROR(AH133),$AI$6,"")</f>
        <v/>
      </c>
      <c r="AJ133" s="96" t="str">
        <f aca="false">IF($AE133=Constants!$B$7,IF(AND(T133,U133,W133),IF($AH$6=0,Constants!$B$9,Constants!$B$9*AH133/$AH$6), 0),"")</f>
        <v/>
      </c>
      <c r="AK133" s="96" t="str">
        <f aca="false">IF(AJ133&lt;&gt;"", AJ133*AG133,"")</f>
        <v/>
      </c>
      <c r="AL133" s="96" t="str">
        <f aca="false">IF(AND($AE133=Constants!$B$7, T133, U133) ,IF($Z133="", "", MAX(0,1-ABS($AA133-$Z133)/$AA133)),"")</f>
        <v/>
      </c>
      <c r="AM133" s="96" t="str">
        <f aca="false">IF(AND(NOT(ISERROR(AH133)),ISERROR(AL133)),$AM$6,"")</f>
        <v/>
      </c>
      <c r="AN133" s="96" t="str">
        <f aca="false">IF($AE133=Constants!$B$7 ,IF(AND(T133,U133,W133,ISNUMBER(Z133)),IF($AL$6=0,Constants!$B$10,Constants!$B$10*AL133/$AL$6), 0),"")</f>
        <v/>
      </c>
      <c r="AO133" s="96" t="str">
        <f aca="false">IF(AN133&lt;&gt;"", AN133*AG133,"")</f>
        <v/>
      </c>
      <c r="AP133" s="96" t="str">
        <f aca="false">IF($AE133=Constants!$B$7,IF($AP$6=0,Constants!$B$8,Constants!$B$8*AB133/$AP$6),"")</f>
        <v/>
      </c>
      <c r="AQ133" s="96" t="str">
        <f aca="false">IF($AE133&lt;&gt;Constants!$B$7,$AE133,AK133+AO133+AP133)</f>
        <v/>
      </c>
      <c r="AR133" s="96" t="str">
        <f aca="false">IF(ISBLANK($C133),"",IF($AE133=Constants!$B$7,RANK(AQ133,$AQ$8:$AQ$507),$AE133))</f>
        <v/>
      </c>
      <c r="AS133" s="96" t="str">
        <f aca="false">IF(ISBLANK($C133), "",AK133)</f>
        <v/>
      </c>
      <c r="AT133" s="96" t="str">
        <f aca="false">IF(ISBLANK($C133),"",IF($AE133=Constants!$B$7,RANK(AS133,AS$8:AS$507),$AE133))</f>
        <v/>
      </c>
      <c r="AU133" s="96" t="str">
        <f aca="false">IF(ISBLANK($C133), "",AP133)</f>
        <v/>
      </c>
      <c r="AV133" s="96" t="str">
        <f aca="false">IF(ISBLANK($C133),"",IF($AE133=Constants!$B$7,RANK(AU133,AU$8:AU$507),$AE133))</f>
        <v/>
      </c>
      <c r="AW133" s="96" t="str">
        <f aca="false">IF(ISBLANK($C133), "",AC133)</f>
        <v/>
      </c>
      <c r="AX133" s="96" t="str">
        <f aca="false">IF(ISBLANK($C133),"",
IF($AE133=Constants!$B$7,
  COUNTIFS($AR$8:$AR$507,"&lt;"&amp;$AR133)
  + COUNTIFS($AR$8:$AR$507,$AR133,$AT$8:$AT$507,"&lt;"&amp;$AT133)
  + COUNTIFS($AR$8:$AR$507,$AR133,$AT$8:$AT$507,$AT133,$AV$8:$AV$507,"&lt;"&amp;$AV133)
  + COUNTIFS($AR$8:$AR$507,$AR133,$AT$8:$AT$507,$AT133,$AV$8:$AV$507,$AV133,$AW$8:$AW$507,"&lt;"&amp;$AW133)
  + 1,
$AE133))</f>
        <v/>
      </c>
      <c r="AY133" s="96" t="str">
        <f aca="false">IF(ISBLANK(C133),"",IF($AE133=Constants!$B$7, AR133-AX133,$AE133))</f>
        <v/>
      </c>
      <c r="AZ133" s="100"/>
      <c r="BA133" s="101" t="str">
        <f aca="false">IF(ISBLANK($C133),"",TRIM(AI133&amp;" "&amp;AM133))</f>
        <v/>
      </c>
      <c r="BB133" s="102" t="str">
        <f aca="false">IF(ISBLANK($C133),"",IF($AE133&lt;&gt;Constants!$B$7, $AE133 ,AQ133))</f>
        <v/>
      </c>
      <c r="BC133" s="103" t="str">
        <f aca="false">IF(ISBLANK($C133),"",IF($AE133&lt;&gt;Constants!$B$7, $AE133 ,AF133))</f>
        <v/>
      </c>
      <c r="BD133" s="104" t="str">
        <f aca="false">IF(ISBLANK(C133),"",AY133)</f>
        <v/>
      </c>
      <c r="BE133" s="104" t="str">
        <f aca="false">IF(ISBLANK(C133),"",AX133)</f>
        <v/>
      </c>
      <c r="BF133" s="105" t="str">
        <f aca="false">IF(ISBLANK(C133),"",IFERROR(_xlfn.SWITCH(BE133, Constants!$B$4, COUNTA($C$8:$C632)+2, Constants!$B$5, COUNTA($C$8:$C632)+1, Constants!$B$6, COUNTA($C$8:$C632)),BE133))</f>
        <v/>
      </c>
      <c r="BG133" s="5"/>
      <c r="BH133" s="106" t="n">
        <f aca="false">IF(OR(ISNUMBER(BE133),BE133="DQ",BE133="P",BE133="NS"),
    1,
    0
)</f>
        <v>0</v>
      </c>
      <c r="BI133" s="106" t="n">
        <v>126</v>
      </c>
      <c r="BJ133" s="106" t="str">
        <f aca="false">IF(ISBLANK($C133),
    "",
   BF133+ROW($B133)/1000
)</f>
        <v/>
      </c>
      <c r="BK133" s="106" t="str">
        <f aca="false">IF(ISNUMBER(BJ133), RANK(BJ133,BJ$8:BJ$507,1), "")</f>
        <v/>
      </c>
      <c r="BL133" s="106" t="str">
        <f aca="false">IF(ISBLANK($C133),
    "",
    $B133
)</f>
        <v/>
      </c>
      <c r="BM133" s="106" t="str">
        <f aca="false">IF(ISBLANK($C133),
    "",
    $C133
)</f>
        <v/>
      </c>
      <c r="BN133" s="106" t="str">
        <f aca="false">IF(ISBLANK($C133),
    "",
    $D133
)</f>
        <v/>
      </c>
      <c r="BO133" s="107" t="str">
        <f aca="false">BC133</f>
        <v/>
      </c>
      <c r="BP133" s="108" t="str">
        <f aca="false">BB133</f>
        <v/>
      </c>
      <c r="BQ133" s="106" t="str">
        <f aca="false">IF(ISBLANK($C133),
    "",
    BE133
)</f>
        <v/>
      </c>
      <c r="BR133" s="109" t="str">
        <f aca="false">IF(BI133&gt;BH$7,
    "",
    VLOOKUP(BI133,BK$8:BQ632,7,FALSE())
)</f>
        <v/>
      </c>
      <c r="BS133" s="110" t="str">
        <f aca="false">IF(BI133&gt;BH$7,
    "",
    VLOOKUP(BI133,BK$8:BQ632,2,FALSE())
)</f>
        <v/>
      </c>
      <c r="BT133" s="110" t="str">
        <f aca="false">IF(BI133&gt;BH$7,
    "",
    VLOOKUP(BI133,BK$8:BQ632,3,FALSE())
)</f>
        <v/>
      </c>
      <c r="BU133" s="110" t="str">
        <f aca="false">IF(BI133&gt;BH$7,
    "",
    VLOOKUP(BI133,BK$8:BQ632,4,FALSE())
)</f>
        <v/>
      </c>
      <c r="BV133" s="110" t="str">
        <f aca="false">IF(BI133&gt;BH$7,
    "",
    VLOOKUP(BI133,BK$8:BQ632,5,FALSE())
)</f>
        <v/>
      </c>
      <c r="BW133" s="111" t="str">
        <f aca="false">IF(BI133&gt;BH$7,
    "",
    VLOOKUP(BI133,BK$8:BQ632,6,FALSE())
)</f>
        <v/>
      </c>
      <c r="BX133" s="50"/>
    </row>
    <row r="134" customFormat="false" ht="15.75" hidden="false" customHeight="false" outlineLevel="0" collapsed="false">
      <c r="A134" s="5"/>
      <c r="B134" s="126"/>
      <c r="C134" s="52"/>
      <c r="D134" s="53"/>
      <c r="E134" s="120"/>
      <c r="F134" s="120"/>
      <c r="G134" s="55"/>
      <c r="H134" s="56"/>
      <c r="I134" s="80"/>
      <c r="J134" s="80"/>
      <c r="K134" s="80"/>
      <c r="L134" s="58"/>
      <c r="M134" s="58"/>
      <c r="N134" s="58"/>
      <c r="O134" s="59"/>
      <c r="P134" s="60"/>
      <c r="Q134" s="80"/>
      <c r="R134" s="62"/>
      <c r="S134" s="63"/>
      <c r="T134" s="63" t="str">
        <f aca="false">IF(ISBLANK($C134),"",IF(G134=Constants!$B$2, TRUE(), IF(G134=Constants!$B$3, FALSE(), TRUE())))</f>
        <v/>
      </c>
      <c r="U134" s="63" t="str">
        <f aca="false">IF(ISBLANK($C134),"",IF(H134=Constants!$B$2, TRUE(), IF(H134=Constants!$B$3, FALSE(), TRUE())))</f>
        <v/>
      </c>
      <c r="V134" s="63" t="str">
        <f aca="false">IF(ISBLANK($C134),"",IF(I134=Constants!$B$2, TRUE(), IF(I134=Constants!$B$3, FALSE(), TRUE())))</f>
        <v/>
      </c>
      <c r="W134" s="63" t="str">
        <f aca="false">IF(ISBLANK($C134),"",IF(J134=Constants!$B$2, TRUE(), IF(J134=Constants!$B$3, FALSE(), TRUE())))</f>
        <v/>
      </c>
      <c r="X134" s="63" t="str">
        <f aca="false">IF(ISBLANK($C134),"",IF(K134=Constants!$B$2, TRUE(), IF(K134=Constants!$B$3, FALSE(), TRUE())))</f>
        <v/>
      </c>
      <c r="Y134" s="65" t="str">
        <f aca="false">IF(ISBLANK($C134),"",IF(ISNUMBER(L134), L134, ""))</f>
        <v/>
      </c>
      <c r="Z134" s="65" t="str">
        <f aca="false">IF(ISBLANK($C134),"",IF(ISNUMBER(M134), M134, ""))</f>
        <v/>
      </c>
      <c r="AA134" s="65" t="str">
        <f aca="false">IF(ISBLANK($C134),"",IF(ISNUMBER(N134), N134, ""))</f>
        <v/>
      </c>
      <c r="AB134" s="66" t="str">
        <f aca="false">IF(ISBLANK($C134),"",IF(ISNUMBER(O134), O134, ""))</f>
        <v/>
      </c>
      <c r="AC134" s="66" t="str">
        <f aca="false">IF(ISBLANK($C134),"",IF(ISNUMBER(P134), P134, Constants!$B$13))</f>
        <v/>
      </c>
      <c r="AD134" s="63" t="str">
        <f aca="false">IF(ISBLANK($C134),"",IF(Q134=Constants!$B$2, TRUE(), IF(Q134=Constants!$B$3, FALSE(), FALSE())))</f>
        <v/>
      </c>
      <c r="AE134" s="63" t="str">
        <f aca="false">IF(ISBLANK(C134), "", IF(AD134, Constants!$B$4,IF(COUNTA(G134:O134)=0, Constants!$B$5, Constants!$B$7)))</f>
        <v/>
      </c>
      <c r="AF134" s="63" t="str">
        <f aca="false">IF(ISBLANK($C134), "",IF($AE134=Constants!$B$7,1,$AE134))</f>
        <v/>
      </c>
      <c r="AG134" s="63" t="str">
        <f aca="false">IF($AE134=Constants!$B$7,IF(V134, 1, Constants!$B$11) * IF(X134, 1, Constants!$B$12),"")</f>
        <v/>
      </c>
      <c r="AH134" s="63" t="str">
        <f aca="false">IF(AND($AE134=Constants!$B$7, T134, U134) ,MAX(0, $AA134-$Y134),"")</f>
        <v/>
      </c>
      <c r="AI134" s="63" t="str">
        <f aca="false">IF(ISERROR(AH134),$AI$6,"")</f>
        <v/>
      </c>
      <c r="AJ134" s="63" t="str">
        <f aca="false">IF($AE134=Constants!$B$7,IF(AND(T134,U134,W134),IF($AH$6=0,Constants!$B$9,Constants!$B$9*AH134/$AH$6), 0),"")</f>
        <v/>
      </c>
      <c r="AK134" s="63" t="str">
        <f aca="false">IF(AJ134&lt;&gt;"", AJ134*AG134,"")</f>
        <v/>
      </c>
      <c r="AL134" s="63" t="str">
        <f aca="false">IF(AND($AE134=Constants!$B$7, T134, U134) ,IF($Z134="", "", MAX(0,1-ABS($AA134-$Z134)/$AA134)),"")</f>
        <v/>
      </c>
      <c r="AM134" s="63" t="str">
        <f aca="false">IF(AND(NOT(ISERROR(AH134)),ISERROR(AL134)),$AM$6,"")</f>
        <v/>
      </c>
      <c r="AN134" s="63" t="str">
        <f aca="false">IF($AE134=Constants!$B$7 ,IF(AND(T134,U134,W134,ISNUMBER(Z134)),IF($AL$6=0,Constants!$B$10,Constants!$B$10*AL134/$AL$6), 0),"")</f>
        <v/>
      </c>
      <c r="AO134" s="63" t="str">
        <f aca="false">IF(AN134&lt;&gt;"", AN134*AG134,"")</f>
        <v/>
      </c>
      <c r="AP134" s="63" t="str">
        <f aca="false">IF($AE134=Constants!$B$7,IF($AP$6=0,Constants!$B$8,Constants!$B$8*AB134/$AP$6),"")</f>
        <v/>
      </c>
      <c r="AQ134" s="63" t="str">
        <f aca="false">IF($AE134&lt;&gt;Constants!$B$7,$AE134,AK134+AO134+AP134)</f>
        <v/>
      </c>
      <c r="AR134" s="63" t="str">
        <f aca="false">IF(ISBLANK($C134),"",IF($AE134=Constants!$B$7,RANK(AQ134,$AQ$8:$AQ$507),$AE134))</f>
        <v/>
      </c>
      <c r="AS134" s="63" t="str">
        <f aca="false">IF(ISBLANK($C134), "",AK134)</f>
        <v/>
      </c>
      <c r="AT134" s="63" t="str">
        <f aca="false">IF(ISBLANK($C134),"",IF($AE134=Constants!$B$7,RANK(AS134,AS$8:AS$507),$AE134))</f>
        <v/>
      </c>
      <c r="AU134" s="63" t="str">
        <f aca="false">IF(ISBLANK($C134), "",AP134)</f>
        <v/>
      </c>
      <c r="AV134" s="63" t="str">
        <f aca="false">IF(ISBLANK($C134),"",IF($AE134=Constants!$B$7,RANK(AU134,AU$8:AU$507),$AE134))</f>
        <v/>
      </c>
      <c r="AW134" s="63" t="str">
        <f aca="false">IF(ISBLANK($C134), "",AC134)</f>
        <v/>
      </c>
      <c r="AX134" s="63" t="str">
        <f aca="false">IF(ISBLANK($C134),"",
IF($AE134=Constants!$B$7,
  COUNTIFS($AR$8:$AR$507,"&lt;"&amp;$AR134)
  + COUNTIFS($AR$8:$AR$507,$AR134,$AT$8:$AT$507,"&lt;"&amp;$AT134)
  + COUNTIFS($AR$8:$AR$507,$AR134,$AT$8:$AT$507,$AT134,$AV$8:$AV$507,"&lt;"&amp;$AV134)
  + COUNTIFS($AR$8:$AR$507,$AR134,$AT$8:$AT$507,$AT134,$AV$8:$AV$507,$AV134,$AW$8:$AW$507,"&lt;"&amp;$AW134)
  + 1,
$AE134))</f>
        <v/>
      </c>
      <c r="AY134" s="63" t="str">
        <f aca="false">IF(ISBLANK(C134),"",IF($AE134=Constants!$B$7, AR134-AX134,$AE134))</f>
        <v/>
      </c>
      <c r="AZ134" s="67"/>
      <c r="BA134" s="81" t="str">
        <f aca="false">IF(ISBLANK($C134),"",TRIM(AI134&amp;" "&amp;AM134))</f>
        <v/>
      </c>
      <c r="BB134" s="69" t="str">
        <f aca="false">IF(ISBLANK($C134),"",IF($AE134&lt;&gt;Constants!$B$7, $AE134 ,AQ134))</f>
        <v/>
      </c>
      <c r="BC134" s="70" t="str">
        <f aca="false">IF(ISBLANK($C134),"",IF($AE134&lt;&gt;Constants!$B$7, $AE134 ,AF134))</f>
        <v/>
      </c>
      <c r="BD134" s="71" t="str">
        <f aca="false">IF(ISBLANK(C134),"",AY134)</f>
        <v/>
      </c>
      <c r="BE134" s="71" t="str">
        <f aca="false">IF(ISBLANK(C134),"",AX134)</f>
        <v/>
      </c>
      <c r="BF134" s="72" t="str">
        <f aca="false">IF(ISBLANK(C134),"",IFERROR(_xlfn.SWITCH(BE134, Constants!$B$4, COUNTA($C$8:$C633)+2, Constants!$B$5, COUNTA($C$8:$C633)+1, Constants!$B$6, COUNTA($C$8:$C633)),BE134))</f>
        <v/>
      </c>
      <c r="BG134" s="5"/>
      <c r="BH134" s="73" t="n">
        <f aca="false">IF(OR(ISNUMBER(BE134),BE134="DQ",BE134="P",BE134="NS"),
    1,
    0
)</f>
        <v>0</v>
      </c>
      <c r="BI134" s="73" t="n">
        <v>127</v>
      </c>
      <c r="BJ134" s="73" t="str">
        <f aca="false">IF(ISBLANK($C134),
    "",
   BF134+ROW($B134)/1000
)</f>
        <v/>
      </c>
      <c r="BK134" s="73" t="str">
        <f aca="false">IF(ISNUMBER(BJ134), RANK(BJ134,BJ$8:BJ$507,1), "")</f>
        <v/>
      </c>
      <c r="BL134" s="73" t="str">
        <f aca="false">IF(ISBLANK($C134),
    "",
    $B134
)</f>
        <v/>
      </c>
      <c r="BM134" s="73" t="str">
        <f aca="false">IF(ISBLANK($C134),
    "",
    $C134
)</f>
        <v/>
      </c>
      <c r="BN134" s="73" t="str">
        <f aca="false">IF(ISBLANK($C134),
    "",
    $D134
)</f>
        <v/>
      </c>
      <c r="BO134" s="74" t="str">
        <f aca="false">BC134</f>
        <v/>
      </c>
      <c r="BP134" s="75" t="str">
        <f aca="false">BB134</f>
        <v/>
      </c>
      <c r="BQ134" s="73" t="str">
        <f aca="false">IF(ISBLANK($C134),
    "",
    BE134
)</f>
        <v/>
      </c>
      <c r="BR134" s="76" t="str">
        <f aca="false">IF(BI134&gt;BH$7,
    "",
    VLOOKUP(BI134,BK$8:BQ633,7,FALSE())
)</f>
        <v/>
      </c>
      <c r="BS134" s="77" t="str">
        <f aca="false">IF(BI134&gt;BH$7,
    "",
    VLOOKUP(BI134,BK$8:BQ633,2,FALSE())
)</f>
        <v/>
      </c>
      <c r="BT134" s="77" t="str">
        <f aca="false">IF(BI134&gt;BH$7,
    "",
    VLOOKUP(BI134,BK$8:BQ633,3,FALSE())
)</f>
        <v/>
      </c>
      <c r="BU134" s="77" t="str">
        <f aca="false">IF(BI134&gt;BH$7,
    "",
    VLOOKUP(BI134,BK$8:BQ633,4,FALSE())
)</f>
        <v/>
      </c>
      <c r="BV134" s="77" t="str">
        <f aca="false">IF(BI134&gt;BH$7,
    "",
    VLOOKUP(BI134,BK$8:BQ633,5,FALSE())
)</f>
        <v/>
      </c>
      <c r="BW134" s="78" t="str">
        <f aca="false">IF(BI134&gt;BH$7,
    "",
    VLOOKUP(BI134,BK$8:BQ633,6,FALSE())
)</f>
        <v/>
      </c>
      <c r="BX134" s="50"/>
    </row>
    <row r="135" customFormat="false" ht="15.75" hidden="false" customHeight="false" outlineLevel="0" collapsed="false">
      <c r="A135" s="5"/>
      <c r="B135" s="126"/>
      <c r="C135" s="52"/>
      <c r="D135" s="53"/>
      <c r="E135" s="120"/>
      <c r="F135" s="120"/>
      <c r="G135" s="55"/>
      <c r="H135" s="56"/>
      <c r="I135" s="80"/>
      <c r="J135" s="80"/>
      <c r="K135" s="80"/>
      <c r="L135" s="58"/>
      <c r="M135" s="58"/>
      <c r="N135" s="58"/>
      <c r="O135" s="59"/>
      <c r="P135" s="60"/>
      <c r="Q135" s="80"/>
      <c r="R135" s="62"/>
      <c r="S135" s="63"/>
      <c r="T135" s="63" t="str">
        <f aca="false">IF(ISBLANK($C135),"",IF(G135=Constants!$B$2, TRUE(), IF(G135=Constants!$B$3, FALSE(), TRUE())))</f>
        <v/>
      </c>
      <c r="U135" s="63" t="str">
        <f aca="false">IF(ISBLANK($C135),"",IF(H135=Constants!$B$2, TRUE(), IF(H135=Constants!$B$3, FALSE(), TRUE())))</f>
        <v/>
      </c>
      <c r="V135" s="63" t="str">
        <f aca="false">IF(ISBLANK($C135),"",IF(I135=Constants!$B$2, TRUE(), IF(I135=Constants!$B$3, FALSE(), TRUE())))</f>
        <v/>
      </c>
      <c r="W135" s="63" t="str">
        <f aca="false">IF(ISBLANK($C135),"",IF(J135=Constants!$B$2, TRUE(), IF(J135=Constants!$B$3, FALSE(), TRUE())))</f>
        <v/>
      </c>
      <c r="X135" s="63" t="str">
        <f aca="false">IF(ISBLANK($C135),"",IF(K135=Constants!$B$2, TRUE(), IF(K135=Constants!$B$3, FALSE(), TRUE())))</f>
        <v/>
      </c>
      <c r="Y135" s="65" t="str">
        <f aca="false">IF(ISBLANK($C135),"",IF(ISNUMBER(L135), L135, ""))</f>
        <v/>
      </c>
      <c r="Z135" s="65" t="str">
        <f aca="false">IF(ISBLANK($C135),"",IF(ISNUMBER(M135), M135, ""))</f>
        <v/>
      </c>
      <c r="AA135" s="65" t="str">
        <f aca="false">IF(ISBLANK($C135),"",IF(ISNUMBER(N135), N135, ""))</f>
        <v/>
      </c>
      <c r="AB135" s="66" t="str">
        <f aca="false">IF(ISBLANK($C135),"",IF(ISNUMBER(O135), O135, ""))</f>
        <v/>
      </c>
      <c r="AC135" s="66" t="str">
        <f aca="false">IF(ISBLANK($C135),"",IF(ISNUMBER(P135), P135, Constants!$B$13))</f>
        <v/>
      </c>
      <c r="AD135" s="63" t="str">
        <f aca="false">IF(ISBLANK($C135),"",IF(Q135=Constants!$B$2, TRUE(), IF(Q135=Constants!$B$3, FALSE(), FALSE())))</f>
        <v/>
      </c>
      <c r="AE135" s="63" t="str">
        <f aca="false">IF(ISBLANK(C135), "", IF(AD135, Constants!$B$4,IF(COUNTA(G135:O135)=0, Constants!$B$5, Constants!$B$7)))</f>
        <v/>
      </c>
      <c r="AF135" s="63" t="str">
        <f aca="false">IF(ISBLANK($C135), "",IF($AE135=Constants!$B$7,1,$AE135))</f>
        <v/>
      </c>
      <c r="AG135" s="63" t="str">
        <f aca="false">IF($AE135=Constants!$B$7,IF(V135, 1, Constants!$B$11) * IF(X135, 1, Constants!$B$12),"")</f>
        <v/>
      </c>
      <c r="AH135" s="63" t="str">
        <f aca="false">IF(AND($AE135=Constants!$B$7, T135, U135) ,MAX(0, $AA135-$Y135),"")</f>
        <v/>
      </c>
      <c r="AI135" s="63" t="str">
        <f aca="false">IF(ISERROR(AH135),$AI$6,"")</f>
        <v/>
      </c>
      <c r="AJ135" s="63" t="str">
        <f aca="false">IF($AE135=Constants!$B$7,IF(AND(T135,U135,W135),IF($AH$6=0,Constants!$B$9,Constants!$B$9*AH135/$AH$6), 0),"")</f>
        <v/>
      </c>
      <c r="AK135" s="63" t="str">
        <f aca="false">IF(AJ135&lt;&gt;"", AJ135*AG135,"")</f>
        <v/>
      </c>
      <c r="AL135" s="63" t="str">
        <f aca="false">IF(AND($AE135=Constants!$B$7, T135, U135) ,IF($Z135="", "", MAX(0,1-ABS($AA135-$Z135)/$AA135)),"")</f>
        <v/>
      </c>
      <c r="AM135" s="63" t="str">
        <f aca="false">IF(AND(NOT(ISERROR(AH135)),ISERROR(AL135)),$AM$6,"")</f>
        <v/>
      </c>
      <c r="AN135" s="63" t="str">
        <f aca="false">IF($AE135=Constants!$B$7 ,IF(AND(T135,U135,W135,ISNUMBER(Z135)),IF($AL$6=0,Constants!$B$10,Constants!$B$10*AL135/$AL$6), 0),"")</f>
        <v/>
      </c>
      <c r="AO135" s="63" t="str">
        <f aca="false">IF(AN135&lt;&gt;"", AN135*AG135,"")</f>
        <v/>
      </c>
      <c r="AP135" s="63" t="str">
        <f aca="false">IF($AE135=Constants!$B$7,IF($AP$6=0,Constants!$B$8,Constants!$B$8*AB135/$AP$6),"")</f>
        <v/>
      </c>
      <c r="AQ135" s="63" t="str">
        <f aca="false">IF($AE135&lt;&gt;Constants!$B$7,$AE135,AK135+AO135+AP135)</f>
        <v/>
      </c>
      <c r="AR135" s="63" t="str">
        <f aca="false">IF(ISBLANK($C135),"",IF($AE135=Constants!$B$7,RANK(AQ135,$AQ$8:$AQ$507),$AE135))</f>
        <v/>
      </c>
      <c r="AS135" s="63" t="str">
        <f aca="false">IF(ISBLANK($C135), "",AK135)</f>
        <v/>
      </c>
      <c r="AT135" s="63" t="str">
        <f aca="false">IF(ISBLANK($C135),"",IF($AE135=Constants!$B$7,RANK(AS135,AS$8:AS$507),$AE135))</f>
        <v/>
      </c>
      <c r="AU135" s="63" t="str">
        <f aca="false">IF(ISBLANK($C135), "",AP135)</f>
        <v/>
      </c>
      <c r="AV135" s="63" t="str">
        <f aca="false">IF(ISBLANK($C135),"",IF($AE135=Constants!$B$7,RANK(AU135,AU$8:AU$507),$AE135))</f>
        <v/>
      </c>
      <c r="AW135" s="63" t="str">
        <f aca="false">IF(ISBLANK($C135), "",AC135)</f>
        <v/>
      </c>
      <c r="AX135" s="63" t="str">
        <f aca="false">IF(ISBLANK($C135),"",
IF($AE135=Constants!$B$7,
  COUNTIFS($AR$8:$AR$507,"&lt;"&amp;$AR135)
  + COUNTIFS($AR$8:$AR$507,$AR135,$AT$8:$AT$507,"&lt;"&amp;$AT135)
  + COUNTIFS($AR$8:$AR$507,$AR135,$AT$8:$AT$507,$AT135,$AV$8:$AV$507,"&lt;"&amp;$AV135)
  + COUNTIFS($AR$8:$AR$507,$AR135,$AT$8:$AT$507,$AT135,$AV$8:$AV$507,$AV135,$AW$8:$AW$507,"&lt;"&amp;$AW135)
  + 1,
$AE135))</f>
        <v/>
      </c>
      <c r="AY135" s="63" t="str">
        <f aca="false">IF(ISBLANK(C135),"",IF($AE135=Constants!$B$7, AR135-AX135,$AE135))</f>
        <v/>
      </c>
      <c r="AZ135" s="67"/>
      <c r="BA135" s="81" t="str">
        <f aca="false">IF(ISBLANK($C135),"",TRIM(AI135&amp;" "&amp;AM135))</f>
        <v/>
      </c>
      <c r="BB135" s="69" t="str">
        <f aca="false">IF(ISBLANK($C135),"",IF($AE135&lt;&gt;Constants!$B$7, $AE135 ,AQ135))</f>
        <v/>
      </c>
      <c r="BC135" s="70" t="str">
        <f aca="false">IF(ISBLANK($C135),"",IF($AE135&lt;&gt;Constants!$B$7, $AE135 ,AF135))</f>
        <v/>
      </c>
      <c r="BD135" s="71" t="str">
        <f aca="false">IF(ISBLANK(C135),"",AY135)</f>
        <v/>
      </c>
      <c r="BE135" s="71" t="str">
        <f aca="false">IF(ISBLANK(C135),"",AX135)</f>
        <v/>
      </c>
      <c r="BF135" s="72" t="str">
        <f aca="false">IF(ISBLANK(C135),"",IFERROR(_xlfn.SWITCH(BE135, Constants!$B$4, COUNTA($C$8:$C634)+2, Constants!$B$5, COUNTA($C$8:$C634)+1, Constants!$B$6, COUNTA($C$8:$C634)),BE135))</f>
        <v/>
      </c>
      <c r="BG135" s="5"/>
      <c r="BH135" s="73" t="n">
        <f aca="false">IF(OR(ISNUMBER(BE135),BE135="DQ",BE135="P",BE135="NS"),
    1,
    0
)</f>
        <v>0</v>
      </c>
      <c r="BI135" s="73" t="n">
        <v>128</v>
      </c>
      <c r="BJ135" s="73" t="str">
        <f aca="false">IF(ISBLANK($C135),
    "",
   BF135+ROW($B135)/1000
)</f>
        <v/>
      </c>
      <c r="BK135" s="73" t="str">
        <f aca="false">IF(ISNUMBER(BJ135), RANK(BJ135,BJ$8:BJ$507,1), "")</f>
        <v/>
      </c>
      <c r="BL135" s="73" t="str">
        <f aca="false">IF(ISBLANK($C135),
    "",
    $B135
)</f>
        <v/>
      </c>
      <c r="BM135" s="73" t="str">
        <f aca="false">IF(ISBLANK($C135),
    "",
    $C135
)</f>
        <v/>
      </c>
      <c r="BN135" s="73" t="str">
        <f aca="false">IF(ISBLANK($C135),
    "",
    $D135
)</f>
        <v/>
      </c>
      <c r="BO135" s="74" t="str">
        <f aca="false">BC135</f>
        <v/>
      </c>
      <c r="BP135" s="75" t="str">
        <f aca="false">BB135</f>
        <v/>
      </c>
      <c r="BQ135" s="73" t="str">
        <f aca="false">IF(ISBLANK($C135),
    "",
    BE135
)</f>
        <v/>
      </c>
      <c r="BR135" s="76" t="str">
        <f aca="false">IF(BI135&gt;BH$7,
    "",
    VLOOKUP(BI135,BK$8:BQ634,7,FALSE())
)</f>
        <v/>
      </c>
      <c r="BS135" s="77" t="str">
        <f aca="false">IF(BI135&gt;BH$7,
    "",
    VLOOKUP(BI135,BK$8:BQ634,2,FALSE())
)</f>
        <v/>
      </c>
      <c r="BT135" s="77" t="str">
        <f aca="false">IF(BI135&gt;BH$7,
    "",
    VLOOKUP(BI135,BK$8:BQ634,3,FALSE())
)</f>
        <v/>
      </c>
      <c r="BU135" s="77" t="str">
        <f aca="false">IF(BI135&gt;BH$7,
    "",
    VLOOKUP(BI135,BK$8:BQ634,4,FALSE())
)</f>
        <v/>
      </c>
      <c r="BV135" s="77" t="str">
        <f aca="false">IF(BI135&gt;BH$7,
    "",
    VLOOKUP(BI135,BK$8:BQ634,5,FALSE())
)</f>
        <v/>
      </c>
      <c r="BW135" s="78" t="str">
        <f aca="false">IF(BI135&gt;BH$7,
    "",
    VLOOKUP(BI135,BK$8:BQ634,6,FALSE())
)</f>
        <v/>
      </c>
      <c r="BX135" s="50"/>
    </row>
    <row r="136" customFormat="false" ht="15.75" hidden="false" customHeight="false" outlineLevel="0" collapsed="false">
      <c r="A136" s="5"/>
      <c r="B136" s="126"/>
      <c r="C136" s="52"/>
      <c r="D136" s="53"/>
      <c r="E136" s="120"/>
      <c r="F136" s="120"/>
      <c r="G136" s="55"/>
      <c r="H136" s="56"/>
      <c r="I136" s="80"/>
      <c r="J136" s="80"/>
      <c r="K136" s="80"/>
      <c r="L136" s="58"/>
      <c r="M136" s="58"/>
      <c r="N136" s="58"/>
      <c r="O136" s="59"/>
      <c r="P136" s="60"/>
      <c r="Q136" s="80"/>
      <c r="R136" s="62"/>
      <c r="S136" s="63"/>
      <c r="T136" s="63" t="str">
        <f aca="false">IF(ISBLANK($C136),"",IF(G136=Constants!$B$2, TRUE(), IF(G136=Constants!$B$3, FALSE(), TRUE())))</f>
        <v/>
      </c>
      <c r="U136" s="63" t="str">
        <f aca="false">IF(ISBLANK($C136),"",IF(H136=Constants!$B$2, TRUE(), IF(H136=Constants!$B$3, FALSE(), TRUE())))</f>
        <v/>
      </c>
      <c r="V136" s="63" t="str">
        <f aca="false">IF(ISBLANK($C136),"",IF(I136=Constants!$B$2, TRUE(), IF(I136=Constants!$B$3, FALSE(), TRUE())))</f>
        <v/>
      </c>
      <c r="W136" s="63" t="str">
        <f aca="false">IF(ISBLANK($C136),"",IF(J136=Constants!$B$2, TRUE(), IF(J136=Constants!$B$3, FALSE(), TRUE())))</f>
        <v/>
      </c>
      <c r="X136" s="63" t="str">
        <f aca="false">IF(ISBLANK($C136),"",IF(K136=Constants!$B$2, TRUE(), IF(K136=Constants!$B$3, FALSE(), TRUE())))</f>
        <v/>
      </c>
      <c r="Y136" s="65" t="str">
        <f aca="false">IF(ISBLANK($C136),"",IF(ISNUMBER(L136), L136, ""))</f>
        <v/>
      </c>
      <c r="Z136" s="65" t="str">
        <f aca="false">IF(ISBLANK($C136),"",IF(ISNUMBER(M136), M136, ""))</f>
        <v/>
      </c>
      <c r="AA136" s="65" t="str">
        <f aca="false">IF(ISBLANK($C136),"",IF(ISNUMBER(N136), N136, ""))</f>
        <v/>
      </c>
      <c r="AB136" s="66" t="str">
        <f aca="false">IF(ISBLANK($C136),"",IF(ISNUMBER(O136), O136, ""))</f>
        <v/>
      </c>
      <c r="AC136" s="66" t="str">
        <f aca="false">IF(ISBLANK($C136),"",IF(ISNUMBER(P136), P136, Constants!$B$13))</f>
        <v/>
      </c>
      <c r="AD136" s="63" t="str">
        <f aca="false">IF(ISBLANK($C136),"",IF(Q136=Constants!$B$2, TRUE(), IF(Q136=Constants!$B$3, FALSE(), FALSE())))</f>
        <v/>
      </c>
      <c r="AE136" s="63" t="str">
        <f aca="false">IF(ISBLANK(C136), "", IF(AD136, Constants!$B$4,IF(COUNTA(G136:O136)=0, Constants!$B$5, Constants!$B$7)))</f>
        <v/>
      </c>
      <c r="AF136" s="63" t="str">
        <f aca="false">IF(ISBLANK($C136), "",IF($AE136=Constants!$B$7,1,$AE136))</f>
        <v/>
      </c>
      <c r="AG136" s="63" t="str">
        <f aca="false">IF($AE136=Constants!$B$7,IF(V136, 1, Constants!$B$11) * IF(X136, 1, Constants!$B$12),"")</f>
        <v/>
      </c>
      <c r="AH136" s="63" t="str">
        <f aca="false">IF(AND($AE136=Constants!$B$7, T136, U136) ,MAX(0, $AA136-$Y136),"")</f>
        <v/>
      </c>
      <c r="AI136" s="63" t="str">
        <f aca="false">IF(ISERROR(AH136),$AI$6,"")</f>
        <v/>
      </c>
      <c r="AJ136" s="63" t="str">
        <f aca="false">IF($AE136=Constants!$B$7,IF(AND(T136,U136,W136),IF($AH$6=0,Constants!$B$9,Constants!$B$9*AH136/$AH$6), 0),"")</f>
        <v/>
      </c>
      <c r="AK136" s="63" t="str">
        <f aca="false">IF(AJ136&lt;&gt;"", AJ136*AG136,"")</f>
        <v/>
      </c>
      <c r="AL136" s="63" t="str">
        <f aca="false">IF(AND($AE136=Constants!$B$7, T136, U136) ,IF($Z136="", "", MAX(0,1-ABS($AA136-$Z136)/$AA136)),"")</f>
        <v/>
      </c>
      <c r="AM136" s="63" t="str">
        <f aca="false">IF(AND(NOT(ISERROR(AH136)),ISERROR(AL136)),$AM$6,"")</f>
        <v/>
      </c>
      <c r="AN136" s="63" t="str">
        <f aca="false">IF($AE136=Constants!$B$7 ,IF(AND(T136,U136,W136,ISNUMBER(Z136)),IF($AL$6=0,Constants!$B$10,Constants!$B$10*AL136/$AL$6), 0),"")</f>
        <v/>
      </c>
      <c r="AO136" s="63" t="str">
        <f aca="false">IF(AN136&lt;&gt;"", AN136*AG136,"")</f>
        <v/>
      </c>
      <c r="AP136" s="63" t="str">
        <f aca="false">IF($AE136=Constants!$B$7,IF($AP$6=0,Constants!$B$8,Constants!$B$8*AB136/$AP$6),"")</f>
        <v/>
      </c>
      <c r="AQ136" s="63" t="str">
        <f aca="false">IF($AE136&lt;&gt;Constants!$B$7,$AE136,AK136+AO136+AP136)</f>
        <v/>
      </c>
      <c r="AR136" s="63" t="str">
        <f aca="false">IF(ISBLANK($C136),"",IF($AE136=Constants!$B$7,RANK(AQ136,$AQ$8:$AQ$507),$AE136))</f>
        <v/>
      </c>
      <c r="AS136" s="63" t="str">
        <f aca="false">IF(ISBLANK($C136), "",AK136)</f>
        <v/>
      </c>
      <c r="AT136" s="63" t="str">
        <f aca="false">IF(ISBLANK($C136),"",IF($AE136=Constants!$B$7,RANK(AS136,AS$8:AS$507),$AE136))</f>
        <v/>
      </c>
      <c r="AU136" s="63" t="str">
        <f aca="false">IF(ISBLANK($C136), "",AP136)</f>
        <v/>
      </c>
      <c r="AV136" s="63" t="str">
        <f aca="false">IF(ISBLANK($C136),"",IF($AE136=Constants!$B$7,RANK(AU136,AU$8:AU$507),$AE136))</f>
        <v/>
      </c>
      <c r="AW136" s="63" t="str">
        <f aca="false">IF(ISBLANK($C136), "",AC136)</f>
        <v/>
      </c>
      <c r="AX136" s="63" t="str">
        <f aca="false">IF(ISBLANK($C136),"",
IF($AE136=Constants!$B$7,
  COUNTIFS($AR$8:$AR$507,"&lt;"&amp;$AR136)
  + COUNTIFS($AR$8:$AR$507,$AR136,$AT$8:$AT$507,"&lt;"&amp;$AT136)
  + COUNTIFS($AR$8:$AR$507,$AR136,$AT$8:$AT$507,$AT136,$AV$8:$AV$507,"&lt;"&amp;$AV136)
  + COUNTIFS($AR$8:$AR$507,$AR136,$AT$8:$AT$507,$AT136,$AV$8:$AV$507,$AV136,$AW$8:$AW$507,"&lt;"&amp;$AW136)
  + 1,
$AE136))</f>
        <v/>
      </c>
      <c r="AY136" s="63" t="str">
        <f aca="false">IF(ISBLANK(C136),"",IF($AE136=Constants!$B$7, AR136-AX136,$AE136))</f>
        <v/>
      </c>
      <c r="AZ136" s="67"/>
      <c r="BA136" s="81" t="str">
        <f aca="false">IF(ISBLANK($C136),"",TRIM(AI136&amp;" "&amp;AM136))</f>
        <v/>
      </c>
      <c r="BB136" s="69" t="str">
        <f aca="false">IF(ISBLANK($C136),"",IF($AE136&lt;&gt;Constants!$B$7, $AE136 ,AQ136))</f>
        <v/>
      </c>
      <c r="BC136" s="70" t="str">
        <f aca="false">IF(ISBLANK($C136),"",IF($AE136&lt;&gt;Constants!$B$7, $AE136 ,AF136))</f>
        <v/>
      </c>
      <c r="BD136" s="71" t="str">
        <f aca="false">IF(ISBLANK(C136),"",AY136)</f>
        <v/>
      </c>
      <c r="BE136" s="71" t="str">
        <f aca="false">IF(ISBLANK(C136),"",AX136)</f>
        <v/>
      </c>
      <c r="BF136" s="72" t="str">
        <f aca="false">IF(ISBLANK(C136),"",IFERROR(_xlfn.SWITCH(BE136, Constants!$B$4, COUNTA($C$8:$C635)+2, Constants!$B$5, COUNTA($C$8:$C635)+1, Constants!$B$6, COUNTA($C$8:$C635)),BE136))</f>
        <v/>
      </c>
      <c r="BG136" s="5"/>
      <c r="BH136" s="73" t="n">
        <f aca="false">IF(OR(ISNUMBER(BE136),BE136="DQ",BE136="P",BE136="NS"),
    1,
    0
)</f>
        <v>0</v>
      </c>
      <c r="BI136" s="73" t="n">
        <v>129</v>
      </c>
      <c r="BJ136" s="73" t="str">
        <f aca="false">IF(ISBLANK($C136),
    "",
   BF136+ROW($B136)/1000
)</f>
        <v/>
      </c>
      <c r="BK136" s="73" t="str">
        <f aca="false">IF(ISNUMBER(BJ136), RANK(BJ136,BJ$8:BJ$507,1), "")</f>
        <v/>
      </c>
      <c r="BL136" s="73" t="str">
        <f aca="false">IF(ISBLANK($C136),
    "",
    $B136
)</f>
        <v/>
      </c>
      <c r="BM136" s="73" t="str">
        <f aca="false">IF(ISBLANK($C136),
    "",
    $C136
)</f>
        <v/>
      </c>
      <c r="BN136" s="73" t="str">
        <f aca="false">IF(ISBLANK($C136),
    "",
    $D136
)</f>
        <v/>
      </c>
      <c r="BO136" s="74" t="str">
        <f aca="false">BC136</f>
        <v/>
      </c>
      <c r="BP136" s="75" t="str">
        <f aca="false">BB136</f>
        <v/>
      </c>
      <c r="BQ136" s="73" t="str">
        <f aca="false">IF(ISBLANK($C136),
    "",
    BE136
)</f>
        <v/>
      </c>
      <c r="BR136" s="76" t="str">
        <f aca="false">IF(BI136&gt;BH$7,
    "",
    VLOOKUP(BI136,BK$8:BQ635,7,FALSE())
)</f>
        <v/>
      </c>
      <c r="BS136" s="77" t="str">
        <f aca="false">IF(BI136&gt;BH$7,
    "",
    VLOOKUP(BI136,BK$8:BQ635,2,FALSE())
)</f>
        <v/>
      </c>
      <c r="BT136" s="77" t="str">
        <f aca="false">IF(BI136&gt;BH$7,
    "",
    VLOOKUP(BI136,BK$8:BQ635,3,FALSE())
)</f>
        <v/>
      </c>
      <c r="BU136" s="77" t="str">
        <f aca="false">IF(BI136&gt;BH$7,
    "",
    VLOOKUP(BI136,BK$8:BQ635,4,FALSE())
)</f>
        <v/>
      </c>
      <c r="BV136" s="77" t="str">
        <f aca="false">IF(BI136&gt;BH$7,
    "",
    VLOOKUP(BI136,BK$8:BQ635,5,FALSE())
)</f>
        <v/>
      </c>
      <c r="BW136" s="78" t="str">
        <f aca="false">IF(BI136&gt;BH$7,
    "",
    VLOOKUP(BI136,BK$8:BQ635,6,FALSE())
)</f>
        <v/>
      </c>
      <c r="BX136" s="50"/>
    </row>
    <row r="137" customFormat="false" ht="15.75" hidden="false" customHeight="false" outlineLevel="0" collapsed="false">
      <c r="A137" s="5"/>
      <c r="B137" s="122"/>
      <c r="C137" s="123"/>
      <c r="D137" s="112"/>
      <c r="E137" s="116"/>
      <c r="F137" s="116"/>
      <c r="G137" s="88"/>
      <c r="H137" s="89"/>
      <c r="I137" s="125"/>
      <c r="J137" s="125"/>
      <c r="K137" s="125"/>
      <c r="L137" s="91"/>
      <c r="M137" s="91"/>
      <c r="N137" s="91"/>
      <c r="O137" s="92"/>
      <c r="P137" s="93"/>
      <c r="Q137" s="125"/>
      <c r="R137" s="95"/>
      <c r="S137" s="96"/>
      <c r="T137" s="96" t="str">
        <f aca="false">IF(ISBLANK($C137),"",IF(G137=Constants!$B$2, TRUE(), IF(G137=Constants!$B$3, FALSE(), TRUE())))</f>
        <v/>
      </c>
      <c r="U137" s="96" t="str">
        <f aca="false">IF(ISBLANK($C137),"",IF(H137=Constants!$B$2, TRUE(), IF(H137=Constants!$B$3, FALSE(), TRUE())))</f>
        <v/>
      </c>
      <c r="V137" s="96" t="str">
        <f aca="false">IF(ISBLANK($C137),"",IF(I137=Constants!$B$2, TRUE(), IF(I137=Constants!$B$3, FALSE(), TRUE())))</f>
        <v/>
      </c>
      <c r="W137" s="96" t="str">
        <f aca="false">IF(ISBLANK($C137),"",IF(J137=Constants!$B$2, TRUE(), IF(J137=Constants!$B$3, FALSE(), TRUE())))</f>
        <v/>
      </c>
      <c r="X137" s="97" t="str">
        <f aca="false">IF(ISBLANK($C137),"",IF(K137=Constants!$B$2, TRUE(), IF(K137=Constants!$B$3, FALSE(), TRUE())))</f>
        <v/>
      </c>
      <c r="Y137" s="98" t="str">
        <f aca="false">IF(ISBLANK($C137),"",IF(ISNUMBER(L137), L137, ""))</f>
        <v/>
      </c>
      <c r="Z137" s="98" t="str">
        <f aca="false">IF(ISBLANK($C137),"",IF(ISNUMBER(M137), M137, ""))</f>
        <v/>
      </c>
      <c r="AA137" s="98" t="str">
        <f aca="false">IF(ISBLANK($C137),"",IF(ISNUMBER(N137), N137, ""))</f>
        <v/>
      </c>
      <c r="AB137" s="99" t="str">
        <f aca="false">IF(ISBLANK($C137),"",IF(ISNUMBER(O137), O137, ""))</f>
        <v/>
      </c>
      <c r="AC137" s="99" t="str">
        <f aca="false">IF(ISBLANK($C137),"",IF(ISNUMBER(P137), P137, Constants!$B$13))</f>
        <v/>
      </c>
      <c r="AD137" s="96" t="str">
        <f aca="false">IF(ISBLANK($C137),"",IF(Q137=Constants!$B$2, TRUE(), IF(Q137=Constants!$B$3, FALSE(), FALSE())))</f>
        <v/>
      </c>
      <c r="AE137" s="96" t="str">
        <f aca="false">IF(ISBLANK(C137), "", IF(AD137, Constants!$B$4,IF(COUNTA(G137:O137)=0, Constants!$B$5, Constants!$B$7)))</f>
        <v/>
      </c>
      <c r="AF137" s="96" t="str">
        <f aca="false">IF(ISBLANK($C137), "",IF($AE137=Constants!$B$7,1,$AE137))</f>
        <v/>
      </c>
      <c r="AG137" s="96" t="str">
        <f aca="false">IF($AE137=Constants!$B$7,IF(V137, 1, Constants!$B$11) * IF(X137, 1, Constants!$B$12),"")</f>
        <v/>
      </c>
      <c r="AH137" s="96" t="str">
        <f aca="false">IF(AND($AE137=Constants!$B$7, T137, U137) ,MAX(0, $AA137-$Y137),"")</f>
        <v/>
      </c>
      <c r="AI137" s="96" t="str">
        <f aca="false">IF(ISERROR(AH137),$AI$6,"")</f>
        <v/>
      </c>
      <c r="AJ137" s="96" t="str">
        <f aca="false">IF($AE137=Constants!$B$7,IF(AND(T137,U137,W137),IF($AH$6=0,Constants!$B$9,Constants!$B$9*AH137/$AH$6), 0),"")</f>
        <v/>
      </c>
      <c r="AK137" s="96" t="str">
        <f aca="false">IF(AJ137&lt;&gt;"", AJ137*AG137,"")</f>
        <v/>
      </c>
      <c r="AL137" s="96" t="str">
        <f aca="false">IF(AND($AE137=Constants!$B$7, T137, U137) ,IF($Z137="", "", MAX(0,1-ABS($AA137-$Z137)/$AA137)),"")</f>
        <v/>
      </c>
      <c r="AM137" s="96" t="str">
        <f aca="false">IF(AND(NOT(ISERROR(AH137)),ISERROR(AL137)),$AM$6,"")</f>
        <v/>
      </c>
      <c r="AN137" s="96" t="str">
        <f aca="false">IF($AE137=Constants!$B$7 ,IF(AND(T137,U137,W137,ISNUMBER(Z137)),IF($AL$6=0,Constants!$B$10,Constants!$B$10*AL137/$AL$6), 0),"")</f>
        <v/>
      </c>
      <c r="AO137" s="96" t="str">
        <f aca="false">IF(AN137&lt;&gt;"", AN137*AG137,"")</f>
        <v/>
      </c>
      <c r="AP137" s="96" t="str">
        <f aca="false">IF($AE137=Constants!$B$7,IF($AP$6=0,Constants!$B$8,Constants!$B$8*AB137/$AP$6),"")</f>
        <v/>
      </c>
      <c r="AQ137" s="96" t="str">
        <f aca="false">IF($AE137&lt;&gt;Constants!$B$7,$AE137,AK137+AO137+AP137)</f>
        <v/>
      </c>
      <c r="AR137" s="96" t="str">
        <f aca="false">IF(ISBLANK($C137),"",IF($AE137=Constants!$B$7,RANK(AQ137,$AQ$8:$AQ$507),$AE137))</f>
        <v/>
      </c>
      <c r="AS137" s="96" t="str">
        <f aca="false">IF(ISBLANK($C137), "",AK137)</f>
        <v/>
      </c>
      <c r="AT137" s="96" t="str">
        <f aca="false">IF(ISBLANK($C137),"",IF($AE137=Constants!$B$7,RANK(AS137,AS$8:AS$507),$AE137))</f>
        <v/>
      </c>
      <c r="AU137" s="96" t="str">
        <f aca="false">IF(ISBLANK($C137), "",AP137)</f>
        <v/>
      </c>
      <c r="AV137" s="96" t="str">
        <f aca="false">IF(ISBLANK($C137),"",IF($AE137=Constants!$B$7,RANK(AU137,AU$8:AU$507),$AE137))</f>
        <v/>
      </c>
      <c r="AW137" s="96" t="str">
        <f aca="false">IF(ISBLANK($C137), "",AC137)</f>
        <v/>
      </c>
      <c r="AX137" s="96" t="str">
        <f aca="false">IF(ISBLANK($C137),"",
IF($AE137=Constants!$B$7,
  COUNTIFS($AR$8:$AR$507,"&lt;"&amp;$AR137)
  + COUNTIFS($AR$8:$AR$507,$AR137,$AT$8:$AT$507,"&lt;"&amp;$AT137)
  + COUNTIFS($AR$8:$AR$507,$AR137,$AT$8:$AT$507,$AT137,$AV$8:$AV$507,"&lt;"&amp;$AV137)
  + COUNTIFS($AR$8:$AR$507,$AR137,$AT$8:$AT$507,$AT137,$AV$8:$AV$507,$AV137,$AW$8:$AW$507,"&lt;"&amp;$AW137)
  + 1,
$AE137))</f>
        <v/>
      </c>
      <c r="AY137" s="96" t="str">
        <f aca="false">IF(ISBLANK(C137),"",IF($AE137=Constants!$B$7, AR137-AX137,$AE137))</f>
        <v/>
      </c>
      <c r="AZ137" s="100"/>
      <c r="BA137" s="101" t="str">
        <f aca="false">IF(ISBLANK($C137),"",TRIM(AI137&amp;" "&amp;AM137))</f>
        <v/>
      </c>
      <c r="BB137" s="102" t="str">
        <f aca="false">IF(ISBLANK($C137),"",IF($AE137&lt;&gt;Constants!$B$7, $AE137 ,AQ137))</f>
        <v/>
      </c>
      <c r="BC137" s="103" t="str">
        <f aca="false">IF(ISBLANK($C137),"",IF($AE137&lt;&gt;Constants!$B$7, $AE137 ,AF137))</f>
        <v/>
      </c>
      <c r="BD137" s="104" t="str">
        <f aca="false">IF(ISBLANK(C137),"",AY137)</f>
        <v/>
      </c>
      <c r="BE137" s="104" t="str">
        <f aca="false">IF(ISBLANK(C137),"",AX137)</f>
        <v/>
      </c>
      <c r="BF137" s="105" t="str">
        <f aca="false">IF(ISBLANK(C137),"",IFERROR(_xlfn.SWITCH(BE137, Constants!$B$4, COUNTA($C$8:$C636)+2, Constants!$B$5, COUNTA($C$8:$C636)+1, Constants!$B$6, COUNTA($C$8:$C636)),BE137))</f>
        <v/>
      </c>
      <c r="BG137" s="5"/>
      <c r="BH137" s="106" t="n">
        <f aca="false">IF(OR(ISNUMBER(BE137),BE137="DQ",BE137="P",BE137="NS"),
    1,
    0
)</f>
        <v>0</v>
      </c>
      <c r="BI137" s="106" t="n">
        <v>130</v>
      </c>
      <c r="BJ137" s="106" t="str">
        <f aca="false">IF(ISBLANK($C137),
    "",
   BF137+ROW($B137)/1000
)</f>
        <v/>
      </c>
      <c r="BK137" s="106" t="str">
        <f aca="false">IF(ISNUMBER(BJ137), RANK(BJ137,BJ$8:BJ$507,1), "")</f>
        <v/>
      </c>
      <c r="BL137" s="106" t="str">
        <f aca="false">IF(ISBLANK($C137),
    "",
    $B137
)</f>
        <v/>
      </c>
      <c r="BM137" s="106" t="str">
        <f aca="false">IF(ISBLANK($C137),
    "",
    $C137
)</f>
        <v/>
      </c>
      <c r="BN137" s="106" t="str">
        <f aca="false">IF(ISBLANK($C137),
    "",
    $D137
)</f>
        <v/>
      </c>
      <c r="BO137" s="107" t="str">
        <f aca="false">BC137</f>
        <v/>
      </c>
      <c r="BP137" s="108" t="str">
        <f aca="false">BB137</f>
        <v/>
      </c>
      <c r="BQ137" s="106" t="str">
        <f aca="false">IF(ISBLANK($C137),
    "",
    BE137
)</f>
        <v/>
      </c>
      <c r="BR137" s="109" t="str">
        <f aca="false">IF(BI137&gt;BH$7,
    "",
    VLOOKUP(BI137,BK$8:BQ636,7,FALSE())
)</f>
        <v/>
      </c>
      <c r="BS137" s="110" t="str">
        <f aca="false">IF(BI137&gt;BH$7,
    "",
    VLOOKUP(BI137,BK$8:BQ636,2,FALSE())
)</f>
        <v/>
      </c>
      <c r="BT137" s="110" t="str">
        <f aca="false">IF(BI137&gt;BH$7,
    "",
    VLOOKUP(BI137,BK$8:BQ636,3,FALSE())
)</f>
        <v/>
      </c>
      <c r="BU137" s="110" t="str">
        <f aca="false">IF(BI137&gt;BH$7,
    "",
    VLOOKUP(BI137,BK$8:BQ636,4,FALSE())
)</f>
        <v/>
      </c>
      <c r="BV137" s="110" t="str">
        <f aca="false">IF(BI137&gt;BH$7,
    "",
    VLOOKUP(BI137,BK$8:BQ636,5,FALSE())
)</f>
        <v/>
      </c>
      <c r="BW137" s="111" t="str">
        <f aca="false">IF(BI137&gt;BH$7,
    "",
    VLOOKUP(BI137,BK$8:BQ636,6,FALSE())
)</f>
        <v/>
      </c>
      <c r="BX137" s="50"/>
    </row>
    <row r="138" customFormat="false" ht="15.75" hidden="false" customHeight="false" outlineLevel="0" collapsed="false">
      <c r="A138" s="5"/>
      <c r="B138" s="122"/>
      <c r="C138" s="123"/>
      <c r="D138" s="112"/>
      <c r="E138" s="116"/>
      <c r="F138" s="116"/>
      <c r="G138" s="88"/>
      <c r="H138" s="89"/>
      <c r="I138" s="125"/>
      <c r="J138" s="125"/>
      <c r="K138" s="125"/>
      <c r="L138" s="91"/>
      <c r="M138" s="91"/>
      <c r="N138" s="91"/>
      <c r="O138" s="92"/>
      <c r="P138" s="93"/>
      <c r="Q138" s="125"/>
      <c r="R138" s="95"/>
      <c r="S138" s="96"/>
      <c r="T138" s="96" t="str">
        <f aca="false">IF(ISBLANK($C138),"",IF(G138=Constants!$B$2, TRUE(), IF(G138=Constants!$B$3, FALSE(), TRUE())))</f>
        <v/>
      </c>
      <c r="U138" s="96" t="str">
        <f aca="false">IF(ISBLANK($C138),"",IF(H138=Constants!$B$2, TRUE(), IF(H138=Constants!$B$3, FALSE(), TRUE())))</f>
        <v/>
      </c>
      <c r="V138" s="96" t="str">
        <f aca="false">IF(ISBLANK($C138),"",IF(I138=Constants!$B$2, TRUE(), IF(I138=Constants!$B$3, FALSE(), TRUE())))</f>
        <v/>
      </c>
      <c r="W138" s="96" t="str">
        <f aca="false">IF(ISBLANK($C138),"",IF(J138=Constants!$B$2, TRUE(), IF(J138=Constants!$B$3, FALSE(), TRUE())))</f>
        <v/>
      </c>
      <c r="X138" s="97" t="str">
        <f aca="false">IF(ISBLANK($C138),"",IF(K138=Constants!$B$2, TRUE(), IF(K138=Constants!$B$3, FALSE(), TRUE())))</f>
        <v/>
      </c>
      <c r="Y138" s="98" t="str">
        <f aca="false">IF(ISBLANK($C138),"",IF(ISNUMBER(L138), L138, ""))</f>
        <v/>
      </c>
      <c r="Z138" s="98" t="str">
        <f aca="false">IF(ISBLANK($C138),"",IF(ISNUMBER(M138), M138, ""))</f>
        <v/>
      </c>
      <c r="AA138" s="98" t="str">
        <f aca="false">IF(ISBLANK($C138),"",IF(ISNUMBER(N138), N138, ""))</f>
        <v/>
      </c>
      <c r="AB138" s="99" t="str">
        <f aca="false">IF(ISBLANK($C138),"",IF(ISNUMBER(O138), O138, ""))</f>
        <v/>
      </c>
      <c r="AC138" s="99" t="str">
        <f aca="false">IF(ISBLANK($C138),"",IF(ISNUMBER(P138), P138, Constants!$B$13))</f>
        <v/>
      </c>
      <c r="AD138" s="96" t="str">
        <f aca="false">IF(ISBLANK($C138),"",IF(Q138=Constants!$B$2, TRUE(), IF(Q138=Constants!$B$3, FALSE(), FALSE())))</f>
        <v/>
      </c>
      <c r="AE138" s="96" t="str">
        <f aca="false">IF(ISBLANK(C138), "", IF(AD138, Constants!$B$4,IF(COUNTA(G138:O138)=0, Constants!$B$5, Constants!$B$7)))</f>
        <v/>
      </c>
      <c r="AF138" s="96" t="str">
        <f aca="false">IF(ISBLANK($C138), "",IF($AE138=Constants!$B$7,1,$AE138))</f>
        <v/>
      </c>
      <c r="AG138" s="96" t="str">
        <f aca="false">IF($AE138=Constants!$B$7,IF(V138, 1, Constants!$B$11) * IF(X138, 1, Constants!$B$12),"")</f>
        <v/>
      </c>
      <c r="AH138" s="96" t="str">
        <f aca="false">IF(AND($AE138=Constants!$B$7, T138, U138) ,MAX(0, $AA138-$Y138),"")</f>
        <v/>
      </c>
      <c r="AI138" s="96" t="str">
        <f aca="false">IF(ISERROR(AH138),$AI$6,"")</f>
        <v/>
      </c>
      <c r="AJ138" s="96" t="str">
        <f aca="false">IF($AE138=Constants!$B$7,IF(AND(T138,U138,W138),IF($AH$6=0,Constants!$B$9,Constants!$B$9*AH138/$AH$6), 0),"")</f>
        <v/>
      </c>
      <c r="AK138" s="96" t="str">
        <f aca="false">IF(AJ138&lt;&gt;"", AJ138*AG138,"")</f>
        <v/>
      </c>
      <c r="AL138" s="96" t="str">
        <f aca="false">IF(AND($AE138=Constants!$B$7, T138, U138) ,IF($Z138="", "", MAX(0,1-ABS($AA138-$Z138)/$AA138)),"")</f>
        <v/>
      </c>
      <c r="AM138" s="96" t="str">
        <f aca="false">IF(AND(NOT(ISERROR(AH138)),ISERROR(AL138)),$AM$6,"")</f>
        <v/>
      </c>
      <c r="AN138" s="96" t="str">
        <f aca="false">IF($AE138=Constants!$B$7 ,IF(AND(T138,U138,W138,ISNUMBER(Z138)),IF($AL$6=0,Constants!$B$10,Constants!$B$10*AL138/$AL$6), 0),"")</f>
        <v/>
      </c>
      <c r="AO138" s="96" t="str">
        <f aca="false">IF(AN138&lt;&gt;"", AN138*AG138,"")</f>
        <v/>
      </c>
      <c r="AP138" s="96" t="str">
        <f aca="false">IF($AE138=Constants!$B$7,IF($AP$6=0,Constants!$B$8,Constants!$B$8*AB138/$AP$6),"")</f>
        <v/>
      </c>
      <c r="AQ138" s="96" t="str">
        <f aca="false">IF($AE138&lt;&gt;Constants!$B$7,$AE138,AK138+AO138+AP138)</f>
        <v/>
      </c>
      <c r="AR138" s="96" t="str">
        <f aca="false">IF(ISBLANK($C138),"",IF($AE138=Constants!$B$7,RANK(AQ138,$AQ$8:$AQ$507),$AE138))</f>
        <v/>
      </c>
      <c r="AS138" s="96" t="str">
        <f aca="false">IF(ISBLANK($C138), "",AK138)</f>
        <v/>
      </c>
      <c r="AT138" s="96" t="str">
        <f aca="false">IF(ISBLANK($C138),"",IF($AE138=Constants!$B$7,RANK(AS138,AS$8:AS$507),$AE138))</f>
        <v/>
      </c>
      <c r="AU138" s="96" t="str">
        <f aca="false">IF(ISBLANK($C138), "",AP138)</f>
        <v/>
      </c>
      <c r="AV138" s="96" t="str">
        <f aca="false">IF(ISBLANK($C138),"",IF($AE138=Constants!$B$7,RANK(AU138,AU$8:AU$507),$AE138))</f>
        <v/>
      </c>
      <c r="AW138" s="96" t="str">
        <f aca="false">IF(ISBLANK($C138), "",AC138)</f>
        <v/>
      </c>
      <c r="AX138" s="96" t="str">
        <f aca="false">IF(ISBLANK($C138),"",
IF($AE138=Constants!$B$7,
  COUNTIFS($AR$8:$AR$507,"&lt;"&amp;$AR138)
  + COUNTIFS($AR$8:$AR$507,$AR138,$AT$8:$AT$507,"&lt;"&amp;$AT138)
  + COUNTIFS($AR$8:$AR$507,$AR138,$AT$8:$AT$507,$AT138,$AV$8:$AV$507,"&lt;"&amp;$AV138)
  + COUNTIFS($AR$8:$AR$507,$AR138,$AT$8:$AT$507,$AT138,$AV$8:$AV$507,$AV138,$AW$8:$AW$507,"&lt;"&amp;$AW138)
  + 1,
$AE138))</f>
        <v/>
      </c>
      <c r="AY138" s="96" t="str">
        <f aca="false">IF(ISBLANK(C138),"",IF($AE138=Constants!$B$7, AR138-AX138,$AE138))</f>
        <v/>
      </c>
      <c r="AZ138" s="100"/>
      <c r="BA138" s="101" t="str">
        <f aca="false">IF(ISBLANK($C138),"",TRIM(AI138&amp;" "&amp;AM138))</f>
        <v/>
      </c>
      <c r="BB138" s="102" t="str">
        <f aca="false">IF(ISBLANK($C138),"",IF($AE138&lt;&gt;Constants!$B$7, $AE138 ,AQ138))</f>
        <v/>
      </c>
      <c r="BC138" s="103" t="str">
        <f aca="false">IF(ISBLANK($C138),"",IF($AE138&lt;&gt;Constants!$B$7, $AE138 ,AF138))</f>
        <v/>
      </c>
      <c r="BD138" s="104" t="str">
        <f aca="false">IF(ISBLANK(C138),"",AY138)</f>
        <v/>
      </c>
      <c r="BE138" s="104" t="str">
        <f aca="false">IF(ISBLANK(C138),"",AX138)</f>
        <v/>
      </c>
      <c r="BF138" s="105" t="str">
        <f aca="false">IF(ISBLANK(C138),"",IFERROR(_xlfn.SWITCH(BE138, Constants!$B$4, COUNTA($C$8:$C637)+2, Constants!$B$5, COUNTA($C$8:$C637)+1, Constants!$B$6, COUNTA($C$8:$C637)),BE138))</f>
        <v/>
      </c>
      <c r="BG138" s="5"/>
      <c r="BH138" s="106" t="n">
        <f aca="false">IF(OR(ISNUMBER(BE138),BE138="DQ",BE138="P",BE138="NS"),
    1,
    0
)</f>
        <v>0</v>
      </c>
      <c r="BI138" s="106" t="n">
        <v>131</v>
      </c>
      <c r="BJ138" s="106" t="str">
        <f aca="false">IF(ISBLANK($C138),
    "",
   BF138+ROW($B138)/1000
)</f>
        <v/>
      </c>
      <c r="BK138" s="106" t="str">
        <f aca="false">IF(ISNUMBER(BJ138), RANK(BJ138,BJ$8:BJ$507,1), "")</f>
        <v/>
      </c>
      <c r="BL138" s="106" t="str">
        <f aca="false">IF(ISBLANK($C138),
    "",
    $B138
)</f>
        <v/>
      </c>
      <c r="BM138" s="106" t="str">
        <f aca="false">IF(ISBLANK($C138),
    "",
    $C138
)</f>
        <v/>
      </c>
      <c r="BN138" s="106" t="str">
        <f aca="false">IF(ISBLANK($C138),
    "",
    $D138
)</f>
        <v/>
      </c>
      <c r="BO138" s="107" t="str">
        <f aca="false">BC138</f>
        <v/>
      </c>
      <c r="BP138" s="108" t="str">
        <f aca="false">BB138</f>
        <v/>
      </c>
      <c r="BQ138" s="106" t="str">
        <f aca="false">IF(ISBLANK($C138),
    "",
    BE138
)</f>
        <v/>
      </c>
      <c r="BR138" s="109" t="str">
        <f aca="false">IF(BI138&gt;BH$7,
    "",
    VLOOKUP(BI138,BK$8:BQ637,7,FALSE())
)</f>
        <v/>
      </c>
      <c r="BS138" s="110" t="str">
        <f aca="false">IF(BI138&gt;BH$7,
    "",
    VLOOKUP(BI138,BK$8:BQ637,2,FALSE())
)</f>
        <v/>
      </c>
      <c r="BT138" s="110" t="str">
        <f aca="false">IF(BI138&gt;BH$7,
    "",
    VLOOKUP(BI138,BK$8:BQ637,3,FALSE())
)</f>
        <v/>
      </c>
      <c r="BU138" s="110" t="str">
        <f aca="false">IF(BI138&gt;BH$7,
    "",
    VLOOKUP(BI138,BK$8:BQ637,4,FALSE())
)</f>
        <v/>
      </c>
      <c r="BV138" s="110" t="str">
        <f aca="false">IF(BI138&gt;BH$7,
    "",
    VLOOKUP(BI138,BK$8:BQ637,5,FALSE())
)</f>
        <v/>
      </c>
      <c r="BW138" s="111" t="str">
        <f aca="false">IF(BI138&gt;BH$7,
    "",
    VLOOKUP(BI138,BK$8:BQ637,6,FALSE())
)</f>
        <v/>
      </c>
      <c r="BX138" s="50"/>
    </row>
    <row r="139" customFormat="false" ht="15.75" hidden="false" customHeight="false" outlineLevel="0" collapsed="false">
      <c r="A139" s="5"/>
      <c r="B139" s="122"/>
      <c r="C139" s="123"/>
      <c r="D139" s="112"/>
      <c r="E139" s="116"/>
      <c r="F139" s="116"/>
      <c r="G139" s="88"/>
      <c r="H139" s="89"/>
      <c r="I139" s="125"/>
      <c r="J139" s="125"/>
      <c r="K139" s="125"/>
      <c r="L139" s="91"/>
      <c r="M139" s="91"/>
      <c r="N139" s="91"/>
      <c r="O139" s="92"/>
      <c r="P139" s="93"/>
      <c r="Q139" s="125"/>
      <c r="R139" s="95"/>
      <c r="S139" s="96"/>
      <c r="T139" s="96" t="str">
        <f aca="false">IF(ISBLANK($C139),"",IF(G139=Constants!$B$2, TRUE(), IF(G139=Constants!$B$3, FALSE(), TRUE())))</f>
        <v/>
      </c>
      <c r="U139" s="96" t="str">
        <f aca="false">IF(ISBLANK($C139),"",IF(H139=Constants!$B$2, TRUE(), IF(H139=Constants!$B$3, FALSE(), TRUE())))</f>
        <v/>
      </c>
      <c r="V139" s="96" t="str">
        <f aca="false">IF(ISBLANK($C139),"",IF(I139=Constants!$B$2, TRUE(), IF(I139=Constants!$B$3, FALSE(), TRUE())))</f>
        <v/>
      </c>
      <c r="W139" s="96" t="str">
        <f aca="false">IF(ISBLANK($C139),"",IF(J139=Constants!$B$2, TRUE(), IF(J139=Constants!$B$3, FALSE(), TRUE())))</f>
        <v/>
      </c>
      <c r="X139" s="97" t="str">
        <f aca="false">IF(ISBLANK($C139),"",IF(K139=Constants!$B$2, TRUE(), IF(K139=Constants!$B$3, FALSE(), TRUE())))</f>
        <v/>
      </c>
      <c r="Y139" s="98" t="str">
        <f aca="false">IF(ISBLANK($C139),"",IF(ISNUMBER(L139), L139, ""))</f>
        <v/>
      </c>
      <c r="Z139" s="98" t="str">
        <f aca="false">IF(ISBLANK($C139),"",IF(ISNUMBER(M139), M139, ""))</f>
        <v/>
      </c>
      <c r="AA139" s="98" t="str">
        <f aca="false">IF(ISBLANK($C139),"",IF(ISNUMBER(N139), N139, ""))</f>
        <v/>
      </c>
      <c r="AB139" s="99" t="str">
        <f aca="false">IF(ISBLANK($C139),"",IF(ISNUMBER(O139), O139, ""))</f>
        <v/>
      </c>
      <c r="AC139" s="99" t="str">
        <f aca="false">IF(ISBLANK($C139),"",IF(ISNUMBER(P139), P139, Constants!$B$13))</f>
        <v/>
      </c>
      <c r="AD139" s="96" t="str">
        <f aca="false">IF(ISBLANK($C139),"",IF(Q139=Constants!$B$2, TRUE(), IF(Q139=Constants!$B$3, FALSE(), FALSE())))</f>
        <v/>
      </c>
      <c r="AE139" s="96" t="str">
        <f aca="false">IF(ISBLANK(C139), "", IF(AD139, Constants!$B$4,IF(COUNTA(G139:O139)=0, Constants!$B$5, Constants!$B$7)))</f>
        <v/>
      </c>
      <c r="AF139" s="96" t="str">
        <f aca="false">IF(ISBLANK($C139), "",IF($AE139=Constants!$B$7,1,$AE139))</f>
        <v/>
      </c>
      <c r="AG139" s="96" t="str">
        <f aca="false">IF($AE139=Constants!$B$7,IF(V139, 1, Constants!$B$11) * IF(X139, 1, Constants!$B$12),"")</f>
        <v/>
      </c>
      <c r="AH139" s="96" t="str">
        <f aca="false">IF(AND($AE139=Constants!$B$7, T139, U139) ,MAX(0, $AA139-$Y139),"")</f>
        <v/>
      </c>
      <c r="AI139" s="96" t="str">
        <f aca="false">IF(ISERROR(AH139),$AI$6,"")</f>
        <v/>
      </c>
      <c r="AJ139" s="96" t="str">
        <f aca="false">IF($AE139=Constants!$B$7,IF(AND(T139,U139,W139),IF($AH$6=0,Constants!$B$9,Constants!$B$9*AH139/$AH$6), 0),"")</f>
        <v/>
      </c>
      <c r="AK139" s="96" t="str">
        <f aca="false">IF(AJ139&lt;&gt;"", AJ139*AG139,"")</f>
        <v/>
      </c>
      <c r="AL139" s="96" t="str">
        <f aca="false">IF(AND($AE139=Constants!$B$7, T139, U139) ,IF($Z139="", "", MAX(0,1-ABS($AA139-$Z139)/$AA139)),"")</f>
        <v/>
      </c>
      <c r="AM139" s="96" t="str">
        <f aca="false">IF(AND(NOT(ISERROR(AH139)),ISERROR(AL139)),$AM$6,"")</f>
        <v/>
      </c>
      <c r="AN139" s="96" t="str">
        <f aca="false">IF($AE139=Constants!$B$7 ,IF(AND(T139,U139,W139,ISNUMBER(Z139)),IF($AL$6=0,Constants!$B$10,Constants!$B$10*AL139/$AL$6), 0),"")</f>
        <v/>
      </c>
      <c r="AO139" s="96" t="str">
        <f aca="false">IF(AN139&lt;&gt;"", AN139*AG139,"")</f>
        <v/>
      </c>
      <c r="AP139" s="96" t="str">
        <f aca="false">IF($AE139=Constants!$B$7,IF($AP$6=0,Constants!$B$8,Constants!$B$8*AB139/$AP$6),"")</f>
        <v/>
      </c>
      <c r="AQ139" s="96" t="str">
        <f aca="false">IF($AE139&lt;&gt;Constants!$B$7,$AE139,AK139+AO139+AP139)</f>
        <v/>
      </c>
      <c r="AR139" s="96" t="str">
        <f aca="false">IF(ISBLANK($C139),"",IF($AE139=Constants!$B$7,RANK(AQ139,$AQ$8:$AQ$507),$AE139))</f>
        <v/>
      </c>
      <c r="AS139" s="96" t="str">
        <f aca="false">IF(ISBLANK($C139), "",AK139)</f>
        <v/>
      </c>
      <c r="AT139" s="96" t="str">
        <f aca="false">IF(ISBLANK($C139),"",IF($AE139=Constants!$B$7,RANK(AS139,AS$8:AS$507),$AE139))</f>
        <v/>
      </c>
      <c r="AU139" s="96" t="str">
        <f aca="false">IF(ISBLANK($C139), "",AP139)</f>
        <v/>
      </c>
      <c r="AV139" s="96" t="str">
        <f aca="false">IF(ISBLANK($C139),"",IF($AE139=Constants!$B$7,RANK(AU139,AU$8:AU$507),$AE139))</f>
        <v/>
      </c>
      <c r="AW139" s="96" t="str">
        <f aca="false">IF(ISBLANK($C139), "",AC139)</f>
        <v/>
      </c>
      <c r="AX139" s="96" t="str">
        <f aca="false">IF(ISBLANK($C139),"",
IF($AE139=Constants!$B$7,
  COUNTIFS($AR$8:$AR$507,"&lt;"&amp;$AR139)
  + COUNTIFS($AR$8:$AR$507,$AR139,$AT$8:$AT$507,"&lt;"&amp;$AT139)
  + COUNTIFS($AR$8:$AR$507,$AR139,$AT$8:$AT$507,$AT139,$AV$8:$AV$507,"&lt;"&amp;$AV139)
  + COUNTIFS($AR$8:$AR$507,$AR139,$AT$8:$AT$507,$AT139,$AV$8:$AV$507,$AV139,$AW$8:$AW$507,"&lt;"&amp;$AW139)
  + 1,
$AE139))</f>
        <v/>
      </c>
      <c r="AY139" s="96" t="str">
        <f aca="false">IF(ISBLANK(C139),"",IF($AE139=Constants!$B$7, AR139-AX139,$AE139))</f>
        <v/>
      </c>
      <c r="AZ139" s="100"/>
      <c r="BA139" s="101" t="str">
        <f aca="false">IF(ISBLANK($C139),"",TRIM(AI139&amp;" "&amp;AM139))</f>
        <v/>
      </c>
      <c r="BB139" s="102" t="str">
        <f aca="false">IF(ISBLANK($C139),"",IF($AE139&lt;&gt;Constants!$B$7, $AE139 ,AQ139))</f>
        <v/>
      </c>
      <c r="BC139" s="103" t="str">
        <f aca="false">IF(ISBLANK($C139),"",IF($AE139&lt;&gt;Constants!$B$7, $AE139 ,AF139))</f>
        <v/>
      </c>
      <c r="BD139" s="104" t="str">
        <f aca="false">IF(ISBLANK(C139),"",AY139)</f>
        <v/>
      </c>
      <c r="BE139" s="104" t="str">
        <f aca="false">IF(ISBLANK(C139),"",AX139)</f>
        <v/>
      </c>
      <c r="BF139" s="105" t="str">
        <f aca="false">IF(ISBLANK(C139),"",IFERROR(_xlfn.SWITCH(BE139, Constants!$B$4, COUNTA($C$8:$C638)+2, Constants!$B$5, COUNTA($C$8:$C638)+1, Constants!$B$6, COUNTA($C$8:$C638)),BE139))</f>
        <v/>
      </c>
      <c r="BG139" s="5"/>
      <c r="BH139" s="106" t="n">
        <f aca="false">IF(OR(ISNUMBER(BE139),BE139="DQ",BE139="P",BE139="NS"),
    1,
    0
)</f>
        <v>0</v>
      </c>
      <c r="BI139" s="106" t="n">
        <v>132</v>
      </c>
      <c r="BJ139" s="106" t="str">
        <f aca="false">IF(ISBLANK($C139),
    "",
   BF139+ROW($B139)/1000
)</f>
        <v/>
      </c>
      <c r="BK139" s="106" t="str">
        <f aca="false">IF(ISNUMBER(BJ139), RANK(BJ139,BJ$8:BJ$507,1), "")</f>
        <v/>
      </c>
      <c r="BL139" s="106" t="str">
        <f aca="false">IF(ISBLANK($C139),
    "",
    $B139
)</f>
        <v/>
      </c>
      <c r="BM139" s="106" t="str">
        <f aca="false">IF(ISBLANK($C139),
    "",
    $C139
)</f>
        <v/>
      </c>
      <c r="BN139" s="106" t="str">
        <f aca="false">IF(ISBLANK($C139),
    "",
    $D139
)</f>
        <v/>
      </c>
      <c r="BO139" s="107" t="str">
        <f aca="false">BC139</f>
        <v/>
      </c>
      <c r="BP139" s="108" t="str">
        <f aca="false">BB139</f>
        <v/>
      </c>
      <c r="BQ139" s="106" t="str">
        <f aca="false">IF(ISBLANK($C139),
    "",
    BE139
)</f>
        <v/>
      </c>
      <c r="BR139" s="109" t="str">
        <f aca="false">IF(BI139&gt;BH$7,
    "",
    VLOOKUP(BI139,BK$8:BQ638,7,FALSE())
)</f>
        <v/>
      </c>
      <c r="BS139" s="110" t="str">
        <f aca="false">IF(BI139&gt;BH$7,
    "",
    VLOOKUP(BI139,BK$8:BQ638,2,FALSE())
)</f>
        <v/>
      </c>
      <c r="BT139" s="110" t="str">
        <f aca="false">IF(BI139&gt;BH$7,
    "",
    VLOOKUP(BI139,BK$8:BQ638,3,FALSE())
)</f>
        <v/>
      </c>
      <c r="BU139" s="110" t="str">
        <f aca="false">IF(BI139&gt;BH$7,
    "",
    VLOOKUP(BI139,BK$8:BQ638,4,FALSE())
)</f>
        <v/>
      </c>
      <c r="BV139" s="110" t="str">
        <f aca="false">IF(BI139&gt;BH$7,
    "",
    VLOOKUP(BI139,BK$8:BQ638,5,FALSE())
)</f>
        <v/>
      </c>
      <c r="BW139" s="111" t="str">
        <f aca="false">IF(BI139&gt;BH$7,
    "",
    VLOOKUP(BI139,BK$8:BQ638,6,FALSE())
)</f>
        <v/>
      </c>
      <c r="BX139" s="50"/>
    </row>
    <row r="140" customFormat="false" ht="15.75" hidden="false" customHeight="false" outlineLevel="0" collapsed="false">
      <c r="A140" s="5"/>
      <c r="B140" s="126"/>
      <c r="C140" s="52"/>
      <c r="D140" s="53"/>
      <c r="E140" s="120"/>
      <c r="F140" s="120"/>
      <c r="G140" s="55"/>
      <c r="H140" s="56"/>
      <c r="I140" s="80"/>
      <c r="J140" s="80"/>
      <c r="K140" s="80"/>
      <c r="L140" s="58"/>
      <c r="M140" s="58"/>
      <c r="N140" s="58"/>
      <c r="O140" s="59"/>
      <c r="P140" s="60"/>
      <c r="Q140" s="80"/>
      <c r="R140" s="62"/>
      <c r="S140" s="63"/>
      <c r="T140" s="63" t="str">
        <f aca="false">IF(ISBLANK($C140),"",IF(G140=Constants!$B$2, TRUE(), IF(G140=Constants!$B$3, FALSE(), TRUE())))</f>
        <v/>
      </c>
      <c r="U140" s="63" t="str">
        <f aca="false">IF(ISBLANK($C140),"",IF(H140=Constants!$B$2, TRUE(), IF(H140=Constants!$B$3, FALSE(), TRUE())))</f>
        <v/>
      </c>
      <c r="V140" s="63" t="str">
        <f aca="false">IF(ISBLANK($C140),"",IF(I140=Constants!$B$2, TRUE(), IF(I140=Constants!$B$3, FALSE(), TRUE())))</f>
        <v/>
      </c>
      <c r="W140" s="63" t="str">
        <f aca="false">IF(ISBLANK($C140),"",IF(J140=Constants!$B$2, TRUE(), IF(J140=Constants!$B$3, FALSE(), TRUE())))</f>
        <v/>
      </c>
      <c r="X140" s="63" t="str">
        <f aca="false">IF(ISBLANK($C140),"",IF(K140=Constants!$B$2, TRUE(), IF(K140=Constants!$B$3, FALSE(), TRUE())))</f>
        <v/>
      </c>
      <c r="Y140" s="65" t="str">
        <f aca="false">IF(ISBLANK($C140),"",IF(ISNUMBER(L140), L140, ""))</f>
        <v/>
      </c>
      <c r="Z140" s="65" t="str">
        <f aca="false">IF(ISBLANK($C140),"",IF(ISNUMBER(M140), M140, ""))</f>
        <v/>
      </c>
      <c r="AA140" s="65" t="str">
        <f aca="false">IF(ISBLANK($C140),"",IF(ISNUMBER(N140), N140, ""))</f>
        <v/>
      </c>
      <c r="AB140" s="66" t="str">
        <f aca="false">IF(ISBLANK($C140),"",IF(ISNUMBER(O140), O140, ""))</f>
        <v/>
      </c>
      <c r="AC140" s="66" t="str">
        <f aca="false">IF(ISBLANK($C140),"",IF(ISNUMBER(P140), P140, Constants!$B$13))</f>
        <v/>
      </c>
      <c r="AD140" s="63" t="str">
        <f aca="false">IF(ISBLANK($C140),"",IF(Q140=Constants!$B$2, TRUE(), IF(Q140=Constants!$B$3, FALSE(), FALSE())))</f>
        <v/>
      </c>
      <c r="AE140" s="63" t="str">
        <f aca="false">IF(ISBLANK(C140), "", IF(AD140, Constants!$B$4,IF(COUNTA(G140:O140)=0, Constants!$B$5, Constants!$B$7)))</f>
        <v/>
      </c>
      <c r="AF140" s="63" t="str">
        <f aca="false">IF(ISBLANK($C140), "",IF($AE140=Constants!$B$7,1,$AE140))</f>
        <v/>
      </c>
      <c r="AG140" s="63" t="str">
        <f aca="false">IF($AE140=Constants!$B$7,IF(V140, 1, Constants!$B$11) * IF(X140, 1, Constants!$B$12),"")</f>
        <v/>
      </c>
      <c r="AH140" s="63" t="str">
        <f aca="false">IF(AND($AE140=Constants!$B$7, T140, U140) ,MAX(0, $AA140-$Y140),"")</f>
        <v/>
      </c>
      <c r="AI140" s="63" t="str">
        <f aca="false">IF(ISERROR(AH140),$AI$6,"")</f>
        <v/>
      </c>
      <c r="AJ140" s="63" t="str">
        <f aca="false">IF($AE140=Constants!$B$7,IF(AND(T140,U140,W140),IF($AH$6=0,Constants!$B$9,Constants!$B$9*AH140/$AH$6), 0),"")</f>
        <v/>
      </c>
      <c r="AK140" s="63" t="str">
        <f aca="false">IF(AJ140&lt;&gt;"", AJ140*AG140,"")</f>
        <v/>
      </c>
      <c r="AL140" s="63" t="str">
        <f aca="false">IF(AND($AE140=Constants!$B$7, T140, U140) ,IF($Z140="", "", MAX(0,1-ABS($AA140-$Z140)/$AA140)),"")</f>
        <v/>
      </c>
      <c r="AM140" s="63" t="str">
        <f aca="false">IF(AND(NOT(ISERROR(AH140)),ISERROR(AL140)),$AM$6,"")</f>
        <v/>
      </c>
      <c r="AN140" s="63" t="str">
        <f aca="false">IF($AE140=Constants!$B$7 ,IF(AND(T140,U140,W140,ISNUMBER(Z140)),IF($AL$6=0,Constants!$B$10,Constants!$B$10*AL140/$AL$6), 0),"")</f>
        <v/>
      </c>
      <c r="AO140" s="63" t="str">
        <f aca="false">IF(AN140&lt;&gt;"", AN140*AG140,"")</f>
        <v/>
      </c>
      <c r="AP140" s="63" t="str">
        <f aca="false">IF($AE140=Constants!$B$7,IF($AP$6=0,Constants!$B$8,Constants!$B$8*AB140/$AP$6),"")</f>
        <v/>
      </c>
      <c r="AQ140" s="63" t="str">
        <f aca="false">IF($AE140&lt;&gt;Constants!$B$7,$AE140,AK140+AO140+AP140)</f>
        <v/>
      </c>
      <c r="AR140" s="63" t="str">
        <f aca="false">IF(ISBLANK($C140),"",IF($AE140=Constants!$B$7,RANK(AQ140,$AQ$8:$AQ$507),$AE140))</f>
        <v/>
      </c>
      <c r="AS140" s="63" t="str">
        <f aca="false">IF(ISBLANK($C140), "",AK140)</f>
        <v/>
      </c>
      <c r="AT140" s="63" t="str">
        <f aca="false">IF(ISBLANK($C140),"",IF($AE140=Constants!$B$7,RANK(AS140,AS$8:AS$507),$AE140))</f>
        <v/>
      </c>
      <c r="AU140" s="63" t="str">
        <f aca="false">IF(ISBLANK($C140), "",AP140)</f>
        <v/>
      </c>
      <c r="AV140" s="63" t="str">
        <f aca="false">IF(ISBLANK($C140),"",IF($AE140=Constants!$B$7,RANK(AU140,AU$8:AU$507),$AE140))</f>
        <v/>
      </c>
      <c r="AW140" s="63" t="str">
        <f aca="false">IF(ISBLANK($C140), "",AC140)</f>
        <v/>
      </c>
      <c r="AX140" s="63" t="str">
        <f aca="false">IF(ISBLANK($C140),"",
IF($AE140=Constants!$B$7,
  COUNTIFS($AR$8:$AR$507,"&lt;"&amp;$AR140)
  + COUNTIFS($AR$8:$AR$507,$AR140,$AT$8:$AT$507,"&lt;"&amp;$AT140)
  + COUNTIFS($AR$8:$AR$507,$AR140,$AT$8:$AT$507,$AT140,$AV$8:$AV$507,"&lt;"&amp;$AV140)
  + COUNTIFS($AR$8:$AR$507,$AR140,$AT$8:$AT$507,$AT140,$AV$8:$AV$507,$AV140,$AW$8:$AW$507,"&lt;"&amp;$AW140)
  + 1,
$AE140))</f>
        <v/>
      </c>
      <c r="AY140" s="63" t="str">
        <f aca="false">IF(ISBLANK(C140),"",IF($AE140=Constants!$B$7, AR140-AX140,$AE140))</f>
        <v/>
      </c>
      <c r="AZ140" s="67"/>
      <c r="BA140" s="81" t="str">
        <f aca="false">IF(ISBLANK($C140),"",TRIM(AI140&amp;" "&amp;AM140))</f>
        <v/>
      </c>
      <c r="BB140" s="69" t="str">
        <f aca="false">IF(ISBLANK($C140),"",IF($AE140&lt;&gt;Constants!$B$7, $AE140 ,AQ140))</f>
        <v/>
      </c>
      <c r="BC140" s="70" t="str">
        <f aca="false">IF(ISBLANK($C140),"",IF($AE140&lt;&gt;Constants!$B$7, $AE140 ,AF140))</f>
        <v/>
      </c>
      <c r="BD140" s="71" t="str">
        <f aca="false">IF(ISBLANK(C140),"",AY140)</f>
        <v/>
      </c>
      <c r="BE140" s="71" t="str">
        <f aca="false">IF(ISBLANK(C140),"",AX140)</f>
        <v/>
      </c>
      <c r="BF140" s="72" t="str">
        <f aca="false">IF(ISBLANK(C140),"",IFERROR(_xlfn.SWITCH(BE140, Constants!$B$4, COUNTA($C$8:$C639)+2, Constants!$B$5, COUNTA($C$8:$C639)+1, Constants!$B$6, COUNTA($C$8:$C639)),BE140))</f>
        <v/>
      </c>
      <c r="BG140" s="5"/>
      <c r="BH140" s="73" t="n">
        <f aca="false">IF(OR(ISNUMBER(BE140),BE140="DQ",BE140="P",BE140="NS"),
    1,
    0
)</f>
        <v>0</v>
      </c>
      <c r="BI140" s="73" t="n">
        <v>133</v>
      </c>
      <c r="BJ140" s="73" t="str">
        <f aca="false">IF(ISBLANK($C140),
    "",
   BF140+ROW($B140)/1000
)</f>
        <v/>
      </c>
      <c r="BK140" s="73" t="str">
        <f aca="false">IF(ISNUMBER(BJ140), RANK(BJ140,BJ$8:BJ$507,1), "")</f>
        <v/>
      </c>
      <c r="BL140" s="73" t="str">
        <f aca="false">IF(ISBLANK($C140),
    "",
    $B140
)</f>
        <v/>
      </c>
      <c r="BM140" s="73" t="str">
        <f aca="false">IF(ISBLANK($C140),
    "",
    $C140
)</f>
        <v/>
      </c>
      <c r="BN140" s="73" t="str">
        <f aca="false">IF(ISBLANK($C140),
    "",
    $D140
)</f>
        <v/>
      </c>
      <c r="BO140" s="74" t="str">
        <f aca="false">BC140</f>
        <v/>
      </c>
      <c r="BP140" s="75" t="str">
        <f aca="false">BB140</f>
        <v/>
      </c>
      <c r="BQ140" s="73" t="str">
        <f aca="false">IF(ISBLANK($C140),
    "",
    BE140
)</f>
        <v/>
      </c>
      <c r="BR140" s="76" t="str">
        <f aca="false">IF(BI140&gt;BH$7,
    "",
    VLOOKUP(BI140,BK$8:BQ639,7,FALSE())
)</f>
        <v/>
      </c>
      <c r="BS140" s="77" t="str">
        <f aca="false">IF(BI140&gt;BH$7,
    "",
    VLOOKUP(BI140,BK$8:BQ639,2,FALSE())
)</f>
        <v/>
      </c>
      <c r="BT140" s="77" t="str">
        <f aca="false">IF(BI140&gt;BH$7,
    "",
    VLOOKUP(BI140,BK$8:BQ639,3,FALSE())
)</f>
        <v/>
      </c>
      <c r="BU140" s="77" t="str">
        <f aca="false">IF(BI140&gt;BH$7,
    "",
    VLOOKUP(BI140,BK$8:BQ639,4,FALSE())
)</f>
        <v/>
      </c>
      <c r="BV140" s="77" t="str">
        <f aca="false">IF(BI140&gt;BH$7,
    "",
    VLOOKUP(BI140,BK$8:BQ639,5,FALSE())
)</f>
        <v/>
      </c>
      <c r="BW140" s="78" t="str">
        <f aca="false">IF(BI140&gt;BH$7,
    "",
    VLOOKUP(BI140,BK$8:BQ639,6,FALSE())
)</f>
        <v/>
      </c>
      <c r="BX140" s="50"/>
    </row>
    <row r="141" customFormat="false" ht="15.75" hidden="false" customHeight="false" outlineLevel="0" collapsed="false">
      <c r="A141" s="5"/>
      <c r="B141" s="126"/>
      <c r="C141" s="52"/>
      <c r="D141" s="53"/>
      <c r="E141" s="120"/>
      <c r="F141" s="120"/>
      <c r="G141" s="55"/>
      <c r="H141" s="56"/>
      <c r="I141" s="80"/>
      <c r="J141" s="80"/>
      <c r="K141" s="80"/>
      <c r="L141" s="58"/>
      <c r="M141" s="58"/>
      <c r="N141" s="58"/>
      <c r="O141" s="59"/>
      <c r="P141" s="60"/>
      <c r="Q141" s="80"/>
      <c r="R141" s="62"/>
      <c r="S141" s="63"/>
      <c r="T141" s="63" t="str">
        <f aca="false">IF(ISBLANK($C141),"",IF(G141=Constants!$B$2, TRUE(), IF(G141=Constants!$B$3, FALSE(), TRUE())))</f>
        <v/>
      </c>
      <c r="U141" s="63" t="str">
        <f aca="false">IF(ISBLANK($C141),"",IF(H141=Constants!$B$2, TRUE(), IF(H141=Constants!$B$3, FALSE(), TRUE())))</f>
        <v/>
      </c>
      <c r="V141" s="63" t="str">
        <f aca="false">IF(ISBLANK($C141),"",IF(I141=Constants!$B$2, TRUE(), IF(I141=Constants!$B$3, FALSE(), TRUE())))</f>
        <v/>
      </c>
      <c r="W141" s="63" t="str">
        <f aca="false">IF(ISBLANK($C141),"",IF(J141=Constants!$B$2, TRUE(), IF(J141=Constants!$B$3, FALSE(), TRUE())))</f>
        <v/>
      </c>
      <c r="X141" s="63" t="str">
        <f aca="false">IF(ISBLANK($C141),"",IF(K141=Constants!$B$2, TRUE(), IF(K141=Constants!$B$3, FALSE(), TRUE())))</f>
        <v/>
      </c>
      <c r="Y141" s="65" t="str">
        <f aca="false">IF(ISBLANK($C141),"",IF(ISNUMBER(L141), L141, ""))</f>
        <v/>
      </c>
      <c r="Z141" s="65" t="str">
        <f aca="false">IF(ISBLANK($C141),"",IF(ISNUMBER(M141), M141, ""))</f>
        <v/>
      </c>
      <c r="AA141" s="65" t="str">
        <f aca="false">IF(ISBLANK($C141),"",IF(ISNUMBER(N141), N141, ""))</f>
        <v/>
      </c>
      <c r="AB141" s="66" t="str">
        <f aca="false">IF(ISBLANK($C141),"",IF(ISNUMBER(O141), O141, ""))</f>
        <v/>
      </c>
      <c r="AC141" s="66" t="str">
        <f aca="false">IF(ISBLANK($C141),"",IF(ISNUMBER(P141), P141, Constants!$B$13))</f>
        <v/>
      </c>
      <c r="AD141" s="63" t="str">
        <f aca="false">IF(ISBLANK($C141),"",IF(Q141=Constants!$B$2, TRUE(), IF(Q141=Constants!$B$3, FALSE(), FALSE())))</f>
        <v/>
      </c>
      <c r="AE141" s="63" t="str">
        <f aca="false">IF(ISBLANK(C141), "", IF(AD141, Constants!$B$4,IF(COUNTA(G141:O141)=0, Constants!$B$5, Constants!$B$7)))</f>
        <v/>
      </c>
      <c r="AF141" s="63" t="str">
        <f aca="false">IF(ISBLANK($C141), "",IF($AE141=Constants!$B$7,1,$AE141))</f>
        <v/>
      </c>
      <c r="AG141" s="63" t="str">
        <f aca="false">IF($AE141=Constants!$B$7,IF(V141, 1, Constants!$B$11) * IF(X141, 1, Constants!$B$12),"")</f>
        <v/>
      </c>
      <c r="AH141" s="63" t="str">
        <f aca="false">IF(AND($AE141=Constants!$B$7, T141, U141) ,MAX(0, $AA141-$Y141),"")</f>
        <v/>
      </c>
      <c r="AI141" s="63" t="str">
        <f aca="false">IF(ISERROR(AH141),$AI$6,"")</f>
        <v/>
      </c>
      <c r="AJ141" s="63" t="str">
        <f aca="false">IF($AE141=Constants!$B$7,IF(AND(T141,U141,W141),IF($AH$6=0,Constants!$B$9,Constants!$B$9*AH141/$AH$6), 0),"")</f>
        <v/>
      </c>
      <c r="AK141" s="63" t="str">
        <f aca="false">IF(AJ141&lt;&gt;"", AJ141*AG141,"")</f>
        <v/>
      </c>
      <c r="AL141" s="63" t="str">
        <f aca="false">IF(AND($AE141=Constants!$B$7, T141, U141) ,IF($Z141="", "", MAX(0,1-ABS($AA141-$Z141)/$AA141)),"")</f>
        <v/>
      </c>
      <c r="AM141" s="63" t="str">
        <f aca="false">IF(AND(NOT(ISERROR(AH141)),ISERROR(AL141)),$AM$6,"")</f>
        <v/>
      </c>
      <c r="AN141" s="63" t="str">
        <f aca="false">IF($AE141=Constants!$B$7 ,IF(AND(T141,U141,W141,ISNUMBER(Z141)),IF($AL$6=0,Constants!$B$10,Constants!$B$10*AL141/$AL$6), 0),"")</f>
        <v/>
      </c>
      <c r="AO141" s="63" t="str">
        <f aca="false">IF(AN141&lt;&gt;"", AN141*AG141,"")</f>
        <v/>
      </c>
      <c r="AP141" s="63" t="str">
        <f aca="false">IF($AE141=Constants!$B$7,IF($AP$6=0,Constants!$B$8,Constants!$B$8*AB141/$AP$6),"")</f>
        <v/>
      </c>
      <c r="AQ141" s="63" t="str">
        <f aca="false">IF($AE141&lt;&gt;Constants!$B$7,$AE141,AK141+AO141+AP141)</f>
        <v/>
      </c>
      <c r="AR141" s="63" t="str">
        <f aca="false">IF(ISBLANK($C141),"",IF($AE141=Constants!$B$7,RANK(AQ141,$AQ$8:$AQ$507),$AE141))</f>
        <v/>
      </c>
      <c r="AS141" s="63" t="str">
        <f aca="false">IF(ISBLANK($C141), "",AK141)</f>
        <v/>
      </c>
      <c r="AT141" s="63" t="str">
        <f aca="false">IF(ISBLANK($C141),"",IF($AE141=Constants!$B$7,RANK(AS141,AS$8:AS$507),$AE141))</f>
        <v/>
      </c>
      <c r="AU141" s="63" t="str">
        <f aca="false">IF(ISBLANK($C141), "",AP141)</f>
        <v/>
      </c>
      <c r="AV141" s="63" t="str">
        <f aca="false">IF(ISBLANK($C141),"",IF($AE141=Constants!$B$7,RANK(AU141,AU$8:AU$507),$AE141))</f>
        <v/>
      </c>
      <c r="AW141" s="63" t="str">
        <f aca="false">IF(ISBLANK($C141), "",AC141)</f>
        <v/>
      </c>
      <c r="AX141" s="63" t="str">
        <f aca="false">IF(ISBLANK($C141),"",
IF($AE141=Constants!$B$7,
  COUNTIFS($AR$8:$AR$507,"&lt;"&amp;$AR141)
  + COUNTIFS($AR$8:$AR$507,$AR141,$AT$8:$AT$507,"&lt;"&amp;$AT141)
  + COUNTIFS($AR$8:$AR$507,$AR141,$AT$8:$AT$507,$AT141,$AV$8:$AV$507,"&lt;"&amp;$AV141)
  + COUNTIFS($AR$8:$AR$507,$AR141,$AT$8:$AT$507,$AT141,$AV$8:$AV$507,$AV141,$AW$8:$AW$507,"&lt;"&amp;$AW141)
  + 1,
$AE141))</f>
        <v/>
      </c>
      <c r="AY141" s="63" t="str">
        <f aca="false">IF(ISBLANK(C141),"",IF($AE141=Constants!$B$7, AR141-AX141,$AE141))</f>
        <v/>
      </c>
      <c r="AZ141" s="67"/>
      <c r="BA141" s="81" t="str">
        <f aca="false">IF(ISBLANK($C141),"",TRIM(AI141&amp;" "&amp;AM141))</f>
        <v/>
      </c>
      <c r="BB141" s="69" t="str">
        <f aca="false">IF(ISBLANK($C141),"",IF($AE141&lt;&gt;Constants!$B$7, $AE141 ,AQ141))</f>
        <v/>
      </c>
      <c r="BC141" s="70" t="str">
        <f aca="false">IF(ISBLANK($C141),"",IF($AE141&lt;&gt;Constants!$B$7, $AE141 ,AF141))</f>
        <v/>
      </c>
      <c r="BD141" s="71" t="str">
        <f aca="false">IF(ISBLANK(C141),"",AY141)</f>
        <v/>
      </c>
      <c r="BE141" s="71" t="str">
        <f aca="false">IF(ISBLANK(C141),"",AX141)</f>
        <v/>
      </c>
      <c r="BF141" s="72" t="str">
        <f aca="false">IF(ISBLANK(C141),"",IFERROR(_xlfn.SWITCH(BE141, Constants!$B$4, COUNTA($C$8:$C640)+2, Constants!$B$5, COUNTA($C$8:$C640)+1, Constants!$B$6, COUNTA($C$8:$C640)),BE141))</f>
        <v/>
      </c>
      <c r="BG141" s="5"/>
      <c r="BH141" s="73" t="n">
        <f aca="false">IF(OR(ISNUMBER(BE141),BE141="DQ",BE141="P",BE141="NS"),
    1,
    0
)</f>
        <v>0</v>
      </c>
      <c r="BI141" s="73" t="n">
        <v>134</v>
      </c>
      <c r="BJ141" s="73" t="str">
        <f aca="false">IF(ISBLANK($C141),
    "",
   BF141+ROW($B141)/1000
)</f>
        <v/>
      </c>
      <c r="BK141" s="73" t="str">
        <f aca="false">IF(ISNUMBER(BJ141), RANK(BJ141,BJ$8:BJ$507,1), "")</f>
        <v/>
      </c>
      <c r="BL141" s="73" t="str">
        <f aca="false">IF(ISBLANK($C141),
    "",
    $B141
)</f>
        <v/>
      </c>
      <c r="BM141" s="73" t="str">
        <f aca="false">IF(ISBLANK($C141),
    "",
    $C141
)</f>
        <v/>
      </c>
      <c r="BN141" s="73" t="str">
        <f aca="false">IF(ISBLANK($C141),
    "",
    $D141
)</f>
        <v/>
      </c>
      <c r="BO141" s="74" t="str">
        <f aca="false">BC141</f>
        <v/>
      </c>
      <c r="BP141" s="75" t="str">
        <f aca="false">BB141</f>
        <v/>
      </c>
      <c r="BQ141" s="73" t="str">
        <f aca="false">IF(ISBLANK($C141),
    "",
    BE141
)</f>
        <v/>
      </c>
      <c r="BR141" s="76" t="str">
        <f aca="false">IF(BI141&gt;BH$7,
    "",
    VLOOKUP(BI141,BK$8:BQ640,7,FALSE())
)</f>
        <v/>
      </c>
      <c r="BS141" s="77" t="str">
        <f aca="false">IF(BI141&gt;BH$7,
    "",
    VLOOKUP(BI141,BK$8:BQ640,2,FALSE())
)</f>
        <v/>
      </c>
      <c r="BT141" s="77" t="str">
        <f aca="false">IF(BI141&gt;BH$7,
    "",
    VLOOKUP(BI141,BK$8:BQ640,3,FALSE())
)</f>
        <v/>
      </c>
      <c r="BU141" s="77" t="str">
        <f aca="false">IF(BI141&gt;BH$7,
    "",
    VLOOKUP(BI141,BK$8:BQ640,4,FALSE())
)</f>
        <v/>
      </c>
      <c r="BV141" s="77" t="str">
        <f aca="false">IF(BI141&gt;BH$7,
    "",
    VLOOKUP(BI141,BK$8:BQ640,5,FALSE())
)</f>
        <v/>
      </c>
      <c r="BW141" s="78" t="str">
        <f aca="false">IF(BI141&gt;BH$7,
    "",
    VLOOKUP(BI141,BK$8:BQ640,6,FALSE())
)</f>
        <v/>
      </c>
      <c r="BX141" s="50"/>
    </row>
    <row r="142" customFormat="false" ht="15.75" hidden="false" customHeight="false" outlineLevel="0" collapsed="false">
      <c r="A142" s="5"/>
      <c r="B142" s="126"/>
      <c r="C142" s="52"/>
      <c r="D142" s="53"/>
      <c r="E142" s="120"/>
      <c r="F142" s="120"/>
      <c r="G142" s="55"/>
      <c r="H142" s="56"/>
      <c r="I142" s="80"/>
      <c r="J142" s="80"/>
      <c r="K142" s="80"/>
      <c r="L142" s="58"/>
      <c r="M142" s="58"/>
      <c r="N142" s="58"/>
      <c r="O142" s="59"/>
      <c r="P142" s="60"/>
      <c r="Q142" s="80"/>
      <c r="R142" s="62"/>
      <c r="S142" s="63"/>
      <c r="T142" s="63" t="str">
        <f aca="false">IF(ISBLANK($C142),"",IF(G142=Constants!$B$2, TRUE(), IF(G142=Constants!$B$3, FALSE(), TRUE())))</f>
        <v/>
      </c>
      <c r="U142" s="63" t="str">
        <f aca="false">IF(ISBLANK($C142),"",IF(H142=Constants!$B$2, TRUE(), IF(H142=Constants!$B$3, FALSE(), TRUE())))</f>
        <v/>
      </c>
      <c r="V142" s="63" t="str">
        <f aca="false">IF(ISBLANK($C142),"",IF(I142=Constants!$B$2, TRUE(), IF(I142=Constants!$B$3, FALSE(), TRUE())))</f>
        <v/>
      </c>
      <c r="W142" s="63" t="str">
        <f aca="false">IF(ISBLANK($C142),"",IF(J142=Constants!$B$2, TRUE(), IF(J142=Constants!$B$3, FALSE(), TRUE())))</f>
        <v/>
      </c>
      <c r="X142" s="63" t="str">
        <f aca="false">IF(ISBLANK($C142),"",IF(K142=Constants!$B$2, TRUE(), IF(K142=Constants!$B$3, FALSE(), TRUE())))</f>
        <v/>
      </c>
      <c r="Y142" s="65" t="str">
        <f aca="false">IF(ISBLANK($C142),"",IF(ISNUMBER(L142), L142, ""))</f>
        <v/>
      </c>
      <c r="Z142" s="65" t="str">
        <f aca="false">IF(ISBLANK($C142),"",IF(ISNUMBER(M142), M142, ""))</f>
        <v/>
      </c>
      <c r="AA142" s="65" t="str">
        <f aca="false">IF(ISBLANK($C142),"",IF(ISNUMBER(N142), N142, ""))</f>
        <v/>
      </c>
      <c r="AB142" s="66" t="str">
        <f aca="false">IF(ISBLANK($C142),"",IF(ISNUMBER(O142), O142, ""))</f>
        <v/>
      </c>
      <c r="AC142" s="66" t="str">
        <f aca="false">IF(ISBLANK($C142),"",IF(ISNUMBER(P142), P142, Constants!$B$13))</f>
        <v/>
      </c>
      <c r="AD142" s="63" t="str">
        <f aca="false">IF(ISBLANK($C142),"",IF(Q142=Constants!$B$2, TRUE(), IF(Q142=Constants!$B$3, FALSE(), FALSE())))</f>
        <v/>
      </c>
      <c r="AE142" s="63" t="str">
        <f aca="false">IF(ISBLANK(C142), "", IF(AD142, Constants!$B$4,IF(COUNTA(G142:O142)=0, Constants!$B$5, Constants!$B$7)))</f>
        <v/>
      </c>
      <c r="AF142" s="63" t="str">
        <f aca="false">IF(ISBLANK($C142), "",IF($AE142=Constants!$B$7,1,$AE142))</f>
        <v/>
      </c>
      <c r="AG142" s="63" t="str">
        <f aca="false">IF($AE142=Constants!$B$7,IF(V142, 1, Constants!$B$11) * IF(X142, 1, Constants!$B$12),"")</f>
        <v/>
      </c>
      <c r="AH142" s="63" t="str">
        <f aca="false">IF(AND($AE142=Constants!$B$7, T142, U142) ,MAX(0, $AA142-$Y142),"")</f>
        <v/>
      </c>
      <c r="AI142" s="63" t="str">
        <f aca="false">IF(ISERROR(AH142),$AI$6,"")</f>
        <v/>
      </c>
      <c r="AJ142" s="63" t="str">
        <f aca="false">IF($AE142=Constants!$B$7,IF(AND(T142,U142,W142),IF($AH$6=0,Constants!$B$9,Constants!$B$9*AH142/$AH$6), 0),"")</f>
        <v/>
      </c>
      <c r="AK142" s="63" t="str">
        <f aca="false">IF(AJ142&lt;&gt;"", AJ142*AG142,"")</f>
        <v/>
      </c>
      <c r="AL142" s="63" t="str">
        <f aca="false">IF(AND($AE142=Constants!$B$7, T142, U142) ,IF($Z142="", "", MAX(0,1-ABS($AA142-$Z142)/$AA142)),"")</f>
        <v/>
      </c>
      <c r="AM142" s="63" t="str">
        <f aca="false">IF(AND(NOT(ISERROR(AH142)),ISERROR(AL142)),$AM$6,"")</f>
        <v/>
      </c>
      <c r="AN142" s="63" t="str">
        <f aca="false">IF($AE142=Constants!$B$7 ,IF(AND(T142,U142,W142,ISNUMBER(Z142)),IF($AL$6=0,Constants!$B$10,Constants!$B$10*AL142/$AL$6), 0),"")</f>
        <v/>
      </c>
      <c r="AO142" s="63" t="str">
        <f aca="false">IF(AN142&lt;&gt;"", AN142*AG142,"")</f>
        <v/>
      </c>
      <c r="AP142" s="63" t="str">
        <f aca="false">IF($AE142=Constants!$B$7,IF($AP$6=0,Constants!$B$8,Constants!$B$8*AB142/$AP$6),"")</f>
        <v/>
      </c>
      <c r="AQ142" s="63" t="str">
        <f aca="false">IF($AE142&lt;&gt;Constants!$B$7,$AE142,AK142+AO142+AP142)</f>
        <v/>
      </c>
      <c r="AR142" s="63" t="str">
        <f aca="false">IF(ISBLANK($C142),"",IF($AE142=Constants!$B$7,RANK(AQ142,$AQ$8:$AQ$507),$AE142))</f>
        <v/>
      </c>
      <c r="AS142" s="63" t="str">
        <f aca="false">IF(ISBLANK($C142), "",AK142)</f>
        <v/>
      </c>
      <c r="AT142" s="63" t="str">
        <f aca="false">IF(ISBLANK($C142),"",IF($AE142=Constants!$B$7,RANK(AS142,AS$8:AS$507),$AE142))</f>
        <v/>
      </c>
      <c r="AU142" s="63" t="str">
        <f aca="false">IF(ISBLANK($C142), "",AP142)</f>
        <v/>
      </c>
      <c r="AV142" s="63" t="str">
        <f aca="false">IF(ISBLANK($C142),"",IF($AE142=Constants!$B$7,RANK(AU142,AU$8:AU$507),$AE142))</f>
        <v/>
      </c>
      <c r="AW142" s="63" t="str">
        <f aca="false">IF(ISBLANK($C142), "",AC142)</f>
        <v/>
      </c>
      <c r="AX142" s="63" t="str">
        <f aca="false">IF(ISBLANK($C142),"",
IF($AE142=Constants!$B$7,
  COUNTIFS($AR$8:$AR$507,"&lt;"&amp;$AR142)
  + COUNTIFS($AR$8:$AR$507,$AR142,$AT$8:$AT$507,"&lt;"&amp;$AT142)
  + COUNTIFS($AR$8:$AR$507,$AR142,$AT$8:$AT$507,$AT142,$AV$8:$AV$507,"&lt;"&amp;$AV142)
  + COUNTIFS($AR$8:$AR$507,$AR142,$AT$8:$AT$507,$AT142,$AV$8:$AV$507,$AV142,$AW$8:$AW$507,"&lt;"&amp;$AW142)
  + 1,
$AE142))</f>
        <v/>
      </c>
      <c r="AY142" s="63" t="str">
        <f aca="false">IF(ISBLANK(C142),"",IF($AE142=Constants!$B$7, AR142-AX142,$AE142))</f>
        <v/>
      </c>
      <c r="AZ142" s="67"/>
      <c r="BA142" s="81" t="str">
        <f aca="false">IF(ISBLANK($C142),"",TRIM(AI142&amp;" "&amp;AM142))</f>
        <v/>
      </c>
      <c r="BB142" s="69" t="str">
        <f aca="false">IF(ISBLANK($C142),"",IF($AE142&lt;&gt;Constants!$B$7, $AE142 ,AQ142))</f>
        <v/>
      </c>
      <c r="BC142" s="70" t="str">
        <f aca="false">IF(ISBLANK($C142),"",IF($AE142&lt;&gt;Constants!$B$7, $AE142 ,AF142))</f>
        <v/>
      </c>
      <c r="BD142" s="71" t="str">
        <f aca="false">IF(ISBLANK(C142),"",AY142)</f>
        <v/>
      </c>
      <c r="BE142" s="71" t="str">
        <f aca="false">IF(ISBLANK(C142),"",AX142)</f>
        <v/>
      </c>
      <c r="BF142" s="72" t="str">
        <f aca="false">IF(ISBLANK(C142),"",IFERROR(_xlfn.SWITCH(BE142, Constants!$B$4, COUNTA($C$8:$C641)+2, Constants!$B$5, COUNTA($C$8:$C641)+1, Constants!$B$6, COUNTA($C$8:$C641)),BE142))</f>
        <v/>
      </c>
      <c r="BG142" s="5"/>
      <c r="BH142" s="73" t="n">
        <f aca="false">IF(OR(ISNUMBER(BE142),BE142="DQ",BE142="P",BE142="NS"),
    1,
    0
)</f>
        <v>0</v>
      </c>
      <c r="BI142" s="73" t="n">
        <v>135</v>
      </c>
      <c r="BJ142" s="73" t="str">
        <f aca="false">IF(ISBLANK($C142),
    "",
   BF142+ROW($B142)/1000
)</f>
        <v/>
      </c>
      <c r="BK142" s="73" t="str">
        <f aca="false">IF(ISNUMBER(BJ142), RANK(BJ142,BJ$8:BJ$507,1), "")</f>
        <v/>
      </c>
      <c r="BL142" s="73" t="str">
        <f aca="false">IF(ISBLANK($C142),
    "",
    $B142
)</f>
        <v/>
      </c>
      <c r="BM142" s="73" t="str">
        <f aca="false">IF(ISBLANK($C142),
    "",
    $C142
)</f>
        <v/>
      </c>
      <c r="BN142" s="73" t="str">
        <f aca="false">IF(ISBLANK($C142),
    "",
    $D142
)</f>
        <v/>
      </c>
      <c r="BO142" s="74" t="str">
        <f aca="false">BC142</f>
        <v/>
      </c>
      <c r="BP142" s="75" t="str">
        <f aca="false">BB142</f>
        <v/>
      </c>
      <c r="BQ142" s="73" t="str">
        <f aca="false">IF(ISBLANK($C142),
    "",
    BE142
)</f>
        <v/>
      </c>
      <c r="BR142" s="76" t="str">
        <f aca="false">IF(BI142&gt;BH$7,
    "",
    VLOOKUP(BI142,BK$8:BQ641,7,FALSE())
)</f>
        <v/>
      </c>
      <c r="BS142" s="77" t="str">
        <f aca="false">IF(BI142&gt;BH$7,
    "",
    VLOOKUP(BI142,BK$8:BQ641,2,FALSE())
)</f>
        <v/>
      </c>
      <c r="BT142" s="77" t="str">
        <f aca="false">IF(BI142&gt;BH$7,
    "",
    VLOOKUP(BI142,BK$8:BQ641,3,FALSE())
)</f>
        <v/>
      </c>
      <c r="BU142" s="77" t="str">
        <f aca="false">IF(BI142&gt;BH$7,
    "",
    VLOOKUP(BI142,BK$8:BQ641,4,FALSE())
)</f>
        <v/>
      </c>
      <c r="BV142" s="77" t="str">
        <f aca="false">IF(BI142&gt;BH$7,
    "",
    VLOOKUP(BI142,BK$8:BQ641,5,FALSE())
)</f>
        <v/>
      </c>
      <c r="BW142" s="78" t="str">
        <f aca="false">IF(BI142&gt;BH$7,
    "",
    VLOOKUP(BI142,BK$8:BQ641,6,FALSE())
)</f>
        <v/>
      </c>
      <c r="BX142" s="50"/>
    </row>
    <row r="143" customFormat="false" ht="15.75" hidden="false" customHeight="false" outlineLevel="0" collapsed="false">
      <c r="A143" s="5"/>
      <c r="B143" s="122"/>
      <c r="C143" s="123"/>
      <c r="D143" s="112"/>
      <c r="E143" s="116"/>
      <c r="F143" s="116"/>
      <c r="G143" s="88"/>
      <c r="H143" s="89"/>
      <c r="I143" s="125"/>
      <c r="J143" s="125"/>
      <c r="K143" s="125"/>
      <c r="L143" s="91"/>
      <c r="M143" s="91"/>
      <c r="N143" s="91"/>
      <c r="O143" s="92"/>
      <c r="P143" s="93"/>
      <c r="Q143" s="125"/>
      <c r="R143" s="95"/>
      <c r="S143" s="96"/>
      <c r="T143" s="96" t="str">
        <f aca="false">IF(ISBLANK($C143),"",IF(G143=Constants!$B$2, TRUE(), IF(G143=Constants!$B$3, FALSE(), TRUE())))</f>
        <v/>
      </c>
      <c r="U143" s="96" t="str">
        <f aca="false">IF(ISBLANK($C143),"",IF(H143=Constants!$B$2, TRUE(), IF(H143=Constants!$B$3, FALSE(), TRUE())))</f>
        <v/>
      </c>
      <c r="V143" s="96" t="str">
        <f aca="false">IF(ISBLANK($C143),"",IF(I143=Constants!$B$2, TRUE(), IF(I143=Constants!$B$3, FALSE(), TRUE())))</f>
        <v/>
      </c>
      <c r="W143" s="96" t="str">
        <f aca="false">IF(ISBLANK($C143),"",IF(J143=Constants!$B$2, TRUE(), IF(J143=Constants!$B$3, FALSE(), TRUE())))</f>
        <v/>
      </c>
      <c r="X143" s="97" t="str">
        <f aca="false">IF(ISBLANK($C143),"",IF(K143=Constants!$B$2, TRUE(), IF(K143=Constants!$B$3, FALSE(), TRUE())))</f>
        <v/>
      </c>
      <c r="Y143" s="98" t="str">
        <f aca="false">IF(ISBLANK($C143),"",IF(ISNUMBER(L143), L143, ""))</f>
        <v/>
      </c>
      <c r="Z143" s="98" t="str">
        <f aca="false">IF(ISBLANK($C143),"",IF(ISNUMBER(M143), M143, ""))</f>
        <v/>
      </c>
      <c r="AA143" s="98" t="str">
        <f aca="false">IF(ISBLANK($C143),"",IF(ISNUMBER(N143), N143, ""))</f>
        <v/>
      </c>
      <c r="AB143" s="99" t="str">
        <f aca="false">IF(ISBLANK($C143),"",IF(ISNUMBER(O143), O143, ""))</f>
        <v/>
      </c>
      <c r="AC143" s="99" t="str">
        <f aca="false">IF(ISBLANK($C143),"",IF(ISNUMBER(P143), P143, Constants!$B$13))</f>
        <v/>
      </c>
      <c r="AD143" s="96" t="str">
        <f aca="false">IF(ISBLANK($C143),"",IF(Q143=Constants!$B$2, TRUE(), IF(Q143=Constants!$B$3, FALSE(), FALSE())))</f>
        <v/>
      </c>
      <c r="AE143" s="96" t="str">
        <f aca="false">IF(ISBLANK(C143), "", IF(AD143, Constants!$B$4,IF(COUNTA(G143:O143)=0, Constants!$B$5, Constants!$B$7)))</f>
        <v/>
      </c>
      <c r="AF143" s="96" t="str">
        <f aca="false">IF(ISBLANK($C143), "",IF($AE143=Constants!$B$7,1,$AE143))</f>
        <v/>
      </c>
      <c r="AG143" s="96" t="str">
        <f aca="false">IF($AE143=Constants!$B$7,IF(V143, 1, Constants!$B$11) * IF(X143, 1, Constants!$B$12),"")</f>
        <v/>
      </c>
      <c r="AH143" s="96" t="str">
        <f aca="false">IF(AND($AE143=Constants!$B$7, T143, U143) ,MAX(0, $AA143-$Y143),"")</f>
        <v/>
      </c>
      <c r="AI143" s="96" t="str">
        <f aca="false">IF(ISERROR(AH143),$AI$6,"")</f>
        <v/>
      </c>
      <c r="AJ143" s="96" t="str">
        <f aca="false">IF($AE143=Constants!$B$7,IF(AND(T143,U143,W143),IF($AH$6=0,Constants!$B$9,Constants!$B$9*AH143/$AH$6), 0),"")</f>
        <v/>
      </c>
      <c r="AK143" s="96" t="str">
        <f aca="false">IF(AJ143&lt;&gt;"", AJ143*AG143,"")</f>
        <v/>
      </c>
      <c r="AL143" s="96" t="str">
        <f aca="false">IF(AND($AE143=Constants!$B$7, T143, U143) ,IF($Z143="", "", MAX(0,1-ABS($AA143-$Z143)/$AA143)),"")</f>
        <v/>
      </c>
      <c r="AM143" s="96" t="str">
        <f aca="false">IF(AND(NOT(ISERROR(AH143)),ISERROR(AL143)),$AM$6,"")</f>
        <v/>
      </c>
      <c r="AN143" s="96" t="str">
        <f aca="false">IF($AE143=Constants!$B$7 ,IF(AND(T143,U143,W143,ISNUMBER(Z143)),IF($AL$6=0,Constants!$B$10,Constants!$B$10*AL143/$AL$6), 0),"")</f>
        <v/>
      </c>
      <c r="AO143" s="96" t="str">
        <f aca="false">IF(AN143&lt;&gt;"", AN143*AG143,"")</f>
        <v/>
      </c>
      <c r="AP143" s="96" t="str">
        <f aca="false">IF($AE143=Constants!$B$7,IF($AP$6=0,Constants!$B$8,Constants!$B$8*AB143/$AP$6),"")</f>
        <v/>
      </c>
      <c r="AQ143" s="96" t="str">
        <f aca="false">IF($AE143&lt;&gt;Constants!$B$7,$AE143,AK143+AO143+AP143)</f>
        <v/>
      </c>
      <c r="AR143" s="96" t="str">
        <f aca="false">IF(ISBLANK($C143),"",IF($AE143=Constants!$B$7,RANK(AQ143,$AQ$8:$AQ$507),$AE143))</f>
        <v/>
      </c>
      <c r="AS143" s="96" t="str">
        <f aca="false">IF(ISBLANK($C143), "",AK143)</f>
        <v/>
      </c>
      <c r="AT143" s="96" t="str">
        <f aca="false">IF(ISBLANK($C143),"",IF($AE143=Constants!$B$7,RANK(AS143,AS$8:AS$507),$AE143))</f>
        <v/>
      </c>
      <c r="AU143" s="96" t="str">
        <f aca="false">IF(ISBLANK($C143), "",AP143)</f>
        <v/>
      </c>
      <c r="AV143" s="96" t="str">
        <f aca="false">IF(ISBLANK($C143),"",IF($AE143=Constants!$B$7,RANK(AU143,AU$8:AU$507),$AE143))</f>
        <v/>
      </c>
      <c r="AW143" s="96" t="str">
        <f aca="false">IF(ISBLANK($C143), "",AC143)</f>
        <v/>
      </c>
      <c r="AX143" s="96" t="str">
        <f aca="false">IF(ISBLANK($C143),"",
IF($AE143=Constants!$B$7,
  COUNTIFS($AR$8:$AR$507,"&lt;"&amp;$AR143)
  + COUNTIFS($AR$8:$AR$507,$AR143,$AT$8:$AT$507,"&lt;"&amp;$AT143)
  + COUNTIFS($AR$8:$AR$507,$AR143,$AT$8:$AT$507,$AT143,$AV$8:$AV$507,"&lt;"&amp;$AV143)
  + COUNTIFS($AR$8:$AR$507,$AR143,$AT$8:$AT$507,$AT143,$AV$8:$AV$507,$AV143,$AW$8:$AW$507,"&lt;"&amp;$AW143)
  + 1,
$AE143))</f>
        <v/>
      </c>
      <c r="AY143" s="96" t="str">
        <f aca="false">IF(ISBLANK(C143),"",IF($AE143=Constants!$B$7, AR143-AX143,$AE143))</f>
        <v/>
      </c>
      <c r="AZ143" s="100"/>
      <c r="BA143" s="101" t="str">
        <f aca="false">IF(ISBLANK($C143),"",TRIM(AI143&amp;" "&amp;AM143))</f>
        <v/>
      </c>
      <c r="BB143" s="102" t="str">
        <f aca="false">IF(ISBLANK($C143),"",IF($AE143&lt;&gt;Constants!$B$7, $AE143 ,AQ143))</f>
        <v/>
      </c>
      <c r="BC143" s="103" t="str">
        <f aca="false">IF(ISBLANK($C143),"",IF($AE143&lt;&gt;Constants!$B$7, $AE143 ,AF143))</f>
        <v/>
      </c>
      <c r="BD143" s="104" t="str">
        <f aca="false">IF(ISBLANK(C143),"",AY143)</f>
        <v/>
      </c>
      <c r="BE143" s="104" t="str">
        <f aca="false">IF(ISBLANK(C143),"",AX143)</f>
        <v/>
      </c>
      <c r="BF143" s="105" t="str">
        <f aca="false">IF(ISBLANK(C143),"",IFERROR(_xlfn.SWITCH(BE143, Constants!$B$4, COUNTA($C$8:$C642)+2, Constants!$B$5, COUNTA($C$8:$C642)+1, Constants!$B$6, COUNTA($C$8:$C642)),BE143))</f>
        <v/>
      </c>
      <c r="BG143" s="5"/>
      <c r="BH143" s="106" t="n">
        <f aca="false">IF(OR(ISNUMBER(BE143),BE143="DQ",BE143="P",BE143="NS"),
    1,
    0
)</f>
        <v>0</v>
      </c>
      <c r="BI143" s="106" t="n">
        <v>136</v>
      </c>
      <c r="BJ143" s="106" t="str">
        <f aca="false">IF(ISBLANK($C143),
    "",
   BF143+ROW($B143)/1000
)</f>
        <v/>
      </c>
      <c r="BK143" s="106" t="str">
        <f aca="false">IF(ISNUMBER(BJ143), RANK(BJ143,BJ$8:BJ$507,1), "")</f>
        <v/>
      </c>
      <c r="BL143" s="106" t="str">
        <f aca="false">IF(ISBLANK($C143),
    "",
    $B143
)</f>
        <v/>
      </c>
      <c r="BM143" s="106" t="str">
        <f aca="false">IF(ISBLANK($C143),
    "",
    $C143
)</f>
        <v/>
      </c>
      <c r="BN143" s="106" t="str">
        <f aca="false">IF(ISBLANK($C143),
    "",
    $D143
)</f>
        <v/>
      </c>
      <c r="BO143" s="107" t="str">
        <f aca="false">BC143</f>
        <v/>
      </c>
      <c r="BP143" s="108" t="str">
        <f aca="false">BB143</f>
        <v/>
      </c>
      <c r="BQ143" s="106" t="str">
        <f aca="false">IF(ISBLANK($C143),
    "",
    BE143
)</f>
        <v/>
      </c>
      <c r="BR143" s="109" t="str">
        <f aca="false">IF(BI143&gt;BH$7,
    "",
    VLOOKUP(BI143,BK$8:BQ642,7,FALSE())
)</f>
        <v/>
      </c>
      <c r="BS143" s="110" t="str">
        <f aca="false">IF(BI143&gt;BH$7,
    "",
    VLOOKUP(BI143,BK$8:BQ642,2,FALSE())
)</f>
        <v/>
      </c>
      <c r="BT143" s="110" t="str">
        <f aca="false">IF(BI143&gt;BH$7,
    "",
    VLOOKUP(BI143,BK$8:BQ642,3,FALSE())
)</f>
        <v/>
      </c>
      <c r="BU143" s="110" t="str">
        <f aca="false">IF(BI143&gt;BH$7,
    "",
    VLOOKUP(BI143,BK$8:BQ642,4,FALSE())
)</f>
        <v/>
      </c>
      <c r="BV143" s="110" t="str">
        <f aca="false">IF(BI143&gt;BH$7,
    "",
    VLOOKUP(BI143,BK$8:BQ642,5,FALSE())
)</f>
        <v/>
      </c>
      <c r="BW143" s="111" t="str">
        <f aca="false">IF(BI143&gt;BH$7,
    "",
    VLOOKUP(BI143,BK$8:BQ642,6,FALSE())
)</f>
        <v/>
      </c>
      <c r="BX143" s="50"/>
    </row>
    <row r="144" customFormat="false" ht="15.75" hidden="false" customHeight="false" outlineLevel="0" collapsed="false">
      <c r="A144" s="5"/>
      <c r="B144" s="122"/>
      <c r="C144" s="123"/>
      <c r="D144" s="112"/>
      <c r="E144" s="116"/>
      <c r="F144" s="116"/>
      <c r="G144" s="88"/>
      <c r="H144" s="89"/>
      <c r="I144" s="125"/>
      <c r="J144" s="125"/>
      <c r="K144" s="125"/>
      <c r="L144" s="91"/>
      <c r="M144" s="91"/>
      <c r="N144" s="91"/>
      <c r="O144" s="92"/>
      <c r="P144" s="93"/>
      <c r="Q144" s="125"/>
      <c r="R144" s="95"/>
      <c r="S144" s="96"/>
      <c r="T144" s="96" t="str">
        <f aca="false">IF(ISBLANK($C144),"",IF(G144=Constants!$B$2, TRUE(), IF(G144=Constants!$B$3, FALSE(), TRUE())))</f>
        <v/>
      </c>
      <c r="U144" s="96" t="str">
        <f aca="false">IF(ISBLANK($C144),"",IF(H144=Constants!$B$2, TRUE(), IF(H144=Constants!$B$3, FALSE(), TRUE())))</f>
        <v/>
      </c>
      <c r="V144" s="96" t="str">
        <f aca="false">IF(ISBLANK($C144),"",IF(I144=Constants!$B$2, TRUE(), IF(I144=Constants!$B$3, FALSE(), TRUE())))</f>
        <v/>
      </c>
      <c r="W144" s="96" t="str">
        <f aca="false">IF(ISBLANK($C144),"",IF(J144=Constants!$B$2, TRUE(), IF(J144=Constants!$B$3, FALSE(), TRUE())))</f>
        <v/>
      </c>
      <c r="X144" s="97" t="str">
        <f aca="false">IF(ISBLANK($C144),"",IF(K144=Constants!$B$2, TRUE(), IF(K144=Constants!$B$3, FALSE(), TRUE())))</f>
        <v/>
      </c>
      <c r="Y144" s="98" t="str">
        <f aca="false">IF(ISBLANK($C144),"",IF(ISNUMBER(L144), L144, ""))</f>
        <v/>
      </c>
      <c r="Z144" s="98" t="str">
        <f aca="false">IF(ISBLANK($C144),"",IF(ISNUMBER(M144), M144, ""))</f>
        <v/>
      </c>
      <c r="AA144" s="98" t="str">
        <f aca="false">IF(ISBLANK($C144),"",IF(ISNUMBER(N144), N144, ""))</f>
        <v/>
      </c>
      <c r="AB144" s="99" t="str">
        <f aca="false">IF(ISBLANK($C144),"",IF(ISNUMBER(O144), O144, ""))</f>
        <v/>
      </c>
      <c r="AC144" s="99" t="str">
        <f aca="false">IF(ISBLANK($C144),"",IF(ISNUMBER(P144), P144, Constants!$B$13))</f>
        <v/>
      </c>
      <c r="AD144" s="96" t="str">
        <f aca="false">IF(ISBLANK($C144),"",IF(Q144=Constants!$B$2, TRUE(), IF(Q144=Constants!$B$3, FALSE(), FALSE())))</f>
        <v/>
      </c>
      <c r="AE144" s="96" t="str">
        <f aca="false">IF(ISBLANK(C144), "", IF(AD144, Constants!$B$4,IF(COUNTA(G144:O144)=0, Constants!$B$5, Constants!$B$7)))</f>
        <v/>
      </c>
      <c r="AF144" s="96" t="str">
        <f aca="false">IF(ISBLANK($C144), "",IF($AE144=Constants!$B$7,1,$AE144))</f>
        <v/>
      </c>
      <c r="AG144" s="96" t="str">
        <f aca="false">IF($AE144=Constants!$B$7,IF(V144, 1, Constants!$B$11) * IF(X144, 1, Constants!$B$12),"")</f>
        <v/>
      </c>
      <c r="AH144" s="96" t="str">
        <f aca="false">IF(AND($AE144=Constants!$B$7, T144, U144) ,MAX(0, $AA144-$Y144),"")</f>
        <v/>
      </c>
      <c r="AI144" s="96" t="str">
        <f aca="false">IF(ISERROR(AH144),$AI$6,"")</f>
        <v/>
      </c>
      <c r="AJ144" s="96" t="str">
        <f aca="false">IF($AE144=Constants!$B$7,IF(AND(T144,U144,W144),IF($AH$6=0,Constants!$B$9,Constants!$B$9*AH144/$AH$6), 0),"")</f>
        <v/>
      </c>
      <c r="AK144" s="96" t="str">
        <f aca="false">IF(AJ144&lt;&gt;"", AJ144*AG144,"")</f>
        <v/>
      </c>
      <c r="AL144" s="96" t="str">
        <f aca="false">IF(AND($AE144=Constants!$B$7, T144, U144) ,IF($Z144="", "", MAX(0,1-ABS($AA144-$Z144)/$AA144)),"")</f>
        <v/>
      </c>
      <c r="AM144" s="96" t="str">
        <f aca="false">IF(AND(NOT(ISERROR(AH144)),ISERROR(AL144)),$AM$6,"")</f>
        <v/>
      </c>
      <c r="AN144" s="96" t="str">
        <f aca="false">IF($AE144=Constants!$B$7 ,IF(AND(T144,U144,W144,ISNUMBER(Z144)),IF($AL$6=0,Constants!$B$10,Constants!$B$10*AL144/$AL$6), 0),"")</f>
        <v/>
      </c>
      <c r="AO144" s="96" t="str">
        <f aca="false">IF(AN144&lt;&gt;"", AN144*AG144,"")</f>
        <v/>
      </c>
      <c r="AP144" s="96" t="str">
        <f aca="false">IF($AE144=Constants!$B$7,IF($AP$6=0,Constants!$B$8,Constants!$B$8*AB144/$AP$6),"")</f>
        <v/>
      </c>
      <c r="AQ144" s="96" t="str">
        <f aca="false">IF($AE144&lt;&gt;Constants!$B$7,$AE144,AK144+AO144+AP144)</f>
        <v/>
      </c>
      <c r="AR144" s="96" t="str">
        <f aca="false">IF(ISBLANK($C144),"",IF($AE144=Constants!$B$7,RANK(AQ144,$AQ$8:$AQ$507),$AE144))</f>
        <v/>
      </c>
      <c r="AS144" s="96" t="str">
        <f aca="false">IF(ISBLANK($C144), "",AK144)</f>
        <v/>
      </c>
      <c r="AT144" s="96" t="str">
        <f aca="false">IF(ISBLANK($C144),"",IF($AE144=Constants!$B$7,RANK(AS144,AS$8:AS$507),$AE144))</f>
        <v/>
      </c>
      <c r="AU144" s="96" t="str">
        <f aca="false">IF(ISBLANK($C144), "",AP144)</f>
        <v/>
      </c>
      <c r="AV144" s="96" t="str">
        <f aca="false">IF(ISBLANK($C144),"",IF($AE144=Constants!$B$7,RANK(AU144,AU$8:AU$507),$AE144))</f>
        <v/>
      </c>
      <c r="AW144" s="96" t="str">
        <f aca="false">IF(ISBLANK($C144), "",AC144)</f>
        <v/>
      </c>
      <c r="AX144" s="96" t="str">
        <f aca="false">IF(ISBLANK($C144),"",
IF($AE144=Constants!$B$7,
  COUNTIFS($AR$8:$AR$507,"&lt;"&amp;$AR144)
  + COUNTIFS($AR$8:$AR$507,$AR144,$AT$8:$AT$507,"&lt;"&amp;$AT144)
  + COUNTIFS($AR$8:$AR$507,$AR144,$AT$8:$AT$507,$AT144,$AV$8:$AV$507,"&lt;"&amp;$AV144)
  + COUNTIFS($AR$8:$AR$507,$AR144,$AT$8:$AT$507,$AT144,$AV$8:$AV$507,$AV144,$AW$8:$AW$507,"&lt;"&amp;$AW144)
  + 1,
$AE144))</f>
        <v/>
      </c>
      <c r="AY144" s="96" t="str">
        <f aca="false">IF(ISBLANK(C144),"",IF($AE144=Constants!$B$7, AR144-AX144,$AE144))</f>
        <v/>
      </c>
      <c r="AZ144" s="100"/>
      <c r="BA144" s="101" t="str">
        <f aca="false">IF(ISBLANK($C144),"",TRIM(AI144&amp;" "&amp;AM144))</f>
        <v/>
      </c>
      <c r="BB144" s="102" t="str">
        <f aca="false">IF(ISBLANK($C144),"",IF($AE144&lt;&gt;Constants!$B$7, $AE144 ,AQ144))</f>
        <v/>
      </c>
      <c r="BC144" s="103" t="str">
        <f aca="false">IF(ISBLANK($C144),"",IF($AE144&lt;&gt;Constants!$B$7, $AE144 ,AF144))</f>
        <v/>
      </c>
      <c r="BD144" s="104" t="str">
        <f aca="false">IF(ISBLANK(C144),"",AY144)</f>
        <v/>
      </c>
      <c r="BE144" s="104" t="str">
        <f aca="false">IF(ISBLANK(C144),"",AX144)</f>
        <v/>
      </c>
      <c r="BF144" s="105" t="str">
        <f aca="false">IF(ISBLANK(C144),"",IFERROR(_xlfn.SWITCH(BE144, Constants!$B$4, COUNTA($C$8:$C643)+2, Constants!$B$5, COUNTA($C$8:$C643)+1, Constants!$B$6, COUNTA($C$8:$C643)),BE144))</f>
        <v/>
      </c>
      <c r="BG144" s="5"/>
      <c r="BH144" s="106" t="n">
        <f aca="false">IF(OR(ISNUMBER(BE144),BE144="DQ",BE144="P",BE144="NS"),
    1,
    0
)</f>
        <v>0</v>
      </c>
      <c r="BI144" s="106" t="n">
        <v>137</v>
      </c>
      <c r="BJ144" s="106" t="str">
        <f aca="false">IF(ISBLANK($C144),
    "",
   BF144+ROW($B144)/1000
)</f>
        <v/>
      </c>
      <c r="BK144" s="106" t="str">
        <f aca="false">IF(ISNUMBER(BJ144), RANK(BJ144,BJ$8:BJ$507,1), "")</f>
        <v/>
      </c>
      <c r="BL144" s="106" t="str">
        <f aca="false">IF(ISBLANK($C144),
    "",
    $B144
)</f>
        <v/>
      </c>
      <c r="BM144" s="106" t="str">
        <f aca="false">IF(ISBLANK($C144),
    "",
    $C144
)</f>
        <v/>
      </c>
      <c r="BN144" s="106" t="str">
        <f aca="false">IF(ISBLANK($C144),
    "",
    $D144
)</f>
        <v/>
      </c>
      <c r="BO144" s="107" t="str">
        <f aca="false">BC144</f>
        <v/>
      </c>
      <c r="BP144" s="108" t="str">
        <f aca="false">BB144</f>
        <v/>
      </c>
      <c r="BQ144" s="106" t="str">
        <f aca="false">IF(ISBLANK($C144),
    "",
    BE144
)</f>
        <v/>
      </c>
      <c r="BR144" s="109" t="str">
        <f aca="false">IF(BI144&gt;BH$7,
    "",
    VLOOKUP(BI144,BK$8:BQ643,7,FALSE())
)</f>
        <v/>
      </c>
      <c r="BS144" s="110" t="str">
        <f aca="false">IF(BI144&gt;BH$7,
    "",
    VLOOKUP(BI144,BK$8:BQ643,2,FALSE())
)</f>
        <v/>
      </c>
      <c r="BT144" s="110" t="str">
        <f aca="false">IF(BI144&gt;BH$7,
    "",
    VLOOKUP(BI144,BK$8:BQ643,3,FALSE())
)</f>
        <v/>
      </c>
      <c r="BU144" s="110" t="str">
        <f aca="false">IF(BI144&gt;BH$7,
    "",
    VLOOKUP(BI144,BK$8:BQ643,4,FALSE())
)</f>
        <v/>
      </c>
      <c r="BV144" s="110" t="str">
        <f aca="false">IF(BI144&gt;BH$7,
    "",
    VLOOKUP(BI144,BK$8:BQ643,5,FALSE())
)</f>
        <v/>
      </c>
      <c r="BW144" s="111" t="str">
        <f aca="false">IF(BI144&gt;BH$7,
    "",
    VLOOKUP(BI144,BK$8:BQ643,6,FALSE())
)</f>
        <v/>
      </c>
      <c r="BX144" s="50"/>
    </row>
    <row r="145" customFormat="false" ht="15.75" hidden="false" customHeight="false" outlineLevel="0" collapsed="false">
      <c r="A145" s="5"/>
      <c r="B145" s="122"/>
      <c r="C145" s="123"/>
      <c r="D145" s="112"/>
      <c r="E145" s="116"/>
      <c r="F145" s="116"/>
      <c r="G145" s="88"/>
      <c r="H145" s="89"/>
      <c r="I145" s="125"/>
      <c r="J145" s="125"/>
      <c r="K145" s="125"/>
      <c r="L145" s="91"/>
      <c r="M145" s="91"/>
      <c r="N145" s="91"/>
      <c r="O145" s="92"/>
      <c r="P145" s="93"/>
      <c r="Q145" s="125"/>
      <c r="R145" s="95"/>
      <c r="S145" s="96"/>
      <c r="T145" s="96" t="str">
        <f aca="false">IF(ISBLANK($C145),"",IF(G145=Constants!$B$2, TRUE(), IF(G145=Constants!$B$3, FALSE(), TRUE())))</f>
        <v/>
      </c>
      <c r="U145" s="96" t="str">
        <f aca="false">IF(ISBLANK($C145),"",IF(H145=Constants!$B$2, TRUE(), IF(H145=Constants!$B$3, FALSE(), TRUE())))</f>
        <v/>
      </c>
      <c r="V145" s="96" t="str">
        <f aca="false">IF(ISBLANK($C145),"",IF(I145=Constants!$B$2, TRUE(), IF(I145=Constants!$B$3, FALSE(), TRUE())))</f>
        <v/>
      </c>
      <c r="W145" s="96" t="str">
        <f aca="false">IF(ISBLANK($C145),"",IF(J145=Constants!$B$2, TRUE(), IF(J145=Constants!$B$3, FALSE(), TRUE())))</f>
        <v/>
      </c>
      <c r="X145" s="97" t="str">
        <f aca="false">IF(ISBLANK($C145),"",IF(K145=Constants!$B$2, TRUE(), IF(K145=Constants!$B$3, FALSE(), TRUE())))</f>
        <v/>
      </c>
      <c r="Y145" s="98" t="str">
        <f aca="false">IF(ISBLANK($C145),"",IF(ISNUMBER(L145), L145, ""))</f>
        <v/>
      </c>
      <c r="Z145" s="98" t="str">
        <f aca="false">IF(ISBLANK($C145),"",IF(ISNUMBER(M145), M145, ""))</f>
        <v/>
      </c>
      <c r="AA145" s="98" t="str">
        <f aca="false">IF(ISBLANK($C145),"",IF(ISNUMBER(N145), N145, ""))</f>
        <v/>
      </c>
      <c r="AB145" s="99" t="str">
        <f aca="false">IF(ISBLANK($C145),"",IF(ISNUMBER(O145), O145, ""))</f>
        <v/>
      </c>
      <c r="AC145" s="99" t="str">
        <f aca="false">IF(ISBLANK($C145),"",IF(ISNUMBER(P145), P145, Constants!$B$13))</f>
        <v/>
      </c>
      <c r="AD145" s="96" t="str">
        <f aca="false">IF(ISBLANK($C145),"",IF(Q145=Constants!$B$2, TRUE(), IF(Q145=Constants!$B$3, FALSE(), FALSE())))</f>
        <v/>
      </c>
      <c r="AE145" s="96" t="str">
        <f aca="false">IF(ISBLANK(C145), "", IF(AD145, Constants!$B$4,IF(COUNTA(G145:O145)=0, Constants!$B$5, Constants!$B$7)))</f>
        <v/>
      </c>
      <c r="AF145" s="96" t="str">
        <f aca="false">IF(ISBLANK($C145), "",IF($AE145=Constants!$B$7,1,$AE145))</f>
        <v/>
      </c>
      <c r="AG145" s="96" t="str">
        <f aca="false">IF($AE145=Constants!$B$7,IF(V145, 1, Constants!$B$11) * IF(X145, 1, Constants!$B$12),"")</f>
        <v/>
      </c>
      <c r="AH145" s="96" t="str">
        <f aca="false">IF(AND($AE145=Constants!$B$7, T145, U145) ,MAX(0, $AA145-$Y145),"")</f>
        <v/>
      </c>
      <c r="AI145" s="96" t="str">
        <f aca="false">IF(ISERROR(AH145),$AI$6,"")</f>
        <v/>
      </c>
      <c r="AJ145" s="96" t="str">
        <f aca="false">IF($AE145=Constants!$B$7,IF(AND(T145,U145,W145),IF($AH$6=0,Constants!$B$9,Constants!$B$9*AH145/$AH$6), 0),"")</f>
        <v/>
      </c>
      <c r="AK145" s="96" t="str">
        <f aca="false">IF(AJ145&lt;&gt;"", AJ145*AG145,"")</f>
        <v/>
      </c>
      <c r="AL145" s="96" t="str">
        <f aca="false">IF(AND($AE145=Constants!$B$7, T145, U145) ,IF($Z145="", "", MAX(0,1-ABS($AA145-$Z145)/$AA145)),"")</f>
        <v/>
      </c>
      <c r="AM145" s="96" t="str">
        <f aca="false">IF(AND(NOT(ISERROR(AH145)),ISERROR(AL145)),$AM$6,"")</f>
        <v/>
      </c>
      <c r="AN145" s="96" t="str">
        <f aca="false">IF($AE145=Constants!$B$7 ,IF(AND(T145,U145,W145,ISNUMBER(Z145)),IF($AL$6=0,Constants!$B$10,Constants!$B$10*AL145/$AL$6), 0),"")</f>
        <v/>
      </c>
      <c r="AO145" s="96" t="str">
        <f aca="false">IF(AN145&lt;&gt;"", AN145*AG145,"")</f>
        <v/>
      </c>
      <c r="AP145" s="96" t="str">
        <f aca="false">IF($AE145=Constants!$B$7,IF($AP$6=0,Constants!$B$8,Constants!$B$8*AB145/$AP$6),"")</f>
        <v/>
      </c>
      <c r="AQ145" s="96" t="str">
        <f aca="false">IF($AE145&lt;&gt;Constants!$B$7,$AE145,AK145+AO145+AP145)</f>
        <v/>
      </c>
      <c r="AR145" s="96" t="str">
        <f aca="false">IF(ISBLANK($C145),"",IF($AE145=Constants!$B$7,RANK(AQ145,$AQ$8:$AQ$507),$AE145))</f>
        <v/>
      </c>
      <c r="AS145" s="96" t="str">
        <f aca="false">IF(ISBLANK($C145), "",AK145)</f>
        <v/>
      </c>
      <c r="AT145" s="96" t="str">
        <f aca="false">IF(ISBLANK($C145),"",IF($AE145=Constants!$B$7,RANK(AS145,AS$8:AS$507),$AE145))</f>
        <v/>
      </c>
      <c r="AU145" s="96" t="str">
        <f aca="false">IF(ISBLANK($C145), "",AP145)</f>
        <v/>
      </c>
      <c r="AV145" s="96" t="str">
        <f aca="false">IF(ISBLANK($C145),"",IF($AE145=Constants!$B$7,RANK(AU145,AU$8:AU$507),$AE145))</f>
        <v/>
      </c>
      <c r="AW145" s="96" t="str">
        <f aca="false">IF(ISBLANK($C145), "",AC145)</f>
        <v/>
      </c>
      <c r="AX145" s="96" t="str">
        <f aca="false">IF(ISBLANK($C145),"",
IF($AE145=Constants!$B$7,
  COUNTIFS($AR$8:$AR$507,"&lt;"&amp;$AR145)
  + COUNTIFS($AR$8:$AR$507,$AR145,$AT$8:$AT$507,"&lt;"&amp;$AT145)
  + COUNTIFS($AR$8:$AR$507,$AR145,$AT$8:$AT$507,$AT145,$AV$8:$AV$507,"&lt;"&amp;$AV145)
  + COUNTIFS($AR$8:$AR$507,$AR145,$AT$8:$AT$507,$AT145,$AV$8:$AV$507,$AV145,$AW$8:$AW$507,"&lt;"&amp;$AW145)
  + 1,
$AE145))</f>
        <v/>
      </c>
      <c r="AY145" s="96" t="str">
        <f aca="false">IF(ISBLANK(C145),"",IF($AE145=Constants!$B$7, AR145-AX145,$AE145))</f>
        <v/>
      </c>
      <c r="AZ145" s="100"/>
      <c r="BA145" s="101" t="str">
        <f aca="false">IF(ISBLANK($C145),"",TRIM(AI145&amp;" "&amp;AM145))</f>
        <v/>
      </c>
      <c r="BB145" s="102" t="str">
        <f aca="false">IF(ISBLANK($C145),"",IF($AE145&lt;&gt;Constants!$B$7, $AE145 ,AQ145))</f>
        <v/>
      </c>
      <c r="BC145" s="103" t="str">
        <f aca="false">IF(ISBLANK($C145),"",IF($AE145&lt;&gt;Constants!$B$7, $AE145 ,AF145))</f>
        <v/>
      </c>
      <c r="BD145" s="104" t="str">
        <f aca="false">IF(ISBLANK(C145),"",AY145)</f>
        <v/>
      </c>
      <c r="BE145" s="104" t="str">
        <f aca="false">IF(ISBLANK(C145),"",AX145)</f>
        <v/>
      </c>
      <c r="BF145" s="105" t="str">
        <f aca="false">IF(ISBLANK(C145),"",IFERROR(_xlfn.SWITCH(BE145, Constants!$B$4, COUNTA($C$8:$C644)+2, Constants!$B$5, COUNTA($C$8:$C644)+1, Constants!$B$6, COUNTA($C$8:$C644)),BE145))</f>
        <v/>
      </c>
      <c r="BG145" s="5"/>
      <c r="BH145" s="106" t="n">
        <f aca="false">IF(OR(ISNUMBER(BE145),BE145="DQ",BE145="P",BE145="NS"),
    1,
    0
)</f>
        <v>0</v>
      </c>
      <c r="BI145" s="106" t="n">
        <v>138</v>
      </c>
      <c r="BJ145" s="106" t="str">
        <f aca="false">IF(ISBLANK($C145),
    "",
   BF145+ROW($B145)/1000
)</f>
        <v/>
      </c>
      <c r="BK145" s="106" t="str">
        <f aca="false">IF(ISNUMBER(BJ145), RANK(BJ145,BJ$8:BJ$507,1), "")</f>
        <v/>
      </c>
      <c r="BL145" s="106" t="str">
        <f aca="false">IF(ISBLANK($C145),
    "",
    $B145
)</f>
        <v/>
      </c>
      <c r="BM145" s="106" t="str">
        <f aca="false">IF(ISBLANK($C145),
    "",
    $C145
)</f>
        <v/>
      </c>
      <c r="BN145" s="106" t="str">
        <f aca="false">IF(ISBLANK($C145),
    "",
    $D145
)</f>
        <v/>
      </c>
      <c r="BO145" s="107" t="str">
        <f aca="false">BC145</f>
        <v/>
      </c>
      <c r="BP145" s="108" t="str">
        <f aca="false">BB145</f>
        <v/>
      </c>
      <c r="BQ145" s="106" t="str">
        <f aca="false">IF(ISBLANK($C145),
    "",
    BE145
)</f>
        <v/>
      </c>
      <c r="BR145" s="109" t="str">
        <f aca="false">IF(BI145&gt;BH$7,
    "",
    VLOOKUP(BI145,BK$8:BQ644,7,FALSE())
)</f>
        <v/>
      </c>
      <c r="BS145" s="110" t="str">
        <f aca="false">IF(BI145&gt;BH$7,
    "",
    VLOOKUP(BI145,BK$8:BQ644,2,FALSE())
)</f>
        <v/>
      </c>
      <c r="BT145" s="110" t="str">
        <f aca="false">IF(BI145&gt;BH$7,
    "",
    VLOOKUP(BI145,BK$8:BQ644,3,FALSE())
)</f>
        <v/>
      </c>
      <c r="BU145" s="110" t="str">
        <f aca="false">IF(BI145&gt;BH$7,
    "",
    VLOOKUP(BI145,BK$8:BQ644,4,FALSE())
)</f>
        <v/>
      </c>
      <c r="BV145" s="110" t="str">
        <f aca="false">IF(BI145&gt;BH$7,
    "",
    VLOOKUP(BI145,BK$8:BQ644,5,FALSE())
)</f>
        <v/>
      </c>
      <c r="BW145" s="111" t="str">
        <f aca="false">IF(BI145&gt;BH$7,
    "",
    VLOOKUP(BI145,BK$8:BQ644,6,FALSE())
)</f>
        <v/>
      </c>
      <c r="BX145" s="50"/>
    </row>
    <row r="146" customFormat="false" ht="15.75" hidden="false" customHeight="false" outlineLevel="0" collapsed="false">
      <c r="A146" s="5"/>
      <c r="B146" s="126"/>
      <c r="C146" s="52"/>
      <c r="D146" s="53"/>
      <c r="E146" s="120"/>
      <c r="F146" s="120"/>
      <c r="G146" s="55"/>
      <c r="H146" s="56"/>
      <c r="I146" s="80"/>
      <c r="J146" s="80"/>
      <c r="K146" s="80"/>
      <c r="L146" s="58"/>
      <c r="M146" s="58"/>
      <c r="N146" s="58"/>
      <c r="O146" s="59"/>
      <c r="P146" s="60"/>
      <c r="Q146" s="80"/>
      <c r="R146" s="62"/>
      <c r="S146" s="63"/>
      <c r="T146" s="63" t="str">
        <f aca="false">IF(ISBLANK($C146),"",IF(G146=Constants!$B$2, TRUE(), IF(G146=Constants!$B$3, FALSE(), TRUE())))</f>
        <v/>
      </c>
      <c r="U146" s="63" t="str">
        <f aca="false">IF(ISBLANK($C146),"",IF(H146=Constants!$B$2, TRUE(), IF(H146=Constants!$B$3, FALSE(), TRUE())))</f>
        <v/>
      </c>
      <c r="V146" s="63" t="str">
        <f aca="false">IF(ISBLANK($C146),"",IF(I146=Constants!$B$2, TRUE(), IF(I146=Constants!$B$3, FALSE(), TRUE())))</f>
        <v/>
      </c>
      <c r="W146" s="63" t="str">
        <f aca="false">IF(ISBLANK($C146),"",IF(J146=Constants!$B$2, TRUE(), IF(J146=Constants!$B$3, FALSE(), TRUE())))</f>
        <v/>
      </c>
      <c r="X146" s="63" t="str">
        <f aca="false">IF(ISBLANK($C146),"",IF(K146=Constants!$B$2, TRUE(), IF(K146=Constants!$B$3, FALSE(), TRUE())))</f>
        <v/>
      </c>
      <c r="Y146" s="65" t="str">
        <f aca="false">IF(ISBLANK($C146),"",IF(ISNUMBER(L146), L146, ""))</f>
        <v/>
      </c>
      <c r="Z146" s="65" t="str">
        <f aca="false">IF(ISBLANK($C146),"",IF(ISNUMBER(M146), M146, ""))</f>
        <v/>
      </c>
      <c r="AA146" s="65" t="str">
        <f aca="false">IF(ISBLANK($C146),"",IF(ISNUMBER(N146), N146, ""))</f>
        <v/>
      </c>
      <c r="AB146" s="66" t="str">
        <f aca="false">IF(ISBLANK($C146),"",IF(ISNUMBER(O146), O146, ""))</f>
        <v/>
      </c>
      <c r="AC146" s="66" t="str">
        <f aca="false">IF(ISBLANK($C146),"",IF(ISNUMBER(P146), P146, Constants!$B$13))</f>
        <v/>
      </c>
      <c r="AD146" s="63" t="str">
        <f aca="false">IF(ISBLANK($C146),"",IF(Q146=Constants!$B$2, TRUE(), IF(Q146=Constants!$B$3, FALSE(), FALSE())))</f>
        <v/>
      </c>
      <c r="AE146" s="63" t="str">
        <f aca="false">IF(ISBLANK(C146), "", IF(AD146, Constants!$B$4,IF(COUNTA(G146:O146)=0, Constants!$B$5, Constants!$B$7)))</f>
        <v/>
      </c>
      <c r="AF146" s="63" t="str">
        <f aca="false">IF(ISBLANK($C146), "",IF($AE146=Constants!$B$7,1,$AE146))</f>
        <v/>
      </c>
      <c r="AG146" s="63" t="str">
        <f aca="false">IF($AE146=Constants!$B$7,IF(V146, 1, Constants!$B$11) * IF(X146, 1, Constants!$B$12),"")</f>
        <v/>
      </c>
      <c r="AH146" s="63" t="str">
        <f aca="false">IF(AND($AE146=Constants!$B$7, T146, U146) ,MAX(0, $AA146-$Y146),"")</f>
        <v/>
      </c>
      <c r="AI146" s="63" t="str">
        <f aca="false">IF(ISERROR(AH146),$AI$6,"")</f>
        <v/>
      </c>
      <c r="AJ146" s="63" t="str">
        <f aca="false">IF($AE146=Constants!$B$7,IF(AND(T146,U146,W146),IF($AH$6=0,Constants!$B$9,Constants!$B$9*AH146/$AH$6), 0),"")</f>
        <v/>
      </c>
      <c r="AK146" s="63" t="str">
        <f aca="false">IF(AJ146&lt;&gt;"", AJ146*AG146,"")</f>
        <v/>
      </c>
      <c r="AL146" s="63" t="str">
        <f aca="false">IF(AND($AE146=Constants!$B$7, T146, U146) ,IF($Z146="", "", MAX(0,1-ABS($AA146-$Z146)/$AA146)),"")</f>
        <v/>
      </c>
      <c r="AM146" s="63" t="str">
        <f aca="false">IF(AND(NOT(ISERROR(AH146)),ISERROR(AL146)),$AM$6,"")</f>
        <v/>
      </c>
      <c r="AN146" s="63" t="str">
        <f aca="false">IF($AE146=Constants!$B$7 ,IF(AND(T146,U146,W146,ISNUMBER(Z146)),IF($AL$6=0,Constants!$B$10,Constants!$B$10*AL146/$AL$6), 0),"")</f>
        <v/>
      </c>
      <c r="AO146" s="63" t="str">
        <f aca="false">IF(AN146&lt;&gt;"", AN146*AG146,"")</f>
        <v/>
      </c>
      <c r="AP146" s="63" t="str">
        <f aca="false">IF($AE146=Constants!$B$7,IF($AP$6=0,Constants!$B$8,Constants!$B$8*AB146/$AP$6),"")</f>
        <v/>
      </c>
      <c r="AQ146" s="63" t="str">
        <f aca="false">IF($AE146&lt;&gt;Constants!$B$7,$AE146,AK146+AO146+AP146)</f>
        <v/>
      </c>
      <c r="AR146" s="63" t="str">
        <f aca="false">IF(ISBLANK($C146),"",IF($AE146=Constants!$B$7,RANK(AQ146,$AQ$8:$AQ$507),$AE146))</f>
        <v/>
      </c>
      <c r="AS146" s="63" t="str">
        <f aca="false">IF(ISBLANK($C146), "",AK146)</f>
        <v/>
      </c>
      <c r="AT146" s="63" t="str">
        <f aca="false">IF(ISBLANK($C146),"",IF($AE146=Constants!$B$7,RANK(AS146,AS$8:AS$507),$AE146))</f>
        <v/>
      </c>
      <c r="AU146" s="63" t="str">
        <f aca="false">IF(ISBLANK($C146), "",AP146)</f>
        <v/>
      </c>
      <c r="AV146" s="63" t="str">
        <f aca="false">IF(ISBLANK($C146),"",IF($AE146=Constants!$B$7,RANK(AU146,AU$8:AU$507),$AE146))</f>
        <v/>
      </c>
      <c r="AW146" s="63" t="str">
        <f aca="false">IF(ISBLANK($C146), "",AC146)</f>
        <v/>
      </c>
      <c r="AX146" s="63" t="str">
        <f aca="false">IF(ISBLANK($C146),"",
IF($AE146=Constants!$B$7,
  COUNTIFS($AR$8:$AR$507,"&lt;"&amp;$AR146)
  + COUNTIFS($AR$8:$AR$507,$AR146,$AT$8:$AT$507,"&lt;"&amp;$AT146)
  + COUNTIFS($AR$8:$AR$507,$AR146,$AT$8:$AT$507,$AT146,$AV$8:$AV$507,"&lt;"&amp;$AV146)
  + COUNTIFS($AR$8:$AR$507,$AR146,$AT$8:$AT$507,$AT146,$AV$8:$AV$507,$AV146,$AW$8:$AW$507,"&lt;"&amp;$AW146)
  + 1,
$AE146))</f>
        <v/>
      </c>
      <c r="AY146" s="63" t="str">
        <f aca="false">IF(ISBLANK(C146),"",IF($AE146=Constants!$B$7, AR146-AX146,$AE146))</f>
        <v/>
      </c>
      <c r="AZ146" s="67"/>
      <c r="BA146" s="81" t="str">
        <f aca="false">IF(ISBLANK($C146),"",TRIM(AI146&amp;" "&amp;AM146))</f>
        <v/>
      </c>
      <c r="BB146" s="69" t="str">
        <f aca="false">IF(ISBLANK($C146),"",IF($AE146&lt;&gt;Constants!$B$7, $AE146 ,AQ146))</f>
        <v/>
      </c>
      <c r="BC146" s="70" t="str">
        <f aca="false">IF(ISBLANK($C146),"",IF($AE146&lt;&gt;Constants!$B$7, $AE146 ,AF146))</f>
        <v/>
      </c>
      <c r="BD146" s="71" t="str">
        <f aca="false">IF(ISBLANK(C146),"",AY146)</f>
        <v/>
      </c>
      <c r="BE146" s="71" t="str">
        <f aca="false">IF(ISBLANK(C146),"",AX146)</f>
        <v/>
      </c>
      <c r="BF146" s="72" t="str">
        <f aca="false">IF(ISBLANK(C146),"",IFERROR(_xlfn.SWITCH(BE146, Constants!$B$4, COUNTA($C$8:$C645)+2, Constants!$B$5, COUNTA($C$8:$C645)+1, Constants!$B$6, COUNTA($C$8:$C645)),BE146))</f>
        <v/>
      </c>
      <c r="BG146" s="5"/>
      <c r="BH146" s="73" t="n">
        <f aca="false">IF(OR(ISNUMBER(BE146),BE146="DQ",BE146="P",BE146="NS"),
    1,
    0
)</f>
        <v>0</v>
      </c>
      <c r="BI146" s="73" t="n">
        <v>139</v>
      </c>
      <c r="BJ146" s="73" t="str">
        <f aca="false">IF(ISBLANK($C146),
    "",
   BF146+ROW($B146)/1000
)</f>
        <v/>
      </c>
      <c r="BK146" s="73" t="str">
        <f aca="false">IF(ISNUMBER(BJ146), RANK(BJ146,BJ$8:BJ$507,1), "")</f>
        <v/>
      </c>
      <c r="BL146" s="73" t="str">
        <f aca="false">IF(ISBLANK($C146),
    "",
    $B146
)</f>
        <v/>
      </c>
      <c r="BM146" s="73" t="str">
        <f aca="false">IF(ISBLANK($C146),
    "",
    $C146
)</f>
        <v/>
      </c>
      <c r="BN146" s="73" t="str">
        <f aca="false">IF(ISBLANK($C146),
    "",
    $D146
)</f>
        <v/>
      </c>
      <c r="BO146" s="74" t="str">
        <f aca="false">BC146</f>
        <v/>
      </c>
      <c r="BP146" s="75" t="str">
        <f aca="false">BB146</f>
        <v/>
      </c>
      <c r="BQ146" s="73" t="str">
        <f aca="false">IF(ISBLANK($C146),
    "",
    BE146
)</f>
        <v/>
      </c>
      <c r="BR146" s="76" t="str">
        <f aca="false">IF(BI146&gt;BH$7,
    "",
    VLOOKUP(BI146,BK$8:BQ645,7,FALSE())
)</f>
        <v/>
      </c>
      <c r="BS146" s="77" t="str">
        <f aca="false">IF(BI146&gt;BH$7,
    "",
    VLOOKUP(BI146,BK$8:BQ645,2,FALSE())
)</f>
        <v/>
      </c>
      <c r="BT146" s="77" t="str">
        <f aca="false">IF(BI146&gt;BH$7,
    "",
    VLOOKUP(BI146,BK$8:BQ645,3,FALSE())
)</f>
        <v/>
      </c>
      <c r="BU146" s="77" t="str">
        <f aca="false">IF(BI146&gt;BH$7,
    "",
    VLOOKUP(BI146,BK$8:BQ645,4,FALSE())
)</f>
        <v/>
      </c>
      <c r="BV146" s="77" t="str">
        <f aca="false">IF(BI146&gt;BH$7,
    "",
    VLOOKUP(BI146,BK$8:BQ645,5,FALSE())
)</f>
        <v/>
      </c>
      <c r="BW146" s="78" t="str">
        <f aca="false">IF(BI146&gt;BH$7,
    "",
    VLOOKUP(BI146,BK$8:BQ645,6,FALSE())
)</f>
        <v/>
      </c>
      <c r="BX146" s="50"/>
    </row>
    <row r="147" customFormat="false" ht="15.75" hidden="false" customHeight="false" outlineLevel="0" collapsed="false">
      <c r="A147" s="5"/>
      <c r="B147" s="126"/>
      <c r="C147" s="52"/>
      <c r="D147" s="53"/>
      <c r="E147" s="120"/>
      <c r="F147" s="120"/>
      <c r="G147" s="55"/>
      <c r="H147" s="56"/>
      <c r="I147" s="80"/>
      <c r="J147" s="80"/>
      <c r="K147" s="80"/>
      <c r="L147" s="58"/>
      <c r="M147" s="58"/>
      <c r="N147" s="58"/>
      <c r="O147" s="59"/>
      <c r="P147" s="60"/>
      <c r="Q147" s="80"/>
      <c r="R147" s="62"/>
      <c r="S147" s="63"/>
      <c r="T147" s="63" t="str">
        <f aca="false">IF(ISBLANK($C147),"",IF(G147=Constants!$B$2, TRUE(), IF(G147=Constants!$B$3, FALSE(), TRUE())))</f>
        <v/>
      </c>
      <c r="U147" s="63" t="str">
        <f aca="false">IF(ISBLANK($C147),"",IF(H147=Constants!$B$2, TRUE(), IF(H147=Constants!$B$3, FALSE(), TRUE())))</f>
        <v/>
      </c>
      <c r="V147" s="63" t="str">
        <f aca="false">IF(ISBLANK($C147),"",IF(I147=Constants!$B$2, TRUE(), IF(I147=Constants!$B$3, FALSE(), TRUE())))</f>
        <v/>
      </c>
      <c r="W147" s="63" t="str">
        <f aca="false">IF(ISBLANK($C147),"",IF(J147=Constants!$B$2, TRUE(), IF(J147=Constants!$B$3, FALSE(), TRUE())))</f>
        <v/>
      </c>
      <c r="X147" s="63" t="str">
        <f aca="false">IF(ISBLANK($C147),"",IF(K147=Constants!$B$2, TRUE(), IF(K147=Constants!$B$3, FALSE(), TRUE())))</f>
        <v/>
      </c>
      <c r="Y147" s="65" t="str">
        <f aca="false">IF(ISBLANK($C147),"",IF(ISNUMBER(L147), L147, ""))</f>
        <v/>
      </c>
      <c r="Z147" s="65" t="str">
        <f aca="false">IF(ISBLANK($C147),"",IF(ISNUMBER(M147), M147, ""))</f>
        <v/>
      </c>
      <c r="AA147" s="65" t="str">
        <f aca="false">IF(ISBLANK($C147),"",IF(ISNUMBER(N147), N147, ""))</f>
        <v/>
      </c>
      <c r="AB147" s="66" t="str">
        <f aca="false">IF(ISBLANK($C147),"",IF(ISNUMBER(O147), O147, ""))</f>
        <v/>
      </c>
      <c r="AC147" s="66" t="str">
        <f aca="false">IF(ISBLANK($C147),"",IF(ISNUMBER(P147), P147, Constants!$B$13))</f>
        <v/>
      </c>
      <c r="AD147" s="63" t="str">
        <f aca="false">IF(ISBLANK($C147),"",IF(Q147=Constants!$B$2, TRUE(), IF(Q147=Constants!$B$3, FALSE(), FALSE())))</f>
        <v/>
      </c>
      <c r="AE147" s="63" t="str">
        <f aca="false">IF(ISBLANK(C147), "", IF(AD147, Constants!$B$4,IF(COUNTA(G147:O147)=0, Constants!$B$5, Constants!$B$7)))</f>
        <v/>
      </c>
      <c r="AF147" s="63" t="str">
        <f aca="false">IF(ISBLANK($C147), "",IF($AE147=Constants!$B$7,1,$AE147))</f>
        <v/>
      </c>
      <c r="AG147" s="63" t="str">
        <f aca="false">IF($AE147=Constants!$B$7,IF(V147, 1, Constants!$B$11) * IF(X147, 1, Constants!$B$12),"")</f>
        <v/>
      </c>
      <c r="AH147" s="63" t="str">
        <f aca="false">IF(AND($AE147=Constants!$B$7, T147, U147) ,MAX(0, $AA147-$Y147),"")</f>
        <v/>
      </c>
      <c r="AI147" s="63" t="str">
        <f aca="false">IF(ISERROR(AH147),$AI$6,"")</f>
        <v/>
      </c>
      <c r="AJ147" s="63" t="str">
        <f aca="false">IF($AE147=Constants!$B$7,IF(AND(T147,U147,W147),IF($AH$6=0,Constants!$B$9,Constants!$B$9*AH147/$AH$6), 0),"")</f>
        <v/>
      </c>
      <c r="AK147" s="63" t="str">
        <f aca="false">IF(AJ147&lt;&gt;"", AJ147*AG147,"")</f>
        <v/>
      </c>
      <c r="AL147" s="63" t="str">
        <f aca="false">IF(AND($AE147=Constants!$B$7, T147, U147) ,IF($Z147="", "", MAX(0,1-ABS($AA147-$Z147)/$AA147)),"")</f>
        <v/>
      </c>
      <c r="AM147" s="63" t="str">
        <f aca="false">IF(AND(NOT(ISERROR(AH147)),ISERROR(AL147)),$AM$6,"")</f>
        <v/>
      </c>
      <c r="AN147" s="63" t="str">
        <f aca="false">IF($AE147=Constants!$B$7 ,IF(AND(T147,U147,W147,ISNUMBER(Z147)),IF($AL$6=0,Constants!$B$10,Constants!$B$10*AL147/$AL$6), 0),"")</f>
        <v/>
      </c>
      <c r="AO147" s="63" t="str">
        <f aca="false">IF(AN147&lt;&gt;"", AN147*AG147,"")</f>
        <v/>
      </c>
      <c r="AP147" s="63" t="str">
        <f aca="false">IF($AE147=Constants!$B$7,IF($AP$6=0,Constants!$B$8,Constants!$B$8*AB147/$AP$6),"")</f>
        <v/>
      </c>
      <c r="AQ147" s="63" t="str">
        <f aca="false">IF($AE147&lt;&gt;Constants!$B$7,$AE147,AK147+AO147+AP147)</f>
        <v/>
      </c>
      <c r="AR147" s="63" t="str">
        <f aca="false">IF(ISBLANK($C147),"",IF($AE147=Constants!$B$7,RANK(AQ147,$AQ$8:$AQ$507),$AE147))</f>
        <v/>
      </c>
      <c r="AS147" s="63" t="str">
        <f aca="false">IF(ISBLANK($C147), "",AK147)</f>
        <v/>
      </c>
      <c r="AT147" s="63" t="str">
        <f aca="false">IF(ISBLANK($C147),"",IF($AE147=Constants!$B$7,RANK(AS147,AS$8:AS$507),$AE147))</f>
        <v/>
      </c>
      <c r="AU147" s="63" t="str">
        <f aca="false">IF(ISBLANK($C147), "",AP147)</f>
        <v/>
      </c>
      <c r="AV147" s="63" t="str">
        <f aca="false">IF(ISBLANK($C147),"",IF($AE147=Constants!$B$7,RANK(AU147,AU$8:AU$507),$AE147))</f>
        <v/>
      </c>
      <c r="AW147" s="63" t="str">
        <f aca="false">IF(ISBLANK($C147), "",AC147)</f>
        <v/>
      </c>
      <c r="AX147" s="63" t="str">
        <f aca="false">IF(ISBLANK($C147),"",
IF($AE147=Constants!$B$7,
  COUNTIFS($AR$8:$AR$507,"&lt;"&amp;$AR147)
  + COUNTIFS($AR$8:$AR$507,$AR147,$AT$8:$AT$507,"&lt;"&amp;$AT147)
  + COUNTIFS($AR$8:$AR$507,$AR147,$AT$8:$AT$507,$AT147,$AV$8:$AV$507,"&lt;"&amp;$AV147)
  + COUNTIFS($AR$8:$AR$507,$AR147,$AT$8:$AT$507,$AT147,$AV$8:$AV$507,$AV147,$AW$8:$AW$507,"&lt;"&amp;$AW147)
  + 1,
$AE147))</f>
        <v/>
      </c>
      <c r="AY147" s="63" t="str">
        <f aca="false">IF(ISBLANK(C147),"",IF($AE147=Constants!$B$7, AR147-AX147,$AE147))</f>
        <v/>
      </c>
      <c r="AZ147" s="67"/>
      <c r="BA147" s="81" t="str">
        <f aca="false">IF(ISBLANK($C147),"",TRIM(AI147&amp;" "&amp;AM147))</f>
        <v/>
      </c>
      <c r="BB147" s="69" t="str">
        <f aca="false">IF(ISBLANK($C147),"",IF($AE147&lt;&gt;Constants!$B$7, $AE147 ,AQ147))</f>
        <v/>
      </c>
      <c r="BC147" s="70" t="str">
        <f aca="false">IF(ISBLANK($C147),"",IF($AE147&lt;&gt;Constants!$B$7, $AE147 ,AF147))</f>
        <v/>
      </c>
      <c r="BD147" s="71" t="str">
        <f aca="false">IF(ISBLANK(C147),"",AY147)</f>
        <v/>
      </c>
      <c r="BE147" s="71" t="str">
        <f aca="false">IF(ISBLANK(C147),"",AX147)</f>
        <v/>
      </c>
      <c r="BF147" s="72" t="str">
        <f aca="false">IF(ISBLANK(C147),"",IFERROR(_xlfn.SWITCH(BE147, Constants!$B$4, COUNTA($C$8:$C646)+2, Constants!$B$5, COUNTA($C$8:$C646)+1, Constants!$B$6, COUNTA($C$8:$C646)),BE147))</f>
        <v/>
      </c>
      <c r="BG147" s="5"/>
      <c r="BH147" s="73" t="n">
        <f aca="false">IF(OR(ISNUMBER(BE147),BE147="DQ",BE147="P",BE147="NS"),
    1,
    0
)</f>
        <v>0</v>
      </c>
      <c r="BI147" s="73" t="n">
        <v>140</v>
      </c>
      <c r="BJ147" s="73" t="str">
        <f aca="false">IF(ISBLANK($C147),
    "",
   BF147+ROW($B147)/1000
)</f>
        <v/>
      </c>
      <c r="BK147" s="73" t="str">
        <f aca="false">IF(ISNUMBER(BJ147), RANK(BJ147,BJ$8:BJ$507,1), "")</f>
        <v/>
      </c>
      <c r="BL147" s="73" t="str">
        <f aca="false">IF(ISBLANK($C147),
    "",
    $B147
)</f>
        <v/>
      </c>
      <c r="BM147" s="73" t="str">
        <f aca="false">IF(ISBLANK($C147),
    "",
    $C147
)</f>
        <v/>
      </c>
      <c r="BN147" s="73" t="str">
        <f aca="false">IF(ISBLANK($C147),
    "",
    $D147
)</f>
        <v/>
      </c>
      <c r="BO147" s="74" t="str">
        <f aca="false">BC147</f>
        <v/>
      </c>
      <c r="BP147" s="75" t="str">
        <f aca="false">BB147</f>
        <v/>
      </c>
      <c r="BQ147" s="73" t="str">
        <f aca="false">IF(ISBLANK($C147),
    "",
    BE147
)</f>
        <v/>
      </c>
      <c r="BR147" s="76" t="str">
        <f aca="false">IF(BI147&gt;BH$7,
    "",
    VLOOKUP(BI147,BK$8:BQ646,7,FALSE())
)</f>
        <v/>
      </c>
      <c r="BS147" s="77" t="str">
        <f aca="false">IF(BI147&gt;BH$7,
    "",
    VLOOKUP(BI147,BK$8:BQ646,2,FALSE())
)</f>
        <v/>
      </c>
      <c r="BT147" s="77" t="str">
        <f aca="false">IF(BI147&gt;BH$7,
    "",
    VLOOKUP(BI147,BK$8:BQ646,3,FALSE())
)</f>
        <v/>
      </c>
      <c r="BU147" s="77" t="str">
        <f aca="false">IF(BI147&gt;BH$7,
    "",
    VLOOKUP(BI147,BK$8:BQ646,4,FALSE())
)</f>
        <v/>
      </c>
      <c r="BV147" s="77" t="str">
        <f aca="false">IF(BI147&gt;BH$7,
    "",
    VLOOKUP(BI147,BK$8:BQ646,5,FALSE())
)</f>
        <v/>
      </c>
      <c r="BW147" s="78" t="str">
        <f aca="false">IF(BI147&gt;BH$7,
    "",
    VLOOKUP(BI147,BK$8:BQ646,6,FALSE())
)</f>
        <v/>
      </c>
      <c r="BX147" s="50"/>
    </row>
    <row r="148" customFormat="false" ht="15.75" hidden="false" customHeight="false" outlineLevel="0" collapsed="false">
      <c r="A148" s="5"/>
      <c r="B148" s="126"/>
      <c r="C148" s="52"/>
      <c r="D148" s="53"/>
      <c r="E148" s="120"/>
      <c r="F148" s="120"/>
      <c r="G148" s="55"/>
      <c r="H148" s="56"/>
      <c r="I148" s="80"/>
      <c r="J148" s="80"/>
      <c r="K148" s="80"/>
      <c r="L148" s="58"/>
      <c r="M148" s="58"/>
      <c r="N148" s="58"/>
      <c r="O148" s="59"/>
      <c r="P148" s="60"/>
      <c r="Q148" s="80"/>
      <c r="R148" s="62"/>
      <c r="S148" s="63"/>
      <c r="T148" s="63" t="str">
        <f aca="false">IF(ISBLANK($C148),"",IF(G148=Constants!$B$2, TRUE(), IF(G148=Constants!$B$3, FALSE(), TRUE())))</f>
        <v/>
      </c>
      <c r="U148" s="63" t="str">
        <f aca="false">IF(ISBLANK($C148),"",IF(H148=Constants!$B$2, TRUE(), IF(H148=Constants!$B$3, FALSE(), TRUE())))</f>
        <v/>
      </c>
      <c r="V148" s="63" t="str">
        <f aca="false">IF(ISBLANK($C148),"",IF(I148=Constants!$B$2, TRUE(), IF(I148=Constants!$B$3, FALSE(), TRUE())))</f>
        <v/>
      </c>
      <c r="W148" s="63" t="str">
        <f aca="false">IF(ISBLANK($C148),"",IF(J148=Constants!$B$2, TRUE(), IF(J148=Constants!$B$3, FALSE(), TRUE())))</f>
        <v/>
      </c>
      <c r="X148" s="63" t="str">
        <f aca="false">IF(ISBLANK($C148),"",IF(K148=Constants!$B$2, TRUE(), IF(K148=Constants!$B$3, FALSE(), TRUE())))</f>
        <v/>
      </c>
      <c r="Y148" s="65" t="str">
        <f aca="false">IF(ISBLANK($C148),"",IF(ISNUMBER(L148), L148, ""))</f>
        <v/>
      </c>
      <c r="Z148" s="65" t="str">
        <f aca="false">IF(ISBLANK($C148),"",IF(ISNUMBER(M148), M148, ""))</f>
        <v/>
      </c>
      <c r="AA148" s="65" t="str">
        <f aca="false">IF(ISBLANK($C148),"",IF(ISNUMBER(N148), N148, ""))</f>
        <v/>
      </c>
      <c r="AB148" s="66" t="str">
        <f aca="false">IF(ISBLANK($C148),"",IF(ISNUMBER(O148), O148, ""))</f>
        <v/>
      </c>
      <c r="AC148" s="66" t="str">
        <f aca="false">IF(ISBLANK($C148),"",IF(ISNUMBER(P148), P148, Constants!$B$13))</f>
        <v/>
      </c>
      <c r="AD148" s="63" t="str">
        <f aca="false">IF(ISBLANK($C148),"",IF(Q148=Constants!$B$2, TRUE(), IF(Q148=Constants!$B$3, FALSE(), FALSE())))</f>
        <v/>
      </c>
      <c r="AE148" s="63" t="str">
        <f aca="false">IF(ISBLANK(C148), "", IF(AD148, Constants!$B$4,IF(COUNTA(G148:O148)=0, Constants!$B$5, Constants!$B$7)))</f>
        <v/>
      </c>
      <c r="AF148" s="63" t="str">
        <f aca="false">IF(ISBLANK($C148), "",IF($AE148=Constants!$B$7,1,$AE148))</f>
        <v/>
      </c>
      <c r="AG148" s="63" t="str">
        <f aca="false">IF($AE148=Constants!$B$7,IF(V148, 1, Constants!$B$11) * IF(X148, 1, Constants!$B$12),"")</f>
        <v/>
      </c>
      <c r="AH148" s="63" t="str">
        <f aca="false">IF(AND($AE148=Constants!$B$7, T148, U148) ,MAX(0, $AA148-$Y148),"")</f>
        <v/>
      </c>
      <c r="AI148" s="63" t="str">
        <f aca="false">IF(ISERROR(AH148),$AI$6,"")</f>
        <v/>
      </c>
      <c r="AJ148" s="63" t="str">
        <f aca="false">IF($AE148=Constants!$B$7,IF(AND(T148,U148,W148),IF($AH$6=0,Constants!$B$9,Constants!$B$9*AH148/$AH$6), 0),"")</f>
        <v/>
      </c>
      <c r="AK148" s="63" t="str">
        <f aca="false">IF(AJ148&lt;&gt;"", AJ148*AG148,"")</f>
        <v/>
      </c>
      <c r="AL148" s="63" t="str">
        <f aca="false">IF(AND($AE148=Constants!$B$7, T148, U148) ,IF($Z148="", "", MAX(0,1-ABS($AA148-$Z148)/$AA148)),"")</f>
        <v/>
      </c>
      <c r="AM148" s="63" t="str">
        <f aca="false">IF(AND(NOT(ISERROR(AH148)),ISERROR(AL148)),$AM$6,"")</f>
        <v/>
      </c>
      <c r="AN148" s="63" t="str">
        <f aca="false">IF($AE148=Constants!$B$7 ,IF(AND(T148,U148,W148,ISNUMBER(Z148)),IF($AL$6=0,Constants!$B$10,Constants!$B$10*AL148/$AL$6), 0),"")</f>
        <v/>
      </c>
      <c r="AO148" s="63" t="str">
        <f aca="false">IF(AN148&lt;&gt;"", AN148*AG148,"")</f>
        <v/>
      </c>
      <c r="AP148" s="63" t="str">
        <f aca="false">IF($AE148=Constants!$B$7,IF($AP$6=0,Constants!$B$8,Constants!$B$8*AB148/$AP$6),"")</f>
        <v/>
      </c>
      <c r="AQ148" s="63" t="str">
        <f aca="false">IF($AE148&lt;&gt;Constants!$B$7,$AE148,AK148+AO148+AP148)</f>
        <v/>
      </c>
      <c r="AR148" s="63" t="str">
        <f aca="false">IF(ISBLANK($C148),"",IF($AE148=Constants!$B$7,RANK(AQ148,$AQ$8:$AQ$507),$AE148))</f>
        <v/>
      </c>
      <c r="AS148" s="63" t="str">
        <f aca="false">IF(ISBLANK($C148), "",AK148)</f>
        <v/>
      </c>
      <c r="AT148" s="63" t="str">
        <f aca="false">IF(ISBLANK($C148),"",IF($AE148=Constants!$B$7,RANK(AS148,AS$8:AS$507),$AE148))</f>
        <v/>
      </c>
      <c r="AU148" s="63" t="str">
        <f aca="false">IF(ISBLANK($C148), "",AP148)</f>
        <v/>
      </c>
      <c r="AV148" s="63" t="str">
        <f aca="false">IF(ISBLANK($C148),"",IF($AE148=Constants!$B$7,RANK(AU148,AU$8:AU$507),$AE148))</f>
        <v/>
      </c>
      <c r="AW148" s="63" t="str">
        <f aca="false">IF(ISBLANK($C148), "",AC148)</f>
        <v/>
      </c>
      <c r="AX148" s="63" t="str">
        <f aca="false">IF(ISBLANK($C148),"",
IF($AE148=Constants!$B$7,
  COUNTIFS($AR$8:$AR$507,"&lt;"&amp;$AR148)
  + COUNTIFS($AR$8:$AR$507,$AR148,$AT$8:$AT$507,"&lt;"&amp;$AT148)
  + COUNTIFS($AR$8:$AR$507,$AR148,$AT$8:$AT$507,$AT148,$AV$8:$AV$507,"&lt;"&amp;$AV148)
  + COUNTIFS($AR$8:$AR$507,$AR148,$AT$8:$AT$507,$AT148,$AV$8:$AV$507,$AV148,$AW$8:$AW$507,"&lt;"&amp;$AW148)
  + 1,
$AE148))</f>
        <v/>
      </c>
      <c r="AY148" s="63" t="str">
        <f aca="false">IF(ISBLANK(C148),"",IF($AE148=Constants!$B$7, AR148-AX148,$AE148))</f>
        <v/>
      </c>
      <c r="AZ148" s="67"/>
      <c r="BA148" s="81" t="str">
        <f aca="false">IF(ISBLANK($C148),"",TRIM(AI148&amp;" "&amp;AM148))</f>
        <v/>
      </c>
      <c r="BB148" s="69" t="str">
        <f aca="false">IF(ISBLANK($C148),"",IF($AE148&lt;&gt;Constants!$B$7, $AE148 ,AQ148))</f>
        <v/>
      </c>
      <c r="BC148" s="70" t="str">
        <f aca="false">IF(ISBLANK($C148),"",IF($AE148&lt;&gt;Constants!$B$7, $AE148 ,AF148))</f>
        <v/>
      </c>
      <c r="BD148" s="71" t="str">
        <f aca="false">IF(ISBLANK(C148),"",AY148)</f>
        <v/>
      </c>
      <c r="BE148" s="71" t="str">
        <f aca="false">IF(ISBLANK(C148),"",AX148)</f>
        <v/>
      </c>
      <c r="BF148" s="72" t="str">
        <f aca="false">IF(ISBLANK(C148),"",IFERROR(_xlfn.SWITCH(BE148, Constants!$B$4, COUNTA($C$8:$C647)+2, Constants!$B$5, COUNTA($C$8:$C647)+1, Constants!$B$6, COUNTA($C$8:$C647)),BE148))</f>
        <v/>
      </c>
      <c r="BG148" s="5"/>
      <c r="BH148" s="73" t="n">
        <f aca="false">IF(OR(ISNUMBER(BE148),BE148="DQ",BE148="P",BE148="NS"),
    1,
    0
)</f>
        <v>0</v>
      </c>
      <c r="BI148" s="73" t="n">
        <v>141</v>
      </c>
      <c r="BJ148" s="73" t="str">
        <f aca="false">IF(ISBLANK($C148),
    "",
   BF148+ROW($B148)/1000
)</f>
        <v/>
      </c>
      <c r="BK148" s="73" t="str">
        <f aca="false">IF(ISNUMBER(BJ148), RANK(BJ148,BJ$8:BJ$507,1), "")</f>
        <v/>
      </c>
      <c r="BL148" s="73" t="str">
        <f aca="false">IF(ISBLANK($C148),
    "",
    $B148
)</f>
        <v/>
      </c>
      <c r="BM148" s="73" t="str">
        <f aca="false">IF(ISBLANK($C148),
    "",
    $C148
)</f>
        <v/>
      </c>
      <c r="BN148" s="73" t="str">
        <f aca="false">IF(ISBLANK($C148),
    "",
    $D148
)</f>
        <v/>
      </c>
      <c r="BO148" s="74" t="str">
        <f aca="false">BC148</f>
        <v/>
      </c>
      <c r="BP148" s="75" t="str">
        <f aca="false">BB148</f>
        <v/>
      </c>
      <c r="BQ148" s="73" t="str">
        <f aca="false">IF(ISBLANK($C148),
    "",
    BE148
)</f>
        <v/>
      </c>
      <c r="BR148" s="76" t="str">
        <f aca="false">IF(BI148&gt;BH$7,
    "",
    VLOOKUP(BI148,BK$8:BQ647,7,FALSE())
)</f>
        <v/>
      </c>
      <c r="BS148" s="77" t="str">
        <f aca="false">IF(BI148&gt;BH$7,
    "",
    VLOOKUP(BI148,BK$8:BQ647,2,FALSE())
)</f>
        <v/>
      </c>
      <c r="BT148" s="77" t="str">
        <f aca="false">IF(BI148&gt;BH$7,
    "",
    VLOOKUP(BI148,BK$8:BQ647,3,FALSE())
)</f>
        <v/>
      </c>
      <c r="BU148" s="77" t="str">
        <f aca="false">IF(BI148&gt;BH$7,
    "",
    VLOOKUP(BI148,BK$8:BQ647,4,FALSE())
)</f>
        <v/>
      </c>
      <c r="BV148" s="77" t="str">
        <f aca="false">IF(BI148&gt;BH$7,
    "",
    VLOOKUP(BI148,BK$8:BQ647,5,FALSE())
)</f>
        <v/>
      </c>
      <c r="BW148" s="78" t="str">
        <f aca="false">IF(BI148&gt;BH$7,
    "",
    VLOOKUP(BI148,BK$8:BQ647,6,FALSE())
)</f>
        <v/>
      </c>
      <c r="BX148" s="50"/>
    </row>
    <row r="149" customFormat="false" ht="15.75" hidden="false" customHeight="false" outlineLevel="0" collapsed="false">
      <c r="A149" s="5"/>
      <c r="B149" s="122"/>
      <c r="C149" s="123"/>
      <c r="D149" s="112"/>
      <c r="E149" s="116"/>
      <c r="F149" s="116"/>
      <c r="G149" s="88"/>
      <c r="H149" s="89"/>
      <c r="I149" s="125"/>
      <c r="J149" s="125"/>
      <c r="K149" s="125"/>
      <c r="L149" s="91"/>
      <c r="M149" s="91"/>
      <c r="N149" s="91"/>
      <c r="O149" s="92"/>
      <c r="P149" s="93"/>
      <c r="Q149" s="125"/>
      <c r="R149" s="95"/>
      <c r="S149" s="96"/>
      <c r="T149" s="96" t="str">
        <f aca="false">IF(ISBLANK($C149),"",IF(G149=Constants!$B$2, TRUE(), IF(G149=Constants!$B$3, FALSE(), TRUE())))</f>
        <v/>
      </c>
      <c r="U149" s="96" t="str">
        <f aca="false">IF(ISBLANK($C149),"",IF(H149=Constants!$B$2, TRUE(), IF(H149=Constants!$B$3, FALSE(), TRUE())))</f>
        <v/>
      </c>
      <c r="V149" s="96" t="str">
        <f aca="false">IF(ISBLANK($C149),"",IF(I149=Constants!$B$2, TRUE(), IF(I149=Constants!$B$3, FALSE(), TRUE())))</f>
        <v/>
      </c>
      <c r="W149" s="96" t="str">
        <f aca="false">IF(ISBLANK($C149),"",IF(J149=Constants!$B$2, TRUE(), IF(J149=Constants!$B$3, FALSE(), TRUE())))</f>
        <v/>
      </c>
      <c r="X149" s="97" t="str">
        <f aca="false">IF(ISBLANK($C149),"",IF(K149=Constants!$B$2, TRUE(), IF(K149=Constants!$B$3, FALSE(), TRUE())))</f>
        <v/>
      </c>
      <c r="Y149" s="98" t="str">
        <f aca="false">IF(ISBLANK($C149),"",IF(ISNUMBER(L149), L149, ""))</f>
        <v/>
      </c>
      <c r="Z149" s="98" t="str">
        <f aca="false">IF(ISBLANK($C149),"",IF(ISNUMBER(M149), M149, ""))</f>
        <v/>
      </c>
      <c r="AA149" s="98" t="str">
        <f aca="false">IF(ISBLANK($C149),"",IF(ISNUMBER(N149), N149, ""))</f>
        <v/>
      </c>
      <c r="AB149" s="99" t="str">
        <f aca="false">IF(ISBLANK($C149),"",IF(ISNUMBER(O149), O149, ""))</f>
        <v/>
      </c>
      <c r="AC149" s="99" t="str">
        <f aca="false">IF(ISBLANK($C149),"",IF(ISNUMBER(P149), P149, Constants!$B$13))</f>
        <v/>
      </c>
      <c r="AD149" s="96" t="str">
        <f aca="false">IF(ISBLANK($C149),"",IF(Q149=Constants!$B$2, TRUE(), IF(Q149=Constants!$B$3, FALSE(), FALSE())))</f>
        <v/>
      </c>
      <c r="AE149" s="96" t="str">
        <f aca="false">IF(ISBLANK(C149), "", IF(AD149, Constants!$B$4,IF(COUNTA(G149:O149)=0, Constants!$B$5, Constants!$B$7)))</f>
        <v/>
      </c>
      <c r="AF149" s="96" t="str">
        <f aca="false">IF(ISBLANK($C149), "",IF($AE149=Constants!$B$7,1,$AE149))</f>
        <v/>
      </c>
      <c r="AG149" s="96" t="str">
        <f aca="false">IF($AE149=Constants!$B$7,IF(V149, 1, Constants!$B$11) * IF(X149, 1, Constants!$B$12),"")</f>
        <v/>
      </c>
      <c r="AH149" s="96" t="str">
        <f aca="false">IF(AND($AE149=Constants!$B$7, T149, U149) ,MAX(0, $AA149-$Y149),"")</f>
        <v/>
      </c>
      <c r="AI149" s="96" t="str">
        <f aca="false">IF(ISERROR(AH149),$AI$6,"")</f>
        <v/>
      </c>
      <c r="AJ149" s="96" t="str">
        <f aca="false">IF($AE149=Constants!$B$7,IF(AND(T149,U149,W149),IF($AH$6=0,Constants!$B$9,Constants!$B$9*AH149/$AH$6), 0),"")</f>
        <v/>
      </c>
      <c r="AK149" s="96" t="str">
        <f aca="false">IF(AJ149&lt;&gt;"", AJ149*AG149,"")</f>
        <v/>
      </c>
      <c r="AL149" s="96" t="str">
        <f aca="false">IF(AND($AE149=Constants!$B$7, T149, U149) ,IF($Z149="", "", MAX(0,1-ABS($AA149-$Z149)/$AA149)),"")</f>
        <v/>
      </c>
      <c r="AM149" s="96" t="str">
        <f aca="false">IF(AND(NOT(ISERROR(AH149)),ISERROR(AL149)),$AM$6,"")</f>
        <v/>
      </c>
      <c r="AN149" s="96" t="str">
        <f aca="false">IF($AE149=Constants!$B$7 ,IF(AND(T149,U149,W149,ISNUMBER(Z149)),IF($AL$6=0,Constants!$B$10,Constants!$B$10*AL149/$AL$6), 0),"")</f>
        <v/>
      </c>
      <c r="AO149" s="96" t="str">
        <f aca="false">IF(AN149&lt;&gt;"", AN149*AG149,"")</f>
        <v/>
      </c>
      <c r="AP149" s="96" t="str">
        <f aca="false">IF($AE149=Constants!$B$7,IF($AP$6=0,Constants!$B$8,Constants!$B$8*AB149/$AP$6),"")</f>
        <v/>
      </c>
      <c r="AQ149" s="96" t="str">
        <f aca="false">IF($AE149&lt;&gt;Constants!$B$7,$AE149,AK149+AO149+AP149)</f>
        <v/>
      </c>
      <c r="AR149" s="96" t="str">
        <f aca="false">IF(ISBLANK($C149),"",IF($AE149=Constants!$B$7,RANK(AQ149,$AQ$8:$AQ$507),$AE149))</f>
        <v/>
      </c>
      <c r="AS149" s="96" t="str">
        <f aca="false">IF(ISBLANK($C149), "",AK149)</f>
        <v/>
      </c>
      <c r="AT149" s="96" t="str">
        <f aca="false">IF(ISBLANK($C149),"",IF($AE149=Constants!$B$7,RANK(AS149,AS$8:AS$507),$AE149))</f>
        <v/>
      </c>
      <c r="AU149" s="96" t="str">
        <f aca="false">IF(ISBLANK($C149), "",AP149)</f>
        <v/>
      </c>
      <c r="AV149" s="96" t="str">
        <f aca="false">IF(ISBLANK($C149),"",IF($AE149=Constants!$B$7,RANK(AU149,AU$8:AU$507),$AE149))</f>
        <v/>
      </c>
      <c r="AW149" s="96" t="str">
        <f aca="false">IF(ISBLANK($C149), "",AC149)</f>
        <v/>
      </c>
      <c r="AX149" s="96" t="str">
        <f aca="false">IF(ISBLANK($C149),"",
IF($AE149=Constants!$B$7,
  COUNTIFS($AR$8:$AR$507,"&lt;"&amp;$AR149)
  + COUNTIFS($AR$8:$AR$507,$AR149,$AT$8:$AT$507,"&lt;"&amp;$AT149)
  + COUNTIFS($AR$8:$AR$507,$AR149,$AT$8:$AT$507,$AT149,$AV$8:$AV$507,"&lt;"&amp;$AV149)
  + COUNTIFS($AR$8:$AR$507,$AR149,$AT$8:$AT$507,$AT149,$AV$8:$AV$507,$AV149,$AW$8:$AW$507,"&lt;"&amp;$AW149)
  + 1,
$AE149))</f>
        <v/>
      </c>
      <c r="AY149" s="96" t="str">
        <f aca="false">IF(ISBLANK(C149),"",IF($AE149=Constants!$B$7, AR149-AX149,$AE149))</f>
        <v/>
      </c>
      <c r="AZ149" s="100"/>
      <c r="BA149" s="101" t="str">
        <f aca="false">IF(ISBLANK($C149),"",TRIM(AI149&amp;" "&amp;AM149))</f>
        <v/>
      </c>
      <c r="BB149" s="102" t="str">
        <f aca="false">IF(ISBLANK($C149),"",IF($AE149&lt;&gt;Constants!$B$7, $AE149 ,AQ149))</f>
        <v/>
      </c>
      <c r="BC149" s="103" t="str">
        <f aca="false">IF(ISBLANK($C149),"",IF($AE149&lt;&gt;Constants!$B$7, $AE149 ,AF149))</f>
        <v/>
      </c>
      <c r="BD149" s="104" t="str">
        <f aca="false">IF(ISBLANK(C149),"",AY149)</f>
        <v/>
      </c>
      <c r="BE149" s="104" t="str">
        <f aca="false">IF(ISBLANK(C149),"",AX149)</f>
        <v/>
      </c>
      <c r="BF149" s="105" t="str">
        <f aca="false">IF(ISBLANK(C149),"",IFERROR(_xlfn.SWITCH(BE149, Constants!$B$4, COUNTA($C$8:$C648)+2, Constants!$B$5, COUNTA($C$8:$C648)+1, Constants!$B$6, COUNTA($C$8:$C648)),BE149))</f>
        <v/>
      </c>
      <c r="BG149" s="5"/>
      <c r="BH149" s="106" t="n">
        <f aca="false">IF(OR(ISNUMBER(BE149),BE149="DQ",BE149="P",BE149="NS"),
    1,
    0
)</f>
        <v>0</v>
      </c>
      <c r="BI149" s="106" t="n">
        <v>142</v>
      </c>
      <c r="BJ149" s="106" t="str">
        <f aca="false">IF(ISBLANK($C149),
    "",
   BF149+ROW($B149)/1000
)</f>
        <v/>
      </c>
      <c r="BK149" s="106" t="str">
        <f aca="false">IF(ISNUMBER(BJ149), RANK(BJ149,BJ$8:BJ$507,1), "")</f>
        <v/>
      </c>
      <c r="BL149" s="106" t="str">
        <f aca="false">IF(ISBLANK($C149),
    "",
    $B149
)</f>
        <v/>
      </c>
      <c r="BM149" s="106" t="str">
        <f aca="false">IF(ISBLANK($C149),
    "",
    $C149
)</f>
        <v/>
      </c>
      <c r="BN149" s="106" t="str">
        <f aca="false">IF(ISBLANK($C149),
    "",
    $D149
)</f>
        <v/>
      </c>
      <c r="BO149" s="107" t="str">
        <f aca="false">BC149</f>
        <v/>
      </c>
      <c r="BP149" s="108" t="str">
        <f aca="false">BB149</f>
        <v/>
      </c>
      <c r="BQ149" s="106" t="str">
        <f aca="false">IF(ISBLANK($C149),
    "",
    BE149
)</f>
        <v/>
      </c>
      <c r="BR149" s="109" t="str">
        <f aca="false">IF(BI149&gt;BH$7,
    "",
    VLOOKUP(BI149,BK$8:BQ648,7,FALSE())
)</f>
        <v/>
      </c>
      <c r="BS149" s="110" t="str">
        <f aca="false">IF(BI149&gt;BH$7,
    "",
    VLOOKUP(BI149,BK$8:BQ648,2,FALSE())
)</f>
        <v/>
      </c>
      <c r="BT149" s="110" t="str">
        <f aca="false">IF(BI149&gt;BH$7,
    "",
    VLOOKUP(BI149,BK$8:BQ648,3,FALSE())
)</f>
        <v/>
      </c>
      <c r="BU149" s="110" t="str">
        <f aca="false">IF(BI149&gt;BH$7,
    "",
    VLOOKUP(BI149,BK$8:BQ648,4,FALSE())
)</f>
        <v/>
      </c>
      <c r="BV149" s="110" t="str">
        <f aca="false">IF(BI149&gt;BH$7,
    "",
    VLOOKUP(BI149,BK$8:BQ648,5,FALSE())
)</f>
        <v/>
      </c>
      <c r="BW149" s="111" t="str">
        <f aca="false">IF(BI149&gt;BH$7,
    "",
    VLOOKUP(BI149,BK$8:BQ648,6,FALSE())
)</f>
        <v/>
      </c>
      <c r="BX149" s="50"/>
    </row>
    <row r="150" customFormat="false" ht="15.75" hidden="false" customHeight="false" outlineLevel="0" collapsed="false">
      <c r="A150" s="5"/>
      <c r="B150" s="122"/>
      <c r="C150" s="123"/>
      <c r="D150" s="112"/>
      <c r="E150" s="116"/>
      <c r="F150" s="116"/>
      <c r="G150" s="88"/>
      <c r="H150" s="89"/>
      <c r="I150" s="125"/>
      <c r="J150" s="125"/>
      <c r="K150" s="125"/>
      <c r="L150" s="91"/>
      <c r="M150" s="91"/>
      <c r="N150" s="91"/>
      <c r="O150" s="92"/>
      <c r="P150" s="93"/>
      <c r="Q150" s="125"/>
      <c r="R150" s="95"/>
      <c r="S150" s="96"/>
      <c r="T150" s="96" t="str">
        <f aca="false">IF(ISBLANK($C150),"",IF(G150=Constants!$B$2, TRUE(), IF(G150=Constants!$B$3, FALSE(), TRUE())))</f>
        <v/>
      </c>
      <c r="U150" s="96" t="str">
        <f aca="false">IF(ISBLANK($C150),"",IF(H150=Constants!$B$2, TRUE(), IF(H150=Constants!$B$3, FALSE(), TRUE())))</f>
        <v/>
      </c>
      <c r="V150" s="96" t="str">
        <f aca="false">IF(ISBLANK($C150),"",IF(I150=Constants!$B$2, TRUE(), IF(I150=Constants!$B$3, FALSE(), TRUE())))</f>
        <v/>
      </c>
      <c r="W150" s="96" t="str">
        <f aca="false">IF(ISBLANK($C150),"",IF(J150=Constants!$B$2, TRUE(), IF(J150=Constants!$B$3, FALSE(), TRUE())))</f>
        <v/>
      </c>
      <c r="X150" s="97" t="str">
        <f aca="false">IF(ISBLANK($C150),"",IF(K150=Constants!$B$2, TRUE(), IF(K150=Constants!$B$3, FALSE(), TRUE())))</f>
        <v/>
      </c>
      <c r="Y150" s="98" t="str">
        <f aca="false">IF(ISBLANK($C150),"",IF(ISNUMBER(L150), L150, ""))</f>
        <v/>
      </c>
      <c r="Z150" s="98" t="str">
        <f aca="false">IF(ISBLANK($C150),"",IF(ISNUMBER(M150), M150, ""))</f>
        <v/>
      </c>
      <c r="AA150" s="98" t="str">
        <f aca="false">IF(ISBLANK($C150),"",IF(ISNUMBER(N150), N150, ""))</f>
        <v/>
      </c>
      <c r="AB150" s="99" t="str">
        <f aca="false">IF(ISBLANK($C150),"",IF(ISNUMBER(O150), O150, ""))</f>
        <v/>
      </c>
      <c r="AC150" s="99" t="str">
        <f aca="false">IF(ISBLANK($C150),"",IF(ISNUMBER(P150), P150, Constants!$B$13))</f>
        <v/>
      </c>
      <c r="AD150" s="96" t="str">
        <f aca="false">IF(ISBLANK($C150),"",IF(Q150=Constants!$B$2, TRUE(), IF(Q150=Constants!$B$3, FALSE(), FALSE())))</f>
        <v/>
      </c>
      <c r="AE150" s="96" t="str">
        <f aca="false">IF(ISBLANK(C150), "", IF(AD150, Constants!$B$4,IF(COUNTA(G150:O150)=0, Constants!$B$5, Constants!$B$7)))</f>
        <v/>
      </c>
      <c r="AF150" s="96" t="str">
        <f aca="false">IF(ISBLANK($C150), "",IF($AE150=Constants!$B$7,1,$AE150))</f>
        <v/>
      </c>
      <c r="AG150" s="96" t="str">
        <f aca="false">IF($AE150=Constants!$B$7,IF(V150, 1, Constants!$B$11) * IF(X150, 1, Constants!$B$12),"")</f>
        <v/>
      </c>
      <c r="AH150" s="96" t="str">
        <f aca="false">IF(AND($AE150=Constants!$B$7, T150, U150) ,MAX(0, $AA150-$Y150),"")</f>
        <v/>
      </c>
      <c r="AI150" s="96" t="str">
        <f aca="false">IF(ISERROR(AH150),$AI$6,"")</f>
        <v/>
      </c>
      <c r="AJ150" s="96" t="str">
        <f aca="false">IF($AE150=Constants!$B$7,IF(AND(T150,U150,W150),IF($AH$6=0,Constants!$B$9,Constants!$B$9*AH150/$AH$6), 0),"")</f>
        <v/>
      </c>
      <c r="AK150" s="96" t="str">
        <f aca="false">IF(AJ150&lt;&gt;"", AJ150*AG150,"")</f>
        <v/>
      </c>
      <c r="AL150" s="96" t="str">
        <f aca="false">IF(AND($AE150=Constants!$B$7, T150, U150) ,IF($Z150="", "", MAX(0,1-ABS($AA150-$Z150)/$AA150)),"")</f>
        <v/>
      </c>
      <c r="AM150" s="96" t="str">
        <f aca="false">IF(AND(NOT(ISERROR(AH150)),ISERROR(AL150)),$AM$6,"")</f>
        <v/>
      </c>
      <c r="AN150" s="96" t="str">
        <f aca="false">IF($AE150=Constants!$B$7 ,IF(AND(T150,U150,W150,ISNUMBER(Z150)),IF($AL$6=0,Constants!$B$10,Constants!$B$10*AL150/$AL$6), 0),"")</f>
        <v/>
      </c>
      <c r="AO150" s="96" t="str">
        <f aca="false">IF(AN150&lt;&gt;"", AN150*AG150,"")</f>
        <v/>
      </c>
      <c r="AP150" s="96" t="str">
        <f aca="false">IF($AE150=Constants!$B$7,IF($AP$6=0,Constants!$B$8,Constants!$B$8*AB150/$AP$6),"")</f>
        <v/>
      </c>
      <c r="AQ150" s="96" t="str">
        <f aca="false">IF($AE150&lt;&gt;Constants!$B$7,$AE150,AK150+AO150+AP150)</f>
        <v/>
      </c>
      <c r="AR150" s="96" t="str">
        <f aca="false">IF(ISBLANK($C150),"",IF($AE150=Constants!$B$7,RANK(AQ150,$AQ$8:$AQ$507),$AE150))</f>
        <v/>
      </c>
      <c r="AS150" s="96" t="str">
        <f aca="false">IF(ISBLANK($C150), "",AK150)</f>
        <v/>
      </c>
      <c r="AT150" s="96" t="str">
        <f aca="false">IF(ISBLANK($C150),"",IF($AE150=Constants!$B$7,RANK(AS150,AS$8:AS$507),$AE150))</f>
        <v/>
      </c>
      <c r="AU150" s="96" t="str">
        <f aca="false">IF(ISBLANK($C150), "",AP150)</f>
        <v/>
      </c>
      <c r="AV150" s="96" t="str">
        <f aca="false">IF(ISBLANK($C150),"",IF($AE150=Constants!$B$7,RANK(AU150,AU$8:AU$507),$AE150))</f>
        <v/>
      </c>
      <c r="AW150" s="96" t="str">
        <f aca="false">IF(ISBLANK($C150), "",AC150)</f>
        <v/>
      </c>
      <c r="AX150" s="96" t="str">
        <f aca="false">IF(ISBLANK($C150),"",
IF($AE150=Constants!$B$7,
  COUNTIFS($AR$8:$AR$507,"&lt;"&amp;$AR150)
  + COUNTIFS($AR$8:$AR$507,$AR150,$AT$8:$AT$507,"&lt;"&amp;$AT150)
  + COUNTIFS($AR$8:$AR$507,$AR150,$AT$8:$AT$507,$AT150,$AV$8:$AV$507,"&lt;"&amp;$AV150)
  + COUNTIFS($AR$8:$AR$507,$AR150,$AT$8:$AT$507,$AT150,$AV$8:$AV$507,$AV150,$AW$8:$AW$507,"&lt;"&amp;$AW150)
  + 1,
$AE150))</f>
        <v/>
      </c>
      <c r="AY150" s="96" t="str">
        <f aca="false">IF(ISBLANK(C150),"",IF($AE150=Constants!$B$7, AR150-AX150,$AE150))</f>
        <v/>
      </c>
      <c r="AZ150" s="100"/>
      <c r="BA150" s="101" t="str">
        <f aca="false">IF(ISBLANK($C150),"",TRIM(AI150&amp;" "&amp;AM150))</f>
        <v/>
      </c>
      <c r="BB150" s="102" t="str">
        <f aca="false">IF(ISBLANK($C150),"",IF($AE150&lt;&gt;Constants!$B$7, $AE150 ,AQ150))</f>
        <v/>
      </c>
      <c r="BC150" s="103" t="str">
        <f aca="false">IF(ISBLANK($C150),"",IF($AE150&lt;&gt;Constants!$B$7, $AE150 ,AF150))</f>
        <v/>
      </c>
      <c r="BD150" s="104" t="str">
        <f aca="false">IF(ISBLANK(C150),"",AY150)</f>
        <v/>
      </c>
      <c r="BE150" s="104" t="str">
        <f aca="false">IF(ISBLANK(C150),"",AX150)</f>
        <v/>
      </c>
      <c r="BF150" s="105" t="str">
        <f aca="false">IF(ISBLANK(C150),"",IFERROR(_xlfn.SWITCH(BE150, Constants!$B$4, COUNTA($C$8:$C649)+2, Constants!$B$5, COUNTA($C$8:$C649)+1, Constants!$B$6, COUNTA($C$8:$C649)),BE150))</f>
        <v/>
      </c>
      <c r="BG150" s="5"/>
      <c r="BH150" s="106" t="n">
        <f aca="false">IF(OR(ISNUMBER(BE150),BE150="DQ",BE150="P",BE150="NS"),
    1,
    0
)</f>
        <v>0</v>
      </c>
      <c r="BI150" s="106" t="n">
        <v>143</v>
      </c>
      <c r="BJ150" s="106" t="str">
        <f aca="false">IF(ISBLANK($C150),
    "",
   BF150+ROW($B150)/1000
)</f>
        <v/>
      </c>
      <c r="BK150" s="106" t="str">
        <f aca="false">IF(ISNUMBER(BJ150), RANK(BJ150,BJ$8:BJ$507,1), "")</f>
        <v/>
      </c>
      <c r="BL150" s="106" t="str">
        <f aca="false">IF(ISBLANK($C150),
    "",
    $B150
)</f>
        <v/>
      </c>
      <c r="BM150" s="106" t="str">
        <f aca="false">IF(ISBLANK($C150),
    "",
    $C150
)</f>
        <v/>
      </c>
      <c r="BN150" s="106" t="str">
        <f aca="false">IF(ISBLANK($C150),
    "",
    $D150
)</f>
        <v/>
      </c>
      <c r="BO150" s="107" t="str">
        <f aca="false">BC150</f>
        <v/>
      </c>
      <c r="BP150" s="108" t="str">
        <f aca="false">BB150</f>
        <v/>
      </c>
      <c r="BQ150" s="106" t="str">
        <f aca="false">IF(ISBLANK($C150),
    "",
    BE150
)</f>
        <v/>
      </c>
      <c r="BR150" s="109" t="str">
        <f aca="false">IF(BI150&gt;BH$7,
    "",
    VLOOKUP(BI150,BK$8:BQ649,7,FALSE())
)</f>
        <v/>
      </c>
      <c r="BS150" s="110" t="str">
        <f aca="false">IF(BI150&gt;BH$7,
    "",
    VLOOKUP(BI150,BK$8:BQ649,2,FALSE())
)</f>
        <v/>
      </c>
      <c r="BT150" s="110" t="str">
        <f aca="false">IF(BI150&gt;BH$7,
    "",
    VLOOKUP(BI150,BK$8:BQ649,3,FALSE())
)</f>
        <v/>
      </c>
      <c r="BU150" s="110" t="str">
        <f aca="false">IF(BI150&gt;BH$7,
    "",
    VLOOKUP(BI150,BK$8:BQ649,4,FALSE())
)</f>
        <v/>
      </c>
      <c r="BV150" s="110" t="str">
        <f aca="false">IF(BI150&gt;BH$7,
    "",
    VLOOKUP(BI150,BK$8:BQ649,5,FALSE())
)</f>
        <v/>
      </c>
      <c r="BW150" s="111" t="str">
        <f aca="false">IF(BI150&gt;BH$7,
    "",
    VLOOKUP(BI150,BK$8:BQ649,6,FALSE())
)</f>
        <v/>
      </c>
      <c r="BX150" s="50"/>
    </row>
    <row r="151" customFormat="false" ht="15.75" hidden="false" customHeight="false" outlineLevel="0" collapsed="false">
      <c r="A151" s="5"/>
      <c r="B151" s="122"/>
      <c r="C151" s="123"/>
      <c r="D151" s="112"/>
      <c r="E151" s="116"/>
      <c r="F151" s="116"/>
      <c r="G151" s="88"/>
      <c r="H151" s="89"/>
      <c r="I151" s="125"/>
      <c r="J151" s="125"/>
      <c r="K151" s="125"/>
      <c r="L151" s="91"/>
      <c r="M151" s="91"/>
      <c r="N151" s="91"/>
      <c r="O151" s="92"/>
      <c r="P151" s="93"/>
      <c r="Q151" s="125"/>
      <c r="R151" s="95"/>
      <c r="S151" s="96"/>
      <c r="T151" s="96" t="str">
        <f aca="false">IF(ISBLANK($C151),"",IF(G151=Constants!$B$2, TRUE(), IF(G151=Constants!$B$3, FALSE(), TRUE())))</f>
        <v/>
      </c>
      <c r="U151" s="96" t="str">
        <f aca="false">IF(ISBLANK($C151),"",IF(H151=Constants!$B$2, TRUE(), IF(H151=Constants!$B$3, FALSE(), TRUE())))</f>
        <v/>
      </c>
      <c r="V151" s="96" t="str">
        <f aca="false">IF(ISBLANK($C151),"",IF(I151=Constants!$B$2, TRUE(), IF(I151=Constants!$B$3, FALSE(), TRUE())))</f>
        <v/>
      </c>
      <c r="W151" s="96" t="str">
        <f aca="false">IF(ISBLANK($C151),"",IF(J151=Constants!$B$2, TRUE(), IF(J151=Constants!$B$3, FALSE(), TRUE())))</f>
        <v/>
      </c>
      <c r="X151" s="97" t="str">
        <f aca="false">IF(ISBLANK($C151),"",IF(K151=Constants!$B$2, TRUE(), IF(K151=Constants!$B$3, FALSE(), TRUE())))</f>
        <v/>
      </c>
      <c r="Y151" s="98" t="str">
        <f aca="false">IF(ISBLANK($C151),"",IF(ISNUMBER(L151), L151, ""))</f>
        <v/>
      </c>
      <c r="Z151" s="98" t="str">
        <f aca="false">IF(ISBLANK($C151),"",IF(ISNUMBER(M151), M151, ""))</f>
        <v/>
      </c>
      <c r="AA151" s="98" t="str">
        <f aca="false">IF(ISBLANK($C151),"",IF(ISNUMBER(N151), N151, ""))</f>
        <v/>
      </c>
      <c r="AB151" s="99" t="str">
        <f aca="false">IF(ISBLANK($C151),"",IF(ISNUMBER(O151), O151, ""))</f>
        <v/>
      </c>
      <c r="AC151" s="99" t="str">
        <f aca="false">IF(ISBLANK($C151),"",IF(ISNUMBER(P151), P151, Constants!$B$13))</f>
        <v/>
      </c>
      <c r="AD151" s="96" t="str">
        <f aca="false">IF(ISBLANK($C151),"",IF(Q151=Constants!$B$2, TRUE(), IF(Q151=Constants!$B$3, FALSE(), FALSE())))</f>
        <v/>
      </c>
      <c r="AE151" s="96" t="str">
        <f aca="false">IF(ISBLANK(C151), "", IF(AD151, Constants!$B$4,IF(COUNTA(G151:O151)=0, Constants!$B$5, Constants!$B$7)))</f>
        <v/>
      </c>
      <c r="AF151" s="96" t="str">
        <f aca="false">IF(ISBLANK($C151), "",IF($AE151=Constants!$B$7,1,$AE151))</f>
        <v/>
      </c>
      <c r="AG151" s="96" t="str">
        <f aca="false">IF($AE151=Constants!$B$7,IF(V151, 1, Constants!$B$11) * IF(X151, 1, Constants!$B$12),"")</f>
        <v/>
      </c>
      <c r="AH151" s="96" t="str">
        <f aca="false">IF(AND($AE151=Constants!$B$7, T151, U151) ,MAX(0, $AA151-$Y151),"")</f>
        <v/>
      </c>
      <c r="AI151" s="96" t="str">
        <f aca="false">IF(ISERROR(AH151),$AI$6,"")</f>
        <v/>
      </c>
      <c r="AJ151" s="96" t="str">
        <f aca="false">IF($AE151=Constants!$B$7,IF(AND(T151,U151,W151),IF($AH$6=0,Constants!$B$9,Constants!$B$9*AH151/$AH$6), 0),"")</f>
        <v/>
      </c>
      <c r="AK151" s="96" t="str">
        <f aca="false">IF(AJ151&lt;&gt;"", AJ151*AG151,"")</f>
        <v/>
      </c>
      <c r="AL151" s="96" t="str">
        <f aca="false">IF(AND($AE151=Constants!$B$7, T151, U151) ,IF($Z151="", "", MAX(0,1-ABS($AA151-$Z151)/$AA151)),"")</f>
        <v/>
      </c>
      <c r="AM151" s="96" t="str">
        <f aca="false">IF(AND(NOT(ISERROR(AH151)),ISERROR(AL151)),$AM$6,"")</f>
        <v/>
      </c>
      <c r="AN151" s="96" t="str">
        <f aca="false">IF($AE151=Constants!$B$7 ,IF(AND(T151,U151,W151,ISNUMBER(Z151)),IF($AL$6=0,Constants!$B$10,Constants!$B$10*AL151/$AL$6), 0),"")</f>
        <v/>
      </c>
      <c r="AO151" s="96" t="str">
        <f aca="false">IF(AN151&lt;&gt;"", AN151*AG151,"")</f>
        <v/>
      </c>
      <c r="AP151" s="96" t="str">
        <f aca="false">IF($AE151=Constants!$B$7,IF($AP$6=0,Constants!$B$8,Constants!$B$8*AB151/$AP$6),"")</f>
        <v/>
      </c>
      <c r="AQ151" s="96" t="str">
        <f aca="false">IF($AE151&lt;&gt;Constants!$B$7,$AE151,AK151+AO151+AP151)</f>
        <v/>
      </c>
      <c r="AR151" s="96" t="str">
        <f aca="false">IF(ISBLANK($C151),"",IF($AE151=Constants!$B$7,RANK(AQ151,$AQ$8:$AQ$507),$AE151))</f>
        <v/>
      </c>
      <c r="AS151" s="96" t="str">
        <f aca="false">IF(ISBLANK($C151), "",AK151)</f>
        <v/>
      </c>
      <c r="AT151" s="96" t="str">
        <f aca="false">IF(ISBLANK($C151),"",IF($AE151=Constants!$B$7,RANK(AS151,AS$8:AS$507),$AE151))</f>
        <v/>
      </c>
      <c r="AU151" s="96" t="str">
        <f aca="false">IF(ISBLANK($C151), "",AP151)</f>
        <v/>
      </c>
      <c r="AV151" s="96" t="str">
        <f aca="false">IF(ISBLANK($C151),"",IF($AE151=Constants!$B$7,RANK(AU151,AU$8:AU$507),$AE151))</f>
        <v/>
      </c>
      <c r="AW151" s="96" t="str">
        <f aca="false">IF(ISBLANK($C151), "",AC151)</f>
        <v/>
      </c>
      <c r="AX151" s="96" t="str">
        <f aca="false">IF(ISBLANK($C151),"",
IF($AE151=Constants!$B$7,
  COUNTIFS($AR$8:$AR$507,"&lt;"&amp;$AR151)
  + COUNTIFS($AR$8:$AR$507,$AR151,$AT$8:$AT$507,"&lt;"&amp;$AT151)
  + COUNTIFS($AR$8:$AR$507,$AR151,$AT$8:$AT$507,$AT151,$AV$8:$AV$507,"&lt;"&amp;$AV151)
  + COUNTIFS($AR$8:$AR$507,$AR151,$AT$8:$AT$507,$AT151,$AV$8:$AV$507,$AV151,$AW$8:$AW$507,"&lt;"&amp;$AW151)
  + 1,
$AE151))</f>
        <v/>
      </c>
      <c r="AY151" s="96" t="str">
        <f aca="false">IF(ISBLANK(C151),"",IF($AE151=Constants!$B$7, AR151-AX151,$AE151))</f>
        <v/>
      </c>
      <c r="AZ151" s="100"/>
      <c r="BA151" s="101" t="str">
        <f aca="false">IF(ISBLANK($C151),"",TRIM(AI151&amp;" "&amp;AM151))</f>
        <v/>
      </c>
      <c r="BB151" s="102" t="str">
        <f aca="false">IF(ISBLANK($C151),"",IF($AE151&lt;&gt;Constants!$B$7, $AE151 ,AQ151))</f>
        <v/>
      </c>
      <c r="BC151" s="103" t="str">
        <f aca="false">IF(ISBLANK($C151),"",IF($AE151&lt;&gt;Constants!$B$7, $AE151 ,AF151))</f>
        <v/>
      </c>
      <c r="BD151" s="104" t="str">
        <f aca="false">IF(ISBLANK(C151),"",AY151)</f>
        <v/>
      </c>
      <c r="BE151" s="104" t="str">
        <f aca="false">IF(ISBLANK(C151),"",AX151)</f>
        <v/>
      </c>
      <c r="BF151" s="105" t="str">
        <f aca="false">IF(ISBLANK(C151),"",IFERROR(_xlfn.SWITCH(BE151, Constants!$B$4, COUNTA($C$8:$C650)+2, Constants!$B$5, COUNTA($C$8:$C650)+1, Constants!$B$6, COUNTA($C$8:$C650)),BE151))</f>
        <v/>
      </c>
      <c r="BG151" s="5"/>
      <c r="BH151" s="106" t="n">
        <f aca="false">IF(OR(ISNUMBER(BE151),BE151="DQ",BE151="P",BE151="NS"),
    1,
    0
)</f>
        <v>0</v>
      </c>
      <c r="BI151" s="106" t="n">
        <v>144</v>
      </c>
      <c r="BJ151" s="106" t="str">
        <f aca="false">IF(ISBLANK($C151),
    "",
   BF151+ROW($B151)/1000
)</f>
        <v/>
      </c>
      <c r="BK151" s="106" t="str">
        <f aca="false">IF(ISNUMBER(BJ151), RANK(BJ151,BJ$8:BJ$507,1), "")</f>
        <v/>
      </c>
      <c r="BL151" s="106" t="str">
        <f aca="false">IF(ISBLANK($C151),
    "",
    $B151
)</f>
        <v/>
      </c>
      <c r="BM151" s="106" t="str">
        <f aca="false">IF(ISBLANK($C151),
    "",
    $C151
)</f>
        <v/>
      </c>
      <c r="BN151" s="106" t="str">
        <f aca="false">IF(ISBLANK($C151),
    "",
    $D151
)</f>
        <v/>
      </c>
      <c r="BO151" s="107" t="str">
        <f aca="false">BC151</f>
        <v/>
      </c>
      <c r="BP151" s="108" t="str">
        <f aca="false">BB151</f>
        <v/>
      </c>
      <c r="BQ151" s="106" t="str">
        <f aca="false">IF(ISBLANK($C151),
    "",
    BE151
)</f>
        <v/>
      </c>
      <c r="BR151" s="109" t="str">
        <f aca="false">IF(BI151&gt;BH$7,
    "",
    VLOOKUP(BI151,BK$8:BQ650,7,FALSE())
)</f>
        <v/>
      </c>
      <c r="BS151" s="110" t="str">
        <f aca="false">IF(BI151&gt;BH$7,
    "",
    VLOOKUP(BI151,BK$8:BQ650,2,FALSE())
)</f>
        <v/>
      </c>
      <c r="BT151" s="110" t="str">
        <f aca="false">IF(BI151&gt;BH$7,
    "",
    VLOOKUP(BI151,BK$8:BQ650,3,FALSE())
)</f>
        <v/>
      </c>
      <c r="BU151" s="110" t="str">
        <f aca="false">IF(BI151&gt;BH$7,
    "",
    VLOOKUP(BI151,BK$8:BQ650,4,FALSE())
)</f>
        <v/>
      </c>
      <c r="BV151" s="110" t="str">
        <f aca="false">IF(BI151&gt;BH$7,
    "",
    VLOOKUP(BI151,BK$8:BQ650,5,FALSE())
)</f>
        <v/>
      </c>
      <c r="BW151" s="111" t="str">
        <f aca="false">IF(BI151&gt;BH$7,
    "",
    VLOOKUP(BI151,BK$8:BQ650,6,FALSE())
)</f>
        <v/>
      </c>
      <c r="BX151" s="50"/>
    </row>
    <row r="152" customFormat="false" ht="15.75" hidden="false" customHeight="false" outlineLevel="0" collapsed="false">
      <c r="A152" s="5"/>
      <c r="B152" s="126"/>
      <c r="C152" s="52"/>
      <c r="D152" s="53"/>
      <c r="E152" s="120"/>
      <c r="F152" s="120"/>
      <c r="G152" s="55"/>
      <c r="H152" s="56"/>
      <c r="I152" s="80"/>
      <c r="J152" s="80"/>
      <c r="K152" s="80"/>
      <c r="L152" s="58"/>
      <c r="M152" s="58"/>
      <c r="N152" s="58"/>
      <c r="O152" s="59"/>
      <c r="P152" s="60"/>
      <c r="Q152" s="80"/>
      <c r="R152" s="62"/>
      <c r="S152" s="63"/>
      <c r="T152" s="63" t="str">
        <f aca="false">IF(ISBLANK($C152),"",IF(G152=Constants!$B$2, TRUE(), IF(G152=Constants!$B$3, FALSE(), TRUE())))</f>
        <v/>
      </c>
      <c r="U152" s="63" t="str">
        <f aca="false">IF(ISBLANK($C152),"",IF(H152=Constants!$B$2, TRUE(), IF(H152=Constants!$B$3, FALSE(), TRUE())))</f>
        <v/>
      </c>
      <c r="V152" s="63" t="str">
        <f aca="false">IF(ISBLANK($C152),"",IF(I152=Constants!$B$2, TRUE(), IF(I152=Constants!$B$3, FALSE(), TRUE())))</f>
        <v/>
      </c>
      <c r="W152" s="63" t="str">
        <f aca="false">IF(ISBLANK($C152),"",IF(J152=Constants!$B$2, TRUE(), IF(J152=Constants!$B$3, FALSE(), TRUE())))</f>
        <v/>
      </c>
      <c r="X152" s="63" t="str">
        <f aca="false">IF(ISBLANK($C152),"",IF(K152=Constants!$B$2, TRUE(), IF(K152=Constants!$B$3, FALSE(), TRUE())))</f>
        <v/>
      </c>
      <c r="Y152" s="65" t="str">
        <f aca="false">IF(ISBLANK($C152),"",IF(ISNUMBER(L152), L152, ""))</f>
        <v/>
      </c>
      <c r="Z152" s="65" t="str">
        <f aca="false">IF(ISBLANK($C152),"",IF(ISNUMBER(M152), M152, ""))</f>
        <v/>
      </c>
      <c r="AA152" s="65" t="str">
        <f aca="false">IF(ISBLANK($C152),"",IF(ISNUMBER(N152), N152, ""))</f>
        <v/>
      </c>
      <c r="AB152" s="66" t="str">
        <f aca="false">IF(ISBLANK($C152),"",IF(ISNUMBER(O152), O152, ""))</f>
        <v/>
      </c>
      <c r="AC152" s="66" t="str">
        <f aca="false">IF(ISBLANK($C152),"",IF(ISNUMBER(P152), P152, Constants!$B$13))</f>
        <v/>
      </c>
      <c r="AD152" s="63" t="str">
        <f aca="false">IF(ISBLANK($C152),"",IF(Q152=Constants!$B$2, TRUE(), IF(Q152=Constants!$B$3, FALSE(), FALSE())))</f>
        <v/>
      </c>
      <c r="AE152" s="63" t="str">
        <f aca="false">IF(ISBLANK(C152), "", IF(AD152, Constants!$B$4,IF(COUNTA(G152:O152)=0, Constants!$B$5, Constants!$B$7)))</f>
        <v/>
      </c>
      <c r="AF152" s="63" t="str">
        <f aca="false">IF(ISBLANK($C152), "",IF($AE152=Constants!$B$7,1,$AE152))</f>
        <v/>
      </c>
      <c r="AG152" s="63" t="str">
        <f aca="false">IF($AE152=Constants!$B$7,IF(V152, 1, Constants!$B$11) * IF(X152, 1, Constants!$B$12),"")</f>
        <v/>
      </c>
      <c r="AH152" s="63" t="str">
        <f aca="false">IF(AND($AE152=Constants!$B$7, T152, U152) ,MAX(0, $AA152-$Y152),"")</f>
        <v/>
      </c>
      <c r="AI152" s="63" t="str">
        <f aca="false">IF(ISERROR(AH152),$AI$6,"")</f>
        <v/>
      </c>
      <c r="AJ152" s="63" t="str">
        <f aca="false">IF($AE152=Constants!$B$7,IF(AND(T152,U152,W152),IF($AH$6=0,Constants!$B$9,Constants!$B$9*AH152/$AH$6), 0),"")</f>
        <v/>
      </c>
      <c r="AK152" s="63" t="str">
        <f aca="false">IF(AJ152&lt;&gt;"", AJ152*AG152,"")</f>
        <v/>
      </c>
      <c r="AL152" s="63" t="str">
        <f aca="false">IF(AND($AE152=Constants!$B$7, T152, U152) ,IF($Z152="", "", MAX(0,1-ABS($AA152-$Z152)/$AA152)),"")</f>
        <v/>
      </c>
      <c r="AM152" s="63" t="str">
        <f aca="false">IF(AND(NOT(ISERROR(AH152)),ISERROR(AL152)),$AM$6,"")</f>
        <v/>
      </c>
      <c r="AN152" s="63" t="str">
        <f aca="false">IF($AE152=Constants!$B$7 ,IF(AND(T152,U152,W152,ISNUMBER(Z152)),IF($AL$6=0,Constants!$B$10,Constants!$B$10*AL152/$AL$6), 0),"")</f>
        <v/>
      </c>
      <c r="AO152" s="63" t="str">
        <f aca="false">IF(AN152&lt;&gt;"", AN152*AG152,"")</f>
        <v/>
      </c>
      <c r="AP152" s="63" t="str">
        <f aca="false">IF($AE152=Constants!$B$7,IF($AP$6=0,Constants!$B$8,Constants!$B$8*AB152/$AP$6),"")</f>
        <v/>
      </c>
      <c r="AQ152" s="63" t="str">
        <f aca="false">IF($AE152&lt;&gt;Constants!$B$7,$AE152,AK152+AO152+AP152)</f>
        <v/>
      </c>
      <c r="AR152" s="63" t="str">
        <f aca="false">IF(ISBLANK($C152),"",IF($AE152=Constants!$B$7,RANK(AQ152,$AQ$8:$AQ$507),$AE152))</f>
        <v/>
      </c>
      <c r="AS152" s="63" t="str">
        <f aca="false">IF(ISBLANK($C152), "",AK152)</f>
        <v/>
      </c>
      <c r="AT152" s="63" t="str">
        <f aca="false">IF(ISBLANK($C152),"",IF($AE152=Constants!$B$7,RANK(AS152,AS$8:AS$507),$AE152))</f>
        <v/>
      </c>
      <c r="AU152" s="63" t="str">
        <f aca="false">IF(ISBLANK($C152), "",AP152)</f>
        <v/>
      </c>
      <c r="AV152" s="63" t="str">
        <f aca="false">IF(ISBLANK($C152),"",IF($AE152=Constants!$B$7,RANK(AU152,AU$8:AU$507),$AE152))</f>
        <v/>
      </c>
      <c r="AW152" s="63" t="str">
        <f aca="false">IF(ISBLANK($C152), "",AC152)</f>
        <v/>
      </c>
      <c r="AX152" s="63" t="str">
        <f aca="false">IF(ISBLANK($C152),"",
IF($AE152=Constants!$B$7,
  COUNTIFS($AR$8:$AR$507,"&lt;"&amp;$AR152)
  + COUNTIFS($AR$8:$AR$507,$AR152,$AT$8:$AT$507,"&lt;"&amp;$AT152)
  + COUNTIFS($AR$8:$AR$507,$AR152,$AT$8:$AT$507,$AT152,$AV$8:$AV$507,"&lt;"&amp;$AV152)
  + COUNTIFS($AR$8:$AR$507,$AR152,$AT$8:$AT$507,$AT152,$AV$8:$AV$507,$AV152,$AW$8:$AW$507,"&lt;"&amp;$AW152)
  + 1,
$AE152))</f>
        <v/>
      </c>
      <c r="AY152" s="63" t="str">
        <f aca="false">IF(ISBLANK(C152),"",IF($AE152=Constants!$B$7, AR152-AX152,$AE152))</f>
        <v/>
      </c>
      <c r="AZ152" s="67"/>
      <c r="BA152" s="81" t="str">
        <f aca="false">IF(ISBLANK($C152),"",TRIM(AI152&amp;" "&amp;AM152))</f>
        <v/>
      </c>
      <c r="BB152" s="69" t="str">
        <f aca="false">IF(ISBLANK($C152),"",IF($AE152&lt;&gt;Constants!$B$7, $AE152 ,AQ152))</f>
        <v/>
      </c>
      <c r="BC152" s="70" t="str">
        <f aca="false">IF(ISBLANK($C152),"",IF($AE152&lt;&gt;Constants!$B$7, $AE152 ,AF152))</f>
        <v/>
      </c>
      <c r="BD152" s="71" t="str">
        <f aca="false">IF(ISBLANK(C152),"",AY152)</f>
        <v/>
      </c>
      <c r="BE152" s="71" t="str">
        <f aca="false">IF(ISBLANK(C152),"",AX152)</f>
        <v/>
      </c>
      <c r="BF152" s="72" t="str">
        <f aca="false">IF(ISBLANK(C152),"",IFERROR(_xlfn.SWITCH(BE152, Constants!$B$4, COUNTA($C$8:$C651)+2, Constants!$B$5, COUNTA($C$8:$C651)+1, Constants!$B$6, COUNTA($C$8:$C651)),BE152))</f>
        <v/>
      </c>
      <c r="BG152" s="5"/>
      <c r="BH152" s="73" t="n">
        <f aca="false">IF(OR(ISNUMBER(BE152),BE152="DQ",BE152="P",BE152="NS"),
    1,
    0
)</f>
        <v>0</v>
      </c>
      <c r="BI152" s="73" t="n">
        <v>145</v>
      </c>
      <c r="BJ152" s="73" t="str">
        <f aca="false">IF(ISBLANK($C152),
    "",
   BF152+ROW($B152)/1000
)</f>
        <v/>
      </c>
      <c r="BK152" s="73" t="str">
        <f aca="false">IF(ISNUMBER(BJ152), RANK(BJ152,BJ$8:BJ$507,1), "")</f>
        <v/>
      </c>
      <c r="BL152" s="73" t="str">
        <f aca="false">IF(ISBLANK($C152),
    "",
    $B152
)</f>
        <v/>
      </c>
      <c r="BM152" s="73" t="str">
        <f aca="false">IF(ISBLANK($C152),
    "",
    $C152
)</f>
        <v/>
      </c>
      <c r="BN152" s="73" t="str">
        <f aca="false">IF(ISBLANK($C152),
    "",
    $D152
)</f>
        <v/>
      </c>
      <c r="BO152" s="74" t="str">
        <f aca="false">BC152</f>
        <v/>
      </c>
      <c r="BP152" s="75" t="str">
        <f aca="false">BB152</f>
        <v/>
      </c>
      <c r="BQ152" s="73" t="str">
        <f aca="false">IF(ISBLANK($C152),
    "",
    BE152
)</f>
        <v/>
      </c>
      <c r="BR152" s="76" t="str">
        <f aca="false">IF(BI152&gt;BH$7,
    "",
    VLOOKUP(BI152,BK$8:BQ651,7,FALSE())
)</f>
        <v/>
      </c>
      <c r="BS152" s="77" t="str">
        <f aca="false">IF(BI152&gt;BH$7,
    "",
    VLOOKUP(BI152,BK$8:BQ651,2,FALSE())
)</f>
        <v/>
      </c>
      <c r="BT152" s="77" t="str">
        <f aca="false">IF(BI152&gt;BH$7,
    "",
    VLOOKUP(BI152,BK$8:BQ651,3,FALSE())
)</f>
        <v/>
      </c>
      <c r="BU152" s="77" t="str">
        <f aca="false">IF(BI152&gt;BH$7,
    "",
    VLOOKUP(BI152,BK$8:BQ651,4,FALSE())
)</f>
        <v/>
      </c>
      <c r="BV152" s="77" t="str">
        <f aca="false">IF(BI152&gt;BH$7,
    "",
    VLOOKUP(BI152,BK$8:BQ651,5,FALSE())
)</f>
        <v/>
      </c>
      <c r="BW152" s="78" t="str">
        <f aca="false">IF(BI152&gt;BH$7,
    "",
    VLOOKUP(BI152,BK$8:BQ651,6,FALSE())
)</f>
        <v/>
      </c>
      <c r="BX152" s="50"/>
    </row>
    <row r="153" customFormat="false" ht="15.75" hidden="false" customHeight="false" outlineLevel="0" collapsed="false">
      <c r="A153" s="5"/>
      <c r="B153" s="126"/>
      <c r="C153" s="52"/>
      <c r="D153" s="53"/>
      <c r="E153" s="120"/>
      <c r="F153" s="120"/>
      <c r="G153" s="55"/>
      <c r="H153" s="56"/>
      <c r="I153" s="80"/>
      <c r="J153" s="80"/>
      <c r="K153" s="80"/>
      <c r="L153" s="58"/>
      <c r="M153" s="58"/>
      <c r="N153" s="58"/>
      <c r="O153" s="59"/>
      <c r="P153" s="60"/>
      <c r="Q153" s="80"/>
      <c r="R153" s="62"/>
      <c r="S153" s="63"/>
      <c r="T153" s="63" t="str">
        <f aca="false">IF(ISBLANK($C153),"",IF(G153=Constants!$B$2, TRUE(), IF(G153=Constants!$B$3, FALSE(), TRUE())))</f>
        <v/>
      </c>
      <c r="U153" s="63" t="str">
        <f aca="false">IF(ISBLANK($C153),"",IF(H153=Constants!$B$2, TRUE(), IF(H153=Constants!$B$3, FALSE(), TRUE())))</f>
        <v/>
      </c>
      <c r="V153" s="63" t="str">
        <f aca="false">IF(ISBLANK($C153),"",IF(I153=Constants!$B$2, TRUE(), IF(I153=Constants!$B$3, FALSE(), TRUE())))</f>
        <v/>
      </c>
      <c r="W153" s="63" t="str">
        <f aca="false">IF(ISBLANK($C153),"",IF(J153=Constants!$B$2, TRUE(), IF(J153=Constants!$B$3, FALSE(), TRUE())))</f>
        <v/>
      </c>
      <c r="X153" s="63" t="str">
        <f aca="false">IF(ISBLANK($C153),"",IF(K153=Constants!$B$2, TRUE(), IF(K153=Constants!$B$3, FALSE(), TRUE())))</f>
        <v/>
      </c>
      <c r="Y153" s="65" t="str">
        <f aca="false">IF(ISBLANK($C153),"",IF(ISNUMBER(L153), L153, ""))</f>
        <v/>
      </c>
      <c r="Z153" s="65" t="str">
        <f aca="false">IF(ISBLANK($C153),"",IF(ISNUMBER(M153), M153, ""))</f>
        <v/>
      </c>
      <c r="AA153" s="65" t="str">
        <f aca="false">IF(ISBLANK($C153),"",IF(ISNUMBER(N153), N153, ""))</f>
        <v/>
      </c>
      <c r="AB153" s="66" t="str">
        <f aca="false">IF(ISBLANK($C153),"",IF(ISNUMBER(O153), O153, ""))</f>
        <v/>
      </c>
      <c r="AC153" s="66" t="str">
        <f aca="false">IF(ISBLANK($C153),"",IF(ISNUMBER(P153), P153, Constants!$B$13))</f>
        <v/>
      </c>
      <c r="AD153" s="63" t="str">
        <f aca="false">IF(ISBLANK($C153),"",IF(Q153=Constants!$B$2, TRUE(), IF(Q153=Constants!$B$3, FALSE(), FALSE())))</f>
        <v/>
      </c>
      <c r="AE153" s="63" t="str">
        <f aca="false">IF(ISBLANK(C153), "", IF(AD153, Constants!$B$4,IF(COUNTA(G153:O153)=0, Constants!$B$5, Constants!$B$7)))</f>
        <v/>
      </c>
      <c r="AF153" s="63" t="str">
        <f aca="false">IF(ISBLANK($C153), "",IF($AE153=Constants!$B$7,1,$AE153))</f>
        <v/>
      </c>
      <c r="AG153" s="63" t="str">
        <f aca="false">IF($AE153=Constants!$B$7,IF(V153, 1, Constants!$B$11) * IF(X153, 1, Constants!$B$12),"")</f>
        <v/>
      </c>
      <c r="AH153" s="63" t="str">
        <f aca="false">IF(AND($AE153=Constants!$B$7, T153, U153) ,MAX(0, $AA153-$Y153),"")</f>
        <v/>
      </c>
      <c r="AI153" s="63" t="str">
        <f aca="false">IF(ISERROR(AH153),$AI$6,"")</f>
        <v/>
      </c>
      <c r="AJ153" s="63" t="str">
        <f aca="false">IF($AE153=Constants!$B$7,IF(AND(T153,U153,W153),IF($AH$6=0,Constants!$B$9,Constants!$B$9*AH153/$AH$6), 0),"")</f>
        <v/>
      </c>
      <c r="AK153" s="63" t="str">
        <f aca="false">IF(AJ153&lt;&gt;"", AJ153*AG153,"")</f>
        <v/>
      </c>
      <c r="AL153" s="63" t="str">
        <f aca="false">IF(AND($AE153=Constants!$B$7, T153, U153) ,IF($Z153="", "", MAX(0,1-ABS($AA153-$Z153)/$AA153)),"")</f>
        <v/>
      </c>
      <c r="AM153" s="63" t="str">
        <f aca="false">IF(AND(NOT(ISERROR(AH153)),ISERROR(AL153)),$AM$6,"")</f>
        <v/>
      </c>
      <c r="AN153" s="63" t="str">
        <f aca="false">IF($AE153=Constants!$B$7 ,IF(AND(T153,U153,W153,ISNUMBER(Z153)),IF($AL$6=0,Constants!$B$10,Constants!$B$10*AL153/$AL$6), 0),"")</f>
        <v/>
      </c>
      <c r="AO153" s="63" t="str">
        <f aca="false">IF(AN153&lt;&gt;"", AN153*AG153,"")</f>
        <v/>
      </c>
      <c r="AP153" s="63" t="str">
        <f aca="false">IF($AE153=Constants!$B$7,IF($AP$6=0,Constants!$B$8,Constants!$B$8*AB153/$AP$6),"")</f>
        <v/>
      </c>
      <c r="AQ153" s="63" t="str">
        <f aca="false">IF($AE153&lt;&gt;Constants!$B$7,$AE153,AK153+AO153+AP153)</f>
        <v/>
      </c>
      <c r="AR153" s="63" t="str">
        <f aca="false">IF(ISBLANK($C153),"",IF($AE153=Constants!$B$7,RANK(AQ153,$AQ$8:$AQ$507),$AE153))</f>
        <v/>
      </c>
      <c r="AS153" s="63" t="str">
        <f aca="false">IF(ISBLANK($C153), "",AK153)</f>
        <v/>
      </c>
      <c r="AT153" s="63" t="str">
        <f aca="false">IF(ISBLANK($C153),"",IF($AE153=Constants!$B$7,RANK(AS153,AS$8:AS$507),$AE153))</f>
        <v/>
      </c>
      <c r="AU153" s="63" t="str">
        <f aca="false">IF(ISBLANK($C153), "",AP153)</f>
        <v/>
      </c>
      <c r="AV153" s="63" t="str">
        <f aca="false">IF(ISBLANK($C153),"",IF($AE153=Constants!$B$7,RANK(AU153,AU$8:AU$507),$AE153))</f>
        <v/>
      </c>
      <c r="AW153" s="63" t="str">
        <f aca="false">IF(ISBLANK($C153), "",AC153)</f>
        <v/>
      </c>
      <c r="AX153" s="63" t="str">
        <f aca="false">IF(ISBLANK($C153),"",
IF($AE153=Constants!$B$7,
  COUNTIFS($AR$8:$AR$507,"&lt;"&amp;$AR153)
  + COUNTIFS($AR$8:$AR$507,$AR153,$AT$8:$AT$507,"&lt;"&amp;$AT153)
  + COUNTIFS($AR$8:$AR$507,$AR153,$AT$8:$AT$507,$AT153,$AV$8:$AV$507,"&lt;"&amp;$AV153)
  + COUNTIFS($AR$8:$AR$507,$AR153,$AT$8:$AT$507,$AT153,$AV$8:$AV$507,$AV153,$AW$8:$AW$507,"&lt;"&amp;$AW153)
  + 1,
$AE153))</f>
        <v/>
      </c>
      <c r="AY153" s="63" t="str">
        <f aca="false">IF(ISBLANK(C153),"",IF($AE153=Constants!$B$7, AR153-AX153,$AE153))</f>
        <v/>
      </c>
      <c r="AZ153" s="67"/>
      <c r="BA153" s="81" t="str">
        <f aca="false">IF(ISBLANK($C153),"",TRIM(AI153&amp;" "&amp;AM153))</f>
        <v/>
      </c>
      <c r="BB153" s="69" t="str">
        <f aca="false">IF(ISBLANK($C153),"",IF($AE153&lt;&gt;Constants!$B$7, $AE153 ,AQ153))</f>
        <v/>
      </c>
      <c r="BC153" s="70" t="str">
        <f aca="false">IF(ISBLANK($C153),"",IF($AE153&lt;&gt;Constants!$B$7, $AE153 ,AF153))</f>
        <v/>
      </c>
      <c r="BD153" s="71" t="str">
        <f aca="false">IF(ISBLANK(C153),"",AY153)</f>
        <v/>
      </c>
      <c r="BE153" s="71" t="str">
        <f aca="false">IF(ISBLANK(C153),"",AX153)</f>
        <v/>
      </c>
      <c r="BF153" s="72" t="str">
        <f aca="false">IF(ISBLANK(C153),"",IFERROR(_xlfn.SWITCH(BE153, Constants!$B$4, COUNTA($C$8:$C652)+2, Constants!$B$5, COUNTA($C$8:$C652)+1, Constants!$B$6, COUNTA($C$8:$C652)),BE153))</f>
        <v/>
      </c>
      <c r="BG153" s="5"/>
      <c r="BH153" s="73" t="n">
        <f aca="false">IF(OR(ISNUMBER(BE153),BE153="DQ",BE153="P",BE153="NS"),
    1,
    0
)</f>
        <v>0</v>
      </c>
      <c r="BI153" s="73" t="n">
        <v>146</v>
      </c>
      <c r="BJ153" s="73" t="str">
        <f aca="false">IF(ISBLANK($C153),
    "",
   BF153+ROW($B153)/1000
)</f>
        <v/>
      </c>
      <c r="BK153" s="73" t="str">
        <f aca="false">IF(ISNUMBER(BJ153), RANK(BJ153,BJ$8:BJ$507,1), "")</f>
        <v/>
      </c>
      <c r="BL153" s="73" t="str">
        <f aca="false">IF(ISBLANK($C153),
    "",
    $B153
)</f>
        <v/>
      </c>
      <c r="BM153" s="73" t="str">
        <f aca="false">IF(ISBLANK($C153),
    "",
    $C153
)</f>
        <v/>
      </c>
      <c r="BN153" s="73" t="str">
        <f aca="false">IF(ISBLANK($C153),
    "",
    $D153
)</f>
        <v/>
      </c>
      <c r="BO153" s="74" t="str">
        <f aca="false">BC153</f>
        <v/>
      </c>
      <c r="BP153" s="75" t="str">
        <f aca="false">BB153</f>
        <v/>
      </c>
      <c r="BQ153" s="73" t="str">
        <f aca="false">IF(ISBLANK($C153),
    "",
    BE153
)</f>
        <v/>
      </c>
      <c r="BR153" s="76" t="str">
        <f aca="false">IF(BI153&gt;BH$7,
    "",
    VLOOKUP(BI153,BK$8:BQ652,7,FALSE())
)</f>
        <v/>
      </c>
      <c r="BS153" s="77" t="str">
        <f aca="false">IF(BI153&gt;BH$7,
    "",
    VLOOKUP(BI153,BK$8:BQ652,2,FALSE())
)</f>
        <v/>
      </c>
      <c r="BT153" s="77" t="str">
        <f aca="false">IF(BI153&gt;BH$7,
    "",
    VLOOKUP(BI153,BK$8:BQ652,3,FALSE())
)</f>
        <v/>
      </c>
      <c r="BU153" s="77" t="str">
        <f aca="false">IF(BI153&gt;BH$7,
    "",
    VLOOKUP(BI153,BK$8:BQ652,4,FALSE())
)</f>
        <v/>
      </c>
      <c r="BV153" s="77" t="str">
        <f aca="false">IF(BI153&gt;BH$7,
    "",
    VLOOKUP(BI153,BK$8:BQ652,5,FALSE())
)</f>
        <v/>
      </c>
      <c r="BW153" s="78" t="str">
        <f aca="false">IF(BI153&gt;BH$7,
    "",
    VLOOKUP(BI153,BK$8:BQ652,6,FALSE())
)</f>
        <v/>
      </c>
      <c r="BX153" s="50"/>
    </row>
    <row r="154" customFormat="false" ht="15.75" hidden="false" customHeight="false" outlineLevel="0" collapsed="false">
      <c r="A154" s="5"/>
      <c r="B154" s="126"/>
      <c r="C154" s="52"/>
      <c r="D154" s="53"/>
      <c r="E154" s="120"/>
      <c r="F154" s="120"/>
      <c r="G154" s="55"/>
      <c r="H154" s="56"/>
      <c r="I154" s="80"/>
      <c r="J154" s="80"/>
      <c r="K154" s="80"/>
      <c r="L154" s="58"/>
      <c r="M154" s="58"/>
      <c r="N154" s="58"/>
      <c r="O154" s="59"/>
      <c r="P154" s="60"/>
      <c r="Q154" s="80"/>
      <c r="R154" s="62"/>
      <c r="S154" s="63"/>
      <c r="T154" s="63" t="str">
        <f aca="false">IF(ISBLANK($C154),"",IF(G154=Constants!$B$2, TRUE(), IF(G154=Constants!$B$3, FALSE(), TRUE())))</f>
        <v/>
      </c>
      <c r="U154" s="63" t="str">
        <f aca="false">IF(ISBLANK($C154),"",IF(H154=Constants!$B$2, TRUE(), IF(H154=Constants!$B$3, FALSE(), TRUE())))</f>
        <v/>
      </c>
      <c r="V154" s="63" t="str">
        <f aca="false">IF(ISBLANK($C154),"",IF(I154=Constants!$B$2, TRUE(), IF(I154=Constants!$B$3, FALSE(), TRUE())))</f>
        <v/>
      </c>
      <c r="W154" s="63" t="str">
        <f aca="false">IF(ISBLANK($C154),"",IF(J154=Constants!$B$2, TRUE(), IF(J154=Constants!$B$3, FALSE(), TRUE())))</f>
        <v/>
      </c>
      <c r="X154" s="63" t="str">
        <f aca="false">IF(ISBLANK($C154),"",IF(K154=Constants!$B$2, TRUE(), IF(K154=Constants!$B$3, FALSE(), TRUE())))</f>
        <v/>
      </c>
      <c r="Y154" s="65" t="str">
        <f aca="false">IF(ISBLANK($C154),"",IF(ISNUMBER(L154), L154, ""))</f>
        <v/>
      </c>
      <c r="Z154" s="65" t="str">
        <f aca="false">IF(ISBLANK($C154),"",IF(ISNUMBER(M154), M154, ""))</f>
        <v/>
      </c>
      <c r="AA154" s="65" t="str">
        <f aca="false">IF(ISBLANK($C154),"",IF(ISNUMBER(N154), N154, ""))</f>
        <v/>
      </c>
      <c r="AB154" s="66" t="str">
        <f aca="false">IF(ISBLANK($C154),"",IF(ISNUMBER(O154), O154, ""))</f>
        <v/>
      </c>
      <c r="AC154" s="66" t="str">
        <f aca="false">IF(ISBLANK($C154),"",IF(ISNUMBER(P154), P154, Constants!$B$13))</f>
        <v/>
      </c>
      <c r="AD154" s="63" t="str">
        <f aca="false">IF(ISBLANK($C154),"",IF(Q154=Constants!$B$2, TRUE(), IF(Q154=Constants!$B$3, FALSE(), FALSE())))</f>
        <v/>
      </c>
      <c r="AE154" s="63" t="str">
        <f aca="false">IF(ISBLANK(C154), "", IF(AD154, Constants!$B$4,IF(COUNTA(G154:O154)=0, Constants!$B$5, Constants!$B$7)))</f>
        <v/>
      </c>
      <c r="AF154" s="63" t="str">
        <f aca="false">IF(ISBLANK($C154), "",IF($AE154=Constants!$B$7,1,$AE154))</f>
        <v/>
      </c>
      <c r="AG154" s="63" t="str">
        <f aca="false">IF($AE154=Constants!$B$7,IF(V154, 1, Constants!$B$11) * IF(X154, 1, Constants!$B$12),"")</f>
        <v/>
      </c>
      <c r="AH154" s="63" t="str">
        <f aca="false">IF(AND($AE154=Constants!$B$7, T154, U154) ,MAX(0, $AA154-$Y154),"")</f>
        <v/>
      </c>
      <c r="AI154" s="63" t="str">
        <f aca="false">IF(ISERROR(AH154),$AI$6,"")</f>
        <v/>
      </c>
      <c r="AJ154" s="63" t="str">
        <f aca="false">IF($AE154=Constants!$B$7,IF(AND(T154,U154,W154),IF($AH$6=0,Constants!$B$9,Constants!$B$9*AH154/$AH$6), 0),"")</f>
        <v/>
      </c>
      <c r="AK154" s="63" t="str">
        <f aca="false">IF(AJ154&lt;&gt;"", AJ154*AG154,"")</f>
        <v/>
      </c>
      <c r="AL154" s="63" t="str">
        <f aca="false">IF(AND($AE154=Constants!$B$7, T154, U154) ,IF($Z154="", "", MAX(0,1-ABS($AA154-$Z154)/$AA154)),"")</f>
        <v/>
      </c>
      <c r="AM154" s="63" t="str">
        <f aca="false">IF(AND(NOT(ISERROR(AH154)),ISERROR(AL154)),$AM$6,"")</f>
        <v/>
      </c>
      <c r="AN154" s="63" t="str">
        <f aca="false">IF($AE154=Constants!$B$7 ,IF(AND(T154,U154,W154,ISNUMBER(Z154)),IF($AL$6=0,Constants!$B$10,Constants!$B$10*AL154/$AL$6), 0),"")</f>
        <v/>
      </c>
      <c r="AO154" s="63" t="str">
        <f aca="false">IF(AN154&lt;&gt;"", AN154*AG154,"")</f>
        <v/>
      </c>
      <c r="AP154" s="63" t="str">
        <f aca="false">IF($AE154=Constants!$B$7,IF($AP$6=0,Constants!$B$8,Constants!$B$8*AB154/$AP$6),"")</f>
        <v/>
      </c>
      <c r="AQ154" s="63" t="str">
        <f aca="false">IF($AE154&lt;&gt;Constants!$B$7,$AE154,AK154+AO154+AP154)</f>
        <v/>
      </c>
      <c r="AR154" s="63" t="str">
        <f aca="false">IF(ISBLANK($C154),"",IF($AE154=Constants!$B$7,RANK(AQ154,$AQ$8:$AQ$507),$AE154))</f>
        <v/>
      </c>
      <c r="AS154" s="63" t="str">
        <f aca="false">IF(ISBLANK($C154), "",AK154)</f>
        <v/>
      </c>
      <c r="AT154" s="63" t="str">
        <f aca="false">IF(ISBLANK($C154),"",IF($AE154=Constants!$B$7,RANK(AS154,AS$8:AS$507),$AE154))</f>
        <v/>
      </c>
      <c r="AU154" s="63" t="str">
        <f aca="false">IF(ISBLANK($C154), "",AP154)</f>
        <v/>
      </c>
      <c r="AV154" s="63" t="str">
        <f aca="false">IF(ISBLANK($C154),"",IF($AE154=Constants!$B$7,RANK(AU154,AU$8:AU$507),$AE154))</f>
        <v/>
      </c>
      <c r="AW154" s="63" t="str">
        <f aca="false">IF(ISBLANK($C154), "",AC154)</f>
        <v/>
      </c>
      <c r="AX154" s="63" t="str">
        <f aca="false">IF(ISBLANK($C154),"",
IF($AE154=Constants!$B$7,
  COUNTIFS($AR$8:$AR$507,"&lt;"&amp;$AR154)
  + COUNTIFS($AR$8:$AR$507,$AR154,$AT$8:$AT$507,"&lt;"&amp;$AT154)
  + COUNTIFS($AR$8:$AR$507,$AR154,$AT$8:$AT$507,$AT154,$AV$8:$AV$507,"&lt;"&amp;$AV154)
  + COUNTIFS($AR$8:$AR$507,$AR154,$AT$8:$AT$507,$AT154,$AV$8:$AV$507,$AV154,$AW$8:$AW$507,"&lt;"&amp;$AW154)
  + 1,
$AE154))</f>
        <v/>
      </c>
      <c r="AY154" s="63" t="str">
        <f aca="false">IF(ISBLANK(C154),"",IF($AE154=Constants!$B$7, AR154-AX154,$AE154))</f>
        <v/>
      </c>
      <c r="AZ154" s="67"/>
      <c r="BA154" s="81" t="str">
        <f aca="false">IF(ISBLANK($C154),"",TRIM(AI154&amp;" "&amp;AM154))</f>
        <v/>
      </c>
      <c r="BB154" s="69" t="str">
        <f aca="false">IF(ISBLANK($C154),"",IF($AE154&lt;&gt;Constants!$B$7, $AE154 ,AQ154))</f>
        <v/>
      </c>
      <c r="BC154" s="70" t="str">
        <f aca="false">IF(ISBLANK($C154),"",IF($AE154&lt;&gt;Constants!$B$7, $AE154 ,AF154))</f>
        <v/>
      </c>
      <c r="BD154" s="71" t="str">
        <f aca="false">IF(ISBLANK(C154),"",AY154)</f>
        <v/>
      </c>
      <c r="BE154" s="71" t="str">
        <f aca="false">IF(ISBLANK(C154),"",AX154)</f>
        <v/>
      </c>
      <c r="BF154" s="72" t="str">
        <f aca="false">IF(ISBLANK(C154),"",IFERROR(_xlfn.SWITCH(BE154, Constants!$B$4, COUNTA($C$8:$C653)+2, Constants!$B$5, COUNTA($C$8:$C653)+1, Constants!$B$6, COUNTA($C$8:$C653)),BE154))</f>
        <v/>
      </c>
      <c r="BG154" s="5"/>
      <c r="BH154" s="73" t="n">
        <f aca="false">IF(OR(ISNUMBER(BE154),BE154="DQ",BE154="P",BE154="NS"),
    1,
    0
)</f>
        <v>0</v>
      </c>
      <c r="BI154" s="73" t="n">
        <v>147</v>
      </c>
      <c r="BJ154" s="73" t="str">
        <f aca="false">IF(ISBLANK($C154),
    "",
   BF154+ROW($B154)/1000
)</f>
        <v/>
      </c>
      <c r="BK154" s="73" t="str">
        <f aca="false">IF(ISNUMBER(BJ154), RANK(BJ154,BJ$8:BJ$507,1), "")</f>
        <v/>
      </c>
      <c r="BL154" s="73" t="str">
        <f aca="false">IF(ISBLANK($C154),
    "",
    $B154
)</f>
        <v/>
      </c>
      <c r="BM154" s="73" t="str">
        <f aca="false">IF(ISBLANK($C154),
    "",
    $C154
)</f>
        <v/>
      </c>
      <c r="BN154" s="73" t="str">
        <f aca="false">IF(ISBLANK($C154),
    "",
    $D154
)</f>
        <v/>
      </c>
      <c r="BO154" s="74" t="str">
        <f aca="false">BC154</f>
        <v/>
      </c>
      <c r="BP154" s="75" t="str">
        <f aca="false">BB154</f>
        <v/>
      </c>
      <c r="BQ154" s="73" t="str">
        <f aca="false">IF(ISBLANK($C154),
    "",
    BE154
)</f>
        <v/>
      </c>
      <c r="BR154" s="76" t="str">
        <f aca="false">IF(BI154&gt;BH$7,
    "",
    VLOOKUP(BI154,BK$8:BQ653,7,FALSE())
)</f>
        <v/>
      </c>
      <c r="BS154" s="77" t="str">
        <f aca="false">IF(BI154&gt;BH$7,
    "",
    VLOOKUP(BI154,BK$8:BQ653,2,FALSE())
)</f>
        <v/>
      </c>
      <c r="BT154" s="77" t="str">
        <f aca="false">IF(BI154&gt;BH$7,
    "",
    VLOOKUP(BI154,BK$8:BQ653,3,FALSE())
)</f>
        <v/>
      </c>
      <c r="BU154" s="77" t="str">
        <f aca="false">IF(BI154&gt;BH$7,
    "",
    VLOOKUP(BI154,BK$8:BQ653,4,FALSE())
)</f>
        <v/>
      </c>
      <c r="BV154" s="77" t="str">
        <f aca="false">IF(BI154&gt;BH$7,
    "",
    VLOOKUP(BI154,BK$8:BQ653,5,FALSE())
)</f>
        <v/>
      </c>
      <c r="BW154" s="78" t="str">
        <f aca="false">IF(BI154&gt;BH$7,
    "",
    VLOOKUP(BI154,BK$8:BQ653,6,FALSE())
)</f>
        <v/>
      </c>
      <c r="BX154" s="50"/>
    </row>
    <row r="155" customFormat="false" ht="15.75" hidden="false" customHeight="false" outlineLevel="0" collapsed="false">
      <c r="A155" s="5"/>
      <c r="B155" s="122"/>
      <c r="C155" s="123"/>
      <c r="D155" s="112"/>
      <c r="E155" s="116"/>
      <c r="F155" s="116"/>
      <c r="G155" s="88"/>
      <c r="H155" s="89"/>
      <c r="I155" s="125"/>
      <c r="J155" s="125"/>
      <c r="K155" s="125"/>
      <c r="L155" s="91"/>
      <c r="M155" s="91"/>
      <c r="N155" s="91"/>
      <c r="O155" s="92"/>
      <c r="P155" s="93"/>
      <c r="Q155" s="125"/>
      <c r="R155" s="95"/>
      <c r="S155" s="96"/>
      <c r="T155" s="96" t="str">
        <f aca="false">IF(ISBLANK($C155),"",IF(G155=Constants!$B$2, TRUE(), IF(G155=Constants!$B$3, FALSE(), TRUE())))</f>
        <v/>
      </c>
      <c r="U155" s="96" t="str">
        <f aca="false">IF(ISBLANK($C155),"",IF(H155=Constants!$B$2, TRUE(), IF(H155=Constants!$B$3, FALSE(), TRUE())))</f>
        <v/>
      </c>
      <c r="V155" s="96" t="str">
        <f aca="false">IF(ISBLANK($C155),"",IF(I155=Constants!$B$2, TRUE(), IF(I155=Constants!$B$3, FALSE(), TRUE())))</f>
        <v/>
      </c>
      <c r="W155" s="96" t="str">
        <f aca="false">IF(ISBLANK($C155),"",IF(J155=Constants!$B$2, TRUE(), IF(J155=Constants!$B$3, FALSE(), TRUE())))</f>
        <v/>
      </c>
      <c r="X155" s="97" t="str">
        <f aca="false">IF(ISBLANK($C155),"",IF(K155=Constants!$B$2, TRUE(), IF(K155=Constants!$B$3, FALSE(), TRUE())))</f>
        <v/>
      </c>
      <c r="Y155" s="98" t="str">
        <f aca="false">IF(ISBLANK($C155),"",IF(ISNUMBER(L155), L155, ""))</f>
        <v/>
      </c>
      <c r="Z155" s="98" t="str">
        <f aca="false">IF(ISBLANK($C155),"",IF(ISNUMBER(M155), M155, ""))</f>
        <v/>
      </c>
      <c r="AA155" s="98" t="str">
        <f aca="false">IF(ISBLANK($C155),"",IF(ISNUMBER(N155), N155, ""))</f>
        <v/>
      </c>
      <c r="AB155" s="99" t="str">
        <f aca="false">IF(ISBLANK($C155),"",IF(ISNUMBER(O155), O155, ""))</f>
        <v/>
      </c>
      <c r="AC155" s="99" t="str">
        <f aca="false">IF(ISBLANK($C155),"",IF(ISNUMBER(P155), P155, Constants!$B$13))</f>
        <v/>
      </c>
      <c r="AD155" s="96" t="str">
        <f aca="false">IF(ISBLANK($C155),"",IF(Q155=Constants!$B$2, TRUE(), IF(Q155=Constants!$B$3, FALSE(), FALSE())))</f>
        <v/>
      </c>
      <c r="AE155" s="96" t="str">
        <f aca="false">IF(ISBLANK(C155), "", IF(AD155, Constants!$B$4,IF(COUNTA(G155:O155)=0, Constants!$B$5, Constants!$B$7)))</f>
        <v/>
      </c>
      <c r="AF155" s="96" t="str">
        <f aca="false">IF(ISBLANK($C155), "",IF($AE155=Constants!$B$7,1,$AE155))</f>
        <v/>
      </c>
      <c r="AG155" s="96" t="str">
        <f aca="false">IF($AE155=Constants!$B$7,IF(V155, 1, Constants!$B$11) * IF(X155, 1, Constants!$B$12),"")</f>
        <v/>
      </c>
      <c r="AH155" s="96" t="str">
        <f aca="false">IF(AND($AE155=Constants!$B$7, T155, U155) ,MAX(0, $AA155-$Y155),"")</f>
        <v/>
      </c>
      <c r="AI155" s="96" t="str">
        <f aca="false">IF(ISERROR(AH155),$AI$6,"")</f>
        <v/>
      </c>
      <c r="AJ155" s="96" t="str">
        <f aca="false">IF($AE155=Constants!$B$7,IF(AND(T155,U155,W155),IF($AH$6=0,Constants!$B$9,Constants!$B$9*AH155/$AH$6), 0),"")</f>
        <v/>
      </c>
      <c r="AK155" s="96" t="str">
        <f aca="false">IF(AJ155&lt;&gt;"", AJ155*AG155,"")</f>
        <v/>
      </c>
      <c r="AL155" s="96" t="str">
        <f aca="false">IF(AND($AE155=Constants!$B$7, T155, U155) ,IF($Z155="", "", MAX(0,1-ABS($AA155-$Z155)/$AA155)),"")</f>
        <v/>
      </c>
      <c r="AM155" s="96" t="str">
        <f aca="false">IF(AND(NOT(ISERROR(AH155)),ISERROR(AL155)),$AM$6,"")</f>
        <v/>
      </c>
      <c r="AN155" s="96" t="str">
        <f aca="false">IF($AE155=Constants!$B$7 ,IF(AND(T155,U155,W155,ISNUMBER(Z155)),IF($AL$6=0,Constants!$B$10,Constants!$B$10*AL155/$AL$6), 0),"")</f>
        <v/>
      </c>
      <c r="AO155" s="96" t="str">
        <f aca="false">IF(AN155&lt;&gt;"", AN155*AG155,"")</f>
        <v/>
      </c>
      <c r="AP155" s="96" t="str">
        <f aca="false">IF($AE155=Constants!$B$7,IF($AP$6=0,Constants!$B$8,Constants!$B$8*AB155/$AP$6),"")</f>
        <v/>
      </c>
      <c r="AQ155" s="96" t="str">
        <f aca="false">IF($AE155&lt;&gt;Constants!$B$7,$AE155,AK155+AO155+AP155)</f>
        <v/>
      </c>
      <c r="AR155" s="96" t="str">
        <f aca="false">IF(ISBLANK($C155),"",IF($AE155=Constants!$B$7,RANK(AQ155,$AQ$8:$AQ$507),$AE155))</f>
        <v/>
      </c>
      <c r="AS155" s="96" t="str">
        <f aca="false">IF(ISBLANK($C155), "",AK155)</f>
        <v/>
      </c>
      <c r="AT155" s="96" t="str">
        <f aca="false">IF(ISBLANK($C155),"",IF($AE155=Constants!$B$7,RANK(AS155,AS$8:AS$507),$AE155))</f>
        <v/>
      </c>
      <c r="AU155" s="96" t="str">
        <f aca="false">IF(ISBLANK($C155), "",AP155)</f>
        <v/>
      </c>
      <c r="AV155" s="96" t="str">
        <f aca="false">IF(ISBLANK($C155),"",IF($AE155=Constants!$B$7,RANK(AU155,AU$8:AU$507),$AE155))</f>
        <v/>
      </c>
      <c r="AW155" s="96" t="str">
        <f aca="false">IF(ISBLANK($C155), "",AC155)</f>
        <v/>
      </c>
      <c r="AX155" s="96" t="str">
        <f aca="false">IF(ISBLANK($C155),"",
IF($AE155=Constants!$B$7,
  COUNTIFS($AR$8:$AR$507,"&lt;"&amp;$AR155)
  + COUNTIFS($AR$8:$AR$507,$AR155,$AT$8:$AT$507,"&lt;"&amp;$AT155)
  + COUNTIFS($AR$8:$AR$507,$AR155,$AT$8:$AT$507,$AT155,$AV$8:$AV$507,"&lt;"&amp;$AV155)
  + COUNTIFS($AR$8:$AR$507,$AR155,$AT$8:$AT$507,$AT155,$AV$8:$AV$507,$AV155,$AW$8:$AW$507,"&lt;"&amp;$AW155)
  + 1,
$AE155))</f>
        <v/>
      </c>
      <c r="AY155" s="96" t="str">
        <f aca="false">IF(ISBLANK(C155),"",IF($AE155=Constants!$B$7, AR155-AX155,$AE155))</f>
        <v/>
      </c>
      <c r="AZ155" s="100"/>
      <c r="BA155" s="101" t="str">
        <f aca="false">IF(ISBLANK($C155),"",TRIM(AI155&amp;" "&amp;AM155))</f>
        <v/>
      </c>
      <c r="BB155" s="102" t="str">
        <f aca="false">IF(ISBLANK($C155),"",IF($AE155&lt;&gt;Constants!$B$7, $AE155 ,AQ155))</f>
        <v/>
      </c>
      <c r="BC155" s="103" t="str">
        <f aca="false">IF(ISBLANK($C155),"",IF($AE155&lt;&gt;Constants!$B$7, $AE155 ,AF155))</f>
        <v/>
      </c>
      <c r="BD155" s="104" t="str">
        <f aca="false">IF(ISBLANK(C155),"",AY155)</f>
        <v/>
      </c>
      <c r="BE155" s="104" t="str">
        <f aca="false">IF(ISBLANK(C155),"",AX155)</f>
        <v/>
      </c>
      <c r="BF155" s="105" t="str">
        <f aca="false">IF(ISBLANK(C155),"",IFERROR(_xlfn.SWITCH(BE155, Constants!$B$4, COUNTA($C$8:$C654)+2, Constants!$B$5, COUNTA($C$8:$C654)+1, Constants!$B$6, COUNTA($C$8:$C654)),BE155))</f>
        <v/>
      </c>
      <c r="BG155" s="5"/>
      <c r="BH155" s="106" t="n">
        <f aca="false">IF(OR(ISNUMBER(BE155),BE155="DQ",BE155="P",BE155="NS"),
    1,
    0
)</f>
        <v>0</v>
      </c>
      <c r="BI155" s="106" t="n">
        <v>148</v>
      </c>
      <c r="BJ155" s="106" t="str">
        <f aca="false">IF(ISBLANK($C155),
    "",
   BF155+ROW($B155)/1000
)</f>
        <v/>
      </c>
      <c r="BK155" s="106" t="str">
        <f aca="false">IF(ISNUMBER(BJ155), RANK(BJ155,BJ$8:BJ$507,1), "")</f>
        <v/>
      </c>
      <c r="BL155" s="106" t="str">
        <f aca="false">IF(ISBLANK($C155),
    "",
    $B155
)</f>
        <v/>
      </c>
      <c r="BM155" s="106" t="str">
        <f aca="false">IF(ISBLANK($C155),
    "",
    $C155
)</f>
        <v/>
      </c>
      <c r="BN155" s="106" t="str">
        <f aca="false">IF(ISBLANK($C155),
    "",
    $D155
)</f>
        <v/>
      </c>
      <c r="BO155" s="107" t="str">
        <f aca="false">BC155</f>
        <v/>
      </c>
      <c r="BP155" s="108" t="str">
        <f aca="false">BB155</f>
        <v/>
      </c>
      <c r="BQ155" s="106" t="str">
        <f aca="false">IF(ISBLANK($C155),
    "",
    BE155
)</f>
        <v/>
      </c>
      <c r="BR155" s="109" t="str">
        <f aca="false">IF(BI155&gt;BH$7,
    "",
    VLOOKUP(BI155,BK$8:BQ654,7,FALSE())
)</f>
        <v/>
      </c>
      <c r="BS155" s="110" t="str">
        <f aca="false">IF(BI155&gt;BH$7,
    "",
    VLOOKUP(BI155,BK$8:BQ654,2,FALSE())
)</f>
        <v/>
      </c>
      <c r="BT155" s="110" t="str">
        <f aca="false">IF(BI155&gt;BH$7,
    "",
    VLOOKUP(BI155,BK$8:BQ654,3,FALSE())
)</f>
        <v/>
      </c>
      <c r="BU155" s="110" t="str">
        <f aca="false">IF(BI155&gt;BH$7,
    "",
    VLOOKUP(BI155,BK$8:BQ654,4,FALSE())
)</f>
        <v/>
      </c>
      <c r="BV155" s="110" t="str">
        <f aca="false">IF(BI155&gt;BH$7,
    "",
    VLOOKUP(BI155,BK$8:BQ654,5,FALSE())
)</f>
        <v/>
      </c>
      <c r="BW155" s="111" t="str">
        <f aca="false">IF(BI155&gt;BH$7,
    "",
    VLOOKUP(BI155,BK$8:BQ654,6,FALSE())
)</f>
        <v/>
      </c>
      <c r="BX155" s="50"/>
    </row>
    <row r="156" customFormat="false" ht="15.75" hidden="false" customHeight="false" outlineLevel="0" collapsed="false">
      <c r="A156" s="5"/>
      <c r="B156" s="122"/>
      <c r="C156" s="123"/>
      <c r="D156" s="112"/>
      <c r="E156" s="116"/>
      <c r="F156" s="116"/>
      <c r="G156" s="88"/>
      <c r="H156" s="89"/>
      <c r="I156" s="125"/>
      <c r="J156" s="125"/>
      <c r="K156" s="125"/>
      <c r="L156" s="91"/>
      <c r="M156" s="91"/>
      <c r="N156" s="91"/>
      <c r="O156" s="92"/>
      <c r="P156" s="93"/>
      <c r="Q156" s="125"/>
      <c r="R156" s="95"/>
      <c r="S156" s="96"/>
      <c r="T156" s="96" t="str">
        <f aca="false">IF(ISBLANK($C156),"",IF(G156=Constants!$B$2, TRUE(), IF(G156=Constants!$B$3, FALSE(), TRUE())))</f>
        <v/>
      </c>
      <c r="U156" s="96" t="str">
        <f aca="false">IF(ISBLANK($C156),"",IF(H156=Constants!$B$2, TRUE(), IF(H156=Constants!$B$3, FALSE(), TRUE())))</f>
        <v/>
      </c>
      <c r="V156" s="96" t="str">
        <f aca="false">IF(ISBLANK($C156),"",IF(I156=Constants!$B$2, TRUE(), IF(I156=Constants!$B$3, FALSE(), TRUE())))</f>
        <v/>
      </c>
      <c r="W156" s="96" t="str">
        <f aca="false">IF(ISBLANK($C156),"",IF(J156=Constants!$B$2, TRUE(), IF(J156=Constants!$B$3, FALSE(), TRUE())))</f>
        <v/>
      </c>
      <c r="X156" s="97" t="str">
        <f aca="false">IF(ISBLANK($C156),"",IF(K156=Constants!$B$2, TRUE(), IF(K156=Constants!$B$3, FALSE(), TRUE())))</f>
        <v/>
      </c>
      <c r="Y156" s="98" t="str">
        <f aca="false">IF(ISBLANK($C156),"",IF(ISNUMBER(L156), L156, ""))</f>
        <v/>
      </c>
      <c r="Z156" s="98" t="str">
        <f aca="false">IF(ISBLANK($C156),"",IF(ISNUMBER(M156), M156, ""))</f>
        <v/>
      </c>
      <c r="AA156" s="98" t="str">
        <f aca="false">IF(ISBLANK($C156),"",IF(ISNUMBER(N156), N156, ""))</f>
        <v/>
      </c>
      <c r="AB156" s="99" t="str">
        <f aca="false">IF(ISBLANK($C156),"",IF(ISNUMBER(O156), O156, ""))</f>
        <v/>
      </c>
      <c r="AC156" s="99" t="str">
        <f aca="false">IF(ISBLANK($C156),"",IF(ISNUMBER(P156), P156, Constants!$B$13))</f>
        <v/>
      </c>
      <c r="AD156" s="96" t="str">
        <f aca="false">IF(ISBLANK($C156),"",IF(Q156=Constants!$B$2, TRUE(), IF(Q156=Constants!$B$3, FALSE(), FALSE())))</f>
        <v/>
      </c>
      <c r="AE156" s="96" t="str">
        <f aca="false">IF(ISBLANK(C156), "", IF(AD156, Constants!$B$4,IF(COUNTA(G156:O156)=0, Constants!$B$5, Constants!$B$7)))</f>
        <v/>
      </c>
      <c r="AF156" s="96" t="str">
        <f aca="false">IF(ISBLANK($C156), "",IF($AE156=Constants!$B$7,1,$AE156))</f>
        <v/>
      </c>
      <c r="AG156" s="96" t="str">
        <f aca="false">IF($AE156=Constants!$B$7,IF(V156, 1, Constants!$B$11) * IF(X156, 1, Constants!$B$12),"")</f>
        <v/>
      </c>
      <c r="AH156" s="96" t="str">
        <f aca="false">IF(AND($AE156=Constants!$B$7, T156, U156) ,MAX(0, $AA156-$Y156),"")</f>
        <v/>
      </c>
      <c r="AI156" s="96" t="str">
        <f aca="false">IF(ISERROR(AH156),$AI$6,"")</f>
        <v/>
      </c>
      <c r="AJ156" s="96" t="str">
        <f aca="false">IF($AE156=Constants!$B$7,IF(AND(T156,U156,W156),IF($AH$6=0,Constants!$B$9,Constants!$B$9*AH156/$AH$6), 0),"")</f>
        <v/>
      </c>
      <c r="AK156" s="96" t="str">
        <f aca="false">IF(AJ156&lt;&gt;"", AJ156*AG156,"")</f>
        <v/>
      </c>
      <c r="AL156" s="96" t="str">
        <f aca="false">IF(AND($AE156=Constants!$B$7, T156, U156) ,IF($Z156="", "", MAX(0,1-ABS($AA156-$Z156)/$AA156)),"")</f>
        <v/>
      </c>
      <c r="AM156" s="96" t="str">
        <f aca="false">IF(AND(NOT(ISERROR(AH156)),ISERROR(AL156)),$AM$6,"")</f>
        <v/>
      </c>
      <c r="AN156" s="96" t="str">
        <f aca="false">IF($AE156=Constants!$B$7 ,IF(AND(T156,U156,W156,ISNUMBER(Z156)),IF($AL$6=0,Constants!$B$10,Constants!$B$10*AL156/$AL$6), 0),"")</f>
        <v/>
      </c>
      <c r="AO156" s="96" t="str">
        <f aca="false">IF(AN156&lt;&gt;"", AN156*AG156,"")</f>
        <v/>
      </c>
      <c r="AP156" s="96" t="str">
        <f aca="false">IF($AE156=Constants!$B$7,IF($AP$6=0,Constants!$B$8,Constants!$B$8*AB156/$AP$6),"")</f>
        <v/>
      </c>
      <c r="AQ156" s="96" t="str">
        <f aca="false">IF($AE156&lt;&gt;Constants!$B$7,$AE156,AK156+AO156+AP156)</f>
        <v/>
      </c>
      <c r="AR156" s="96" t="str">
        <f aca="false">IF(ISBLANK($C156),"",IF($AE156=Constants!$B$7,RANK(AQ156,$AQ$8:$AQ$507),$AE156))</f>
        <v/>
      </c>
      <c r="AS156" s="96" t="str">
        <f aca="false">IF(ISBLANK($C156), "",AK156)</f>
        <v/>
      </c>
      <c r="AT156" s="96" t="str">
        <f aca="false">IF(ISBLANK($C156),"",IF($AE156=Constants!$B$7,RANK(AS156,AS$8:AS$507),$AE156))</f>
        <v/>
      </c>
      <c r="AU156" s="96" t="str">
        <f aca="false">IF(ISBLANK($C156), "",AP156)</f>
        <v/>
      </c>
      <c r="AV156" s="96" t="str">
        <f aca="false">IF(ISBLANK($C156),"",IF($AE156=Constants!$B$7,RANK(AU156,AU$8:AU$507),$AE156))</f>
        <v/>
      </c>
      <c r="AW156" s="96" t="str">
        <f aca="false">IF(ISBLANK($C156), "",AC156)</f>
        <v/>
      </c>
      <c r="AX156" s="96" t="str">
        <f aca="false">IF(ISBLANK($C156),"",
IF($AE156=Constants!$B$7,
  COUNTIFS($AR$8:$AR$507,"&lt;"&amp;$AR156)
  + COUNTIFS($AR$8:$AR$507,$AR156,$AT$8:$AT$507,"&lt;"&amp;$AT156)
  + COUNTIFS($AR$8:$AR$507,$AR156,$AT$8:$AT$507,$AT156,$AV$8:$AV$507,"&lt;"&amp;$AV156)
  + COUNTIFS($AR$8:$AR$507,$AR156,$AT$8:$AT$507,$AT156,$AV$8:$AV$507,$AV156,$AW$8:$AW$507,"&lt;"&amp;$AW156)
  + 1,
$AE156))</f>
        <v/>
      </c>
      <c r="AY156" s="96" t="str">
        <f aca="false">IF(ISBLANK(C156),"",IF($AE156=Constants!$B$7, AR156-AX156,$AE156))</f>
        <v/>
      </c>
      <c r="AZ156" s="100"/>
      <c r="BA156" s="101" t="str">
        <f aca="false">IF(ISBLANK($C156),"",TRIM(AI156&amp;" "&amp;AM156))</f>
        <v/>
      </c>
      <c r="BB156" s="102" t="str">
        <f aca="false">IF(ISBLANK($C156),"",IF($AE156&lt;&gt;Constants!$B$7, $AE156 ,AQ156))</f>
        <v/>
      </c>
      <c r="BC156" s="103" t="str">
        <f aca="false">IF(ISBLANK($C156),"",IF($AE156&lt;&gt;Constants!$B$7, $AE156 ,AF156))</f>
        <v/>
      </c>
      <c r="BD156" s="104" t="str">
        <f aca="false">IF(ISBLANK(C156),"",AY156)</f>
        <v/>
      </c>
      <c r="BE156" s="104" t="str">
        <f aca="false">IF(ISBLANK(C156),"",AX156)</f>
        <v/>
      </c>
      <c r="BF156" s="105" t="str">
        <f aca="false">IF(ISBLANK(C156),"",IFERROR(_xlfn.SWITCH(BE156, Constants!$B$4, COUNTA($C$8:$C655)+2, Constants!$B$5, COUNTA($C$8:$C655)+1, Constants!$B$6, COUNTA($C$8:$C655)),BE156))</f>
        <v/>
      </c>
      <c r="BG156" s="5"/>
      <c r="BH156" s="106" t="n">
        <f aca="false">IF(OR(ISNUMBER(BE156),BE156="DQ",BE156="P",BE156="NS"),
    1,
    0
)</f>
        <v>0</v>
      </c>
      <c r="BI156" s="106" t="n">
        <v>149</v>
      </c>
      <c r="BJ156" s="106" t="str">
        <f aca="false">IF(ISBLANK($C156),
    "",
   BF156+ROW($B156)/1000
)</f>
        <v/>
      </c>
      <c r="BK156" s="106" t="str">
        <f aca="false">IF(ISNUMBER(BJ156), RANK(BJ156,BJ$8:BJ$507,1), "")</f>
        <v/>
      </c>
      <c r="BL156" s="106" t="str">
        <f aca="false">IF(ISBLANK($C156),
    "",
    $B156
)</f>
        <v/>
      </c>
      <c r="BM156" s="106" t="str">
        <f aca="false">IF(ISBLANK($C156),
    "",
    $C156
)</f>
        <v/>
      </c>
      <c r="BN156" s="106" t="str">
        <f aca="false">IF(ISBLANK($C156),
    "",
    $D156
)</f>
        <v/>
      </c>
      <c r="BO156" s="107" t="str">
        <f aca="false">BC156</f>
        <v/>
      </c>
      <c r="BP156" s="108" t="str">
        <f aca="false">BB156</f>
        <v/>
      </c>
      <c r="BQ156" s="106" t="str">
        <f aca="false">IF(ISBLANK($C156),
    "",
    BE156
)</f>
        <v/>
      </c>
      <c r="BR156" s="109" t="str">
        <f aca="false">IF(BI156&gt;BH$7,
    "",
    VLOOKUP(BI156,BK$8:BQ655,7,FALSE())
)</f>
        <v/>
      </c>
      <c r="BS156" s="110" t="str">
        <f aca="false">IF(BI156&gt;BH$7,
    "",
    VLOOKUP(BI156,BK$8:BQ655,2,FALSE())
)</f>
        <v/>
      </c>
      <c r="BT156" s="110" t="str">
        <f aca="false">IF(BI156&gt;BH$7,
    "",
    VLOOKUP(BI156,BK$8:BQ655,3,FALSE())
)</f>
        <v/>
      </c>
      <c r="BU156" s="110" t="str">
        <f aca="false">IF(BI156&gt;BH$7,
    "",
    VLOOKUP(BI156,BK$8:BQ655,4,FALSE())
)</f>
        <v/>
      </c>
      <c r="BV156" s="110" t="str">
        <f aca="false">IF(BI156&gt;BH$7,
    "",
    VLOOKUP(BI156,BK$8:BQ655,5,FALSE())
)</f>
        <v/>
      </c>
      <c r="BW156" s="111" t="str">
        <f aca="false">IF(BI156&gt;BH$7,
    "",
    VLOOKUP(BI156,BK$8:BQ655,6,FALSE())
)</f>
        <v/>
      </c>
      <c r="BX156" s="50"/>
    </row>
    <row r="157" customFormat="false" ht="15.75" hidden="false" customHeight="false" outlineLevel="0" collapsed="false">
      <c r="A157" s="5"/>
      <c r="B157" s="122"/>
      <c r="C157" s="123"/>
      <c r="D157" s="112"/>
      <c r="E157" s="116"/>
      <c r="F157" s="116"/>
      <c r="G157" s="88"/>
      <c r="H157" s="89"/>
      <c r="I157" s="125"/>
      <c r="J157" s="125"/>
      <c r="K157" s="125"/>
      <c r="L157" s="91"/>
      <c r="M157" s="91"/>
      <c r="N157" s="91"/>
      <c r="O157" s="92"/>
      <c r="P157" s="93"/>
      <c r="Q157" s="125"/>
      <c r="R157" s="95"/>
      <c r="S157" s="96"/>
      <c r="T157" s="96" t="str">
        <f aca="false">IF(ISBLANK($C157),"",IF(G157=Constants!$B$2, TRUE(), IF(G157=Constants!$B$3, FALSE(), TRUE())))</f>
        <v/>
      </c>
      <c r="U157" s="96" t="str">
        <f aca="false">IF(ISBLANK($C157),"",IF(H157=Constants!$B$2, TRUE(), IF(H157=Constants!$B$3, FALSE(), TRUE())))</f>
        <v/>
      </c>
      <c r="V157" s="96" t="str">
        <f aca="false">IF(ISBLANK($C157),"",IF(I157=Constants!$B$2, TRUE(), IF(I157=Constants!$B$3, FALSE(), TRUE())))</f>
        <v/>
      </c>
      <c r="W157" s="96" t="str">
        <f aca="false">IF(ISBLANK($C157),"",IF(J157=Constants!$B$2, TRUE(), IF(J157=Constants!$B$3, FALSE(), TRUE())))</f>
        <v/>
      </c>
      <c r="X157" s="97" t="str">
        <f aca="false">IF(ISBLANK($C157),"",IF(K157=Constants!$B$2, TRUE(), IF(K157=Constants!$B$3, FALSE(), TRUE())))</f>
        <v/>
      </c>
      <c r="Y157" s="98" t="str">
        <f aca="false">IF(ISBLANK($C157),"",IF(ISNUMBER(L157), L157, ""))</f>
        <v/>
      </c>
      <c r="Z157" s="98" t="str">
        <f aca="false">IF(ISBLANK($C157),"",IF(ISNUMBER(M157), M157, ""))</f>
        <v/>
      </c>
      <c r="AA157" s="98" t="str">
        <f aca="false">IF(ISBLANK($C157),"",IF(ISNUMBER(N157), N157, ""))</f>
        <v/>
      </c>
      <c r="AB157" s="99" t="str">
        <f aca="false">IF(ISBLANK($C157),"",IF(ISNUMBER(O157), O157, ""))</f>
        <v/>
      </c>
      <c r="AC157" s="99" t="str">
        <f aca="false">IF(ISBLANK($C157),"",IF(ISNUMBER(P157), P157, Constants!$B$13))</f>
        <v/>
      </c>
      <c r="AD157" s="96" t="str">
        <f aca="false">IF(ISBLANK($C157),"",IF(Q157=Constants!$B$2, TRUE(), IF(Q157=Constants!$B$3, FALSE(), FALSE())))</f>
        <v/>
      </c>
      <c r="AE157" s="96" t="str">
        <f aca="false">IF(ISBLANK(C157), "", IF(AD157, Constants!$B$4,IF(COUNTA(G157:O157)=0, Constants!$B$5, Constants!$B$7)))</f>
        <v/>
      </c>
      <c r="AF157" s="96" t="str">
        <f aca="false">IF(ISBLANK($C157), "",IF($AE157=Constants!$B$7,1,$AE157))</f>
        <v/>
      </c>
      <c r="AG157" s="96" t="str">
        <f aca="false">IF($AE157=Constants!$B$7,IF(V157, 1, Constants!$B$11) * IF(X157, 1, Constants!$B$12),"")</f>
        <v/>
      </c>
      <c r="AH157" s="96" t="str">
        <f aca="false">IF(AND($AE157=Constants!$B$7, T157, U157) ,MAX(0, $AA157-$Y157),"")</f>
        <v/>
      </c>
      <c r="AI157" s="96" t="str">
        <f aca="false">IF(ISERROR(AH157),$AI$6,"")</f>
        <v/>
      </c>
      <c r="AJ157" s="96" t="str">
        <f aca="false">IF($AE157=Constants!$B$7,IF(AND(T157,U157,W157),IF($AH$6=0,Constants!$B$9,Constants!$B$9*AH157/$AH$6), 0),"")</f>
        <v/>
      </c>
      <c r="AK157" s="96" t="str">
        <f aca="false">IF(AJ157&lt;&gt;"", AJ157*AG157,"")</f>
        <v/>
      </c>
      <c r="AL157" s="96" t="str">
        <f aca="false">IF(AND($AE157=Constants!$B$7, T157, U157) ,IF($Z157="", "", MAX(0,1-ABS($AA157-$Z157)/$AA157)),"")</f>
        <v/>
      </c>
      <c r="AM157" s="96" t="str">
        <f aca="false">IF(AND(NOT(ISERROR(AH157)),ISERROR(AL157)),$AM$6,"")</f>
        <v/>
      </c>
      <c r="AN157" s="96" t="str">
        <f aca="false">IF($AE157=Constants!$B$7 ,IF(AND(T157,U157,W157,ISNUMBER(Z157)),IF($AL$6=0,Constants!$B$10,Constants!$B$10*AL157/$AL$6), 0),"")</f>
        <v/>
      </c>
      <c r="AO157" s="96" t="str">
        <f aca="false">IF(AN157&lt;&gt;"", AN157*AG157,"")</f>
        <v/>
      </c>
      <c r="AP157" s="96" t="str">
        <f aca="false">IF($AE157=Constants!$B$7,IF($AP$6=0,Constants!$B$8,Constants!$B$8*AB157/$AP$6),"")</f>
        <v/>
      </c>
      <c r="AQ157" s="96" t="str">
        <f aca="false">IF($AE157&lt;&gt;Constants!$B$7,$AE157,AK157+AO157+AP157)</f>
        <v/>
      </c>
      <c r="AR157" s="96" t="str">
        <f aca="false">IF(ISBLANK($C157),"",IF($AE157=Constants!$B$7,RANK(AQ157,$AQ$8:$AQ$507),$AE157))</f>
        <v/>
      </c>
      <c r="AS157" s="96" t="str">
        <f aca="false">IF(ISBLANK($C157), "",AK157)</f>
        <v/>
      </c>
      <c r="AT157" s="96" t="str">
        <f aca="false">IF(ISBLANK($C157),"",IF($AE157=Constants!$B$7,RANK(AS157,AS$8:AS$507),$AE157))</f>
        <v/>
      </c>
      <c r="AU157" s="96" t="str">
        <f aca="false">IF(ISBLANK($C157), "",AP157)</f>
        <v/>
      </c>
      <c r="AV157" s="96" t="str">
        <f aca="false">IF(ISBLANK($C157),"",IF($AE157=Constants!$B$7,RANK(AU157,AU$8:AU$507),$AE157))</f>
        <v/>
      </c>
      <c r="AW157" s="96" t="str">
        <f aca="false">IF(ISBLANK($C157), "",AC157)</f>
        <v/>
      </c>
      <c r="AX157" s="96" t="str">
        <f aca="false">IF(ISBLANK($C157),"",
IF($AE157=Constants!$B$7,
  COUNTIFS($AR$8:$AR$507,"&lt;"&amp;$AR157)
  + COUNTIFS($AR$8:$AR$507,$AR157,$AT$8:$AT$507,"&lt;"&amp;$AT157)
  + COUNTIFS($AR$8:$AR$507,$AR157,$AT$8:$AT$507,$AT157,$AV$8:$AV$507,"&lt;"&amp;$AV157)
  + COUNTIFS($AR$8:$AR$507,$AR157,$AT$8:$AT$507,$AT157,$AV$8:$AV$507,$AV157,$AW$8:$AW$507,"&lt;"&amp;$AW157)
  + 1,
$AE157))</f>
        <v/>
      </c>
      <c r="AY157" s="96" t="str">
        <f aca="false">IF(ISBLANK(C157),"",IF($AE157=Constants!$B$7, AR157-AX157,$AE157))</f>
        <v/>
      </c>
      <c r="AZ157" s="100"/>
      <c r="BA157" s="101" t="str">
        <f aca="false">IF(ISBLANK($C157),"",TRIM(AI157&amp;" "&amp;AM157))</f>
        <v/>
      </c>
      <c r="BB157" s="102" t="str">
        <f aca="false">IF(ISBLANK($C157),"",IF($AE157&lt;&gt;Constants!$B$7, $AE157 ,AQ157))</f>
        <v/>
      </c>
      <c r="BC157" s="103" t="str">
        <f aca="false">IF(ISBLANK($C157),"",IF($AE157&lt;&gt;Constants!$B$7, $AE157 ,AF157))</f>
        <v/>
      </c>
      <c r="BD157" s="104" t="str">
        <f aca="false">IF(ISBLANK(C157),"",AY157)</f>
        <v/>
      </c>
      <c r="BE157" s="104" t="str">
        <f aca="false">IF(ISBLANK(C157),"",AX157)</f>
        <v/>
      </c>
      <c r="BF157" s="105" t="str">
        <f aca="false">IF(ISBLANK(C157),"",IFERROR(_xlfn.SWITCH(BE157, Constants!$B$4, COUNTA($C$8:$C656)+2, Constants!$B$5, COUNTA($C$8:$C656)+1, Constants!$B$6, COUNTA($C$8:$C656)),BE157))</f>
        <v/>
      </c>
      <c r="BG157" s="5"/>
      <c r="BH157" s="106" t="n">
        <f aca="false">IF(OR(ISNUMBER(BE157),BE157="DQ",BE157="P",BE157="NS"),
    1,
    0
)</f>
        <v>0</v>
      </c>
      <c r="BI157" s="106" t="n">
        <v>150</v>
      </c>
      <c r="BJ157" s="106" t="str">
        <f aca="false">IF(ISBLANK($C157),
    "",
   BF157+ROW($B157)/1000
)</f>
        <v/>
      </c>
      <c r="BK157" s="106" t="str">
        <f aca="false">IF(ISNUMBER(BJ157), RANK(BJ157,BJ$8:BJ$507,1), "")</f>
        <v/>
      </c>
      <c r="BL157" s="106" t="str">
        <f aca="false">IF(ISBLANK($C157),
    "",
    $B157
)</f>
        <v/>
      </c>
      <c r="BM157" s="106" t="str">
        <f aca="false">IF(ISBLANK($C157),
    "",
    $C157
)</f>
        <v/>
      </c>
      <c r="BN157" s="106" t="str">
        <f aca="false">IF(ISBLANK($C157),
    "",
    $D157
)</f>
        <v/>
      </c>
      <c r="BO157" s="107" t="str">
        <f aca="false">BC157</f>
        <v/>
      </c>
      <c r="BP157" s="108" t="str">
        <f aca="false">BB157</f>
        <v/>
      </c>
      <c r="BQ157" s="106" t="str">
        <f aca="false">IF(ISBLANK($C157),
    "",
    BE157
)</f>
        <v/>
      </c>
      <c r="BR157" s="109" t="str">
        <f aca="false">IF(BI157&gt;BH$7,
    "",
    VLOOKUP(BI157,BK$8:BQ656,7,FALSE())
)</f>
        <v/>
      </c>
      <c r="BS157" s="110" t="str">
        <f aca="false">IF(BI157&gt;BH$7,
    "",
    VLOOKUP(BI157,BK$8:BQ656,2,FALSE())
)</f>
        <v/>
      </c>
      <c r="BT157" s="110" t="str">
        <f aca="false">IF(BI157&gt;BH$7,
    "",
    VLOOKUP(BI157,BK$8:BQ656,3,FALSE())
)</f>
        <v/>
      </c>
      <c r="BU157" s="110" t="str">
        <f aca="false">IF(BI157&gt;BH$7,
    "",
    VLOOKUP(BI157,BK$8:BQ656,4,FALSE())
)</f>
        <v/>
      </c>
      <c r="BV157" s="110" t="str">
        <f aca="false">IF(BI157&gt;BH$7,
    "",
    VLOOKUP(BI157,BK$8:BQ656,5,FALSE())
)</f>
        <v/>
      </c>
      <c r="BW157" s="111" t="str">
        <f aca="false">IF(BI157&gt;BH$7,
    "",
    VLOOKUP(BI157,BK$8:BQ656,6,FALSE())
)</f>
        <v/>
      </c>
      <c r="BX157" s="50"/>
    </row>
    <row r="158" customFormat="false" ht="15.75" hidden="false" customHeight="false" outlineLevel="0" collapsed="false">
      <c r="A158" s="5"/>
      <c r="B158" s="126"/>
      <c r="C158" s="52"/>
      <c r="D158" s="53"/>
      <c r="E158" s="120"/>
      <c r="F158" s="120"/>
      <c r="G158" s="55"/>
      <c r="H158" s="56"/>
      <c r="I158" s="80"/>
      <c r="J158" s="80"/>
      <c r="K158" s="80"/>
      <c r="L158" s="58"/>
      <c r="M158" s="58"/>
      <c r="N158" s="58"/>
      <c r="O158" s="59"/>
      <c r="P158" s="60"/>
      <c r="Q158" s="80"/>
      <c r="R158" s="62"/>
      <c r="S158" s="63"/>
      <c r="T158" s="63" t="str">
        <f aca="false">IF(ISBLANK($C158),"",IF(G158=Constants!$B$2, TRUE(), IF(G158=Constants!$B$3, FALSE(), TRUE())))</f>
        <v/>
      </c>
      <c r="U158" s="63" t="str">
        <f aca="false">IF(ISBLANK($C158),"",IF(H158=Constants!$B$2, TRUE(), IF(H158=Constants!$B$3, FALSE(), TRUE())))</f>
        <v/>
      </c>
      <c r="V158" s="63" t="str">
        <f aca="false">IF(ISBLANK($C158),"",IF(I158=Constants!$B$2, TRUE(), IF(I158=Constants!$B$3, FALSE(), TRUE())))</f>
        <v/>
      </c>
      <c r="W158" s="63" t="str">
        <f aca="false">IF(ISBLANK($C158),"",IF(J158=Constants!$B$2, TRUE(), IF(J158=Constants!$B$3, FALSE(), TRUE())))</f>
        <v/>
      </c>
      <c r="X158" s="63" t="str">
        <f aca="false">IF(ISBLANK($C158),"",IF(K158=Constants!$B$2, TRUE(), IF(K158=Constants!$B$3, FALSE(), TRUE())))</f>
        <v/>
      </c>
      <c r="Y158" s="65" t="str">
        <f aca="false">IF(ISBLANK($C158),"",IF(ISNUMBER(L158), L158, ""))</f>
        <v/>
      </c>
      <c r="Z158" s="65" t="str">
        <f aca="false">IF(ISBLANK($C158),"",IF(ISNUMBER(M158), M158, ""))</f>
        <v/>
      </c>
      <c r="AA158" s="65" t="str">
        <f aca="false">IF(ISBLANK($C158),"",IF(ISNUMBER(N158), N158, ""))</f>
        <v/>
      </c>
      <c r="AB158" s="66" t="str">
        <f aca="false">IF(ISBLANK($C158),"",IF(ISNUMBER(O158), O158, ""))</f>
        <v/>
      </c>
      <c r="AC158" s="66" t="str">
        <f aca="false">IF(ISBLANK($C158),"",IF(ISNUMBER(P158), P158, Constants!$B$13))</f>
        <v/>
      </c>
      <c r="AD158" s="63" t="str">
        <f aca="false">IF(ISBLANK($C158),"",IF(Q158=Constants!$B$2, TRUE(), IF(Q158=Constants!$B$3, FALSE(), FALSE())))</f>
        <v/>
      </c>
      <c r="AE158" s="63" t="str">
        <f aca="false">IF(ISBLANK(C158), "", IF(AD158, Constants!$B$4,IF(COUNTA(G158:O158)=0, Constants!$B$5, Constants!$B$7)))</f>
        <v/>
      </c>
      <c r="AF158" s="63" t="str">
        <f aca="false">IF(ISBLANK($C158), "",IF($AE158=Constants!$B$7,1,$AE158))</f>
        <v/>
      </c>
      <c r="AG158" s="63" t="str">
        <f aca="false">IF($AE158=Constants!$B$7,IF(V158, 1, Constants!$B$11) * IF(X158, 1, Constants!$B$12),"")</f>
        <v/>
      </c>
      <c r="AH158" s="63" t="str">
        <f aca="false">IF(AND($AE158=Constants!$B$7, T158, U158) ,MAX(0, $AA158-$Y158),"")</f>
        <v/>
      </c>
      <c r="AI158" s="63" t="str">
        <f aca="false">IF(ISERROR(AH158),$AI$6,"")</f>
        <v/>
      </c>
      <c r="AJ158" s="63" t="str">
        <f aca="false">IF($AE158=Constants!$B$7,IF(AND(T158,U158,W158),IF($AH$6=0,Constants!$B$9,Constants!$B$9*AH158/$AH$6), 0),"")</f>
        <v/>
      </c>
      <c r="AK158" s="63" t="str">
        <f aca="false">IF(AJ158&lt;&gt;"", AJ158*AG158,"")</f>
        <v/>
      </c>
      <c r="AL158" s="63" t="str">
        <f aca="false">IF(AND($AE158=Constants!$B$7, T158, U158) ,IF($Z158="", "", MAX(0,1-ABS($AA158-$Z158)/$AA158)),"")</f>
        <v/>
      </c>
      <c r="AM158" s="63" t="str">
        <f aca="false">IF(AND(NOT(ISERROR(AH158)),ISERROR(AL158)),$AM$6,"")</f>
        <v/>
      </c>
      <c r="AN158" s="63" t="str">
        <f aca="false">IF($AE158=Constants!$B$7 ,IF(AND(T158,U158,W158,ISNUMBER(Z158)),IF($AL$6=0,Constants!$B$10,Constants!$B$10*AL158/$AL$6), 0),"")</f>
        <v/>
      </c>
      <c r="AO158" s="63" t="str">
        <f aca="false">IF(AN158&lt;&gt;"", AN158*AG158,"")</f>
        <v/>
      </c>
      <c r="AP158" s="63" t="str">
        <f aca="false">IF($AE158=Constants!$B$7,IF($AP$6=0,Constants!$B$8,Constants!$B$8*AB158/$AP$6),"")</f>
        <v/>
      </c>
      <c r="AQ158" s="63" t="str">
        <f aca="false">IF($AE158&lt;&gt;Constants!$B$7,$AE158,AK158+AO158+AP158)</f>
        <v/>
      </c>
      <c r="AR158" s="63" t="str">
        <f aca="false">IF(ISBLANK($C158),"",IF($AE158=Constants!$B$7,RANK(AQ158,$AQ$8:$AQ$507),$AE158))</f>
        <v/>
      </c>
      <c r="AS158" s="63" t="str">
        <f aca="false">IF(ISBLANK($C158), "",AK158)</f>
        <v/>
      </c>
      <c r="AT158" s="63" t="str">
        <f aca="false">IF(ISBLANK($C158),"",IF($AE158=Constants!$B$7,RANK(AS158,AS$8:AS$507),$AE158))</f>
        <v/>
      </c>
      <c r="AU158" s="63" t="str">
        <f aca="false">IF(ISBLANK($C158), "",AP158)</f>
        <v/>
      </c>
      <c r="AV158" s="63" t="str">
        <f aca="false">IF(ISBLANK($C158),"",IF($AE158=Constants!$B$7,RANK(AU158,AU$8:AU$507),$AE158))</f>
        <v/>
      </c>
      <c r="AW158" s="63" t="str">
        <f aca="false">IF(ISBLANK($C158), "",AC158)</f>
        <v/>
      </c>
      <c r="AX158" s="63" t="str">
        <f aca="false">IF(ISBLANK($C158),"",
IF($AE158=Constants!$B$7,
  COUNTIFS($AR$8:$AR$507,"&lt;"&amp;$AR158)
  + COUNTIFS($AR$8:$AR$507,$AR158,$AT$8:$AT$507,"&lt;"&amp;$AT158)
  + COUNTIFS($AR$8:$AR$507,$AR158,$AT$8:$AT$507,$AT158,$AV$8:$AV$507,"&lt;"&amp;$AV158)
  + COUNTIFS($AR$8:$AR$507,$AR158,$AT$8:$AT$507,$AT158,$AV$8:$AV$507,$AV158,$AW$8:$AW$507,"&lt;"&amp;$AW158)
  + 1,
$AE158))</f>
        <v/>
      </c>
      <c r="AY158" s="63" t="str">
        <f aca="false">IF(ISBLANK(C158),"",IF($AE158=Constants!$B$7, AR158-AX158,$AE158))</f>
        <v/>
      </c>
      <c r="AZ158" s="67"/>
      <c r="BA158" s="81" t="str">
        <f aca="false">IF(ISBLANK($C158),"",TRIM(AI158&amp;" "&amp;AM158))</f>
        <v/>
      </c>
      <c r="BB158" s="69" t="str">
        <f aca="false">IF(ISBLANK($C158),"",IF($AE158&lt;&gt;Constants!$B$7, $AE158 ,AQ158))</f>
        <v/>
      </c>
      <c r="BC158" s="70" t="str">
        <f aca="false">IF(ISBLANK($C158),"",IF($AE158&lt;&gt;Constants!$B$7, $AE158 ,AF158))</f>
        <v/>
      </c>
      <c r="BD158" s="71" t="str">
        <f aca="false">IF(ISBLANK(C158),"",AY158)</f>
        <v/>
      </c>
      <c r="BE158" s="71" t="str">
        <f aca="false">IF(ISBLANK(C158),"",AX158)</f>
        <v/>
      </c>
      <c r="BF158" s="72" t="str">
        <f aca="false">IF(ISBLANK(C158),"",IFERROR(_xlfn.SWITCH(BE158, Constants!$B$4, COUNTA($C$8:$C657)+2, Constants!$B$5, COUNTA($C$8:$C657)+1, Constants!$B$6, COUNTA($C$8:$C657)),BE158))</f>
        <v/>
      </c>
      <c r="BG158" s="5"/>
      <c r="BH158" s="73" t="n">
        <f aca="false">IF(OR(ISNUMBER(BE158),BE158="DQ",BE158="P",BE158="NS"),
    1,
    0
)</f>
        <v>0</v>
      </c>
      <c r="BI158" s="73" t="n">
        <v>151</v>
      </c>
      <c r="BJ158" s="73" t="str">
        <f aca="false">IF(ISBLANK($C158),
    "",
   BF158+ROW($B158)/1000
)</f>
        <v/>
      </c>
      <c r="BK158" s="73" t="str">
        <f aca="false">IF(ISNUMBER(BJ158), RANK(BJ158,BJ$8:BJ$507,1), "")</f>
        <v/>
      </c>
      <c r="BL158" s="73" t="str">
        <f aca="false">IF(ISBLANK($C158),
    "",
    $B158
)</f>
        <v/>
      </c>
      <c r="BM158" s="73" t="str">
        <f aca="false">IF(ISBLANK($C158),
    "",
    $C158
)</f>
        <v/>
      </c>
      <c r="BN158" s="73" t="str">
        <f aca="false">IF(ISBLANK($C158),
    "",
    $D158
)</f>
        <v/>
      </c>
      <c r="BO158" s="74" t="str">
        <f aca="false">BC158</f>
        <v/>
      </c>
      <c r="BP158" s="75" t="str">
        <f aca="false">BB158</f>
        <v/>
      </c>
      <c r="BQ158" s="73" t="str">
        <f aca="false">IF(ISBLANK($C158),
    "",
    BE158
)</f>
        <v/>
      </c>
      <c r="BR158" s="76" t="str">
        <f aca="false">IF(BI158&gt;BH$7,
    "",
    VLOOKUP(BI158,BK$8:BQ657,7,FALSE())
)</f>
        <v/>
      </c>
      <c r="BS158" s="77" t="str">
        <f aca="false">IF(BI158&gt;BH$7,
    "",
    VLOOKUP(BI158,BK$8:BQ657,2,FALSE())
)</f>
        <v/>
      </c>
      <c r="BT158" s="77" t="str">
        <f aca="false">IF(BI158&gt;BH$7,
    "",
    VLOOKUP(BI158,BK$8:BQ657,3,FALSE())
)</f>
        <v/>
      </c>
      <c r="BU158" s="77" t="str">
        <f aca="false">IF(BI158&gt;BH$7,
    "",
    VLOOKUP(BI158,BK$8:BQ657,4,FALSE())
)</f>
        <v/>
      </c>
      <c r="BV158" s="77" t="str">
        <f aca="false">IF(BI158&gt;BH$7,
    "",
    VLOOKUP(BI158,BK$8:BQ657,5,FALSE())
)</f>
        <v/>
      </c>
      <c r="BW158" s="78" t="str">
        <f aca="false">IF(BI158&gt;BH$7,
    "",
    VLOOKUP(BI158,BK$8:BQ657,6,FALSE())
)</f>
        <v/>
      </c>
      <c r="BX158" s="50"/>
    </row>
    <row r="159" customFormat="false" ht="15.75" hidden="false" customHeight="false" outlineLevel="0" collapsed="false">
      <c r="A159" s="5"/>
      <c r="B159" s="126"/>
      <c r="C159" s="52"/>
      <c r="D159" s="53"/>
      <c r="E159" s="120"/>
      <c r="F159" s="120"/>
      <c r="G159" s="55"/>
      <c r="H159" s="56"/>
      <c r="I159" s="80"/>
      <c r="J159" s="80"/>
      <c r="K159" s="80"/>
      <c r="L159" s="58"/>
      <c r="M159" s="58"/>
      <c r="N159" s="58"/>
      <c r="O159" s="59"/>
      <c r="P159" s="60"/>
      <c r="Q159" s="80"/>
      <c r="R159" s="62"/>
      <c r="S159" s="63"/>
      <c r="T159" s="63" t="str">
        <f aca="false">IF(ISBLANK($C159),"",IF(G159=Constants!$B$2, TRUE(), IF(G159=Constants!$B$3, FALSE(), TRUE())))</f>
        <v/>
      </c>
      <c r="U159" s="63" t="str">
        <f aca="false">IF(ISBLANK($C159),"",IF(H159=Constants!$B$2, TRUE(), IF(H159=Constants!$B$3, FALSE(), TRUE())))</f>
        <v/>
      </c>
      <c r="V159" s="63" t="str">
        <f aca="false">IF(ISBLANK($C159),"",IF(I159=Constants!$B$2, TRUE(), IF(I159=Constants!$B$3, FALSE(), TRUE())))</f>
        <v/>
      </c>
      <c r="W159" s="63" t="str">
        <f aca="false">IF(ISBLANK($C159),"",IF(J159=Constants!$B$2, TRUE(), IF(J159=Constants!$B$3, FALSE(), TRUE())))</f>
        <v/>
      </c>
      <c r="X159" s="63" t="str">
        <f aca="false">IF(ISBLANK($C159),"",IF(K159=Constants!$B$2, TRUE(), IF(K159=Constants!$B$3, FALSE(), TRUE())))</f>
        <v/>
      </c>
      <c r="Y159" s="65" t="str">
        <f aca="false">IF(ISBLANK($C159),"",IF(ISNUMBER(L159), L159, ""))</f>
        <v/>
      </c>
      <c r="Z159" s="65" t="str">
        <f aca="false">IF(ISBLANK($C159),"",IF(ISNUMBER(M159), M159, ""))</f>
        <v/>
      </c>
      <c r="AA159" s="65" t="str">
        <f aca="false">IF(ISBLANK($C159),"",IF(ISNUMBER(N159), N159, ""))</f>
        <v/>
      </c>
      <c r="AB159" s="66" t="str">
        <f aca="false">IF(ISBLANK($C159),"",IF(ISNUMBER(O159), O159, ""))</f>
        <v/>
      </c>
      <c r="AC159" s="66" t="str">
        <f aca="false">IF(ISBLANK($C159),"",IF(ISNUMBER(P159), P159, Constants!$B$13))</f>
        <v/>
      </c>
      <c r="AD159" s="63" t="str">
        <f aca="false">IF(ISBLANK($C159),"",IF(Q159=Constants!$B$2, TRUE(), IF(Q159=Constants!$B$3, FALSE(), FALSE())))</f>
        <v/>
      </c>
      <c r="AE159" s="63" t="str">
        <f aca="false">IF(ISBLANK(C159), "", IF(AD159, Constants!$B$4,IF(COUNTA(G159:O159)=0, Constants!$B$5, Constants!$B$7)))</f>
        <v/>
      </c>
      <c r="AF159" s="63" t="str">
        <f aca="false">IF(ISBLANK($C159), "",IF($AE159=Constants!$B$7,1,$AE159))</f>
        <v/>
      </c>
      <c r="AG159" s="63" t="str">
        <f aca="false">IF($AE159=Constants!$B$7,IF(V159, 1, Constants!$B$11) * IF(X159, 1, Constants!$B$12),"")</f>
        <v/>
      </c>
      <c r="AH159" s="63" t="str">
        <f aca="false">IF(AND($AE159=Constants!$B$7, T159, U159) ,MAX(0, $AA159-$Y159),"")</f>
        <v/>
      </c>
      <c r="AI159" s="63" t="str">
        <f aca="false">IF(ISERROR(AH159),$AI$6,"")</f>
        <v/>
      </c>
      <c r="AJ159" s="63" t="str">
        <f aca="false">IF($AE159=Constants!$B$7,IF(AND(T159,U159,W159),IF($AH$6=0,Constants!$B$9,Constants!$B$9*AH159/$AH$6), 0),"")</f>
        <v/>
      </c>
      <c r="AK159" s="63" t="str">
        <f aca="false">IF(AJ159&lt;&gt;"", AJ159*AG159,"")</f>
        <v/>
      </c>
      <c r="AL159" s="63" t="str">
        <f aca="false">IF(AND($AE159=Constants!$B$7, T159, U159) ,IF($Z159="", "", MAX(0,1-ABS($AA159-$Z159)/$AA159)),"")</f>
        <v/>
      </c>
      <c r="AM159" s="63" t="str">
        <f aca="false">IF(AND(NOT(ISERROR(AH159)),ISERROR(AL159)),$AM$6,"")</f>
        <v/>
      </c>
      <c r="AN159" s="63" t="str">
        <f aca="false">IF($AE159=Constants!$B$7 ,IF(AND(T159,U159,W159,ISNUMBER(Z159)),IF($AL$6=0,Constants!$B$10,Constants!$B$10*AL159/$AL$6), 0),"")</f>
        <v/>
      </c>
      <c r="AO159" s="63" t="str">
        <f aca="false">IF(AN159&lt;&gt;"", AN159*AG159,"")</f>
        <v/>
      </c>
      <c r="AP159" s="63" t="str">
        <f aca="false">IF($AE159=Constants!$B$7,IF($AP$6=0,Constants!$B$8,Constants!$B$8*AB159/$AP$6),"")</f>
        <v/>
      </c>
      <c r="AQ159" s="63" t="str">
        <f aca="false">IF($AE159&lt;&gt;Constants!$B$7,$AE159,AK159+AO159+AP159)</f>
        <v/>
      </c>
      <c r="AR159" s="63" t="str">
        <f aca="false">IF(ISBLANK($C159),"",IF($AE159=Constants!$B$7,RANK(AQ159,$AQ$8:$AQ$507),$AE159))</f>
        <v/>
      </c>
      <c r="AS159" s="63" t="str">
        <f aca="false">IF(ISBLANK($C159), "",AK159)</f>
        <v/>
      </c>
      <c r="AT159" s="63" t="str">
        <f aca="false">IF(ISBLANK($C159),"",IF($AE159=Constants!$B$7,RANK(AS159,AS$8:AS$507),$AE159))</f>
        <v/>
      </c>
      <c r="AU159" s="63" t="str">
        <f aca="false">IF(ISBLANK($C159), "",AP159)</f>
        <v/>
      </c>
      <c r="AV159" s="63" t="str">
        <f aca="false">IF(ISBLANK($C159),"",IF($AE159=Constants!$B$7,RANK(AU159,AU$8:AU$507),$AE159))</f>
        <v/>
      </c>
      <c r="AW159" s="63" t="str">
        <f aca="false">IF(ISBLANK($C159), "",AC159)</f>
        <v/>
      </c>
      <c r="AX159" s="63" t="str">
        <f aca="false">IF(ISBLANK($C159),"",
IF($AE159=Constants!$B$7,
  COUNTIFS($AR$8:$AR$507,"&lt;"&amp;$AR159)
  + COUNTIFS($AR$8:$AR$507,$AR159,$AT$8:$AT$507,"&lt;"&amp;$AT159)
  + COUNTIFS($AR$8:$AR$507,$AR159,$AT$8:$AT$507,$AT159,$AV$8:$AV$507,"&lt;"&amp;$AV159)
  + COUNTIFS($AR$8:$AR$507,$AR159,$AT$8:$AT$507,$AT159,$AV$8:$AV$507,$AV159,$AW$8:$AW$507,"&lt;"&amp;$AW159)
  + 1,
$AE159))</f>
        <v/>
      </c>
      <c r="AY159" s="63" t="str">
        <f aca="false">IF(ISBLANK(C159),"",IF($AE159=Constants!$B$7, AR159-AX159,$AE159))</f>
        <v/>
      </c>
      <c r="AZ159" s="67"/>
      <c r="BA159" s="81" t="str">
        <f aca="false">IF(ISBLANK($C159),"",TRIM(AI159&amp;" "&amp;AM159))</f>
        <v/>
      </c>
      <c r="BB159" s="69" t="str">
        <f aca="false">IF(ISBLANK($C159),"",IF($AE159&lt;&gt;Constants!$B$7, $AE159 ,AQ159))</f>
        <v/>
      </c>
      <c r="BC159" s="70" t="str">
        <f aca="false">IF(ISBLANK($C159),"",IF($AE159&lt;&gt;Constants!$B$7, $AE159 ,AF159))</f>
        <v/>
      </c>
      <c r="BD159" s="71" t="str">
        <f aca="false">IF(ISBLANK(C159),"",AY159)</f>
        <v/>
      </c>
      <c r="BE159" s="71" t="str">
        <f aca="false">IF(ISBLANK(C159),"",AX159)</f>
        <v/>
      </c>
      <c r="BF159" s="72" t="str">
        <f aca="false">IF(ISBLANK(C159),"",IFERROR(_xlfn.SWITCH(BE159, Constants!$B$4, COUNTA($C$8:$C658)+2, Constants!$B$5, COUNTA($C$8:$C658)+1, Constants!$B$6, COUNTA($C$8:$C658)),BE159))</f>
        <v/>
      </c>
      <c r="BG159" s="5"/>
      <c r="BH159" s="73" t="n">
        <f aca="false">IF(OR(ISNUMBER(BE159),BE159="DQ",BE159="P",BE159="NS"),
    1,
    0
)</f>
        <v>0</v>
      </c>
      <c r="BI159" s="73" t="n">
        <v>152</v>
      </c>
      <c r="BJ159" s="73" t="str">
        <f aca="false">IF(ISBLANK($C159),
    "",
   BF159+ROW($B159)/1000
)</f>
        <v/>
      </c>
      <c r="BK159" s="73" t="str">
        <f aca="false">IF(ISNUMBER(BJ159), RANK(BJ159,BJ$8:BJ$507,1), "")</f>
        <v/>
      </c>
      <c r="BL159" s="73" t="str">
        <f aca="false">IF(ISBLANK($C159),
    "",
    $B159
)</f>
        <v/>
      </c>
      <c r="BM159" s="73" t="str">
        <f aca="false">IF(ISBLANK($C159),
    "",
    $C159
)</f>
        <v/>
      </c>
      <c r="BN159" s="73" t="str">
        <f aca="false">IF(ISBLANK($C159),
    "",
    $D159
)</f>
        <v/>
      </c>
      <c r="BO159" s="74" t="str">
        <f aca="false">BC159</f>
        <v/>
      </c>
      <c r="BP159" s="75" t="str">
        <f aca="false">BB159</f>
        <v/>
      </c>
      <c r="BQ159" s="73" t="str">
        <f aca="false">IF(ISBLANK($C159),
    "",
    BE159
)</f>
        <v/>
      </c>
      <c r="BR159" s="76" t="str">
        <f aca="false">IF(BI159&gt;BH$7,
    "",
    VLOOKUP(BI159,BK$8:BQ658,7,FALSE())
)</f>
        <v/>
      </c>
      <c r="BS159" s="77" t="str">
        <f aca="false">IF(BI159&gt;BH$7,
    "",
    VLOOKUP(BI159,BK$8:BQ658,2,FALSE())
)</f>
        <v/>
      </c>
      <c r="BT159" s="77" t="str">
        <f aca="false">IF(BI159&gt;BH$7,
    "",
    VLOOKUP(BI159,BK$8:BQ658,3,FALSE())
)</f>
        <v/>
      </c>
      <c r="BU159" s="77" t="str">
        <f aca="false">IF(BI159&gt;BH$7,
    "",
    VLOOKUP(BI159,BK$8:BQ658,4,FALSE())
)</f>
        <v/>
      </c>
      <c r="BV159" s="77" t="str">
        <f aca="false">IF(BI159&gt;BH$7,
    "",
    VLOOKUP(BI159,BK$8:BQ658,5,FALSE())
)</f>
        <v/>
      </c>
      <c r="BW159" s="78" t="str">
        <f aca="false">IF(BI159&gt;BH$7,
    "",
    VLOOKUP(BI159,BK$8:BQ658,6,FALSE())
)</f>
        <v/>
      </c>
      <c r="BX159" s="50"/>
    </row>
    <row r="160" customFormat="false" ht="15.75" hidden="false" customHeight="false" outlineLevel="0" collapsed="false">
      <c r="A160" s="5"/>
      <c r="B160" s="126"/>
      <c r="C160" s="52"/>
      <c r="D160" s="53"/>
      <c r="E160" s="120"/>
      <c r="F160" s="120"/>
      <c r="G160" s="55"/>
      <c r="H160" s="56"/>
      <c r="I160" s="80"/>
      <c r="J160" s="80"/>
      <c r="K160" s="80"/>
      <c r="L160" s="58"/>
      <c r="M160" s="58"/>
      <c r="N160" s="58"/>
      <c r="O160" s="59"/>
      <c r="P160" s="60"/>
      <c r="Q160" s="80"/>
      <c r="R160" s="62"/>
      <c r="S160" s="63"/>
      <c r="T160" s="63" t="str">
        <f aca="false">IF(ISBLANK($C160),"",IF(G160=Constants!$B$2, TRUE(), IF(G160=Constants!$B$3, FALSE(), TRUE())))</f>
        <v/>
      </c>
      <c r="U160" s="63" t="str">
        <f aca="false">IF(ISBLANK($C160),"",IF(H160=Constants!$B$2, TRUE(), IF(H160=Constants!$B$3, FALSE(), TRUE())))</f>
        <v/>
      </c>
      <c r="V160" s="63" t="str">
        <f aca="false">IF(ISBLANK($C160),"",IF(I160=Constants!$B$2, TRUE(), IF(I160=Constants!$B$3, FALSE(), TRUE())))</f>
        <v/>
      </c>
      <c r="W160" s="63" t="str">
        <f aca="false">IF(ISBLANK($C160),"",IF(J160=Constants!$B$2, TRUE(), IF(J160=Constants!$B$3, FALSE(), TRUE())))</f>
        <v/>
      </c>
      <c r="X160" s="63" t="str">
        <f aca="false">IF(ISBLANK($C160),"",IF(K160=Constants!$B$2, TRUE(), IF(K160=Constants!$B$3, FALSE(), TRUE())))</f>
        <v/>
      </c>
      <c r="Y160" s="65" t="str">
        <f aca="false">IF(ISBLANK($C160),"",IF(ISNUMBER(L160), L160, ""))</f>
        <v/>
      </c>
      <c r="Z160" s="65" t="str">
        <f aca="false">IF(ISBLANK($C160),"",IF(ISNUMBER(M160), M160, ""))</f>
        <v/>
      </c>
      <c r="AA160" s="65" t="str">
        <f aca="false">IF(ISBLANK($C160),"",IF(ISNUMBER(N160), N160, ""))</f>
        <v/>
      </c>
      <c r="AB160" s="66" t="str">
        <f aca="false">IF(ISBLANK($C160),"",IF(ISNUMBER(O160), O160, ""))</f>
        <v/>
      </c>
      <c r="AC160" s="66" t="str">
        <f aca="false">IF(ISBLANK($C160),"",IF(ISNUMBER(P160), P160, Constants!$B$13))</f>
        <v/>
      </c>
      <c r="AD160" s="63" t="str">
        <f aca="false">IF(ISBLANK($C160),"",IF(Q160=Constants!$B$2, TRUE(), IF(Q160=Constants!$B$3, FALSE(), FALSE())))</f>
        <v/>
      </c>
      <c r="AE160" s="63" t="str">
        <f aca="false">IF(ISBLANK(C160), "", IF(AD160, Constants!$B$4,IF(COUNTA(G160:O160)=0, Constants!$B$5, Constants!$B$7)))</f>
        <v/>
      </c>
      <c r="AF160" s="63" t="str">
        <f aca="false">IF(ISBLANK($C160), "",IF($AE160=Constants!$B$7,1,$AE160))</f>
        <v/>
      </c>
      <c r="AG160" s="63" t="str">
        <f aca="false">IF($AE160=Constants!$B$7,IF(V160, 1, Constants!$B$11) * IF(X160, 1, Constants!$B$12),"")</f>
        <v/>
      </c>
      <c r="AH160" s="63" t="str">
        <f aca="false">IF(AND($AE160=Constants!$B$7, T160, U160) ,MAX(0, $AA160-$Y160),"")</f>
        <v/>
      </c>
      <c r="AI160" s="63" t="str">
        <f aca="false">IF(ISERROR(AH160),$AI$6,"")</f>
        <v/>
      </c>
      <c r="AJ160" s="63" t="str">
        <f aca="false">IF($AE160=Constants!$B$7,IF(AND(T160,U160,W160),IF($AH$6=0,Constants!$B$9,Constants!$B$9*AH160/$AH$6), 0),"")</f>
        <v/>
      </c>
      <c r="AK160" s="63" t="str">
        <f aca="false">IF(AJ160&lt;&gt;"", AJ160*AG160,"")</f>
        <v/>
      </c>
      <c r="AL160" s="63" t="str">
        <f aca="false">IF(AND($AE160=Constants!$B$7, T160, U160) ,IF($Z160="", "", MAX(0,1-ABS($AA160-$Z160)/$AA160)),"")</f>
        <v/>
      </c>
      <c r="AM160" s="63" t="str">
        <f aca="false">IF(AND(NOT(ISERROR(AH160)),ISERROR(AL160)),$AM$6,"")</f>
        <v/>
      </c>
      <c r="AN160" s="63" t="str">
        <f aca="false">IF($AE160=Constants!$B$7 ,IF(AND(T160,U160,W160,ISNUMBER(Z160)),IF($AL$6=0,Constants!$B$10,Constants!$B$10*AL160/$AL$6), 0),"")</f>
        <v/>
      </c>
      <c r="AO160" s="63" t="str">
        <f aca="false">IF(AN160&lt;&gt;"", AN160*AG160,"")</f>
        <v/>
      </c>
      <c r="AP160" s="63" t="str">
        <f aca="false">IF($AE160=Constants!$B$7,IF($AP$6=0,Constants!$B$8,Constants!$B$8*AB160/$AP$6),"")</f>
        <v/>
      </c>
      <c r="AQ160" s="63" t="str">
        <f aca="false">IF($AE160&lt;&gt;Constants!$B$7,$AE160,AK160+AO160+AP160)</f>
        <v/>
      </c>
      <c r="AR160" s="63" t="str">
        <f aca="false">IF(ISBLANK($C160),"",IF($AE160=Constants!$B$7,RANK(AQ160,$AQ$8:$AQ$507),$AE160))</f>
        <v/>
      </c>
      <c r="AS160" s="63" t="str">
        <f aca="false">IF(ISBLANK($C160), "",AK160)</f>
        <v/>
      </c>
      <c r="AT160" s="63" t="str">
        <f aca="false">IF(ISBLANK($C160),"",IF($AE160=Constants!$B$7,RANK(AS160,AS$8:AS$507),$AE160))</f>
        <v/>
      </c>
      <c r="AU160" s="63" t="str">
        <f aca="false">IF(ISBLANK($C160), "",AP160)</f>
        <v/>
      </c>
      <c r="AV160" s="63" t="str">
        <f aca="false">IF(ISBLANK($C160),"",IF($AE160=Constants!$B$7,RANK(AU160,AU$8:AU$507),$AE160))</f>
        <v/>
      </c>
      <c r="AW160" s="63" t="str">
        <f aca="false">IF(ISBLANK($C160), "",AC160)</f>
        <v/>
      </c>
      <c r="AX160" s="63" t="str">
        <f aca="false">IF(ISBLANK($C160),"",
IF($AE160=Constants!$B$7,
  COUNTIFS($AR$8:$AR$507,"&lt;"&amp;$AR160)
  + COUNTIFS($AR$8:$AR$507,$AR160,$AT$8:$AT$507,"&lt;"&amp;$AT160)
  + COUNTIFS($AR$8:$AR$507,$AR160,$AT$8:$AT$507,$AT160,$AV$8:$AV$507,"&lt;"&amp;$AV160)
  + COUNTIFS($AR$8:$AR$507,$AR160,$AT$8:$AT$507,$AT160,$AV$8:$AV$507,$AV160,$AW$8:$AW$507,"&lt;"&amp;$AW160)
  + 1,
$AE160))</f>
        <v/>
      </c>
      <c r="AY160" s="63" t="str">
        <f aca="false">IF(ISBLANK(C160),"",IF($AE160=Constants!$B$7, AR160-AX160,$AE160))</f>
        <v/>
      </c>
      <c r="AZ160" s="67"/>
      <c r="BA160" s="81" t="str">
        <f aca="false">IF(ISBLANK($C160),"",TRIM(AI160&amp;" "&amp;AM160))</f>
        <v/>
      </c>
      <c r="BB160" s="69" t="str">
        <f aca="false">IF(ISBLANK($C160),"",IF($AE160&lt;&gt;Constants!$B$7, $AE160 ,AQ160))</f>
        <v/>
      </c>
      <c r="BC160" s="70" t="str">
        <f aca="false">IF(ISBLANK($C160),"",IF($AE160&lt;&gt;Constants!$B$7, $AE160 ,AF160))</f>
        <v/>
      </c>
      <c r="BD160" s="71" t="str">
        <f aca="false">IF(ISBLANK(C160),"",AY160)</f>
        <v/>
      </c>
      <c r="BE160" s="71" t="str">
        <f aca="false">IF(ISBLANK(C160),"",AX160)</f>
        <v/>
      </c>
      <c r="BF160" s="72" t="str">
        <f aca="false">IF(ISBLANK(C160),"",IFERROR(_xlfn.SWITCH(BE160, Constants!$B$4, COUNTA($C$8:$C659)+2, Constants!$B$5, COUNTA($C$8:$C659)+1, Constants!$B$6, COUNTA($C$8:$C659)),BE160))</f>
        <v/>
      </c>
      <c r="BG160" s="5"/>
      <c r="BH160" s="73" t="n">
        <f aca="false">IF(OR(ISNUMBER(BE160),BE160="DQ",BE160="P",BE160="NS"),
    1,
    0
)</f>
        <v>0</v>
      </c>
      <c r="BI160" s="73" t="n">
        <v>153</v>
      </c>
      <c r="BJ160" s="73" t="str">
        <f aca="false">IF(ISBLANK($C160),
    "",
   BF160+ROW($B160)/1000
)</f>
        <v/>
      </c>
      <c r="BK160" s="73" t="str">
        <f aca="false">IF(ISNUMBER(BJ160), RANK(BJ160,BJ$8:BJ$507,1), "")</f>
        <v/>
      </c>
      <c r="BL160" s="73" t="str">
        <f aca="false">IF(ISBLANK($C160),
    "",
    $B160
)</f>
        <v/>
      </c>
      <c r="BM160" s="73" t="str">
        <f aca="false">IF(ISBLANK($C160),
    "",
    $C160
)</f>
        <v/>
      </c>
      <c r="BN160" s="73" t="str">
        <f aca="false">IF(ISBLANK($C160),
    "",
    $D160
)</f>
        <v/>
      </c>
      <c r="BO160" s="74" t="str">
        <f aca="false">BC160</f>
        <v/>
      </c>
      <c r="BP160" s="75" t="str">
        <f aca="false">BB160</f>
        <v/>
      </c>
      <c r="BQ160" s="73" t="str">
        <f aca="false">IF(ISBLANK($C160),
    "",
    BE160
)</f>
        <v/>
      </c>
      <c r="BR160" s="76" t="str">
        <f aca="false">IF(BI160&gt;BH$7,
    "",
    VLOOKUP(BI160,BK$8:BQ659,7,FALSE())
)</f>
        <v/>
      </c>
      <c r="BS160" s="77" t="str">
        <f aca="false">IF(BI160&gt;BH$7,
    "",
    VLOOKUP(BI160,BK$8:BQ659,2,FALSE())
)</f>
        <v/>
      </c>
      <c r="BT160" s="77" t="str">
        <f aca="false">IF(BI160&gt;BH$7,
    "",
    VLOOKUP(BI160,BK$8:BQ659,3,FALSE())
)</f>
        <v/>
      </c>
      <c r="BU160" s="77" t="str">
        <f aca="false">IF(BI160&gt;BH$7,
    "",
    VLOOKUP(BI160,BK$8:BQ659,4,FALSE())
)</f>
        <v/>
      </c>
      <c r="BV160" s="77" t="str">
        <f aca="false">IF(BI160&gt;BH$7,
    "",
    VLOOKUP(BI160,BK$8:BQ659,5,FALSE())
)</f>
        <v/>
      </c>
      <c r="BW160" s="78" t="str">
        <f aca="false">IF(BI160&gt;BH$7,
    "",
    VLOOKUP(BI160,BK$8:BQ659,6,FALSE())
)</f>
        <v/>
      </c>
      <c r="BX160" s="50"/>
    </row>
    <row r="161" customFormat="false" ht="15.75" hidden="false" customHeight="false" outlineLevel="0" collapsed="false">
      <c r="A161" s="5"/>
      <c r="B161" s="122"/>
      <c r="C161" s="123"/>
      <c r="D161" s="112"/>
      <c r="E161" s="116"/>
      <c r="F161" s="116"/>
      <c r="G161" s="88"/>
      <c r="H161" s="89"/>
      <c r="I161" s="125"/>
      <c r="J161" s="125"/>
      <c r="K161" s="125"/>
      <c r="L161" s="91"/>
      <c r="M161" s="91"/>
      <c r="N161" s="91"/>
      <c r="O161" s="92"/>
      <c r="P161" s="93"/>
      <c r="Q161" s="125"/>
      <c r="R161" s="95"/>
      <c r="S161" s="96"/>
      <c r="T161" s="96" t="str">
        <f aca="false">IF(ISBLANK($C161),"",IF(G161=Constants!$B$2, TRUE(), IF(G161=Constants!$B$3, FALSE(), TRUE())))</f>
        <v/>
      </c>
      <c r="U161" s="96" t="str">
        <f aca="false">IF(ISBLANK($C161),"",IF(H161=Constants!$B$2, TRUE(), IF(H161=Constants!$B$3, FALSE(), TRUE())))</f>
        <v/>
      </c>
      <c r="V161" s="96" t="str">
        <f aca="false">IF(ISBLANK($C161),"",IF(I161=Constants!$B$2, TRUE(), IF(I161=Constants!$B$3, FALSE(), TRUE())))</f>
        <v/>
      </c>
      <c r="W161" s="96" t="str">
        <f aca="false">IF(ISBLANK($C161),"",IF(J161=Constants!$B$2, TRUE(), IF(J161=Constants!$B$3, FALSE(), TRUE())))</f>
        <v/>
      </c>
      <c r="X161" s="97" t="str">
        <f aca="false">IF(ISBLANK($C161),"",IF(K161=Constants!$B$2, TRUE(), IF(K161=Constants!$B$3, FALSE(), TRUE())))</f>
        <v/>
      </c>
      <c r="Y161" s="98" t="str">
        <f aca="false">IF(ISBLANK($C161),"",IF(ISNUMBER(L161), L161, ""))</f>
        <v/>
      </c>
      <c r="Z161" s="98" t="str">
        <f aca="false">IF(ISBLANK($C161),"",IF(ISNUMBER(M161), M161, ""))</f>
        <v/>
      </c>
      <c r="AA161" s="98" t="str">
        <f aca="false">IF(ISBLANK($C161),"",IF(ISNUMBER(N161), N161, ""))</f>
        <v/>
      </c>
      <c r="AB161" s="99" t="str">
        <f aca="false">IF(ISBLANK($C161),"",IF(ISNUMBER(O161), O161, ""))</f>
        <v/>
      </c>
      <c r="AC161" s="99" t="str">
        <f aca="false">IF(ISBLANK($C161),"",IF(ISNUMBER(P161), P161, Constants!$B$13))</f>
        <v/>
      </c>
      <c r="AD161" s="96" t="str">
        <f aca="false">IF(ISBLANK($C161),"",IF(Q161=Constants!$B$2, TRUE(), IF(Q161=Constants!$B$3, FALSE(), FALSE())))</f>
        <v/>
      </c>
      <c r="AE161" s="96" t="str">
        <f aca="false">IF(ISBLANK(C161), "", IF(AD161, Constants!$B$4,IF(COUNTA(G161:O161)=0, Constants!$B$5, Constants!$B$7)))</f>
        <v/>
      </c>
      <c r="AF161" s="96" t="str">
        <f aca="false">IF(ISBLANK($C161), "",IF($AE161=Constants!$B$7,1,$AE161))</f>
        <v/>
      </c>
      <c r="AG161" s="96" t="str">
        <f aca="false">IF($AE161=Constants!$B$7,IF(V161, 1, Constants!$B$11) * IF(X161, 1, Constants!$B$12),"")</f>
        <v/>
      </c>
      <c r="AH161" s="96" t="str">
        <f aca="false">IF(AND($AE161=Constants!$B$7, T161, U161) ,MAX(0, $AA161-$Y161),"")</f>
        <v/>
      </c>
      <c r="AI161" s="96" t="str">
        <f aca="false">IF(ISERROR(AH161),$AI$6,"")</f>
        <v/>
      </c>
      <c r="AJ161" s="96" t="str">
        <f aca="false">IF($AE161=Constants!$B$7,IF(AND(T161,U161,W161),IF($AH$6=0,Constants!$B$9,Constants!$B$9*AH161/$AH$6), 0),"")</f>
        <v/>
      </c>
      <c r="AK161" s="96" t="str">
        <f aca="false">IF(AJ161&lt;&gt;"", AJ161*AG161,"")</f>
        <v/>
      </c>
      <c r="AL161" s="96" t="str">
        <f aca="false">IF(AND($AE161=Constants!$B$7, T161, U161) ,IF($Z161="", "", MAX(0,1-ABS($AA161-$Z161)/$AA161)),"")</f>
        <v/>
      </c>
      <c r="AM161" s="96" t="str">
        <f aca="false">IF(AND(NOT(ISERROR(AH161)),ISERROR(AL161)),$AM$6,"")</f>
        <v/>
      </c>
      <c r="AN161" s="96" t="str">
        <f aca="false">IF($AE161=Constants!$B$7 ,IF(AND(T161,U161,W161,ISNUMBER(Z161)),IF($AL$6=0,Constants!$B$10,Constants!$B$10*AL161/$AL$6), 0),"")</f>
        <v/>
      </c>
      <c r="AO161" s="96" t="str">
        <f aca="false">IF(AN161&lt;&gt;"", AN161*AG161,"")</f>
        <v/>
      </c>
      <c r="AP161" s="96" t="str">
        <f aca="false">IF($AE161=Constants!$B$7,IF($AP$6=0,Constants!$B$8,Constants!$B$8*AB161/$AP$6),"")</f>
        <v/>
      </c>
      <c r="AQ161" s="96" t="str">
        <f aca="false">IF($AE161&lt;&gt;Constants!$B$7,$AE161,AK161+AO161+AP161)</f>
        <v/>
      </c>
      <c r="AR161" s="96" t="str">
        <f aca="false">IF(ISBLANK($C161),"",IF($AE161=Constants!$B$7,RANK(AQ161,$AQ$8:$AQ$507),$AE161))</f>
        <v/>
      </c>
      <c r="AS161" s="96" t="str">
        <f aca="false">IF(ISBLANK($C161), "",AK161)</f>
        <v/>
      </c>
      <c r="AT161" s="96" t="str">
        <f aca="false">IF(ISBLANK($C161),"",IF($AE161=Constants!$B$7,RANK(AS161,AS$8:AS$507),$AE161))</f>
        <v/>
      </c>
      <c r="AU161" s="96" t="str">
        <f aca="false">IF(ISBLANK($C161), "",AP161)</f>
        <v/>
      </c>
      <c r="AV161" s="96" t="str">
        <f aca="false">IF(ISBLANK($C161),"",IF($AE161=Constants!$B$7,RANK(AU161,AU$8:AU$507),$AE161))</f>
        <v/>
      </c>
      <c r="AW161" s="96" t="str">
        <f aca="false">IF(ISBLANK($C161), "",AC161)</f>
        <v/>
      </c>
      <c r="AX161" s="96" t="str">
        <f aca="false">IF(ISBLANK($C161),"",
IF($AE161=Constants!$B$7,
  COUNTIFS($AR$8:$AR$507,"&lt;"&amp;$AR161)
  + COUNTIFS($AR$8:$AR$507,$AR161,$AT$8:$AT$507,"&lt;"&amp;$AT161)
  + COUNTIFS($AR$8:$AR$507,$AR161,$AT$8:$AT$507,$AT161,$AV$8:$AV$507,"&lt;"&amp;$AV161)
  + COUNTIFS($AR$8:$AR$507,$AR161,$AT$8:$AT$507,$AT161,$AV$8:$AV$507,$AV161,$AW$8:$AW$507,"&lt;"&amp;$AW161)
  + 1,
$AE161))</f>
        <v/>
      </c>
      <c r="AY161" s="96" t="str">
        <f aca="false">IF(ISBLANK(C161),"",IF($AE161=Constants!$B$7, AR161-AX161,$AE161))</f>
        <v/>
      </c>
      <c r="AZ161" s="100"/>
      <c r="BA161" s="101" t="str">
        <f aca="false">IF(ISBLANK($C161),"",TRIM(AI161&amp;" "&amp;AM161))</f>
        <v/>
      </c>
      <c r="BB161" s="102" t="str">
        <f aca="false">IF(ISBLANK($C161),"",IF($AE161&lt;&gt;Constants!$B$7, $AE161 ,AQ161))</f>
        <v/>
      </c>
      <c r="BC161" s="103" t="str">
        <f aca="false">IF(ISBLANK($C161),"",IF($AE161&lt;&gt;Constants!$B$7, $AE161 ,AF161))</f>
        <v/>
      </c>
      <c r="BD161" s="104" t="str">
        <f aca="false">IF(ISBLANK(C161),"",AY161)</f>
        <v/>
      </c>
      <c r="BE161" s="104" t="str">
        <f aca="false">IF(ISBLANK(C161),"",AX161)</f>
        <v/>
      </c>
      <c r="BF161" s="105" t="str">
        <f aca="false">IF(ISBLANK(C161),"",IFERROR(_xlfn.SWITCH(BE161, Constants!$B$4, COUNTA($C$8:$C660)+2, Constants!$B$5, COUNTA($C$8:$C660)+1, Constants!$B$6, COUNTA($C$8:$C660)),BE161))</f>
        <v/>
      </c>
      <c r="BG161" s="5"/>
      <c r="BH161" s="106" t="n">
        <f aca="false">IF(OR(ISNUMBER(BE161),BE161="DQ",BE161="P",BE161="NS"),
    1,
    0
)</f>
        <v>0</v>
      </c>
      <c r="BI161" s="106" t="n">
        <v>154</v>
      </c>
      <c r="BJ161" s="106" t="str">
        <f aca="false">IF(ISBLANK($C161),
    "",
   BF161+ROW($B161)/1000
)</f>
        <v/>
      </c>
      <c r="BK161" s="106" t="str">
        <f aca="false">IF(ISNUMBER(BJ161), RANK(BJ161,BJ$8:BJ$507,1), "")</f>
        <v/>
      </c>
      <c r="BL161" s="106" t="str">
        <f aca="false">IF(ISBLANK($C161),
    "",
    $B161
)</f>
        <v/>
      </c>
      <c r="BM161" s="106" t="str">
        <f aca="false">IF(ISBLANK($C161),
    "",
    $C161
)</f>
        <v/>
      </c>
      <c r="BN161" s="106" t="str">
        <f aca="false">IF(ISBLANK($C161),
    "",
    $D161
)</f>
        <v/>
      </c>
      <c r="BO161" s="107" t="str">
        <f aca="false">BC161</f>
        <v/>
      </c>
      <c r="BP161" s="108" t="str">
        <f aca="false">BB161</f>
        <v/>
      </c>
      <c r="BQ161" s="106" t="str">
        <f aca="false">IF(ISBLANK($C161),
    "",
    BE161
)</f>
        <v/>
      </c>
      <c r="BR161" s="109" t="str">
        <f aca="false">IF(BI161&gt;BH$7,
    "",
    VLOOKUP(BI161,BK$8:BQ660,7,FALSE())
)</f>
        <v/>
      </c>
      <c r="BS161" s="110" t="str">
        <f aca="false">IF(BI161&gt;BH$7,
    "",
    VLOOKUP(BI161,BK$8:BQ660,2,FALSE())
)</f>
        <v/>
      </c>
      <c r="BT161" s="110" t="str">
        <f aca="false">IF(BI161&gt;BH$7,
    "",
    VLOOKUP(BI161,BK$8:BQ660,3,FALSE())
)</f>
        <v/>
      </c>
      <c r="BU161" s="110" t="str">
        <f aca="false">IF(BI161&gt;BH$7,
    "",
    VLOOKUP(BI161,BK$8:BQ660,4,FALSE())
)</f>
        <v/>
      </c>
      <c r="BV161" s="110" t="str">
        <f aca="false">IF(BI161&gt;BH$7,
    "",
    VLOOKUP(BI161,BK$8:BQ660,5,FALSE())
)</f>
        <v/>
      </c>
      <c r="BW161" s="111" t="str">
        <f aca="false">IF(BI161&gt;BH$7,
    "",
    VLOOKUP(BI161,BK$8:BQ660,6,FALSE())
)</f>
        <v/>
      </c>
      <c r="BX161" s="50"/>
    </row>
    <row r="162" customFormat="false" ht="15.75" hidden="false" customHeight="false" outlineLevel="0" collapsed="false">
      <c r="A162" s="5"/>
      <c r="B162" s="122"/>
      <c r="C162" s="123"/>
      <c r="D162" s="112"/>
      <c r="E162" s="116"/>
      <c r="F162" s="116"/>
      <c r="G162" s="88"/>
      <c r="H162" s="89"/>
      <c r="I162" s="125"/>
      <c r="J162" s="125"/>
      <c r="K162" s="125"/>
      <c r="L162" s="91"/>
      <c r="M162" s="91"/>
      <c r="N162" s="91"/>
      <c r="O162" s="92"/>
      <c r="P162" s="93"/>
      <c r="Q162" s="125"/>
      <c r="R162" s="95"/>
      <c r="S162" s="96"/>
      <c r="T162" s="96" t="str">
        <f aca="false">IF(ISBLANK($C162),"",IF(G162=Constants!$B$2, TRUE(), IF(G162=Constants!$B$3, FALSE(), TRUE())))</f>
        <v/>
      </c>
      <c r="U162" s="96" t="str">
        <f aca="false">IF(ISBLANK($C162),"",IF(H162=Constants!$B$2, TRUE(), IF(H162=Constants!$B$3, FALSE(), TRUE())))</f>
        <v/>
      </c>
      <c r="V162" s="96" t="str">
        <f aca="false">IF(ISBLANK($C162),"",IF(I162=Constants!$B$2, TRUE(), IF(I162=Constants!$B$3, FALSE(), TRUE())))</f>
        <v/>
      </c>
      <c r="W162" s="96" t="str">
        <f aca="false">IF(ISBLANK($C162),"",IF(J162=Constants!$B$2, TRUE(), IF(J162=Constants!$B$3, FALSE(), TRUE())))</f>
        <v/>
      </c>
      <c r="X162" s="97" t="str">
        <f aca="false">IF(ISBLANK($C162),"",IF(K162=Constants!$B$2, TRUE(), IF(K162=Constants!$B$3, FALSE(), TRUE())))</f>
        <v/>
      </c>
      <c r="Y162" s="98" t="str">
        <f aca="false">IF(ISBLANK($C162),"",IF(ISNUMBER(L162), L162, ""))</f>
        <v/>
      </c>
      <c r="Z162" s="98" t="str">
        <f aca="false">IF(ISBLANK($C162),"",IF(ISNUMBER(M162), M162, ""))</f>
        <v/>
      </c>
      <c r="AA162" s="98" t="str">
        <f aca="false">IF(ISBLANK($C162),"",IF(ISNUMBER(N162), N162, ""))</f>
        <v/>
      </c>
      <c r="AB162" s="99" t="str">
        <f aca="false">IF(ISBLANK($C162),"",IF(ISNUMBER(O162), O162, ""))</f>
        <v/>
      </c>
      <c r="AC162" s="99" t="str">
        <f aca="false">IF(ISBLANK($C162),"",IF(ISNUMBER(P162), P162, Constants!$B$13))</f>
        <v/>
      </c>
      <c r="AD162" s="96" t="str">
        <f aca="false">IF(ISBLANK($C162),"",IF(Q162=Constants!$B$2, TRUE(), IF(Q162=Constants!$B$3, FALSE(), FALSE())))</f>
        <v/>
      </c>
      <c r="AE162" s="96" t="str">
        <f aca="false">IF(ISBLANK(C162), "", IF(AD162, Constants!$B$4,IF(COUNTA(G162:O162)=0, Constants!$B$5, Constants!$B$7)))</f>
        <v/>
      </c>
      <c r="AF162" s="96" t="str">
        <f aca="false">IF(ISBLANK($C162), "",IF($AE162=Constants!$B$7,1,$AE162))</f>
        <v/>
      </c>
      <c r="AG162" s="96" t="str">
        <f aca="false">IF($AE162=Constants!$B$7,IF(V162, 1, Constants!$B$11) * IF(X162, 1, Constants!$B$12),"")</f>
        <v/>
      </c>
      <c r="AH162" s="96" t="str">
        <f aca="false">IF(AND($AE162=Constants!$B$7, T162, U162) ,MAX(0, $AA162-$Y162),"")</f>
        <v/>
      </c>
      <c r="AI162" s="96" t="str">
        <f aca="false">IF(ISERROR(AH162),$AI$6,"")</f>
        <v/>
      </c>
      <c r="AJ162" s="96" t="str">
        <f aca="false">IF($AE162=Constants!$B$7,IF(AND(T162,U162,W162),IF($AH$6=0,Constants!$B$9,Constants!$B$9*AH162/$AH$6), 0),"")</f>
        <v/>
      </c>
      <c r="AK162" s="96" t="str">
        <f aca="false">IF(AJ162&lt;&gt;"", AJ162*AG162,"")</f>
        <v/>
      </c>
      <c r="AL162" s="96" t="str">
        <f aca="false">IF(AND($AE162=Constants!$B$7, T162, U162) ,IF($Z162="", "", MAX(0,1-ABS($AA162-$Z162)/$AA162)),"")</f>
        <v/>
      </c>
      <c r="AM162" s="96" t="str">
        <f aca="false">IF(AND(NOT(ISERROR(AH162)),ISERROR(AL162)),$AM$6,"")</f>
        <v/>
      </c>
      <c r="AN162" s="96" t="str">
        <f aca="false">IF($AE162=Constants!$B$7 ,IF(AND(T162,U162,W162,ISNUMBER(Z162)),IF($AL$6=0,Constants!$B$10,Constants!$B$10*AL162/$AL$6), 0),"")</f>
        <v/>
      </c>
      <c r="AO162" s="96" t="str">
        <f aca="false">IF(AN162&lt;&gt;"", AN162*AG162,"")</f>
        <v/>
      </c>
      <c r="AP162" s="96" t="str">
        <f aca="false">IF($AE162=Constants!$B$7,IF($AP$6=0,Constants!$B$8,Constants!$B$8*AB162/$AP$6),"")</f>
        <v/>
      </c>
      <c r="AQ162" s="96" t="str">
        <f aca="false">IF($AE162&lt;&gt;Constants!$B$7,$AE162,AK162+AO162+AP162)</f>
        <v/>
      </c>
      <c r="AR162" s="96" t="str">
        <f aca="false">IF(ISBLANK($C162),"",IF($AE162=Constants!$B$7,RANK(AQ162,$AQ$8:$AQ$507),$AE162))</f>
        <v/>
      </c>
      <c r="AS162" s="96" t="str">
        <f aca="false">IF(ISBLANK($C162), "",AK162)</f>
        <v/>
      </c>
      <c r="AT162" s="96" t="str">
        <f aca="false">IF(ISBLANK($C162),"",IF($AE162=Constants!$B$7,RANK(AS162,AS$8:AS$507),$AE162))</f>
        <v/>
      </c>
      <c r="AU162" s="96" t="str">
        <f aca="false">IF(ISBLANK($C162), "",AP162)</f>
        <v/>
      </c>
      <c r="AV162" s="96" t="str">
        <f aca="false">IF(ISBLANK($C162),"",IF($AE162=Constants!$B$7,RANK(AU162,AU$8:AU$507),$AE162))</f>
        <v/>
      </c>
      <c r="AW162" s="96" t="str">
        <f aca="false">IF(ISBLANK($C162), "",AC162)</f>
        <v/>
      </c>
      <c r="AX162" s="96" t="str">
        <f aca="false">IF(ISBLANK($C162),"",
IF($AE162=Constants!$B$7,
  COUNTIFS($AR$8:$AR$507,"&lt;"&amp;$AR162)
  + COUNTIFS($AR$8:$AR$507,$AR162,$AT$8:$AT$507,"&lt;"&amp;$AT162)
  + COUNTIFS($AR$8:$AR$507,$AR162,$AT$8:$AT$507,$AT162,$AV$8:$AV$507,"&lt;"&amp;$AV162)
  + COUNTIFS($AR$8:$AR$507,$AR162,$AT$8:$AT$507,$AT162,$AV$8:$AV$507,$AV162,$AW$8:$AW$507,"&lt;"&amp;$AW162)
  + 1,
$AE162))</f>
        <v/>
      </c>
      <c r="AY162" s="96" t="str">
        <f aca="false">IF(ISBLANK(C162),"",IF($AE162=Constants!$B$7, AR162-AX162,$AE162))</f>
        <v/>
      </c>
      <c r="AZ162" s="100"/>
      <c r="BA162" s="101" t="str">
        <f aca="false">IF(ISBLANK($C162),"",TRIM(AI162&amp;" "&amp;AM162))</f>
        <v/>
      </c>
      <c r="BB162" s="102" t="str">
        <f aca="false">IF(ISBLANK($C162),"",IF($AE162&lt;&gt;Constants!$B$7, $AE162 ,AQ162))</f>
        <v/>
      </c>
      <c r="BC162" s="103" t="str">
        <f aca="false">IF(ISBLANK($C162),"",IF($AE162&lt;&gt;Constants!$B$7, $AE162 ,AF162))</f>
        <v/>
      </c>
      <c r="BD162" s="104" t="str">
        <f aca="false">IF(ISBLANK(C162),"",AY162)</f>
        <v/>
      </c>
      <c r="BE162" s="104" t="str">
        <f aca="false">IF(ISBLANK(C162),"",AX162)</f>
        <v/>
      </c>
      <c r="BF162" s="105" t="str">
        <f aca="false">IF(ISBLANK(C162),"",IFERROR(_xlfn.SWITCH(BE162, Constants!$B$4, COUNTA($C$8:$C661)+2, Constants!$B$5, COUNTA($C$8:$C661)+1, Constants!$B$6, COUNTA($C$8:$C661)),BE162))</f>
        <v/>
      </c>
      <c r="BG162" s="5"/>
      <c r="BH162" s="106" t="n">
        <f aca="false">IF(OR(ISNUMBER(BE162),BE162="DQ",BE162="P",BE162="NS"),
    1,
    0
)</f>
        <v>0</v>
      </c>
      <c r="BI162" s="106" t="n">
        <v>155</v>
      </c>
      <c r="BJ162" s="106" t="str">
        <f aca="false">IF(ISBLANK($C162),
    "",
   BF162+ROW($B162)/1000
)</f>
        <v/>
      </c>
      <c r="BK162" s="106" t="str">
        <f aca="false">IF(ISNUMBER(BJ162), RANK(BJ162,BJ$8:BJ$507,1), "")</f>
        <v/>
      </c>
      <c r="BL162" s="106" t="str">
        <f aca="false">IF(ISBLANK($C162),
    "",
    $B162
)</f>
        <v/>
      </c>
      <c r="BM162" s="106" t="str">
        <f aca="false">IF(ISBLANK($C162),
    "",
    $C162
)</f>
        <v/>
      </c>
      <c r="BN162" s="106" t="str">
        <f aca="false">IF(ISBLANK($C162),
    "",
    $D162
)</f>
        <v/>
      </c>
      <c r="BO162" s="107" t="str">
        <f aca="false">BC162</f>
        <v/>
      </c>
      <c r="BP162" s="108" t="str">
        <f aca="false">BB162</f>
        <v/>
      </c>
      <c r="BQ162" s="106" t="str">
        <f aca="false">IF(ISBLANK($C162),
    "",
    BE162
)</f>
        <v/>
      </c>
      <c r="BR162" s="109" t="str">
        <f aca="false">IF(BI162&gt;BH$7,
    "",
    VLOOKUP(BI162,BK$8:BQ661,7,FALSE())
)</f>
        <v/>
      </c>
      <c r="BS162" s="110" t="str">
        <f aca="false">IF(BI162&gt;BH$7,
    "",
    VLOOKUP(BI162,BK$8:BQ661,2,FALSE())
)</f>
        <v/>
      </c>
      <c r="BT162" s="110" t="str">
        <f aca="false">IF(BI162&gt;BH$7,
    "",
    VLOOKUP(BI162,BK$8:BQ661,3,FALSE())
)</f>
        <v/>
      </c>
      <c r="BU162" s="110" t="str">
        <f aca="false">IF(BI162&gt;BH$7,
    "",
    VLOOKUP(BI162,BK$8:BQ661,4,FALSE())
)</f>
        <v/>
      </c>
      <c r="BV162" s="110" t="str">
        <f aca="false">IF(BI162&gt;BH$7,
    "",
    VLOOKUP(BI162,BK$8:BQ661,5,FALSE())
)</f>
        <v/>
      </c>
      <c r="BW162" s="111" t="str">
        <f aca="false">IF(BI162&gt;BH$7,
    "",
    VLOOKUP(BI162,BK$8:BQ661,6,FALSE())
)</f>
        <v/>
      </c>
      <c r="BX162" s="50"/>
    </row>
    <row r="163" customFormat="false" ht="15.75" hidden="false" customHeight="false" outlineLevel="0" collapsed="false">
      <c r="A163" s="5"/>
      <c r="B163" s="122"/>
      <c r="C163" s="123"/>
      <c r="D163" s="112"/>
      <c r="E163" s="116"/>
      <c r="F163" s="116"/>
      <c r="G163" s="88"/>
      <c r="H163" s="89"/>
      <c r="I163" s="125"/>
      <c r="J163" s="125"/>
      <c r="K163" s="125"/>
      <c r="L163" s="91"/>
      <c r="M163" s="91"/>
      <c r="N163" s="91"/>
      <c r="O163" s="92"/>
      <c r="P163" s="93"/>
      <c r="Q163" s="125"/>
      <c r="R163" s="95"/>
      <c r="S163" s="96"/>
      <c r="T163" s="96" t="str">
        <f aca="false">IF(ISBLANK($C163),"",IF(G163=Constants!$B$2, TRUE(), IF(G163=Constants!$B$3, FALSE(), TRUE())))</f>
        <v/>
      </c>
      <c r="U163" s="96" t="str">
        <f aca="false">IF(ISBLANK($C163),"",IF(H163=Constants!$B$2, TRUE(), IF(H163=Constants!$B$3, FALSE(), TRUE())))</f>
        <v/>
      </c>
      <c r="V163" s="96" t="str">
        <f aca="false">IF(ISBLANK($C163),"",IF(I163=Constants!$B$2, TRUE(), IF(I163=Constants!$B$3, FALSE(), TRUE())))</f>
        <v/>
      </c>
      <c r="W163" s="96" t="str">
        <f aca="false">IF(ISBLANK($C163),"",IF(J163=Constants!$B$2, TRUE(), IF(J163=Constants!$B$3, FALSE(), TRUE())))</f>
        <v/>
      </c>
      <c r="X163" s="97" t="str">
        <f aca="false">IF(ISBLANK($C163),"",IF(K163=Constants!$B$2, TRUE(), IF(K163=Constants!$B$3, FALSE(), TRUE())))</f>
        <v/>
      </c>
      <c r="Y163" s="98" t="str">
        <f aca="false">IF(ISBLANK($C163),"",IF(ISNUMBER(L163), L163, ""))</f>
        <v/>
      </c>
      <c r="Z163" s="98" t="str">
        <f aca="false">IF(ISBLANK($C163),"",IF(ISNUMBER(M163), M163, ""))</f>
        <v/>
      </c>
      <c r="AA163" s="98" t="str">
        <f aca="false">IF(ISBLANK($C163),"",IF(ISNUMBER(N163), N163, ""))</f>
        <v/>
      </c>
      <c r="AB163" s="99" t="str">
        <f aca="false">IF(ISBLANK($C163),"",IF(ISNUMBER(O163), O163, ""))</f>
        <v/>
      </c>
      <c r="AC163" s="99" t="str">
        <f aca="false">IF(ISBLANK($C163),"",IF(ISNUMBER(P163), P163, Constants!$B$13))</f>
        <v/>
      </c>
      <c r="AD163" s="96" t="str">
        <f aca="false">IF(ISBLANK($C163),"",IF(Q163=Constants!$B$2, TRUE(), IF(Q163=Constants!$B$3, FALSE(), FALSE())))</f>
        <v/>
      </c>
      <c r="AE163" s="96" t="str">
        <f aca="false">IF(ISBLANK(C163), "", IF(AD163, Constants!$B$4,IF(COUNTA(G163:O163)=0, Constants!$B$5, Constants!$B$7)))</f>
        <v/>
      </c>
      <c r="AF163" s="96" t="str">
        <f aca="false">IF(ISBLANK($C163), "",IF($AE163=Constants!$B$7,1,$AE163))</f>
        <v/>
      </c>
      <c r="AG163" s="96" t="str">
        <f aca="false">IF($AE163=Constants!$B$7,IF(V163, 1, Constants!$B$11) * IF(X163, 1, Constants!$B$12),"")</f>
        <v/>
      </c>
      <c r="AH163" s="96" t="str">
        <f aca="false">IF(AND($AE163=Constants!$B$7, T163, U163) ,MAX(0, $AA163-$Y163),"")</f>
        <v/>
      </c>
      <c r="AI163" s="96" t="str">
        <f aca="false">IF(ISERROR(AH163),$AI$6,"")</f>
        <v/>
      </c>
      <c r="AJ163" s="96" t="str">
        <f aca="false">IF($AE163=Constants!$B$7,IF(AND(T163,U163,W163),IF($AH$6=0,Constants!$B$9,Constants!$B$9*AH163/$AH$6), 0),"")</f>
        <v/>
      </c>
      <c r="AK163" s="96" t="str">
        <f aca="false">IF(AJ163&lt;&gt;"", AJ163*AG163,"")</f>
        <v/>
      </c>
      <c r="AL163" s="96" t="str">
        <f aca="false">IF(AND($AE163=Constants!$B$7, T163, U163) ,IF($Z163="", "", MAX(0,1-ABS($AA163-$Z163)/$AA163)),"")</f>
        <v/>
      </c>
      <c r="AM163" s="96" t="str">
        <f aca="false">IF(AND(NOT(ISERROR(AH163)),ISERROR(AL163)),$AM$6,"")</f>
        <v/>
      </c>
      <c r="AN163" s="96" t="str">
        <f aca="false">IF($AE163=Constants!$B$7 ,IF(AND(T163,U163,W163,ISNUMBER(Z163)),IF($AL$6=0,Constants!$B$10,Constants!$B$10*AL163/$AL$6), 0),"")</f>
        <v/>
      </c>
      <c r="AO163" s="96" t="str">
        <f aca="false">IF(AN163&lt;&gt;"", AN163*AG163,"")</f>
        <v/>
      </c>
      <c r="AP163" s="96" t="str">
        <f aca="false">IF($AE163=Constants!$B$7,IF($AP$6=0,Constants!$B$8,Constants!$B$8*AB163/$AP$6),"")</f>
        <v/>
      </c>
      <c r="AQ163" s="96" t="str">
        <f aca="false">IF($AE163&lt;&gt;Constants!$B$7,$AE163,AK163+AO163+AP163)</f>
        <v/>
      </c>
      <c r="AR163" s="96" t="str">
        <f aca="false">IF(ISBLANK($C163),"",IF($AE163=Constants!$B$7,RANK(AQ163,$AQ$8:$AQ$507),$AE163))</f>
        <v/>
      </c>
      <c r="AS163" s="96" t="str">
        <f aca="false">IF(ISBLANK($C163), "",AK163)</f>
        <v/>
      </c>
      <c r="AT163" s="96" t="str">
        <f aca="false">IF(ISBLANK($C163),"",IF($AE163=Constants!$B$7,RANK(AS163,AS$8:AS$507),$AE163))</f>
        <v/>
      </c>
      <c r="AU163" s="96" t="str">
        <f aca="false">IF(ISBLANK($C163), "",AP163)</f>
        <v/>
      </c>
      <c r="AV163" s="96" t="str">
        <f aca="false">IF(ISBLANK($C163),"",IF($AE163=Constants!$B$7,RANK(AU163,AU$8:AU$507),$AE163))</f>
        <v/>
      </c>
      <c r="AW163" s="96" t="str">
        <f aca="false">IF(ISBLANK($C163), "",AC163)</f>
        <v/>
      </c>
      <c r="AX163" s="96" t="str">
        <f aca="false">IF(ISBLANK($C163),"",
IF($AE163=Constants!$B$7,
  COUNTIFS($AR$8:$AR$507,"&lt;"&amp;$AR163)
  + COUNTIFS($AR$8:$AR$507,$AR163,$AT$8:$AT$507,"&lt;"&amp;$AT163)
  + COUNTIFS($AR$8:$AR$507,$AR163,$AT$8:$AT$507,$AT163,$AV$8:$AV$507,"&lt;"&amp;$AV163)
  + COUNTIFS($AR$8:$AR$507,$AR163,$AT$8:$AT$507,$AT163,$AV$8:$AV$507,$AV163,$AW$8:$AW$507,"&lt;"&amp;$AW163)
  + 1,
$AE163))</f>
        <v/>
      </c>
      <c r="AY163" s="96" t="str">
        <f aca="false">IF(ISBLANK(C163),"",IF($AE163=Constants!$B$7, AR163-AX163,$AE163))</f>
        <v/>
      </c>
      <c r="AZ163" s="100"/>
      <c r="BA163" s="101" t="str">
        <f aca="false">IF(ISBLANK($C163),"",TRIM(AI163&amp;" "&amp;AM163))</f>
        <v/>
      </c>
      <c r="BB163" s="102" t="str">
        <f aca="false">IF(ISBLANK($C163),"",IF($AE163&lt;&gt;Constants!$B$7, $AE163 ,AQ163))</f>
        <v/>
      </c>
      <c r="BC163" s="103" t="str">
        <f aca="false">IF(ISBLANK($C163),"",IF($AE163&lt;&gt;Constants!$B$7, $AE163 ,AF163))</f>
        <v/>
      </c>
      <c r="BD163" s="104" t="str">
        <f aca="false">IF(ISBLANK(C163),"",AY163)</f>
        <v/>
      </c>
      <c r="BE163" s="104" t="str">
        <f aca="false">IF(ISBLANK(C163),"",AX163)</f>
        <v/>
      </c>
      <c r="BF163" s="105" t="str">
        <f aca="false">IF(ISBLANK(C163),"",IFERROR(_xlfn.SWITCH(BE163, Constants!$B$4, COUNTA($C$8:$C662)+2, Constants!$B$5, COUNTA($C$8:$C662)+1, Constants!$B$6, COUNTA($C$8:$C662)),BE163))</f>
        <v/>
      </c>
      <c r="BG163" s="5"/>
      <c r="BH163" s="106" t="n">
        <f aca="false">IF(OR(ISNUMBER(BE163),BE163="DQ",BE163="P",BE163="NS"),
    1,
    0
)</f>
        <v>0</v>
      </c>
      <c r="BI163" s="106" t="n">
        <v>156</v>
      </c>
      <c r="BJ163" s="106" t="str">
        <f aca="false">IF(ISBLANK($C163),
    "",
   BF163+ROW($B163)/1000
)</f>
        <v/>
      </c>
      <c r="BK163" s="106" t="str">
        <f aca="false">IF(ISNUMBER(BJ163), RANK(BJ163,BJ$8:BJ$507,1), "")</f>
        <v/>
      </c>
      <c r="BL163" s="106" t="str">
        <f aca="false">IF(ISBLANK($C163),
    "",
    $B163
)</f>
        <v/>
      </c>
      <c r="BM163" s="106" t="str">
        <f aca="false">IF(ISBLANK($C163),
    "",
    $C163
)</f>
        <v/>
      </c>
      <c r="BN163" s="106" t="str">
        <f aca="false">IF(ISBLANK($C163),
    "",
    $D163
)</f>
        <v/>
      </c>
      <c r="BO163" s="107" t="str">
        <f aca="false">BC163</f>
        <v/>
      </c>
      <c r="BP163" s="108" t="str">
        <f aca="false">BB163</f>
        <v/>
      </c>
      <c r="BQ163" s="106" t="str">
        <f aca="false">IF(ISBLANK($C163),
    "",
    BE163
)</f>
        <v/>
      </c>
      <c r="BR163" s="109" t="str">
        <f aca="false">IF(BI163&gt;BH$7,
    "",
    VLOOKUP(BI163,BK$8:BQ662,7,FALSE())
)</f>
        <v/>
      </c>
      <c r="BS163" s="110" t="str">
        <f aca="false">IF(BI163&gt;BH$7,
    "",
    VLOOKUP(BI163,BK$8:BQ662,2,FALSE())
)</f>
        <v/>
      </c>
      <c r="BT163" s="110" t="str">
        <f aca="false">IF(BI163&gt;BH$7,
    "",
    VLOOKUP(BI163,BK$8:BQ662,3,FALSE())
)</f>
        <v/>
      </c>
      <c r="BU163" s="110" t="str">
        <f aca="false">IF(BI163&gt;BH$7,
    "",
    VLOOKUP(BI163,BK$8:BQ662,4,FALSE())
)</f>
        <v/>
      </c>
      <c r="BV163" s="110" t="str">
        <f aca="false">IF(BI163&gt;BH$7,
    "",
    VLOOKUP(BI163,BK$8:BQ662,5,FALSE())
)</f>
        <v/>
      </c>
      <c r="BW163" s="111" t="str">
        <f aca="false">IF(BI163&gt;BH$7,
    "",
    VLOOKUP(BI163,BK$8:BQ662,6,FALSE())
)</f>
        <v/>
      </c>
      <c r="BX163" s="50"/>
    </row>
    <row r="164" customFormat="false" ht="15.75" hidden="false" customHeight="false" outlineLevel="0" collapsed="false">
      <c r="A164" s="5"/>
      <c r="B164" s="126"/>
      <c r="C164" s="52"/>
      <c r="D164" s="53"/>
      <c r="E164" s="120"/>
      <c r="F164" s="120"/>
      <c r="G164" s="55"/>
      <c r="H164" s="56"/>
      <c r="I164" s="80"/>
      <c r="J164" s="80"/>
      <c r="K164" s="80"/>
      <c r="L164" s="58"/>
      <c r="M164" s="58"/>
      <c r="N164" s="58"/>
      <c r="O164" s="59"/>
      <c r="P164" s="60"/>
      <c r="Q164" s="80"/>
      <c r="R164" s="62"/>
      <c r="S164" s="63"/>
      <c r="T164" s="63" t="str">
        <f aca="false">IF(ISBLANK($C164),"",IF(G164=Constants!$B$2, TRUE(), IF(G164=Constants!$B$3, FALSE(), TRUE())))</f>
        <v/>
      </c>
      <c r="U164" s="63" t="str">
        <f aca="false">IF(ISBLANK($C164),"",IF(H164=Constants!$B$2, TRUE(), IF(H164=Constants!$B$3, FALSE(), TRUE())))</f>
        <v/>
      </c>
      <c r="V164" s="63" t="str">
        <f aca="false">IF(ISBLANK($C164),"",IF(I164=Constants!$B$2, TRUE(), IF(I164=Constants!$B$3, FALSE(), TRUE())))</f>
        <v/>
      </c>
      <c r="W164" s="63" t="str">
        <f aca="false">IF(ISBLANK($C164),"",IF(J164=Constants!$B$2, TRUE(), IF(J164=Constants!$B$3, FALSE(), TRUE())))</f>
        <v/>
      </c>
      <c r="X164" s="63" t="str">
        <f aca="false">IF(ISBLANK($C164),"",IF(K164=Constants!$B$2, TRUE(), IF(K164=Constants!$B$3, FALSE(), TRUE())))</f>
        <v/>
      </c>
      <c r="Y164" s="65" t="str">
        <f aca="false">IF(ISBLANK($C164),"",IF(ISNUMBER(L164), L164, ""))</f>
        <v/>
      </c>
      <c r="Z164" s="65" t="str">
        <f aca="false">IF(ISBLANK($C164),"",IF(ISNUMBER(M164), M164, ""))</f>
        <v/>
      </c>
      <c r="AA164" s="65" t="str">
        <f aca="false">IF(ISBLANK($C164),"",IF(ISNUMBER(N164), N164, ""))</f>
        <v/>
      </c>
      <c r="AB164" s="66" t="str">
        <f aca="false">IF(ISBLANK($C164),"",IF(ISNUMBER(O164), O164, ""))</f>
        <v/>
      </c>
      <c r="AC164" s="66" t="str">
        <f aca="false">IF(ISBLANK($C164),"",IF(ISNUMBER(P164), P164, Constants!$B$13))</f>
        <v/>
      </c>
      <c r="AD164" s="63" t="str">
        <f aca="false">IF(ISBLANK($C164),"",IF(Q164=Constants!$B$2, TRUE(), IF(Q164=Constants!$B$3, FALSE(), FALSE())))</f>
        <v/>
      </c>
      <c r="AE164" s="63" t="str">
        <f aca="false">IF(ISBLANK(C164), "", IF(AD164, Constants!$B$4,IF(COUNTA(G164:O164)=0, Constants!$B$5, Constants!$B$7)))</f>
        <v/>
      </c>
      <c r="AF164" s="63" t="str">
        <f aca="false">IF(ISBLANK($C164), "",IF($AE164=Constants!$B$7,1,$AE164))</f>
        <v/>
      </c>
      <c r="AG164" s="63" t="str">
        <f aca="false">IF($AE164=Constants!$B$7,IF(V164, 1, Constants!$B$11) * IF(X164, 1, Constants!$B$12),"")</f>
        <v/>
      </c>
      <c r="AH164" s="63" t="str">
        <f aca="false">IF(AND($AE164=Constants!$B$7, T164, U164) ,MAX(0, $AA164-$Y164),"")</f>
        <v/>
      </c>
      <c r="AI164" s="63" t="str">
        <f aca="false">IF(ISERROR(AH164),$AI$6,"")</f>
        <v/>
      </c>
      <c r="AJ164" s="63" t="str">
        <f aca="false">IF($AE164=Constants!$B$7,IF(AND(T164,U164,W164),IF($AH$6=0,Constants!$B$9,Constants!$B$9*AH164/$AH$6), 0),"")</f>
        <v/>
      </c>
      <c r="AK164" s="63" t="str">
        <f aca="false">IF(AJ164&lt;&gt;"", AJ164*AG164,"")</f>
        <v/>
      </c>
      <c r="AL164" s="63" t="str">
        <f aca="false">IF(AND($AE164=Constants!$B$7, T164, U164) ,IF($Z164="", "", MAX(0,1-ABS($AA164-$Z164)/$AA164)),"")</f>
        <v/>
      </c>
      <c r="AM164" s="63" t="str">
        <f aca="false">IF(AND(NOT(ISERROR(AH164)),ISERROR(AL164)),$AM$6,"")</f>
        <v/>
      </c>
      <c r="AN164" s="63" t="str">
        <f aca="false">IF($AE164=Constants!$B$7 ,IF(AND(T164,U164,W164,ISNUMBER(Z164)),IF($AL$6=0,Constants!$B$10,Constants!$B$10*AL164/$AL$6), 0),"")</f>
        <v/>
      </c>
      <c r="AO164" s="63" t="str">
        <f aca="false">IF(AN164&lt;&gt;"", AN164*AG164,"")</f>
        <v/>
      </c>
      <c r="AP164" s="63" t="str">
        <f aca="false">IF($AE164=Constants!$B$7,IF($AP$6=0,Constants!$B$8,Constants!$B$8*AB164/$AP$6),"")</f>
        <v/>
      </c>
      <c r="AQ164" s="63" t="str">
        <f aca="false">IF($AE164&lt;&gt;Constants!$B$7,$AE164,AK164+AO164+AP164)</f>
        <v/>
      </c>
      <c r="AR164" s="63" t="str">
        <f aca="false">IF(ISBLANK($C164),"",IF($AE164=Constants!$B$7,RANK(AQ164,$AQ$8:$AQ$507),$AE164))</f>
        <v/>
      </c>
      <c r="AS164" s="63" t="str">
        <f aca="false">IF(ISBLANK($C164), "",AK164)</f>
        <v/>
      </c>
      <c r="AT164" s="63" t="str">
        <f aca="false">IF(ISBLANK($C164),"",IF($AE164=Constants!$B$7,RANK(AS164,AS$8:AS$507),$AE164))</f>
        <v/>
      </c>
      <c r="AU164" s="63" t="str">
        <f aca="false">IF(ISBLANK($C164), "",AP164)</f>
        <v/>
      </c>
      <c r="AV164" s="63" t="str">
        <f aca="false">IF(ISBLANK($C164),"",IF($AE164=Constants!$B$7,RANK(AU164,AU$8:AU$507),$AE164))</f>
        <v/>
      </c>
      <c r="AW164" s="63" t="str">
        <f aca="false">IF(ISBLANK($C164), "",AC164)</f>
        <v/>
      </c>
      <c r="AX164" s="63" t="str">
        <f aca="false">IF(ISBLANK($C164),"",
IF($AE164=Constants!$B$7,
  COUNTIFS($AR$8:$AR$507,"&lt;"&amp;$AR164)
  + COUNTIFS($AR$8:$AR$507,$AR164,$AT$8:$AT$507,"&lt;"&amp;$AT164)
  + COUNTIFS($AR$8:$AR$507,$AR164,$AT$8:$AT$507,$AT164,$AV$8:$AV$507,"&lt;"&amp;$AV164)
  + COUNTIFS($AR$8:$AR$507,$AR164,$AT$8:$AT$507,$AT164,$AV$8:$AV$507,$AV164,$AW$8:$AW$507,"&lt;"&amp;$AW164)
  + 1,
$AE164))</f>
        <v/>
      </c>
      <c r="AY164" s="63" t="str">
        <f aca="false">IF(ISBLANK(C164),"",IF($AE164=Constants!$B$7, AR164-AX164,$AE164))</f>
        <v/>
      </c>
      <c r="AZ164" s="67"/>
      <c r="BA164" s="81" t="str">
        <f aca="false">IF(ISBLANK($C164),"",TRIM(AI164&amp;" "&amp;AM164))</f>
        <v/>
      </c>
      <c r="BB164" s="69" t="str">
        <f aca="false">IF(ISBLANK($C164),"",IF($AE164&lt;&gt;Constants!$B$7, $AE164 ,AQ164))</f>
        <v/>
      </c>
      <c r="BC164" s="70" t="str">
        <f aca="false">IF(ISBLANK($C164),"",IF($AE164&lt;&gt;Constants!$B$7, $AE164 ,AF164))</f>
        <v/>
      </c>
      <c r="BD164" s="71" t="str">
        <f aca="false">IF(ISBLANK(C164),"",AY164)</f>
        <v/>
      </c>
      <c r="BE164" s="71" t="str">
        <f aca="false">IF(ISBLANK(C164),"",AX164)</f>
        <v/>
      </c>
      <c r="BF164" s="72" t="str">
        <f aca="false">IF(ISBLANK(C164),"",IFERROR(_xlfn.SWITCH(BE164, Constants!$B$4, COUNTA($C$8:$C663)+2, Constants!$B$5, COUNTA($C$8:$C663)+1, Constants!$B$6, COUNTA($C$8:$C663)),BE164))</f>
        <v/>
      </c>
      <c r="BG164" s="5"/>
      <c r="BH164" s="73" t="n">
        <f aca="false">IF(OR(ISNUMBER(BE164),BE164="DQ",BE164="P",BE164="NS"),
    1,
    0
)</f>
        <v>0</v>
      </c>
      <c r="BI164" s="73" t="n">
        <v>157</v>
      </c>
      <c r="BJ164" s="73" t="str">
        <f aca="false">IF(ISBLANK($C164),
    "",
   BF164+ROW($B164)/1000
)</f>
        <v/>
      </c>
      <c r="BK164" s="73" t="str">
        <f aca="false">IF(ISNUMBER(BJ164), RANK(BJ164,BJ$8:BJ$507,1), "")</f>
        <v/>
      </c>
      <c r="BL164" s="73" t="str">
        <f aca="false">IF(ISBLANK($C164),
    "",
    $B164
)</f>
        <v/>
      </c>
      <c r="BM164" s="73" t="str">
        <f aca="false">IF(ISBLANK($C164),
    "",
    $C164
)</f>
        <v/>
      </c>
      <c r="BN164" s="73" t="str">
        <f aca="false">IF(ISBLANK($C164),
    "",
    $D164
)</f>
        <v/>
      </c>
      <c r="BO164" s="74" t="str">
        <f aca="false">BC164</f>
        <v/>
      </c>
      <c r="BP164" s="75" t="str">
        <f aca="false">BB164</f>
        <v/>
      </c>
      <c r="BQ164" s="73" t="str">
        <f aca="false">IF(ISBLANK($C164),
    "",
    BE164
)</f>
        <v/>
      </c>
      <c r="BR164" s="76" t="str">
        <f aca="false">IF(BI164&gt;BH$7,
    "",
    VLOOKUP(BI164,BK$8:BQ663,7,FALSE())
)</f>
        <v/>
      </c>
      <c r="BS164" s="77" t="str">
        <f aca="false">IF(BI164&gt;BH$7,
    "",
    VLOOKUP(BI164,BK$8:BQ663,2,FALSE())
)</f>
        <v/>
      </c>
      <c r="BT164" s="77" t="str">
        <f aca="false">IF(BI164&gt;BH$7,
    "",
    VLOOKUP(BI164,BK$8:BQ663,3,FALSE())
)</f>
        <v/>
      </c>
      <c r="BU164" s="77" t="str">
        <f aca="false">IF(BI164&gt;BH$7,
    "",
    VLOOKUP(BI164,BK$8:BQ663,4,FALSE())
)</f>
        <v/>
      </c>
      <c r="BV164" s="77" t="str">
        <f aca="false">IF(BI164&gt;BH$7,
    "",
    VLOOKUP(BI164,BK$8:BQ663,5,FALSE())
)</f>
        <v/>
      </c>
      <c r="BW164" s="78" t="str">
        <f aca="false">IF(BI164&gt;BH$7,
    "",
    VLOOKUP(BI164,BK$8:BQ663,6,FALSE())
)</f>
        <v/>
      </c>
      <c r="BX164" s="50"/>
    </row>
    <row r="165" customFormat="false" ht="15.75" hidden="false" customHeight="false" outlineLevel="0" collapsed="false">
      <c r="A165" s="5"/>
      <c r="B165" s="126"/>
      <c r="C165" s="52"/>
      <c r="D165" s="53"/>
      <c r="E165" s="120"/>
      <c r="F165" s="120"/>
      <c r="G165" s="55"/>
      <c r="H165" s="56"/>
      <c r="I165" s="80"/>
      <c r="J165" s="80"/>
      <c r="K165" s="80"/>
      <c r="L165" s="58"/>
      <c r="M165" s="58"/>
      <c r="N165" s="58"/>
      <c r="O165" s="59"/>
      <c r="P165" s="60"/>
      <c r="Q165" s="80"/>
      <c r="R165" s="62"/>
      <c r="S165" s="63"/>
      <c r="T165" s="63" t="str">
        <f aca="false">IF(ISBLANK($C165),"",IF(G165=Constants!$B$2, TRUE(), IF(G165=Constants!$B$3, FALSE(), TRUE())))</f>
        <v/>
      </c>
      <c r="U165" s="63" t="str">
        <f aca="false">IF(ISBLANK($C165),"",IF(H165=Constants!$B$2, TRUE(), IF(H165=Constants!$B$3, FALSE(), TRUE())))</f>
        <v/>
      </c>
      <c r="V165" s="63" t="str">
        <f aca="false">IF(ISBLANK($C165),"",IF(I165=Constants!$B$2, TRUE(), IF(I165=Constants!$B$3, FALSE(), TRUE())))</f>
        <v/>
      </c>
      <c r="W165" s="63" t="str">
        <f aca="false">IF(ISBLANK($C165),"",IF(J165=Constants!$B$2, TRUE(), IF(J165=Constants!$B$3, FALSE(), TRUE())))</f>
        <v/>
      </c>
      <c r="X165" s="63" t="str">
        <f aca="false">IF(ISBLANK($C165),"",IF(K165=Constants!$B$2, TRUE(), IF(K165=Constants!$B$3, FALSE(), TRUE())))</f>
        <v/>
      </c>
      <c r="Y165" s="65" t="str">
        <f aca="false">IF(ISBLANK($C165),"",IF(ISNUMBER(L165), L165, ""))</f>
        <v/>
      </c>
      <c r="Z165" s="65" t="str">
        <f aca="false">IF(ISBLANK($C165),"",IF(ISNUMBER(M165), M165, ""))</f>
        <v/>
      </c>
      <c r="AA165" s="65" t="str">
        <f aca="false">IF(ISBLANK($C165),"",IF(ISNUMBER(N165), N165, ""))</f>
        <v/>
      </c>
      <c r="AB165" s="66" t="str">
        <f aca="false">IF(ISBLANK($C165),"",IF(ISNUMBER(O165), O165, ""))</f>
        <v/>
      </c>
      <c r="AC165" s="66" t="str">
        <f aca="false">IF(ISBLANK($C165),"",IF(ISNUMBER(P165), P165, Constants!$B$13))</f>
        <v/>
      </c>
      <c r="AD165" s="63" t="str">
        <f aca="false">IF(ISBLANK($C165),"",IF(Q165=Constants!$B$2, TRUE(), IF(Q165=Constants!$B$3, FALSE(), FALSE())))</f>
        <v/>
      </c>
      <c r="AE165" s="63" t="str">
        <f aca="false">IF(ISBLANK(C165), "", IF(AD165, Constants!$B$4,IF(COUNTA(G165:O165)=0, Constants!$B$5, Constants!$B$7)))</f>
        <v/>
      </c>
      <c r="AF165" s="63" t="str">
        <f aca="false">IF(ISBLANK($C165), "",IF($AE165=Constants!$B$7,1,$AE165))</f>
        <v/>
      </c>
      <c r="AG165" s="63" t="str">
        <f aca="false">IF($AE165=Constants!$B$7,IF(V165, 1, Constants!$B$11) * IF(X165, 1, Constants!$B$12),"")</f>
        <v/>
      </c>
      <c r="AH165" s="63" t="str">
        <f aca="false">IF(AND($AE165=Constants!$B$7, T165, U165) ,MAX(0, $AA165-$Y165),"")</f>
        <v/>
      </c>
      <c r="AI165" s="63" t="str">
        <f aca="false">IF(ISERROR(AH165),$AI$6,"")</f>
        <v/>
      </c>
      <c r="AJ165" s="63" t="str">
        <f aca="false">IF($AE165=Constants!$B$7,IF(AND(T165,U165,W165),IF($AH$6=0,Constants!$B$9,Constants!$B$9*AH165/$AH$6), 0),"")</f>
        <v/>
      </c>
      <c r="AK165" s="63" t="str">
        <f aca="false">IF(AJ165&lt;&gt;"", AJ165*AG165,"")</f>
        <v/>
      </c>
      <c r="AL165" s="63" t="str">
        <f aca="false">IF(AND($AE165=Constants!$B$7, T165, U165) ,IF($Z165="", "", MAX(0,1-ABS($AA165-$Z165)/$AA165)),"")</f>
        <v/>
      </c>
      <c r="AM165" s="63" t="str">
        <f aca="false">IF(AND(NOT(ISERROR(AH165)),ISERROR(AL165)),$AM$6,"")</f>
        <v/>
      </c>
      <c r="AN165" s="63" t="str">
        <f aca="false">IF($AE165=Constants!$B$7 ,IF(AND(T165,U165,W165,ISNUMBER(Z165)),IF($AL$6=0,Constants!$B$10,Constants!$B$10*AL165/$AL$6), 0),"")</f>
        <v/>
      </c>
      <c r="AO165" s="63" t="str">
        <f aca="false">IF(AN165&lt;&gt;"", AN165*AG165,"")</f>
        <v/>
      </c>
      <c r="AP165" s="63" t="str">
        <f aca="false">IF($AE165=Constants!$B$7,IF($AP$6=0,Constants!$B$8,Constants!$B$8*AB165/$AP$6),"")</f>
        <v/>
      </c>
      <c r="AQ165" s="63" t="str">
        <f aca="false">IF($AE165&lt;&gt;Constants!$B$7,$AE165,AK165+AO165+AP165)</f>
        <v/>
      </c>
      <c r="AR165" s="63" t="str">
        <f aca="false">IF(ISBLANK($C165),"",IF($AE165=Constants!$B$7,RANK(AQ165,$AQ$8:$AQ$507),$AE165))</f>
        <v/>
      </c>
      <c r="AS165" s="63" t="str">
        <f aca="false">IF(ISBLANK($C165), "",AK165)</f>
        <v/>
      </c>
      <c r="AT165" s="63" t="str">
        <f aca="false">IF(ISBLANK($C165),"",IF($AE165=Constants!$B$7,RANK(AS165,AS$8:AS$507),$AE165))</f>
        <v/>
      </c>
      <c r="AU165" s="63" t="str">
        <f aca="false">IF(ISBLANK($C165), "",AP165)</f>
        <v/>
      </c>
      <c r="AV165" s="63" t="str">
        <f aca="false">IF(ISBLANK($C165),"",IF($AE165=Constants!$B$7,RANK(AU165,AU$8:AU$507),$AE165))</f>
        <v/>
      </c>
      <c r="AW165" s="63" t="str">
        <f aca="false">IF(ISBLANK($C165), "",AC165)</f>
        <v/>
      </c>
      <c r="AX165" s="63" t="str">
        <f aca="false">IF(ISBLANK($C165),"",
IF($AE165=Constants!$B$7,
  COUNTIFS($AR$8:$AR$507,"&lt;"&amp;$AR165)
  + COUNTIFS($AR$8:$AR$507,$AR165,$AT$8:$AT$507,"&lt;"&amp;$AT165)
  + COUNTIFS($AR$8:$AR$507,$AR165,$AT$8:$AT$507,$AT165,$AV$8:$AV$507,"&lt;"&amp;$AV165)
  + COUNTIFS($AR$8:$AR$507,$AR165,$AT$8:$AT$507,$AT165,$AV$8:$AV$507,$AV165,$AW$8:$AW$507,"&lt;"&amp;$AW165)
  + 1,
$AE165))</f>
        <v/>
      </c>
      <c r="AY165" s="63" t="str">
        <f aca="false">IF(ISBLANK(C165),"",IF($AE165=Constants!$B$7, AR165-AX165,$AE165))</f>
        <v/>
      </c>
      <c r="AZ165" s="67"/>
      <c r="BA165" s="81" t="str">
        <f aca="false">IF(ISBLANK($C165),"",TRIM(AI165&amp;" "&amp;AM165))</f>
        <v/>
      </c>
      <c r="BB165" s="69" t="str">
        <f aca="false">IF(ISBLANK($C165),"",IF($AE165&lt;&gt;Constants!$B$7, $AE165 ,AQ165))</f>
        <v/>
      </c>
      <c r="BC165" s="70" t="str">
        <f aca="false">IF(ISBLANK($C165),"",IF($AE165&lt;&gt;Constants!$B$7, $AE165 ,AF165))</f>
        <v/>
      </c>
      <c r="BD165" s="71" t="str">
        <f aca="false">IF(ISBLANK(C165),"",AY165)</f>
        <v/>
      </c>
      <c r="BE165" s="71" t="str">
        <f aca="false">IF(ISBLANK(C165),"",AX165)</f>
        <v/>
      </c>
      <c r="BF165" s="72" t="str">
        <f aca="false">IF(ISBLANK(C165),"",IFERROR(_xlfn.SWITCH(BE165, Constants!$B$4, COUNTA($C$8:$C664)+2, Constants!$B$5, COUNTA($C$8:$C664)+1, Constants!$B$6, COUNTA($C$8:$C664)),BE165))</f>
        <v/>
      </c>
      <c r="BG165" s="5"/>
      <c r="BH165" s="73" t="n">
        <f aca="false">IF(OR(ISNUMBER(BE165),BE165="DQ",BE165="P",BE165="NS"),
    1,
    0
)</f>
        <v>0</v>
      </c>
      <c r="BI165" s="73" t="n">
        <v>158</v>
      </c>
      <c r="BJ165" s="73" t="str">
        <f aca="false">IF(ISBLANK($C165),
    "",
   BF165+ROW($B165)/1000
)</f>
        <v/>
      </c>
      <c r="BK165" s="73" t="str">
        <f aca="false">IF(ISNUMBER(BJ165), RANK(BJ165,BJ$8:BJ$507,1), "")</f>
        <v/>
      </c>
      <c r="BL165" s="73" t="str">
        <f aca="false">IF(ISBLANK($C165),
    "",
    $B165
)</f>
        <v/>
      </c>
      <c r="BM165" s="73" t="str">
        <f aca="false">IF(ISBLANK($C165),
    "",
    $C165
)</f>
        <v/>
      </c>
      <c r="BN165" s="73" t="str">
        <f aca="false">IF(ISBLANK($C165),
    "",
    $D165
)</f>
        <v/>
      </c>
      <c r="BO165" s="74" t="str">
        <f aca="false">BC165</f>
        <v/>
      </c>
      <c r="BP165" s="75" t="str">
        <f aca="false">BB165</f>
        <v/>
      </c>
      <c r="BQ165" s="73" t="str">
        <f aca="false">IF(ISBLANK($C165),
    "",
    BE165
)</f>
        <v/>
      </c>
      <c r="BR165" s="76" t="str">
        <f aca="false">IF(BI165&gt;BH$7,
    "",
    VLOOKUP(BI165,BK$8:BQ664,7,FALSE())
)</f>
        <v/>
      </c>
      <c r="BS165" s="77" t="str">
        <f aca="false">IF(BI165&gt;BH$7,
    "",
    VLOOKUP(BI165,BK$8:BQ664,2,FALSE())
)</f>
        <v/>
      </c>
      <c r="BT165" s="77" t="str">
        <f aca="false">IF(BI165&gt;BH$7,
    "",
    VLOOKUP(BI165,BK$8:BQ664,3,FALSE())
)</f>
        <v/>
      </c>
      <c r="BU165" s="77" t="str">
        <f aca="false">IF(BI165&gt;BH$7,
    "",
    VLOOKUP(BI165,BK$8:BQ664,4,FALSE())
)</f>
        <v/>
      </c>
      <c r="BV165" s="77" t="str">
        <f aca="false">IF(BI165&gt;BH$7,
    "",
    VLOOKUP(BI165,BK$8:BQ664,5,FALSE())
)</f>
        <v/>
      </c>
      <c r="BW165" s="78" t="str">
        <f aca="false">IF(BI165&gt;BH$7,
    "",
    VLOOKUP(BI165,BK$8:BQ664,6,FALSE())
)</f>
        <v/>
      </c>
      <c r="BX165" s="50"/>
    </row>
    <row r="166" customFormat="false" ht="15.75" hidden="false" customHeight="false" outlineLevel="0" collapsed="false">
      <c r="A166" s="5"/>
      <c r="B166" s="126"/>
      <c r="C166" s="52"/>
      <c r="D166" s="53"/>
      <c r="E166" s="120"/>
      <c r="F166" s="120"/>
      <c r="G166" s="55"/>
      <c r="H166" s="56"/>
      <c r="I166" s="80"/>
      <c r="J166" s="80"/>
      <c r="K166" s="80"/>
      <c r="L166" s="58"/>
      <c r="M166" s="58"/>
      <c r="N166" s="58"/>
      <c r="O166" s="59"/>
      <c r="P166" s="60"/>
      <c r="Q166" s="80"/>
      <c r="R166" s="62"/>
      <c r="S166" s="63"/>
      <c r="T166" s="63" t="str">
        <f aca="false">IF(ISBLANK($C166),"",IF(G166=Constants!$B$2, TRUE(), IF(G166=Constants!$B$3, FALSE(), TRUE())))</f>
        <v/>
      </c>
      <c r="U166" s="63" t="str">
        <f aca="false">IF(ISBLANK($C166),"",IF(H166=Constants!$B$2, TRUE(), IF(H166=Constants!$B$3, FALSE(), TRUE())))</f>
        <v/>
      </c>
      <c r="V166" s="63" t="str">
        <f aca="false">IF(ISBLANK($C166),"",IF(I166=Constants!$B$2, TRUE(), IF(I166=Constants!$B$3, FALSE(), TRUE())))</f>
        <v/>
      </c>
      <c r="W166" s="63" t="str">
        <f aca="false">IF(ISBLANK($C166),"",IF(J166=Constants!$B$2, TRUE(), IF(J166=Constants!$B$3, FALSE(), TRUE())))</f>
        <v/>
      </c>
      <c r="X166" s="63" t="str">
        <f aca="false">IF(ISBLANK($C166),"",IF(K166=Constants!$B$2, TRUE(), IF(K166=Constants!$B$3, FALSE(), TRUE())))</f>
        <v/>
      </c>
      <c r="Y166" s="65" t="str">
        <f aca="false">IF(ISBLANK($C166),"",IF(ISNUMBER(L166), L166, ""))</f>
        <v/>
      </c>
      <c r="Z166" s="65" t="str">
        <f aca="false">IF(ISBLANK($C166),"",IF(ISNUMBER(M166), M166, ""))</f>
        <v/>
      </c>
      <c r="AA166" s="65" t="str">
        <f aca="false">IF(ISBLANK($C166),"",IF(ISNUMBER(N166), N166, ""))</f>
        <v/>
      </c>
      <c r="AB166" s="66" t="str">
        <f aca="false">IF(ISBLANK($C166),"",IF(ISNUMBER(O166), O166, ""))</f>
        <v/>
      </c>
      <c r="AC166" s="66" t="str">
        <f aca="false">IF(ISBLANK($C166),"",IF(ISNUMBER(P166), P166, Constants!$B$13))</f>
        <v/>
      </c>
      <c r="AD166" s="63" t="str">
        <f aca="false">IF(ISBLANK($C166),"",IF(Q166=Constants!$B$2, TRUE(), IF(Q166=Constants!$B$3, FALSE(), FALSE())))</f>
        <v/>
      </c>
      <c r="AE166" s="63" t="str">
        <f aca="false">IF(ISBLANK(C166), "", IF(AD166, Constants!$B$4,IF(COUNTA(G166:O166)=0, Constants!$B$5, Constants!$B$7)))</f>
        <v/>
      </c>
      <c r="AF166" s="63" t="str">
        <f aca="false">IF(ISBLANK($C166), "",IF($AE166=Constants!$B$7,1,$AE166))</f>
        <v/>
      </c>
      <c r="AG166" s="63" t="str">
        <f aca="false">IF($AE166=Constants!$B$7,IF(V166, 1, Constants!$B$11) * IF(X166, 1, Constants!$B$12),"")</f>
        <v/>
      </c>
      <c r="AH166" s="63" t="str">
        <f aca="false">IF(AND($AE166=Constants!$B$7, T166, U166) ,MAX(0, $AA166-$Y166),"")</f>
        <v/>
      </c>
      <c r="AI166" s="63" t="str">
        <f aca="false">IF(ISERROR(AH166),$AI$6,"")</f>
        <v/>
      </c>
      <c r="AJ166" s="63" t="str">
        <f aca="false">IF($AE166=Constants!$B$7,IF(AND(T166,U166,W166),IF($AH$6=0,Constants!$B$9,Constants!$B$9*AH166/$AH$6), 0),"")</f>
        <v/>
      </c>
      <c r="AK166" s="63" t="str">
        <f aca="false">IF(AJ166&lt;&gt;"", AJ166*AG166,"")</f>
        <v/>
      </c>
      <c r="AL166" s="63" t="str">
        <f aca="false">IF(AND($AE166=Constants!$B$7, T166, U166) ,IF($Z166="", "", MAX(0,1-ABS($AA166-$Z166)/$AA166)),"")</f>
        <v/>
      </c>
      <c r="AM166" s="63" t="str">
        <f aca="false">IF(AND(NOT(ISERROR(AH166)),ISERROR(AL166)),$AM$6,"")</f>
        <v/>
      </c>
      <c r="AN166" s="63" t="str">
        <f aca="false">IF($AE166=Constants!$B$7 ,IF(AND(T166,U166,W166,ISNUMBER(Z166)),IF($AL$6=0,Constants!$B$10,Constants!$B$10*AL166/$AL$6), 0),"")</f>
        <v/>
      </c>
      <c r="AO166" s="63" t="str">
        <f aca="false">IF(AN166&lt;&gt;"", AN166*AG166,"")</f>
        <v/>
      </c>
      <c r="AP166" s="63" t="str">
        <f aca="false">IF($AE166=Constants!$B$7,IF($AP$6=0,Constants!$B$8,Constants!$B$8*AB166/$AP$6),"")</f>
        <v/>
      </c>
      <c r="AQ166" s="63" t="str">
        <f aca="false">IF($AE166&lt;&gt;Constants!$B$7,$AE166,AK166+AO166+AP166)</f>
        <v/>
      </c>
      <c r="AR166" s="63" t="str">
        <f aca="false">IF(ISBLANK($C166),"",IF($AE166=Constants!$B$7,RANK(AQ166,$AQ$8:$AQ$507),$AE166))</f>
        <v/>
      </c>
      <c r="AS166" s="63" t="str">
        <f aca="false">IF(ISBLANK($C166), "",AK166)</f>
        <v/>
      </c>
      <c r="AT166" s="63" t="str">
        <f aca="false">IF(ISBLANK($C166),"",IF($AE166=Constants!$B$7,RANK(AS166,AS$8:AS$507),$AE166))</f>
        <v/>
      </c>
      <c r="AU166" s="63" t="str">
        <f aca="false">IF(ISBLANK($C166), "",AP166)</f>
        <v/>
      </c>
      <c r="AV166" s="63" t="str">
        <f aca="false">IF(ISBLANK($C166),"",IF($AE166=Constants!$B$7,RANK(AU166,AU$8:AU$507),$AE166))</f>
        <v/>
      </c>
      <c r="AW166" s="63" t="str">
        <f aca="false">IF(ISBLANK($C166), "",AC166)</f>
        <v/>
      </c>
      <c r="AX166" s="63" t="str">
        <f aca="false">IF(ISBLANK($C166),"",
IF($AE166=Constants!$B$7,
  COUNTIFS($AR$8:$AR$507,"&lt;"&amp;$AR166)
  + COUNTIFS($AR$8:$AR$507,$AR166,$AT$8:$AT$507,"&lt;"&amp;$AT166)
  + COUNTIFS($AR$8:$AR$507,$AR166,$AT$8:$AT$507,$AT166,$AV$8:$AV$507,"&lt;"&amp;$AV166)
  + COUNTIFS($AR$8:$AR$507,$AR166,$AT$8:$AT$507,$AT166,$AV$8:$AV$507,$AV166,$AW$8:$AW$507,"&lt;"&amp;$AW166)
  + 1,
$AE166))</f>
        <v/>
      </c>
      <c r="AY166" s="63" t="str">
        <f aca="false">IF(ISBLANK(C166),"",IF($AE166=Constants!$B$7, AR166-AX166,$AE166))</f>
        <v/>
      </c>
      <c r="AZ166" s="67"/>
      <c r="BA166" s="81" t="str">
        <f aca="false">IF(ISBLANK($C166),"",TRIM(AI166&amp;" "&amp;AM166))</f>
        <v/>
      </c>
      <c r="BB166" s="69" t="str">
        <f aca="false">IF(ISBLANK($C166),"",IF($AE166&lt;&gt;Constants!$B$7, $AE166 ,AQ166))</f>
        <v/>
      </c>
      <c r="BC166" s="70" t="str">
        <f aca="false">IF(ISBLANK($C166),"",IF($AE166&lt;&gt;Constants!$B$7, $AE166 ,AF166))</f>
        <v/>
      </c>
      <c r="BD166" s="71" t="str">
        <f aca="false">IF(ISBLANK(C166),"",AY166)</f>
        <v/>
      </c>
      <c r="BE166" s="71" t="str">
        <f aca="false">IF(ISBLANK(C166),"",AX166)</f>
        <v/>
      </c>
      <c r="BF166" s="72" t="str">
        <f aca="false">IF(ISBLANK(C166),"",IFERROR(_xlfn.SWITCH(BE166, Constants!$B$4, COUNTA($C$8:$C665)+2, Constants!$B$5, COUNTA($C$8:$C665)+1, Constants!$B$6, COUNTA($C$8:$C665)),BE166))</f>
        <v/>
      </c>
      <c r="BG166" s="5"/>
      <c r="BH166" s="73" t="n">
        <f aca="false">IF(OR(ISNUMBER(BE166),BE166="DQ",BE166="P",BE166="NS"),
    1,
    0
)</f>
        <v>0</v>
      </c>
      <c r="BI166" s="73" t="n">
        <v>159</v>
      </c>
      <c r="BJ166" s="73" t="str">
        <f aca="false">IF(ISBLANK($C166),
    "",
   BF166+ROW($B166)/1000
)</f>
        <v/>
      </c>
      <c r="BK166" s="73" t="str">
        <f aca="false">IF(ISNUMBER(BJ166), RANK(BJ166,BJ$8:BJ$507,1), "")</f>
        <v/>
      </c>
      <c r="BL166" s="73" t="str">
        <f aca="false">IF(ISBLANK($C166),
    "",
    $B166
)</f>
        <v/>
      </c>
      <c r="BM166" s="73" t="str">
        <f aca="false">IF(ISBLANK($C166),
    "",
    $C166
)</f>
        <v/>
      </c>
      <c r="BN166" s="73" t="str">
        <f aca="false">IF(ISBLANK($C166),
    "",
    $D166
)</f>
        <v/>
      </c>
      <c r="BO166" s="74" t="str">
        <f aca="false">BC166</f>
        <v/>
      </c>
      <c r="BP166" s="75" t="str">
        <f aca="false">BB166</f>
        <v/>
      </c>
      <c r="BQ166" s="73" t="str">
        <f aca="false">IF(ISBLANK($C166),
    "",
    BE166
)</f>
        <v/>
      </c>
      <c r="BR166" s="76" t="str">
        <f aca="false">IF(BI166&gt;BH$7,
    "",
    VLOOKUP(BI166,BK$8:BQ665,7,FALSE())
)</f>
        <v/>
      </c>
      <c r="BS166" s="77" t="str">
        <f aca="false">IF(BI166&gt;BH$7,
    "",
    VLOOKUP(BI166,BK$8:BQ665,2,FALSE())
)</f>
        <v/>
      </c>
      <c r="BT166" s="77" t="str">
        <f aca="false">IF(BI166&gt;BH$7,
    "",
    VLOOKUP(BI166,BK$8:BQ665,3,FALSE())
)</f>
        <v/>
      </c>
      <c r="BU166" s="77" t="str">
        <f aca="false">IF(BI166&gt;BH$7,
    "",
    VLOOKUP(BI166,BK$8:BQ665,4,FALSE())
)</f>
        <v/>
      </c>
      <c r="BV166" s="77" t="str">
        <f aca="false">IF(BI166&gt;BH$7,
    "",
    VLOOKUP(BI166,BK$8:BQ665,5,FALSE())
)</f>
        <v/>
      </c>
      <c r="BW166" s="78" t="str">
        <f aca="false">IF(BI166&gt;BH$7,
    "",
    VLOOKUP(BI166,BK$8:BQ665,6,FALSE())
)</f>
        <v/>
      </c>
      <c r="BX166" s="50"/>
    </row>
    <row r="167" customFormat="false" ht="15.75" hidden="false" customHeight="false" outlineLevel="0" collapsed="false">
      <c r="A167" s="5"/>
      <c r="B167" s="122"/>
      <c r="C167" s="123"/>
      <c r="D167" s="112"/>
      <c r="E167" s="116"/>
      <c r="F167" s="116"/>
      <c r="G167" s="88"/>
      <c r="H167" s="89"/>
      <c r="I167" s="125"/>
      <c r="J167" s="125"/>
      <c r="K167" s="125"/>
      <c r="L167" s="91"/>
      <c r="M167" s="91"/>
      <c r="N167" s="91"/>
      <c r="O167" s="92"/>
      <c r="P167" s="93"/>
      <c r="Q167" s="125"/>
      <c r="R167" s="95"/>
      <c r="S167" s="96"/>
      <c r="T167" s="96" t="str">
        <f aca="false">IF(ISBLANK($C167),"",IF(G167=Constants!$B$2, TRUE(), IF(G167=Constants!$B$3, FALSE(), TRUE())))</f>
        <v/>
      </c>
      <c r="U167" s="96" t="str">
        <f aca="false">IF(ISBLANK($C167),"",IF(H167=Constants!$B$2, TRUE(), IF(H167=Constants!$B$3, FALSE(), TRUE())))</f>
        <v/>
      </c>
      <c r="V167" s="96" t="str">
        <f aca="false">IF(ISBLANK($C167),"",IF(I167=Constants!$B$2, TRUE(), IF(I167=Constants!$B$3, FALSE(), TRUE())))</f>
        <v/>
      </c>
      <c r="W167" s="96" t="str">
        <f aca="false">IF(ISBLANK($C167),"",IF(J167=Constants!$B$2, TRUE(), IF(J167=Constants!$B$3, FALSE(), TRUE())))</f>
        <v/>
      </c>
      <c r="X167" s="97" t="str">
        <f aca="false">IF(ISBLANK($C167),"",IF(K167=Constants!$B$2, TRUE(), IF(K167=Constants!$B$3, FALSE(), TRUE())))</f>
        <v/>
      </c>
      <c r="Y167" s="98" t="str">
        <f aca="false">IF(ISBLANK($C167),"",IF(ISNUMBER(L167), L167, ""))</f>
        <v/>
      </c>
      <c r="Z167" s="98" t="str">
        <f aca="false">IF(ISBLANK($C167),"",IF(ISNUMBER(M167), M167, ""))</f>
        <v/>
      </c>
      <c r="AA167" s="98" t="str">
        <f aca="false">IF(ISBLANK($C167),"",IF(ISNUMBER(N167), N167, ""))</f>
        <v/>
      </c>
      <c r="AB167" s="99" t="str">
        <f aca="false">IF(ISBLANK($C167),"",IF(ISNUMBER(O167), O167, ""))</f>
        <v/>
      </c>
      <c r="AC167" s="99" t="str">
        <f aca="false">IF(ISBLANK($C167),"",IF(ISNUMBER(P167), P167, Constants!$B$13))</f>
        <v/>
      </c>
      <c r="AD167" s="96" t="str">
        <f aca="false">IF(ISBLANK($C167),"",IF(Q167=Constants!$B$2, TRUE(), IF(Q167=Constants!$B$3, FALSE(), FALSE())))</f>
        <v/>
      </c>
      <c r="AE167" s="96" t="str">
        <f aca="false">IF(ISBLANK(C167), "", IF(AD167, Constants!$B$4,IF(COUNTA(G167:O167)=0, Constants!$B$5, Constants!$B$7)))</f>
        <v/>
      </c>
      <c r="AF167" s="96" t="str">
        <f aca="false">IF(ISBLANK($C167), "",IF($AE167=Constants!$B$7,1,$AE167))</f>
        <v/>
      </c>
      <c r="AG167" s="96" t="str">
        <f aca="false">IF($AE167=Constants!$B$7,IF(V167, 1, Constants!$B$11) * IF(X167, 1, Constants!$B$12),"")</f>
        <v/>
      </c>
      <c r="AH167" s="96" t="str">
        <f aca="false">IF(AND($AE167=Constants!$B$7, T167, U167) ,MAX(0, $AA167-$Y167),"")</f>
        <v/>
      </c>
      <c r="AI167" s="96" t="str">
        <f aca="false">IF(ISERROR(AH167),$AI$6,"")</f>
        <v/>
      </c>
      <c r="AJ167" s="96" t="str">
        <f aca="false">IF($AE167=Constants!$B$7,IF(AND(T167,U167,W167),IF($AH$6=0,Constants!$B$9,Constants!$B$9*AH167/$AH$6), 0),"")</f>
        <v/>
      </c>
      <c r="AK167" s="96" t="str">
        <f aca="false">IF(AJ167&lt;&gt;"", AJ167*AG167,"")</f>
        <v/>
      </c>
      <c r="AL167" s="96" t="str">
        <f aca="false">IF(AND($AE167=Constants!$B$7, T167, U167) ,IF($Z167="", "", MAX(0,1-ABS($AA167-$Z167)/$AA167)),"")</f>
        <v/>
      </c>
      <c r="AM167" s="96" t="str">
        <f aca="false">IF(AND(NOT(ISERROR(AH167)),ISERROR(AL167)),$AM$6,"")</f>
        <v/>
      </c>
      <c r="AN167" s="96" t="str">
        <f aca="false">IF($AE167=Constants!$B$7 ,IF(AND(T167,U167,W167,ISNUMBER(Z167)),IF($AL$6=0,Constants!$B$10,Constants!$B$10*AL167/$AL$6), 0),"")</f>
        <v/>
      </c>
      <c r="AO167" s="96" t="str">
        <f aca="false">IF(AN167&lt;&gt;"", AN167*AG167,"")</f>
        <v/>
      </c>
      <c r="AP167" s="96" t="str">
        <f aca="false">IF($AE167=Constants!$B$7,IF($AP$6=0,Constants!$B$8,Constants!$B$8*AB167/$AP$6),"")</f>
        <v/>
      </c>
      <c r="AQ167" s="96" t="str">
        <f aca="false">IF($AE167&lt;&gt;Constants!$B$7,$AE167,AK167+AO167+AP167)</f>
        <v/>
      </c>
      <c r="AR167" s="96" t="str">
        <f aca="false">IF(ISBLANK($C167),"",IF($AE167=Constants!$B$7,RANK(AQ167,$AQ$8:$AQ$507),$AE167))</f>
        <v/>
      </c>
      <c r="AS167" s="96" t="str">
        <f aca="false">IF(ISBLANK($C167), "",AK167)</f>
        <v/>
      </c>
      <c r="AT167" s="96" t="str">
        <f aca="false">IF(ISBLANK($C167),"",IF($AE167=Constants!$B$7,RANK(AS167,AS$8:AS$507),$AE167))</f>
        <v/>
      </c>
      <c r="AU167" s="96" t="str">
        <f aca="false">IF(ISBLANK($C167), "",AP167)</f>
        <v/>
      </c>
      <c r="AV167" s="96" t="str">
        <f aca="false">IF(ISBLANK($C167),"",IF($AE167=Constants!$B$7,RANK(AU167,AU$8:AU$507),$AE167))</f>
        <v/>
      </c>
      <c r="AW167" s="96" t="str">
        <f aca="false">IF(ISBLANK($C167), "",AC167)</f>
        <v/>
      </c>
      <c r="AX167" s="96" t="str">
        <f aca="false">IF(ISBLANK($C167),"",
IF($AE167=Constants!$B$7,
  COUNTIFS($AR$8:$AR$507,"&lt;"&amp;$AR167)
  + COUNTIFS($AR$8:$AR$507,$AR167,$AT$8:$AT$507,"&lt;"&amp;$AT167)
  + COUNTIFS($AR$8:$AR$507,$AR167,$AT$8:$AT$507,$AT167,$AV$8:$AV$507,"&lt;"&amp;$AV167)
  + COUNTIFS($AR$8:$AR$507,$AR167,$AT$8:$AT$507,$AT167,$AV$8:$AV$507,$AV167,$AW$8:$AW$507,"&lt;"&amp;$AW167)
  + 1,
$AE167))</f>
        <v/>
      </c>
      <c r="AY167" s="96" t="str">
        <f aca="false">IF(ISBLANK(C167),"",IF($AE167=Constants!$B$7, AR167-AX167,$AE167))</f>
        <v/>
      </c>
      <c r="AZ167" s="100"/>
      <c r="BA167" s="101" t="str">
        <f aca="false">IF(ISBLANK($C167),"",TRIM(AI167&amp;" "&amp;AM167))</f>
        <v/>
      </c>
      <c r="BB167" s="102" t="str">
        <f aca="false">IF(ISBLANK($C167),"",IF($AE167&lt;&gt;Constants!$B$7, $AE167 ,AQ167))</f>
        <v/>
      </c>
      <c r="BC167" s="103" t="str">
        <f aca="false">IF(ISBLANK($C167),"",IF($AE167&lt;&gt;Constants!$B$7, $AE167 ,AF167))</f>
        <v/>
      </c>
      <c r="BD167" s="104" t="str">
        <f aca="false">IF(ISBLANK(C167),"",AY167)</f>
        <v/>
      </c>
      <c r="BE167" s="104" t="str">
        <f aca="false">IF(ISBLANK(C167),"",AX167)</f>
        <v/>
      </c>
      <c r="BF167" s="105" t="str">
        <f aca="false">IF(ISBLANK(C167),"",IFERROR(_xlfn.SWITCH(BE167, Constants!$B$4, COUNTA($C$8:$C666)+2, Constants!$B$5, COUNTA($C$8:$C666)+1, Constants!$B$6, COUNTA($C$8:$C666)),BE167))</f>
        <v/>
      </c>
      <c r="BG167" s="5"/>
      <c r="BH167" s="106" t="n">
        <f aca="false">IF(OR(ISNUMBER(BE167),BE167="DQ",BE167="P",BE167="NS"),
    1,
    0
)</f>
        <v>0</v>
      </c>
      <c r="BI167" s="106" t="n">
        <v>160</v>
      </c>
      <c r="BJ167" s="106" t="str">
        <f aca="false">IF(ISBLANK($C167),
    "",
   BF167+ROW($B167)/1000
)</f>
        <v/>
      </c>
      <c r="BK167" s="106" t="str">
        <f aca="false">IF(ISNUMBER(BJ167), RANK(BJ167,BJ$8:BJ$507,1), "")</f>
        <v/>
      </c>
      <c r="BL167" s="106" t="str">
        <f aca="false">IF(ISBLANK($C167),
    "",
    $B167
)</f>
        <v/>
      </c>
      <c r="BM167" s="106" t="str">
        <f aca="false">IF(ISBLANK($C167),
    "",
    $C167
)</f>
        <v/>
      </c>
      <c r="BN167" s="106" t="str">
        <f aca="false">IF(ISBLANK($C167),
    "",
    $D167
)</f>
        <v/>
      </c>
      <c r="BO167" s="107" t="str">
        <f aca="false">BC167</f>
        <v/>
      </c>
      <c r="BP167" s="108" t="str">
        <f aca="false">BB167</f>
        <v/>
      </c>
      <c r="BQ167" s="106" t="str">
        <f aca="false">IF(ISBLANK($C167),
    "",
    BE167
)</f>
        <v/>
      </c>
      <c r="BR167" s="109" t="str">
        <f aca="false">IF(BI167&gt;BH$7,
    "",
    VLOOKUP(BI167,BK$8:BQ666,7,FALSE())
)</f>
        <v/>
      </c>
      <c r="BS167" s="110" t="str">
        <f aca="false">IF(BI167&gt;BH$7,
    "",
    VLOOKUP(BI167,BK$8:BQ666,2,FALSE())
)</f>
        <v/>
      </c>
      <c r="BT167" s="110" t="str">
        <f aca="false">IF(BI167&gt;BH$7,
    "",
    VLOOKUP(BI167,BK$8:BQ666,3,FALSE())
)</f>
        <v/>
      </c>
      <c r="BU167" s="110" t="str">
        <f aca="false">IF(BI167&gt;BH$7,
    "",
    VLOOKUP(BI167,BK$8:BQ666,4,FALSE())
)</f>
        <v/>
      </c>
      <c r="BV167" s="110" t="str">
        <f aca="false">IF(BI167&gt;BH$7,
    "",
    VLOOKUP(BI167,BK$8:BQ666,5,FALSE())
)</f>
        <v/>
      </c>
      <c r="BW167" s="111" t="str">
        <f aca="false">IF(BI167&gt;BH$7,
    "",
    VLOOKUP(BI167,BK$8:BQ666,6,FALSE())
)</f>
        <v/>
      </c>
      <c r="BX167" s="50"/>
    </row>
    <row r="168" customFormat="false" ht="15.75" hidden="false" customHeight="false" outlineLevel="0" collapsed="false">
      <c r="A168" s="5"/>
      <c r="B168" s="122"/>
      <c r="C168" s="123"/>
      <c r="D168" s="112"/>
      <c r="E168" s="116"/>
      <c r="F168" s="116"/>
      <c r="G168" s="88"/>
      <c r="H168" s="89"/>
      <c r="I168" s="125"/>
      <c r="J168" s="125"/>
      <c r="K168" s="125"/>
      <c r="L168" s="91"/>
      <c r="M168" s="91"/>
      <c r="N168" s="91"/>
      <c r="O168" s="92"/>
      <c r="P168" s="93"/>
      <c r="Q168" s="125"/>
      <c r="R168" s="95"/>
      <c r="S168" s="96"/>
      <c r="T168" s="96" t="str">
        <f aca="false">IF(ISBLANK($C168),"",IF(G168=Constants!$B$2, TRUE(), IF(G168=Constants!$B$3, FALSE(), TRUE())))</f>
        <v/>
      </c>
      <c r="U168" s="96" t="str">
        <f aca="false">IF(ISBLANK($C168),"",IF(H168=Constants!$B$2, TRUE(), IF(H168=Constants!$B$3, FALSE(), TRUE())))</f>
        <v/>
      </c>
      <c r="V168" s="96" t="str">
        <f aca="false">IF(ISBLANK($C168),"",IF(I168=Constants!$B$2, TRUE(), IF(I168=Constants!$B$3, FALSE(), TRUE())))</f>
        <v/>
      </c>
      <c r="W168" s="96" t="str">
        <f aca="false">IF(ISBLANK($C168),"",IF(J168=Constants!$B$2, TRUE(), IF(J168=Constants!$B$3, FALSE(), TRUE())))</f>
        <v/>
      </c>
      <c r="X168" s="97" t="str">
        <f aca="false">IF(ISBLANK($C168),"",IF(K168=Constants!$B$2, TRUE(), IF(K168=Constants!$B$3, FALSE(), TRUE())))</f>
        <v/>
      </c>
      <c r="Y168" s="98" t="str">
        <f aca="false">IF(ISBLANK($C168),"",IF(ISNUMBER(L168), L168, ""))</f>
        <v/>
      </c>
      <c r="Z168" s="98" t="str">
        <f aca="false">IF(ISBLANK($C168),"",IF(ISNUMBER(M168), M168, ""))</f>
        <v/>
      </c>
      <c r="AA168" s="98" t="str">
        <f aca="false">IF(ISBLANK($C168),"",IF(ISNUMBER(N168), N168, ""))</f>
        <v/>
      </c>
      <c r="AB168" s="99" t="str">
        <f aca="false">IF(ISBLANK($C168),"",IF(ISNUMBER(O168), O168, ""))</f>
        <v/>
      </c>
      <c r="AC168" s="99" t="str">
        <f aca="false">IF(ISBLANK($C168),"",IF(ISNUMBER(P168), P168, Constants!$B$13))</f>
        <v/>
      </c>
      <c r="AD168" s="96" t="str">
        <f aca="false">IF(ISBLANK($C168),"",IF(Q168=Constants!$B$2, TRUE(), IF(Q168=Constants!$B$3, FALSE(), FALSE())))</f>
        <v/>
      </c>
      <c r="AE168" s="96" t="str">
        <f aca="false">IF(ISBLANK(C168), "", IF(AD168, Constants!$B$4,IF(COUNTA(G168:O168)=0, Constants!$B$5, Constants!$B$7)))</f>
        <v/>
      </c>
      <c r="AF168" s="96" t="str">
        <f aca="false">IF(ISBLANK($C168), "",IF($AE168=Constants!$B$7,1,$AE168))</f>
        <v/>
      </c>
      <c r="AG168" s="96" t="str">
        <f aca="false">IF($AE168=Constants!$B$7,IF(V168, 1, Constants!$B$11) * IF(X168, 1, Constants!$B$12),"")</f>
        <v/>
      </c>
      <c r="AH168" s="96" t="str">
        <f aca="false">IF(AND($AE168=Constants!$B$7, T168, U168) ,MAX(0, $AA168-$Y168),"")</f>
        <v/>
      </c>
      <c r="AI168" s="96" t="str">
        <f aca="false">IF(ISERROR(AH168),$AI$6,"")</f>
        <v/>
      </c>
      <c r="AJ168" s="96" t="str">
        <f aca="false">IF($AE168=Constants!$B$7,IF(AND(T168,U168,W168),IF($AH$6=0,Constants!$B$9,Constants!$B$9*AH168/$AH$6), 0),"")</f>
        <v/>
      </c>
      <c r="AK168" s="96" t="str">
        <f aca="false">IF(AJ168&lt;&gt;"", AJ168*AG168,"")</f>
        <v/>
      </c>
      <c r="AL168" s="96" t="str">
        <f aca="false">IF(AND($AE168=Constants!$B$7, T168, U168) ,IF($Z168="", "", MAX(0,1-ABS($AA168-$Z168)/$AA168)),"")</f>
        <v/>
      </c>
      <c r="AM168" s="96" t="str">
        <f aca="false">IF(AND(NOT(ISERROR(AH168)),ISERROR(AL168)),$AM$6,"")</f>
        <v/>
      </c>
      <c r="AN168" s="96" t="str">
        <f aca="false">IF($AE168=Constants!$B$7 ,IF(AND(T168,U168,W168,ISNUMBER(Z168)),IF($AL$6=0,Constants!$B$10,Constants!$B$10*AL168/$AL$6), 0),"")</f>
        <v/>
      </c>
      <c r="AO168" s="96" t="str">
        <f aca="false">IF(AN168&lt;&gt;"", AN168*AG168,"")</f>
        <v/>
      </c>
      <c r="AP168" s="96" t="str">
        <f aca="false">IF($AE168=Constants!$B$7,IF($AP$6=0,Constants!$B$8,Constants!$B$8*AB168/$AP$6),"")</f>
        <v/>
      </c>
      <c r="AQ168" s="96" t="str">
        <f aca="false">IF($AE168&lt;&gt;Constants!$B$7,$AE168,AK168+AO168+AP168)</f>
        <v/>
      </c>
      <c r="AR168" s="96" t="str">
        <f aca="false">IF(ISBLANK($C168),"",IF($AE168=Constants!$B$7,RANK(AQ168,$AQ$8:$AQ$507),$AE168))</f>
        <v/>
      </c>
      <c r="AS168" s="96" t="str">
        <f aca="false">IF(ISBLANK($C168), "",AK168)</f>
        <v/>
      </c>
      <c r="AT168" s="96" t="str">
        <f aca="false">IF(ISBLANK($C168),"",IF($AE168=Constants!$B$7,RANK(AS168,AS$8:AS$507),$AE168))</f>
        <v/>
      </c>
      <c r="AU168" s="96" t="str">
        <f aca="false">IF(ISBLANK($C168), "",AP168)</f>
        <v/>
      </c>
      <c r="AV168" s="96" t="str">
        <f aca="false">IF(ISBLANK($C168),"",IF($AE168=Constants!$B$7,RANK(AU168,AU$8:AU$507),$AE168))</f>
        <v/>
      </c>
      <c r="AW168" s="96" t="str">
        <f aca="false">IF(ISBLANK($C168), "",AC168)</f>
        <v/>
      </c>
      <c r="AX168" s="96" t="str">
        <f aca="false">IF(ISBLANK($C168),"",
IF($AE168=Constants!$B$7,
  COUNTIFS($AR$8:$AR$507,"&lt;"&amp;$AR168)
  + COUNTIFS($AR$8:$AR$507,$AR168,$AT$8:$AT$507,"&lt;"&amp;$AT168)
  + COUNTIFS($AR$8:$AR$507,$AR168,$AT$8:$AT$507,$AT168,$AV$8:$AV$507,"&lt;"&amp;$AV168)
  + COUNTIFS($AR$8:$AR$507,$AR168,$AT$8:$AT$507,$AT168,$AV$8:$AV$507,$AV168,$AW$8:$AW$507,"&lt;"&amp;$AW168)
  + 1,
$AE168))</f>
        <v/>
      </c>
      <c r="AY168" s="96" t="str">
        <f aca="false">IF(ISBLANK(C168),"",IF($AE168=Constants!$B$7, AR168-AX168,$AE168))</f>
        <v/>
      </c>
      <c r="AZ168" s="100"/>
      <c r="BA168" s="101" t="str">
        <f aca="false">IF(ISBLANK($C168),"",TRIM(AI168&amp;" "&amp;AM168))</f>
        <v/>
      </c>
      <c r="BB168" s="102" t="str">
        <f aca="false">IF(ISBLANK($C168),"",IF($AE168&lt;&gt;Constants!$B$7, $AE168 ,AQ168))</f>
        <v/>
      </c>
      <c r="BC168" s="103" t="str">
        <f aca="false">IF(ISBLANK($C168),"",IF($AE168&lt;&gt;Constants!$B$7, $AE168 ,AF168))</f>
        <v/>
      </c>
      <c r="BD168" s="104" t="str">
        <f aca="false">IF(ISBLANK(C168),"",AY168)</f>
        <v/>
      </c>
      <c r="BE168" s="104" t="str">
        <f aca="false">IF(ISBLANK(C168),"",AX168)</f>
        <v/>
      </c>
      <c r="BF168" s="105" t="str">
        <f aca="false">IF(ISBLANK(C168),"",IFERROR(_xlfn.SWITCH(BE168, Constants!$B$4, COUNTA($C$8:$C667)+2, Constants!$B$5, COUNTA($C$8:$C667)+1, Constants!$B$6, COUNTA($C$8:$C667)),BE168))</f>
        <v/>
      </c>
      <c r="BG168" s="5"/>
      <c r="BH168" s="106" t="n">
        <f aca="false">IF(OR(ISNUMBER(BE168),BE168="DQ",BE168="P",BE168="NS"),
    1,
    0
)</f>
        <v>0</v>
      </c>
      <c r="BI168" s="106" t="n">
        <v>161</v>
      </c>
      <c r="BJ168" s="106" t="str">
        <f aca="false">IF(ISBLANK($C168),
    "",
   BF168+ROW($B168)/1000
)</f>
        <v/>
      </c>
      <c r="BK168" s="106" t="str">
        <f aca="false">IF(ISNUMBER(BJ168), RANK(BJ168,BJ$8:BJ$507,1), "")</f>
        <v/>
      </c>
      <c r="BL168" s="106" t="str">
        <f aca="false">IF(ISBLANK($C168),
    "",
    $B168
)</f>
        <v/>
      </c>
      <c r="BM168" s="106" t="str">
        <f aca="false">IF(ISBLANK($C168),
    "",
    $C168
)</f>
        <v/>
      </c>
      <c r="BN168" s="106" t="str">
        <f aca="false">IF(ISBLANK($C168),
    "",
    $D168
)</f>
        <v/>
      </c>
      <c r="BO168" s="107" t="str">
        <f aca="false">BC168</f>
        <v/>
      </c>
      <c r="BP168" s="108" t="str">
        <f aca="false">BB168</f>
        <v/>
      </c>
      <c r="BQ168" s="106" t="str">
        <f aca="false">IF(ISBLANK($C168),
    "",
    BE168
)</f>
        <v/>
      </c>
      <c r="BR168" s="109" t="str">
        <f aca="false">IF(BI168&gt;BH$7,
    "",
    VLOOKUP(BI168,BK$8:BQ667,7,FALSE())
)</f>
        <v/>
      </c>
      <c r="BS168" s="110" t="str">
        <f aca="false">IF(BI168&gt;BH$7,
    "",
    VLOOKUP(BI168,BK$8:BQ667,2,FALSE())
)</f>
        <v/>
      </c>
      <c r="BT168" s="110" t="str">
        <f aca="false">IF(BI168&gt;BH$7,
    "",
    VLOOKUP(BI168,BK$8:BQ667,3,FALSE())
)</f>
        <v/>
      </c>
      <c r="BU168" s="110" t="str">
        <f aca="false">IF(BI168&gt;BH$7,
    "",
    VLOOKUP(BI168,BK$8:BQ667,4,FALSE())
)</f>
        <v/>
      </c>
      <c r="BV168" s="110" t="str">
        <f aca="false">IF(BI168&gt;BH$7,
    "",
    VLOOKUP(BI168,BK$8:BQ667,5,FALSE())
)</f>
        <v/>
      </c>
      <c r="BW168" s="111" t="str">
        <f aca="false">IF(BI168&gt;BH$7,
    "",
    VLOOKUP(BI168,BK$8:BQ667,6,FALSE())
)</f>
        <v/>
      </c>
      <c r="BX168" s="50"/>
    </row>
    <row r="169" customFormat="false" ht="15.75" hidden="false" customHeight="false" outlineLevel="0" collapsed="false">
      <c r="A169" s="5"/>
      <c r="B169" s="122"/>
      <c r="C169" s="123"/>
      <c r="D169" s="112"/>
      <c r="E169" s="116"/>
      <c r="F169" s="116"/>
      <c r="G169" s="88"/>
      <c r="H169" s="89"/>
      <c r="I169" s="125"/>
      <c r="J169" s="125"/>
      <c r="K169" s="125"/>
      <c r="L169" s="91"/>
      <c r="M169" s="91"/>
      <c r="N169" s="91"/>
      <c r="O169" s="92"/>
      <c r="P169" s="93"/>
      <c r="Q169" s="125"/>
      <c r="R169" s="95"/>
      <c r="S169" s="96"/>
      <c r="T169" s="96" t="str">
        <f aca="false">IF(ISBLANK($C169),"",IF(G169=Constants!$B$2, TRUE(), IF(G169=Constants!$B$3, FALSE(), TRUE())))</f>
        <v/>
      </c>
      <c r="U169" s="96" t="str">
        <f aca="false">IF(ISBLANK($C169),"",IF(H169=Constants!$B$2, TRUE(), IF(H169=Constants!$B$3, FALSE(), TRUE())))</f>
        <v/>
      </c>
      <c r="V169" s="96" t="str">
        <f aca="false">IF(ISBLANK($C169),"",IF(I169=Constants!$B$2, TRUE(), IF(I169=Constants!$B$3, FALSE(), TRUE())))</f>
        <v/>
      </c>
      <c r="W169" s="96" t="str">
        <f aca="false">IF(ISBLANK($C169),"",IF(J169=Constants!$B$2, TRUE(), IF(J169=Constants!$B$3, FALSE(), TRUE())))</f>
        <v/>
      </c>
      <c r="X169" s="97" t="str">
        <f aca="false">IF(ISBLANK($C169),"",IF(K169=Constants!$B$2, TRUE(), IF(K169=Constants!$B$3, FALSE(), TRUE())))</f>
        <v/>
      </c>
      <c r="Y169" s="98" t="str">
        <f aca="false">IF(ISBLANK($C169),"",IF(ISNUMBER(L169), L169, ""))</f>
        <v/>
      </c>
      <c r="Z169" s="98" t="str">
        <f aca="false">IF(ISBLANK($C169),"",IF(ISNUMBER(M169), M169, ""))</f>
        <v/>
      </c>
      <c r="AA169" s="98" t="str">
        <f aca="false">IF(ISBLANK($C169),"",IF(ISNUMBER(N169), N169, ""))</f>
        <v/>
      </c>
      <c r="AB169" s="99" t="str">
        <f aca="false">IF(ISBLANK($C169),"",IF(ISNUMBER(O169), O169, ""))</f>
        <v/>
      </c>
      <c r="AC169" s="99" t="str">
        <f aca="false">IF(ISBLANK($C169),"",IF(ISNUMBER(P169), P169, Constants!$B$13))</f>
        <v/>
      </c>
      <c r="AD169" s="96" t="str">
        <f aca="false">IF(ISBLANK($C169),"",IF(Q169=Constants!$B$2, TRUE(), IF(Q169=Constants!$B$3, FALSE(), FALSE())))</f>
        <v/>
      </c>
      <c r="AE169" s="96" t="str">
        <f aca="false">IF(ISBLANK(C169), "", IF(AD169, Constants!$B$4,IF(COUNTA(G169:O169)=0, Constants!$B$5, Constants!$B$7)))</f>
        <v/>
      </c>
      <c r="AF169" s="96" t="str">
        <f aca="false">IF(ISBLANK($C169), "",IF($AE169=Constants!$B$7,1,$AE169))</f>
        <v/>
      </c>
      <c r="AG169" s="96" t="str">
        <f aca="false">IF($AE169=Constants!$B$7,IF(V169, 1, Constants!$B$11) * IF(X169, 1, Constants!$B$12),"")</f>
        <v/>
      </c>
      <c r="AH169" s="96" t="str">
        <f aca="false">IF(AND($AE169=Constants!$B$7, T169, U169) ,MAX(0, $AA169-$Y169),"")</f>
        <v/>
      </c>
      <c r="AI169" s="96" t="str">
        <f aca="false">IF(ISERROR(AH169),$AI$6,"")</f>
        <v/>
      </c>
      <c r="AJ169" s="96" t="str">
        <f aca="false">IF($AE169=Constants!$B$7,IF(AND(T169,U169,W169),IF($AH$6=0,Constants!$B$9,Constants!$B$9*AH169/$AH$6), 0),"")</f>
        <v/>
      </c>
      <c r="AK169" s="96" t="str">
        <f aca="false">IF(AJ169&lt;&gt;"", AJ169*AG169,"")</f>
        <v/>
      </c>
      <c r="AL169" s="96" t="str">
        <f aca="false">IF(AND($AE169=Constants!$B$7, T169, U169) ,IF($Z169="", "", MAX(0,1-ABS($AA169-$Z169)/$AA169)),"")</f>
        <v/>
      </c>
      <c r="AM169" s="96" t="str">
        <f aca="false">IF(AND(NOT(ISERROR(AH169)),ISERROR(AL169)),$AM$6,"")</f>
        <v/>
      </c>
      <c r="AN169" s="96" t="str">
        <f aca="false">IF($AE169=Constants!$B$7 ,IF(AND(T169,U169,W169,ISNUMBER(Z169)),IF($AL$6=0,Constants!$B$10,Constants!$B$10*AL169/$AL$6), 0),"")</f>
        <v/>
      </c>
      <c r="AO169" s="96" t="str">
        <f aca="false">IF(AN169&lt;&gt;"", AN169*AG169,"")</f>
        <v/>
      </c>
      <c r="AP169" s="96" t="str">
        <f aca="false">IF($AE169=Constants!$B$7,IF($AP$6=0,Constants!$B$8,Constants!$B$8*AB169/$AP$6),"")</f>
        <v/>
      </c>
      <c r="AQ169" s="96" t="str">
        <f aca="false">IF($AE169&lt;&gt;Constants!$B$7,$AE169,AK169+AO169+AP169)</f>
        <v/>
      </c>
      <c r="AR169" s="96" t="str">
        <f aca="false">IF(ISBLANK($C169),"",IF($AE169=Constants!$B$7,RANK(AQ169,$AQ$8:$AQ$507),$AE169))</f>
        <v/>
      </c>
      <c r="AS169" s="96" t="str">
        <f aca="false">IF(ISBLANK($C169), "",AK169)</f>
        <v/>
      </c>
      <c r="AT169" s="96" t="str">
        <f aca="false">IF(ISBLANK($C169),"",IF($AE169=Constants!$B$7,RANK(AS169,AS$8:AS$507),$AE169))</f>
        <v/>
      </c>
      <c r="AU169" s="96" t="str">
        <f aca="false">IF(ISBLANK($C169), "",AP169)</f>
        <v/>
      </c>
      <c r="AV169" s="96" t="str">
        <f aca="false">IF(ISBLANK($C169),"",IF($AE169=Constants!$B$7,RANK(AU169,AU$8:AU$507),$AE169))</f>
        <v/>
      </c>
      <c r="AW169" s="96" t="str">
        <f aca="false">IF(ISBLANK($C169), "",AC169)</f>
        <v/>
      </c>
      <c r="AX169" s="96" t="str">
        <f aca="false">IF(ISBLANK($C169),"",
IF($AE169=Constants!$B$7,
  COUNTIFS($AR$8:$AR$507,"&lt;"&amp;$AR169)
  + COUNTIFS($AR$8:$AR$507,$AR169,$AT$8:$AT$507,"&lt;"&amp;$AT169)
  + COUNTIFS($AR$8:$AR$507,$AR169,$AT$8:$AT$507,$AT169,$AV$8:$AV$507,"&lt;"&amp;$AV169)
  + COUNTIFS($AR$8:$AR$507,$AR169,$AT$8:$AT$507,$AT169,$AV$8:$AV$507,$AV169,$AW$8:$AW$507,"&lt;"&amp;$AW169)
  + 1,
$AE169))</f>
        <v/>
      </c>
      <c r="AY169" s="96" t="str">
        <f aca="false">IF(ISBLANK(C169),"",IF($AE169=Constants!$B$7, AR169-AX169,$AE169))</f>
        <v/>
      </c>
      <c r="AZ169" s="100"/>
      <c r="BA169" s="101" t="str">
        <f aca="false">IF(ISBLANK($C169),"",TRIM(AI169&amp;" "&amp;AM169))</f>
        <v/>
      </c>
      <c r="BB169" s="102" t="str">
        <f aca="false">IF(ISBLANK($C169),"",IF($AE169&lt;&gt;Constants!$B$7, $AE169 ,AQ169))</f>
        <v/>
      </c>
      <c r="BC169" s="103" t="str">
        <f aca="false">IF(ISBLANK($C169),"",IF($AE169&lt;&gt;Constants!$B$7, $AE169 ,AF169))</f>
        <v/>
      </c>
      <c r="BD169" s="104" t="str">
        <f aca="false">IF(ISBLANK(C169),"",AY169)</f>
        <v/>
      </c>
      <c r="BE169" s="104" t="str">
        <f aca="false">IF(ISBLANK(C169),"",AX169)</f>
        <v/>
      </c>
      <c r="BF169" s="105" t="str">
        <f aca="false">IF(ISBLANK(C169),"",IFERROR(_xlfn.SWITCH(BE169, Constants!$B$4, COUNTA($C$8:$C668)+2, Constants!$B$5, COUNTA($C$8:$C668)+1, Constants!$B$6, COUNTA($C$8:$C668)),BE169))</f>
        <v/>
      </c>
      <c r="BG169" s="5"/>
      <c r="BH169" s="106" t="n">
        <f aca="false">IF(OR(ISNUMBER(BE169),BE169="DQ",BE169="P",BE169="NS"),
    1,
    0
)</f>
        <v>0</v>
      </c>
      <c r="BI169" s="106" t="n">
        <v>162</v>
      </c>
      <c r="BJ169" s="106" t="str">
        <f aca="false">IF(ISBLANK($C169),
    "",
   BF169+ROW($B169)/1000
)</f>
        <v/>
      </c>
      <c r="BK169" s="106" t="str">
        <f aca="false">IF(ISNUMBER(BJ169), RANK(BJ169,BJ$8:BJ$507,1), "")</f>
        <v/>
      </c>
      <c r="BL169" s="106" t="str">
        <f aca="false">IF(ISBLANK($C169),
    "",
    $B169
)</f>
        <v/>
      </c>
      <c r="BM169" s="106" t="str">
        <f aca="false">IF(ISBLANK($C169),
    "",
    $C169
)</f>
        <v/>
      </c>
      <c r="BN169" s="106" t="str">
        <f aca="false">IF(ISBLANK($C169),
    "",
    $D169
)</f>
        <v/>
      </c>
      <c r="BO169" s="107" t="str">
        <f aca="false">BC169</f>
        <v/>
      </c>
      <c r="BP169" s="108" t="str">
        <f aca="false">BB169</f>
        <v/>
      </c>
      <c r="BQ169" s="106" t="str">
        <f aca="false">IF(ISBLANK($C169),
    "",
    BE169
)</f>
        <v/>
      </c>
      <c r="BR169" s="109" t="str">
        <f aca="false">IF(BI169&gt;BH$7,
    "",
    VLOOKUP(BI169,BK$8:BQ668,7,FALSE())
)</f>
        <v/>
      </c>
      <c r="BS169" s="110" t="str">
        <f aca="false">IF(BI169&gt;BH$7,
    "",
    VLOOKUP(BI169,BK$8:BQ668,2,FALSE())
)</f>
        <v/>
      </c>
      <c r="BT169" s="110" t="str">
        <f aca="false">IF(BI169&gt;BH$7,
    "",
    VLOOKUP(BI169,BK$8:BQ668,3,FALSE())
)</f>
        <v/>
      </c>
      <c r="BU169" s="110" t="str">
        <f aca="false">IF(BI169&gt;BH$7,
    "",
    VLOOKUP(BI169,BK$8:BQ668,4,FALSE())
)</f>
        <v/>
      </c>
      <c r="BV169" s="110" t="str">
        <f aca="false">IF(BI169&gt;BH$7,
    "",
    VLOOKUP(BI169,BK$8:BQ668,5,FALSE())
)</f>
        <v/>
      </c>
      <c r="BW169" s="111" t="str">
        <f aca="false">IF(BI169&gt;BH$7,
    "",
    VLOOKUP(BI169,BK$8:BQ668,6,FALSE())
)</f>
        <v/>
      </c>
      <c r="BX169" s="50"/>
    </row>
    <row r="170" customFormat="false" ht="15.75" hidden="false" customHeight="false" outlineLevel="0" collapsed="false">
      <c r="A170" s="5"/>
      <c r="B170" s="126"/>
      <c r="C170" s="52"/>
      <c r="D170" s="53"/>
      <c r="E170" s="120"/>
      <c r="F170" s="120"/>
      <c r="G170" s="55"/>
      <c r="H170" s="56"/>
      <c r="I170" s="80"/>
      <c r="J170" s="80"/>
      <c r="K170" s="80"/>
      <c r="L170" s="58"/>
      <c r="M170" s="58"/>
      <c r="N170" s="58"/>
      <c r="O170" s="59"/>
      <c r="P170" s="60"/>
      <c r="Q170" s="80"/>
      <c r="R170" s="62"/>
      <c r="S170" s="63"/>
      <c r="T170" s="63" t="str">
        <f aca="false">IF(ISBLANK($C170),"",IF(G170=Constants!$B$2, TRUE(), IF(G170=Constants!$B$3, FALSE(), TRUE())))</f>
        <v/>
      </c>
      <c r="U170" s="63" t="str">
        <f aca="false">IF(ISBLANK($C170),"",IF(H170=Constants!$B$2, TRUE(), IF(H170=Constants!$B$3, FALSE(), TRUE())))</f>
        <v/>
      </c>
      <c r="V170" s="63" t="str">
        <f aca="false">IF(ISBLANK($C170),"",IF(I170=Constants!$B$2, TRUE(), IF(I170=Constants!$B$3, FALSE(), TRUE())))</f>
        <v/>
      </c>
      <c r="W170" s="63" t="str">
        <f aca="false">IF(ISBLANK($C170),"",IF(J170=Constants!$B$2, TRUE(), IF(J170=Constants!$B$3, FALSE(), TRUE())))</f>
        <v/>
      </c>
      <c r="X170" s="63" t="str">
        <f aca="false">IF(ISBLANK($C170),"",IF(K170=Constants!$B$2, TRUE(), IF(K170=Constants!$B$3, FALSE(), TRUE())))</f>
        <v/>
      </c>
      <c r="Y170" s="65" t="str">
        <f aca="false">IF(ISBLANK($C170),"",IF(ISNUMBER(L170), L170, ""))</f>
        <v/>
      </c>
      <c r="Z170" s="65" t="str">
        <f aca="false">IF(ISBLANK($C170),"",IF(ISNUMBER(M170), M170, ""))</f>
        <v/>
      </c>
      <c r="AA170" s="65" t="str">
        <f aca="false">IF(ISBLANK($C170),"",IF(ISNUMBER(N170), N170, ""))</f>
        <v/>
      </c>
      <c r="AB170" s="66" t="str">
        <f aca="false">IF(ISBLANK($C170),"",IF(ISNUMBER(O170), O170, ""))</f>
        <v/>
      </c>
      <c r="AC170" s="66" t="str">
        <f aca="false">IF(ISBLANK($C170),"",IF(ISNUMBER(P170), P170, Constants!$B$13))</f>
        <v/>
      </c>
      <c r="AD170" s="63" t="str">
        <f aca="false">IF(ISBLANK($C170),"",IF(Q170=Constants!$B$2, TRUE(), IF(Q170=Constants!$B$3, FALSE(), FALSE())))</f>
        <v/>
      </c>
      <c r="AE170" s="63" t="str">
        <f aca="false">IF(ISBLANK(C170), "", IF(AD170, Constants!$B$4,IF(COUNTA(G170:O170)=0, Constants!$B$5, Constants!$B$7)))</f>
        <v/>
      </c>
      <c r="AF170" s="63" t="str">
        <f aca="false">IF(ISBLANK($C170), "",IF($AE170=Constants!$B$7,1,$AE170))</f>
        <v/>
      </c>
      <c r="AG170" s="63" t="str">
        <f aca="false">IF($AE170=Constants!$B$7,IF(V170, 1, Constants!$B$11) * IF(X170, 1, Constants!$B$12),"")</f>
        <v/>
      </c>
      <c r="AH170" s="63" t="str">
        <f aca="false">IF(AND($AE170=Constants!$B$7, T170, U170) ,MAX(0, $AA170-$Y170),"")</f>
        <v/>
      </c>
      <c r="AI170" s="63" t="str">
        <f aca="false">IF(ISERROR(AH170),$AI$6,"")</f>
        <v/>
      </c>
      <c r="AJ170" s="63" t="str">
        <f aca="false">IF($AE170=Constants!$B$7,IF(AND(T170,U170,W170),IF($AH$6=0,Constants!$B$9,Constants!$B$9*AH170/$AH$6), 0),"")</f>
        <v/>
      </c>
      <c r="AK170" s="63" t="str">
        <f aca="false">IF(AJ170&lt;&gt;"", AJ170*AG170,"")</f>
        <v/>
      </c>
      <c r="AL170" s="63" t="str">
        <f aca="false">IF(AND($AE170=Constants!$B$7, T170, U170) ,IF($Z170="", "", MAX(0,1-ABS($AA170-$Z170)/$AA170)),"")</f>
        <v/>
      </c>
      <c r="AM170" s="63" t="str">
        <f aca="false">IF(AND(NOT(ISERROR(AH170)),ISERROR(AL170)),$AM$6,"")</f>
        <v/>
      </c>
      <c r="AN170" s="63" t="str">
        <f aca="false">IF($AE170=Constants!$B$7 ,IF(AND(T170,U170,W170,ISNUMBER(Z170)),IF($AL$6=0,Constants!$B$10,Constants!$B$10*AL170/$AL$6), 0),"")</f>
        <v/>
      </c>
      <c r="AO170" s="63" t="str">
        <f aca="false">IF(AN170&lt;&gt;"", AN170*AG170,"")</f>
        <v/>
      </c>
      <c r="AP170" s="63" t="str">
        <f aca="false">IF($AE170=Constants!$B$7,IF($AP$6=0,Constants!$B$8,Constants!$B$8*AB170/$AP$6),"")</f>
        <v/>
      </c>
      <c r="AQ170" s="63" t="str">
        <f aca="false">IF($AE170&lt;&gt;Constants!$B$7,$AE170,AK170+AO170+AP170)</f>
        <v/>
      </c>
      <c r="AR170" s="63" t="str">
        <f aca="false">IF(ISBLANK($C170),"",IF($AE170=Constants!$B$7,RANK(AQ170,$AQ$8:$AQ$507),$AE170))</f>
        <v/>
      </c>
      <c r="AS170" s="63" t="str">
        <f aca="false">IF(ISBLANK($C170), "",AK170)</f>
        <v/>
      </c>
      <c r="AT170" s="63" t="str">
        <f aca="false">IF(ISBLANK($C170),"",IF($AE170=Constants!$B$7,RANK(AS170,AS$8:AS$507),$AE170))</f>
        <v/>
      </c>
      <c r="AU170" s="63" t="str">
        <f aca="false">IF(ISBLANK($C170), "",AP170)</f>
        <v/>
      </c>
      <c r="AV170" s="63" t="str">
        <f aca="false">IF(ISBLANK($C170),"",IF($AE170=Constants!$B$7,RANK(AU170,AU$8:AU$507),$AE170))</f>
        <v/>
      </c>
      <c r="AW170" s="63" t="str">
        <f aca="false">IF(ISBLANK($C170), "",AC170)</f>
        <v/>
      </c>
      <c r="AX170" s="63" t="str">
        <f aca="false">IF(ISBLANK($C170),"",
IF($AE170=Constants!$B$7,
  COUNTIFS($AR$8:$AR$507,"&lt;"&amp;$AR170)
  + COUNTIFS($AR$8:$AR$507,$AR170,$AT$8:$AT$507,"&lt;"&amp;$AT170)
  + COUNTIFS($AR$8:$AR$507,$AR170,$AT$8:$AT$507,$AT170,$AV$8:$AV$507,"&lt;"&amp;$AV170)
  + COUNTIFS($AR$8:$AR$507,$AR170,$AT$8:$AT$507,$AT170,$AV$8:$AV$507,$AV170,$AW$8:$AW$507,"&lt;"&amp;$AW170)
  + 1,
$AE170))</f>
        <v/>
      </c>
      <c r="AY170" s="63" t="str">
        <f aca="false">IF(ISBLANK(C170),"",IF($AE170=Constants!$B$7, AR170-AX170,$AE170))</f>
        <v/>
      </c>
      <c r="AZ170" s="67"/>
      <c r="BA170" s="81" t="str">
        <f aca="false">IF(ISBLANK($C170),"",TRIM(AI170&amp;" "&amp;AM170))</f>
        <v/>
      </c>
      <c r="BB170" s="69" t="str">
        <f aca="false">IF(ISBLANK($C170),"",IF($AE170&lt;&gt;Constants!$B$7, $AE170 ,AQ170))</f>
        <v/>
      </c>
      <c r="BC170" s="70" t="str">
        <f aca="false">IF(ISBLANK($C170),"",IF($AE170&lt;&gt;Constants!$B$7, $AE170 ,AF170))</f>
        <v/>
      </c>
      <c r="BD170" s="71" t="str">
        <f aca="false">IF(ISBLANK(C170),"",AY170)</f>
        <v/>
      </c>
      <c r="BE170" s="71" t="str">
        <f aca="false">IF(ISBLANK(C170),"",AX170)</f>
        <v/>
      </c>
      <c r="BF170" s="72" t="str">
        <f aca="false">IF(ISBLANK(C170),"",IFERROR(_xlfn.SWITCH(BE170, Constants!$B$4, COUNTA($C$8:$C669)+2, Constants!$B$5, COUNTA($C$8:$C669)+1, Constants!$B$6, COUNTA($C$8:$C669)),BE170))</f>
        <v/>
      </c>
      <c r="BG170" s="5"/>
      <c r="BH170" s="73" t="n">
        <f aca="false">IF(OR(ISNUMBER(BE170),BE170="DQ",BE170="P",BE170="NS"),
    1,
    0
)</f>
        <v>0</v>
      </c>
      <c r="BI170" s="73" t="n">
        <v>163</v>
      </c>
      <c r="BJ170" s="73" t="str">
        <f aca="false">IF(ISBLANK($C170),
    "",
   BF170+ROW($B170)/1000
)</f>
        <v/>
      </c>
      <c r="BK170" s="73" t="str">
        <f aca="false">IF(ISNUMBER(BJ170), RANK(BJ170,BJ$8:BJ$507,1), "")</f>
        <v/>
      </c>
      <c r="BL170" s="73" t="str">
        <f aca="false">IF(ISBLANK($C170),
    "",
    $B170
)</f>
        <v/>
      </c>
      <c r="BM170" s="73" t="str">
        <f aca="false">IF(ISBLANK($C170),
    "",
    $C170
)</f>
        <v/>
      </c>
      <c r="BN170" s="73" t="str">
        <f aca="false">IF(ISBLANK($C170),
    "",
    $D170
)</f>
        <v/>
      </c>
      <c r="BO170" s="74" t="str">
        <f aca="false">BC170</f>
        <v/>
      </c>
      <c r="BP170" s="75" t="str">
        <f aca="false">BB170</f>
        <v/>
      </c>
      <c r="BQ170" s="73" t="str">
        <f aca="false">IF(ISBLANK($C170),
    "",
    BE170
)</f>
        <v/>
      </c>
      <c r="BR170" s="76" t="str">
        <f aca="false">IF(BI170&gt;BH$7,
    "",
    VLOOKUP(BI170,BK$8:BQ669,7,FALSE())
)</f>
        <v/>
      </c>
      <c r="BS170" s="77" t="str">
        <f aca="false">IF(BI170&gt;BH$7,
    "",
    VLOOKUP(BI170,BK$8:BQ669,2,FALSE())
)</f>
        <v/>
      </c>
      <c r="BT170" s="77" t="str">
        <f aca="false">IF(BI170&gt;BH$7,
    "",
    VLOOKUP(BI170,BK$8:BQ669,3,FALSE())
)</f>
        <v/>
      </c>
      <c r="BU170" s="77" t="str">
        <f aca="false">IF(BI170&gt;BH$7,
    "",
    VLOOKUP(BI170,BK$8:BQ669,4,FALSE())
)</f>
        <v/>
      </c>
      <c r="BV170" s="77" t="str">
        <f aca="false">IF(BI170&gt;BH$7,
    "",
    VLOOKUP(BI170,BK$8:BQ669,5,FALSE())
)</f>
        <v/>
      </c>
      <c r="BW170" s="78" t="str">
        <f aca="false">IF(BI170&gt;BH$7,
    "",
    VLOOKUP(BI170,BK$8:BQ669,6,FALSE())
)</f>
        <v/>
      </c>
      <c r="BX170" s="50"/>
    </row>
    <row r="171" customFormat="false" ht="15.75" hidden="false" customHeight="false" outlineLevel="0" collapsed="false">
      <c r="A171" s="5"/>
      <c r="B171" s="126"/>
      <c r="C171" s="52"/>
      <c r="D171" s="53"/>
      <c r="E171" s="120"/>
      <c r="F171" s="120"/>
      <c r="G171" s="55"/>
      <c r="H171" s="56"/>
      <c r="I171" s="80"/>
      <c r="J171" s="80"/>
      <c r="K171" s="80"/>
      <c r="L171" s="58"/>
      <c r="M171" s="58"/>
      <c r="N171" s="58"/>
      <c r="O171" s="59"/>
      <c r="P171" s="60"/>
      <c r="Q171" s="80"/>
      <c r="R171" s="62"/>
      <c r="S171" s="63"/>
      <c r="T171" s="63" t="str">
        <f aca="false">IF(ISBLANK($C171),"",IF(G171=Constants!$B$2, TRUE(), IF(G171=Constants!$B$3, FALSE(), TRUE())))</f>
        <v/>
      </c>
      <c r="U171" s="63" t="str">
        <f aca="false">IF(ISBLANK($C171),"",IF(H171=Constants!$B$2, TRUE(), IF(H171=Constants!$B$3, FALSE(), TRUE())))</f>
        <v/>
      </c>
      <c r="V171" s="63" t="str">
        <f aca="false">IF(ISBLANK($C171),"",IF(I171=Constants!$B$2, TRUE(), IF(I171=Constants!$B$3, FALSE(), TRUE())))</f>
        <v/>
      </c>
      <c r="W171" s="63" t="str">
        <f aca="false">IF(ISBLANK($C171),"",IF(J171=Constants!$B$2, TRUE(), IF(J171=Constants!$B$3, FALSE(), TRUE())))</f>
        <v/>
      </c>
      <c r="X171" s="63" t="str">
        <f aca="false">IF(ISBLANK($C171),"",IF(K171=Constants!$B$2, TRUE(), IF(K171=Constants!$B$3, FALSE(), TRUE())))</f>
        <v/>
      </c>
      <c r="Y171" s="65" t="str">
        <f aca="false">IF(ISBLANK($C171),"",IF(ISNUMBER(L171), L171, ""))</f>
        <v/>
      </c>
      <c r="Z171" s="65" t="str">
        <f aca="false">IF(ISBLANK($C171),"",IF(ISNUMBER(M171), M171, ""))</f>
        <v/>
      </c>
      <c r="AA171" s="65" t="str">
        <f aca="false">IF(ISBLANK($C171),"",IF(ISNUMBER(N171), N171, ""))</f>
        <v/>
      </c>
      <c r="AB171" s="66" t="str">
        <f aca="false">IF(ISBLANK($C171),"",IF(ISNUMBER(O171), O171, ""))</f>
        <v/>
      </c>
      <c r="AC171" s="66" t="str">
        <f aca="false">IF(ISBLANK($C171),"",IF(ISNUMBER(P171), P171, Constants!$B$13))</f>
        <v/>
      </c>
      <c r="AD171" s="63" t="str">
        <f aca="false">IF(ISBLANK($C171),"",IF(Q171=Constants!$B$2, TRUE(), IF(Q171=Constants!$B$3, FALSE(), FALSE())))</f>
        <v/>
      </c>
      <c r="AE171" s="63" t="str">
        <f aca="false">IF(ISBLANK(C171), "", IF(AD171, Constants!$B$4,IF(COUNTA(G171:O171)=0, Constants!$B$5, Constants!$B$7)))</f>
        <v/>
      </c>
      <c r="AF171" s="63" t="str">
        <f aca="false">IF(ISBLANK($C171), "",IF($AE171=Constants!$B$7,1,$AE171))</f>
        <v/>
      </c>
      <c r="AG171" s="63" t="str">
        <f aca="false">IF($AE171=Constants!$B$7,IF(V171, 1, Constants!$B$11) * IF(X171, 1, Constants!$B$12),"")</f>
        <v/>
      </c>
      <c r="AH171" s="63" t="str">
        <f aca="false">IF(AND($AE171=Constants!$B$7, T171, U171) ,MAX(0, $AA171-$Y171),"")</f>
        <v/>
      </c>
      <c r="AI171" s="63" t="str">
        <f aca="false">IF(ISERROR(AH171),$AI$6,"")</f>
        <v/>
      </c>
      <c r="AJ171" s="63" t="str">
        <f aca="false">IF($AE171=Constants!$B$7,IF(AND(T171,U171,W171),IF($AH$6=0,Constants!$B$9,Constants!$B$9*AH171/$AH$6), 0),"")</f>
        <v/>
      </c>
      <c r="AK171" s="63" t="str">
        <f aca="false">IF(AJ171&lt;&gt;"", AJ171*AG171,"")</f>
        <v/>
      </c>
      <c r="AL171" s="63" t="str">
        <f aca="false">IF(AND($AE171=Constants!$B$7, T171, U171) ,IF($Z171="", "", MAX(0,1-ABS($AA171-$Z171)/$AA171)),"")</f>
        <v/>
      </c>
      <c r="AM171" s="63" t="str">
        <f aca="false">IF(AND(NOT(ISERROR(AH171)),ISERROR(AL171)),$AM$6,"")</f>
        <v/>
      </c>
      <c r="AN171" s="63" t="str">
        <f aca="false">IF($AE171=Constants!$B$7 ,IF(AND(T171,U171,W171,ISNUMBER(Z171)),IF($AL$6=0,Constants!$B$10,Constants!$B$10*AL171/$AL$6), 0),"")</f>
        <v/>
      </c>
      <c r="AO171" s="63" t="str">
        <f aca="false">IF(AN171&lt;&gt;"", AN171*AG171,"")</f>
        <v/>
      </c>
      <c r="AP171" s="63" t="str">
        <f aca="false">IF($AE171=Constants!$B$7,IF($AP$6=0,Constants!$B$8,Constants!$B$8*AB171/$AP$6),"")</f>
        <v/>
      </c>
      <c r="AQ171" s="63" t="str">
        <f aca="false">IF($AE171&lt;&gt;Constants!$B$7,$AE171,AK171+AO171+AP171)</f>
        <v/>
      </c>
      <c r="AR171" s="63" t="str">
        <f aca="false">IF(ISBLANK($C171),"",IF($AE171=Constants!$B$7,RANK(AQ171,$AQ$8:$AQ$507),$AE171))</f>
        <v/>
      </c>
      <c r="AS171" s="63" t="str">
        <f aca="false">IF(ISBLANK($C171), "",AK171)</f>
        <v/>
      </c>
      <c r="AT171" s="63" t="str">
        <f aca="false">IF(ISBLANK($C171),"",IF($AE171=Constants!$B$7,RANK(AS171,AS$8:AS$507),$AE171))</f>
        <v/>
      </c>
      <c r="AU171" s="63" t="str">
        <f aca="false">IF(ISBLANK($C171), "",AP171)</f>
        <v/>
      </c>
      <c r="AV171" s="63" t="str">
        <f aca="false">IF(ISBLANK($C171),"",IF($AE171=Constants!$B$7,RANK(AU171,AU$8:AU$507),$AE171))</f>
        <v/>
      </c>
      <c r="AW171" s="63" t="str">
        <f aca="false">IF(ISBLANK($C171), "",AC171)</f>
        <v/>
      </c>
      <c r="AX171" s="63" t="str">
        <f aca="false">IF(ISBLANK($C171),"",
IF($AE171=Constants!$B$7,
  COUNTIFS($AR$8:$AR$507,"&lt;"&amp;$AR171)
  + COUNTIFS($AR$8:$AR$507,$AR171,$AT$8:$AT$507,"&lt;"&amp;$AT171)
  + COUNTIFS($AR$8:$AR$507,$AR171,$AT$8:$AT$507,$AT171,$AV$8:$AV$507,"&lt;"&amp;$AV171)
  + COUNTIFS($AR$8:$AR$507,$AR171,$AT$8:$AT$507,$AT171,$AV$8:$AV$507,$AV171,$AW$8:$AW$507,"&lt;"&amp;$AW171)
  + 1,
$AE171))</f>
        <v/>
      </c>
      <c r="AY171" s="63" t="str">
        <f aca="false">IF(ISBLANK(C171),"",IF($AE171=Constants!$B$7, AR171-AX171,$AE171))</f>
        <v/>
      </c>
      <c r="AZ171" s="67"/>
      <c r="BA171" s="81" t="str">
        <f aca="false">IF(ISBLANK($C171),"",TRIM(AI171&amp;" "&amp;AM171))</f>
        <v/>
      </c>
      <c r="BB171" s="69" t="str">
        <f aca="false">IF(ISBLANK($C171),"",IF($AE171&lt;&gt;Constants!$B$7, $AE171 ,AQ171))</f>
        <v/>
      </c>
      <c r="BC171" s="70" t="str">
        <f aca="false">IF(ISBLANK($C171),"",IF($AE171&lt;&gt;Constants!$B$7, $AE171 ,AF171))</f>
        <v/>
      </c>
      <c r="BD171" s="71" t="str">
        <f aca="false">IF(ISBLANK(C171),"",AY171)</f>
        <v/>
      </c>
      <c r="BE171" s="71" t="str">
        <f aca="false">IF(ISBLANK(C171),"",AX171)</f>
        <v/>
      </c>
      <c r="BF171" s="72" t="str">
        <f aca="false">IF(ISBLANK(C171),"",IFERROR(_xlfn.SWITCH(BE171, Constants!$B$4, COUNTA($C$8:$C670)+2, Constants!$B$5, COUNTA($C$8:$C670)+1, Constants!$B$6, COUNTA($C$8:$C670)),BE171))</f>
        <v/>
      </c>
      <c r="BG171" s="5"/>
      <c r="BH171" s="73" t="n">
        <f aca="false">IF(OR(ISNUMBER(BE171),BE171="DQ",BE171="P",BE171="NS"),
    1,
    0
)</f>
        <v>0</v>
      </c>
      <c r="BI171" s="73" t="n">
        <v>164</v>
      </c>
      <c r="BJ171" s="73" t="str">
        <f aca="false">IF(ISBLANK($C171),
    "",
   BF171+ROW($B171)/1000
)</f>
        <v/>
      </c>
      <c r="BK171" s="73" t="str">
        <f aca="false">IF(ISNUMBER(BJ171), RANK(BJ171,BJ$8:BJ$507,1), "")</f>
        <v/>
      </c>
      <c r="BL171" s="73" t="str">
        <f aca="false">IF(ISBLANK($C171),
    "",
    $B171
)</f>
        <v/>
      </c>
      <c r="BM171" s="73" t="str">
        <f aca="false">IF(ISBLANK($C171),
    "",
    $C171
)</f>
        <v/>
      </c>
      <c r="BN171" s="73" t="str">
        <f aca="false">IF(ISBLANK($C171),
    "",
    $D171
)</f>
        <v/>
      </c>
      <c r="BO171" s="74" t="str">
        <f aca="false">BC171</f>
        <v/>
      </c>
      <c r="BP171" s="75" t="str">
        <f aca="false">BB171</f>
        <v/>
      </c>
      <c r="BQ171" s="73" t="str">
        <f aca="false">IF(ISBLANK($C171),
    "",
    BE171
)</f>
        <v/>
      </c>
      <c r="BR171" s="76" t="str">
        <f aca="false">IF(BI171&gt;BH$7,
    "",
    VLOOKUP(BI171,BK$8:BQ670,7,FALSE())
)</f>
        <v/>
      </c>
      <c r="BS171" s="77" t="str">
        <f aca="false">IF(BI171&gt;BH$7,
    "",
    VLOOKUP(BI171,BK$8:BQ670,2,FALSE())
)</f>
        <v/>
      </c>
      <c r="BT171" s="77" t="str">
        <f aca="false">IF(BI171&gt;BH$7,
    "",
    VLOOKUP(BI171,BK$8:BQ670,3,FALSE())
)</f>
        <v/>
      </c>
      <c r="BU171" s="77" t="str">
        <f aca="false">IF(BI171&gt;BH$7,
    "",
    VLOOKUP(BI171,BK$8:BQ670,4,FALSE())
)</f>
        <v/>
      </c>
      <c r="BV171" s="77" t="str">
        <f aca="false">IF(BI171&gt;BH$7,
    "",
    VLOOKUP(BI171,BK$8:BQ670,5,FALSE())
)</f>
        <v/>
      </c>
      <c r="BW171" s="78" t="str">
        <f aca="false">IF(BI171&gt;BH$7,
    "",
    VLOOKUP(BI171,BK$8:BQ670,6,FALSE())
)</f>
        <v/>
      </c>
      <c r="BX171" s="50"/>
    </row>
    <row r="172" customFormat="false" ht="15.75" hidden="false" customHeight="false" outlineLevel="0" collapsed="false">
      <c r="A172" s="5"/>
      <c r="B172" s="126"/>
      <c r="C172" s="52"/>
      <c r="D172" s="53"/>
      <c r="E172" s="120"/>
      <c r="F172" s="120"/>
      <c r="G172" s="55"/>
      <c r="H172" s="56"/>
      <c r="I172" s="80"/>
      <c r="J172" s="80"/>
      <c r="K172" s="80"/>
      <c r="L172" s="58"/>
      <c r="M172" s="58"/>
      <c r="N172" s="58"/>
      <c r="O172" s="59"/>
      <c r="P172" s="60"/>
      <c r="Q172" s="80"/>
      <c r="R172" s="62"/>
      <c r="S172" s="63"/>
      <c r="T172" s="63" t="str">
        <f aca="false">IF(ISBLANK($C172),"",IF(G172=Constants!$B$2, TRUE(), IF(G172=Constants!$B$3, FALSE(), TRUE())))</f>
        <v/>
      </c>
      <c r="U172" s="63" t="str">
        <f aca="false">IF(ISBLANK($C172),"",IF(H172=Constants!$B$2, TRUE(), IF(H172=Constants!$B$3, FALSE(), TRUE())))</f>
        <v/>
      </c>
      <c r="V172" s="63" t="str">
        <f aca="false">IF(ISBLANK($C172),"",IF(I172=Constants!$B$2, TRUE(), IF(I172=Constants!$B$3, FALSE(), TRUE())))</f>
        <v/>
      </c>
      <c r="W172" s="63" t="str">
        <f aca="false">IF(ISBLANK($C172),"",IF(J172=Constants!$B$2, TRUE(), IF(J172=Constants!$B$3, FALSE(), TRUE())))</f>
        <v/>
      </c>
      <c r="X172" s="63" t="str">
        <f aca="false">IF(ISBLANK($C172),"",IF(K172=Constants!$B$2, TRUE(), IF(K172=Constants!$B$3, FALSE(), TRUE())))</f>
        <v/>
      </c>
      <c r="Y172" s="65" t="str">
        <f aca="false">IF(ISBLANK($C172),"",IF(ISNUMBER(L172), L172, ""))</f>
        <v/>
      </c>
      <c r="Z172" s="65" t="str">
        <f aca="false">IF(ISBLANK($C172),"",IF(ISNUMBER(M172), M172, ""))</f>
        <v/>
      </c>
      <c r="AA172" s="65" t="str">
        <f aca="false">IF(ISBLANK($C172),"",IF(ISNUMBER(N172), N172, ""))</f>
        <v/>
      </c>
      <c r="AB172" s="66" t="str">
        <f aca="false">IF(ISBLANK($C172),"",IF(ISNUMBER(O172), O172, ""))</f>
        <v/>
      </c>
      <c r="AC172" s="66" t="str">
        <f aca="false">IF(ISBLANK($C172),"",IF(ISNUMBER(P172), P172, Constants!$B$13))</f>
        <v/>
      </c>
      <c r="AD172" s="63" t="str">
        <f aca="false">IF(ISBLANK($C172),"",IF(Q172=Constants!$B$2, TRUE(), IF(Q172=Constants!$B$3, FALSE(), FALSE())))</f>
        <v/>
      </c>
      <c r="AE172" s="63" t="str">
        <f aca="false">IF(ISBLANK(C172), "", IF(AD172, Constants!$B$4,IF(COUNTA(G172:O172)=0, Constants!$B$5, Constants!$B$7)))</f>
        <v/>
      </c>
      <c r="AF172" s="63" t="str">
        <f aca="false">IF(ISBLANK($C172), "",IF($AE172=Constants!$B$7,1,$AE172))</f>
        <v/>
      </c>
      <c r="AG172" s="63" t="str">
        <f aca="false">IF($AE172=Constants!$B$7,IF(V172, 1, Constants!$B$11) * IF(X172, 1, Constants!$B$12),"")</f>
        <v/>
      </c>
      <c r="AH172" s="63" t="str">
        <f aca="false">IF(AND($AE172=Constants!$B$7, T172, U172) ,MAX(0, $AA172-$Y172),"")</f>
        <v/>
      </c>
      <c r="AI172" s="63" t="str">
        <f aca="false">IF(ISERROR(AH172),$AI$6,"")</f>
        <v/>
      </c>
      <c r="AJ172" s="63" t="str">
        <f aca="false">IF($AE172=Constants!$B$7,IF(AND(T172,U172,W172),IF($AH$6=0,Constants!$B$9,Constants!$B$9*AH172/$AH$6), 0),"")</f>
        <v/>
      </c>
      <c r="AK172" s="63" t="str">
        <f aca="false">IF(AJ172&lt;&gt;"", AJ172*AG172,"")</f>
        <v/>
      </c>
      <c r="AL172" s="63" t="str">
        <f aca="false">IF(AND($AE172=Constants!$B$7, T172, U172) ,IF($Z172="", "", MAX(0,1-ABS($AA172-$Z172)/$AA172)),"")</f>
        <v/>
      </c>
      <c r="AM172" s="63" t="str">
        <f aca="false">IF(AND(NOT(ISERROR(AH172)),ISERROR(AL172)),$AM$6,"")</f>
        <v/>
      </c>
      <c r="AN172" s="63" t="str">
        <f aca="false">IF($AE172=Constants!$B$7 ,IF(AND(T172,U172,W172,ISNUMBER(Z172)),IF($AL$6=0,Constants!$B$10,Constants!$B$10*AL172/$AL$6), 0),"")</f>
        <v/>
      </c>
      <c r="AO172" s="63" t="str">
        <f aca="false">IF(AN172&lt;&gt;"", AN172*AG172,"")</f>
        <v/>
      </c>
      <c r="AP172" s="63" t="str">
        <f aca="false">IF($AE172=Constants!$B$7,IF($AP$6=0,Constants!$B$8,Constants!$B$8*AB172/$AP$6),"")</f>
        <v/>
      </c>
      <c r="AQ172" s="63" t="str">
        <f aca="false">IF($AE172&lt;&gt;Constants!$B$7,$AE172,AK172+AO172+AP172)</f>
        <v/>
      </c>
      <c r="AR172" s="63" t="str">
        <f aca="false">IF(ISBLANK($C172),"",IF($AE172=Constants!$B$7,RANK(AQ172,$AQ$8:$AQ$507),$AE172))</f>
        <v/>
      </c>
      <c r="AS172" s="63" t="str">
        <f aca="false">IF(ISBLANK($C172), "",AK172)</f>
        <v/>
      </c>
      <c r="AT172" s="63" t="str">
        <f aca="false">IF(ISBLANK($C172),"",IF($AE172=Constants!$B$7,RANK(AS172,AS$8:AS$507),$AE172))</f>
        <v/>
      </c>
      <c r="AU172" s="63" t="str">
        <f aca="false">IF(ISBLANK($C172), "",AP172)</f>
        <v/>
      </c>
      <c r="AV172" s="63" t="str">
        <f aca="false">IF(ISBLANK($C172),"",IF($AE172=Constants!$B$7,RANK(AU172,AU$8:AU$507),$AE172))</f>
        <v/>
      </c>
      <c r="AW172" s="63" t="str">
        <f aca="false">IF(ISBLANK($C172), "",AC172)</f>
        <v/>
      </c>
      <c r="AX172" s="63" t="str">
        <f aca="false">IF(ISBLANK($C172),"",
IF($AE172=Constants!$B$7,
  COUNTIFS($AR$8:$AR$507,"&lt;"&amp;$AR172)
  + COUNTIFS($AR$8:$AR$507,$AR172,$AT$8:$AT$507,"&lt;"&amp;$AT172)
  + COUNTIFS($AR$8:$AR$507,$AR172,$AT$8:$AT$507,$AT172,$AV$8:$AV$507,"&lt;"&amp;$AV172)
  + COUNTIFS($AR$8:$AR$507,$AR172,$AT$8:$AT$507,$AT172,$AV$8:$AV$507,$AV172,$AW$8:$AW$507,"&lt;"&amp;$AW172)
  + 1,
$AE172))</f>
        <v/>
      </c>
      <c r="AY172" s="63" t="str">
        <f aca="false">IF(ISBLANK(C172),"",IF($AE172=Constants!$B$7, AR172-AX172,$AE172))</f>
        <v/>
      </c>
      <c r="AZ172" s="67"/>
      <c r="BA172" s="81" t="str">
        <f aca="false">IF(ISBLANK($C172),"",TRIM(AI172&amp;" "&amp;AM172))</f>
        <v/>
      </c>
      <c r="BB172" s="69" t="str">
        <f aca="false">IF(ISBLANK($C172),"",IF($AE172&lt;&gt;Constants!$B$7, $AE172 ,AQ172))</f>
        <v/>
      </c>
      <c r="BC172" s="70" t="str">
        <f aca="false">IF(ISBLANK($C172),"",IF($AE172&lt;&gt;Constants!$B$7, $AE172 ,AF172))</f>
        <v/>
      </c>
      <c r="BD172" s="71" t="str">
        <f aca="false">IF(ISBLANK(C172),"",AY172)</f>
        <v/>
      </c>
      <c r="BE172" s="71" t="str">
        <f aca="false">IF(ISBLANK(C172),"",AX172)</f>
        <v/>
      </c>
      <c r="BF172" s="72" t="str">
        <f aca="false">IF(ISBLANK(C172),"",IFERROR(_xlfn.SWITCH(BE172, Constants!$B$4, COUNTA($C$8:$C671)+2, Constants!$B$5, COUNTA($C$8:$C671)+1, Constants!$B$6, COUNTA($C$8:$C671)),BE172))</f>
        <v/>
      </c>
      <c r="BG172" s="5"/>
      <c r="BH172" s="73" t="n">
        <f aca="false">IF(OR(ISNUMBER(BE172),BE172="DQ",BE172="P",BE172="NS"),
    1,
    0
)</f>
        <v>0</v>
      </c>
      <c r="BI172" s="73" t="n">
        <v>165</v>
      </c>
      <c r="BJ172" s="73" t="str">
        <f aca="false">IF(ISBLANK($C172),
    "",
   BF172+ROW($B172)/1000
)</f>
        <v/>
      </c>
      <c r="BK172" s="73" t="str">
        <f aca="false">IF(ISNUMBER(BJ172), RANK(BJ172,BJ$8:BJ$507,1), "")</f>
        <v/>
      </c>
      <c r="BL172" s="73" t="str">
        <f aca="false">IF(ISBLANK($C172),
    "",
    $B172
)</f>
        <v/>
      </c>
      <c r="BM172" s="73" t="str">
        <f aca="false">IF(ISBLANK($C172),
    "",
    $C172
)</f>
        <v/>
      </c>
      <c r="BN172" s="73" t="str">
        <f aca="false">IF(ISBLANK($C172),
    "",
    $D172
)</f>
        <v/>
      </c>
      <c r="BO172" s="74" t="str">
        <f aca="false">BC172</f>
        <v/>
      </c>
      <c r="BP172" s="75" t="str">
        <f aca="false">BB172</f>
        <v/>
      </c>
      <c r="BQ172" s="73" t="str">
        <f aca="false">IF(ISBLANK($C172),
    "",
    BE172
)</f>
        <v/>
      </c>
      <c r="BR172" s="76" t="str">
        <f aca="false">IF(BI172&gt;BH$7,
    "",
    VLOOKUP(BI172,BK$8:BQ671,7,FALSE())
)</f>
        <v/>
      </c>
      <c r="BS172" s="77" t="str">
        <f aca="false">IF(BI172&gt;BH$7,
    "",
    VLOOKUP(BI172,BK$8:BQ671,2,FALSE())
)</f>
        <v/>
      </c>
      <c r="BT172" s="77" t="str">
        <f aca="false">IF(BI172&gt;BH$7,
    "",
    VLOOKUP(BI172,BK$8:BQ671,3,FALSE())
)</f>
        <v/>
      </c>
      <c r="BU172" s="77" t="str">
        <f aca="false">IF(BI172&gt;BH$7,
    "",
    VLOOKUP(BI172,BK$8:BQ671,4,FALSE())
)</f>
        <v/>
      </c>
      <c r="BV172" s="77" t="str">
        <f aca="false">IF(BI172&gt;BH$7,
    "",
    VLOOKUP(BI172,BK$8:BQ671,5,FALSE())
)</f>
        <v/>
      </c>
      <c r="BW172" s="78" t="str">
        <f aca="false">IF(BI172&gt;BH$7,
    "",
    VLOOKUP(BI172,BK$8:BQ671,6,FALSE())
)</f>
        <v/>
      </c>
      <c r="BX172" s="50"/>
    </row>
    <row r="173" customFormat="false" ht="15.75" hidden="false" customHeight="false" outlineLevel="0" collapsed="false">
      <c r="A173" s="5"/>
      <c r="B173" s="122"/>
      <c r="C173" s="123"/>
      <c r="D173" s="112"/>
      <c r="E173" s="116"/>
      <c r="F173" s="116"/>
      <c r="G173" s="88"/>
      <c r="H173" s="89"/>
      <c r="I173" s="125"/>
      <c r="J173" s="125"/>
      <c r="K173" s="125"/>
      <c r="L173" s="91"/>
      <c r="M173" s="91"/>
      <c r="N173" s="91"/>
      <c r="O173" s="92"/>
      <c r="P173" s="93"/>
      <c r="Q173" s="125"/>
      <c r="R173" s="95"/>
      <c r="S173" s="96"/>
      <c r="T173" s="96" t="str">
        <f aca="false">IF(ISBLANK($C173),"",IF(G173=Constants!$B$2, TRUE(), IF(G173=Constants!$B$3, FALSE(), TRUE())))</f>
        <v/>
      </c>
      <c r="U173" s="96" t="str">
        <f aca="false">IF(ISBLANK($C173),"",IF(H173=Constants!$B$2, TRUE(), IF(H173=Constants!$B$3, FALSE(), TRUE())))</f>
        <v/>
      </c>
      <c r="V173" s="96" t="str">
        <f aca="false">IF(ISBLANK($C173),"",IF(I173=Constants!$B$2, TRUE(), IF(I173=Constants!$B$3, FALSE(), TRUE())))</f>
        <v/>
      </c>
      <c r="W173" s="96" t="str">
        <f aca="false">IF(ISBLANK($C173),"",IF(J173=Constants!$B$2, TRUE(), IF(J173=Constants!$B$3, FALSE(), TRUE())))</f>
        <v/>
      </c>
      <c r="X173" s="97" t="str">
        <f aca="false">IF(ISBLANK($C173),"",IF(K173=Constants!$B$2, TRUE(), IF(K173=Constants!$B$3, FALSE(), TRUE())))</f>
        <v/>
      </c>
      <c r="Y173" s="98" t="str">
        <f aca="false">IF(ISBLANK($C173),"",IF(ISNUMBER(L173), L173, ""))</f>
        <v/>
      </c>
      <c r="Z173" s="98" t="str">
        <f aca="false">IF(ISBLANK($C173),"",IF(ISNUMBER(M173), M173, ""))</f>
        <v/>
      </c>
      <c r="AA173" s="98" t="str">
        <f aca="false">IF(ISBLANK($C173),"",IF(ISNUMBER(N173), N173, ""))</f>
        <v/>
      </c>
      <c r="AB173" s="99" t="str">
        <f aca="false">IF(ISBLANK($C173),"",IF(ISNUMBER(O173), O173, ""))</f>
        <v/>
      </c>
      <c r="AC173" s="99" t="str">
        <f aca="false">IF(ISBLANK($C173),"",IF(ISNUMBER(P173), P173, Constants!$B$13))</f>
        <v/>
      </c>
      <c r="AD173" s="96" t="str">
        <f aca="false">IF(ISBLANK($C173),"",IF(Q173=Constants!$B$2, TRUE(), IF(Q173=Constants!$B$3, FALSE(), FALSE())))</f>
        <v/>
      </c>
      <c r="AE173" s="96" t="str">
        <f aca="false">IF(ISBLANK(C173), "", IF(AD173, Constants!$B$4,IF(COUNTA(G173:O173)=0, Constants!$B$5, Constants!$B$7)))</f>
        <v/>
      </c>
      <c r="AF173" s="96" t="str">
        <f aca="false">IF(ISBLANK($C173), "",IF($AE173=Constants!$B$7,1,$AE173))</f>
        <v/>
      </c>
      <c r="AG173" s="96" t="str">
        <f aca="false">IF($AE173=Constants!$B$7,IF(V173, 1, Constants!$B$11) * IF(X173, 1, Constants!$B$12),"")</f>
        <v/>
      </c>
      <c r="AH173" s="96" t="str">
        <f aca="false">IF(AND($AE173=Constants!$B$7, T173, U173) ,MAX(0, $AA173-$Y173),"")</f>
        <v/>
      </c>
      <c r="AI173" s="96" t="str">
        <f aca="false">IF(ISERROR(AH173),$AI$6,"")</f>
        <v/>
      </c>
      <c r="AJ173" s="96" t="str">
        <f aca="false">IF($AE173=Constants!$B$7,IF(AND(T173,U173,W173),IF($AH$6=0,Constants!$B$9,Constants!$B$9*AH173/$AH$6), 0),"")</f>
        <v/>
      </c>
      <c r="AK173" s="96" t="str">
        <f aca="false">IF(AJ173&lt;&gt;"", AJ173*AG173,"")</f>
        <v/>
      </c>
      <c r="AL173" s="96" t="str">
        <f aca="false">IF(AND($AE173=Constants!$B$7, T173, U173) ,IF($Z173="", "", MAX(0,1-ABS($AA173-$Z173)/$AA173)),"")</f>
        <v/>
      </c>
      <c r="AM173" s="96" t="str">
        <f aca="false">IF(AND(NOT(ISERROR(AH173)),ISERROR(AL173)),$AM$6,"")</f>
        <v/>
      </c>
      <c r="AN173" s="96" t="str">
        <f aca="false">IF($AE173=Constants!$B$7 ,IF(AND(T173,U173,W173,ISNUMBER(Z173)),IF($AL$6=0,Constants!$B$10,Constants!$B$10*AL173/$AL$6), 0),"")</f>
        <v/>
      </c>
      <c r="AO173" s="96" t="str">
        <f aca="false">IF(AN173&lt;&gt;"", AN173*AG173,"")</f>
        <v/>
      </c>
      <c r="AP173" s="96" t="str">
        <f aca="false">IF($AE173=Constants!$B$7,IF($AP$6=0,Constants!$B$8,Constants!$B$8*AB173/$AP$6),"")</f>
        <v/>
      </c>
      <c r="AQ173" s="96" t="str">
        <f aca="false">IF($AE173&lt;&gt;Constants!$B$7,$AE173,AK173+AO173+AP173)</f>
        <v/>
      </c>
      <c r="AR173" s="96" t="str">
        <f aca="false">IF(ISBLANK($C173),"",IF($AE173=Constants!$B$7,RANK(AQ173,$AQ$8:$AQ$507),$AE173))</f>
        <v/>
      </c>
      <c r="AS173" s="96" t="str">
        <f aca="false">IF(ISBLANK($C173), "",AK173)</f>
        <v/>
      </c>
      <c r="AT173" s="96" t="str">
        <f aca="false">IF(ISBLANK($C173),"",IF($AE173=Constants!$B$7,RANK(AS173,AS$8:AS$507),$AE173))</f>
        <v/>
      </c>
      <c r="AU173" s="96" t="str">
        <f aca="false">IF(ISBLANK($C173), "",AP173)</f>
        <v/>
      </c>
      <c r="AV173" s="96" t="str">
        <f aca="false">IF(ISBLANK($C173),"",IF($AE173=Constants!$B$7,RANK(AU173,AU$8:AU$507),$AE173))</f>
        <v/>
      </c>
      <c r="AW173" s="96" t="str">
        <f aca="false">IF(ISBLANK($C173), "",AC173)</f>
        <v/>
      </c>
      <c r="AX173" s="96" t="str">
        <f aca="false">IF(ISBLANK($C173),"",
IF($AE173=Constants!$B$7,
  COUNTIFS($AR$8:$AR$507,"&lt;"&amp;$AR173)
  + COUNTIFS($AR$8:$AR$507,$AR173,$AT$8:$AT$507,"&lt;"&amp;$AT173)
  + COUNTIFS($AR$8:$AR$507,$AR173,$AT$8:$AT$507,$AT173,$AV$8:$AV$507,"&lt;"&amp;$AV173)
  + COUNTIFS($AR$8:$AR$507,$AR173,$AT$8:$AT$507,$AT173,$AV$8:$AV$507,$AV173,$AW$8:$AW$507,"&lt;"&amp;$AW173)
  + 1,
$AE173))</f>
        <v/>
      </c>
      <c r="AY173" s="96" t="str">
        <f aca="false">IF(ISBLANK(C173),"",IF($AE173=Constants!$B$7, AR173-AX173,$AE173))</f>
        <v/>
      </c>
      <c r="AZ173" s="100"/>
      <c r="BA173" s="101" t="str">
        <f aca="false">IF(ISBLANK($C173),"",TRIM(AI173&amp;" "&amp;AM173))</f>
        <v/>
      </c>
      <c r="BB173" s="102" t="str">
        <f aca="false">IF(ISBLANK($C173),"",IF($AE173&lt;&gt;Constants!$B$7, $AE173 ,AQ173))</f>
        <v/>
      </c>
      <c r="BC173" s="103" t="str">
        <f aca="false">IF(ISBLANK($C173),"",IF($AE173&lt;&gt;Constants!$B$7, $AE173 ,AF173))</f>
        <v/>
      </c>
      <c r="BD173" s="104" t="str">
        <f aca="false">IF(ISBLANK(C173),"",AY173)</f>
        <v/>
      </c>
      <c r="BE173" s="104" t="str">
        <f aca="false">IF(ISBLANK(C173),"",AX173)</f>
        <v/>
      </c>
      <c r="BF173" s="105" t="str">
        <f aca="false">IF(ISBLANK(C173),"",IFERROR(_xlfn.SWITCH(BE173, Constants!$B$4, COUNTA($C$8:$C672)+2, Constants!$B$5, COUNTA($C$8:$C672)+1, Constants!$B$6, COUNTA($C$8:$C672)),BE173))</f>
        <v/>
      </c>
      <c r="BG173" s="5"/>
      <c r="BH173" s="106" t="n">
        <f aca="false">IF(OR(ISNUMBER(BE173),BE173="DQ",BE173="P",BE173="NS"),
    1,
    0
)</f>
        <v>0</v>
      </c>
      <c r="BI173" s="106" t="n">
        <v>166</v>
      </c>
      <c r="BJ173" s="106" t="str">
        <f aca="false">IF(ISBLANK($C173),
    "",
   BF173+ROW($B173)/1000
)</f>
        <v/>
      </c>
      <c r="BK173" s="106" t="str">
        <f aca="false">IF(ISNUMBER(BJ173), RANK(BJ173,BJ$8:BJ$507,1), "")</f>
        <v/>
      </c>
      <c r="BL173" s="106" t="str">
        <f aca="false">IF(ISBLANK($C173),
    "",
    $B173
)</f>
        <v/>
      </c>
      <c r="BM173" s="106" t="str">
        <f aca="false">IF(ISBLANK($C173),
    "",
    $C173
)</f>
        <v/>
      </c>
      <c r="BN173" s="106" t="str">
        <f aca="false">IF(ISBLANK($C173),
    "",
    $D173
)</f>
        <v/>
      </c>
      <c r="BO173" s="107" t="str">
        <f aca="false">BC173</f>
        <v/>
      </c>
      <c r="BP173" s="108" t="str">
        <f aca="false">BB173</f>
        <v/>
      </c>
      <c r="BQ173" s="106" t="str">
        <f aca="false">IF(ISBLANK($C173),
    "",
    BE173
)</f>
        <v/>
      </c>
      <c r="BR173" s="109" t="str">
        <f aca="false">IF(BI173&gt;BH$7,
    "",
    VLOOKUP(BI173,BK$8:BQ672,7,FALSE())
)</f>
        <v/>
      </c>
      <c r="BS173" s="110" t="str">
        <f aca="false">IF(BI173&gt;BH$7,
    "",
    VLOOKUP(BI173,BK$8:BQ672,2,FALSE())
)</f>
        <v/>
      </c>
      <c r="BT173" s="110" t="str">
        <f aca="false">IF(BI173&gt;BH$7,
    "",
    VLOOKUP(BI173,BK$8:BQ672,3,FALSE())
)</f>
        <v/>
      </c>
      <c r="BU173" s="110" t="str">
        <f aca="false">IF(BI173&gt;BH$7,
    "",
    VLOOKUP(BI173,BK$8:BQ672,4,FALSE())
)</f>
        <v/>
      </c>
      <c r="BV173" s="110" t="str">
        <f aca="false">IF(BI173&gt;BH$7,
    "",
    VLOOKUP(BI173,BK$8:BQ672,5,FALSE())
)</f>
        <v/>
      </c>
      <c r="BW173" s="111" t="str">
        <f aca="false">IF(BI173&gt;BH$7,
    "",
    VLOOKUP(BI173,BK$8:BQ672,6,FALSE())
)</f>
        <v/>
      </c>
      <c r="BX173" s="50"/>
    </row>
    <row r="174" customFormat="false" ht="15.75" hidden="false" customHeight="false" outlineLevel="0" collapsed="false">
      <c r="A174" s="5"/>
      <c r="B174" s="122"/>
      <c r="C174" s="123"/>
      <c r="D174" s="112"/>
      <c r="E174" s="116"/>
      <c r="F174" s="116"/>
      <c r="G174" s="88"/>
      <c r="H174" s="89"/>
      <c r="I174" s="125"/>
      <c r="J174" s="125"/>
      <c r="K174" s="125"/>
      <c r="L174" s="91"/>
      <c r="M174" s="91"/>
      <c r="N174" s="91"/>
      <c r="O174" s="92"/>
      <c r="P174" s="93"/>
      <c r="Q174" s="125"/>
      <c r="R174" s="95"/>
      <c r="S174" s="96"/>
      <c r="T174" s="96" t="str">
        <f aca="false">IF(ISBLANK($C174),"",IF(G174=Constants!$B$2, TRUE(), IF(G174=Constants!$B$3, FALSE(), TRUE())))</f>
        <v/>
      </c>
      <c r="U174" s="96" t="str">
        <f aca="false">IF(ISBLANK($C174),"",IF(H174=Constants!$B$2, TRUE(), IF(H174=Constants!$B$3, FALSE(), TRUE())))</f>
        <v/>
      </c>
      <c r="V174" s="96" t="str">
        <f aca="false">IF(ISBLANK($C174),"",IF(I174=Constants!$B$2, TRUE(), IF(I174=Constants!$B$3, FALSE(), TRUE())))</f>
        <v/>
      </c>
      <c r="W174" s="96" t="str">
        <f aca="false">IF(ISBLANK($C174),"",IF(J174=Constants!$B$2, TRUE(), IF(J174=Constants!$B$3, FALSE(), TRUE())))</f>
        <v/>
      </c>
      <c r="X174" s="97" t="str">
        <f aca="false">IF(ISBLANK($C174),"",IF(K174=Constants!$B$2, TRUE(), IF(K174=Constants!$B$3, FALSE(), TRUE())))</f>
        <v/>
      </c>
      <c r="Y174" s="98" t="str">
        <f aca="false">IF(ISBLANK($C174),"",IF(ISNUMBER(L174), L174, ""))</f>
        <v/>
      </c>
      <c r="Z174" s="98" t="str">
        <f aca="false">IF(ISBLANK($C174),"",IF(ISNUMBER(M174), M174, ""))</f>
        <v/>
      </c>
      <c r="AA174" s="98" t="str">
        <f aca="false">IF(ISBLANK($C174),"",IF(ISNUMBER(N174), N174, ""))</f>
        <v/>
      </c>
      <c r="AB174" s="99" t="str">
        <f aca="false">IF(ISBLANK($C174),"",IF(ISNUMBER(O174), O174, ""))</f>
        <v/>
      </c>
      <c r="AC174" s="99" t="str">
        <f aca="false">IF(ISBLANK($C174),"",IF(ISNUMBER(P174), P174, Constants!$B$13))</f>
        <v/>
      </c>
      <c r="AD174" s="96" t="str">
        <f aca="false">IF(ISBLANK($C174),"",IF(Q174=Constants!$B$2, TRUE(), IF(Q174=Constants!$B$3, FALSE(), FALSE())))</f>
        <v/>
      </c>
      <c r="AE174" s="96" t="str">
        <f aca="false">IF(ISBLANK(C174), "", IF(AD174, Constants!$B$4,IF(COUNTA(G174:O174)=0, Constants!$B$5, Constants!$B$7)))</f>
        <v/>
      </c>
      <c r="AF174" s="96" t="str">
        <f aca="false">IF(ISBLANK($C174), "",IF($AE174=Constants!$B$7,1,$AE174))</f>
        <v/>
      </c>
      <c r="AG174" s="96" t="str">
        <f aca="false">IF($AE174=Constants!$B$7,IF(V174, 1, Constants!$B$11) * IF(X174, 1, Constants!$B$12),"")</f>
        <v/>
      </c>
      <c r="AH174" s="96" t="str">
        <f aca="false">IF(AND($AE174=Constants!$B$7, T174, U174) ,MAX(0, $AA174-$Y174),"")</f>
        <v/>
      </c>
      <c r="AI174" s="96" t="str">
        <f aca="false">IF(ISERROR(AH174),$AI$6,"")</f>
        <v/>
      </c>
      <c r="AJ174" s="96" t="str">
        <f aca="false">IF($AE174=Constants!$B$7,IF(AND(T174,U174,W174),IF($AH$6=0,Constants!$B$9,Constants!$B$9*AH174/$AH$6), 0),"")</f>
        <v/>
      </c>
      <c r="AK174" s="96" t="str">
        <f aca="false">IF(AJ174&lt;&gt;"", AJ174*AG174,"")</f>
        <v/>
      </c>
      <c r="AL174" s="96" t="str">
        <f aca="false">IF(AND($AE174=Constants!$B$7, T174, U174) ,IF($Z174="", "", MAX(0,1-ABS($AA174-$Z174)/$AA174)),"")</f>
        <v/>
      </c>
      <c r="AM174" s="96" t="str">
        <f aca="false">IF(AND(NOT(ISERROR(AH174)),ISERROR(AL174)),$AM$6,"")</f>
        <v/>
      </c>
      <c r="AN174" s="96" t="str">
        <f aca="false">IF($AE174=Constants!$B$7 ,IF(AND(T174,U174,W174,ISNUMBER(Z174)),IF($AL$6=0,Constants!$B$10,Constants!$B$10*AL174/$AL$6), 0),"")</f>
        <v/>
      </c>
      <c r="AO174" s="96" t="str">
        <f aca="false">IF(AN174&lt;&gt;"", AN174*AG174,"")</f>
        <v/>
      </c>
      <c r="AP174" s="96" t="str">
        <f aca="false">IF($AE174=Constants!$B$7,IF($AP$6=0,Constants!$B$8,Constants!$B$8*AB174/$AP$6),"")</f>
        <v/>
      </c>
      <c r="AQ174" s="96" t="str">
        <f aca="false">IF($AE174&lt;&gt;Constants!$B$7,$AE174,AK174+AO174+AP174)</f>
        <v/>
      </c>
      <c r="AR174" s="96" t="str">
        <f aca="false">IF(ISBLANK($C174),"",IF($AE174=Constants!$B$7,RANK(AQ174,$AQ$8:$AQ$507),$AE174))</f>
        <v/>
      </c>
      <c r="AS174" s="96" t="str">
        <f aca="false">IF(ISBLANK($C174), "",AK174)</f>
        <v/>
      </c>
      <c r="AT174" s="96" t="str">
        <f aca="false">IF(ISBLANK($C174),"",IF($AE174=Constants!$B$7,RANK(AS174,AS$8:AS$507),$AE174))</f>
        <v/>
      </c>
      <c r="AU174" s="96" t="str">
        <f aca="false">IF(ISBLANK($C174), "",AP174)</f>
        <v/>
      </c>
      <c r="AV174" s="96" t="str">
        <f aca="false">IF(ISBLANK($C174),"",IF($AE174=Constants!$B$7,RANK(AU174,AU$8:AU$507),$AE174))</f>
        <v/>
      </c>
      <c r="AW174" s="96" t="str">
        <f aca="false">IF(ISBLANK($C174), "",AC174)</f>
        <v/>
      </c>
      <c r="AX174" s="96" t="str">
        <f aca="false">IF(ISBLANK($C174),"",
IF($AE174=Constants!$B$7,
  COUNTIFS($AR$8:$AR$507,"&lt;"&amp;$AR174)
  + COUNTIFS($AR$8:$AR$507,$AR174,$AT$8:$AT$507,"&lt;"&amp;$AT174)
  + COUNTIFS($AR$8:$AR$507,$AR174,$AT$8:$AT$507,$AT174,$AV$8:$AV$507,"&lt;"&amp;$AV174)
  + COUNTIFS($AR$8:$AR$507,$AR174,$AT$8:$AT$507,$AT174,$AV$8:$AV$507,$AV174,$AW$8:$AW$507,"&lt;"&amp;$AW174)
  + 1,
$AE174))</f>
        <v/>
      </c>
      <c r="AY174" s="96" t="str">
        <f aca="false">IF(ISBLANK(C174),"",IF($AE174=Constants!$B$7, AR174-AX174,$AE174))</f>
        <v/>
      </c>
      <c r="AZ174" s="100"/>
      <c r="BA174" s="101" t="str">
        <f aca="false">IF(ISBLANK($C174),"",TRIM(AI174&amp;" "&amp;AM174))</f>
        <v/>
      </c>
      <c r="BB174" s="102" t="str">
        <f aca="false">IF(ISBLANK($C174),"",IF($AE174&lt;&gt;Constants!$B$7, $AE174 ,AQ174))</f>
        <v/>
      </c>
      <c r="BC174" s="103" t="str">
        <f aca="false">IF(ISBLANK($C174),"",IF($AE174&lt;&gt;Constants!$B$7, $AE174 ,AF174))</f>
        <v/>
      </c>
      <c r="BD174" s="104" t="str">
        <f aca="false">IF(ISBLANK(C174),"",AY174)</f>
        <v/>
      </c>
      <c r="BE174" s="104" t="str">
        <f aca="false">IF(ISBLANK(C174),"",AX174)</f>
        <v/>
      </c>
      <c r="BF174" s="105" t="str">
        <f aca="false">IF(ISBLANK(C174),"",IFERROR(_xlfn.SWITCH(BE174, Constants!$B$4, COUNTA($C$8:$C673)+2, Constants!$B$5, COUNTA($C$8:$C673)+1, Constants!$B$6, COUNTA($C$8:$C673)),BE174))</f>
        <v/>
      </c>
      <c r="BG174" s="5"/>
      <c r="BH174" s="106" t="n">
        <f aca="false">IF(OR(ISNUMBER(BE174),BE174="DQ",BE174="P",BE174="NS"),
    1,
    0
)</f>
        <v>0</v>
      </c>
      <c r="BI174" s="106" t="n">
        <v>167</v>
      </c>
      <c r="BJ174" s="106" t="str">
        <f aca="false">IF(ISBLANK($C174),
    "",
   BF174+ROW($B174)/1000
)</f>
        <v/>
      </c>
      <c r="BK174" s="106" t="str">
        <f aca="false">IF(ISNUMBER(BJ174), RANK(BJ174,BJ$8:BJ$507,1), "")</f>
        <v/>
      </c>
      <c r="BL174" s="106" t="str">
        <f aca="false">IF(ISBLANK($C174),
    "",
    $B174
)</f>
        <v/>
      </c>
      <c r="BM174" s="106" t="str">
        <f aca="false">IF(ISBLANK($C174),
    "",
    $C174
)</f>
        <v/>
      </c>
      <c r="BN174" s="106" t="str">
        <f aca="false">IF(ISBLANK($C174),
    "",
    $D174
)</f>
        <v/>
      </c>
      <c r="BO174" s="107" t="str">
        <f aca="false">BC174</f>
        <v/>
      </c>
      <c r="BP174" s="108" t="str">
        <f aca="false">BB174</f>
        <v/>
      </c>
      <c r="BQ174" s="106" t="str">
        <f aca="false">IF(ISBLANK($C174),
    "",
    BE174
)</f>
        <v/>
      </c>
      <c r="BR174" s="109" t="str">
        <f aca="false">IF(BI174&gt;BH$7,
    "",
    VLOOKUP(BI174,BK$8:BQ673,7,FALSE())
)</f>
        <v/>
      </c>
      <c r="BS174" s="110" t="str">
        <f aca="false">IF(BI174&gt;BH$7,
    "",
    VLOOKUP(BI174,BK$8:BQ673,2,FALSE())
)</f>
        <v/>
      </c>
      <c r="BT174" s="110" t="str">
        <f aca="false">IF(BI174&gt;BH$7,
    "",
    VLOOKUP(BI174,BK$8:BQ673,3,FALSE())
)</f>
        <v/>
      </c>
      <c r="BU174" s="110" t="str">
        <f aca="false">IF(BI174&gt;BH$7,
    "",
    VLOOKUP(BI174,BK$8:BQ673,4,FALSE())
)</f>
        <v/>
      </c>
      <c r="BV174" s="110" t="str">
        <f aca="false">IF(BI174&gt;BH$7,
    "",
    VLOOKUP(BI174,BK$8:BQ673,5,FALSE())
)</f>
        <v/>
      </c>
      <c r="BW174" s="111" t="str">
        <f aca="false">IF(BI174&gt;BH$7,
    "",
    VLOOKUP(BI174,BK$8:BQ673,6,FALSE())
)</f>
        <v/>
      </c>
      <c r="BX174" s="50"/>
    </row>
    <row r="175" customFormat="false" ht="15.75" hidden="false" customHeight="false" outlineLevel="0" collapsed="false">
      <c r="A175" s="5"/>
      <c r="B175" s="122"/>
      <c r="C175" s="123"/>
      <c r="D175" s="112"/>
      <c r="E175" s="116"/>
      <c r="F175" s="116"/>
      <c r="G175" s="88"/>
      <c r="H175" s="89"/>
      <c r="I175" s="125"/>
      <c r="J175" s="125"/>
      <c r="K175" s="125"/>
      <c r="L175" s="91"/>
      <c r="M175" s="91"/>
      <c r="N175" s="91"/>
      <c r="O175" s="92"/>
      <c r="P175" s="93"/>
      <c r="Q175" s="125"/>
      <c r="R175" s="95"/>
      <c r="S175" s="96"/>
      <c r="T175" s="96" t="str">
        <f aca="false">IF(ISBLANK($C175),"",IF(G175=Constants!$B$2, TRUE(), IF(G175=Constants!$B$3, FALSE(), TRUE())))</f>
        <v/>
      </c>
      <c r="U175" s="96" t="str">
        <f aca="false">IF(ISBLANK($C175),"",IF(H175=Constants!$B$2, TRUE(), IF(H175=Constants!$B$3, FALSE(), TRUE())))</f>
        <v/>
      </c>
      <c r="V175" s="96" t="str">
        <f aca="false">IF(ISBLANK($C175),"",IF(I175=Constants!$B$2, TRUE(), IF(I175=Constants!$B$3, FALSE(), TRUE())))</f>
        <v/>
      </c>
      <c r="W175" s="96" t="str">
        <f aca="false">IF(ISBLANK($C175),"",IF(J175=Constants!$B$2, TRUE(), IF(J175=Constants!$B$3, FALSE(), TRUE())))</f>
        <v/>
      </c>
      <c r="X175" s="97" t="str">
        <f aca="false">IF(ISBLANK($C175),"",IF(K175=Constants!$B$2, TRUE(), IF(K175=Constants!$B$3, FALSE(), TRUE())))</f>
        <v/>
      </c>
      <c r="Y175" s="98" t="str">
        <f aca="false">IF(ISBLANK($C175),"",IF(ISNUMBER(L175), L175, ""))</f>
        <v/>
      </c>
      <c r="Z175" s="98" t="str">
        <f aca="false">IF(ISBLANK($C175),"",IF(ISNUMBER(M175), M175, ""))</f>
        <v/>
      </c>
      <c r="AA175" s="98" t="str">
        <f aca="false">IF(ISBLANK($C175),"",IF(ISNUMBER(N175), N175, ""))</f>
        <v/>
      </c>
      <c r="AB175" s="99" t="str">
        <f aca="false">IF(ISBLANK($C175),"",IF(ISNUMBER(O175), O175, ""))</f>
        <v/>
      </c>
      <c r="AC175" s="99" t="str">
        <f aca="false">IF(ISBLANK($C175),"",IF(ISNUMBER(P175), P175, Constants!$B$13))</f>
        <v/>
      </c>
      <c r="AD175" s="96" t="str">
        <f aca="false">IF(ISBLANK($C175),"",IF(Q175=Constants!$B$2, TRUE(), IF(Q175=Constants!$B$3, FALSE(), FALSE())))</f>
        <v/>
      </c>
      <c r="AE175" s="96" t="str">
        <f aca="false">IF(ISBLANK(C175), "", IF(AD175, Constants!$B$4,IF(COUNTA(G175:O175)=0, Constants!$B$5, Constants!$B$7)))</f>
        <v/>
      </c>
      <c r="AF175" s="96" t="str">
        <f aca="false">IF(ISBLANK($C175), "",IF($AE175=Constants!$B$7,1,$AE175))</f>
        <v/>
      </c>
      <c r="AG175" s="96" t="str">
        <f aca="false">IF($AE175=Constants!$B$7,IF(V175, 1, Constants!$B$11) * IF(X175, 1, Constants!$B$12),"")</f>
        <v/>
      </c>
      <c r="AH175" s="96" t="str">
        <f aca="false">IF(AND($AE175=Constants!$B$7, T175, U175) ,MAX(0, $AA175-$Y175),"")</f>
        <v/>
      </c>
      <c r="AI175" s="96" t="str">
        <f aca="false">IF(ISERROR(AH175),$AI$6,"")</f>
        <v/>
      </c>
      <c r="AJ175" s="96" t="str">
        <f aca="false">IF($AE175=Constants!$B$7,IF(AND(T175,U175,W175),IF($AH$6=0,Constants!$B$9,Constants!$B$9*AH175/$AH$6), 0),"")</f>
        <v/>
      </c>
      <c r="AK175" s="96" t="str">
        <f aca="false">IF(AJ175&lt;&gt;"", AJ175*AG175,"")</f>
        <v/>
      </c>
      <c r="AL175" s="96" t="str">
        <f aca="false">IF(AND($AE175=Constants!$B$7, T175, U175) ,IF($Z175="", "", MAX(0,1-ABS($AA175-$Z175)/$AA175)),"")</f>
        <v/>
      </c>
      <c r="AM175" s="96" t="str">
        <f aca="false">IF(AND(NOT(ISERROR(AH175)),ISERROR(AL175)),$AM$6,"")</f>
        <v/>
      </c>
      <c r="AN175" s="96" t="str">
        <f aca="false">IF($AE175=Constants!$B$7 ,IF(AND(T175,U175,W175,ISNUMBER(Z175)),IF($AL$6=0,Constants!$B$10,Constants!$B$10*AL175/$AL$6), 0),"")</f>
        <v/>
      </c>
      <c r="AO175" s="96" t="str">
        <f aca="false">IF(AN175&lt;&gt;"", AN175*AG175,"")</f>
        <v/>
      </c>
      <c r="AP175" s="96" t="str">
        <f aca="false">IF($AE175=Constants!$B$7,IF($AP$6=0,Constants!$B$8,Constants!$B$8*AB175/$AP$6),"")</f>
        <v/>
      </c>
      <c r="AQ175" s="96" t="str">
        <f aca="false">IF($AE175&lt;&gt;Constants!$B$7,$AE175,AK175+AO175+AP175)</f>
        <v/>
      </c>
      <c r="AR175" s="96" t="str">
        <f aca="false">IF(ISBLANK($C175),"",IF($AE175=Constants!$B$7,RANK(AQ175,$AQ$8:$AQ$507),$AE175))</f>
        <v/>
      </c>
      <c r="AS175" s="96" t="str">
        <f aca="false">IF(ISBLANK($C175), "",AK175)</f>
        <v/>
      </c>
      <c r="AT175" s="96" t="str">
        <f aca="false">IF(ISBLANK($C175),"",IF($AE175=Constants!$B$7,RANK(AS175,AS$8:AS$507),$AE175))</f>
        <v/>
      </c>
      <c r="AU175" s="96" t="str">
        <f aca="false">IF(ISBLANK($C175), "",AP175)</f>
        <v/>
      </c>
      <c r="AV175" s="96" t="str">
        <f aca="false">IF(ISBLANK($C175),"",IF($AE175=Constants!$B$7,RANK(AU175,AU$8:AU$507),$AE175))</f>
        <v/>
      </c>
      <c r="AW175" s="96" t="str">
        <f aca="false">IF(ISBLANK($C175), "",AC175)</f>
        <v/>
      </c>
      <c r="AX175" s="96" t="str">
        <f aca="false">IF(ISBLANK($C175),"",
IF($AE175=Constants!$B$7,
  COUNTIFS($AR$8:$AR$507,"&lt;"&amp;$AR175)
  + COUNTIFS($AR$8:$AR$507,$AR175,$AT$8:$AT$507,"&lt;"&amp;$AT175)
  + COUNTIFS($AR$8:$AR$507,$AR175,$AT$8:$AT$507,$AT175,$AV$8:$AV$507,"&lt;"&amp;$AV175)
  + COUNTIFS($AR$8:$AR$507,$AR175,$AT$8:$AT$507,$AT175,$AV$8:$AV$507,$AV175,$AW$8:$AW$507,"&lt;"&amp;$AW175)
  + 1,
$AE175))</f>
        <v/>
      </c>
      <c r="AY175" s="96" t="str">
        <f aca="false">IF(ISBLANK(C175),"",IF($AE175=Constants!$B$7, AR175-AX175,$AE175))</f>
        <v/>
      </c>
      <c r="AZ175" s="100"/>
      <c r="BA175" s="101" t="str">
        <f aca="false">IF(ISBLANK($C175),"",TRIM(AI175&amp;" "&amp;AM175))</f>
        <v/>
      </c>
      <c r="BB175" s="102" t="str">
        <f aca="false">IF(ISBLANK($C175),"",IF($AE175&lt;&gt;Constants!$B$7, $AE175 ,AQ175))</f>
        <v/>
      </c>
      <c r="BC175" s="103" t="str">
        <f aca="false">IF(ISBLANK($C175),"",IF($AE175&lt;&gt;Constants!$B$7, $AE175 ,AF175))</f>
        <v/>
      </c>
      <c r="BD175" s="104" t="str">
        <f aca="false">IF(ISBLANK(C175),"",AY175)</f>
        <v/>
      </c>
      <c r="BE175" s="104" t="str">
        <f aca="false">IF(ISBLANK(C175),"",AX175)</f>
        <v/>
      </c>
      <c r="BF175" s="105" t="str">
        <f aca="false">IF(ISBLANK(C175),"",IFERROR(_xlfn.SWITCH(BE175, Constants!$B$4, COUNTA($C$8:$C674)+2, Constants!$B$5, COUNTA($C$8:$C674)+1, Constants!$B$6, COUNTA($C$8:$C674)),BE175))</f>
        <v/>
      </c>
      <c r="BG175" s="5"/>
      <c r="BH175" s="106" t="n">
        <f aca="false">IF(OR(ISNUMBER(BE175),BE175="DQ",BE175="P",BE175="NS"),
    1,
    0
)</f>
        <v>0</v>
      </c>
      <c r="BI175" s="106" t="n">
        <v>168</v>
      </c>
      <c r="BJ175" s="106" t="str">
        <f aca="false">IF(ISBLANK($C175),
    "",
   BF175+ROW($B175)/1000
)</f>
        <v/>
      </c>
      <c r="BK175" s="106" t="str">
        <f aca="false">IF(ISNUMBER(BJ175), RANK(BJ175,BJ$8:BJ$507,1), "")</f>
        <v/>
      </c>
      <c r="BL175" s="106" t="str">
        <f aca="false">IF(ISBLANK($C175),
    "",
    $B175
)</f>
        <v/>
      </c>
      <c r="BM175" s="106" t="str">
        <f aca="false">IF(ISBLANK($C175),
    "",
    $C175
)</f>
        <v/>
      </c>
      <c r="BN175" s="106" t="str">
        <f aca="false">IF(ISBLANK($C175),
    "",
    $D175
)</f>
        <v/>
      </c>
      <c r="BO175" s="107" t="str">
        <f aca="false">BC175</f>
        <v/>
      </c>
      <c r="BP175" s="108" t="str">
        <f aca="false">BB175</f>
        <v/>
      </c>
      <c r="BQ175" s="106" t="str">
        <f aca="false">IF(ISBLANK($C175),
    "",
    BE175
)</f>
        <v/>
      </c>
      <c r="BR175" s="109" t="str">
        <f aca="false">IF(BI175&gt;BH$7,
    "",
    VLOOKUP(BI175,BK$8:BQ674,7,FALSE())
)</f>
        <v/>
      </c>
      <c r="BS175" s="110" t="str">
        <f aca="false">IF(BI175&gt;BH$7,
    "",
    VLOOKUP(BI175,BK$8:BQ674,2,FALSE())
)</f>
        <v/>
      </c>
      <c r="BT175" s="110" t="str">
        <f aca="false">IF(BI175&gt;BH$7,
    "",
    VLOOKUP(BI175,BK$8:BQ674,3,FALSE())
)</f>
        <v/>
      </c>
      <c r="BU175" s="110" t="str">
        <f aca="false">IF(BI175&gt;BH$7,
    "",
    VLOOKUP(BI175,BK$8:BQ674,4,FALSE())
)</f>
        <v/>
      </c>
      <c r="BV175" s="110" t="str">
        <f aca="false">IF(BI175&gt;BH$7,
    "",
    VLOOKUP(BI175,BK$8:BQ674,5,FALSE())
)</f>
        <v/>
      </c>
      <c r="BW175" s="111" t="str">
        <f aca="false">IF(BI175&gt;BH$7,
    "",
    VLOOKUP(BI175,BK$8:BQ674,6,FALSE())
)</f>
        <v/>
      </c>
      <c r="BX175" s="50"/>
    </row>
    <row r="176" customFormat="false" ht="15.75" hidden="false" customHeight="false" outlineLevel="0" collapsed="false">
      <c r="A176" s="5"/>
      <c r="B176" s="126"/>
      <c r="C176" s="52"/>
      <c r="D176" s="53"/>
      <c r="E176" s="120"/>
      <c r="F176" s="120"/>
      <c r="G176" s="55"/>
      <c r="H176" s="56"/>
      <c r="I176" s="80"/>
      <c r="J176" s="80"/>
      <c r="K176" s="80"/>
      <c r="L176" s="58"/>
      <c r="M176" s="58"/>
      <c r="N176" s="58"/>
      <c r="O176" s="59"/>
      <c r="P176" s="60"/>
      <c r="Q176" s="80"/>
      <c r="R176" s="62"/>
      <c r="S176" s="63"/>
      <c r="T176" s="63" t="str">
        <f aca="false">IF(ISBLANK($C176),"",IF(G176=Constants!$B$2, TRUE(), IF(G176=Constants!$B$3, FALSE(), TRUE())))</f>
        <v/>
      </c>
      <c r="U176" s="63" t="str">
        <f aca="false">IF(ISBLANK($C176),"",IF(H176=Constants!$B$2, TRUE(), IF(H176=Constants!$B$3, FALSE(), TRUE())))</f>
        <v/>
      </c>
      <c r="V176" s="63" t="str">
        <f aca="false">IF(ISBLANK($C176),"",IF(I176=Constants!$B$2, TRUE(), IF(I176=Constants!$B$3, FALSE(), TRUE())))</f>
        <v/>
      </c>
      <c r="W176" s="63" t="str">
        <f aca="false">IF(ISBLANK($C176),"",IF(J176=Constants!$B$2, TRUE(), IF(J176=Constants!$B$3, FALSE(), TRUE())))</f>
        <v/>
      </c>
      <c r="X176" s="63" t="str">
        <f aca="false">IF(ISBLANK($C176),"",IF(K176=Constants!$B$2, TRUE(), IF(K176=Constants!$B$3, FALSE(), TRUE())))</f>
        <v/>
      </c>
      <c r="Y176" s="65" t="str">
        <f aca="false">IF(ISBLANK($C176),"",IF(ISNUMBER(L176), L176, ""))</f>
        <v/>
      </c>
      <c r="Z176" s="65" t="str">
        <f aca="false">IF(ISBLANK($C176),"",IF(ISNUMBER(M176), M176, ""))</f>
        <v/>
      </c>
      <c r="AA176" s="65" t="str">
        <f aca="false">IF(ISBLANK($C176),"",IF(ISNUMBER(N176), N176, ""))</f>
        <v/>
      </c>
      <c r="AB176" s="66" t="str">
        <f aca="false">IF(ISBLANK($C176),"",IF(ISNUMBER(O176), O176, ""))</f>
        <v/>
      </c>
      <c r="AC176" s="66" t="str">
        <f aca="false">IF(ISBLANK($C176),"",IF(ISNUMBER(P176), P176, Constants!$B$13))</f>
        <v/>
      </c>
      <c r="AD176" s="63" t="str">
        <f aca="false">IF(ISBLANK($C176),"",IF(Q176=Constants!$B$2, TRUE(), IF(Q176=Constants!$B$3, FALSE(), FALSE())))</f>
        <v/>
      </c>
      <c r="AE176" s="63" t="str">
        <f aca="false">IF(ISBLANK(C176), "", IF(AD176, Constants!$B$4,IF(COUNTA(G176:O176)=0, Constants!$B$5, Constants!$B$7)))</f>
        <v/>
      </c>
      <c r="AF176" s="63" t="str">
        <f aca="false">IF(ISBLANK($C176), "",IF($AE176=Constants!$B$7,1,$AE176))</f>
        <v/>
      </c>
      <c r="AG176" s="63" t="str">
        <f aca="false">IF($AE176=Constants!$B$7,IF(V176, 1, Constants!$B$11) * IF(X176, 1, Constants!$B$12),"")</f>
        <v/>
      </c>
      <c r="AH176" s="63" t="str">
        <f aca="false">IF(AND($AE176=Constants!$B$7, T176, U176) ,MAX(0, $AA176-$Y176),"")</f>
        <v/>
      </c>
      <c r="AI176" s="63" t="str">
        <f aca="false">IF(ISERROR(AH176),$AI$6,"")</f>
        <v/>
      </c>
      <c r="AJ176" s="63" t="str">
        <f aca="false">IF($AE176=Constants!$B$7,IF(AND(T176,U176,W176),IF($AH$6=0,Constants!$B$9,Constants!$B$9*AH176/$AH$6), 0),"")</f>
        <v/>
      </c>
      <c r="AK176" s="63" t="str">
        <f aca="false">IF(AJ176&lt;&gt;"", AJ176*AG176,"")</f>
        <v/>
      </c>
      <c r="AL176" s="63" t="str">
        <f aca="false">IF(AND($AE176=Constants!$B$7, T176, U176) ,IF($Z176="", "", MAX(0,1-ABS($AA176-$Z176)/$AA176)),"")</f>
        <v/>
      </c>
      <c r="AM176" s="63" t="str">
        <f aca="false">IF(AND(NOT(ISERROR(AH176)),ISERROR(AL176)),$AM$6,"")</f>
        <v/>
      </c>
      <c r="AN176" s="63" t="str">
        <f aca="false">IF($AE176=Constants!$B$7 ,IF(AND(T176,U176,W176,ISNUMBER(Z176)),IF($AL$6=0,Constants!$B$10,Constants!$B$10*AL176/$AL$6), 0),"")</f>
        <v/>
      </c>
      <c r="AO176" s="63" t="str">
        <f aca="false">IF(AN176&lt;&gt;"", AN176*AG176,"")</f>
        <v/>
      </c>
      <c r="AP176" s="63" t="str">
        <f aca="false">IF($AE176=Constants!$B$7,IF($AP$6=0,Constants!$B$8,Constants!$B$8*AB176/$AP$6),"")</f>
        <v/>
      </c>
      <c r="AQ176" s="63" t="str">
        <f aca="false">IF($AE176&lt;&gt;Constants!$B$7,$AE176,AK176+AO176+AP176)</f>
        <v/>
      </c>
      <c r="AR176" s="63" t="str">
        <f aca="false">IF(ISBLANK($C176),"",IF($AE176=Constants!$B$7,RANK(AQ176,$AQ$8:$AQ$507),$AE176))</f>
        <v/>
      </c>
      <c r="AS176" s="63" t="str">
        <f aca="false">IF(ISBLANK($C176), "",AK176)</f>
        <v/>
      </c>
      <c r="AT176" s="63" t="str">
        <f aca="false">IF(ISBLANK($C176),"",IF($AE176=Constants!$B$7,RANK(AS176,AS$8:AS$507),$AE176))</f>
        <v/>
      </c>
      <c r="AU176" s="63" t="str">
        <f aca="false">IF(ISBLANK($C176), "",AP176)</f>
        <v/>
      </c>
      <c r="AV176" s="63" t="str">
        <f aca="false">IF(ISBLANK($C176),"",IF($AE176=Constants!$B$7,RANK(AU176,AU$8:AU$507),$AE176))</f>
        <v/>
      </c>
      <c r="AW176" s="63" t="str">
        <f aca="false">IF(ISBLANK($C176), "",AC176)</f>
        <v/>
      </c>
      <c r="AX176" s="63" t="str">
        <f aca="false">IF(ISBLANK($C176),"",
IF($AE176=Constants!$B$7,
  COUNTIFS($AR$8:$AR$507,"&lt;"&amp;$AR176)
  + COUNTIFS($AR$8:$AR$507,$AR176,$AT$8:$AT$507,"&lt;"&amp;$AT176)
  + COUNTIFS($AR$8:$AR$507,$AR176,$AT$8:$AT$507,$AT176,$AV$8:$AV$507,"&lt;"&amp;$AV176)
  + COUNTIFS($AR$8:$AR$507,$AR176,$AT$8:$AT$507,$AT176,$AV$8:$AV$507,$AV176,$AW$8:$AW$507,"&lt;"&amp;$AW176)
  + 1,
$AE176))</f>
        <v/>
      </c>
      <c r="AY176" s="63" t="str">
        <f aca="false">IF(ISBLANK(C176),"",IF($AE176=Constants!$B$7, AR176-AX176,$AE176))</f>
        <v/>
      </c>
      <c r="AZ176" s="67"/>
      <c r="BA176" s="81" t="str">
        <f aca="false">IF(ISBLANK($C176),"",TRIM(AI176&amp;" "&amp;AM176))</f>
        <v/>
      </c>
      <c r="BB176" s="69" t="str">
        <f aca="false">IF(ISBLANK($C176),"",IF($AE176&lt;&gt;Constants!$B$7, $AE176 ,AQ176))</f>
        <v/>
      </c>
      <c r="BC176" s="70" t="str">
        <f aca="false">IF(ISBLANK($C176),"",IF($AE176&lt;&gt;Constants!$B$7, $AE176 ,AF176))</f>
        <v/>
      </c>
      <c r="BD176" s="71" t="str">
        <f aca="false">IF(ISBLANK(C176),"",AY176)</f>
        <v/>
      </c>
      <c r="BE176" s="71" t="str">
        <f aca="false">IF(ISBLANK(C176),"",AX176)</f>
        <v/>
      </c>
      <c r="BF176" s="72" t="str">
        <f aca="false">IF(ISBLANK(C176),"",IFERROR(_xlfn.SWITCH(BE176, Constants!$B$4, COUNTA($C$8:$C675)+2, Constants!$B$5, COUNTA($C$8:$C675)+1, Constants!$B$6, COUNTA($C$8:$C675)),BE176))</f>
        <v/>
      </c>
      <c r="BG176" s="5"/>
      <c r="BH176" s="73" t="n">
        <f aca="false">IF(OR(ISNUMBER(BE176),BE176="DQ",BE176="P",BE176="NS"),
    1,
    0
)</f>
        <v>0</v>
      </c>
      <c r="BI176" s="73" t="n">
        <v>169</v>
      </c>
      <c r="BJ176" s="73" t="str">
        <f aca="false">IF(ISBLANK($C176),
    "",
   BF176+ROW($B176)/1000
)</f>
        <v/>
      </c>
      <c r="BK176" s="73" t="str">
        <f aca="false">IF(ISNUMBER(BJ176), RANK(BJ176,BJ$8:BJ$507,1), "")</f>
        <v/>
      </c>
      <c r="BL176" s="73" t="str">
        <f aca="false">IF(ISBLANK($C176),
    "",
    $B176
)</f>
        <v/>
      </c>
      <c r="BM176" s="73" t="str">
        <f aca="false">IF(ISBLANK($C176),
    "",
    $C176
)</f>
        <v/>
      </c>
      <c r="BN176" s="73" t="str">
        <f aca="false">IF(ISBLANK($C176),
    "",
    $D176
)</f>
        <v/>
      </c>
      <c r="BO176" s="74" t="str">
        <f aca="false">BC176</f>
        <v/>
      </c>
      <c r="BP176" s="75" t="str">
        <f aca="false">BB176</f>
        <v/>
      </c>
      <c r="BQ176" s="73" t="str">
        <f aca="false">IF(ISBLANK($C176),
    "",
    BE176
)</f>
        <v/>
      </c>
      <c r="BR176" s="76" t="str">
        <f aca="false">IF(BI176&gt;BH$7,
    "",
    VLOOKUP(BI176,BK$8:BQ675,7,FALSE())
)</f>
        <v/>
      </c>
      <c r="BS176" s="77" t="str">
        <f aca="false">IF(BI176&gt;BH$7,
    "",
    VLOOKUP(BI176,BK$8:BQ675,2,FALSE())
)</f>
        <v/>
      </c>
      <c r="BT176" s="77" t="str">
        <f aca="false">IF(BI176&gt;BH$7,
    "",
    VLOOKUP(BI176,BK$8:BQ675,3,FALSE())
)</f>
        <v/>
      </c>
      <c r="BU176" s="77" t="str">
        <f aca="false">IF(BI176&gt;BH$7,
    "",
    VLOOKUP(BI176,BK$8:BQ675,4,FALSE())
)</f>
        <v/>
      </c>
      <c r="BV176" s="77" t="str">
        <f aca="false">IF(BI176&gt;BH$7,
    "",
    VLOOKUP(BI176,BK$8:BQ675,5,FALSE())
)</f>
        <v/>
      </c>
      <c r="BW176" s="78" t="str">
        <f aca="false">IF(BI176&gt;BH$7,
    "",
    VLOOKUP(BI176,BK$8:BQ675,6,FALSE())
)</f>
        <v/>
      </c>
      <c r="BX176" s="50"/>
    </row>
    <row r="177" customFormat="false" ht="15.75" hidden="false" customHeight="false" outlineLevel="0" collapsed="false">
      <c r="A177" s="5"/>
      <c r="B177" s="126"/>
      <c r="C177" s="52"/>
      <c r="D177" s="53"/>
      <c r="E177" s="120"/>
      <c r="F177" s="120"/>
      <c r="G177" s="55"/>
      <c r="H177" s="56"/>
      <c r="I177" s="80"/>
      <c r="J177" s="80"/>
      <c r="K177" s="80"/>
      <c r="L177" s="58"/>
      <c r="M177" s="58"/>
      <c r="N177" s="58"/>
      <c r="O177" s="59"/>
      <c r="P177" s="60"/>
      <c r="Q177" s="80"/>
      <c r="R177" s="62"/>
      <c r="S177" s="63"/>
      <c r="T177" s="63" t="str">
        <f aca="false">IF(ISBLANK($C177),"",IF(G177=Constants!$B$2, TRUE(), IF(G177=Constants!$B$3, FALSE(), TRUE())))</f>
        <v/>
      </c>
      <c r="U177" s="63" t="str">
        <f aca="false">IF(ISBLANK($C177),"",IF(H177=Constants!$B$2, TRUE(), IF(H177=Constants!$B$3, FALSE(), TRUE())))</f>
        <v/>
      </c>
      <c r="V177" s="63" t="str">
        <f aca="false">IF(ISBLANK($C177),"",IF(I177=Constants!$B$2, TRUE(), IF(I177=Constants!$B$3, FALSE(), TRUE())))</f>
        <v/>
      </c>
      <c r="W177" s="63" t="str">
        <f aca="false">IF(ISBLANK($C177),"",IF(J177=Constants!$B$2, TRUE(), IF(J177=Constants!$B$3, FALSE(), TRUE())))</f>
        <v/>
      </c>
      <c r="X177" s="63" t="str">
        <f aca="false">IF(ISBLANK($C177),"",IF(K177=Constants!$B$2, TRUE(), IF(K177=Constants!$B$3, FALSE(), TRUE())))</f>
        <v/>
      </c>
      <c r="Y177" s="65" t="str">
        <f aca="false">IF(ISBLANK($C177),"",IF(ISNUMBER(L177), L177, ""))</f>
        <v/>
      </c>
      <c r="Z177" s="65" t="str">
        <f aca="false">IF(ISBLANK($C177),"",IF(ISNUMBER(M177), M177, ""))</f>
        <v/>
      </c>
      <c r="AA177" s="65" t="str">
        <f aca="false">IF(ISBLANK($C177),"",IF(ISNUMBER(N177), N177, ""))</f>
        <v/>
      </c>
      <c r="AB177" s="66" t="str">
        <f aca="false">IF(ISBLANK($C177),"",IF(ISNUMBER(O177), O177, ""))</f>
        <v/>
      </c>
      <c r="AC177" s="66" t="str">
        <f aca="false">IF(ISBLANK($C177),"",IF(ISNUMBER(P177), P177, Constants!$B$13))</f>
        <v/>
      </c>
      <c r="AD177" s="63" t="str">
        <f aca="false">IF(ISBLANK($C177),"",IF(Q177=Constants!$B$2, TRUE(), IF(Q177=Constants!$B$3, FALSE(), FALSE())))</f>
        <v/>
      </c>
      <c r="AE177" s="63" t="str">
        <f aca="false">IF(ISBLANK(C177), "", IF(AD177, Constants!$B$4,IF(COUNTA(G177:O177)=0, Constants!$B$5, Constants!$B$7)))</f>
        <v/>
      </c>
      <c r="AF177" s="63" t="str">
        <f aca="false">IF(ISBLANK($C177), "",IF($AE177=Constants!$B$7,1,$AE177))</f>
        <v/>
      </c>
      <c r="AG177" s="63" t="str">
        <f aca="false">IF($AE177=Constants!$B$7,IF(V177, 1, Constants!$B$11) * IF(X177, 1, Constants!$B$12),"")</f>
        <v/>
      </c>
      <c r="AH177" s="63" t="str">
        <f aca="false">IF(AND($AE177=Constants!$B$7, T177, U177) ,MAX(0, $AA177-$Y177),"")</f>
        <v/>
      </c>
      <c r="AI177" s="63" t="str">
        <f aca="false">IF(ISERROR(AH177),$AI$6,"")</f>
        <v/>
      </c>
      <c r="AJ177" s="63" t="str">
        <f aca="false">IF($AE177=Constants!$B$7,IF(AND(T177,U177,W177),IF($AH$6=0,Constants!$B$9,Constants!$B$9*AH177/$AH$6), 0),"")</f>
        <v/>
      </c>
      <c r="AK177" s="63" t="str">
        <f aca="false">IF(AJ177&lt;&gt;"", AJ177*AG177,"")</f>
        <v/>
      </c>
      <c r="AL177" s="63" t="str">
        <f aca="false">IF(AND($AE177=Constants!$B$7, T177, U177) ,IF($Z177="", "", MAX(0,1-ABS($AA177-$Z177)/$AA177)),"")</f>
        <v/>
      </c>
      <c r="AM177" s="63" t="str">
        <f aca="false">IF(AND(NOT(ISERROR(AH177)),ISERROR(AL177)),$AM$6,"")</f>
        <v/>
      </c>
      <c r="AN177" s="63" t="str">
        <f aca="false">IF($AE177=Constants!$B$7 ,IF(AND(T177,U177,W177,ISNUMBER(Z177)),IF($AL$6=0,Constants!$B$10,Constants!$B$10*AL177/$AL$6), 0),"")</f>
        <v/>
      </c>
      <c r="AO177" s="63" t="str">
        <f aca="false">IF(AN177&lt;&gt;"", AN177*AG177,"")</f>
        <v/>
      </c>
      <c r="AP177" s="63" t="str">
        <f aca="false">IF($AE177=Constants!$B$7,IF($AP$6=0,Constants!$B$8,Constants!$B$8*AB177/$AP$6),"")</f>
        <v/>
      </c>
      <c r="AQ177" s="63" t="str">
        <f aca="false">IF($AE177&lt;&gt;Constants!$B$7,$AE177,AK177+AO177+AP177)</f>
        <v/>
      </c>
      <c r="AR177" s="63" t="str">
        <f aca="false">IF(ISBLANK($C177),"",IF($AE177=Constants!$B$7,RANK(AQ177,$AQ$8:$AQ$507),$AE177))</f>
        <v/>
      </c>
      <c r="AS177" s="63" t="str">
        <f aca="false">IF(ISBLANK($C177), "",AK177)</f>
        <v/>
      </c>
      <c r="AT177" s="63" t="str">
        <f aca="false">IF(ISBLANK($C177),"",IF($AE177=Constants!$B$7,RANK(AS177,AS$8:AS$507),$AE177))</f>
        <v/>
      </c>
      <c r="AU177" s="63" t="str">
        <f aca="false">IF(ISBLANK($C177), "",AP177)</f>
        <v/>
      </c>
      <c r="AV177" s="63" t="str">
        <f aca="false">IF(ISBLANK($C177),"",IF($AE177=Constants!$B$7,RANK(AU177,AU$8:AU$507),$AE177))</f>
        <v/>
      </c>
      <c r="AW177" s="63" t="str">
        <f aca="false">IF(ISBLANK($C177), "",AC177)</f>
        <v/>
      </c>
      <c r="AX177" s="63" t="str">
        <f aca="false">IF(ISBLANK($C177),"",
IF($AE177=Constants!$B$7,
  COUNTIFS($AR$8:$AR$507,"&lt;"&amp;$AR177)
  + COUNTIFS($AR$8:$AR$507,$AR177,$AT$8:$AT$507,"&lt;"&amp;$AT177)
  + COUNTIFS($AR$8:$AR$507,$AR177,$AT$8:$AT$507,$AT177,$AV$8:$AV$507,"&lt;"&amp;$AV177)
  + COUNTIFS($AR$8:$AR$507,$AR177,$AT$8:$AT$507,$AT177,$AV$8:$AV$507,$AV177,$AW$8:$AW$507,"&lt;"&amp;$AW177)
  + 1,
$AE177))</f>
        <v/>
      </c>
      <c r="AY177" s="63" t="str">
        <f aca="false">IF(ISBLANK(C177),"",IF($AE177=Constants!$B$7, AR177-AX177,$AE177))</f>
        <v/>
      </c>
      <c r="AZ177" s="67"/>
      <c r="BA177" s="81" t="str">
        <f aca="false">IF(ISBLANK($C177),"",TRIM(AI177&amp;" "&amp;AM177))</f>
        <v/>
      </c>
      <c r="BB177" s="69" t="str">
        <f aca="false">IF(ISBLANK($C177),"",IF($AE177&lt;&gt;Constants!$B$7, $AE177 ,AQ177))</f>
        <v/>
      </c>
      <c r="BC177" s="70" t="str">
        <f aca="false">IF(ISBLANK($C177),"",IF($AE177&lt;&gt;Constants!$B$7, $AE177 ,AF177))</f>
        <v/>
      </c>
      <c r="BD177" s="71" t="str">
        <f aca="false">IF(ISBLANK(C177),"",AY177)</f>
        <v/>
      </c>
      <c r="BE177" s="71" t="str">
        <f aca="false">IF(ISBLANK(C177),"",AX177)</f>
        <v/>
      </c>
      <c r="BF177" s="72" t="str">
        <f aca="false">IF(ISBLANK(C177),"",IFERROR(_xlfn.SWITCH(BE177, Constants!$B$4, COUNTA($C$8:$C676)+2, Constants!$B$5, COUNTA($C$8:$C676)+1, Constants!$B$6, COUNTA($C$8:$C676)),BE177))</f>
        <v/>
      </c>
      <c r="BG177" s="5"/>
      <c r="BH177" s="73" t="n">
        <f aca="false">IF(OR(ISNUMBER(BE177),BE177="DQ",BE177="P",BE177="NS"),
    1,
    0
)</f>
        <v>0</v>
      </c>
      <c r="BI177" s="73" t="n">
        <v>170</v>
      </c>
      <c r="BJ177" s="73" t="str">
        <f aca="false">IF(ISBLANK($C177),
    "",
   BF177+ROW($B177)/1000
)</f>
        <v/>
      </c>
      <c r="BK177" s="73" t="str">
        <f aca="false">IF(ISNUMBER(BJ177), RANK(BJ177,BJ$8:BJ$507,1), "")</f>
        <v/>
      </c>
      <c r="BL177" s="73" t="str">
        <f aca="false">IF(ISBLANK($C177),
    "",
    $B177
)</f>
        <v/>
      </c>
      <c r="BM177" s="73" t="str">
        <f aca="false">IF(ISBLANK($C177),
    "",
    $C177
)</f>
        <v/>
      </c>
      <c r="BN177" s="73" t="str">
        <f aca="false">IF(ISBLANK($C177),
    "",
    $D177
)</f>
        <v/>
      </c>
      <c r="BO177" s="74" t="str">
        <f aca="false">BC177</f>
        <v/>
      </c>
      <c r="BP177" s="75" t="str">
        <f aca="false">BB177</f>
        <v/>
      </c>
      <c r="BQ177" s="73" t="str">
        <f aca="false">IF(ISBLANK($C177),
    "",
    BE177
)</f>
        <v/>
      </c>
      <c r="BR177" s="76" t="str">
        <f aca="false">IF(BI177&gt;BH$7,
    "",
    VLOOKUP(BI177,BK$8:BQ676,7,FALSE())
)</f>
        <v/>
      </c>
      <c r="BS177" s="77" t="str">
        <f aca="false">IF(BI177&gt;BH$7,
    "",
    VLOOKUP(BI177,BK$8:BQ676,2,FALSE())
)</f>
        <v/>
      </c>
      <c r="BT177" s="77" t="str">
        <f aca="false">IF(BI177&gt;BH$7,
    "",
    VLOOKUP(BI177,BK$8:BQ676,3,FALSE())
)</f>
        <v/>
      </c>
      <c r="BU177" s="77" t="str">
        <f aca="false">IF(BI177&gt;BH$7,
    "",
    VLOOKUP(BI177,BK$8:BQ676,4,FALSE())
)</f>
        <v/>
      </c>
      <c r="BV177" s="77" t="str">
        <f aca="false">IF(BI177&gt;BH$7,
    "",
    VLOOKUP(BI177,BK$8:BQ676,5,FALSE())
)</f>
        <v/>
      </c>
      <c r="BW177" s="78" t="str">
        <f aca="false">IF(BI177&gt;BH$7,
    "",
    VLOOKUP(BI177,BK$8:BQ676,6,FALSE())
)</f>
        <v/>
      </c>
      <c r="BX177" s="50"/>
    </row>
    <row r="178" customFormat="false" ht="15.75" hidden="false" customHeight="false" outlineLevel="0" collapsed="false">
      <c r="A178" s="5"/>
      <c r="B178" s="126"/>
      <c r="C178" s="52"/>
      <c r="D178" s="53"/>
      <c r="E178" s="120"/>
      <c r="F178" s="120"/>
      <c r="G178" s="55"/>
      <c r="H178" s="56"/>
      <c r="I178" s="80"/>
      <c r="J178" s="80"/>
      <c r="K178" s="80"/>
      <c r="L178" s="58"/>
      <c r="M178" s="58"/>
      <c r="N178" s="58"/>
      <c r="O178" s="59"/>
      <c r="P178" s="60"/>
      <c r="Q178" s="80"/>
      <c r="R178" s="62"/>
      <c r="S178" s="63"/>
      <c r="T178" s="63" t="str">
        <f aca="false">IF(ISBLANK($C178),"",IF(G178=Constants!$B$2, TRUE(), IF(G178=Constants!$B$3, FALSE(), TRUE())))</f>
        <v/>
      </c>
      <c r="U178" s="63" t="str">
        <f aca="false">IF(ISBLANK($C178),"",IF(H178=Constants!$B$2, TRUE(), IF(H178=Constants!$B$3, FALSE(), TRUE())))</f>
        <v/>
      </c>
      <c r="V178" s="63" t="str">
        <f aca="false">IF(ISBLANK($C178),"",IF(I178=Constants!$B$2, TRUE(), IF(I178=Constants!$B$3, FALSE(), TRUE())))</f>
        <v/>
      </c>
      <c r="W178" s="63" t="str">
        <f aca="false">IF(ISBLANK($C178),"",IF(J178=Constants!$B$2, TRUE(), IF(J178=Constants!$B$3, FALSE(), TRUE())))</f>
        <v/>
      </c>
      <c r="X178" s="63" t="str">
        <f aca="false">IF(ISBLANK($C178),"",IF(K178=Constants!$B$2, TRUE(), IF(K178=Constants!$B$3, FALSE(), TRUE())))</f>
        <v/>
      </c>
      <c r="Y178" s="65" t="str">
        <f aca="false">IF(ISBLANK($C178),"",IF(ISNUMBER(L178), L178, ""))</f>
        <v/>
      </c>
      <c r="Z178" s="65" t="str">
        <f aca="false">IF(ISBLANK($C178),"",IF(ISNUMBER(M178), M178, ""))</f>
        <v/>
      </c>
      <c r="AA178" s="65" t="str">
        <f aca="false">IF(ISBLANK($C178),"",IF(ISNUMBER(N178), N178, ""))</f>
        <v/>
      </c>
      <c r="AB178" s="66" t="str">
        <f aca="false">IF(ISBLANK($C178),"",IF(ISNUMBER(O178), O178, ""))</f>
        <v/>
      </c>
      <c r="AC178" s="66" t="str">
        <f aca="false">IF(ISBLANK($C178),"",IF(ISNUMBER(P178), P178, Constants!$B$13))</f>
        <v/>
      </c>
      <c r="AD178" s="63" t="str">
        <f aca="false">IF(ISBLANK($C178),"",IF(Q178=Constants!$B$2, TRUE(), IF(Q178=Constants!$B$3, FALSE(), FALSE())))</f>
        <v/>
      </c>
      <c r="AE178" s="63" t="str">
        <f aca="false">IF(ISBLANK(C178), "", IF(AD178, Constants!$B$4,IF(COUNTA(G178:O178)=0, Constants!$B$5, Constants!$B$7)))</f>
        <v/>
      </c>
      <c r="AF178" s="63" t="str">
        <f aca="false">IF(ISBLANK($C178), "",IF($AE178=Constants!$B$7,1,$AE178))</f>
        <v/>
      </c>
      <c r="AG178" s="63" t="str">
        <f aca="false">IF($AE178=Constants!$B$7,IF(V178, 1, Constants!$B$11) * IF(X178, 1, Constants!$B$12),"")</f>
        <v/>
      </c>
      <c r="AH178" s="63" t="str">
        <f aca="false">IF(AND($AE178=Constants!$B$7, T178, U178) ,MAX(0, $AA178-$Y178),"")</f>
        <v/>
      </c>
      <c r="AI178" s="63" t="str">
        <f aca="false">IF(ISERROR(AH178),$AI$6,"")</f>
        <v/>
      </c>
      <c r="AJ178" s="63" t="str">
        <f aca="false">IF($AE178=Constants!$B$7,IF(AND(T178,U178,W178),IF($AH$6=0,Constants!$B$9,Constants!$B$9*AH178/$AH$6), 0),"")</f>
        <v/>
      </c>
      <c r="AK178" s="63" t="str">
        <f aca="false">IF(AJ178&lt;&gt;"", AJ178*AG178,"")</f>
        <v/>
      </c>
      <c r="AL178" s="63" t="str">
        <f aca="false">IF(AND($AE178=Constants!$B$7, T178, U178) ,IF($Z178="", "", MAX(0,1-ABS($AA178-$Z178)/$AA178)),"")</f>
        <v/>
      </c>
      <c r="AM178" s="63" t="str">
        <f aca="false">IF(AND(NOT(ISERROR(AH178)),ISERROR(AL178)),$AM$6,"")</f>
        <v/>
      </c>
      <c r="AN178" s="63" t="str">
        <f aca="false">IF($AE178=Constants!$B$7 ,IF(AND(T178,U178,W178,ISNUMBER(Z178)),IF($AL$6=0,Constants!$B$10,Constants!$B$10*AL178/$AL$6), 0),"")</f>
        <v/>
      </c>
      <c r="AO178" s="63" t="str">
        <f aca="false">IF(AN178&lt;&gt;"", AN178*AG178,"")</f>
        <v/>
      </c>
      <c r="AP178" s="63" t="str">
        <f aca="false">IF($AE178=Constants!$B$7,IF($AP$6=0,Constants!$B$8,Constants!$B$8*AB178/$AP$6),"")</f>
        <v/>
      </c>
      <c r="AQ178" s="63" t="str">
        <f aca="false">IF($AE178&lt;&gt;Constants!$B$7,$AE178,AK178+AO178+AP178)</f>
        <v/>
      </c>
      <c r="AR178" s="63" t="str">
        <f aca="false">IF(ISBLANK($C178),"",IF($AE178=Constants!$B$7,RANK(AQ178,$AQ$8:$AQ$507),$AE178))</f>
        <v/>
      </c>
      <c r="AS178" s="63" t="str">
        <f aca="false">IF(ISBLANK($C178), "",AK178)</f>
        <v/>
      </c>
      <c r="AT178" s="63" t="str">
        <f aca="false">IF(ISBLANK($C178),"",IF($AE178=Constants!$B$7,RANK(AS178,AS$8:AS$507),$AE178))</f>
        <v/>
      </c>
      <c r="AU178" s="63" t="str">
        <f aca="false">IF(ISBLANK($C178), "",AP178)</f>
        <v/>
      </c>
      <c r="AV178" s="63" t="str">
        <f aca="false">IF(ISBLANK($C178),"",IF($AE178=Constants!$B$7,RANK(AU178,AU$8:AU$507),$AE178))</f>
        <v/>
      </c>
      <c r="AW178" s="63" t="str">
        <f aca="false">IF(ISBLANK($C178), "",AC178)</f>
        <v/>
      </c>
      <c r="AX178" s="63" t="str">
        <f aca="false">IF(ISBLANK($C178),"",
IF($AE178=Constants!$B$7,
  COUNTIFS($AR$8:$AR$507,"&lt;"&amp;$AR178)
  + COUNTIFS($AR$8:$AR$507,$AR178,$AT$8:$AT$507,"&lt;"&amp;$AT178)
  + COUNTIFS($AR$8:$AR$507,$AR178,$AT$8:$AT$507,$AT178,$AV$8:$AV$507,"&lt;"&amp;$AV178)
  + COUNTIFS($AR$8:$AR$507,$AR178,$AT$8:$AT$507,$AT178,$AV$8:$AV$507,$AV178,$AW$8:$AW$507,"&lt;"&amp;$AW178)
  + 1,
$AE178))</f>
        <v/>
      </c>
      <c r="AY178" s="63" t="str">
        <f aca="false">IF(ISBLANK(C178),"",IF($AE178=Constants!$B$7, AR178-AX178,$AE178))</f>
        <v/>
      </c>
      <c r="AZ178" s="67"/>
      <c r="BA178" s="81" t="str">
        <f aca="false">IF(ISBLANK($C178),"",TRIM(AI178&amp;" "&amp;AM178))</f>
        <v/>
      </c>
      <c r="BB178" s="69" t="str">
        <f aca="false">IF(ISBLANK($C178),"",IF($AE178&lt;&gt;Constants!$B$7, $AE178 ,AQ178))</f>
        <v/>
      </c>
      <c r="BC178" s="70" t="str">
        <f aca="false">IF(ISBLANK($C178),"",IF($AE178&lt;&gt;Constants!$B$7, $AE178 ,AF178))</f>
        <v/>
      </c>
      <c r="BD178" s="71" t="str">
        <f aca="false">IF(ISBLANK(C178),"",AY178)</f>
        <v/>
      </c>
      <c r="BE178" s="71" t="str">
        <f aca="false">IF(ISBLANK(C178),"",AX178)</f>
        <v/>
      </c>
      <c r="BF178" s="72" t="str">
        <f aca="false">IF(ISBLANK(C178),"",IFERROR(_xlfn.SWITCH(BE178, Constants!$B$4, COUNTA($C$8:$C677)+2, Constants!$B$5, COUNTA($C$8:$C677)+1, Constants!$B$6, COUNTA($C$8:$C677)),BE178))</f>
        <v/>
      </c>
      <c r="BG178" s="5"/>
      <c r="BH178" s="73" t="n">
        <f aca="false">IF(OR(ISNUMBER(BE178),BE178="DQ",BE178="P",BE178="NS"),
    1,
    0
)</f>
        <v>0</v>
      </c>
      <c r="BI178" s="73" t="n">
        <v>171</v>
      </c>
      <c r="BJ178" s="73" t="str">
        <f aca="false">IF(ISBLANK($C178),
    "",
   BF178+ROW($B178)/1000
)</f>
        <v/>
      </c>
      <c r="BK178" s="73" t="str">
        <f aca="false">IF(ISNUMBER(BJ178), RANK(BJ178,BJ$8:BJ$507,1), "")</f>
        <v/>
      </c>
      <c r="BL178" s="73" t="str">
        <f aca="false">IF(ISBLANK($C178),
    "",
    $B178
)</f>
        <v/>
      </c>
      <c r="BM178" s="73" t="str">
        <f aca="false">IF(ISBLANK($C178),
    "",
    $C178
)</f>
        <v/>
      </c>
      <c r="BN178" s="73" t="str">
        <f aca="false">IF(ISBLANK($C178),
    "",
    $D178
)</f>
        <v/>
      </c>
      <c r="BO178" s="74" t="str">
        <f aca="false">BC178</f>
        <v/>
      </c>
      <c r="BP178" s="75" t="str">
        <f aca="false">BB178</f>
        <v/>
      </c>
      <c r="BQ178" s="73" t="str">
        <f aca="false">IF(ISBLANK($C178),
    "",
    BE178
)</f>
        <v/>
      </c>
      <c r="BR178" s="76" t="str">
        <f aca="false">IF(BI178&gt;BH$7,
    "",
    VLOOKUP(BI178,BK$8:BQ677,7,FALSE())
)</f>
        <v/>
      </c>
      <c r="BS178" s="77" t="str">
        <f aca="false">IF(BI178&gt;BH$7,
    "",
    VLOOKUP(BI178,BK$8:BQ677,2,FALSE())
)</f>
        <v/>
      </c>
      <c r="BT178" s="77" t="str">
        <f aca="false">IF(BI178&gt;BH$7,
    "",
    VLOOKUP(BI178,BK$8:BQ677,3,FALSE())
)</f>
        <v/>
      </c>
      <c r="BU178" s="77" t="str">
        <f aca="false">IF(BI178&gt;BH$7,
    "",
    VLOOKUP(BI178,BK$8:BQ677,4,FALSE())
)</f>
        <v/>
      </c>
      <c r="BV178" s="77" t="str">
        <f aca="false">IF(BI178&gt;BH$7,
    "",
    VLOOKUP(BI178,BK$8:BQ677,5,FALSE())
)</f>
        <v/>
      </c>
      <c r="BW178" s="78" t="str">
        <f aca="false">IF(BI178&gt;BH$7,
    "",
    VLOOKUP(BI178,BK$8:BQ677,6,FALSE())
)</f>
        <v/>
      </c>
      <c r="BX178" s="50"/>
    </row>
    <row r="179" customFormat="false" ht="15.75" hidden="false" customHeight="false" outlineLevel="0" collapsed="false">
      <c r="A179" s="5"/>
      <c r="B179" s="122"/>
      <c r="C179" s="123"/>
      <c r="D179" s="112"/>
      <c r="E179" s="116"/>
      <c r="F179" s="116"/>
      <c r="G179" s="88"/>
      <c r="H179" s="89"/>
      <c r="I179" s="125"/>
      <c r="J179" s="125"/>
      <c r="K179" s="125"/>
      <c r="L179" s="91"/>
      <c r="M179" s="91"/>
      <c r="N179" s="91"/>
      <c r="O179" s="92"/>
      <c r="P179" s="93"/>
      <c r="Q179" s="125"/>
      <c r="R179" s="95"/>
      <c r="S179" s="96"/>
      <c r="T179" s="96" t="str">
        <f aca="false">IF(ISBLANK($C179),"",IF(G179=Constants!$B$2, TRUE(), IF(G179=Constants!$B$3, FALSE(), TRUE())))</f>
        <v/>
      </c>
      <c r="U179" s="96" t="str">
        <f aca="false">IF(ISBLANK($C179),"",IF(H179=Constants!$B$2, TRUE(), IF(H179=Constants!$B$3, FALSE(), TRUE())))</f>
        <v/>
      </c>
      <c r="V179" s="96" t="str">
        <f aca="false">IF(ISBLANK($C179),"",IF(I179=Constants!$B$2, TRUE(), IF(I179=Constants!$B$3, FALSE(), TRUE())))</f>
        <v/>
      </c>
      <c r="W179" s="96" t="str">
        <f aca="false">IF(ISBLANK($C179),"",IF(J179=Constants!$B$2, TRUE(), IF(J179=Constants!$B$3, FALSE(), TRUE())))</f>
        <v/>
      </c>
      <c r="X179" s="97" t="str">
        <f aca="false">IF(ISBLANK($C179),"",IF(K179=Constants!$B$2, TRUE(), IF(K179=Constants!$B$3, FALSE(), TRUE())))</f>
        <v/>
      </c>
      <c r="Y179" s="98" t="str">
        <f aca="false">IF(ISBLANK($C179),"",IF(ISNUMBER(L179), L179, ""))</f>
        <v/>
      </c>
      <c r="Z179" s="98" t="str">
        <f aca="false">IF(ISBLANK($C179),"",IF(ISNUMBER(M179), M179, ""))</f>
        <v/>
      </c>
      <c r="AA179" s="98" t="str">
        <f aca="false">IF(ISBLANK($C179),"",IF(ISNUMBER(N179), N179, ""))</f>
        <v/>
      </c>
      <c r="AB179" s="99" t="str">
        <f aca="false">IF(ISBLANK($C179),"",IF(ISNUMBER(O179), O179, ""))</f>
        <v/>
      </c>
      <c r="AC179" s="99" t="str">
        <f aca="false">IF(ISBLANK($C179),"",IF(ISNUMBER(P179), P179, Constants!$B$13))</f>
        <v/>
      </c>
      <c r="AD179" s="96" t="str">
        <f aca="false">IF(ISBLANK($C179),"",IF(Q179=Constants!$B$2, TRUE(), IF(Q179=Constants!$B$3, FALSE(), FALSE())))</f>
        <v/>
      </c>
      <c r="AE179" s="96" t="str">
        <f aca="false">IF(ISBLANK(C179), "", IF(AD179, Constants!$B$4,IF(COUNTA(G179:O179)=0, Constants!$B$5, Constants!$B$7)))</f>
        <v/>
      </c>
      <c r="AF179" s="96" t="str">
        <f aca="false">IF(ISBLANK($C179), "",IF($AE179=Constants!$B$7,1,$AE179))</f>
        <v/>
      </c>
      <c r="AG179" s="96" t="str">
        <f aca="false">IF($AE179=Constants!$B$7,IF(V179, 1, Constants!$B$11) * IF(X179, 1, Constants!$B$12),"")</f>
        <v/>
      </c>
      <c r="AH179" s="96" t="str">
        <f aca="false">IF(AND($AE179=Constants!$B$7, T179, U179) ,MAX(0, $AA179-$Y179),"")</f>
        <v/>
      </c>
      <c r="AI179" s="96" t="str">
        <f aca="false">IF(ISERROR(AH179),$AI$6,"")</f>
        <v/>
      </c>
      <c r="AJ179" s="96" t="str">
        <f aca="false">IF($AE179=Constants!$B$7,IF(AND(T179,U179,W179),IF($AH$6=0,Constants!$B$9,Constants!$B$9*AH179/$AH$6), 0),"")</f>
        <v/>
      </c>
      <c r="AK179" s="96" t="str">
        <f aca="false">IF(AJ179&lt;&gt;"", AJ179*AG179,"")</f>
        <v/>
      </c>
      <c r="AL179" s="96" t="str">
        <f aca="false">IF(AND($AE179=Constants!$B$7, T179, U179) ,IF($Z179="", "", MAX(0,1-ABS($AA179-$Z179)/$AA179)),"")</f>
        <v/>
      </c>
      <c r="AM179" s="96" t="str">
        <f aca="false">IF(AND(NOT(ISERROR(AH179)),ISERROR(AL179)),$AM$6,"")</f>
        <v/>
      </c>
      <c r="AN179" s="96" t="str">
        <f aca="false">IF($AE179=Constants!$B$7 ,IF(AND(T179,U179,W179,ISNUMBER(Z179)),IF($AL$6=0,Constants!$B$10,Constants!$B$10*AL179/$AL$6), 0),"")</f>
        <v/>
      </c>
      <c r="AO179" s="96" t="str">
        <f aca="false">IF(AN179&lt;&gt;"", AN179*AG179,"")</f>
        <v/>
      </c>
      <c r="AP179" s="96" t="str">
        <f aca="false">IF($AE179=Constants!$B$7,IF($AP$6=0,Constants!$B$8,Constants!$B$8*AB179/$AP$6),"")</f>
        <v/>
      </c>
      <c r="AQ179" s="96" t="str">
        <f aca="false">IF($AE179&lt;&gt;Constants!$B$7,$AE179,AK179+AO179+AP179)</f>
        <v/>
      </c>
      <c r="AR179" s="96" t="str">
        <f aca="false">IF(ISBLANK($C179),"",IF($AE179=Constants!$B$7,RANK(AQ179,$AQ$8:$AQ$507),$AE179))</f>
        <v/>
      </c>
      <c r="AS179" s="96" t="str">
        <f aca="false">IF(ISBLANK($C179), "",AK179)</f>
        <v/>
      </c>
      <c r="AT179" s="96" t="str">
        <f aca="false">IF(ISBLANK($C179),"",IF($AE179=Constants!$B$7,RANK(AS179,AS$8:AS$507),$AE179))</f>
        <v/>
      </c>
      <c r="AU179" s="96" t="str">
        <f aca="false">IF(ISBLANK($C179), "",AP179)</f>
        <v/>
      </c>
      <c r="AV179" s="96" t="str">
        <f aca="false">IF(ISBLANK($C179),"",IF($AE179=Constants!$B$7,RANK(AU179,AU$8:AU$507),$AE179))</f>
        <v/>
      </c>
      <c r="AW179" s="96" t="str">
        <f aca="false">IF(ISBLANK($C179), "",AC179)</f>
        <v/>
      </c>
      <c r="AX179" s="96" t="str">
        <f aca="false">IF(ISBLANK($C179),"",
IF($AE179=Constants!$B$7,
  COUNTIFS($AR$8:$AR$507,"&lt;"&amp;$AR179)
  + COUNTIFS($AR$8:$AR$507,$AR179,$AT$8:$AT$507,"&lt;"&amp;$AT179)
  + COUNTIFS($AR$8:$AR$507,$AR179,$AT$8:$AT$507,$AT179,$AV$8:$AV$507,"&lt;"&amp;$AV179)
  + COUNTIFS($AR$8:$AR$507,$AR179,$AT$8:$AT$507,$AT179,$AV$8:$AV$507,$AV179,$AW$8:$AW$507,"&lt;"&amp;$AW179)
  + 1,
$AE179))</f>
        <v/>
      </c>
      <c r="AY179" s="96" t="str">
        <f aca="false">IF(ISBLANK(C179),"",IF($AE179=Constants!$B$7, AR179-AX179,$AE179))</f>
        <v/>
      </c>
      <c r="AZ179" s="100"/>
      <c r="BA179" s="101" t="str">
        <f aca="false">IF(ISBLANK($C179),"",TRIM(AI179&amp;" "&amp;AM179))</f>
        <v/>
      </c>
      <c r="BB179" s="102" t="str">
        <f aca="false">IF(ISBLANK($C179),"",IF($AE179&lt;&gt;Constants!$B$7, $AE179 ,AQ179))</f>
        <v/>
      </c>
      <c r="BC179" s="103" t="str">
        <f aca="false">IF(ISBLANK($C179),"",IF($AE179&lt;&gt;Constants!$B$7, $AE179 ,AF179))</f>
        <v/>
      </c>
      <c r="BD179" s="104" t="str">
        <f aca="false">IF(ISBLANK(C179),"",AY179)</f>
        <v/>
      </c>
      <c r="BE179" s="104" t="str">
        <f aca="false">IF(ISBLANK(C179),"",AX179)</f>
        <v/>
      </c>
      <c r="BF179" s="105" t="str">
        <f aca="false">IF(ISBLANK(C179),"",IFERROR(_xlfn.SWITCH(BE179, Constants!$B$4, COUNTA($C$8:$C678)+2, Constants!$B$5, COUNTA($C$8:$C678)+1, Constants!$B$6, COUNTA($C$8:$C678)),BE179))</f>
        <v/>
      </c>
      <c r="BG179" s="5"/>
      <c r="BH179" s="106" t="n">
        <f aca="false">IF(OR(ISNUMBER(BE179),BE179="DQ",BE179="P",BE179="NS"),
    1,
    0
)</f>
        <v>0</v>
      </c>
      <c r="BI179" s="106" t="n">
        <v>172</v>
      </c>
      <c r="BJ179" s="106" t="str">
        <f aca="false">IF(ISBLANK($C179),
    "",
   BF179+ROW($B179)/1000
)</f>
        <v/>
      </c>
      <c r="BK179" s="106" t="str">
        <f aca="false">IF(ISNUMBER(BJ179), RANK(BJ179,BJ$8:BJ$507,1), "")</f>
        <v/>
      </c>
      <c r="BL179" s="106" t="str">
        <f aca="false">IF(ISBLANK($C179),
    "",
    $B179
)</f>
        <v/>
      </c>
      <c r="BM179" s="106" t="str">
        <f aca="false">IF(ISBLANK($C179),
    "",
    $C179
)</f>
        <v/>
      </c>
      <c r="BN179" s="106" t="str">
        <f aca="false">IF(ISBLANK($C179),
    "",
    $D179
)</f>
        <v/>
      </c>
      <c r="BO179" s="107" t="str">
        <f aca="false">BC179</f>
        <v/>
      </c>
      <c r="BP179" s="108" t="str">
        <f aca="false">BB179</f>
        <v/>
      </c>
      <c r="BQ179" s="106" t="str">
        <f aca="false">IF(ISBLANK($C179),
    "",
    BE179
)</f>
        <v/>
      </c>
      <c r="BR179" s="109" t="str">
        <f aca="false">IF(BI179&gt;BH$7,
    "",
    VLOOKUP(BI179,BK$8:BQ678,7,FALSE())
)</f>
        <v/>
      </c>
      <c r="BS179" s="110" t="str">
        <f aca="false">IF(BI179&gt;BH$7,
    "",
    VLOOKUP(BI179,BK$8:BQ678,2,FALSE())
)</f>
        <v/>
      </c>
      <c r="BT179" s="110" t="str">
        <f aca="false">IF(BI179&gt;BH$7,
    "",
    VLOOKUP(BI179,BK$8:BQ678,3,FALSE())
)</f>
        <v/>
      </c>
      <c r="BU179" s="110" t="str">
        <f aca="false">IF(BI179&gt;BH$7,
    "",
    VLOOKUP(BI179,BK$8:BQ678,4,FALSE())
)</f>
        <v/>
      </c>
      <c r="BV179" s="110" t="str">
        <f aca="false">IF(BI179&gt;BH$7,
    "",
    VLOOKUP(BI179,BK$8:BQ678,5,FALSE())
)</f>
        <v/>
      </c>
      <c r="BW179" s="111" t="str">
        <f aca="false">IF(BI179&gt;BH$7,
    "",
    VLOOKUP(BI179,BK$8:BQ678,6,FALSE())
)</f>
        <v/>
      </c>
      <c r="BX179" s="50"/>
    </row>
    <row r="180" customFormat="false" ht="15.75" hidden="false" customHeight="false" outlineLevel="0" collapsed="false">
      <c r="A180" s="5"/>
      <c r="B180" s="122"/>
      <c r="C180" s="123"/>
      <c r="D180" s="112"/>
      <c r="E180" s="116"/>
      <c r="F180" s="116"/>
      <c r="G180" s="88"/>
      <c r="H180" s="89"/>
      <c r="I180" s="125"/>
      <c r="J180" s="125"/>
      <c r="K180" s="125"/>
      <c r="L180" s="91"/>
      <c r="M180" s="91"/>
      <c r="N180" s="91"/>
      <c r="O180" s="92"/>
      <c r="P180" s="93"/>
      <c r="Q180" s="125"/>
      <c r="R180" s="95"/>
      <c r="S180" s="96"/>
      <c r="T180" s="96" t="str">
        <f aca="false">IF(ISBLANK($C180),"",IF(G180=Constants!$B$2, TRUE(), IF(G180=Constants!$B$3, FALSE(), TRUE())))</f>
        <v/>
      </c>
      <c r="U180" s="96" t="str">
        <f aca="false">IF(ISBLANK($C180),"",IF(H180=Constants!$B$2, TRUE(), IF(H180=Constants!$B$3, FALSE(), TRUE())))</f>
        <v/>
      </c>
      <c r="V180" s="96" t="str">
        <f aca="false">IF(ISBLANK($C180),"",IF(I180=Constants!$B$2, TRUE(), IF(I180=Constants!$B$3, FALSE(), TRUE())))</f>
        <v/>
      </c>
      <c r="W180" s="96" t="str">
        <f aca="false">IF(ISBLANK($C180),"",IF(J180=Constants!$B$2, TRUE(), IF(J180=Constants!$B$3, FALSE(), TRUE())))</f>
        <v/>
      </c>
      <c r="X180" s="97" t="str">
        <f aca="false">IF(ISBLANK($C180),"",IF(K180=Constants!$B$2, TRUE(), IF(K180=Constants!$B$3, FALSE(), TRUE())))</f>
        <v/>
      </c>
      <c r="Y180" s="98" t="str">
        <f aca="false">IF(ISBLANK($C180),"",IF(ISNUMBER(L180), L180, ""))</f>
        <v/>
      </c>
      <c r="Z180" s="98" t="str">
        <f aca="false">IF(ISBLANK($C180),"",IF(ISNUMBER(M180), M180, ""))</f>
        <v/>
      </c>
      <c r="AA180" s="98" t="str">
        <f aca="false">IF(ISBLANK($C180),"",IF(ISNUMBER(N180), N180, ""))</f>
        <v/>
      </c>
      <c r="AB180" s="99" t="str">
        <f aca="false">IF(ISBLANK($C180),"",IF(ISNUMBER(O180), O180, ""))</f>
        <v/>
      </c>
      <c r="AC180" s="99" t="str">
        <f aca="false">IF(ISBLANK($C180),"",IF(ISNUMBER(P180), P180, Constants!$B$13))</f>
        <v/>
      </c>
      <c r="AD180" s="96" t="str">
        <f aca="false">IF(ISBLANK($C180),"",IF(Q180=Constants!$B$2, TRUE(), IF(Q180=Constants!$B$3, FALSE(), FALSE())))</f>
        <v/>
      </c>
      <c r="AE180" s="96" t="str">
        <f aca="false">IF(ISBLANK(C180), "", IF(AD180, Constants!$B$4,IF(COUNTA(G180:O180)=0, Constants!$B$5, Constants!$B$7)))</f>
        <v/>
      </c>
      <c r="AF180" s="96" t="str">
        <f aca="false">IF(ISBLANK($C180), "",IF($AE180=Constants!$B$7,1,$AE180))</f>
        <v/>
      </c>
      <c r="AG180" s="96" t="str">
        <f aca="false">IF($AE180=Constants!$B$7,IF(V180, 1, Constants!$B$11) * IF(X180, 1, Constants!$B$12),"")</f>
        <v/>
      </c>
      <c r="AH180" s="96" t="str">
        <f aca="false">IF(AND($AE180=Constants!$B$7, T180, U180) ,MAX(0, $AA180-$Y180),"")</f>
        <v/>
      </c>
      <c r="AI180" s="96" t="str">
        <f aca="false">IF(ISERROR(AH180),$AI$6,"")</f>
        <v/>
      </c>
      <c r="AJ180" s="96" t="str">
        <f aca="false">IF($AE180=Constants!$B$7,IF(AND(T180,U180,W180),IF($AH$6=0,Constants!$B$9,Constants!$B$9*AH180/$AH$6), 0),"")</f>
        <v/>
      </c>
      <c r="AK180" s="96" t="str">
        <f aca="false">IF(AJ180&lt;&gt;"", AJ180*AG180,"")</f>
        <v/>
      </c>
      <c r="AL180" s="96" t="str">
        <f aca="false">IF(AND($AE180=Constants!$B$7, T180, U180) ,IF($Z180="", "", MAX(0,1-ABS($AA180-$Z180)/$AA180)),"")</f>
        <v/>
      </c>
      <c r="AM180" s="96" t="str">
        <f aca="false">IF(AND(NOT(ISERROR(AH180)),ISERROR(AL180)),$AM$6,"")</f>
        <v/>
      </c>
      <c r="AN180" s="96" t="str">
        <f aca="false">IF($AE180=Constants!$B$7 ,IF(AND(T180,U180,W180,ISNUMBER(Z180)),IF($AL$6=0,Constants!$B$10,Constants!$B$10*AL180/$AL$6), 0),"")</f>
        <v/>
      </c>
      <c r="AO180" s="96" t="str">
        <f aca="false">IF(AN180&lt;&gt;"", AN180*AG180,"")</f>
        <v/>
      </c>
      <c r="AP180" s="96" t="str">
        <f aca="false">IF($AE180=Constants!$B$7,IF($AP$6=0,Constants!$B$8,Constants!$B$8*AB180/$AP$6),"")</f>
        <v/>
      </c>
      <c r="AQ180" s="96" t="str">
        <f aca="false">IF($AE180&lt;&gt;Constants!$B$7,$AE180,AK180+AO180+AP180)</f>
        <v/>
      </c>
      <c r="AR180" s="96" t="str">
        <f aca="false">IF(ISBLANK($C180),"",IF($AE180=Constants!$B$7,RANK(AQ180,$AQ$8:$AQ$507),$AE180))</f>
        <v/>
      </c>
      <c r="AS180" s="96" t="str">
        <f aca="false">IF(ISBLANK($C180), "",AK180)</f>
        <v/>
      </c>
      <c r="AT180" s="96" t="str">
        <f aca="false">IF(ISBLANK($C180),"",IF($AE180=Constants!$B$7,RANK(AS180,AS$8:AS$507),$AE180))</f>
        <v/>
      </c>
      <c r="AU180" s="96" t="str">
        <f aca="false">IF(ISBLANK($C180), "",AP180)</f>
        <v/>
      </c>
      <c r="AV180" s="96" t="str">
        <f aca="false">IF(ISBLANK($C180),"",IF($AE180=Constants!$B$7,RANK(AU180,AU$8:AU$507),$AE180))</f>
        <v/>
      </c>
      <c r="AW180" s="96" t="str">
        <f aca="false">IF(ISBLANK($C180), "",AC180)</f>
        <v/>
      </c>
      <c r="AX180" s="96" t="str">
        <f aca="false">IF(ISBLANK($C180),"",
IF($AE180=Constants!$B$7,
  COUNTIFS($AR$8:$AR$507,"&lt;"&amp;$AR180)
  + COUNTIFS($AR$8:$AR$507,$AR180,$AT$8:$AT$507,"&lt;"&amp;$AT180)
  + COUNTIFS($AR$8:$AR$507,$AR180,$AT$8:$AT$507,$AT180,$AV$8:$AV$507,"&lt;"&amp;$AV180)
  + COUNTIFS($AR$8:$AR$507,$AR180,$AT$8:$AT$507,$AT180,$AV$8:$AV$507,$AV180,$AW$8:$AW$507,"&lt;"&amp;$AW180)
  + 1,
$AE180))</f>
        <v/>
      </c>
      <c r="AY180" s="96" t="str">
        <f aca="false">IF(ISBLANK(C180),"",IF($AE180=Constants!$B$7, AR180-AX180,$AE180))</f>
        <v/>
      </c>
      <c r="AZ180" s="100"/>
      <c r="BA180" s="101" t="str">
        <f aca="false">IF(ISBLANK($C180),"",TRIM(AI180&amp;" "&amp;AM180))</f>
        <v/>
      </c>
      <c r="BB180" s="102" t="str">
        <f aca="false">IF(ISBLANK($C180),"",IF($AE180&lt;&gt;Constants!$B$7, $AE180 ,AQ180))</f>
        <v/>
      </c>
      <c r="BC180" s="103" t="str">
        <f aca="false">IF(ISBLANK($C180),"",IF($AE180&lt;&gt;Constants!$B$7, $AE180 ,AF180))</f>
        <v/>
      </c>
      <c r="BD180" s="104" t="str">
        <f aca="false">IF(ISBLANK(C180),"",AY180)</f>
        <v/>
      </c>
      <c r="BE180" s="104" t="str">
        <f aca="false">IF(ISBLANK(C180),"",AX180)</f>
        <v/>
      </c>
      <c r="BF180" s="105" t="str">
        <f aca="false">IF(ISBLANK(C180),"",IFERROR(_xlfn.SWITCH(BE180, Constants!$B$4, COUNTA($C$8:$C679)+2, Constants!$B$5, COUNTA($C$8:$C679)+1, Constants!$B$6, COUNTA($C$8:$C679)),BE180))</f>
        <v/>
      </c>
      <c r="BG180" s="5"/>
      <c r="BH180" s="106" t="n">
        <f aca="false">IF(OR(ISNUMBER(BE180),BE180="DQ",BE180="P",BE180="NS"),
    1,
    0
)</f>
        <v>0</v>
      </c>
      <c r="BI180" s="106" t="n">
        <v>173</v>
      </c>
      <c r="BJ180" s="106" t="str">
        <f aca="false">IF(ISBLANK($C180),
    "",
   BF180+ROW($B180)/1000
)</f>
        <v/>
      </c>
      <c r="BK180" s="106" t="str">
        <f aca="false">IF(ISNUMBER(BJ180), RANK(BJ180,BJ$8:BJ$507,1), "")</f>
        <v/>
      </c>
      <c r="BL180" s="106" t="str">
        <f aca="false">IF(ISBLANK($C180),
    "",
    $B180
)</f>
        <v/>
      </c>
      <c r="BM180" s="106" t="str">
        <f aca="false">IF(ISBLANK($C180),
    "",
    $C180
)</f>
        <v/>
      </c>
      <c r="BN180" s="106" t="str">
        <f aca="false">IF(ISBLANK($C180),
    "",
    $D180
)</f>
        <v/>
      </c>
      <c r="BO180" s="107" t="str">
        <f aca="false">BC180</f>
        <v/>
      </c>
      <c r="BP180" s="108" t="str">
        <f aca="false">BB180</f>
        <v/>
      </c>
      <c r="BQ180" s="106" t="str">
        <f aca="false">IF(ISBLANK($C180),
    "",
    BE180
)</f>
        <v/>
      </c>
      <c r="BR180" s="109" t="str">
        <f aca="false">IF(BI180&gt;BH$7,
    "",
    VLOOKUP(BI180,BK$8:BQ679,7,FALSE())
)</f>
        <v/>
      </c>
      <c r="BS180" s="110" t="str">
        <f aca="false">IF(BI180&gt;BH$7,
    "",
    VLOOKUP(BI180,BK$8:BQ679,2,FALSE())
)</f>
        <v/>
      </c>
      <c r="BT180" s="110" t="str">
        <f aca="false">IF(BI180&gt;BH$7,
    "",
    VLOOKUP(BI180,BK$8:BQ679,3,FALSE())
)</f>
        <v/>
      </c>
      <c r="BU180" s="110" t="str">
        <f aca="false">IF(BI180&gt;BH$7,
    "",
    VLOOKUP(BI180,BK$8:BQ679,4,FALSE())
)</f>
        <v/>
      </c>
      <c r="BV180" s="110" t="str">
        <f aca="false">IF(BI180&gt;BH$7,
    "",
    VLOOKUP(BI180,BK$8:BQ679,5,FALSE())
)</f>
        <v/>
      </c>
      <c r="BW180" s="111" t="str">
        <f aca="false">IF(BI180&gt;BH$7,
    "",
    VLOOKUP(BI180,BK$8:BQ679,6,FALSE())
)</f>
        <v/>
      </c>
      <c r="BX180" s="50"/>
    </row>
    <row r="181" customFormat="false" ht="15.75" hidden="false" customHeight="false" outlineLevel="0" collapsed="false">
      <c r="A181" s="5"/>
      <c r="B181" s="122"/>
      <c r="C181" s="123"/>
      <c r="D181" s="112"/>
      <c r="E181" s="116"/>
      <c r="F181" s="116"/>
      <c r="G181" s="88"/>
      <c r="H181" s="89"/>
      <c r="I181" s="125"/>
      <c r="J181" s="125"/>
      <c r="K181" s="125"/>
      <c r="L181" s="91"/>
      <c r="M181" s="91"/>
      <c r="N181" s="91"/>
      <c r="O181" s="92"/>
      <c r="P181" s="93"/>
      <c r="Q181" s="125"/>
      <c r="R181" s="95"/>
      <c r="S181" s="96"/>
      <c r="T181" s="96" t="str">
        <f aca="false">IF(ISBLANK($C181),"",IF(G181=Constants!$B$2, TRUE(), IF(G181=Constants!$B$3, FALSE(), TRUE())))</f>
        <v/>
      </c>
      <c r="U181" s="96" t="str">
        <f aca="false">IF(ISBLANK($C181),"",IF(H181=Constants!$B$2, TRUE(), IF(H181=Constants!$B$3, FALSE(), TRUE())))</f>
        <v/>
      </c>
      <c r="V181" s="96" t="str">
        <f aca="false">IF(ISBLANK($C181),"",IF(I181=Constants!$B$2, TRUE(), IF(I181=Constants!$B$3, FALSE(), TRUE())))</f>
        <v/>
      </c>
      <c r="W181" s="96" t="str">
        <f aca="false">IF(ISBLANK($C181),"",IF(J181=Constants!$B$2, TRUE(), IF(J181=Constants!$B$3, FALSE(), TRUE())))</f>
        <v/>
      </c>
      <c r="X181" s="97" t="str">
        <f aca="false">IF(ISBLANK($C181),"",IF(K181=Constants!$B$2, TRUE(), IF(K181=Constants!$B$3, FALSE(), TRUE())))</f>
        <v/>
      </c>
      <c r="Y181" s="98" t="str">
        <f aca="false">IF(ISBLANK($C181),"",IF(ISNUMBER(L181), L181, ""))</f>
        <v/>
      </c>
      <c r="Z181" s="98" t="str">
        <f aca="false">IF(ISBLANK($C181),"",IF(ISNUMBER(M181), M181, ""))</f>
        <v/>
      </c>
      <c r="AA181" s="98" t="str">
        <f aca="false">IF(ISBLANK($C181),"",IF(ISNUMBER(N181), N181, ""))</f>
        <v/>
      </c>
      <c r="AB181" s="99" t="str">
        <f aca="false">IF(ISBLANK($C181),"",IF(ISNUMBER(O181), O181, ""))</f>
        <v/>
      </c>
      <c r="AC181" s="99" t="str">
        <f aca="false">IF(ISBLANK($C181),"",IF(ISNUMBER(P181), P181, Constants!$B$13))</f>
        <v/>
      </c>
      <c r="AD181" s="96" t="str">
        <f aca="false">IF(ISBLANK($C181),"",IF(Q181=Constants!$B$2, TRUE(), IF(Q181=Constants!$B$3, FALSE(), FALSE())))</f>
        <v/>
      </c>
      <c r="AE181" s="96" t="str">
        <f aca="false">IF(ISBLANK(C181), "", IF(AD181, Constants!$B$4,IF(COUNTA(G181:O181)=0, Constants!$B$5, Constants!$B$7)))</f>
        <v/>
      </c>
      <c r="AF181" s="96" t="str">
        <f aca="false">IF(ISBLANK($C181), "",IF($AE181=Constants!$B$7,1,$AE181))</f>
        <v/>
      </c>
      <c r="AG181" s="96" t="str">
        <f aca="false">IF($AE181=Constants!$B$7,IF(V181, 1, Constants!$B$11) * IF(X181, 1, Constants!$B$12),"")</f>
        <v/>
      </c>
      <c r="AH181" s="96" t="str">
        <f aca="false">IF(AND($AE181=Constants!$B$7, T181, U181) ,MAX(0, $AA181-$Y181),"")</f>
        <v/>
      </c>
      <c r="AI181" s="96" t="str">
        <f aca="false">IF(ISERROR(AH181),$AI$6,"")</f>
        <v/>
      </c>
      <c r="AJ181" s="96" t="str">
        <f aca="false">IF($AE181=Constants!$B$7,IF(AND(T181,U181,W181),IF($AH$6=0,Constants!$B$9,Constants!$B$9*AH181/$AH$6), 0),"")</f>
        <v/>
      </c>
      <c r="AK181" s="96" t="str">
        <f aca="false">IF(AJ181&lt;&gt;"", AJ181*AG181,"")</f>
        <v/>
      </c>
      <c r="AL181" s="96" t="str">
        <f aca="false">IF(AND($AE181=Constants!$B$7, T181, U181) ,IF($Z181="", "", MAX(0,1-ABS($AA181-$Z181)/$AA181)),"")</f>
        <v/>
      </c>
      <c r="AM181" s="96" t="str">
        <f aca="false">IF(AND(NOT(ISERROR(AH181)),ISERROR(AL181)),$AM$6,"")</f>
        <v/>
      </c>
      <c r="AN181" s="96" t="str">
        <f aca="false">IF($AE181=Constants!$B$7 ,IF(AND(T181,U181,W181,ISNUMBER(Z181)),IF($AL$6=0,Constants!$B$10,Constants!$B$10*AL181/$AL$6), 0),"")</f>
        <v/>
      </c>
      <c r="AO181" s="96" t="str">
        <f aca="false">IF(AN181&lt;&gt;"", AN181*AG181,"")</f>
        <v/>
      </c>
      <c r="AP181" s="96" t="str">
        <f aca="false">IF($AE181=Constants!$B$7,IF($AP$6=0,Constants!$B$8,Constants!$B$8*AB181/$AP$6),"")</f>
        <v/>
      </c>
      <c r="AQ181" s="96" t="str">
        <f aca="false">IF($AE181&lt;&gt;Constants!$B$7,$AE181,AK181+AO181+AP181)</f>
        <v/>
      </c>
      <c r="AR181" s="96" t="str">
        <f aca="false">IF(ISBLANK($C181),"",IF($AE181=Constants!$B$7,RANK(AQ181,$AQ$8:$AQ$507),$AE181))</f>
        <v/>
      </c>
      <c r="AS181" s="96" t="str">
        <f aca="false">IF(ISBLANK($C181), "",AK181)</f>
        <v/>
      </c>
      <c r="AT181" s="96" t="str">
        <f aca="false">IF(ISBLANK($C181),"",IF($AE181=Constants!$B$7,RANK(AS181,AS$8:AS$507),$AE181))</f>
        <v/>
      </c>
      <c r="AU181" s="96" t="str">
        <f aca="false">IF(ISBLANK($C181), "",AP181)</f>
        <v/>
      </c>
      <c r="AV181" s="96" t="str">
        <f aca="false">IF(ISBLANK($C181),"",IF($AE181=Constants!$B$7,RANK(AU181,AU$8:AU$507),$AE181))</f>
        <v/>
      </c>
      <c r="AW181" s="96" t="str">
        <f aca="false">IF(ISBLANK($C181), "",AC181)</f>
        <v/>
      </c>
      <c r="AX181" s="96" t="str">
        <f aca="false">IF(ISBLANK($C181),"",
IF($AE181=Constants!$B$7,
  COUNTIFS($AR$8:$AR$507,"&lt;"&amp;$AR181)
  + COUNTIFS($AR$8:$AR$507,$AR181,$AT$8:$AT$507,"&lt;"&amp;$AT181)
  + COUNTIFS($AR$8:$AR$507,$AR181,$AT$8:$AT$507,$AT181,$AV$8:$AV$507,"&lt;"&amp;$AV181)
  + COUNTIFS($AR$8:$AR$507,$AR181,$AT$8:$AT$507,$AT181,$AV$8:$AV$507,$AV181,$AW$8:$AW$507,"&lt;"&amp;$AW181)
  + 1,
$AE181))</f>
        <v/>
      </c>
      <c r="AY181" s="96" t="str">
        <f aca="false">IF(ISBLANK(C181),"",IF($AE181=Constants!$B$7, AR181-AX181,$AE181))</f>
        <v/>
      </c>
      <c r="AZ181" s="100"/>
      <c r="BA181" s="101" t="str">
        <f aca="false">IF(ISBLANK($C181),"",TRIM(AI181&amp;" "&amp;AM181))</f>
        <v/>
      </c>
      <c r="BB181" s="102" t="str">
        <f aca="false">IF(ISBLANK($C181),"",IF($AE181&lt;&gt;Constants!$B$7, $AE181 ,AQ181))</f>
        <v/>
      </c>
      <c r="BC181" s="103" t="str">
        <f aca="false">IF(ISBLANK($C181),"",IF($AE181&lt;&gt;Constants!$B$7, $AE181 ,AF181))</f>
        <v/>
      </c>
      <c r="BD181" s="104" t="str">
        <f aca="false">IF(ISBLANK(C181),"",AY181)</f>
        <v/>
      </c>
      <c r="BE181" s="104" t="str">
        <f aca="false">IF(ISBLANK(C181),"",AX181)</f>
        <v/>
      </c>
      <c r="BF181" s="105" t="str">
        <f aca="false">IF(ISBLANK(C181),"",IFERROR(_xlfn.SWITCH(BE181, Constants!$B$4, COUNTA($C$8:$C680)+2, Constants!$B$5, COUNTA($C$8:$C680)+1, Constants!$B$6, COUNTA($C$8:$C680)),BE181))</f>
        <v/>
      </c>
      <c r="BG181" s="5"/>
      <c r="BH181" s="106" t="n">
        <f aca="false">IF(OR(ISNUMBER(BE181),BE181="DQ",BE181="P",BE181="NS"),
    1,
    0
)</f>
        <v>0</v>
      </c>
      <c r="BI181" s="106" t="n">
        <v>174</v>
      </c>
      <c r="BJ181" s="106" t="str">
        <f aca="false">IF(ISBLANK($C181),
    "",
   BF181+ROW($B181)/1000
)</f>
        <v/>
      </c>
      <c r="BK181" s="106" t="str">
        <f aca="false">IF(ISNUMBER(BJ181), RANK(BJ181,BJ$8:BJ$507,1), "")</f>
        <v/>
      </c>
      <c r="BL181" s="106" t="str">
        <f aca="false">IF(ISBLANK($C181),
    "",
    $B181
)</f>
        <v/>
      </c>
      <c r="BM181" s="106" t="str">
        <f aca="false">IF(ISBLANK($C181),
    "",
    $C181
)</f>
        <v/>
      </c>
      <c r="BN181" s="106" t="str">
        <f aca="false">IF(ISBLANK($C181),
    "",
    $D181
)</f>
        <v/>
      </c>
      <c r="BO181" s="107" t="str">
        <f aca="false">BC181</f>
        <v/>
      </c>
      <c r="BP181" s="108" t="str">
        <f aca="false">BB181</f>
        <v/>
      </c>
      <c r="BQ181" s="106" t="str">
        <f aca="false">IF(ISBLANK($C181),
    "",
    BE181
)</f>
        <v/>
      </c>
      <c r="BR181" s="109" t="str">
        <f aca="false">IF(BI181&gt;BH$7,
    "",
    VLOOKUP(BI181,BK$8:BQ680,7,FALSE())
)</f>
        <v/>
      </c>
      <c r="BS181" s="110" t="str">
        <f aca="false">IF(BI181&gt;BH$7,
    "",
    VLOOKUP(BI181,BK$8:BQ680,2,FALSE())
)</f>
        <v/>
      </c>
      <c r="BT181" s="110" t="str">
        <f aca="false">IF(BI181&gt;BH$7,
    "",
    VLOOKUP(BI181,BK$8:BQ680,3,FALSE())
)</f>
        <v/>
      </c>
      <c r="BU181" s="110" t="str">
        <f aca="false">IF(BI181&gt;BH$7,
    "",
    VLOOKUP(BI181,BK$8:BQ680,4,FALSE())
)</f>
        <v/>
      </c>
      <c r="BV181" s="110" t="str">
        <f aca="false">IF(BI181&gt;BH$7,
    "",
    VLOOKUP(BI181,BK$8:BQ680,5,FALSE())
)</f>
        <v/>
      </c>
      <c r="BW181" s="111" t="str">
        <f aca="false">IF(BI181&gt;BH$7,
    "",
    VLOOKUP(BI181,BK$8:BQ680,6,FALSE())
)</f>
        <v/>
      </c>
      <c r="BX181" s="50"/>
    </row>
    <row r="182" customFormat="false" ht="15.75" hidden="false" customHeight="false" outlineLevel="0" collapsed="false">
      <c r="A182" s="5"/>
      <c r="B182" s="126"/>
      <c r="C182" s="52"/>
      <c r="D182" s="53"/>
      <c r="E182" s="120"/>
      <c r="F182" s="120"/>
      <c r="G182" s="55"/>
      <c r="H182" s="56"/>
      <c r="I182" s="80"/>
      <c r="J182" s="80"/>
      <c r="K182" s="80"/>
      <c r="L182" s="58"/>
      <c r="M182" s="58"/>
      <c r="N182" s="58"/>
      <c r="O182" s="59"/>
      <c r="P182" s="60"/>
      <c r="Q182" s="80"/>
      <c r="R182" s="62"/>
      <c r="S182" s="63"/>
      <c r="T182" s="63" t="str">
        <f aca="false">IF(ISBLANK($C182),"",IF(G182=Constants!$B$2, TRUE(), IF(G182=Constants!$B$3, FALSE(), TRUE())))</f>
        <v/>
      </c>
      <c r="U182" s="63" t="str">
        <f aca="false">IF(ISBLANK($C182),"",IF(H182=Constants!$B$2, TRUE(), IF(H182=Constants!$B$3, FALSE(), TRUE())))</f>
        <v/>
      </c>
      <c r="V182" s="63" t="str">
        <f aca="false">IF(ISBLANK($C182),"",IF(I182=Constants!$B$2, TRUE(), IF(I182=Constants!$B$3, FALSE(), TRUE())))</f>
        <v/>
      </c>
      <c r="W182" s="63" t="str">
        <f aca="false">IF(ISBLANK($C182),"",IF(J182=Constants!$B$2, TRUE(), IF(J182=Constants!$B$3, FALSE(), TRUE())))</f>
        <v/>
      </c>
      <c r="X182" s="63" t="str">
        <f aca="false">IF(ISBLANK($C182),"",IF(K182=Constants!$B$2, TRUE(), IF(K182=Constants!$B$3, FALSE(), TRUE())))</f>
        <v/>
      </c>
      <c r="Y182" s="65" t="str">
        <f aca="false">IF(ISBLANK($C182),"",IF(ISNUMBER(L182), L182, ""))</f>
        <v/>
      </c>
      <c r="Z182" s="65" t="str">
        <f aca="false">IF(ISBLANK($C182),"",IF(ISNUMBER(M182), M182, ""))</f>
        <v/>
      </c>
      <c r="AA182" s="65" t="str">
        <f aca="false">IF(ISBLANK($C182),"",IF(ISNUMBER(N182), N182, ""))</f>
        <v/>
      </c>
      <c r="AB182" s="66" t="str">
        <f aca="false">IF(ISBLANK($C182),"",IF(ISNUMBER(O182), O182, ""))</f>
        <v/>
      </c>
      <c r="AC182" s="66" t="str">
        <f aca="false">IF(ISBLANK($C182),"",IF(ISNUMBER(P182), P182, Constants!$B$13))</f>
        <v/>
      </c>
      <c r="AD182" s="63" t="str">
        <f aca="false">IF(ISBLANK($C182),"",IF(Q182=Constants!$B$2, TRUE(), IF(Q182=Constants!$B$3, FALSE(), FALSE())))</f>
        <v/>
      </c>
      <c r="AE182" s="63" t="str">
        <f aca="false">IF(ISBLANK(C182), "", IF(AD182, Constants!$B$4,IF(COUNTA(G182:O182)=0, Constants!$B$5, Constants!$B$7)))</f>
        <v/>
      </c>
      <c r="AF182" s="63" t="str">
        <f aca="false">IF(ISBLANK($C182), "",IF($AE182=Constants!$B$7,1,$AE182))</f>
        <v/>
      </c>
      <c r="AG182" s="63" t="str">
        <f aca="false">IF($AE182=Constants!$B$7,IF(V182, 1, Constants!$B$11) * IF(X182, 1, Constants!$B$12),"")</f>
        <v/>
      </c>
      <c r="AH182" s="63" t="str">
        <f aca="false">IF(AND($AE182=Constants!$B$7, T182, U182) ,MAX(0, $AA182-$Y182),"")</f>
        <v/>
      </c>
      <c r="AI182" s="63" t="str">
        <f aca="false">IF(ISERROR(AH182),$AI$6,"")</f>
        <v/>
      </c>
      <c r="AJ182" s="63" t="str">
        <f aca="false">IF($AE182=Constants!$B$7,IF(AND(T182,U182,W182),IF($AH$6=0,Constants!$B$9,Constants!$B$9*AH182/$AH$6), 0),"")</f>
        <v/>
      </c>
      <c r="AK182" s="63" t="str">
        <f aca="false">IF(AJ182&lt;&gt;"", AJ182*AG182,"")</f>
        <v/>
      </c>
      <c r="AL182" s="63" t="str">
        <f aca="false">IF(AND($AE182=Constants!$B$7, T182, U182) ,IF($Z182="", "", MAX(0,1-ABS($AA182-$Z182)/$AA182)),"")</f>
        <v/>
      </c>
      <c r="AM182" s="63" t="str">
        <f aca="false">IF(AND(NOT(ISERROR(AH182)),ISERROR(AL182)),$AM$6,"")</f>
        <v/>
      </c>
      <c r="AN182" s="63" t="str">
        <f aca="false">IF($AE182=Constants!$B$7 ,IF(AND(T182,U182,W182,ISNUMBER(Z182)),IF($AL$6=0,Constants!$B$10,Constants!$B$10*AL182/$AL$6), 0),"")</f>
        <v/>
      </c>
      <c r="AO182" s="63" t="str">
        <f aca="false">IF(AN182&lt;&gt;"", AN182*AG182,"")</f>
        <v/>
      </c>
      <c r="AP182" s="63" t="str">
        <f aca="false">IF($AE182=Constants!$B$7,IF($AP$6=0,Constants!$B$8,Constants!$B$8*AB182/$AP$6),"")</f>
        <v/>
      </c>
      <c r="AQ182" s="63" t="str">
        <f aca="false">IF($AE182&lt;&gt;Constants!$B$7,$AE182,AK182+AO182+AP182)</f>
        <v/>
      </c>
      <c r="AR182" s="63" t="str">
        <f aca="false">IF(ISBLANK($C182),"",IF($AE182=Constants!$B$7,RANK(AQ182,$AQ$8:$AQ$507),$AE182))</f>
        <v/>
      </c>
      <c r="AS182" s="63" t="str">
        <f aca="false">IF(ISBLANK($C182), "",AK182)</f>
        <v/>
      </c>
      <c r="AT182" s="63" t="str">
        <f aca="false">IF(ISBLANK($C182),"",IF($AE182=Constants!$B$7,RANK(AS182,AS$8:AS$507),$AE182))</f>
        <v/>
      </c>
      <c r="AU182" s="63" t="str">
        <f aca="false">IF(ISBLANK($C182), "",AP182)</f>
        <v/>
      </c>
      <c r="AV182" s="63" t="str">
        <f aca="false">IF(ISBLANK($C182),"",IF($AE182=Constants!$B$7,RANK(AU182,AU$8:AU$507),$AE182))</f>
        <v/>
      </c>
      <c r="AW182" s="63" t="str">
        <f aca="false">IF(ISBLANK($C182), "",AC182)</f>
        <v/>
      </c>
      <c r="AX182" s="63" t="str">
        <f aca="false">IF(ISBLANK($C182),"",
IF($AE182=Constants!$B$7,
  COUNTIFS($AR$8:$AR$507,"&lt;"&amp;$AR182)
  + COUNTIFS($AR$8:$AR$507,$AR182,$AT$8:$AT$507,"&lt;"&amp;$AT182)
  + COUNTIFS($AR$8:$AR$507,$AR182,$AT$8:$AT$507,$AT182,$AV$8:$AV$507,"&lt;"&amp;$AV182)
  + COUNTIFS($AR$8:$AR$507,$AR182,$AT$8:$AT$507,$AT182,$AV$8:$AV$507,$AV182,$AW$8:$AW$507,"&lt;"&amp;$AW182)
  + 1,
$AE182))</f>
        <v/>
      </c>
      <c r="AY182" s="63" t="str">
        <f aca="false">IF(ISBLANK(C182),"",IF($AE182=Constants!$B$7, AR182-AX182,$AE182))</f>
        <v/>
      </c>
      <c r="AZ182" s="67"/>
      <c r="BA182" s="81" t="str">
        <f aca="false">IF(ISBLANK($C182),"",TRIM(AI182&amp;" "&amp;AM182))</f>
        <v/>
      </c>
      <c r="BB182" s="69" t="str">
        <f aca="false">IF(ISBLANK($C182),"",IF($AE182&lt;&gt;Constants!$B$7, $AE182 ,AQ182))</f>
        <v/>
      </c>
      <c r="BC182" s="70" t="str">
        <f aca="false">IF(ISBLANK($C182),"",IF($AE182&lt;&gt;Constants!$B$7, $AE182 ,AF182))</f>
        <v/>
      </c>
      <c r="BD182" s="71" t="str">
        <f aca="false">IF(ISBLANK(C182),"",AY182)</f>
        <v/>
      </c>
      <c r="BE182" s="71" t="str">
        <f aca="false">IF(ISBLANK(C182),"",AX182)</f>
        <v/>
      </c>
      <c r="BF182" s="72" t="str">
        <f aca="false">IF(ISBLANK(C182),"",IFERROR(_xlfn.SWITCH(BE182, Constants!$B$4, COUNTA($C$8:$C681)+2, Constants!$B$5, COUNTA($C$8:$C681)+1, Constants!$B$6, COUNTA($C$8:$C681)),BE182))</f>
        <v/>
      </c>
      <c r="BG182" s="5"/>
      <c r="BH182" s="73" t="n">
        <f aca="false">IF(OR(ISNUMBER(BE182),BE182="DQ",BE182="P",BE182="NS"),
    1,
    0
)</f>
        <v>0</v>
      </c>
      <c r="BI182" s="73" t="n">
        <v>175</v>
      </c>
      <c r="BJ182" s="73" t="str">
        <f aca="false">IF(ISBLANK($C182),
    "",
   BF182+ROW($B182)/1000
)</f>
        <v/>
      </c>
      <c r="BK182" s="73" t="str">
        <f aca="false">IF(ISNUMBER(BJ182), RANK(BJ182,BJ$8:BJ$507,1), "")</f>
        <v/>
      </c>
      <c r="BL182" s="73" t="str">
        <f aca="false">IF(ISBLANK($C182),
    "",
    $B182
)</f>
        <v/>
      </c>
      <c r="BM182" s="73" t="str">
        <f aca="false">IF(ISBLANK($C182),
    "",
    $C182
)</f>
        <v/>
      </c>
      <c r="BN182" s="73" t="str">
        <f aca="false">IF(ISBLANK($C182),
    "",
    $D182
)</f>
        <v/>
      </c>
      <c r="BO182" s="74" t="str">
        <f aca="false">BC182</f>
        <v/>
      </c>
      <c r="BP182" s="75" t="str">
        <f aca="false">BB182</f>
        <v/>
      </c>
      <c r="BQ182" s="73" t="str">
        <f aca="false">IF(ISBLANK($C182),
    "",
    BE182
)</f>
        <v/>
      </c>
      <c r="BR182" s="76" t="str">
        <f aca="false">IF(BI182&gt;BH$7,
    "",
    VLOOKUP(BI182,BK$8:BQ681,7,FALSE())
)</f>
        <v/>
      </c>
      <c r="BS182" s="77" t="str">
        <f aca="false">IF(BI182&gt;BH$7,
    "",
    VLOOKUP(BI182,BK$8:BQ681,2,FALSE())
)</f>
        <v/>
      </c>
      <c r="BT182" s="77" t="str">
        <f aca="false">IF(BI182&gt;BH$7,
    "",
    VLOOKUP(BI182,BK$8:BQ681,3,FALSE())
)</f>
        <v/>
      </c>
      <c r="BU182" s="77" t="str">
        <f aca="false">IF(BI182&gt;BH$7,
    "",
    VLOOKUP(BI182,BK$8:BQ681,4,FALSE())
)</f>
        <v/>
      </c>
      <c r="BV182" s="77" t="str">
        <f aca="false">IF(BI182&gt;BH$7,
    "",
    VLOOKUP(BI182,BK$8:BQ681,5,FALSE())
)</f>
        <v/>
      </c>
      <c r="BW182" s="78" t="str">
        <f aca="false">IF(BI182&gt;BH$7,
    "",
    VLOOKUP(BI182,BK$8:BQ681,6,FALSE())
)</f>
        <v/>
      </c>
      <c r="BX182" s="50"/>
    </row>
    <row r="183" customFormat="false" ht="15.75" hidden="false" customHeight="false" outlineLevel="0" collapsed="false">
      <c r="A183" s="5"/>
      <c r="B183" s="126"/>
      <c r="C183" s="52"/>
      <c r="D183" s="53"/>
      <c r="E183" s="120"/>
      <c r="F183" s="120"/>
      <c r="G183" s="55"/>
      <c r="H183" s="56"/>
      <c r="I183" s="80"/>
      <c r="J183" s="80"/>
      <c r="K183" s="80"/>
      <c r="L183" s="58"/>
      <c r="M183" s="58"/>
      <c r="N183" s="58"/>
      <c r="O183" s="59"/>
      <c r="P183" s="60"/>
      <c r="Q183" s="80"/>
      <c r="R183" s="62"/>
      <c r="S183" s="63"/>
      <c r="T183" s="63" t="str">
        <f aca="false">IF(ISBLANK($C183),"",IF(G183=Constants!$B$2, TRUE(), IF(G183=Constants!$B$3, FALSE(), TRUE())))</f>
        <v/>
      </c>
      <c r="U183" s="63" t="str">
        <f aca="false">IF(ISBLANK($C183),"",IF(H183=Constants!$B$2, TRUE(), IF(H183=Constants!$B$3, FALSE(), TRUE())))</f>
        <v/>
      </c>
      <c r="V183" s="63" t="str">
        <f aca="false">IF(ISBLANK($C183),"",IF(I183=Constants!$B$2, TRUE(), IF(I183=Constants!$B$3, FALSE(), TRUE())))</f>
        <v/>
      </c>
      <c r="W183" s="63" t="str">
        <f aca="false">IF(ISBLANK($C183),"",IF(J183=Constants!$B$2, TRUE(), IF(J183=Constants!$B$3, FALSE(), TRUE())))</f>
        <v/>
      </c>
      <c r="X183" s="63" t="str">
        <f aca="false">IF(ISBLANK($C183),"",IF(K183=Constants!$B$2, TRUE(), IF(K183=Constants!$B$3, FALSE(), TRUE())))</f>
        <v/>
      </c>
      <c r="Y183" s="65" t="str">
        <f aca="false">IF(ISBLANK($C183),"",IF(ISNUMBER(L183), L183, ""))</f>
        <v/>
      </c>
      <c r="Z183" s="65" t="str">
        <f aca="false">IF(ISBLANK($C183),"",IF(ISNUMBER(M183), M183, ""))</f>
        <v/>
      </c>
      <c r="AA183" s="65" t="str">
        <f aca="false">IF(ISBLANK($C183),"",IF(ISNUMBER(N183), N183, ""))</f>
        <v/>
      </c>
      <c r="AB183" s="66" t="str">
        <f aca="false">IF(ISBLANK($C183),"",IF(ISNUMBER(O183), O183, ""))</f>
        <v/>
      </c>
      <c r="AC183" s="66" t="str">
        <f aca="false">IF(ISBLANK($C183),"",IF(ISNUMBER(P183), P183, Constants!$B$13))</f>
        <v/>
      </c>
      <c r="AD183" s="63" t="str">
        <f aca="false">IF(ISBLANK($C183),"",IF(Q183=Constants!$B$2, TRUE(), IF(Q183=Constants!$B$3, FALSE(), FALSE())))</f>
        <v/>
      </c>
      <c r="AE183" s="63" t="str">
        <f aca="false">IF(ISBLANK(C183), "", IF(AD183, Constants!$B$4,IF(COUNTA(G183:O183)=0, Constants!$B$5, Constants!$B$7)))</f>
        <v/>
      </c>
      <c r="AF183" s="63" t="str">
        <f aca="false">IF(ISBLANK($C183), "",IF($AE183=Constants!$B$7,1,$AE183))</f>
        <v/>
      </c>
      <c r="AG183" s="63" t="str">
        <f aca="false">IF($AE183=Constants!$B$7,IF(V183, 1, Constants!$B$11) * IF(X183, 1, Constants!$B$12),"")</f>
        <v/>
      </c>
      <c r="AH183" s="63" t="str">
        <f aca="false">IF(AND($AE183=Constants!$B$7, T183, U183) ,MAX(0, $AA183-$Y183),"")</f>
        <v/>
      </c>
      <c r="AI183" s="63" t="str">
        <f aca="false">IF(ISERROR(AH183),$AI$6,"")</f>
        <v/>
      </c>
      <c r="AJ183" s="63" t="str">
        <f aca="false">IF($AE183=Constants!$B$7,IF(AND(T183,U183,W183),IF($AH$6=0,Constants!$B$9,Constants!$B$9*AH183/$AH$6), 0),"")</f>
        <v/>
      </c>
      <c r="AK183" s="63" t="str">
        <f aca="false">IF(AJ183&lt;&gt;"", AJ183*AG183,"")</f>
        <v/>
      </c>
      <c r="AL183" s="63" t="str">
        <f aca="false">IF(AND($AE183=Constants!$B$7, T183, U183) ,IF($Z183="", "", MAX(0,1-ABS($AA183-$Z183)/$AA183)),"")</f>
        <v/>
      </c>
      <c r="AM183" s="63" t="str">
        <f aca="false">IF(AND(NOT(ISERROR(AH183)),ISERROR(AL183)),$AM$6,"")</f>
        <v/>
      </c>
      <c r="AN183" s="63" t="str">
        <f aca="false">IF($AE183=Constants!$B$7 ,IF(AND(T183,U183,W183,ISNUMBER(Z183)),IF($AL$6=0,Constants!$B$10,Constants!$B$10*AL183/$AL$6), 0),"")</f>
        <v/>
      </c>
      <c r="AO183" s="63" t="str">
        <f aca="false">IF(AN183&lt;&gt;"", AN183*AG183,"")</f>
        <v/>
      </c>
      <c r="AP183" s="63" t="str">
        <f aca="false">IF($AE183=Constants!$B$7,IF($AP$6=0,Constants!$B$8,Constants!$B$8*AB183/$AP$6),"")</f>
        <v/>
      </c>
      <c r="AQ183" s="63" t="str">
        <f aca="false">IF($AE183&lt;&gt;Constants!$B$7,$AE183,AK183+AO183+AP183)</f>
        <v/>
      </c>
      <c r="AR183" s="63" t="str">
        <f aca="false">IF(ISBLANK($C183),"",IF($AE183=Constants!$B$7,RANK(AQ183,$AQ$8:$AQ$507),$AE183))</f>
        <v/>
      </c>
      <c r="AS183" s="63" t="str">
        <f aca="false">IF(ISBLANK($C183), "",AK183)</f>
        <v/>
      </c>
      <c r="AT183" s="63" t="str">
        <f aca="false">IF(ISBLANK($C183),"",IF($AE183=Constants!$B$7,RANK(AS183,AS$8:AS$507),$AE183))</f>
        <v/>
      </c>
      <c r="AU183" s="63" t="str">
        <f aca="false">IF(ISBLANK($C183), "",AP183)</f>
        <v/>
      </c>
      <c r="AV183" s="63" t="str">
        <f aca="false">IF(ISBLANK($C183),"",IF($AE183=Constants!$B$7,RANK(AU183,AU$8:AU$507),$AE183))</f>
        <v/>
      </c>
      <c r="AW183" s="63" t="str">
        <f aca="false">IF(ISBLANK($C183), "",AC183)</f>
        <v/>
      </c>
      <c r="AX183" s="63" t="str">
        <f aca="false">IF(ISBLANK($C183),"",
IF($AE183=Constants!$B$7,
  COUNTIFS($AR$8:$AR$507,"&lt;"&amp;$AR183)
  + COUNTIFS($AR$8:$AR$507,$AR183,$AT$8:$AT$507,"&lt;"&amp;$AT183)
  + COUNTIFS($AR$8:$AR$507,$AR183,$AT$8:$AT$507,$AT183,$AV$8:$AV$507,"&lt;"&amp;$AV183)
  + COUNTIFS($AR$8:$AR$507,$AR183,$AT$8:$AT$507,$AT183,$AV$8:$AV$507,$AV183,$AW$8:$AW$507,"&lt;"&amp;$AW183)
  + 1,
$AE183))</f>
        <v/>
      </c>
      <c r="AY183" s="63" t="str">
        <f aca="false">IF(ISBLANK(C183),"",IF($AE183=Constants!$B$7, AR183-AX183,$AE183))</f>
        <v/>
      </c>
      <c r="AZ183" s="67"/>
      <c r="BA183" s="81" t="str">
        <f aca="false">IF(ISBLANK($C183),"",TRIM(AI183&amp;" "&amp;AM183))</f>
        <v/>
      </c>
      <c r="BB183" s="69" t="str">
        <f aca="false">IF(ISBLANK($C183),"",IF($AE183&lt;&gt;Constants!$B$7, $AE183 ,AQ183))</f>
        <v/>
      </c>
      <c r="BC183" s="70" t="str">
        <f aca="false">IF(ISBLANK($C183),"",IF($AE183&lt;&gt;Constants!$B$7, $AE183 ,AF183))</f>
        <v/>
      </c>
      <c r="BD183" s="71" t="str">
        <f aca="false">IF(ISBLANK(C183),"",AY183)</f>
        <v/>
      </c>
      <c r="BE183" s="71" t="str">
        <f aca="false">IF(ISBLANK(C183),"",AX183)</f>
        <v/>
      </c>
      <c r="BF183" s="72" t="str">
        <f aca="false">IF(ISBLANK(C183),"",IFERROR(_xlfn.SWITCH(BE183, Constants!$B$4, COUNTA($C$8:$C682)+2, Constants!$B$5, COUNTA($C$8:$C682)+1, Constants!$B$6, COUNTA($C$8:$C682)),BE183))</f>
        <v/>
      </c>
      <c r="BG183" s="5"/>
      <c r="BH183" s="73" t="n">
        <f aca="false">IF(OR(ISNUMBER(BE183),BE183="DQ",BE183="P",BE183="NS"),
    1,
    0
)</f>
        <v>0</v>
      </c>
      <c r="BI183" s="73" t="n">
        <v>176</v>
      </c>
      <c r="BJ183" s="73" t="str">
        <f aca="false">IF(ISBLANK($C183),
    "",
   BF183+ROW($B183)/1000
)</f>
        <v/>
      </c>
      <c r="BK183" s="73" t="str">
        <f aca="false">IF(ISNUMBER(BJ183), RANK(BJ183,BJ$8:BJ$507,1), "")</f>
        <v/>
      </c>
      <c r="BL183" s="73" t="str">
        <f aca="false">IF(ISBLANK($C183),
    "",
    $B183
)</f>
        <v/>
      </c>
      <c r="BM183" s="73" t="str">
        <f aca="false">IF(ISBLANK($C183),
    "",
    $C183
)</f>
        <v/>
      </c>
      <c r="BN183" s="73" t="str">
        <f aca="false">IF(ISBLANK($C183),
    "",
    $D183
)</f>
        <v/>
      </c>
      <c r="BO183" s="74" t="str">
        <f aca="false">BC183</f>
        <v/>
      </c>
      <c r="BP183" s="75" t="str">
        <f aca="false">BB183</f>
        <v/>
      </c>
      <c r="BQ183" s="73" t="str">
        <f aca="false">IF(ISBLANK($C183),
    "",
    BE183
)</f>
        <v/>
      </c>
      <c r="BR183" s="76" t="str">
        <f aca="false">IF(BI183&gt;BH$7,
    "",
    VLOOKUP(BI183,BK$8:BQ682,7,FALSE())
)</f>
        <v/>
      </c>
      <c r="BS183" s="77" t="str">
        <f aca="false">IF(BI183&gt;BH$7,
    "",
    VLOOKUP(BI183,BK$8:BQ682,2,FALSE())
)</f>
        <v/>
      </c>
      <c r="BT183" s="77" t="str">
        <f aca="false">IF(BI183&gt;BH$7,
    "",
    VLOOKUP(BI183,BK$8:BQ682,3,FALSE())
)</f>
        <v/>
      </c>
      <c r="BU183" s="77" t="str">
        <f aca="false">IF(BI183&gt;BH$7,
    "",
    VLOOKUP(BI183,BK$8:BQ682,4,FALSE())
)</f>
        <v/>
      </c>
      <c r="BV183" s="77" t="str">
        <f aca="false">IF(BI183&gt;BH$7,
    "",
    VLOOKUP(BI183,BK$8:BQ682,5,FALSE())
)</f>
        <v/>
      </c>
      <c r="BW183" s="78" t="str">
        <f aca="false">IF(BI183&gt;BH$7,
    "",
    VLOOKUP(BI183,BK$8:BQ682,6,FALSE())
)</f>
        <v/>
      </c>
      <c r="BX183" s="50"/>
    </row>
    <row r="184" customFormat="false" ht="15.75" hidden="false" customHeight="false" outlineLevel="0" collapsed="false">
      <c r="A184" s="5"/>
      <c r="B184" s="126"/>
      <c r="C184" s="52"/>
      <c r="D184" s="53"/>
      <c r="E184" s="120"/>
      <c r="F184" s="120"/>
      <c r="G184" s="55"/>
      <c r="H184" s="56"/>
      <c r="I184" s="80"/>
      <c r="J184" s="80"/>
      <c r="K184" s="80"/>
      <c r="L184" s="58"/>
      <c r="M184" s="58"/>
      <c r="N184" s="58"/>
      <c r="O184" s="59"/>
      <c r="P184" s="60"/>
      <c r="Q184" s="80"/>
      <c r="R184" s="62"/>
      <c r="S184" s="63"/>
      <c r="T184" s="63" t="str">
        <f aca="false">IF(ISBLANK($C184),"",IF(G184=Constants!$B$2, TRUE(), IF(G184=Constants!$B$3, FALSE(), TRUE())))</f>
        <v/>
      </c>
      <c r="U184" s="63" t="str">
        <f aca="false">IF(ISBLANK($C184),"",IF(H184=Constants!$B$2, TRUE(), IF(H184=Constants!$B$3, FALSE(), TRUE())))</f>
        <v/>
      </c>
      <c r="V184" s="63" t="str">
        <f aca="false">IF(ISBLANK($C184),"",IF(I184=Constants!$B$2, TRUE(), IF(I184=Constants!$B$3, FALSE(), TRUE())))</f>
        <v/>
      </c>
      <c r="W184" s="63" t="str">
        <f aca="false">IF(ISBLANK($C184),"",IF(J184=Constants!$B$2, TRUE(), IF(J184=Constants!$B$3, FALSE(), TRUE())))</f>
        <v/>
      </c>
      <c r="X184" s="63" t="str">
        <f aca="false">IF(ISBLANK($C184),"",IF(K184=Constants!$B$2, TRUE(), IF(K184=Constants!$B$3, FALSE(), TRUE())))</f>
        <v/>
      </c>
      <c r="Y184" s="65" t="str">
        <f aca="false">IF(ISBLANK($C184),"",IF(ISNUMBER(L184), L184, ""))</f>
        <v/>
      </c>
      <c r="Z184" s="65" t="str">
        <f aca="false">IF(ISBLANK($C184),"",IF(ISNUMBER(M184), M184, ""))</f>
        <v/>
      </c>
      <c r="AA184" s="65" t="str">
        <f aca="false">IF(ISBLANK($C184),"",IF(ISNUMBER(N184), N184, ""))</f>
        <v/>
      </c>
      <c r="AB184" s="66" t="str">
        <f aca="false">IF(ISBLANK($C184),"",IF(ISNUMBER(O184), O184, ""))</f>
        <v/>
      </c>
      <c r="AC184" s="66" t="str">
        <f aca="false">IF(ISBLANK($C184),"",IF(ISNUMBER(P184), P184, Constants!$B$13))</f>
        <v/>
      </c>
      <c r="AD184" s="63" t="str">
        <f aca="false">IF(ISBLANK($C184),"",IF(Q184=Constants!$B$2, TRUE(), IF(Q184=Constants!$B$3, FALSE(), FALSE())))</f>
        <v/>
      </c>
      <c r="AE184" s="63" t="str">
        <f aca="false">IF(ISBLANK(C184), "", IF(AD184, Constants!$B$4,IF(COUNTA(G184:O184)=0, Constants!$B$5, Constants!$B$7)))</f>
        <v/>
      </c>
      <c r="AF184" s="63" t="str">
        <f aca="false">IF(ISBLANK($C184), "",IF($AE184=Constants!$B$7,1,$AE184))</f>
        <v/>
      </c>
      <c r="AG184" s="63" t="str">
        <f aca="false">IF($AE184=Constants!$B$7,IF(V184, 1, Constants!$B$11) * IF(X184, 1, Constants!$B$12),"")</f>
        <v/>
      </c>
      <c r="AH184" s="63" t="str">
        <f aca="false">IF(AND($AE184=Constants!$B$7, T184, U184) ,MAX(0, $AA184-$Y184),"")</f>
        <v/>
      </c>
      <c r="AI184" s="63" t="str">
        <f aca="false">IF(ISERROR(AH184),$AI$6,"")</f>
        <v/>
      </c>
      <c r="AJ184" s="63" t="str">
        <f aca="false">IF($AE184=Constants!$B$7,IF(AND(T184,U184,W184),IF($AH$6=0,Constants!$B$9,Constants!$B$9*AH184/$AH$6), 0),"")</f>
        <v/>
      </c>
      <c r="AK184" s="63" t="str">
        <f aca="false">IF(AJ184&lt;&gt;"", AJ184*AG184,"")</f>
        <v/>
      </c>
      <c r="AL184" s="63" t="str">
        <f aca="false">IF(AND($AE184=Constants!$B$7, T184, U184) ,IF($Z184="", "", MAX(0,1-ABS($AA184-$Z184)/$AA184)),"")</f>
        <v/>
      </c>
      <c r="AM184" s="63" t="str">
        <f aca="false">IF(AND(NOT(ISERROR(AH184)),ISERROR(AL184)),$AM$6,"")</f>
        <v/>
      </c>
      <c r="AN184" s="63" t="str">
        <f aca="false">IF($AE184=Constants!$B$7 ,IF(AND(T184,U184,W184,ISNUMBER(Z184)),IF($AL$6=0,Constants!$B$10,Constants!$B$10*AL184/$AL$6), 0),"")</f>
        <v/>
      </c>
      <c r="AO184" s="63" t="str">
        <f aca="false">IF(AN184&lt;&gt;"", AN184*AG184,"")</f>
        <v/>
      </c>
      <c r="AP184" s="63" t="str">
        <f aca="false">IF($AE184=Constants!$B$7,IF($AP$6=0,Constants!$B$8,Constants!$B$8*AB184/$AP$6),"")</f>
        <v/>
      </c>
      <c r="AQ184" s="63" t="str">
        <f aca="false">IF($AE184&lt;&gt;Constants!$B$7,$AE184,AK184+AO184+AP184)</f>
        <v/>
      </c>
      <c r="AR184" s="63" t="str">
        <f aca="false">IF(ISBLANK($C184),"",IF($AE184=Constants!$B$7,RANK(AQ184,$AQ$8:$AQ$507),$AE184))</f>
        <v/>
      </c>
      <c r="AS184" s="63" t="str">
        <f aca="false">IF(ISBLANK($C184), "",AK184)</f>
        <v/>
      </c>
      <c r="AT184" s="63" t="str">
        <f aca="false">IF(ISBLANK($C184),"",IF($AE184=Constants!$B$7,RANK(AS184,AS$8:AS$507),$AE184))</f>
        <v/>
      </c>
      <c r="AU184" s="63" t="str">
        <f aca="false">IF(ISBLANK($C184), "",AP184)</f>
        <v/>
      </c>
      <c r="AV184" s="63" t="str">
        <f aca="false">IF(ISBLANK($C184),"",IF($AE184=Constants!$B$7,RANK(AU184,AU$8:AU$507),$AE184))</f>
        <v/>
      </c>
      <c r="AW184" s="63" t="str">
        <f aca="false">IF(ISBLANK($C184), "",AC184)</f>
        <v/>
      </c>
      <c r="AX184" s="63" t="str">
        <f aca="false">IF(ISBLANK($C184),"",
IF($AE184=Constants!$B$7,
  COUNTIFS($AR$8:$AR$507,"&lt;"&amp;$AR184)
  + COUNTIFS($AR$8:$AR$507,$AR184,$AT$8:$AT$507,"&lt;"&amp;$AT184)
  + COUNTIFS($AR$8:$AR$507,$AR184,$AT$8:$AT$507,$AT184,$AV$8:$AV$507,"&lt;"&amp;$AV184)
  + COUNTIFS($AR$8:$AR$507,$AR184,$AT$8:$AT$507,$AT184,$AV$8:$AV$507,$AV184,$AW$8:$AW$507,"&lt;"&amp;$AW184)
  + 1,
$AE184))</f>
        <v/>
      </c>
      <c r="AY184" s="63" t="str">
        <f aca="false">IF(ISBLANK(C184),"",IF($AE184=Constants!$B$7, AR184-AX184,$AE184))</f>
        <v/>
      </c>
      <c r="AZ184" s="67"/>
      <c r="BA184" s="81" t="str">
        <f aca="false">IF(ISBLANK($C184),"",TRIM(AI184&amp;" "&amp;AM184))</f>
        <v/>
      </c>
      <c r="BB184" s="69" t="str">
        <f aca="false">IF(ISBLANK($C184),"",IF($AE184&lt;&gt;Constants!$B$7, $AE184 ,AQ184))</f>
        <v/>
      </c>
      <c r="BC184" s="70" t="str">
        <f aca="false">IF(ISBLANK($C184),"",IF($AE184&lt;&gt;Constants!$B$7, $AE184 ,AF184))</f>
        <v/>
      </c>
      <c r="BD184" s="71" t="str">
        <f aca="false">IF(ISBLANK(C184),"",AY184)</f>
        <v/>
      </c>
      <c r="BE184" s="71" t="str">
        <f aca="false">IF(ISBLANK(C184),"",AX184)</f>
        <v/>
      </c>
      <c r="BF184" s="72" t="str">
        <f aca="false">IF(ISBLANK(C184),"",IFERROR(_xlfn.SWITCH(BE184, Constants!$B$4, COUNTA($C$8:$C683)+2, Constants!$B$5, COUNTA($C$8:$C683)+1, Constants!$B$6, COUNTA($C$8:$C683)),BE184))</f>
        <v/>
      </c>
      <c r="BG184" s="5"/>
      <c r="BH184" s="73" t="n">
        <f aca="false">IF(OR(ISNUMBER(BE184),BE184="DQ",BE184="P",BE184="NS"),
    1,
    0
)</f>
        <v>0</v>
      </c>
      <c r="BI184" s="73" t="n">
        <v>177</v>
      </c>
      <c r="BJ184" s="73" t="str">
        <f aca="false">IF(ISBLANK($C184),
    "",
   BF184+ROW($B184)/1000
)</f>
        <v/>
      </c>
      <c r="BK184" s="73" t="str">
        <f aca="false">IF(ISNUMBER(BJ184), RANK(BJ184,BJ$8:BJ$507,1), "")</f>
        <v/>
      </c>
      <c r="BL184" s="73" t="str">
        <f aca="false">IF(ISBLANK($C184),
    "",
    $B184
)</f>
        <v/>
      </c>
      <c r="BM184" s="73" t="str">
        <f aca="false">IF(ISBLANK($C184),
    "",
    $C184
)</f>
        <v/>
      </c>
      <c r="BN184" s="73" t="str">
        <f aca="false">IF(ISBLANK($C184),
    "",
    $D184
)</f>
        <v/>
      </c>
      <c r="BO184" s="74" t="str">
        <f aca="false">BC184</f>
        <v/>
      </c>
      <c r="BP184" s="75" t="str">
        <f aca="false">BB184</f>
        <v/>
      </c>
      <c r="BQ184" s="73" t="str">
        <f aca="false">IF(ISBLANK($C184),
    "",
    BE184
)</f>
        <v/>
      </c>
      <c r="BR184" s="76" t="str">
        <f aca="false">IF(BI184&gt;BH$7,
    "",
    VLOOKUP(BI184,BK$8:BQ683,7,FALSE())
)</f>
        <v/>
      </c>
      <c r="BS184" s="77" t="str">
        <f aca="false">IF(BI184&gt;BH$7,
    "",
    VLOOKUP(BI184,BK$8:BQ683,2,FALSE())
)</f>
        <v/>
      </c>
      <c r="BT184" s="77" t="str">
        <f aca="false">IF(BI184&gt;BH$7,
    "",
    VLOOKUP(BI184,BK$8:BQ683,3,FALSE())
)</f>
        <v/>
      </c>
      <c r="BU184" s="77" t="str">
        <f aca="false">IF(BI184&gt;BH$7,
    "",
    VLOOKUP(BI184,BK$8:BQ683,4,FALSE())
)</f>
        <v/>
      </c>
      <c r="BV184" s="77" t="str">
        <f aca="false">IF(BI184&gt;BH$7,
    "",
    VLOOKUP(BI184,BK$8:BQ683,5,FALSE())
)</f>
        <v/>
      </c>
      <c r="BW184" s="78" t="str">
        <f aca="false">IF(BI184&gt;BH$7,
    "",
    VLOOKUP(BI184,BK$8:BQ683,6,FALSE())
)</f>
        <v/>
      </c>
      <c r="BX184" s="50"/>
    </row>
    <row r="185" customFormat="false" ht="15.75" hidden="false" customHeight="false" outlineLevel="0" collapsed="false">
      <c r="A185" s="5"/>
      <c r="B185" s="122"/>
      <c r="C185" s="123"/>
      <c r="D185" s="112"/>
      <c r="E185" s="116"/>
      <c r="F185" s="116"/>
      <c r="G185" s="88"/>
      <c r="H185" s="89"/>
      <c r="I185" s="125"/>
      <c r="J185" s="125"/>
      <c r="K185" s="125"/>
      <c r="L185" s="91"/>
      <c r="M185" s="91"/>
      <c r="N185" s="91"/>
      <c r="O185" s="92"/>
      <c r="P185" s="93"/>
      <c r="Q185" s="125"/>
      <c r="R185" s="95"/>
      <c r="S185" s="96"/>
      <c r="T185" s="96" t="str">
        <f aca="false">IF(ISBLANK($C185),"",IF(G185=Constants!$B$2, TRUE(), IF(G185=Constants!$B$3, FALSE(), TRUE())))</f>
        <v/>
      </c>
      <c r="U185" s="96" t="str">
        <f aca="false">IF(ISBLANK($C185),"",IF(H185=Constants!$B$2, TRUE(), IF(H185=Constants!$B$3, FALSE(), TRUE())))</f>
        <v/>
      </c>
      <c r="V185" s="96" t="str">
        <f aca="false">IF(ISBLANK($C185),"",IF(I185=Constants!$B$2, TRUE(), IF(I185=Constants!$B$3, FALSE(), TRUE())))</f>
        <v/>
      </c>
      <c r="W185" s="96" t="str">
        <f aca="false">IF(ISBLANK($C185),"",IF(J185=Constants!$B$2, TRUE(), IF(J185=Constants!$B$3, FALSE(), TRUE())))</f>
        <v/>
      </c>
      <c r="X185" s="97" t="str">
        <f aca="false">IF(ISBLANK($C185),"",IF(K185=Constants!$B$2, TRUE(), IF(K185=Constants!$B$3, FALSE(), TRUE())))</f>
        <v/>
      </c>
      <c r="Y185" s="98" t="str">
        <f aca="false">IF(ISBLANK($C185),"",IF(ISNUMBER(L185), L185, ""))</f>
        <v/>
      </c>
      <c r="Z185" s="98" t="str">
        <f aca="false">IF(ISBLANK($C185),"",IF(ISNUMBER(M185), M185, ""))</f>
        <v/>
      </c>
      <c r="AA185" s="98" t="str">
        <f aca="false">IF(ISBLANK($C185),"",IF(ISNUMBER(N185), N185, ""))</f>
        <v/>
      </c>
      <c r="AB185" s="99" t="str">
        <f aca="false">IF(ISBLANK($C185),"",IF(ISNUMBER(O185), O185, ""))</f>
        <v/>
      </c>
      <c r="AC185" s="99" t="str">
        <f aca="false">IF(ISBLANK($C185),"",IF(ISNUMBER(P185), P185, Constants!$B$13))</f>
        <v/>
      </c>
      <c r="AD185" s="96" t="str">
        <f aca="false">IF(ISBLANK($C185),"",IF(Q185=Constants!$B$2, TRUE(), IF(Q185=Constants!$B$3, FALSE(), FALSE())))</f>
        <v/>
      </c>
      <c r="AE185" s="96" t="str">
        <f aca="false">IF(ISBLANK(C185), "", IF(AD185, Constants!$B$4,IF(COUNTA(G185:O185)=0, Constants!$B$5, Constants!$B$7)))</f>
        <v/>
      </c>
      <c r="AF185" s="96" t="str">
        <f aca="false">IF(ISBLANK($C185), "",IF($AE185=Constants!$B$7,1,$AE185))</f>
        <v/>
      </c>
      <c r="AG185" s="96" t="str">
        <f aca="false">IF($AE185=Constants!$B$7,IF(V185, 1, Constants!$B$11) * IF(X185, 1, Constants!$B$12),"")</f>
        <v/>
      </c>
      <c r="AH185" s="96" t="str">
        <f aca="false">IF(AND($AE185=Constants!$B$7, T185, U185) ,MAX(0, $AA185-$Y185),"")</f>
        <v/>
      </c>
      <c r="AI185" s="96" t="str">
        <f aca="false">IF(ISERROR(AH185),$AI$6,"")</f>
        <v/>
      </c>
      <c r="AJ185" s="96" t="str">
        <f aca="false">IF($AE185=Constants!$B$7,IF(AND(T185,U185,W185),IF($AH$6=0,Constants!$B$9,Constants!$B$9*AH185/$AH$6), 0),"")</f>
        <v/>
      </c>
      <c r="AK185" s="96" t="str">
        <f aca="false">IF(AJ185&lt;&gt;"", AJ185*AG185,"")</f>
        <v/>
      </c>
      <c r="AL185" s="96" t="str">
        <f aca="false">IF(AND($AE185=Constants!$B$7, T185, U185) ,IF($Z185="", "", MAX(0,1-ABS($AA185-$Z185)/$AA185)),"")</f>
        <v/>
      </c>
      <c r="AM185" s="96" t="str">
        <f aca="false">IF(AND(NOT(ISERROR(AH185)),ISERROR(AL185)),$AM$6,"")</f>
        <v/>
      </c>
      <c r="AN185" s="96" t="str">
        <f aca="false">IF($AE185=Constants!$B$7 ,IF(AND(T185,U185,W185,ISNUMBER(Z185)),IF($AL$6=0,Constants!$B$10,Constants!$B$10*AL185/$AL$6), 0),"")</f>
        <v/>
      </c>
      <c r="AO185" s="96" t="str">
        <f aca="false">IF(AN185&lt;&gt;"", AN185*AG185,"")</f>
        <v/>
      </c>
      <c r="AP185" s="96" t="str">
        <f aca="false">IF($AE185=Constants!$B$7,IF($AP$6=0,Constants!$B$8,Constants!$B$8*AB185/$AP$6),"")</f>
        <v/>
      </c>
      <c r="AQ185" s="96" t="str">
        <f aca="false">IF($AE185&lt;&gt;Constants!$B$7,$AE185,AK185+AO185+AP185)</f>
        <v/>
      </c>
      <c r="AR185" s="96" t="str">
        <f aca="false">IF(ISBLANK($C185),"",IF($AE185=Constants!$B$7,RANK(AQ185,$AQ$8:$AQ$507),$AE185))</f>
        <v/>
      </c>
      <c r="AS185" s="96" t="str">
        <f aca="false">IF(ISBLANK($C185), "",AK185)</f>
        <v/>
      </c>
      <c r="AT185" s="96" t="str">
        <f aca="false">IF(ISBLANK($C185),"",IF($AE185=Constants!$B$7,RANK(AS185,AS$8:AS$507),$AE185))</f>
        <v/>
      </c>
      <c r="AU185" s="96" t="str">
        <f aca="false">IF(ISBLANK($C185), "",AP185)</f>
        <v/>
      </c>
      <c r="AV185" s="96" t="str">
        <f aca="false">IF(ISBLANK($C185),"",IF($AE185=Constants!$B$7,RANK(AU185,AU$8:AU$507),$AE185))</f>
        <v/>
      </c>
      <c r="AW185" s="96" t="str">
        <f aca="false">IF(ISBLANK($C185), "",AC185)</f>
        <v/>
      </c>
      <c r="AX185" s="96" t="str">
        <f aca="false">IF(ISBLANK($C185),"",
IF($AE185=Constants!$B$7,
  COUNTIFS($AR$8:$AR$507,"&lt;"&amp;$AR185)
  + COUNTIFS($AR$8:$AR$507,$AR185,$AT$8:$AT$507,"&lt;"&amp;$AT185)
  + COUNTIFS($AR$8:$AR$507,$AR185,$AT$8:$AT$507,$AT185,$AV$8:$AV$507,"&lt;"&amp;$AV185)
  + COUNTIFS($AR$8:$AR$507,$AR185,$AT$8:$AT$507,$AT185,$AV$8:$AV$507,$AV185,$AW$8:$AW$507,"&lt;"&amp;$AW185)
  + 1,
$AE185))</f>
        <v/>
      </c>
      <c r="AY185" s="96" t="str">
        <f aca="false">IF(ISBLANK(C185),"",IF($AE185=Constants!$B$7, AR185-AX185,$AE185))</f>
        <v/>
      </c>
      <c r="AZ185" s="100"/>
      <c r="BA185" s="101" t="str">
        <f aca="false">IF(ISBLANK($C185),"",TRIM(AI185&amp;" "&amp;AM185))</f>
        <v/>
      </c>
      <c r="BB185" s="102" t="str">
        <f aca="false">IF(ISBLANK($C185),"",IF($AE185&lt;&gt;Constants!$B$7, $AE185 ,AQ185))</f>
        <v/>
      </c>
      <c r="BC185" s="103" t="str">
        <f aca="false">IF(ISBLANK($C185),"",IF($AE185&lt;&gt;Constants!$B$7, $AE185 ,AF185))</f>
        <v/>
      </c>
      <c r="BD185" s="104" t="str">
        <f aca="false">IF(ISBLANK(C185),"",AY185)</f>
        <v/>
      </c>
      <c r="BE185" s="104" t="str">
        <f aca="false">IF(ISBLANK(C185),"",AX185)</f>
        <v/>
      </c>
      <c r="BF185" s="105" t="str">
        <f aca="false">IF(ISBLANK(C185),"",IFERROR(_xlfn.SWITCH(BE185, Constants!$B$4, COUNTA($C$8:$C684)+2, Constants!$B$5, COUNTA($C$8:$C684)+1, Constants!$B$6, COUNTA($C$8:$C684)),BE185))</f>
        <v/>
      </c>
      <c r="BG185" s="5"/>
      <c r="BH185" s="106" t="n">
        <f aca="false">IF(OR(ISNUMBER(BE185),BE185="DQ",BE185="P",BE185="NS"),
    1,
    0
)</f>
        <v>0</v>
      </c>
      <c r="BI185" s="106" t="n">
        <v>178</v>
      </c>
      <c r="BJ185" s="106" t="str">
        <f aca="false">IF(ISBLANK($C185),
    "",
   BF185+ROW($B185)/1000
)</f>
        <v/>
      </c>
      <c r="BK185" s="106" t="str">
        <f aca="false">IF(ISNUMBER(BJ185), RANK(BJ185,BJ$8:BJ$507,1), "")</f>
        <v/>
      </c>
      <c r="BL185" s="106" t="str">
        <f aca="false">IF(ISBLANK($C185),
    "",
    $B185
)</f>
        <v/>
      </c>
      <c r="BM185" s="106" t="str">
        <f aca="false">IF(ISBLANK($C185),
    "",
    $C185
)</f>
        <v/>
      </c>
      <c r="BN185" s="106" t="str">
        <f aca="false">IF(ISBLANK($C185),
    "",
    $D185
)</f>
        <v/>
      </c>
      <c r="BO185" s="107" t="str">
        <f aca="false">BC185</f>
        <v/>
      </c>
      <c r="BP185" s="108" t="str">
        <f aca="false">BB185</f>
        <v/>
      </c>
      <c r="BQ185" s="106" t="str">
        <f aca="false">IF(ISBLANK($C185),
    "",
    BE185
)</f>
        <v/>
      </c>
      <c r="BR185" s="109" t="str">
        <f aca="false">IF(BI185&gt;BH$7,
    "",
    VLOOKUP(BI185,BK$8:BQ684,7,FALSE())
)</f>
        <v/>
      </c>
      <c r="BS185" s="110" t="str">
        <f aca="false">IF(BI185&gt;BH$7,
    "",
    VLOOKUP(BI185,BK$8:BQ684,2,FALSE())
)</f>
        <v/>
      </c>
      <c r="BT185" s="110" t="str">
        <f aca="false">IF(BI185&gt;BH$7,
    "",
    VLOOKUP(BI185,BK$8:BQ684,3,FALSE())
)</f>
        <v/>
      </c>
      <c r="BU185" s="110" t="str">
        <f aca="false">IF(BI185&gt;BH$7,
    "",
    VLOOKUP(BI185,BK$8:BQ684,4,FALSE())
)</f>
        <v/>
      </c>
      <c r="BV185" s="110" t="str">
        <f aca="false">IF(BI185&gt;BH$7,
    "",
    VLOOKUP(BI185,BK$8:BQ684,5,FALSE())
)</f>
        <v/>
      </c>
      <c r="BW185" s="111" t="str">
        <f aca="false">IF(BI185&gt;BH$7,
    "",
    VLOOKUP(BI185,BK$8:BQ684,6,FALSE())
)</f>
        <v/>
      </c>
      <c r="BX185" s="50"/>
    </row>
    <row r="186" customFormat="false" ht="15.75" hidden="false" customHeight="false" outlineLevel="0" collapsed="false">
      <c r="A186" s="5"/>
      <c r="B186" s="122"/>
      <c r="C186" s="123"/>
      <c r="D186" s="112"/>
      <c r="E186" s="116"/>
      <c r="F186" s="116"/>
      <c r="G186" s="88"/>
      <c r="H186" s="89"/>
      <c r="I186" s="125"/>
      <c r="J186" s="125"/>
      <c r="K186" s="125"/>
      <c r="L186" s="91"/>
      <c r="M186" s="91"/>
      <c r="N186" s="91"/>
      <c r="O186" s="92"/>
      <c r="P186" s="93"/>
      <c r="Q186" s="125"/>
      <c r="R186" s="95"/>
      <c r="S186" s="96"/>
      <c r="T186" s="96" t="str">
        <f aca="false">IF(ISBLANK($C186),"",IF(G186=Constants!$B$2, TRUE(), IF(G186=Constants!$B$3, FALSE(), TRUE())))</f>
        <v/>
      </c>
      <c r="U186" s="96" t="str">
        <f aca="false">IF(ISBLANK($C186),"",IF(H186=Constants!$B$2, TRUE(), IF(H186=Constants!$B$3, FALSE(), TRUE())))</f>
        <v/>
      </c>
      <c r="V186" s="96" t="str">
        <f aca="false">IF(ISBLANK($C186),"",IF(I186=Constants!$B$2, TRUE(), IF(I186=Constants!$B$3, FALSE(), TRUE())))</f>
        <v/>
      </c>
      <c r="W186" s="96" t="str">
        <f aca="false">IF(ISBLANK($C186),"",IF(J186=Constants!$B$2, TRUE(), IF(J186=Constants!$B$3, FALSE(), TRUE())))</f>
        <v/>
      </c>
      <c r="X186" s="97" t="str">
        <f aca="false">IF(ISBLANK($C186),"",IF(K186=Constants!$B$2, TRUE(), IF(K186=Constants!$B$3, FALSE(), TRUE())))</f>
        <v/>
      </c>
      <c r="Y186" s="98" t="str">
        <f aca="false">IF(ISBLANK($C186),"",IF(ISNUMBER(L186), L186, ""))</f>
        <v/>
      </c>
      <c r="Z186" s="98" t="str">
        <f aca="false">IF(ISBLANK($C186),"",IF(ISNUMBER(M186), M186, ""))</f>
        <v/>
      </c>
      <c r="AA186" s="98" t="str">
        <f aca="false">IF(ISBLANK($C186),"",IF(ISNUMBER(N186), N186, ""))</f>
        <v/>
      </c>
      <c r="AB186" s="99" t="str">
        <f aca="false">IF(ISBLANK($C186),"",IF(ISNUMBER(O186), O186, ""))</f>
        <v/>
      </c>
      <c r="AC186" s="99" t="str">
        <f aca="false">IF(ISBLANK($C186),"",IF(ISNUMBER(P186), P186, Constants!$B$13))</f>
        <v/>
      </c>
      <c r="AD186" s="96" t="str">
        <f aca="false">IF(ISBLANK($C186),"",IF(Q186=Constants!$B$2, TRUE(), IF(Q186=Constants!$B$3, FALSE(), FALSE())))</f>
        <v/>
      </c>
      <c r="AE186" s="96" t="str">
        <f aca="false">IF(ISBLANK(C186), "", IF(AD186, Constants!$B$4,IF(COUNTA(G186:O186)=0, Constants!$B$5, Constants!$B$7)))</f>
        <v/>
      </c>
      <c r="AF186" s="96" t="str">
        <f aca="false">IF(ISBLANK($C186), "",IF($AE186=Constants!$B$7,1,$AE186))</f>
        <v/>
      </c>
      <c r="AG186" s="96" t="str">
        <f aca="false">IF($AE186=Constants!$B$7,IF(V186, 1, Constants!$B$11) * IF(X186, 1, Constants!$B$12),"")</f>
        <v/>
      </c>
      <c r="AH186" s="96" t="str">
        <f aca="false">IF(AND($AE186=Constants!$B$7, T186, U186) ,MAX(0, $AA186-$Y186),"")</f>
        <v/>
      </c>
      <c r="AI186" s="96" t="str">
        <f aca="false">IF(ISERROR(AH186),$AI$6,"")</f>
        <v/>
      </c>
      <c r="AJ186" s="96" t="str">
        <f aca="false">IF($AE186=Constants!$B$7,IF(AND(T186,U186,W186),IF($AH$6=0,Constants!$B$9,Constants!$B$9*AH186/$AH$6), 0),"")</f>
        <v/>
      </c>
      <c r="AK186" s="96" t="str">
        <f aca="false">IF(AJ186&lt;&gt;"", AJ186*AG186,"")</f>
        <v/>
      </c>
      <c r="AL186" s="96" t="str">
        <f aca="false">IF(AND($AE186=Constants!$B$7, T186, U186) ,IF($Z186="", "", MAX(0,1-ABS($AA186-$Z186)/$AA186)),"")</f>
        <v/>
      </c>
      <c r="AM186" s="96" t="str">
        <f aca="false">IF(AND(NOT(ISERROR(AH186)),ISERROR(AL186)),$AM$6,"")</f>
        <v/>
      </c>
      <c r="AN186" s="96" t="str">
        <f aca="false">IF($AE186=Constants!$B$7 ,IF(AND(T186,U186,W186,ISNUMBER(Z186)),IF($AL$6=0,Constants!$B$10,Constants!$B$10*AL186/$AL$6), 0),"")</f>
        <v/>
      </c>
      <c r="AO186" s="96" t="str">
        <f aca="false">IF(AN186&lt;&gt;"", AN186*AG186,"")</f>
        <v/>
      </c>
      <c r="AP186" s="96" t="str">
        <f aca="false">IF($AE186=Constants!$B$7,IF($AP$6=0,Constants!$B$8,Constants!$B$8*AB186/$AP$6),"")</f>
        <v/>
      </c>
      <c r="AQ186" s="96" t="str">
        <f aca="false">IF($AE186&lt;&gt;Constants!$B$7,$AE186,AK186+AO186+AP186)</f>
        <v/>
      </c>
      <c r="AR186" s="96" t="str">
        <f aca="false">IF(ISBLANK($C186),"",IF($AE186=Constants!$B$7,RANK(AQ186,$AQ$8:$AQ$507),$AE186))</f>
        <v/>
      </c>
      <c r="AS186" s="96" t="str">
        <f aca="false">IF(ISBLANK($C186), "",AK186)</f>
        <v/>
      </c>
      <c r="AT186" s="96" t="str">
        <f aca="false">IF(ISBLANK($C186),"",IF($AE186=Constants!$B$7,RANK(AS186,AS$8:AS$507),$AE186))</f>
        <v/>
      </c>
      <c r="AU186" s="96" t="str">
        <f aca="false">IF(ISBLANK($C186), "",AP186)</f>
        <v/>
      </c>
      <c r="AV186" s="96" t="str">
        <f aca="false">IF(ISBLANK($C186),"",IF($AE186=Constants!$B$7,RANK(AU186,AU$8:AU$507),$AE186))</f>
        <v/>
      </c>
      <c r="AW186" s="96" t="str">
        <f aca="false">IF(ISBLANK($C186), "",AC186)</f>
        <v/>
      </c>
      <c r="AX186" s="96" t="str">
        <f aca="false">IF(ISBLANK($C186),"",
IF($AE186=Constants!$B$7,
  COUNTIFS($AR$8:$AR$507,"&lt;"&amp;$AR186)
  + COUNTIFS($AR$8:$AR$507,$AR186,$AT$8:$AT$507,"&lt;"&amp;$AT186)
  + COUNTIFS($AR$8:$AR$507,$AR186,$AT$8:$AT$507,$AT186,$AV$8:$AV$507,"&lt;"&amp;$AV186)
  + COUNTIFS($AR$8:$AR$507,$AR186,$AT$8:$AT$507,$AT186,$AV$8:$AV$507,$AV186,$AW$8:$AW$507,"&lt;"&amp;$AW186)
  + 1,
$AE186))</f>
        <v/>
      </c>
      <c r="AY186" s="96" t="str">
        <f aca="false">IF(ISBLANK(C186),"",IF($AE186=Constants!$B$7, AR186-AX186,$AE186))</f>
        <v/>
      </c>
      <c r="AZ186" s="100"/>
      <c r="BA186" s="101" t="str">
        <f aca="false">IF(ISBLANK($C186),"",TRIM(AI186&amp;" "&amp;AM186))</f>
        <v/>
      </c>
      <c r="BB186" s="102" t="str">
        <f aca="false">IF(ISBLANK($C186),"",IF($AE186&lt;&gt;Constants!$B$7, $AE186 ,AQ186))</f>
        <v/>
      </c>
      <c r="BC186" s="103" t="str">
        <f aca="false">IF(ISBLANK($C186),"",IF($AE186&lt;&gt;Constants!$B$7, $AE186 ,AF186))</f>
        <v/>
      </c>
      <c r="BD186" s="104" t="str">
        <f aca="false">IF(ISBLANK(C186),"",AY186)</f>
        <v/>
      </c>
      <c r="BE186" s="104" t="str">
        <f aca="false">IF(ISBLANK(C186),"",AX186)</f>
        <v/>
      </c>
      <c r="BF186" s="105" t="str">
        <f aca="false">IF(ISBLANK(C186),"",IFERROR(_xlfn.SWITCH(BE186, Constants!$B$4, COUNTA($C$8:$C685)+2, Constants!$B$5, COUNTA($C$8:$C685)+1, Constants!$B$6, COUNTA($C$8:$C685)),BE186))</f>
        <v/>
      </c>
      <c r="BG186" s="5"/>
      <c r="BH186" s="106" t="n">
        <f aca="false">IF(OR(ISNUMBER(BE186),BE186="DQ",BE186="P",BE186="NS"),
    1,
    0
)</f>
        <v>0</v>
      </c>
      <c r="BI186" s="106" t="n">
        <v>179</v>
      </c>
      <c r="BJ186" s="106" t="str">
        <f aca="false">IF(ISBLANK($C186),
    "",
   BF186+ROW($B186)/1000
)</f>
        <v/>
      </c>
      <c r="BK186" s="106" t="str">
        <f aca="false">IF(ISNUMBER(BJ186), RANK(BJ186,BJ$8:BJ$507,1), "")</f>
        <v/>
      </c>
      <c r="BL186" s="106" t="str">
        <f aca="false">IF(ISBLANK($C186),
    "",
    $B186
)</f>
        <v/>
      </c>
      <c r="BM186" s="106" t="str">
        <f aca="false">IF(ISBLANK($C186),
    "",
    $C186
)</f>
        <v/>
      </c>
      <c r="BN186" s="106" t="str">
        <f aca="false">IF(ISBLANK($C186),
    "",
    $D186
)</f>
        <v/>
      </c>
      <c r="BO186" s="107" t="str">
        <f aca="false">BC186</f>
        <v/>
      </c>
      <c r="BP186" s="108" t="str">
        <f aca="false">BB186</f>
        <v/>
      </c>
      <c r="BQ186" s="106" t="str">
        <f aca="false">IF(ISBLANK($C186),
    "",
    BE186
)</f>
        <v/>
      </c>
      <c r="BR186" s="109" t="str">
        <f aca="false">IF(BI186&gt;BH$7,
    "",
    VLOOKUP(BI186,BK$8:BQ685,7,FALSE())
)</f>
        <v/>
      </c>
      <c r="BS186" s="110" t="str">
        <f aca="false">IF(BI186&gt;BH$7,
    "",
    VLOOKUP(BI186,BK$8:BQ685,2,FALSE())
)</f>
        <v/>
      </c>
      <c r="BT186" s="110" t="str">
        <f aca="false">IF(BI186&gt;BH$7,
    "",
    VLOOKUP(BI186,BK$8:BQ685,3,FALSE())
)</f>
        <v/>
      </c>
      <c r="BU186" s="110" t="str">
        <f aca="false">IF(BI186&gt;BH$7,
    "",
    VLOOKUP(BI186,BK$8:BQ685,4,FALSE())
)</f>
        <v/>
      </c>
      <c r="BV186" s="110" t="str">
        <f aca="false">IF(BI186&gt;BH$7,
    "",
    VLOOKUP(BI186,BK$8:BQ685,5,FALSE())
)</f>
        <v/>
      </c>
      <c r="BW186" s="111" t="str">
        <f aca="false">IF(BI186&gt;BH$7,
    "",
    VLOOKUP(BI186,BK$8:BQ685,6,FALSE())
)</f>
        <v/>
      </c>
      <c r="BX186" s="50"/>
    </row>
    <row r="187" customFormat="false" ht="15.75" hidden="false" customHeight="false" outlineLevel="0" collapsed="false">
      <c r="A187" s="5"/>
      <c r="B187" s="122"/>
      <c r="C187" s="123"/>
      <c r="D187" s="112"/>
      <c r="E187" s="116"/>
      <c r="F187" s="116"/>
      <c r="G187" s="88"/>
      <c r="H187" s="89"/>
      <c r="I187" s="125"/>
      <c r="J187" s="125"/>
      <c r="K187" s="125"/>
      <c r="L187" s="91"/>
      <c r="M187" s="91"/>
      <c r="N187" s="91"/>
      <c r="O187" s="92"/>
      <c r="P187" s="93"/>
      <c r="Q187" s="125"/>
      <c r="R187" s="95"/>
      <c r="S187" s="96"/>
      <c r="T187" s="96" t="str">
        <f aca="false">IF(ISBLANK($C187),"",IF(G187=Constants!$B$2, TRUE(), IF(G187=Constants!$B$3, FALSE(), TRUE())))</f>
        <v/>
      </c>
      <c r="U187" s="96" t="str">
        <f aca="false">IF(ISBLANK($C187),"",IF(H187=Constants!$B$2, TRUE(), IF(H187=Constants!$B$3, FALSE(), TRUE())))</f>
        <v/>
      </c>
      <c r="V187" s="96" t="str">
        <f aca="false">IF(ISBLANK($C187),"",IF(I187=Constants!$B$2, TRUE(), IF(I187=Constants!$B$3, FALSE(), TRUE())))</f>
        <v/>
      </c>
      <c r="W187" s="96" t="str">
        <f aca="false">IF(ISBLANK($C187),"",IF(J187=Constants!$B$2, TRUE(), IF(J187=Constants!$B$3, FALSE(), TRUE())))</f>
        <v/>
      </c>
      <c r="X187" s="97" t="str">
        <f aca="false">IF(ISBLANK($C187),"",IF(K187=Constants!$B$2, TRUE(), IF(K187=Constants!$B$3, FALSE(), TRUE())))</f>
        <v/>
      </c>
      <c r="Y187" s="98" t="str">
        <f aca="false">IF(ISBLANK($C187),"",IF(ISNUMBER(L187), L187, ""))</f>
        <v/>
      </c>
      <c r="Z187" s="98" t="str">
        <f aca="false">IF(ISBLANK($C187),"",IF(ISNUMBER(M187), M187, ""))</f>
        <v/>
      </c>
      <c r="AA187" s="98" t="str">
        <f aca="false">IF(ISBLANK($C187),"",IF(ISNUMBER(N187), N187, ""))</f>
        <v/>
      </c>
      <c r="AB187" s="99" t="str">
        <f aca="false">IF(ISBLANK($C187),"",IF(ISNUMBER(O187), O187, ""))</f>
        <v/>
      </c>
      <c r="AC187" s="99" t="str">
        <f aca="false">IF(ISBLANK($C187),"",IF(ISNUMBER(P187), P187, Constants!$B$13))</f>
        <v/>
      </c>
      <c r="AD187" s="96" t="str">
        <f aca="false">IF(ISBLANK($C187),"",IF(Q187=Constants!$B$2, TRUE(), IF(Q187=Constants!$B$3, FALSE(), FALSE())))</f>
        <v/>
      </c>
      <c r="AE187" s="96" t="str">
        <f aca="false">IF(ISBLANK(C187), "", IF(AD187, Constants!$B$4,IF(COUNTA(G187:O187)=0, Constants!$B$5, Constants!$B$7)))</f>
        <v/>
      </c>
      <c r="AF187" s="96" t="str">
        <f aca="false">IF(ISBLANK($C187), "",IF($AE187=Constants!$B$7,1,$AE187))</f>
        <v/>
      </c>
      <c r="AG187" s="96" t="str">
        <f aca="false">IF($AE187=Constants!$B$7,IF(V187, 1, Constants!$B$11) * IF(X187, 1, Constants!$B$12),"")</f>
        <v/>
      </c>
      <c r="AH187" s="96" t="str">
        <f aca="false">IF(AND($AE187=Constants!$B$7, T187, U187) ,MAX(0, $AA187-$Y187),"")</f>
        <v/>
      </c>
      <c r="AI187" s="96" t="str">
        <f aca="false">IF(ISERROR(AH187),$AI$6,"")</f>
        <v/>
      </c>
      <c r="AJ187" s="96" t="str">
        <f aca="false">IF($AE187=Constants!$B$7,IF(AND(T187,U187,W187),IF($AH$6=0,Constants!$B$9,Constants!$B$9*AH187/$AH$6), 0),"")</f>
        <v/>
      </c>
      <c r="AK187" s="96" t="str">
        <f aca="false">IF(AJ187&lt;&gt;"", AJ187*AG187,"")</f>
        <v/>
      </c>
      <c r="AL187" s="96" t="str">
        <f aca="false">IF(AND($AE187=Constants!$B$7, T187, U187) ,IF($Z187="", "", MAX(0,1-ABS($AA187-$Z187)/$AA187)),"")</f>
        <v/>
      </c>
      <c r="AM187" s="96" t="str">
        <f aca="false">IF(AND(NOT(ISERROR(AH187)),ISERROR(AL187)),$AM$6,"")</f>
        <v/>
      </c>
      <c r="AN187" s="96" t="str">
        <f aca="false">IF($AE187=Constants!$B$7 ,IF(AND(T187,U187,W187,ISNUMBER(Z187)),IF($AL$6=0,Constants!$B$10,Constants!$B$10*AL187/$AL$6), 0),"")</f>
        <v/>
      </c>
      <c r="AO187" s="96" t="str">
        <f aca="false">IF(AN187&lt;&gt;"", AN187*AG187,"")</f>
        <v/>
      </c>
      <c r="AP187" s="96" t="str">
        <f aca="false">IF($AE187=Constants!$B$7,IF($AP$6=0,Constants!$B$8,Constants!$B$8*AB187/$AP$6),"")</f>
        <v/>
      </c>
      <c r="AQ187" s="96" t="str">
        <f aca="false">IF($AE187&lt;&gt;Constants!$B$7,$AE187,AK187+AO187+AP187)</f>
        <v/>
      </c>
      <c r="AR187" s="96" t="str">
        <f aca="false">IF(ISBLANK($C187),"",IF($AE187=Constants!$B$7,RANK(AQ187,$AQ$8:$AQ$507),$AE187))</f>
        <v/>
      </c>
      <c r="AS187" s="96" t="str">
        <f aca="false">IF(ISBLANK($C187), "",AK187)</f>
        <v/>
      </c>
      <c r="AT187" s="96" t="str">
        <f aca="false">IF(ISBLANK($C187),"",IF($AE187=Constants!$B$7,RANK(AS187,AS$8:AS$507),$AE187))</f>
        <v/>
      </c>
      <c r="AU187" s="96" t="str">
        <f aca="false">IF(ISBLANK($C187), "",AP187)</f>
        <v/>
      </c>
      <c r="AV187" s="96" t="str">
        <f aca="false">IF(ISBLANK($C187),"",IF($AE187=Constants!$B$7,RANK(AU187,AU$8:AU$507),$AE187))</f>
        <v/>
      </c>
      <c r="AW187" s="96" t="str">
        <f aca="false">IF(ISBLANK($C187), "",AC187)</f>
        <v/>
      </c>
      <c r="AX187" s="96" t="str">
        <f aca="false">IF(ISBLANK($C187),"",
IF($AE187=Constants!$B$7,
  COUNTIFS($AR$8:$AR$507,"&lt;"&amp;$AR187)
  + COUNTIFS($AR$8:$AR$507,$AR187,$AT$8:$AT$507,"&lt;"&amp;$AT187)
  + COUNTIFS($AR$8:$AR$507,$AR187,$AT$8:$AT$507,$AT187,$AV$8:$AV$507,"&lt;"&amp;$AV187)
  + COUNTIFS($AR$8:$AR$507,$AR187,$AT$8:$AT$507,$AT187,$AV$8:$AV$507,$AV187,$AW$8:$AW$507,"&lt;"&amp;$AW187)
  + 1,
$AE187))</f>
        <v/>
      </c>
      <c r="AY187" s="96" t="str">
        <f aca="false">IF(ISBLANK(C187),"",IF($AE187=Constants!$B$7, AR187-AX187,$AE187))</f>
        <v/>
      </c>
      <c r="AZ187" s="100"/>
      <c r="BA187" s="101" t="str">
        <f aca="false">IF(ISBLANK($C187),"",TRIM(AI187&amp;" "&amp;AM187))</f>
        <v/>
      </c>
      <c r="BB187" s="102" t="str">
        <f aca="false">IF(ISBLANK($C187),"",IF($AE187&lt;&gt;Constants!$B$7, $AE187 ,AQ187))</f>
        <v/>
      </c>
      <c r="BC187" s="103" t="str">
        <f aca="false">IF(ISBLANK($C187),"",IF($AE187&lt;&gt;Constants!$B$7, $AE187 ,AF187))</f>
        <v/>
      </c>
      <c r="BD187" s="104" t="str">
        <f aca="false">IF(ISBLANK(C187),"",AY187)</f>
        <v/>
      </c>
      <c r="BE187" s="104" t="str">
        <f aca="false">IF(ISBLANK(C187),"",AX187)</f>
        <v/>
      </c>
      <c r="BF187" s="105" t="str">
        <f aca="false">IF(ISBLANK(C187),"",IFERROR(_xlfn.SWITCH(BE187, Constants!$B$4, COUNTA($C$8:$C686)+2, Constants!$B$5, COUNTA($C$8:$C686)+1, Constants!$B$6, COUNTA($C$8:$C686)),BE187))</f>
        <v/>
      </c>
      <c r="BG187" s="5"/>
      <c r="BH187" s="106" t="n">
        <f aca="false">IF(OR(ISNUMBER(BE187),BE187="DQ",BE187="P",BE187="NS"),
    1,
    0
)</f>
        <v>0</v>
      </c>
      <c r="BI187" s="106" t="n">
        <v>180</v>
      </c>
      <c r="BJ187" s="106" t="str">
        <f aca="false">IF(ISBLANK($C187),
    "",
   BF187+ROW($B187)/1000
)</f>
        <v/>
      </c>
      <c r="BK187" s="106" t="str">
        <f aca="false">IF(ISNUMBER(BJ187), RANK(BJ187,BJ$8:BJ$507,1), "")</f>
        <v/>
      </c>
      <c r="BL187" s="106" t="str">
        <f aca="false">IF(ISBLANK($C187),
    "",
    $B187
)</f>
        <v/>
      </c>
      <c r="BM187" s="106" t="str">
        <f aca="false">IF(ISBLANK($C187),
    "",
    $C187
)</f>
        <v/>
      </c>
      <c r="BN187" s="106" t="str">
        <f aca="false">IF(ISBLANK($C187),
    "",
    $D187
)</f>
        <v/>
      </c>
      <c r="BO187" s="107" t="str">
        <f aca="false">BC187</f>
        <v/>
      </c>
      <c r="BP187" s="108" t="str">
        <f aca="false">BB187</f>
        <v/>
      </c>
      <c r="BQ187" s="106" t="str">
        <f aca="false">IF(ISBLANK($C187),
    "",
    BE187
)</f>
        <v/>
      </c>
      <c r="BR187" s="109" t="str">
        <f aca="false">IF(BI187&gt;BH$7,
    "",
    VLOOKUP(BI187,BK$8:BQ686,7,FALSE())
)</f>
        <v/>
      </c>
      <c r="BS187" s="110" t="str">
        <f aca="false">IF(BI187&gt;BH$7,
    "",
    VLOOKUP(BI187,BK$8:BQ686,2,FALSE())
)</f>
        <v/>
      </c>
      <c r="BT187" s="110" t="str">
        <f aca="false">IF(BI187&gt;BH$7,
    "",
    VLOOKUP(BI187,BK$8:BQ686,3,FALSE())
)</f>
        <v/>
      </c>
      <c r="BU187" s="110" t="str">
        <f aca="false">IF(BI187&gt;BH$7,
    "",
    VLOOKUP(BI187,BK$8:BQ686,4,FALSE())
)</f>
        <v/>
      </c>
      <c r="BV187" s="110" t="str">
        <f aca="false">IF(BI187&gt;BH$7,
    "",
    VLOOKUP(BI187,BK$8:BQ686,5,FALSE())
)</f>
        <v/>
      </c>
      <c r="BW187" s="111" t="str">
        <f aca="false">IF(BI187&gt;BH$7,
    "",
    VLOOKUP(BI187,BK$8:BQ686,6,FALSE())
)</f>
        <v/>
      </c>
      <c r="BX187" s="50"/>
    </row>
    <row r="188" customFormat="false" ht="15.75" hidden="false" customHeight="false" outlineLevel="0" collapsed="false">
      <c r="A188" s="5"/>
      <c r="B188" s="126"/>
      <c r="C188" s="52"/>
      <c r="D188" s="53"/>
      <c r="E188" s="120"/>
      <c r="F188" s="120"/>
      <c r="G188" s="55"/>
      <c r="H188" s="56"/>
      <c r="I188" s="80"/>
      <c r="J188" s="80"/>
      <c r="K188" s="80"/>
      <c r="L188" s="58"/>
      <c r="M188" s="58"/>
      <c r="N188" s="58"/>
      <c r="O188" s="59"/>
      <c r="P188" s="60"/>
      <c r="Q188" s="80"/>
      <c r="R188" s="62"/>
      <c r="S188" s="63"/>
      <c r="T188" s="63" t="str">
        <f aca="false">IF(ISBLANK($C188),"",IF(G188=Constants!$B$2, TRUE(), IF(G188=Constants!$B$3, FALSE(), TRUE())))</f>
        <v/>
      </c>
      <c r="U188" s="63" t="str">
        <f aca="false">IF(ISBLANK($C188),"",IF(H188=Constants!$B$2, TRUE(), IF(H188=Constants!$B$3, FALSE(), TRUE())))</f>
        <v/>
      </c>
      <c r="V188" s="63" t="str">
        <f aca="false">IF(ISBLANK($C188),"",IF(I188=Constants!$B$2, TRUE(), IF(I188=Constants!$B$3, FALSE(), TRUE())))</f>
        <v/>
      </c>
      <c r="W188" s="63" t="str">
        <f aca="false">IF(ISBLANK($C188),"",IF(J188=Constants!$B$2, TRUE(), IF(J188=Constants!$B$3, FALSE(), TRUE())))</f>
        <v/>
      </c>
      <c r="X188" s="63" t="str">
        <f aca="false">IF(ISBLANK($C188),"",IF(K188=Constants!$B$2, TRUE(), IF(K188=Constants!$B$3, FALSE(), TRUE())))</f>
        <v/>
      </c>
      <c r="Y188" s="65" t="str">
        <f aca="false">IF(ISBLANK($C188),"",IF(ISNUMBER(L188), L188, ""))</f>
        <v/>
      </c>
      <c r="Z188" s="65" t="str">
        <f aca="false">IF(ISBLANK($C188),"",IF(ISNUMBER(M188), M188, ""))</f>
        <v/>
      </c>
      <c r="AA188" s="65" t="str">
        <f aca="false">IF(ISBLANK($C188),"",IF(ISNUMBER(N188), N188, ""))</f>
        <v/>
      </c>
      <c r="AB188" s="66" t="str">
        <f aca="false">IF(ISBLANK($C188),"",IF(ISNUMBER(O188), O188, ""))</f>
        <v/>
      </c>
      <c r="AC188" s="66" t="str">
        <f aca="false">IF(ISBLANK($C188),"",IF(ISNUMBER(P188), P188, Constants!$B$13))</f>
        <v/>
      </c>
      <c r="AD188" s="63" t="str">
        <f aca="false">IF(ISBLANK($C188),"",IF(Q188=Constants!$B$2, TRUE(), IF(Q188=Constants!$B$3, FALSE(), FALSE())))</f>
        <v/>
      </c>
      <c r="AE188" s="63" t="str">
        <f aca="false">IF(ISBLANK(C188), "", IF(AD188, Constants!$B$4,IF(COUNTA(G188:O188)=0, Constants!$B$5, Constants!$B$7)))</f>
        <v/>
      </c>
      <c r="AF188" s="63" t="str">
        <f aca="false">IF(ISBLANK($C188), "",IF($AE188=Constants!$B$7,1,$AE188))</f>
        <v/>
      </c>
      <c r="AG188" s="63" t="str">
        <f aca="false">IF($AE188=Constants!$B$7,IF(V188, 1, Constants!$B$11) * IF(X188, 1, Constants!$B$12),"")</f>
        <v/>
      </c>
      <c r="AH188" s="63" t="str">
        <f aca="false">IF(AND($AE188=Constants!$B$7, T188, U188) ,MAX(0, $AA188-$Y188),"")</f>
        <v/>
      </c>
      <c r="AI188" s="63" t="str">
        <f aca="false">IF(ISERROR(AH188),$AI$6,"")</f>
        <v/>
      </c>
      <c r="AJ188" s="63" t="str">
        <f aca="false">IF($AE188=Constants!$B$7,IF(AND(T188,U188,W188),IF($AH$6=0,Constants!$B$9,Constants!$B$9*AH188/$AH$6), 0),"")</f>
        <v/>
      </c>
      <c r="AK188" s="63" t="str">
        <f aca="false">IF(AJ188&lt;&gt;"", AJ188*AG188,"")</f>
        <v/>
      </c>
      <c r="AL188" s="63" t="str">
        <f aca="false">IF(AND($AE188=Constants!$B$7, T188, U188) ,IF($Z188="", "", MAX(0,1-ABS($AA188-$Z188)/$AA188)),"")</f>
        <v/>
      </c>
      <c r="AM188" s="63" t="str">
        <f aca="false">IF(AND(NOT(ISERROR(AH188)),ISERROR(AL188)),$AM$6,"")</f>
        <v/>
      </c>
      <c r="AN188" s="63" t="str">
        <f aca="false">IF($AE188=Constants!$B$7 ,IF(AND(T188,U188,W188,ISNUMBER(Z188)),IF($AL$6=0,Constants!$B$10,Constants!$B$10*AL188/$AL$6), 0),"")</f>
        <v/>
      </c>
      <c r="AO188" s="63" t="str">
        <f aca="false">IF(AN188&lt;&gt;"", AN188*AG188,"")</f>
        <v/>
      </c>
      <c r="AP188" s="63" t="str">
        <f aca="false">IF($AE188=Constants!$B$7,IF($AP$6=0,Constants!$B$8,Constants!$B$8*AB188/$AP$6),"")</f>
        <v/>
      </c>
      <c r="AQ188" s="63" t="str">
        <f aca="false">IF($AE188&lt;&gt;Constants!$B$7,$AE188,AK188+AO188+AP188)</f>
        <v/>
      </c>
      <c r="AR188" s="63" t="str">
        <f aca="false">IF(ISBLANK($C188),"",IF($AE188=Constants!$B$7,RANK(AQ188,$AQ$8:$AQ$507),$AE188))</f>
        <v/>
      </c>
      <c r="AS188" s="63" t="str">
        <f aca="false">IF(ISBLANK($C188), "",AK188)</f>
        <v/>
      </c>
      <c r="AT188" s="63" t="str">
        <f aca="false">IF(ISBLANK($C188),"",IF($AE188=Constants!$B$7,RANK(AS188,AS$8:AS$507),$AE188))</f>
        <v/>
      </c>
      <c r="AU188" s="63" t="str">
        <f aca="false">IF(ISBLANK($C188), "",AP188)</f>
        <v/>
      </c>
      <c r="AV188" s="63" t="str">
        <f aca="false">IF(ISBLANK($C188),"",IF($AE188=Constants!$B$7,RANK(AU188,AU$8:AU$507),$AE188))</f>
        <v/>
      </c>
      <c r="AW188" s="63" t="str">
        <f aca="false">IF(ISBLANK($C188), "",AC188)</f>
        <v/>
      </c>
      <c r="AX188" s="63" t="str">
        <f aca="false">IF(ISBLANK($C188),"",
IF($AE188=Constants!$B$7,
  COUNTIFS($AR$8:$AR$507,"&lt;"&amp;$AR188)
  + COUNTIFS($AR$8:$AR$507,$AR188,$AT$8:$AT$507,"&lt;"&amp;$AT188)
  + COUNTIFS($AR$8:$AR$507,$AR188,$AT$8:$AT$507,$AT188,$AV$8:$AV$507,"&lt;"&amp;$AV188)
  + COUNTIFS($AR$8:$AR$507,$AR188,$AT$8:$AT$507,$AT188,$AV$8:$AV$507,$AV188,$AW$8:$AW$507,"&lt;"&amp;$AW188)
  + 1,
$AE188))</f>
        <v/>
      </c>
      <c r="AY188" s="63" t="str">
        <f aca="false">IF(ISBLANK(C188),"",IF($AE188=Constants!$B$7, AR188-AX188,$AE188))</f>
        <v/>
      </c>
      <c r="AZ188" s="67"/>
      <c r="BA188" s="81" t="str">
        <f aca="false">IF(ISBLANK($C188),"",TRIM(AI188&amp;" "&amp;AM188))</f>
        <v/>
      </c>
      <c r="BB188" s="69" t="str">
        <f aca="false">IF(ISBLANK($C188),"",IF($AE188&lt;&gt;Constants!$B$7, $AE188 ,AQ188))</f>
        <v/>
      </c>
      <c r="BC188" s="70" t="str">
        <f aca="false">IF(ISBLANK($C188),"",IF($AE188&lt;&gt;Constants!$B$7, $AE188 ,AF188))</f>
        <v/>
      </c>
      <c r="BD188" s="71" t="str">
        <f aca="false">IF(ISBLANK(C188),"",AY188)</f>
        <v/>
      </c>
      <c r="BE188" s="71" t="str">
        <f aca="false">IF(ISBLANK(C188),"",AX188)</f>
        <v/>
      </c>
      <c r="BF188" s="72" t="str">
        <f aca="false">IF(ISBLANK(C188),"",IFERROR(_xlfn.SWITCH(BE188, Constants!$B$4, COUNTA($C$8:$C687)+2, Constants!$B$5, COUNTA($C$8:$C687)+1, Constants!$B$6, COUNTA($C$8:$C687)),BE188))</f>
        <v/>
      </c>
      <c r="BG188" s="5"/>
      <c r="BH188" s="73" t="n">
        <f aca="false">IF(OR(ISNUMBER(BE188),BE188="DQ",BE188="P",BE188="NS"),
    1,
    0
)</f>
        <v>0</v>
      </c>
      <c r="BI188" s="73" t="n">
        <v>181</v>
      </c>
      <c r="BJ188" s="73" t="str">
        <f aca="false">IF(ISBLANK($C188),
    "",
   BF188+ROW($B188)/1000
)</f>
        <v/>
      </c>
      <c r="BK188" s="73" t="str">
        <f aca="false">IF(ISNUMBER(BJ188), RANK(BJ188,BJ$8:BJ$507,1), "")</f>
        <v/>
      </c>
      <c r="BL188" s="73" t="str">
        <f aca="false">IF(ISBLANK($C188),
    "",
    $B188
)</f>
        <v/>
      </c>
      <c r="BM188" s="73" t="str">
        <f aca="false">IF(ISBLANK($C188),
    "",
    $C188
)</f>
        <v/>
      </c>
      <c r="BN188" s="73" t="str">
        <f aca="false">IF(ISBLANK($C188),
    "",
    $D188
)</f>
        <v/>
      </c>
      <c r="BO188" s="74" t="str">
        <f aca="false">BC188</f>
        <v/>
      </c>
      <c r="BP188" s="75" t="str">
        <f aca="false">BB188</f>
        <v/>
      </c>
      <c r="BQ188" s="73" t="str">
        <f aca="false">IF(ISBLANK($C188),
    "",
    BE188
)</f>
        <v/>
      </c>
      <c r="BR188" s="76" t="str">
        <f aca="false">IF(BI188&gt;BH$7,
    "",
    VLOOKUP(BI188,BK$8:BQ687,7,FALSE())
)</f>
        <v/>
      </c>
      <c r="BS188" s="77" t="str">
        <f aca="false">IF(BI188&gt;BH$7,
    "",
    VLOOKUP(BI188,BK$8:BQ687,2,FALSE())
)</f>
        <v/>
      </c>
      <c r="BT188" s="77" t="str">
        <f aca="false">IF(BI188&gt;BH$7,
    "",
    VLOOKUP(BI188,BK$8:BQ687,3,FALSE())
)</f>
        <v/>
      </c>
      <c r="BU188" s="77" t="str">
        <f aca="false">IF(BI188&gt;BH$7,
    "",
    VLOOKUP(BI188,BK$8:BQ687,4,FALSE())
)</f>
        <v/>
      </c>
      <c r="BV188" s="77" t="str">
        <f aca="false">IF(BI188&gt;BH$7,
    "",
    VLOOKUP(BI188,BK$8:BQ687,5,FALSE())
)</f>
        <v/>
      </c>
      <c r="BW188" s="78" t="str">
        <f aca="false">IF(BI188&gt;BH$7,
    "",
    VLOOKUP(BI188,BK$8:BQ687,6,FALSE())
)</f>
        <v/>
      </c>
      <c r="BX188" s="50"/>
    </row>
    <row r="189" customFormat="false" ht="15.75" hidden="false" customHeight="false" outlineLevel="0" collapsed="false">
      <c r="A189" s="5"/>
      <c r="B189" s="126"/>
      <c r="C189" s="52"/>
      <c r="D189" s="53"/>
      <c r="E189" s="120"/>
      <c r="F189" s="120"/>
      <c r="G189" s="55"/>
      <c r="H189" s="56"/>
      <c r="I189" s="80"/>
      <c r="J189" s="80"/>
      <c r="K189" s="80"/>
      <c r="L189" s="58"/>
      <c r="M189" s="58"/>
      <c r="N189" s="58"/>
      <c r="O189" s="59"/>
      <c r="P189" s="60"/>
      <c r="Q189" s="80"/>
      <c r="R189" s="62"/>
      <c r="S189" s="63"/>
      <c r="T189" s="63" t="str">
        <f aca="false">IF(ISBLANK($C189),"",IF(G189=Constants!$B$2, TRUE(), IF(G189=Constants!$B$3, FALSE(), TRUE())))</f>
        <v/>
      </c>
      <c r="U189" s="63" t="str">
        <f aca="false">IF(ISBLANK($C189),"",IF(H189=Constants!$B$2, TRUE(), IF(H189=Constants!$B$3, FALSE(), TRUE())))</f>
        <v/>
      </c>
      <c r="V189" s="63" t="str">
        <f aca="false">IF(ISBLANK($C189),"",IF(I189=Constants!$B$2, TRUE(), IF(I189=Constants!$B$3, FALSE(), TRUE())))</f>
        <v/>
      </c>
      <c r="W189" s="63" t="str">
        <f aca="false">IF(ISBLANK($C189),"",IF(J189=Constants!$B$2, TRUE(), IF(J189=Constants!$B$3, FALSE(), TRUE())))</f>
        <v/>
      </c>
      <c r="X189" s="63" t="str">
        <f aca="false">IF(ISBLANK($C189),"",IF(K189=Constants!$B$2, TRUE(), IF(K189=Constants!$B$3, FALSE(), TRUE())))</f>
        <v/>
      </c>
      <c r="Y189" s="65" t="str">
        <f aca="false">IF(ISBLANK($C189),"",IF(ISNUMBER(L189), L189, ""))</f>
        <v/>
      </c>
      <c r="Z189" s="65" t="str">
        <f aca="false">IF(ISBLANK($C189),"",IF(ISNUMBER(M189), M189, ""))</f>
        <v/>
      </c>
      <c r="AA189" s="65" t="str">
        <f aca="false">IF(ISBLANK($C189),"",IF(ISNUMBER(N189), N189, ""))</f>
        <v/>
      </c>
      <c r="AB189" s="66" t="str">
        <f aca="false">IF(ISBLANK($C189),"",IF(ISNUMBER(O189), O189, ""))</f>
        <v/>
      </c>
      <c r="AC189" s="66" t="str">
        <f aca="false">IF(ISBLANK($C189),"",IF(ISNUMBER(P189), P189, Constants!$B$13))</f>
        <v/>
      </c>
      <c r="AD189" s="63" t="str">
        <f aca="false">IF(ISBLANK($C189),"",IF(Q189=Constants!$B$2, TRUE(), IF(Q189=Constants!$B$3, FALSE(), FALSE())))</f>
        <v/>
      </c>
      <c r="AE189" s="63" t="str">
        <f aca="false">IF(ISBLANK(C189), "", IF(AD189, Constants!$B$4,IF(COUNTA(G189:O189)=0, Constants!$B$5, Constants!$B$7)))</f>
        <v/>
      </c>
      <c r="AF189" s="63" t="str">
        <f aca="false">IF(ISBLANK($C189), "",IF($AE189=Constants!$B$7,1,$AE189))</f>
        <v/>
      </c>
      <c r="AG189" s="63" t="str">
        <f aca="false">IF($AE189=Constants!$B$7,IF(V189, 1, Constants!$B$11) * IF(X189, 1, Constants!$B$12),"")</f>
        <v/>
      </c>
      <c r="AH189" s="63" t="str">
        <f aca="false">IF(AND($AE189=Constants!$B$7, T189, U189) ,MAX(0, $AA189-$Y189),"")</f>
        <v/>
      </c>
      <c r="AI189" s="63" t="str">
        <f aca="false">IF(ISERROR(AH189),$AI$6,"")</f>
        <v/>
      </c>
      <c r="AJ189" s="63" t="str">
        <f aca="false">IF($AE189=Constants!$B$7,IF(AND(T189,U189,W189),IF($AH$6=0,Constants!$B$9,Constants!$B$9*AH189/$AH$6), 0),"")</f>
        <v/>
      </c>
      <c r="AK189" s="63" t="str">
        <f aca="false">IF(AJ189&lt;&gt;"", AJ189*AG189,"")</f>
        <v/>
      </c>
      <c r="AL189" s="63" t="str">
        <f aca="false">IF(AND($AE189=Constants!$B$7, T189, U189) ,IF($Z189="", "", MAX(0,1-ABS($AA189-$Z189)/$AA189)),"")</f>
        <v/>
      </c>
      <c r="AM189" s="63" t="str">
        <f aca="false">IF(AND(NOT(ISERROR(AH189)),ISERROR(AL189)),$AM$6,"")</f>
        <v/>
      </c>
      <c r="AN189" s="63" t="str">
        <f aca="false">IF($AE189=Constants!$B$7 ,IF(AND(T189,U189,W189,ISNUMBER(Z189)),IF($AL$6=0,Constants!$B$10,Constants!$B$10*AL189/$AL$6), 0),"")</f>
        <v/>
      </c>
      <c r="AO189" s="63" t="str">
        <f aca="false">IF(AN189&lt;&gt;"", AN189*AG189,"")</f>
        <v/>
      </c>
      <c r="AP189" s="63" t="str">
        <f aca="false">IF($AE189=Constants!$B$7,IF($AP$6=0,Constants!$B$8,Constants!$B$8*AB189/$AP$6),"")</f>
        <v/>
      </c>
      <c r="AQ189" s="63" t="str">
        <f aca="false">IF($AE189&lt;&gt;Constants!$B$7,$AE189,AK189+AO189+AP189)</f>
        <v/>
      </c>
      <c r="AR189" s="63" t="str">
        <f aca="false">IF(ISBLANK($C189),"",IF($AE189=Constants!$B$7,RANK(AQ189,$AQ$8:$AQ$507),$AE189))</f>
        <v/>
      </c>
      <c r="AS189" s="63" t="str">
        <f aca="false">IF(ISBLANK($C189), "",AK189)</f>
        <v/>
      </c>
      <c r="AT189" s="63" t="str">
        <f aca="false">IF(ISBLANK($C189),"",IF($AE189=Constants!$B$7,RANK(AS189,AS$8:AS$507),$AE189))</f>
        <v/>
      </c>
      <c r="AU189" s="63" t="str">
        <f aca="false">IF(ISBLANK($C189), "",AP189)</f>
        <v/>
      </c>
      <c r="AV189" s="63" t="str">
        <f aca="false">IF(ISBLANK($C189),"",IF($AE189=Constants!$B$7,RANK(AU189,AU$8:AU$507),$AE189))</f>
        <v/>
      </c>
      <c r="AW189" s="63" t="str">
        <f aca="false">IF(ISBLANK($C189), "",AC189)</f>
        <v/>
      </c>
      <c r="AX189" s="63" t="str">
        <f aca="false">IF(ISBLANK($C189),"",
IF($AE189=Constants!$B$7,
  COUNTIFS($AR$8:$AR$507,"&lt;"&amp;$AR189)
  + COUNTIFS($AR$8:$AR$507,$AR189,$AT$8:$AT$507,"&lt;"&amp;$AT189)
  + COUNTIFS($AR$8:$AR$507,$AR189,$AT$8:$AT$507,$AT189,$AV$8:$AV$507,"&lt;"&amp;$AV189)
  + COUNTIFS($AR$8:$AR$507,$AR189,$AT$8:$AT$507,$AT189,$AV$8:$AV$507,$AV189,$AW$8:$AW$507,"&lt;"&amp;$AW189)
  + 1,
$AE189))</f>
        <v/>
      </c>
      <c r="AY189" s="63" t="str">
        <f aca="false">IF(ISBLANK(C189),"",IF($AE189=Constants!$B$7, AR189-AX189,$AE189))</f>
        <v/>
      </c>
      <c r="AZ189" s="67"/>
      <c r="BA189" s="81" t="str">
        <f aca="false">IF(ISBLANK($C189),"",TRIM(AI189&amp;" "&amp;AM189))</f>
        <v/>
      </c>
      <c r="BB189" s="69" t="str">
        <f aca="false">IF(ISBLANK($C189),"",IF($AE189&lt;&gt;Constants!$B$7, $AE189 ,AQ189))</f>
        <v/>
      </c>
      <c r="BC189" s="70" t="str">
        <f aca="false">IF(ISBLANK($C189),"",IF($AE189&lt;&gt;Constants!$B$7, $AE189 ,AF189))</f>
        <v/>
      </c>
      <c r="BD189" s="71" t="str">
        <f aca="false">IF(ISBLANK(C189),"",AY189)</f>
        <v/>
      </c>
      <c r="BE189" s="71" t="str">
        <f aca="false">IF(ISBLANK(C189),"",AX189)</f>
        <v/>
      </c>
      <c r="BF189" s="72" t="str">
        <f aca="false">IF(ISBLANK(C189),"",IFERROR(_xlfn.SWITCH(BE189, Constants!$B$4, COUNTA($C$8:$C688)+2, Constants!$B$5, COUNTA($C$8:$C688)+1, Constants!$B$6, COUNTA($C$8:$C688)),BE189))</f>
        <v/>
      </c>
      <c r="BG189" s="5"/>
      <c r="BH189" s="73" t="n">
        <f aca="false">IF(OR(ISNUMBER(BE189),BE189="DQ",BE189="P",BE189="NS"),
    1,
    0
)</f>
        <v>0</v>
      </c>
      <c r="BI189" s="73" t="n">
        <v>182</v>
      </c>
      <c r="BJ189" s="73" t="str">
        <f aca="false">IF(ISBLANK($C189),
    "",
   BF189+ROW($B189)/1000
)</f>
        <v/>
      </c>
      <c r="BK189" s="73" t="str">
        <f aca="false">IF(ISNUMBER(BJ189), RANK(BJ189,BJ$8:BJ$507,1), "")</f>
        <v/>
      </c>
      <c r="BL189" s="73" t="str">
        <f aca="false">IF(ISBLANK($C189),
    "",
    $B189
)</f>
        <v/>
      </c>
      <c r="BM189" s="73" t="str">
        <f aca="false">IF(ISBLANK($C189),
    "",
    $C189
)</f>
        <v/>
      </c>
      <c r="BN189" s="73" t="str">
        <f aca="false">IF(ISBLANK($C189),
    "",
    $D189
)</f>
        <v/>
      </c>
      <c r="BO189" s="74" t="str">
        <f aca="false">BC189</f>
        <v/>
      </c>
      <c r="BP189" s="75" t="str">
        <f aca="false">BB189</f>
        <v/>
      </c>
      <c r="BQ189" s="73" t="str">
        <f aca="false">IF(ISBLANK($C189),
    "",
    BE189
)</f>
        <v/>
      </c>
      <c r="BR189" s="76" t="str">
        <f aca="false">IF(BI189&gt;BH$7,
    "",
    VLOOKUP(BI189,BK$8:BQ688,7,FALSE())
)</f>
        <v/>
      </c>
      <c r="BS189" s="77" t="str">
        <f aca="false">IF(BI189&gt;BH$7,
    "",
    VLOOKUP(BI189,BK$8:BQ688,2,FALSE())
)</f>
        <v/>
      </c>
      <c r="BT189" s="77" t="str">
        <f aca="false">IF(BI189&gt;BH$7,
    "",
    VLOOKUP(BI189,BK$8:BQ688,3,FALSE())
)</f>
        <v/>
      </c>
      <c r="BU189" s="77" t="str">
        <f aca="false">IF(BI189&gt;BH$7,
    "",
    VLOOKUP(BI189,BK$8:BQ688,4,FALSE())
)</f>
        <v/>
      </c>
      <c r="BV189" s="77" t="str">
        <f aca="false">IF(BI189&gt;BH$7,
    "",
    VLOOKUP(BI189,BK$8:BQ688,5,FALSE())
)</f>
        <v/>
      </c>
      <c r="BW189" s="78" t="str">
        <f aca="false">IF(BI189&gt;BH$7,
    "",
    VLOOKUP(BI189,BK$8:BQ688,6,FALSE())
)</f>
        <v/>
      </c>
      <c r="BX189" s="50"/>
    </row>
    <row r="190" customFormat="false" ht="15.75" hidden="false" customHeight="false" outlineLevel="0" collapsed="false">
      <c r="A190" s="5"/>
      <c r="B190" s="126"/>
      <c r="C190" s="52"/>
      <c r="D190" s="53"/>
      <c r="E190" s="120"/>
      <c r="F190" s="120"/>
      <c r="G190" s="55"/>
      <c r="H190" s="56"/>
      <c r="I190" s="80"/>
      <c r="J190" s="80"/>
      <c r="K190" s="80"/>
      <c r="L190" s="58"/>
      <c r="M190" s="58"/>
      <c r="N190" s="58"/>
      <c r="O190" s="59"/>
      <c r="P190" s="60"/>
      <c r="Q190" s="80"/>
      <c r="R190" s="62"/>
      <c r="S190" s="63"/>
      <c r="T190" s="63" t="str">
        <f aca="false">IF(ISBLANK($C190),"",IF(G190=Constants!$B$2, TRUE(), IF(G190=Constants!$B$3, FALSE(), TRUE())))</f>
        <v/>
      </c>
      <c r="U190" s="63" t="str">
        <f aca="false">IF(ISBLANK($C190),"",IF(H190=Constants!$B$2, TRUE(), IF(H190=Constants!$B$3, FALSE(), TRUE())))</f>
        <v/>
      </c>
      <c r="V190" s="63" t="str">
        <f aca="false">IF(ISBLANK($C190),"",IF(I190=Constants!$B$2, TRUE(), IF(I190=Constants!$B$3, FALSE(), TRUE())))</f>
        <v/>
      </c>
      <c r="W190" s="63" t="str">
        <f aca="false">IF(ISBLANK($C190),"",IF(J190=Constants!$B$2, TRUE(), IF(J190=Constants!$B$3, FALSE(), TRUE())))</f>
        <v/>
      </c>
      <c r="X190" s="63" t="str">
        <f aca="false">IF(ISBLANK($C190),"",IF(K190=Constants!$B$2, TRUE(), IF(K190=Constants!$B$3, FALSE(), TRUE())))</f>
        <v/>
      </c>
      <c r="Y190" s="65" t="str">
        <f aca="false">IF(ISBLANK($C190),"",IF(ISNUMBER(L190), L190, ""))</f>
        <v/>
      </c>
      <c r="Z190" s="65" t="str">
        <f aca="false">IF(ISBLANK($C190),"",IF(ISNUMBER(M190), M190, ""))</f>
        <v/>
      </c>
      <c r="AA190" s="65" t="str">
        <f aca="false">IF(ISBLANK($C190),"",IF(ISNUMBER(N190), N190, ""))</f>
        <v/>
      </c>
      <c r="AB190" s="66" t="str">
        <f aca="false">IF(ISBLANK($C190),"",IF(ISNUMBER(O190), O190, ""))</f>
        <v/>
      </c>
      <c r="AC190" s="66" t="str">
        <f aca="false">IF(ISBLANK($C190),"",IF(ISNUMBER(P190), P190, Constants!$B$13))</f>
        <v/>
      </c>
      <c r="AD190" s="63" t="str">
        <f aca="false">IF(ISBLANK($C190),"",IF(Q190=Constants!$B$2, TRUE(), IF(Q190=Constants!$B$3, FALSE(), FALSE())))</f>
        <v/>
      </c>
      <c r="AE190" s="63" t="str">
        <f aca="false">IF(ISBLANK(C190), "", IF(AD190, Constants!$B$4,IF(COUNTA(G190:O190)=0, Constants!$B$5, Constants!$B$7)))</f>
        <v/>
      </c>
      <c r="AF190" s="63" t="str">
        <f aca="false">IF(ISBLANK($C190), "",IF($AE190=Constants!$B$7,1,$AE190))</f>
        <v/>
      </c>
      <c r="AG190" s="63" t="str">
        <f aca="false">IF($AE190=Constants!$B$7,IF(V190, 1, Constants!$B$11) * IF(X190, 1, Constants!$B$12),"")</f>
        <v/>
      </c>
      <c r="AH190" s="63" t="str">
        <f aca="false">IF(AND($AE190=Constants!$B$7, T190, U190) ,MAX(0, $AA190-$Y190),"")</f>
        <v/>
      </c>
      <c r="AI190" s="63" t="str">
        <f aca="false">IF(ISERROR(AH190),$AI$6,"")</f>
        <v/>
      </c>
      <c r="AJ190" s="63" t="str">
        <f aca="false">IF($AE190=Constants!$B$7,IF(AND(T190,U190,W190),IF($AH$6=0,Constants!$B$9,Constants!$B$9*AH190/$AH$6), 0),"")</f>
        <v/>
      </c>
      <c r="AK190" s="63" t="str">
        <f aca="false">IF(AJ190&lt;&gt;"", AJ190*AG190,"")</f>
        <v/>
      </c>
      <c r="AL190" s="63" t="str">
        <f aca="false">IF(AND($AE190=Constants!$B$7, T190, U190) ,IF($Z190="", "", MAX(0,1-ABS($AA190-$Z190)/$AA190)),"")</f>
        <v/>
      </c>
      <c r="AM190" s="63" t="str">
        <f aca="false">IF(AND(NOT(ISERROR(AH190)),ISERROR(AL190)),$AM$6,"")</f>
        <v/>
      </c>
      <c r="AN190" s="63" t="str">
        <f aca="false">IF($AE190=Constants!$B$7 ,IF(AND(T190,U190,W190,ISNUMBER(Z190)),IF($AL$6=0,Constants!$B$10,Constants!$B$10*AL190/$AL$6), 0),"")</f>
        <v/>
      </c>
      <c r="AO190" s="63" t="str">
        <f aca="false">IF(AN190&lt;&gt;"", AN190*AG190,"")</f>
        <v/>
      </c>
      <c r="AP190" s="63" t="str">
        <f aca="false">IF($AE190=Constants!$B$7,IF($AP$6=0,Constants!$B$8,Constants!$B$8*AB190/$AP$6),"")</f>
        <v/>
      </c>
      <c r="AQ190" s="63" t="str">
        <f aca="false">IF($AE190&lt;&gt;Constants!$B$7,$AE190,AK190+AO190+AP190)</f>
        <v/>
      </c>
      <c r="AR190" s="63" t="str">
        <f aca="false">IF(ISBLANK($C190),"",IF($AE190=Constants!$B$7,RANK(AQ190,$AQ$8:$AQ$507),$AE190))</f>
        <v/>
      </c>
      <c r="AS190" s="63" t="str">
        <f aca="false">IF(ISBLANK($C190), "",AK190)</f>
        <v/>
      </c>
      <c r="AT190" s="63" t="str">
        <f aca="false">IF(ISBLANK($C190),"",IF($AE190=Constants!$B$7,RANK(AS190,AS$8:AS$507),$AE190))</f>
        <v/>
      </c>
      <c r="AU190" s="63" t="str">
        <f aca="false">IF(ISBLANK($C190), "",AP190)</f>
        <v/>
      </c>
      <c r="AV190" s="63" t="str">
        <f aca="false">IF(ISBLANK($C190),"",IF($AE190=Constants!$B$7,RANK(AU190,AU$8:AU$507),$AE190))</f>
        <v/>
      </c>
      <c r="AW190" s="63" t="str">
        <f aca="false">IF(ISBLANK($C190), "",AC190)</f>
        <v/>
      </c>
      <c r="AX190" s="63" t="str">
        <f aca="false">IF(ISBLANK($C190),"",
IF($AE190=Constants!$B$7,
  COUNTIFS($AR$8:$AR$507,"&lt;"&amp;$AR190)
  + COUNTIFS($AR$8:$AR$507,$AR190,$AT$8:$AT$507,"&lt;"&amp;$AT190)
  + COUNTIFS($AR$8:$AR$507,$AR190,$AT$8:$AT$507,$AT190,$AV$8:$AV$507,"&lt;"&amp;$AV190)
  + COUNTIFS($AR$8:$AR$507,$AR190,$AT$8:$AT$507,$AT190,$AV$8:$AV$507,$AV190,$AW$8:$AW$507,"&lt;"&amp;$AW190)
  + 1,
$AE190))</f>
        <v/>
      </c>
      <c r="AY190" s="63" t="str">
        <f aca="false">IF(ISBLANK(C190),"",IF($AE190=Constants!$B$7, AR190-AX190,$AE190))</f>
        <v/>
      </c>
      <c r="AZ190" s="67"/>
      <c r="BA190" s="81" t="str">
        <f aca="false">IF(ISBLANK($C190),"",TRIM(AI190&amp;" "&amp;AM190))</f>
        <v/>
      </c>
      <c r="BB190" s="69" t="str">
        <f aca="false">IF(ISBLANK($C190),"",IF($AE190&lt;&gt;Constants!$B$7, $AE190 ,AQ190))</f>
        <v/>
      </c>
      <c r="BC190" s="70" t="str">
        <f aca="false">IF(ISBLANK($C190),"",IF($AE190&lt;&gt;Constants!$B$7, $AE190 ,AF190))</f>
        <v/>
      </c>
      <c r="BD190" s="71" t="str">
        <f aca="false">IF(ISBLANK(C190),"",AY190)</f>
        <v/>
      </c>
      <c r="BE190" s="71" t="str">
        <f aca="false">IF(ISBLANK(C190),"",AX190)</f>
        <v/>
      </c>
      <c r="BF190" s="72" t="str">
        <f aca="false">IF(ISBLANK(C190),"",IFERROR(_xlfn.SWITCH(BE190, Constants!$B$4, COUNTA($C$8:$C689)+2, Constants!$B$5, COUNTA($C$8:$C689)+1, Constants!$B$6, COUNTA($C$8:$C689)),BE190))</f>
        <v/>
      </c>
      <c r="BG190" s="5"/>
      <c r="BH190" s="73" t="n">
        <f aca="false">IF(OR(ISNUMBER(BE190),BE190="DQ",BE190="P",BE190="NS"),
    1,
    0
)</f>
        <v>0</v>
      </c>
      <c r="BI190" s="73" t="n">
        <v>183</v>
      </c>
      <c r="BJ190" s="73" t="str">
        <f aca="false">IF(ISBLANK($C190),
    "",
   BF190+ROW($B190)/1000
)</f>
        <v/>
      </c>
      <c r="BK190" s="73" t="str">
        <f aca="false">IF(ISNUMBER(BJ190), RANK(BJ190,BJ$8:BJ$507,1), "")</f>
        <v/>
      </c>
      <c r="BL190" s="73" t="str">
        <f aca="false">IF(ISBLANK($C190),
    "",
    $B190
)</f>
        <v/>
      </c>
      <c r="BM190" s="73" t="str">
        <f aca="false">IF(ISBLANK($C190),
    "",
    $C190
)</f>
        <v/>
      </c>
      <c r="BN190" s="73" t="str">
        <f aca="false">IF(ISBLANK($C190),
    "",
    $D190
)</f>
        <v/>
      </c>
      <c r="BO190" s="74" t="str">
        <f aca="false">BC190</f>
        <v/>
      </c>
      <c r="BP190" s="75" t="str">
        <f aca="false">BB190</f>
        <v/>
      </c>
      <c r="BQ190" s="73" t="str">
        <f aca="false">IF(ISBLANK($C190),
    "",
    BE190
)</f>
        <v/>
      </c>
      <c r="BR190" s="76" t="str">
        <f aca="false">IF(BI190&gt;BH$7,
    "",
    VLOOKUP(BI190,BK$8:BQ689,7,FALSE())
)</f>
        <v/>
      </c>
      <c r="BS190" s="77" t="str">
        <f aca="false">IF(BI190&gt;BH$7,
    "",
    VLOOKUP(BI190,BK$8:BQ689,2,FALSE())
)</f>
        <v/>
      </c>
      <c r="BT190" s="77" t="str">
        <f aca="false">IF(BI190&gt;BH$7,
    "",
    VLOOKUP(BI190,BK$8:BQ689,3,FALSE())
)</f>
        <v/>
      </c>
      <c r="BU190" s="77" t="str">
        <f aca="false">IF(BI190&gt;BH$7,
    "",
    VLOOKUP(BI190,BK$8:BQ689,4,FALSE())
)</f>
        <v/>
      </c>
      <c r="BV190" s="77" t="str">
        <f aca="false">IF(BI190&gt;BH$7,
    "",
    VLOOKUP(BI190,BK$8:BQ689,5,FALSE())
)</f>
        <v/>
      </c>
      <c r="BW190" s="78" t="str">
        <f aca="false">IF(BI190&gt;BH$7,
    "",
    VLOOKUP(BI190,BK$8:BQ689,6,FALSE())
)</f>
        <v/>
      </c>
      <c r="BX190" s="50"/>
    </row>
    <row r="191" customFormat="false" ht="15.75" hidden="false" customHeight="false" outlineLevel="0" collapsed="false">
      <c r="A191" s="5"/>
      <c r="B191" s="122"/>
      <c r="C191" s="123"/>
      <c r="D191" s="112"/>
      <c r="E191" s="116"/>
      <c r="F191" s="116"/>
      <c r="G191" s="88"/>
      <c r="H191" s="89"/>
      <c r="I191" s="125"/>
      <c r="J191" s="125"/>
      <c r="K191" s="125"/>
      <c r="L191" s="91"/>
      <c r="M191" s="91"/>
      <c r="N191" s="91"/>
      <c r="O191" s="92"/>
      <c r="P191" s="93"/>
      <c r="Q191" s="125"/>
      <c r="R191" s="95"/>
      <c r="S191" s="96"/>
      <c r="T191" s="96" t="str">
        <f aca="false">IF(ISBLANK($C191),"",IF(G191=Constants!$B$2, TRUE(), IF(G191=Constants!$B$3, FALSE(), TRUE())))</f>
        <v/>
      </c>
      <c r="U191" s="96" t="str">
        <f aca="false">IF(ISBLANK($C191),"",IF(H191=Constants!$B$2, TRUE(), IF(H191=Constants!$B$3, FALSE(), TRUE())))</f>
        <v/>
      </c>
      <c r="V191" s="96" t="str">
        <f aca="false">IF(ISBLANK($C191),"",IF(I191=Constants!$B$2, TRUE(), IF(I191=Constants!$B$3, FALSE(), TRUE())))</f>
        <v/>
      </c>
      <c r="W191" s="96" t="str">
        <f aca="false">IF(ISBLANK($C191),"",IF(J191=Constants!$B$2, TRUE(), IF(J191=Constants!$B$3, FALSE(), TRUE())))</f>
        <v/>
      </c>
      <c r="X191" s="97" t="str">
        <f aca="false">IF(ISBLANK($C191),"",IF(K191=Constants!$B$2, TRUE(), IF(K191=Constants!$B$3, FALSE(), TRUE())))</f>
        <v/>
      </c>
      <c r="Y191" s="98" t="str">
        <f aca="false">IF(ISBLANK($C191),"",IF(ISNUMBER(L191), L191, ""))</f>
        <v/>
      </c>
      <c r="Z191" s="98" t="str">
        <f aca="false">IF(ISBLANK($C191),"",IF(ISNUMBER(M191), M191, ""))</f>
        <v/>
      </c>
      <c r="AA191" s="98" t="str">
        <f aca="false">IF(ISBLANK($C191),"",IF(ISNUMBER(N191), N191, ""))</f>
        <v/>
      </c>
      <c r="AB191" s="99" t="str">
        <f aca="false">IF(ISBLANK($C191),"",IF(ISNUMBER(O191), O191, ""))</f>
        <v/>
      </c>
      <c r="AC191" s="99" t="str">
        <f aca="false">IF(ISBLANK($C191),"",IF(ISNUMBER(P191), P191, Constants!$B$13))</f>
        <v/>
      </c>
      <c r="AD191" s="96" t="str">
        <f aca="false">IF(ISBLANK($C191),"",IF(Q191=Constants!$B$2, TRUE(), IF(Q191=Constants!$B$3, FALSE(), FALSE())))</f>
        <v/>
      </c>
      <c r="AE191" s="96" t="str">
        <f aca="false">IF(ISBLANK(C191), "", IF(AD191, Constants!$B$4,IF(COUNTA(G191:O191)=0, Constants!$B$5, Constants!$B$7)))</f>
        <v/>
      </c>
      <c r="AF191" s="96" t="str">
        <f aca="false">IF(ISBLANK($C191), "",IF($AE191=Constants!$B$7,1,$AE191))</f>
        <v/>
      </c>
      <c r="AG191" s="96" t="str">
        <f aca="false">IF($AE191=Constants!$B$7,IF(V191, 1, Constants!$B$11) * IF(X191, 1, Constants!$B$12),"")</f>
        <v/>
      </c>
      <c r="AH191" s="96" t="str">
        <f aca="false">IF(AND($AE191=Constants!$B$7, T191, U191) ,MAX(0, $AA191-$Y191),"")</f>
        <v/>
      </c>
      <c r="AI191" s="96" t="str">
        <f aca="false">IF(ISERROR(AH191),$AI$6,"")</f>
        <v/>
      </c>
      <c r="AJ191" s="96" t="str">
        <f aca="false">IF($AE191=Constants!$B$7,IF(AND(T191,U191,W191),IF($AH$6=0,Constants!$B$9,Constants!$B$9*AH191/$AH$6), 0),"")</f>
        <v/>
      </c>
      <c r="AK191" s="96" t="str">
        <f aca="false">IF(AJ191&lt;&gt;"", AJ191*AG191,"")</f>
        <v/>
      </c>
      <c r="AL191" s="96" t="str">
        <f aca="false">IF(AND($AE191=Constants!$B$7, T191, U191) ,IF($Z191="", "", MAX(0,1-ABS($AA191-$Z191)/$AA191)),"")</f>
        <v/>
      </c>
      <c r="AM191" s="96" t="str">
        <f aca="false">IF(AND(NOT(ISERROR(AH191)),ISERROR(AL191)),$AM$6,"")</f>
        <v/>
      </c>
      <c r="AN191" s="96" t="str">
        <f aca="false">IF($AE191=Constants!$B$7 ,IF(AND(T191,U191,W191,ISNUMBER(Z191)),IF($AL$6=0,Constants!$B$10,Constants!$B$10*AL191/$AL$6), 0),"")</f>
        <v/>
      </c>
      <c r="AO191" s="96" t="str">
        <f aca="false">IF(AN191&lt;&gt;"", AN191*AG191,"")</f>
        <v/>
      </c>
      <c r="AP191" s="96" t="str">
        <f aca="false">IF($AE191=Constants!$B$7,IF($AP$6=0,Constants!$B$8,Constants!$B$8*AB191/$AP$6),"")</f>
        <v/>
      </c>
      <c r="AQ191" s="96" t="str">
        <f aca="false">IF($AE191&lt;&gt;Constants!$B$7,$AE191,AK191+AO191+AP191)</f>
        <v/>
      </c>
      <c r="AR191" s="96" t="str">
        <f aca="false">IF(ISBLANK($C191),"",IF($AE191=Constants!$B$7,RANK(AQ191,$AQ$8:$AQ$507),$AE191))</f>
        <v/>
      </c>
      <c r="AS191" s="96" t="str">
        <f aca="false">IF(ISBLANK($C191), "",AK191)</f>
        <v/>
      </c>
      <c r="AT191" s="96" t="str">
        <f aca="false">IF(ISBLANK($C191),"",IF($AE191=Constants!$B$7,RANK(AS191,AS$8:AS$507),$AE191))</f>
        <v/>
      </c>
      <c r="AU191" s="96" t="str">
        <f aca="false">IF(ISBLANK($C191), "",AP191)</f>
        <v/>
      </c>
      <c r="AV191" s="96" t="str">
        <f aca="false">IF(ISBLANK($C191),"",IF($AE191=Constants!$B$7,RANK(AU191,AU$8:AU$507),$AE191))</f>
        <v/>
      </c>
      <c r="AW191" s="96" t="str">
        <f aca="false">IF(ISBLANK($C191), "",AC191)</f>
        <v/>
      </c>
      <c r="AX191" s="96" t="str">
        <f aca="false">IF(ISBLANK($C191),"",
IF($AE191=Constants!$B$7,
  COUNTIFS($AR$8:$AR$507,"&lt;"&amp;$AR191)
  + COUNTIFS($AR$8:$AR$507,$AR191,$AT$8:$AT$507,"&lt;"&amp;$AT191)
  + COUNTIFS($AR$8:$AR$507,$AR191,$AT$8:$AT$507,$AT191,$AV$8:$AV$507,"&lt;"&amp;$AV191)
  + COUNTIFS($AR$8:$AR$507,$AR191,$AT$8:$AT$507,$AT191,$AV$8:$AV$507,$AV191,$AW$8:$AW$507,"&lt;"&amp;$AW191)
  + 1,
$AE191))</f>
        <v/>
      </c>
      <c r="AY191" s="96" t="str">
        <f aca="false">IF(ISBLANK(C191),"",IF($AE191=Constants!$B$7, AR191-AX191,$AE191))</f>
        <v/>
      </c>
      <c r="AZ191" s="100"/>
      <c r="BA191" s="101" t="str">
        <f aca="false">IF(ISBLANK($C191),"",TRIM(AI191&amp;" "&amp;AM191))</f>
        <v/>
      </c>
      <c r="BB191" s="102" t="str">
        <f aca="false">IF(ISBLANK($C191),"",IF($AE191&lt;&gt;Constants!$B$7, $AE191 ,AQ191))</f>
        <v/>
      </c>
      <c r="BC191" s="103" t="str">
        <f aca="false">IF(ISBLANK($C191),"",IF($AE191&lt;&gt;Constants!$B$7, $AE191 ,AF191))</f>
        <v/>
      </c>
      <c r="BD191" s="104" t="str">
        <f aca="false">IF(ISBLANK(C191),"",AY191)</f>
        <v/>
      </c>
      <c r="BE191" s="104" t="str">
        <f aca="false">IF(ISBLANK(C191),"",AX191)</f>
        <v/>
      </c>
      <c r="BF191" s="105" t="str">
        <f aca="false">IF(ISBLANK(C191),"",IFERROR(_xlfn.SWITCH(BE191, Constants!$B$4, COUNTA($C$8:$C690)+2, Constants!$B$5, COUNTA($C$8:$C690)+1, Constants!$B$6, COUNTA($C$8:$C690)),BE191))</f>
        <v/>
      </c>
      <c r="BG191" s="5"/>
      <c r="BH191" s="106" t="n">
        <f aca="false">IF(OR(ISNUMBER(BE191),BE191="DQ",BE191="P",BE191="NS"),
    1,
    0
)</f>
        <v>0</v>
      </c>
      <c r="BI191" s="106" t="n">
        <v>184</v>
      </c>
      <c r="BJ191" s="106" t="str">
        <f aca="false">IF(ISBLANK($C191),
    "",
   BF191+ROW($B191)/1000
)</f>
        <v/>
      </c>
      <c r="BK191" s="106" t="str">
        <f aca="false">IF(ISNUMBER(BJ191), RANK(BJ191,BJ$8:BJ$507,1), "")</f>
        <v/>
      </c>
      <c r="BL191" s="106" t="str">
        <f aca="false">IF(ISBLANK($C191),
    "",
    $B191
)</f>
        <v/>
      </c>
      <c r="BM191" s="106" t="str">
        <f aca="false">IF(ISBLANK($C191),
    "",
    $C191
)</f>
        <v/>
      </c>
      <c r="BN191" s="106" t="str">
        <f aca="false">IF(ISBLANK($C191),
    "",
    $D191
)</f>
        <v/>
      </c>
      <c r="BO191" s="107" t="str">
        <f aca="false">BC191</f>
        <v/>
      </c>
      <c r="BP191" s="108" t="str">
        <f aca="false">BB191</f>
        <v/>
      </c>
      <c r="BQ191" s="106" t="str">
        <f aca="false">IF(ISBLANK($C191),
    "",
    BE191
)</f>
        <v/>
      </c>
      <c r="BR191" s="109" t="str">
        <f aca="false">IF(BI191&gt;BH$7,
    "",
    VLOOKUP(BI191,BK$8:BQ690,7,FALSE())
)</f>
        <v/>
      </c>
      <c r="BS191" s="110" t="str">
        <f aca="false">IF(BI191&gt;BH$7,
    "",
    VLOOKUP(BI191,BK$8:BQ690,2,FALSE())
)</f>
        <v/>
      </c>
      <c r="BT191" s="110" t="str">
        <f aca="false">IF(BI191&gt;BH$7,
    "",
    VLOOKUP(BI191,BK$8:BQ690,3,FALSE())
)</f>
        <v/>
      </c>
      <c r="BU191" s="110" t="str">
        <f aca="false">IF(BI191&gt;BH$7,
    "",
    VLOOKUP(BI191,BK$8:BQ690,4,FALSE())
)</f>
        <v/>
      </c>
      <c r="BV191" s="110" t="str">
        <f aca="false">IF(BI191&gt;BH$7,
    "",
    VLOOKUP(BI191,BK$8:BQ690,5,FALSE())
)</f>
        <v/>
      </c>
      <c r="BW191" s="111" t="str">
        <f aca="false">IF(BI191&gt;BH$7,
    "",
    VLOOKUP(BI191,BK$8:BQ690,6,FALSE())
)</f>
        <v/>
      </c>
      <c r="BX191" s="50"/>
    </row>
    <row r="192" customFormat="false" ht="15.75" hidden="false" customHeight="false" outlineLevel="0" collapsed="false">
      <c r="A192" s="5"/>
      <c r="B192" s="122"/>
      <c r="C192" s="123"/>
      <c r="D192" s="112"/>
      <c r="E192" s="116"/>
      <c r="F192" s="116"/>
      <c r="G192" s="88"/>
      <c r="H192" s="89"/>
      <c r="I192" s="125"/>
      <c r="J192" s="125"/>
      <c r="K192" s="125"/>
      <c r="L192" s="91"/>
      <c r="M192" s="91"/>
      <c r="N192" s="91"/>
      <c r="O192" s="92"/>
      <c r="P192" s="93"/>
      <c r="Q192" s="125"/>
      <c r="R192" s="95"/>
      <c r="S192" s="96"/>
      <c r="T192" s="96" t="str">
        <f aca="false">IF(ISBLANK($C192),"",IF(G192=Constants!$B$2, TRUE(), IF(G192=Constants!$B$3, FALSE(), TRUE())))</f>
        <v/>
      </c>
      <c r="U192" s="96" t="str">
        <f aca="false">IF(ISBLANK($C192),"",IF(H192=Constants!$B$2, TRUE(), IF(H192=Constants!$B$3, FALSE(), TRUE())))</f>
        <v/>
      </c>
      <c r="V192" s="96" t="str">
        <f aca="false">IF(ISBLANK($C192),"",IF(I192=Constants!$B$2, TRUE(), IF(I192=Constants!$B$3, FALSE(), TRUE())))</f>
        <v/>
      </c>
      <c r="W192" s="96" t="str">
        <f aca="false">IF(ISBLANK($C192),"",IF(J192=Constants!$B$2, TRUE(), IF(J192=Constants!$B$3, FALSE(), TRUE())))</f>
        <v/>
      </c>
      <c r="X192" s="97" t="str">
        <f aca="false">IF(ISBLANK($C192),"",IF(K192=Constants!$B$2, TRUE(), IF(K192=Constants!$B$3, FALSE(), TRUE())))</f>
        <v/>
      </c>
      <c r="Y192" s="98" t="str">
        <f aca="false">IF(ISBLANK($C192),"",IF(ISNUMBER(L192), L192, ""))</f>
        <v/>
      </c>
      <c r="Z192" s="98" t="str">
        <f aca="false">IF(ISBLANK($C192),"",IF(ISNUMBER(M192), M192, ""))</f>
        <v/>
      </c>
      <c r="AA192" s="98" t="str">
        <f aca="false">IF(ISBLANK($C192),"",IF(ISNUMBER(N192), N192, ""))</f>
        <v/>
      </c>
      <c r="AB192" s="99" t="str">
        <f aca="false">IF(ISBLANK($C192),"",IF(ISNUMBER(O192), O192, ""))</f>
        <v/>
      </c>
      <c r="AC192" s="99" t="str">
        <f aca="false">IF(ISBLANK($C192),"",IF(ISNUMBER(P192), P192, Constants!$B$13))</f>
        <v/>
      </c>
      <c r="AD192" s="96" t="str">
        <f aca="false">IF(ISBLANK($C192),"",IF(Q192=Constants!$B$2, TRUE(), IF(Q192=Constants!$B$3, FALSE(), FALSE())))</f>
        <v/>
      </c>
      <c r="AE192" s="96" t="str">
        <f aca="false">IF(ISBLANK(C192), "", IF(AD192, Constants!$B$4,IF(COUNTA(G192:O192)=0, Constants!$B$5, Constants!$B$7)))</f>
        <v/>
      </c>
      <c r="AF192" s="96" t="str">
        <f aca="false">IF(ISBLANK($C192), "",IF($AE192=Constants!$B$7,1,$AE192))</f>
        <v/>
      </c>
      <c r="AG192" s="96" t="str">
        <f aca="false">IF($AE192=Constants!$B$7,IF(V192, 1, Constants!$B$11) * IF(X192, 1, Constants!$B$12),"")</f>
        <v/>
      </c>
      <c r="AH192" s="96" t="str">
        <f aca="false">IF(AND($AE192=Constants!$B$7, T192, U192) ,MAX(0, $AA192-$Y192),"")</f>
        <v/>
      </c>
      <c r="AI192" s="96" t="str">
        <f aca="false">IF(ISERROR(AH192),$AI$6,"")</f>
        <v/>
      </c>
      <c r="AJ192" s="96" t="str">
        <f aca="false">IF($AE192=Constants!$B$7,IF(AND(T192,U192,W192),IF($AH$6=0,Constants!$B$9,Constants!$B$9*AH192/$AH$6), 0),"")</f>
        <v/>
      </c>
      <c r="AK192" s="96" t="str">
        <f aca="false">IF(AJ192&lt;&gt;"", AJ192*AG192,"")</f>
        <v/>
      </c>
      <c r="AL192" s="96" t="str">
        <f aca="false">IF(AND($AE192=Constants!$B$7, T192, U192) ,IF($Z192="", "", MAX(0,1-ABS($AA192-$Z192)/$AA192)),"")</f>
        <v/>
      </c>
      <c r="AM192" s="96" t="str">
        <f aca="false">IF(AND(NOT(ISERROR(AH192)),ISERROR(AL192)),$AM$6,"")</f>
        <v/>
      </c>
      <c r="AN192" s="96" t="str">
        <f aca="false">IF($AE192=Constants!$B$7 ,IF(AND(T192,U192,W192,ISNUMBER(Z192)),IF($AL$6=0,Constants!$B$10,Constants!$B$10*AL192/$AL$6), 0),"")</f>
        <v/>
      </c>
      <c r="AO192" s="96" t="str">
        <f aca="false">IF(AN192&lt;&gt;"", AN192*AG192,"")</f>
        <v/>
      </c>
      <c r="AP192" s="96" t="str">
        <f aca="false">IF($AE192=Constants!$B$7,IF($AP$6=0,Constants!$B$8,Constants!$B$8*AB192/$AP$6),"")</f>
        <v/>
      </c>
      <c r="AQ192" s="96" t="str">
        <f aca="false">IF($AE192&lt;&gt;Constants!$B$7,$AE192,AK192+AO192+AP192)</f>
        <v/>
      </c>
      <c r="AR192" s="96" t="str">
        <f aca="false">IF(ISBLANK($C192),"",IF($AE192=Constants!$B$7,RANK(AQ192,$AQ$8:$AQ$507),$AE192))</f>
        <v/>
      </c>
      <c r="AS192" s="96" t="str">
        <f aca="false">IF(ISBLANK($C192), "",AK192)</f>
        <v/>
      </c>
      <c r="AT192" s="96" t="str">
        <f aca="false">IF(ISBLANK($C192),"",IF($AE192=Constants!$B$7,RANK(AS192,AS$8:AS$507),$AE192))</f>
        <v/>
      </c>
      <c r="AU192" s="96" t="str">
        <f aca="false">IF(ISBLANK($C192), "",AP192)</f>
        <v/>
      </c>
      <c r="AV192" s="96" t="str">
        <f aca="false">IF(ISBLANK($C192),"",IF($AE192=Constants!$B$7,RANK(AU192,AU$8:AU$507),$AE192))</f>
        <v/>
      </c>
      <c r="AW192" s="96" t="str">
        <f aca="false">IF(ISBLANK($C192), "",AC192)</f>
        <v/>
      </c>
      <c r="AX192" s="96" t="str">
        <f aca="false">IF(ISBLANK($C192),"",
IF($AE192=Constants!$B$7,
  COUNTIFS($AR$8:$AR$507,"&lt;"&amp;$AR192)
  + COUNTIFS($AR$8:$AR$507,$AR192,$AT$8:$AT$507,"&lt;"&amp;$AT192)
  + COUNTIFS($AR$8:$AR$507,$AR192,$AT$8:$AT$507,$AT192,$AV$8:$AV$507,"&lt;"&amp;$AV192)
  + COUNTIFS($AR$8:$AR$507,$AR192,$AT$8:$AT$507,$AT192,$AV$8:$AV$507,$AV192,$AW$8:$AW$507,"&lt;"&amp;$AW192)
  + 1,
$AE192))</f>
        <v/>
      </c>
      <c r="AY192" s="96" t="str">
        <f aca="false">IF(ISBLANK(C192),"",IF($AE192=Constants!$B$7, AR192-AX192,$AE192))</f>
        <v/>
      </c>
      <c r="AZ192" s="100"/>
      <c r="BA192" s="101" t="str">
        <f aca="false">IF(ISBLANK($C192),"",TRIM(AI192&amp;" "&amp;AM192))</f>
        <v/>
      </c>
      <c r="BB192" s="102" t="str">
        <f aca="false">IF(ISBLANK($C192),"",IF($AE192&lt;&gt;Constants!$B$7, $AE192 ,AQ192))</f>
        <v/>
      </c>
      <c r="BC192" s="103" t="str">
        <f aca="false">IF(ISBLANK($C192),"",IF($AE192&lt;&gt;Constants!$B$7, $AE192 ,AF192))</f>
        <v/>
      </c>
      <c r="BD192" s="104" t="str">
        <f aca="false">IF(ISBLANK(C192),"",AY192)</f>
        <v/>
      </c>
      <c r="BE192" s="104" t="str">
        <f aca="false">IF(ISBLANK(C192),"",AX192)</f>
        <v/>
      </c>
      <c r="BF192" s="105" t="str">
        <f aca="false">IF(ISBLANK(C192),"",IFERROR(_xlfn.SWITCH(BE192, Constants!$B$4, COUNTA($C$8:$C691)+2, Constants!$B$5, COUNTA($C$8:$C691)+1, Constants!$B$6, COUNTA($C$8:$C691)),BE192))</f>
        <v/>
      </c>
      <c r="BG192" s="5"/>
      <c r="BH192" s="106" t="n">
        <f aca="false">IF(OR(ISNUMBER(BE192),BE192="DQ",BE192="P",BE192="NS"),
    1,
    0
)</f>
        <v>0</v>
      </c>
      <c r="BI192" s="106" t="n">
        <v>185</v>
      </c>
      <c r="BJ192" s="106" t="str">
        <f aca="false">IF(ISBLANK($C192),
    "",
   BF192+ROW($B192)/1000
)</f>
        <v/>
      </c>
      <c r="BK192" s="106" t="str">
        <f aca="false">IF(ISNUMBER(BJ192), RANK(BJ192,BJ$8:BJ$507,1), "")</f>
        <v/>
      </c>
      <c r="BL192" s="106" t="str">
        <f aca="false">IF(ISBLANK($C192),
    "",
    $B192
)</f>
        <v/>
      </c>
      <c r="BM192" s="106" t="str">
        <f aca="false">IF(ISBLANK($C192),
    "",
    $C192
)</f>
        <v/>
      </c>
      <c r="BN192" s="106" t="str">
        <f aca="false">IF(ISBLANK($C192),
    "",
    $D192
)</f>
        <v/>
      </c>
      <c r="BO192" s="107" t="str">
        <f aca="false">BC192</f>
        <v/>
      </c>
      <c r="BP192" s="108" t="str">
        <f aca="false">BB192</f>
        <v/>
      </c>
      <c r="BQ192" s="106" t="str">
        <f aca="false">IF(ISBLANK($C192),
    "",
    BE192
)</f>
        <v/>
      </c>
      <c r="BR192" s="109" t="str">
        <f aca="false">IF(BI192&gt;BH$7,
    "",
    VLOOKUP(BI192,BK$8:BQ691,7,FALSE())
)</f>
        <v/>
      </c>
      <c r="BS192" s="110" t="str">
        <f aca="false">IF(BI192&gt;BH$7,
    "",
    VLOOKUP(BI192,BK$8:BQ691,2,FALSE())
)</f>
        <v/>
      </c>
      <c r="BT192" s="110" t="str">
        <f aca="false">IF(BI192&gt;BH$7,
    "",
    VLOOKUP(BI192,BK$8:BQ691,3,FALSE())
)</f>
        <v/>
      </c>
      <c r="BU192" s="110" t="str">
        <f aca="false">IF(BI192&gt;BH$7,
    "",
    VLOOKUP(BI192,BK$8:BQ691,4,FALSE())
)</f>
        <v/>
      </c>
      <c r="BV192" s="110" t="str">
        <f aca="false">IF(BI192&gt;BH$7,
    "",
    VLOOKUP(BI192,BK$8:BQ691,5,FALSE())
)</f>
        <v/>
      </c>
      <c r="BW192" s="111" t="str">
        <f aca="false">IF(BI192&gt;BH$7,
    "",
    VLOOKUP(BI192,BK$8:BQ691,6,FALSE())
)</f>
        <v/>
      </c>
      <c r="BX192" s="50"/>
    </row>
    <row r="193" customFormat="false" ht="15.75" hidden="false" customHeight="false" outlineLevel="0" collapsed="false">
      <c r="A193" s="5"/>
      <c r="B193" s="122"/>
      <c r="C193" s="123"/>
      <c r="D193" s="112"/>
      <c r="E193" s="116"/>
      <c r="F193" s="116"/>
      <c r="G193" s="88"/>
      <c r="H193" s="89"/>
      <c r="I193" s="125"/>
      <c r="J193" s="125"/>
      <c r="K193" s="125"/>
      <c r="L193" s="91"/>
      <c r="M193" s="91"/>
      <c r="N193" s="91"/>
      <c r="O193" s="92"/>
      <c r="P193" s="93"/>
      <c r="Q193" s="125"/>
      <c r="R193" s="95"/>
      <c r="S193" s="96"/>
      <c r="T193" s="96" t="str">
        <f aca="false">IF(ISBLANK($C193),"",IF(G193=Constants!$B$2, TRUE(), IF(G193=Constants!$B$3, FALSE(), TRUE())))</f>
        <v/>
      </c>
      <c r="U193" s="96" t="str">
        <f aca="false">IF(ISBLANK($C193),"",IF(H193=Constants!$B$2, TRUE(), IF(H193=Constants!$B$3, FALSE(), TRUE())))</f>
        <v/>
      </c>
      <c r="V193" s="96" t="str">
        <f aca="false">IF(ISBLANK($C193),"",IF(I193=Constants!$B$2, TRUE(), IF(I193=Constants!$B$3, FALSE(), TRUE())))</f>
        <v/>
      </c>
      <c r="W193" s="96" t="str">
        <f aca="false">IF(ISBLANK($C193),"",IF(J193=Constants!$B$2, TRUE(), IF(J193=Constants!$B$3, FALSE(), TRUE())))</f>
        <v/>
      </c>
      <c r="X193" s="97" t="str">
        <f aca="false">IF(ISBLANK($C193),"",IF(K193=Constants!$B$2, TRUE(), IF(K193=Constants!$B$3, FALSE(), TRUE())))</f>
        <v/>
      </c>
      <c r="Y193" s="98" t="str">
        <f aca="false">IF(ISBLANK($C193),"",IF(ISNUMBER(L193), L193, ""))</f>
        <v/>
      </c>
      <c r="Z193" s="98" t="str">
        <f aca="false">IF(ISBLANK($C193),"",IF(ISNUMBER(M193), M193, ""))</f>
        <v/>
      </c>
      <c r="AA193" s="98" t="str">
        <f aca="false">IF(ISBLANK($C193),"",IF(ISNUMBER(N193), N193, ""))</f>
        <v/>
      </c>
      <c r="AB193" s="99" t="str">
        <f aca="false">IF(ISBLANK($C193),"",IF(ISNUMBER(O193), O193, ""))</f>
        <v/>
      </c>
      <c r="AC193" s="99" t="str">
        <f aca="false">IF(ISBLANK($C193),"",IF(ISNUMBER(P193), P193, Constants!$B$13))</f>
        <v/>
      </c>
      <c r="AD193" s="96" t="str">
        <f aca="false">IF(ISBLANK($C193),"",IF(Q193=Constants!$B$2, TRUE(), IF(Q193=Constants!$B$3, FALSE(), FALSE())))</f>
        <v/>
      </c>
      <c r="AE193" s="96" t="str">
        <f aca="false">IF(ISBLANK(C193), "", IF(AD193, Constants!$B$4,IF(COUNTA(G193:O193)=0, Constants!$B$5, Constants!$B$7)))</f>
        <v/>
      </c>
      <c r="AF193" s="96" t="str">
        <f aca="false">IF(ISBLANK($C193), "",IF($AE193=Constants!$B$7,1,$AE193))</f>
        <v/>
      </c>
      <c r="AG193" s="96" t="str">
        <f aca="false">IF($AE193=Constants!$B$7,IF(V193, 1, Constants!$B$11) * IF(X193, 1, Constants!$B$12),"")</f>
        <v/>
      </c>
      <c r="AH193" s="96" t="str">
        <f aca="false">IF(AND($AE193=Constants!$B$7, T193, U193) ,MAX(0, $AA193-$Y193),"")</f>
        <v/>
      </c>
      <c r="AI193" s="96" t="str">
        <f aca="false">IF(ISERROR(AH193),$AI$6,"")</f>
        <v/>
      </c>
      <c r="AJ193" s="96" t="str">
        <f aca="false">IF($AE193=Constants!$B$7,IF(AND(T193,U193,W193),IF($AH$6=0,Constants!$B$9,Constants!$B$9*AH193/$AH$6), 0),"")</f>
        <v/>
      </c>
      <c r="AK193" s="96" t="str">
        <f aca="false">IF(AJ193&lt;&gt;"", AJ193*AG193,"")</f>
        <v/>
      </c>
      <c r="AL193" s="96" t="str">
        <f aca="false">IF(AND($AE193=Constants!$B$7, T193, U193) ,IF($Z193="", "", MAX(0,1-ABS($AA193-$Z193)/$AA193)),"")</f>
        <v/>
      </c>
      <c r="AM193" s="96" t="str">
        <f aca="false">IF(AND(NOT(ISERROR(AH193)),ISERROR(AL193)),$AM$6,"")</f>
        <v/>
      </c>
      <c r="AN193" s="96" t="str">
        <f aca="false">IF($AE193=Constants!$B$7 ,IF(AND(T193,U193,W193,ISNUMBER(Z193)),IF($AL$6=0,Constants!$B$10,Constants!$B$10*AL193/$AL$6), 0),"")</f>
        <v/>
      </c>
      <c r="AO193" s="96" t="str">
        <f aca="false">IF(AN193&lt;&gt;"", AN193*AG193,"")</f>
        <v/>
      </c>
      <c r="AP193" s="96" t="str">
        <f aca="false">IF($AE193=Constants!$B$7,IF($AP$6=0,Constants!$B$8,Constants!$B$8*AB193/$AP$6),"")</f>
        <v/>
      </c>
      <c r="AQ193" s="96" t="str">
        <f aca="false">IF($AE193&lt;&gt;Constants!$B$7,$AE193,AK193+AO193+AP193)</f>
        <v/>
      </c>
      <c r="AR193" s="96" t="str">
        <f aca="false">IF(ISBLANK($C193),"",IF($AE193=Constants!$B$7,RANK(AQ193,$AQ$8:$AQ$507),$AE193))</f>
        <v/>
      </c>
      <c r="AS193" s="96" t="str">
        <f aca="false">IF(ISBLANK($C193), "",AK193)</f>
        <v/>
      </c>
      <c r="AT193" s="96" t="str">
        <f aca="false">IF(ISBLANK($C193),"",IF($AE193=Constants!$B$7,RANK(AS193,AS$8:AS$507),$AE193))</f>
        <v/>
      </c>
      <c r="AU193" s="96" t="str">
        <f aca="false">IF(ISBLANK($C193), "",AP193)</f>
        <v/>
      </c>
      <c r="AV193" s="96" t="str">
        <f aca="false">IF(ISBLANK($C193),"",IF($AE193=Constants!$B$7,RANK(AU193,AU$8:AU$507),$AE193))</f>
        <v/>
      </c>
      <c r="AW193" s="96" t="str">
        <f aca="false">IF(ISBLANK($C193), "",AC193)</f>
        <v/>
      </c>
      <c r="AX193" s="96" t="str">
        <f aca="false">IF(ISBLANK($C193),"",
IF($AE193=Constants!$B$7,
  COUNTIFS($AR$8:$AR$507,"&lt;"&amp;$AR193)
  + COUNTIFS($AR$8:$AR$507,$AR193,$AT$8:$AT$507,"&lt;"&amp;$AT193)
  + COUNTIFS($AR$8:$AR$507,$AR193,$AT$8:$AT$507,$AT193,$AV$8:$AV$507,"&lt;"&amp;$AV193)
  + COUNTIFS($AR$8:$AR$507,$AR193,$AT$8:$AT$507,$AT193,$AV$8:$AV$507,$AV193,$AW$8:$AW$507,"&lt;"&amp;$AW193)
  + 1,
$AE193))</f>
        <v/>
      </c>
      <c r="AY193" s="96" t="str">
        <f aca="false">IF(ISBLANK(C193),"",IF($AE193=Constants!$B$7, AR193-AX193,$AE193))</f>
        <v/>
      </c>
      <c r="AZ193" s="100"/>
      <c r="BA193" s="101" t="str">
        <f aca="false">IF(ISBLANK($C193),"",TRIM(AI193&amp;" "&amp;AM193))</f>
        <v/>
      </c>
      <c r="BB193" s="102" t="str">
        <f aca="false">IF(ISBLANK($C193),"",IF($AE193&lt;&gt;Constants!$B$7, $AE193 ,AQ193))</f>
        <v/>
      </c>
      <c r="BC193" s="103" t="str">
        <f aca="false">IF(ISBLANK($C193),"",IF($AE193&lt;&gt;Constants!$B$7, $AE193 ,AF193))</f>
        <v/>
      </c>
      <c r="BD193" s="104" t="str">
        <f aca="false">IF(ISBLANK(C193),"",AY193)</f>
        <v/>
      </c>
      <c r="BE193" s="104" t="str">
        <f aca="false">IF(ISBLANK(C193),"",AX193)</f>
        <v/>
      </c>
      <c r="BF193" s="105" t="str">
        <f aca="false">IF(ISBLANK(C193),"",IFERROR(_xlfn.SWITCH(BE193, Constants!$B$4, COUNTA($C$8:$C692)+2, Constants!$B$5, COUNTA($C$8:$C692)+1, Constants!$B$6, COUNTA($C$8:$C692)),BE193))</f>
        <v/>
      </c>
      <c r="BG193" s="5"/>
      <c r="BH193" s="106" t="n">
        <f aca="false">IF(OR(ISNUMBER(BE193),BE193="DQ",BE193="P",BE193="NS"),
    1,
    0
)</f>
        <v>0</v>
      </c>
      <c r="BI193" s="106" t="n">
        <v>186</v>
      </c>
      <c r="BJ193" s="106" t="str">
        <f aca="false">IF(ISBLANK($C193),
    "",
   BF193+ROW($B193)/1000
)</f>
        <v/>
      </c>
      <c r="BK193" s="106" t="str">
        <f aca="false">IF(ISNUMBER(BJ193), RANK(BJ193,BJ$8:BJ$507,1), "")</f>
        <v/>
      </c>
      <c r="BL193" s="106" t="str">
        <f aca="false">IF(ISBLANK($C193),
    "",
    $B193
)</f>
        <v/>
      </c>
      <c r="BM193" s="106" t="str">
        <f aca="false">IF(ISBLANK($C193),
    "",
    $C193
)</f>
        <v/>
      </c>
      <c r="BN193" s="106" t="str">
        <f aca="false">IF(ISBLANK($C193),
    "",
    $D193
)</f>
        <v/>
      </c>
      <c r="BO193" s="107" t="str">
        <f aca="false">BC193</f>
        <v/>
      </c>
      <c r="BP193" s="108" t="str">
        <f aca="false">BB193</f>
        <v/>
      </c>
      <c r="BQ193" s="106" t="str">
        <f aca="false">IF(ISBLANK($C193),
    "",
    BE193
)</f>
        <v/>
      </c>
      <c r="BR193" s="109" t="str">
        <f aca="false">IF(BI193&gt;BH$7,
    "",
    VLOOKUP(BI193,BK$8:BQ692,7,FALSE())
)</f>
        <v/>
      </c>
      <c r="BS193" s="110" t="str">
        <f aca="false">IF(BI193&gt;BH$7,
    "",
    VLOOKUP(BI193,BK$8:BQ692,2,FALSE())
)</f>
        <v/>
      </c>
      <c r="BT193" s="110" t="str">
        <f aca="false">IF(BI193&gt;BH$7,
    "",
    VLOOKUP(BI193,BK$8:BQ692,3,FALSE())
)</f>
        <v/>
      </c>
      <c r="BU193" s="110" t="str">
        <f aca="false">IF(BI193&gt;BH$7,
    "",
    VLOOKUP(BI193,BK$8:BQ692,4,FALSE())
)</f>
        <v/>
      </c>
      <c r="BV193" s="110" t="str">
        <f aca="false">IF(BI193&gt;BH$7,
    "",
    VLOOKUP(BI193,BK$8:BQ692,5,FALSE())
)</f>
        <v/>
      </c>
      <c r="BW193" s="111" t="str">
        <f aca="false">IF(BI193&gt;BH$7,
    "",
    VLOOKUP(BI193,BK$8:BQ692,6,FALSE())
)</f>
        <v/>
      </c>
      <c r="BX193" s="50"/>
    </row>
    <row r="194" customFormat="false" ht="15.75" hidden="false" customHeight="false" outlineLevel="0" collapsed="false">
      <c r="A194" s="5"/>
      <c r="B194" s="126"/>
      <c r="C194" s="52"/>
      <c r="D194" s="53"/>
      <c r="E194" s="120"/>
      <c r="F194" s="120"/>
      <c r="G194" s="55"/>
      <c r="H194" s="56"/>
      <c r="I194" s="80"/>
      <c r="J194" s="80"/>
      <c r="K194" s="80"/>
      <c r="L194" s="58"/>
      <c r="M194" s="58"/>
      <c r="N194" s="58"/>
      <c r="O194" s="59"/>
      <c r="P194" s="60"/>
      <c r="Q194" s="80"/>
      <c r="R194" s="62"/>
      <c r="S194" s="63"/>
      <c r="T194" s="63" t="str">
        <f aca="false">IF(ISBLANK($C194),"",IF(G194=Constants!$B$2, TRUE(), IF(G194=Constants!$B$3, FALSE(), TRUE())))</f>
        <v/>
      </c>
      <c r="U194" s="63" t="str">
        <f aca="false">IF(ISBLANK($C194),"",IF(H194=Constants!$B$2, TRUE(), IF(H194=Constants!$B$3, FALSE(), TRUE())))</f>
        <v/>
      </c>
      <c r="V194" s="63" t="str">
        <f aca="false">IF(ISBLANK($C194),"",IF(I194=Constants!$B$2, TRUE(), IF(I194=Constants!$B$3, FALSE(), TRUE())))</f>
        <v/>
      </c>
      <c r="W194" s="63" t="str">
        <f aca="false">IF(ISBLANK($C194),"",IF(J194=Constants!$B$2, TRUE(), IF(J194=Constants!$B$3, FALSE(), TRUE())))</f>
        <v/>
      </c>
      <c r="X194" s="63" t="str">
        <f aca="false">IF(ISBLANK($C194),"",IF(K194=Constants!$B$2, TRUE(), IF(K194=Constants!$B$3, FALSE(), TRUE())))</f>
        <v/>
      </c>
      <c r="Y194" s="65" t="str">
        <f aca="false">IF(ISBLANK($C194),"",IF(ISNUMBER(L194), L194, ""))</f>
        <v/>
      </c>
      <c r="Z194" s="65" t="str">
        <f aca="false">IF(ISBLANK($C194),"",IF(ISNUMBER(M194), M194, ""))</f>
        <v/>
      </c>
      <c r="AA194" s="65" t="str">
        <f aca="false">IF(ISBLANK($C194),"",IF(ISNUMBER(N194), N194, ""))</f>
        <v/>
      </c>
      <c r="AB194" s="66" t="str">
        <f aca="false">IF(ISBLANK($C194),"",IF(ISNUMBER(O194), O194, ""))</f>
        <v/>
      </c>
      <c r="AC194" s="66" t="str">
        <f aca="false">IF(ISBLANK($C194),"",IF(ISNUMBER(P194), P194, Constants!$B$13))</f>
        <v/>
      </c>
      <c r="AD194" s="63" t="str">
        <f aca="false">IF(ISBLANK($C194),"",IF(Q194=Constants!$B$2, TRUE(), IF(Q194=Constants!$B$3, FALSE(), FALSE())))</f>
        <v/>
      </c>
      <c r="AE194" s="63" t="str">
        <f aca="false">IF(ISBLANK(C194), "", IF(AD194, Constants!$B$4,IF(COUNTA(G194:O194)=0, Constants!$B$5, Constants!$B$7)))</f>
        <v/>
      </c>
      <c r="AF194" s="63" t="str">
        <f aca="false">IF(ISBLANK($C194), "",IF($AE194=Constants!$B$7,1,$AE194))</f>
        <v/>
      </c>
      <c r="AG194" s="63" t="str">
        <f aca="false">IF($AE194=Constants!$B$7,IF(V194, 1, Constants!$B$11) * IF(X194, 1, Constants!$B$12),"")</f>
        <v/>
      </c>
      <c r="AH194" s="63" t="str">
        <f aca="false">IF(AND($AE194=Constants!$B$7, T194, U194) ,MAX(0, $AA194-$Y194),"")</f>
        <v/>
      </c>
      <c r="AI194" s="63" t="str">
        <f aca="false">IF(ISERROR(AH194),$AI$6,"")</f>
        <v/>
      </c>
      <c r="AJ194" s="63" t="str">
        <f aca="false">IF($AE194=Constants!$B$7,IF(AND(T194,U194,W194),IF($AH$6=0,Constants!$B$9,Constants!$B$9*AH194/$AH$6), 0),"")</f>
        <v/>
      </c>
      <c r="AK194" s="63" t="str">
        <f aca="false">IF(AJ194&lt;&gt;"", AJ194*AG194,"")</f>
        <v/>
      </c>
      <c r="AL194" s="63" t="str">
        <f aca="false">IF(AND($AE194=Constants!$B$7, T194, U194) ,IF($Z194="", "", MAX(0,1-ABS($AA194-$Z194)/$AA194)),"")</f>
        <v/>
      </c>
      <c r="AM194" s="63" t="str">
        <f aca="false">IF(AND(NOT(ISERROR(AH194)),ISERROR(AL194)),$AM$6,"")</f>
        <v/>
      </c>
      <c r="AN194" s="63" t="str">
        <f aca="false">IF($AE194=Constants!$B$7 ,IF(AND(T194,U194,W194,ISNUMBER(Z194)),IF($AL$6=0,Constants!$B$10,Constants!$B$10*AL194/$AL$6), 0),"")</f>
        <v/>
      </c>
      <c r="AO194" s="63" t="str">
        <f aca="false">IF(AN194&lt;&gt;"", AN194*AG194,"")</f>
        <v/>
      </c>
      <c r="AP194" s="63" t="str">
        <f aca="false">IF($AE194=Constants!$B$7,IF($AP$6=0,Constants!$B$8,Constants!$B$8*AB194/$AP$6),"")</f>
        <v/>
      </c>
      <c r="AQ194" s="63" t="str">
        <f aca="false">IF($AE194&lt;&gt;Constants!$B$7,$AE194,AK194+AO194+AP194)</f>
        <v/>
      </c>
      <c r="AR194" s="63" t="str">
        <f aca="false">IF(ISBLANK($C194),"",IF($AE194=Constants!$B$7,RANK(AQ194,$AQ$8:$AQ$507),$AE194))</f>
        <v/>
      </c>
      <c r="AS194" s="63" t="str">
        <f aca="false">IF(ISBLANK($C194), "",AK194)</f>
        <v/>
      </c>
      <c r="AT194" s="63" t="str">
        <f aca="false">IF(ISBLANK($C194),"",IF($AE194=Constants!$B$7,RANK(AS194,AS$8:AS$507),$AE194))</f>
        <v/>
      </c>
      <c r="AU194" s="63" t="str">
        <f aca="false">IF(ISBLANK($C194), "",AP194)</f>
        <v/>
      </c>
      <c r="AV194" s="63" t="str">
        <f aca="false">IF(ISBLANK($C194),"",IF($AE194=Constants!$B$7,RANK(AU194,AU$8:AU$507),$AE194))</f>
        <v/>
      </c>
      <c r="AW194" s="63" t="str">
        <f aca="false">IF(ISBLANK($C194), "",AC194)</f>
        <v/>
      </c>
      <c r="AX194" s="63" t="str">
        <f aca="false">IF(ISBLANK($C194),"",
IF($AE194=Constants!$B$7,
  COUNTIFS($AR$8:$AR$507,"&lt;"&amp;$AR194)
  + COUNTIFS($AR$8:$AR$507,$AR194,$AT$8:$AT$507,"&lt;"&amp;$AT194)
  + COUNTIFS($AR$8:$AR$507,$AR194,$AT$8:$AT$507,$AT194,$AV$8:$AV$507,"&lt;"&amp;$AV194)
  + COUNTIFS($AR$8:$AR$507,$AR194,$AT$8:$AT$507,$AT194,$AV$8:$AV$507,$AV194,$AW$8:$AW$507,"&lt;"&amp;$AW194)
  + 1,
$AE194))</f>
        <v/>
      </c>
      <c r="AY194" s="63" t="str">
        <f aca="false">IF(ISBLANK(C194),"",IF($AE194=Constants!$B$7, AR194-AX194,$AE194))</f>
        <v/>
      </c>
      <c r="AZ194" s="67"/>
      <c r="BA194" s="81" t="str">
        <f aca="false">IF(ISBLANK($C194),"",TRIM(AI194&amp;" "&amp;AM194))</f>
        <v/>
      </c>
      <c r="BB194" s="69" t="str">
        <f aca="false">IF(ISBLANK($C194),"",IF($AE194&lt;&gt;Constants!$B$7, $AE194 ,AQ194))</f>
        <v/>
      </c>
      <c r="BC194" s="70" t="str">
        <f aca="false">IF(ISBLANK($C194),"",IF($AE194&lt;&gt;Constants!$B$7, $AE194 ,AF194))</f>
        <v/>
      </c>
      <c r="BD194" s="71" t="str">
        <f aca="false">IF(ISBLANK(C194),"",AY194)</f>
        <v/>
      </c>
      <c r="BE194" s="71" t="str">
        <f aca="false">IF(ISBLANK(C194),"",AX194)</f>
        <v/>
      </c>
      <c r="BF194" s="72" t="str">
        <f aca="false">IF(ISBLANK(C194),"",IFERROR(_xlfn.SWITCH(BE194, Constants!$B$4, COUNTA($C$8:$C693)+2, Constants!$B$5, COUNTA($C$8:$C693)+1, Constants!$B$6, COUNTA($C$8:$C693)),BE194))</f>
        <v/>
      </c>
      <c r="BG194" s="5"/>
      <c r="BH194" s="73" t="n">
        <f aca="false">IF(OR(ISNUMBER(BE194),BE194="DQ",BE194="P",BE194="NS"),
    1,
    0
)</f>
        <v>0</v>
      </c>
      <c r="BI194" s="73" t="n">
        <v>187</v>
      </c>
      <c r="BJ194" s="73" t="str">
        <f aca="false">IF(ISBLANK($C194),
    "",
   BF194+ROW($B194)/1000
)</f>
        <v/>
      </c>
      <c r="BK194" s="73" t="str">
        <f aca="false">IF(ISNUMBER(BJ194), RANK(BJ194,BJ$8:BJ$507,1), "")</f>
        <v/>
      </c>
      <c r="BL194" s="73" t="str">
        <f aca="false">IF(ISBLANK($C194),
    "",
    $B194
)</f>
        <v/>
      </c>
      <c r="BM194" s="73" t="str">
        <f aca="false">IF(ISBLANK($C194),
    "",
    $C194
)</f>
        <v/>
      </c>
      <c r="BN194" s="73" t="str">
        <f aca="false">IF(ISBLANK($C194),
    "",
    $D194
)</f>
        <v/>
      </c>
      <c r="BO194" s="74" t="str">
        <f aca="false">BC194</f>
        <v/>
      </c>
      <c r="BP194" s="75" t="str">
        <f aca="false">BB194</f>
        <v/>
      </c>
      <c r="BQ194" s="73" t="str">
        <f aca="false">IF(ISBLANK($C194),
    "",
    BE194
)</f>
        <v/>
      </c>
      <c r="BR194" s="76" t="str">
        <f aca="false">IF(BI194&gt;BH$7,
    "",
    VLOOKUP(BI194,BK$8:BQ693,7,FALSE())
)</f>
        <v/>
      </c>
      <c r="BS194" s="77" t="str">
        <f aca="false">IF(BI194&gt;BH$7,
    "",
    VLOOKUP(BI194,BK$8:BQ693,2,FALSE())
)</f>
        <v/>
      </c>
      <c r="BT194" s="77" t="str">
        <f aca="false">IF(BI194&gt;BH$7,
    "",
    VLOOKUP(BI194,BK$8:BQ693,3,FALSE())
)</f>
        <v/>
      </c>
      <c r="BU194" s="77" t="str">
        <f aca="false">IF(BI194&gt;BH$7,
    "",
    VLOOKUP(BI194,BK$8:BQ693,4,FALSE())
)</f>
        <v/>
      </c>
      <c r="BV194" s="77" t="str">
        <f aca="false">IF(BI194&gt;BH$7,
    "",
    VLOOKUP(BI194,BK$8:BQ693,5,FALSE())
)</f>
        <v/>
      </c>
      <c r="BW194" s="78" t="str">
        <f aca="false">IF(BI194&gt;BH$7,
    "",
    VLOOKUP(BI194,BK$8:BQ693,6,FALSE())
)</f>
        <v/>
      </c>
      <c r="BX194" s="50"/>
    </row>
    <row r="195" customFormat="false" ht="15.75" hidden="false" customHeight="false" outlineLevel="0" collapsed="false">
      <c r="A195" s="5"/>
      <c r="B195" s="126"/>
      <c r="C195" s="52"/>
      <c r="D195" s="53"/>
      <c r="E195" s="120"/>
      <c r="F195" s="120"/>
      <c r="G195" s="55"/>
      <c r="H195" s="56"/>
      <c r="I195" s="80"/>
      <c r="J195" s="80"/>
      <c r="K195" s="80"/>
      <c r="L195" s="58"/>
      <c r="M195" s="58"/>
      <c r="N195" s="58"/>
      <c r="O195" s="59"/>
      <c r="P195" s="60"/>
      <c r="Q195" s="80"/>
      <c r="R195" s="62"/>
      <c r="S195" s="63"/>
      <c r="T195" s="63" t="str">
        <f aca="false">IF(ISBLANK($C195),"",IF(G195=Constants!$B$2, TRUE(), IF(G195=Constants!$B$3, FALSE(), TRUE())))</f>
        <v/>
      </c>
      <c r="U195" s="63" t="str">
        <f aca="false">IF(ISBLANK($C195),"",IF(H195=Constants!$B$2, TRUE(), IF(H195=Constants!$B$3, FALSE(), TRUE())))</f>
        <v/>
      </c>
      <c r="V195" s="63" t="str">
        <f aca="false">IF(ISBLANK($C195),"",IF(I195=Constants!$B$2, TRUE(), IF(I195=Constants!$B$3, FALSE(), TRUE())))</f>
        <v/>
      </c>
      <c r="W195" s="63" t="str">
        <f aca="false">IF(ISBLANK($C195),"",IF(J195=Constants!$B$2, TRUE(), IF(J195=Constants!$B$3, FALSE(), TRUE())))</f>
        <v/>
      </c>
      <c r="X195" s="63" t="str">
        <f aca="false">IF(ISBLANK($C195),"",IF(K195=Constants!$B$2, TRUE(), IF(K195=Constants!$B$3, FALSE(), TRUE())))</f>
        <v/>
      </c>
      <c r="Y195" s="65" t="str">
        <f aca="false">IF(ISBLANK($C195),"",IF(ISNUMBER(L195), L195, ""))</f>
        <v/>
      </c>
      <c r="Z195" s="65" t="str">
        <f aca="false">IF(ISBLANK($C195),"",IF(ISNUMBER(M195), M195, ""))</f>
        <v/>
      </c>
      <c r="AA195" s="65" t="str">
        <f aca="false">IF(ISBLANK($C195),"",IF(ISNUMBER(N195), N195, ""))</f>
        <v/>
      </c>
      <c r="AB195" s="66" t="str">
        <f aca="false">IF(ISBLANK($C195),"",IF(ISNUMBER(O195), O195, ""))</f>
        <v/>
      </c>
      <c r="AC195" s="66" t="str">
        <f aca="false">IF(ISBLANK($C195),"",IF(ISNUMBER(P195), P195, Constants!$B$13))</f>
        <v/>
      </c>
      <c r="AD195" s="63" t="str">
        <f aca="false">IF(ISBLANK($C195),"",IF(Q195=Constants!$B$2, TRUE(), IF(Q195=Constants!$B$3, FALSE(), FALSE())))</f>
        <v/>
      </c>
      <c r="AE195" s="63" t="str">
        <f aca="false">IF(ISBLANK(C195), "", IF(AD195, Constants!$B$4,IF(COUNTA(G195:O195)=0, Constants!$B$5, Constants!$B$7)))</f>
        <v/>
      </c>
      <c r="AF195" s="63" t="str">
        <f aca="false">IF(ISBLANK($C195), "",IF($AE195=Constants!$B$7,1,$AE195))</f>
        <v/>
      </c>
      <c r="AG195" s="63" t="str">
        <f aca="false">IF($AE195=Constants!$B$7,IF(V195, 1, Constants!$B$11) * IF(X195, 1, Constants!$B$12),"")</f>
        <v/>
      </c>
      <c r="AH195" s="63" t="str">
        <f aca="false">IF(AND($AE195=Constants!$B$7, T195, U195) ,MAX(0, $AA195-$Y195),"")</f>
        <v/>
      </c>
      <c r="AI195" s="63" t="str">
        <f aca="false">IF(ISERROR(AH195),$AI$6,"")</f>
        <v/>
      </c>
      <c r="AJ195" s="63" t="str">
        <f aca="false">IF($AE195=Constants!$B$7,IF(AND(T195,U195,W195),IF($AH$6=0,Constants!$B$9,Constants!$B$9*AH195/$AH$6), 0),"")</f>
        <v/>
      </c>
      <c r="AK195" s="63" t="str">
        <f aca="false">IF(AJ195&lt;&gt;"", AJ195*AG195,"")</f>
        <v/>
      </c>
      <c r="AL195" s="63" t="str">
        <f aca="false">IF(AND($AE195=Constants!$B$7, T195, U195) ,IF($Z195="", "", MAX(0,1-ABS($AA195-$Z195)/$AA195)),"")</f>
        <v/>
      </c>
      <c r="AM195" s="63" t="str">
        <f aca="false">IF(AND(NOT(ISERROR(AH195)),ISERROR(AL195)),$AM$6,"")</f>
        <v/>
      </c>
      <c r="AN195" s="63" t="str">
        <f aca="false">IF($AE195=Constants!$B$7 ,IF(AND(T195,U195,W195,ISNUMBER(Z195)),IF($AL$6=0,Constants!$B$10,Constants!$B$10*AL195/$AL$6), 0),"")</f>
        <v/>
      </c>
      <c r="AO195" s="63" t="str">
        <f aca="false">IF(AN195&lt;&gt;"", AN195*AG195,"")</f>
        <v/>
      </c>
      <c r="AP195" s="63" t="str">
        <f aca="false">IF($AE195=Constants!$B$7,IF($AP$6=0,Constants!$B$8,Constants!$B$8*AB195/$AP$6),"")</f>
        <v/>
      </c>
      <c r="AQ195" s="63" t="str">
        <f aca="false">IF($AE195&lt;&gt;Constants!$B$7,$AE195,AK195+AO195+AP195)</f>
        <v/>
      </c>
      <c r="AR195" s="63" t="str">
        <f aca="false">IF(ISBLANK($C195),"",IF($AE195=Constants!$B$7,RANK(AQ195,$AQ$8:$AQ$507),$AE195))</f>
        <v/>
      </c>
      <c r="AS195" s="63" t="str">
        <f aca="false">IF(ISBLANK($C195), "",AK195)</f>
        <v/>
      </c>
      <c r="AT195" s="63" t="str">
        <f aca="false">IF(ISBLANK($C195),"",IF($AE195=Constants!$B$7,RANK(AS195,AS$8:AS$507),$AE195))</f>
        <v/>
      </c>
      <c r="AU195" s="63" t="str">
        <f aca="false">IF(ISBLANK($C195), "",AP195)</f>
        <v/>
      </c>
      <c r="AV195" s="63" t="str">
        <f aca="false">IF(ISBLANK($C195),"",IF($AE195=Constants!$B$7,RANK(AU195,AU$8:AU$507),$AE195))</f>
        <v/>
      </c>
      <c r="AW195" s="63" t="str">
        <f aca="false">IF(ISBLANK($C195), "",AC195)</f>
        <v/>
      </c>
      <c r="AX195" s="63" t="str">
        <f aca="false">IF(ISBLANK($C195),"",
IF($AE195=Constants!$B$7,
  COUNTIFS($AR$8:$AR$507,"&lt;"&amp;$AR195)
  + COUNTIFS($AR$8:$AR$507,$AR195,$AT$8:$AT$507,"&lt;"&amp;$AT195)
  + COUNTIFS($AR$8:$AR$507,$AR195,$AT$8:$AT$507,$AT195,$AV$8:$AV$507,"&lt;"&amp;$AV195)
  + COUNTIFS($AR$8:$AR$507,$AR195,$AT$8:$AT$507,$AT195,$AV$8:$AV$507,$AV195,$AW$8:$AW$507,"&lt;"&amp;$AW195)
  + 1,
$AE195))</f>
        <v/>
      </c>
      <c r="AY195" s="63" t="str">
        <f aca="false">IF(ISBLANK(C195),"",IF($AE195=Constants!$B$7, AR195-AX195,$AE195))</f>
        <v/>
      </c>
      <c r="AZ195" s="67"/>
      <c r="BA195" s="81" t="str">
        <f aca="false">IF(ISBLANK($C195),"",TRIM(AI195&amp;" "&amp;AM195))</f>
        <v/>
      </c>
      <c r="BB195" s="69" t="str">
        <f aca="false">IF(ISBLANK($C195),"",IF($AE195&lt;&gt;Constants!$B$7, $AE195 ,AQ195))</f>
        <v/>
      </c>
      <c r="BC195" s="70" t="str">
        <f aca="false">IF(ISBLANK($C195),"",IF($AE195&lt;&gt;Constants!$B$7, $AE195 ,AF195))</f>
        <v/>
      </c>
      <c r="BD195" s="71" t="str">
        <f aca="false">IF(ISBLANK(C195),"",AY195)</f>
        <v/>
      </c>
      <c r="BE195" s="71" t="str">
        <f aca="false">IF(ISBLANK(C195),"",AX195)</f>
        <v/>
      </c>
      <c r="BF195" s="72" t="str">
        <f aca="false">IF(ISBLANK(C195),"",IFERROR(_xlfn.SWITCH(BE195, Constants!$B$4, COUNTA($C$8:$C694)+2, Constants!$B$5, COUNTA($C$8:$C694)+1, Constants!$B$6, COUNTA($C$8:$C694)),BE195))</f>
        <v/>
      </c>
      <c r="BG195" s="5"/>
      <c r="BH195" s="73" t="n">
        <f aca="false">IF(OR(ISNUMBER(BE195),BE195="DQ",BE195="P",BE195="NS"),
    1,
    0
)</f>
        <v>0</v>
      </c>
      <c r="BI195" s="73" t="n">
        <v>188</v>
      </c>
      <c r="BJ195" s="73" t="str">
        <f aca="false">IF(ISBLANK($C195),
    "",
   BF195+ROW($B195)/1000
)</f>
        <v/>
      </c>
      <c r="BK195" s="73" t="str">
        <f aca="false">IF(ISNUMBER(BJ195), RANK(BJ195,BJ$8:BJ$507,1), "")</f>
        <v/>
      </c>
      <c r="BL195" s="73" t="str">
        <f aca="false">IF(ISBLANK($C195),
    "",
    $B195
)</f>
        <v/>
      </c>
      <c r="BM195" s="73" t="str">
        <f aca="false">IF(ISBLANK($C195),
    "",
    $C195
)</f>
        <v/>
      </c>
      <c r="BN195" s="73" t="str">
        <f aca="false">IF(ISBLANK($C195),
    "",
    $D195
)</f>
        <v/>
      </c>
      <c r="BO195" s="74" t="str">
        <f aca="false">BC195</f>
        <v/>
      </c>
      <c r="BP195" s="75" t="str">
        <f aca="false">BB195</f>
        <v/>
      </c>
      <c r="BQ195" s="73" t="str">
        <f aca="false">IF(ISBLANK($C195),
    "",
    BE195
)</f>
        <v/>
      </c>
      <c r="BR195" s="76" t="str">
        <f aca="false">IF(BI195&gt;BH$7,
    "",
    VLOOKUP(BI195,BK$8:BQ694,7,FALSE())
)</f>
        <v/>
      </c>
      <c r="BS195" s="77" t="str">
        <f aca="false">IF(BI195&gt;BH$7,
    "",
    VLOOKUP(BI195,BK$8:BQ694,2,FALSE())
)</f>
        <v/>
      </c>
      <c r="BT195" s="77" t="str">
        <f aca="false">IF(BI195&gt;BH$7,
    "",
    VLOOKUP(BI195,BK$8:BQ694,3,FALSE())
)</f>
        <v/>
      </c>
      <c r="BU195" s="77" t="str">
        <f aca="false">IF(BI195&gt;BH$7,
    "",
    VLOOKUP(BI195,BK$8:BQ694,4,FALSE())
)</f>
        <v/>
      </c>
      <c r="BV195" s="77" t="str">
        <f aca="false">IF(BI195&gt;BH$7,
    "",
    VLOOKUP(BI195,BK$8:BQ694,5,FALSE())
)</f>
        <v/>
      </c>
      <c r="BW195" s="78" t="str">
        <f aca="false">IF(BI195&gt;BH$7,
    "",
    VLOOKUP(BI195,BK$8:BQ694,6,FALSE())
)</f>
        <v/>
      </c>
      <c r="BX195" s="50"/>
    </row>
    <row r="196" customFormat="false" ht="15.75" hidden="false" customHeight="false" outlineLevel="0" collapsed="false">
      <c r="A196" s="5"/>
      <c r="B196" s="126"/>
      <c r="C196" s="52"/>
      <c r="D196" s="53"/>
      <c r="E196" s="120"/>
      <c r="F196" s="120"/>
      <c r="G196" s="55"/>
      <c r="H196" s="56"/>
      <c r="I196" s="80"/>
      <c r="J196" s="80"/>
      <c r="K196" s="80"/>
      <c r="L196" s="58"/>
      <c r="M196" s="58"/>
      <c r="N196" s="58"/>
      <c r="O196" s="59"/>
      <c r="P196" s="60"/>
      <c r="Q196" s="80"/>
      <c r="R196" s="62"/>
      <c r="S196" s="63"/>
      <c r="T196" s="63" t="str">
        <f aca="false">IF(ISBLANK($C196),"",IF(G196=Constants!$B$2, TRUE(), IF(G196=Constants!$B$3, FALSE(), TRUE())))</f>
        <v/>
      </c>
      <c r="U196" s="63" t="str">
        <f aca="false">IF(ISBLANK($C196),"",IF(H196=Constants!$B$2, TRUE(), IF(H196=Constants!$B$3, FALSE(), TRUE())))</f>
        <v/>
      </c>
      <c r="V196" s="63" t="str">
        <f aca="false">IF(ISBLANK($C196),"",IF(I196=Constants!$B$2, TRUE(), IF(I196=Constants!$B$3, FALSE(), TRUE())))</f>
        <v/>
      </c>
      <c r="W196" s="63" t="str">
        <f aca="false">IF(ISBLANK($C196),"",IF(J196=Constants!$B$2, TRUE(), IF(J196=Constants!$B$3, FALSE(), TRUE())))</f>
        <v/>
      </c>
      <c r="X196" s="63" t="str">
        <f aca="false">IF(ISBLANK($C196),"",IF(K196=Constants!$B$2, TRUE(), IF(K196=Constants!$B$3, FALSE(), TRUE())))</f>
        <v/>
      </c>
      <c r="Y196" s="65" t="str">
        <f aca="false">IF(ISBLANK($C196),"",IF(ISNUMBER(L196), L196, ""))</f>
        <v/>
      </c>
      <c r="Z196" s="65" t="str">
        <f aca="false">IF(ISBLANK($C196),"",IF(ISNUMBER(M196), M196, ""))</f>
        <v/>
      </c>
      <c r="AA196" s="65" t="str">
        <f aca="false">IF(ISBLANK($C196),"",IF(ISNUMBER(N196), N196, ""))</f>
        <v/>
      </c>
      <c r="AB196" s="66" t="str">
        <f aca="false">IF(ISBLANK($C196),"",IF(ISNUMBER(O196), O196, ""))</f>
        <v/>
      </c>
      <c r="AC196" s="66" t="str">
        <f aca="false">IF(ISBLANK($C196),"",IF(ISNUMBER(P196), P196, Constants!$B$13))</f>
        <v/>
      </c>
      <c r="AD196" s="63" t="str">
        <f aca="false">IF(ISBLANK($C196),"",IF(Q196=Constants!$B$2, TRUE(), IF(Q196=Constants!$B$3, FALSE(), FALSE())))</f>
        <v/>
      </c>
      <c r="AE196" s="63" t="str">
        <f aca="false">IF(ISBLANK(C196), "", IF(AD196, Constants!$B$4,IF(COUNTA(G196:O196)=0, Constants!$B$5, Constants!$B$7)))</f>
        <v/>
      </c>
      <c r="AF196" s="63" t="str">
        <f aca="false">IF(ISBLANK($C196), "",IF($AE196=Constants!$B$7,1,$AE196))</f>
        <v/>
      </c>
      <c r="AG196" s="63" t="str">
        <f aca="false">IF($AE196=Constants!$B$7,IF(V196, 1, Constants!$B$11) * IF(X196, 1, Constants!$B$12),"")</f>
        <v/>
      </c>
      <c r="AH196" s="63" t="str">
        <f aca="false">IF(AND($AE196=Constants!$B$7, T196, U196) ,MAX(0, $AA196-$Y196),"")</f>
        <v/>
      </c>
      <c r="AI196" s="63" t="str">
        <f aca="false">IF(ISERROR(AH196),$AI$6,"")</f>
        <v/>
      </c>
      <c r="AJ196" s="63" t="str">
        <f aca="false">IF($AE196=Constants!$B$7,IF(AND(T196,U196,W196),IF($AH$6=0,Constants!$B$9,Constants!$B$9*AH196/$AH$6), 0),"")</f>
        <v/>
      </c>
      <c r="AK196" s="63" t="str">
        <f aca="false">IF(AJ196&lt;&gt;"", AJ196*AG196,"")</f>
        <v/>
      </c>
      <c r="AL196" s="63" t="str">
        <f aca="false">IF(AND($AE196=Constants!$B$7, T196, U196) ,IF($Z196="", "", MAX(0,1-ABS($AA196-$Z196)/$AA196)),"")</f>
        <v/>
      </c>
      <c r="AM196" s="63" t="str">
        <f aca="false">IF(AND(NOT(ISERROR(AH196)),ISERROR(AL196)),$AM$6,"")</f>
        <v/>
      </c>
      <c r="AN196" s="63" t="str">
        <f aca="false">IF($AE196=Constants!$B$7 ,IF(AND(T196,U196,W196,ISNUMBER(Z196)),IF($AL$6=0,Constants!$B$10,Constants!$B$10*AL196/$AL$6), 0),"")</f>
        <v/>
      </c>
      <c r="AO196" s="63" t="str">
        <f aca="false">IF(AN196&lt;&gt;"", AN196*AG196,"")</f>
        <v/>
      </c>
      <c r="AP196" s="63" t="str">
        <f aca="false">IF($AE196=Constants!$B$7,IF($AP$6=0,Constants!$B$8,Constants!$B$8*AB196/$AP$6),"")</f>
        <v/>
      </c>
      <c r="AQ196" s="63" t="str">
        <f aca="false">IF($AE196&lt;&gt;Constants!$B$7,$AE196,AK196+AO196+AP196)</f>
        <v/>
      </c>
      <c r="AR196" s="63" t="str">
        <f aca="false">IF(ISBLANK($C196),"",IF($AE196=Constants!$B$7,RANK(AQ196,$AQ$8:$AQ$507),$AE196))</f>
        <v/>
      </c>
      <c r="AS196" s="63" t="str">
        <f aca="false">IF(ISBLANK($C196), "",AK196)</f>
        <v/>
      </c>
      <c r="AT196" s="63" t="str">
        <f aca="false">IF(ISBLANK($C196),"",IF($AE196=Constants!$B$7,RANK(AS196,AS$8:AS$507),$AE196))</f>
        <v/>
      </c>
      <c r="AU196" s="63" t="str">
        <f aca="false">IF(ISBLANK($C196), "",AP196)</f>
        <v/>
      </c>
      <c r="AV196" s="63" t="str">
        <f aca="false">IF(ISBLANK($C196),"",IF($AE196=Constants!$B$7,RANK(AU196,AU$8:AU$507),$AE196))</f>
        <v/>
      </c>
      <c r="AW196" s="63" t="str">
        <f aca="false">IF(ISBLANK($C196), "",AC196)</f>
        <v/>
      </c>
      <c r="AX196" s="63" t="str">
        <f aca="false">IF(ISBLANK($C196),"",
IF($AE196=Constants!$B$7,
  COUNTIFS($AR$8:$AR$507,"&lt;"&amp;$AR196)
  + COUNTIFS($AR$8:$AR$507,$AR196,$AT$8:$AT$507,"&lt;"&amp;$AT196)
  + COUNTIFS($AR$8:$AR$507,$AR196,$AT$8:$AT$507,$AT196,$AV$8:$AV$507,"&lt;"&amp;$AV196)
  + COUNTIFS($AR$8:$AR$507,$AR196,$AT$8:$AT$507,$AT196,$AV$8:$AV$507,$AV196,$AW$8:$AW$507,"&lt;"&amp;$AW196)
  + 1,
$AE196))</f>
        <v/>
      </c>
      <c r="AY196" s="63" t="str">
        <f aca="false">IF(ISBLANK(C196),"",IF($AE196=Constants!$B$7, AR196-AX196,$AE196))</f>
        <v/>
      </c>
      <c r="AZ196" s="67"/>
      <c r="BA196" s="81" t="str">
        <f aca="false">IF(ISBLANK($C196),"",TRIM(AI196&amp;" "&amp;AM196))</f>
        <v/>
      </c>
      <c r="BB196" s="69" t="str">
        <f aca="false">IF(ISBLANK($C196),"",IF($AE196&lt;&gt;Constants!$B$7, $AE196 ,AQ196))</f>
        <v/>
      </c>
      <c r="BC196" s="70" t="str">
        <f aca="false">IF(ISBLANK($C196),"",IF($AE196&lt;&gt;Constants!$B$7, $AE196 ,AF196))</f>
        <v/>
      </c>
      <c r="BD196" s="71" t="str">
        <f aca="false">IF(ISBLANK(C196),"",AY196)</f>
        <v/>
      </c>
      <c r="BE196" s="71" t="str">
        <f aca="false">IF(ISBLANK(C196),"",AX196)</f>
        <v/>
      </c>
      <c r="BF196" s="72" t="str">
        <f aca="false">IF(ISBLANK(C196),"",IFERROR(_xlfn.SWITCH(BE196, Constants!$B$4, COUNTA($C$8:$C695)+2, Constants!$B$5, COUNTA($C$8:$C695)+1, Constants!$B$6, COUNTA($C$8:$C695)),BE196))</f>
        <v/>
      </c>
      <c r="BG196" s="5"/>
      <c r="BH196" s="73" t="n">
        <f aca="false">IF(OR(ISNUMBER(BE196),BE196="DQ",BE196="P",BE196="NS"),
    1,
    0
)</f>
        <v>0</v>
      </c>
      <c r="BI196" s="73" t="n">
        <v>189</v>
      </c>
      <c r="BJ196" s="73" t="str">
        <f aca="false">IF(ISBLANK($C196),
    "",
   BF196+ROW($B196)/1000
)</f>
        <v/>
      </c>
      <c r="BK196" s="73" t="str">
        <f aca="false">IF(ISNUMBER(BJ196), RANK(BJ196,BJ$8:BJ$507,1), "")</f>
        <v/>
      </c>
      <c r="BL196" s="73" t="str">
        <f aca="false">IF(ISBLANK($C196),
    "",
    $B196
)</f>
        <v/>
      </c>
      <c r="BM196" s="73" t="str">
        <f aca="false">IF(ISBLANK($C196),
    "",
    $C196
)</f>
        <v/>
      </c>
      <c r="BN196" s="73" t="str">
        <f aca="false">IF(ISBLANK($C196),
    "",
    $D196
)</f>
        <v/>
      </c>
      <c r="BO196" s="74" t="str">
        <f aca="false">BC196</f>
        <v/>
      </c>
      <c r="BP196" s="75" t="str">
        <f aca="false">BB196</f>
        <v/>
      </c>
      <c r="BQ196" s="73" t="str">
        <f aca="false">IF(ISBLANK($C196),
    "",
    BE196
)</f>
        <v/>
      </c>
      <c r="BR196" s="76" t="str">
        <f aca="false">IF(BI196&gt;BH$7,
    "",
    VLOOKUP(BI196,BK$8:BQ695,7,FALSE())
)</f>
        <v/>
      </c>
      <c r="BS196" s="77" t="str">
        <f aca="false">IF(BI196&gt;BH$7,
    "",
    VLOOKUP(BI196,BK$8:BQ695,2,FALSE())
)</f>
        <v/>
      </c>
      <c r="BT196" s="77" t="str">
        <f aca="false">IF(BI196&gt;BH$7,
    "",
    VLOOKUP(BI196,BK$8:BQ695,3,FALSE())
)</f>
        <v/>
      </c>
      <c r="BU196" s="77" t="str">
        <f aca="false">IF(BI196&gt;BH$7,
    "",
    VLOOKUP(BI196,BK$8:BQ695,4,FALSE())
)</f>
        <v/>
      </c>
      <c r="BV196" s="77" t="str">
        <f aca="false">IF(BI196&gt;BH$7,
    "",
    VLOOKUP(BI196,BK$8:BQ695,5,FALSE())
)</f>
        <v/>
      </c>
      <c r="BW196" s="78" t="str">
        <f aca="false">IF(BI196&gt;BH$7,
    "",
    VLOOKUP(BI196,BK$8:BQ695,6,FALSE())
)</f>
        <v/>
      </c>
      <c r="BX196" s="50"/>
    </row>
    <row r="197" customFormat="false" ht="15.75" hidden="false" customHeight="false" outlineLevel="0" collapsed="false">
      <c r="A197" s="5"/>
      <c r="B197" s="122"/>
      <c r="C197" s="123"/>
      <c r="D197" s="112"/>
      <c r="E197" s="116"/>
      <c r="F197" s="116"/>
      <c r="G197" s="88"/>
      <c r="H197" s="89"/>
      <c r="I197" s="125"/>
      <c r="J197" s="125"/>
      <c r="K197" s="125"/>
      <c r="L197" s="91"/>
      <c r="M197" s="91"/>
      <c r="N197" s="91"/>
      <c r="O197" s="92"/>
      <c r="P197" s="93"/>
      <c r="Q197" s="125"/>
      <c r="R197" s="95"/>
      <c r="S197" s="96"/>
      <c r="T197" s="96" t="str">
        <f aca="false">IF(ISBLANK($C197),"",IF(G197=Constants!$B$2, TRUE(), IF(G197=Constants!$B$3, FALSE(), TRUE())))</f>
        <v/>
      </c>
      <c r="U197" s="96" t="str">
        <f aca="false">IF(ISBLANK($C197),"",IF(H197=Constants!$B$2, TRUE(), IF(H197=Constants!$B$3, FALSE(), TRUE())))</f>
        <v/>
      </c>
      <c r="V197" s="96" t="str">
        <f aca="false">IF(ISBLANK($C197),"",IF(I197=Constants!$B$2, TRUE(), IF(I197=Constants!$B$3, FALSE(), TRUE())))</f>
        <v/>
      </c>
      <c r="W197" s="96" t="str">
        <f aca="false">IF(ISBLANK($C197),"",IF(J197=Constants!$B$2, TRUE(), IF(J197=Constants!$B$3, FALSE(), TRUE())))</f>
        <v/>
      </c>
      <c r="X197" s="97" t="str">
        <f aca="false">IF(ISBLANK($C197),"",IF(K197=Constants!$B$2, TRUE(), IF(K197=Constants!$B$3, FALSE(), TRUE())))</f>
        <v/>
      </c>
      <c r="Y197" s="98" t="str">
        <f aca="false">IF(ISBLANK($C197),"",IF(ISNUMBER(L197), L197, ""))</f>
        <v/>
      </c>
      <c r="Z197" s="98" t="str">
        <f aca="false">IF(ISBLANK($C197),"",IF(ISNUMBER(M197), M197, ""))</f>
        <v/>
      </c>
      <c r="AA197" s="98" t="str">
        <f aca="false">IF(ISBLANK($C197),"",IF(ISNUMBER(N197), N197, ""))</f>
        <v/>
      </c>
      <c r="AB197" s="99" t="str">
        <f aca="false">IF(ISBLANK($C197),"",IF(ISNUMBER(O197), O197, ""))</f>
        <v/>
      </c>
      <c r="AC197" s="99" t="str">
        <f aca="false">IF(ISBLANK($C197),"",IF(ISNUMBER(P197), P197, Constants!$B$13))</f>
        <v/>
      </c>
      <c r="AD197" s="96" t="str">
        <f aca="false">IF(ISBLANK($C197),"",IF(Q197=Constants!$B$2, TRUE(), IF(Q197=Constants!$B$3, FALSE(), FALSE())))</f>
        <v/>
      </c>
      <c r="AE197" s="96" t="str">
        <f aca="false">IF(ISBLANK(C197), "", IF(AD197, Constants!$B$4,IF(COUNTA(G197:O197)=0, Constants!$B$5, Constants!$B$7)))</f>
        <v/>
      </c>
      <c r="AF197" s="96" t="str">
        <f aca="false">IF(ISBLANK($C197), "",IF($AE197=Constants!$B$7,1,$AE197))</f>
        <v/>
      </c>
      <c r="AG197" s="96" t="str">
        <f aca="false">IF($AE197=Constants!$B$7,IF(V197, 1, Constants!$B$11) * IF(X197, 1, Constants!$B$12),"")</f>
        <v/>
      </c>
      <c r="AH197" s="96" t="str">
        <f aca="false">IF(AND($AE197=Constants!$B$7, T197, U197) ,MAX(0, $AA197-$Y197),"")</f>
        <v/>
      </c>
      <c r="AI197" s="96" t="str">
        <f aca="false">IF(ISERROR(AH197),$AI$6,"")</f>
        <v/>
      </c>
      <c r="AJ197" s="96" t="str">
        <f aca="false">IF($AE197=Constants!$B$7,IF(AND(T197,U197,W197),IF($AH$6=0,Constants!$B$9,Constants!$B$9*AH197/$AH$6), 0),"")</f>
        <v/>
      </c>
      <c r="AK197" s="96" t="str">
        <f aca="false">IF(AJ197&lt;&gt;"", AJ197*AG197,"")</f>
        <v/>
      </c>
      <c r="AL197" s="96" t="str">
        <f aca="false">IF(AND($AE197=Constants!$B$7, T197, U197) ,IF($Z197="", "", MAX(0,1-ABS($AA197-$Z197)/$AA197)),"")</f>
        <v/>
      </c>
      <c r="AM197" s="96" t="str">
        <f aca="false">IF(AND(NOT(ISERROR(AH197)),ISERROR(AL197)),$AM$6,"")</f>
        <v/>
      </c>
      <c r="AN197" s="96" t="str">
        <f aca="false">IF($AE197=Constants!$B$7 ,IF(AND(T197,U197,W197,ISNUMBER(Z197)),IF($AL$6=0,Constants!$B$10,Constants!$B$10*AL197/$AL$6), 0),"")</f>
        <v/>
      </c>
      <c r="AO197" s="96" t="str">
        <f aca="false">IF(AN197&lt;&gt;"", AN197*AG197,"")</f>
        <v/>
      </c>
      <c r="AP197" s="96" t="str">
        <f aca="false">IF($AE197=Constants!$B$7,IF($AP$6=0,Constants!$B$8,Constants!$B$8*AB197/$AP$6),"")</f>
        <v/>
      </c>
      <c r="AQ197" s="96" t="str">
        <f aca="false">IF($AE197&lt;&gt;Constants!$B$7,$AE197,AK197+AO197+AP197)</f>
        <v/>
      </c>
      <c r="AR197" s="96" t="str">
        <f aca="false">IF(ISBLANK($C197),"",IF($AE197=Constants!$B$7,RANK(AQ197,$AQ$8:$AQ$507),$AE197))</f>
        <v/>
      </c>
      <c r="AS197" s="96" t="str">
        <f aca="false">IF(ISBLANK($C197), "",AK197)</f>
        <v/>
      </c>
      <c r="AT197" s="96" t="str">
        <f aca="false">IF(ISBLANK($C197),"",IF($AE197=Constants!$B$7,RANK(AS197,AS$8:AS$507),$AE197))</f>
        <v/>
      </c>
      <c r="AU197" s="96" t="str">
        <f aca="false">IF(ISBLANK($C197), "",AP197)</f>
        <v/>
      </c>
      <c r="AV197" s="96" t="str">
        <f aca="false">IF(ISBLANK($C197),"",IF($AE197=Constants!$B$7,RANK(AU197,AU$8:AU$507),$AE197))</f>
        <v/>
      </c>
      <c r="AW197" s="96" t="str">
        <f aca="false">IF(ISBLANK($C197), "",AC197)</f>
        <v/>
      </c>
      <c r="AX197" s="96" t="str">
        <f aca="false">IF(ISBLANK($C197),"",
IF($AE197=Constants!$B$7,
  COUNTIFS($AR$8:$AR$507,"&lt;"&amp;$AR197)
  + COUNTIFS($AR$8:$AR$507,$AR197,$AT$8:$AT$507,"&lt;"&amp;$AT197)
  + COUNTIFS($AR$8:$AR$507,$AR197,$AT$8:$AT$507,$AT197,$AV$8:$AV$507,"&lt;"&amp;$AV197)
  + COUNTIFS($AR$8:$AR$507,$AR197,$AT$8:$AT$507,$AT197,$AV$8:$AV$507,$AV197,$AW$8:$AW$507,"&lt;"&amp;$AW197)
  + 1,
$AE197))</f>
        <v/>
      </c>
      <c r="AY197" s="96" t="str">
        <f aca="false">IF(ISBLANK(C197),"",IF($AE197=Constants!$B$7, AR197-AX197,$AE197))</f>
        <v/>
      </c>
      <c r="AZ197" s="100"/>
      <c r="BA197" s="101" t="str">
        <f aca="false">IF(ISBLANK($C197),"",TRIM(AI197&amp;" "&amp;AM197))</f>
        <v/>
      </c>
      <c r="BB197" s="102" t="str">
        <f aca="false">IF(ISBLANK($C197),"",IF($AE197&lt;&gt;Constants!$B$7, $AE197 ,AQ197))</f>
        <v/>
      </c>
      <c r="BC197" s="103" t="str">
        <f aca="false">IF(ISBLANK($C197),"",IF($AE197&lt;&gt;Constants!$B$7, $AE197 ,AF197))</f>
        <v/>
      </c>
      <c r="BD197" s="104" t="str">
        <f aca="false">IF(ISBLANK(C197),"",AY197)</f>
        <v/>
      </c>
      <c r="BE197" s="104" t="str">
        <f aca="false">IF(ISBLANK(C197),"",AX197)</f>
        <v/>
      </c>
      <c r="BF197" s="105" t="str">
        <f aca="false">IF(ISBLANK(C197),"",IFERROR(_xlfn.SWITCH(BE197, Constants!$B$4, COUNTA($C$8:$C696)+2, Constants!$B$5, COUNTA($C$8:$C696)+1, Constants!$B$6, COUNTA($C$8:$C696)),BE197))</f>
        <v/>
      </c>
      <c r="BG197" s="5"/>
      <c r="BH197" s="106" t="n">
        <f aca="false">IF(OR(ISNUMBER(BE197),BE197="DQ",BE197="P",BE197="NS"),
    1,
    0
)</f>
        <v>0</v>
      </c>
      <c r="BI197" s="106" t="n">
        <v>190</v>
      </c>
      <c r="BJ197" s="106" t="str">
        <f aca="false">IF(ISBLANK($C197),
    "",
   BF197+ROW($B197)/1000
)</f>
        <v/>
      </c>
      <c r="BK197" s="106" t="str">
        <f aca="false">IF(ISNUMBER(BJ197), RANK(BJ197,BJ$8:BJ$507,1), "")</f>
        <v/>
      </c>
      <c r="BL197" s="106" t="str">
        <f aca="false">IF(ISBLANK($C197),
    "",
    $B197
)</f>
        <v/>
      </c>
      <c r="BM197" s="106" t="str">
        <f aca="false">IF(ISBLANK($C197),
    "",
    $C197
)</f>
        <v/>
      </c>
      <c r="BN197" s="106" t="str">
        <f aca="false">IF(ISBLANK($C197),
    "",
    $D197
)</f>
        <v/>
      </c>
      <c r="BO197" s="107" t="str">
        <f aca="false">BC197</f>
        <v/>
      </c>
      <c r="BP197" s="108" t="str">
        <f aca="false">BB197</f>
        <v/>
      </c>
      <c r="BQ197" s="106" t="str">
        <f aca="false">IF(ISBLANK($C197),
    "",
    BE197
)</f>
        <v/>
      </c>
      <c r="BR197" s="109" t="str">
        <f aca="false">IF(BI197&gt;BH$7,
    "",
    VLOOKUP(BI197,BK$8:BQ696,7,FALSE())
)</f>
        <v/>
      </c>
      <c r="BS197" s="110" t="str">
        <f aca="false">IF(BI197&gt;BH$7,
    "",
    VLOOKUP(BI197,BK$8:BQ696,2,FALSE())
)</f>
        <v/>
      </c>
      <c r="BT197" s="110" t="str">
        <f aca="false">IF(BI197&gt;BH$7,
    "",
    VLOOKUP(BI197,BK$8:BQ696,3,FALSE())
)</f>
        <v/>
      </c>
      <c r="BU197" s="110" t="str">
        <f aca="false">IF(BI197&gt;BH$7,
    "",
    VLOOKUP(BI197,BK$8:BQ696,4,FALSE())
)</f>
        <v/>
      </c>
      <c r="BV197" s="110" t="str">
        <f aca="false">IF(BI197&gt;BH$7,
    "",
    VLOOKUP(BI197,BK$8:BQ696,5,FALSE())
)</f>
        <v/>
      </c>
      <c r="BW197" s="111" t="str">
        <f aca="false">IF(BI197&gt;BH$7,
    "",
    VLOOKUP(BI197,BK$8:BQ696,6,FALSE())
)</f>
        <v/>
      </c>
      <c r="BX197" s="50"/>
    </row>
    <row r="198" customFormat="false" ht="15.75" hidden="false" customHeight="false" outlineLevel="0" collapsed="false">
      <c r="A198" s="5"/>
      <c r="B198" s="122"/>
      <c r="C198" s="123"/>
      <c r="D198" s="112"/>
      <c r="E198" s="116"/>
      <c r="F198" s="116"/>
      <c r="G198" s="88"/>
      <c r="H198" s="89"/>
      <c r="I198" s="125"/>
      <c r="J198" s="125"/>
      <c r="K198" s="125"/>
      <c r="L198" s="91"/>
      <c r="M198" s="91"/>
      <c r="N198" s="91"/>
      <c r="O198" s="92"/>
      <c r="P198" s="93"/>
      <c r="Q198" s="125"/>
      <c r="R198" s="95"/>
      <c r="S198" s="96"/>
      <c r="T198" s="96" t="str">
        <f aca="false">IF(ISBLANK($C198),"",IF(G198=Constants!$B$2, TRUE(), IF(G198=Constants!$B$3, FALSE(), TRUE())))</f>
        <v/>
      </c>
      <c r="U198" s="96" t="str">
        <f aca="false">IF(ISBLANK($C198),"",IF(H198=Constants!$B$2, TRUE(), IF(H198=Constants!$B$3, FALSE(), TRUE())))</f>
        <v/>
      </c>
      <c r="V198" s="96" t="str">
        <f aca="false">IF(ISBLANK($C198),"",IF(I198=Constants!$B$2, TRUE(), IF(I198=Constants!$B$3, FALSE(), TRUE())))</f>
        <v/>
      </c>
      <c r="W198" s="96" t="str">
        <f aca="false">IF(ISBLANK($C198),"",IF(J198=Constants!$B$2, TRUE(), IF(J198=Constants!$B$3, FALSE(), TRUE())))</f>
        <v/>
      </c>
      <c r="X198" s="97" t="str">
        <f aca="false">IF(ISBLANK($C198),"",IF(K198=Constants!$B$2, TRUE(), IF(K198=Constants!$B$3, FALSE(), TRUE())))</f>
        <v/>
      </c>
      <c r="Y198" s="98" t="str">
        <f aca="false">IF(ISBLANK($C198),"",IF(ISNUMBER(L198), L198, ""))</f>
        <v/>
      </c>
      <c r="Z198" s="98" t="str">
        <f aca="false">IF(ISBLANK($C198),"",IF(ISNUMBER(M198), M198, ""))</f>
        <v/>
      </c>
      <c r="AA198" s="98" t="str">
        <f aca="false">IF(ISBLANK($C198),"",IF(ISNUMBER(N198), N198, ""))</f>
        <v/>
      </c>
      <c r="AB198" s="99" t="str">
        <f aca="false">IF(ISBLANK($C198),"",IF(ISNUMBER(O198), O198, ""))</f>
        <v/>
      </c>
      <c r="AC198" s="99" t="str">
        <f aca="false">IF(ISBLANK($C198),"",IF(ISNUMBER(P198), P198, Constants!$B$13))</f>
        <v/>
      </c>
      <c r="AD198" s="96" t="str">
        <f aca="false">IF(ISBLANK($C198),"",IF(Q198=Constants!$B$2, TRUE(), IF(Q198=Constants!$B$3, FALSE(), FALSE())))</f>
        <v/>
      </c>
      <c r="AE198" s="96" t="str">
        <f aca="false">IF(ISBLANK(C198), "", IF(AD198, Constants!$B$4,IF(COUNTA(G198:O198)=0, Constants!$B$5, Constants!$B$7)))</f>
        <v/>
      </c>
      <c r="AF198" s="96" t="str">
        <f aca="false">IF(ISBLANK($C198), "",IF($AE198=Constants!$B$7,1,$AE198))</f>
        <v/>
      </c>
      <c r="AG198" s="96" t="str">
        <f aca="false">IF($AE198=Constants!$B$7,IF(V198, 1, Constants!$B$11) * IF(X198, 1, Constants!$B$12),"")</f>
        <v/>
      </c>
      <c r="AH198" s="96" t="str">
        <f aca="false">IF(AND($AE198=Constants!$B$7, T198, U198) ,MAX(0, $AA198-$Y198),"")</f>
        <v/>
      </c>
      <c r="AI198" s="96" t="str">
        <f aca="false">IF(ISERROR(AH198),$AI$6,"")</f>
        <v/>
      </c>
      <c r="AJ198" s="96" t="str">
        <f aca="false">IF($AE198=Constants!$B$7,IF(AND(T198,U198,W198),IF($AH$6=0,Constants!$B$9,Constants!$B$9*AH198/$AH$6), 0),"")</f>
        <v/>
      </c>
      <c r="AK198" s="96" t="str">
        <f aca="false">IF(AJ198&lt;&gt;"", AJ198*AG198,"")</f>
        <v/>
      </c>
      <c r="AL198" s="96" t="str">
        <f aca="false">IF(AND($AE198=Constants!$B$7, T198, U198) ,IF($Z198="", "", MAX(0,1-ABS($AA198-$Z198)/$AA198)),"")</f>
        <v/>
      </c>
      <c r="AM198" s="96" t="str">
        <f aca="false">IF(AND(NOT(ISERROR(AH198)),ISERROR(AL198)),$AM$6,"")</f>
        <v/>
      </c>
      <c r="AN198" s="96" t="str">
        <f aca="false">IF($AE198=Constants!$B$7 ,IF(AND(T198,U198,W198,ISNUMBER(Z198)),IF($AL$6=0,Constants!$B$10,Constants!$B$10*AL198/$AL$6), 0),"")</f>
        <v/>
      </c>
      <c r="AO198" s="96" t="str">
        <f aca="false">IF(AN198&lt;&gt;"", AN198*AG198,"")</f>
        <v/>
      </c>
      <c r="AP198" s="96" t="str">
        <f aca="false">IF($AE198=Constants!$B$7,IF($AP$6=0,Constants!$B$8,Constants!$B$8*AB198/$AP$6),"")</f>
        <v/>
      </c>
      <c r="AQ198" s="96" t="str">
        <f aca="false">IF($AE198&lt;&gt;Constants!$B$7,$AE198,AK198+AO198+AP198)</f>
        <v/>
      </c>
      <c r="AR198" s="96" t="str">
        <f aca="false">IF(ISBLANK($C198),"",IF($AE198=Constants!$B$7,RANK(AQ198,$AQ$8:$AQ$507),$AE198))</f>
        <v/>
      </c>
      <c r="AS198" s="96" t="str">
        <f aca="false">IF(ISBLANK($C198), "",AK198)</f>
        <v/>
      </c>
      <c r="AT198" s="96" t="str">
        <f aca="false">IF(ISBLANK($C198),"",IF($AE198=Constants!$B$7,RANK(AS198,AS$8:AS$507),$AE198))</f>
        <v/>
      </c>
      <c r="AU198" s="96" t="str">
        <f aca="false">IF(ISBLANK($C198), "",AP198)</f>
        <v/>
      </c>
      <c r="AV198" s="96" t="str">
        <f aca="false">IF(ISBLANK($C198),"",IF($AE198=Constants!$B$7,RANK(AU198,AU$8:AU$507),$AE198))</f>
        <v/>
      </c>
      <c r="AW198" s="96" t="str">
        <f aca="false">IF(ISBLANK($C198), "",AC198)</f>
        <v/>
      </c>
      <c r="AX198" s="96" t="str">
        <f aca="false">IF(ISBLANK($C198),"",
IF($AE198=Constants!$B$7,
  COUNTIFS($AR$8:$AR$507,"&lt;"&amp;$AR198)
  + COUNTIFS($AR$8:$AR$507,$AR198,$AT$8:$AT$507,"&lt;"&amp;$AT198)
  + COUNTIFS($AR$8:$AR$507,$AR198,$AT$8:$AT$507,$AT198,$AV$8:$AV$507,"&lt;"&amp;$AV198)
  + COUNTIFS($AR$8:$AR$507,$AR198,$AT$8:$AT$507,$AT198,$AV$8:$AV$507,$AV198,$AW$8:$AW$507,"&lt;"&amp;$AW198)
  + 1,
$AE198))</f>
        <v/>
      </c>
      <c r="AY198" s="96" t="str">
        <f aca="false">IF(ISBLANK(C198),"",IF($AE198=Constants!$B$7, AR198-AX198,$AE198))</f>
        <v/>
      </c>
      <c r="AZ198" s="100"/>
      <c r="BA198" s="101" t="str">
        <f aca="false">IF(ISBLANK($C198),"",TRIM(AI198&amp;" "&amp;AM198))</f>
        <v/>
      </c>
      <c r="BB198" s="102" t="str">
        <f aca="false">IF(ISBLANK($C198),"",IF($AE198&lt;&gt;Constants!$B$7, $AE198 ,AQ198))</f>
        <v/>
      </c>
      <c r="BC198" s="103" t="str">
        <f aca="false">IF(ISBLANK($C198),"",IF($AE198&lt;&gt;Constants!$B$7, $AE198 ,AF198))</f>
        <v/>
      </c>
      <c r="BD198" s="104" t="str">
        <f aca="false">IF(ISBLANK(C198),"",AY198)</f>
        <v/>
      </c>
      <c r="BE198" s="104" t="str">
        <f aca="false">IF(ISBLANK(C198),"",AX198)</f>
        <v/>
      </c>
      <c r="BF198" s="105" t="str">
        <f aca="false">IF(ISBLANK(C198),"",IFERROR(_xlfn.SWITCH(BE198, Constants!$B$4, COUNTA($C$8:$C697)+2, Constants!$B$5, COUNTA($C$8:$C697)+1, Constants!$B$6, COUNTA($C$8:$C697)),BE198))</f>
        <v/>
      </c>
      <c r="BG198" s="5"/>
      <c r="BH198" s="106" t="n">
        <f aca="false">IF(OR(ISNUMBER(BE198),BE198="DQ",BE198="P",BE198="NS"),
    1,
    0
)</f>
        <v>0</v>
      </c>
      <c r="BI198" s="106" t="n">
        <v>191</v>
      </c>
      <c r="BJ198" s="106" t="str">
        <f aca="false">IF(ISBLANK($C198),
    "",
   BF198+ROW($B198)/1000
)</f>
        <v/>
      </c>
      <c r="BK198" s="106" t="str">
        <f aca="false">IF(ISNUMBER(BJ198), RANK(BJ198,BJ$8:BJ$507,1), "")</f>
        <v/>
      </c>
      <c r="BL198" s="106" t="str">
        <f aca="false">IF(ISBLANK($C198),
    "",
    $B198
)</f>
        <v/>
      </c>
      <c r="BM198" s="106" t="str">
        <f aca="false">IF(ISBLANK($C198),
    "",
    $C198
)</f>
        <v/>
      </c>
      <c r="BN198" s="106" t="str">
        <f aca="false">IF(ISBLANK($C198),
    "",
    $D198
)</f>
        <v/>
      </c>
      <c r="BO198" s="107" t="str">
        <f aca="false">BC198</f>
        <v/>
      </c>
      <c r="BP198" s="108" t="str">
        <f aca="false">BB198</f>
        <v/>
      </c>
      <c r="BQ198" s="106" t="str">
        <f aca="false">IF(ISBLANK($C198),
    "",
    BE198
)</f>
        <v/>
      </c>
      <c r="BR198" s="109" t="str">
        <f aca="false">IF(BI198&gt;BH$7,
    "",
    VLOOKUP(BI198,BK$8:BQ697,7,FALSE())
)</f>
        <v/>
      </c>
      <c r="BS198" s="110" t="str">
        <f aca="false">IF(BI198&gt;BH$7,
    "",
    VLOOKUP(BI198,BK$8:BQ697,2,FALSE())
)</f>
        <v/>
      </c>
      <c r="BT198" s="110" t="str">
        <f aca="false">IF(BI198&gt;BH$7,
    "",
    VLOOKUP(BI198,BK$8:BQ697,3,FALSE())
)</f>
        <v/>
      </c>
      <c r="BU198" s="110" t="str">
        <f aca="false">IF(BI198&gt;BH$7,
    "",
    VLOOKUP(BI198,BK$8:BQ697,4,FALSE())
)</f>
        <v/>
      </c>
      <c r="BV198" s="110" t="str">
        <f aca="false">IF(BI198&gt;BH$7,
    "",
    VLOOKUP(BI198,BK$8:BQ697,5,FALSE())
)</f>
        <v/>
      </c>
      <c r="BW198" s="111" t="str">
        <f aca="false">IF(BI198&gt;BH$7,
    "",
    VLOOKUP(BI198,BK$8:BQ697,6,FALSE())
)</f>
        <v/>
      </c>
      <c r="BX198" s="50"/>
    </row>
    <row r="199" customFormat="false" ht="15.75" hidden="false" customHeight="false" outlineLevel="0" collapsed="false">
      <c r="A199" s="5"/>
      <c r="B199" s="122"/>
      <c r="C199" s="123"/>
      <c r="D199" s="112"/>
      <c r="E199" s="116"/>
      <c r="F199" s="116"/>
      <c r="G199" s="88"/>
      <c r="H199" s="89"/>
      <c r="I199" s="125"/>
      <c r="J199" s="125"/>
      <c r="K199" s="125"/>
      <c r="L199" s="91"/>
      <c r="M199" s="91"/>
      <c r="N199" s="91"/>
      <c r="O199" s="92"/>
      <c r="P199" s="93"/>
      <c r="Q199" s="125"/>
      <c r="R199" s="95"/>
      <c r="S199" s="96"/>
      <c r="T199" s="96" t="str">
        <f aca="false">IF(ISBLANK($C199),"",IF(G199=Constants!$B$2, TRUE(), IF(G199=Constants!$B$3, FALSE(), TRUE())))</f>
        <v/>
      </c>
      <c r="U199" s="96" t="str">
        <f aca="false">IF(ISBLANK($C199),"",IF(H199=Constants!$B$2, TRUE(), IF(H199=Constants!$B$3, FALSE(), TRUE())))</f>
        <v/>
      </c>
      <c r="V199" s="96" t="str">
        <f aca="false">IF(ISBLANK($C199),"",IF(I199=Constants!$B$2, TRUE(), IF(I199=Constants!$B$3, FALSE(), TRUE())))</f>
        <v/>
      </c>
      <c r="W199" s="96" t="str">
        <f aca="false">IF(ISBLANK($C199),"",IF(J199=Constants!$B$2, TRUE(), IF(J199=Constants!$B$3, FALSE(), TRUE())))</f>
        <v/>
      </c>
      <c r="X199" s="97" t="str">
        <f aca="false">IF(ISBLANK($C199),"",IF(K199=Constants!$B$2, TRUE(), IF(K199=Constants!$B$3, FALSE(), TRUE())))</f>
        <v/>
      </c>
      <c r="Y199" s="98" t="str">
        <f aca="false">IF(ISBLANK($C199),"",IF(ISNUMBER(L199), L199, ""))</f>
        <v/>
      </c>
      <c r="Z199" s="98" t="str">
        <f aca="false">IF(ISBLANK($C199),"",IF(ISNUMBER(M199), M199, ""))</f>
        <v/>
      </c>
      <c r="AA199" s="98" t="str">
        <f aca="false">IF(ISBLANK($C199),"",IF(ISNUMBER(N199), N199, ""))</f>
        <v/>
      </c>
      <c r="AB199" s="99" t="str">
        <f aca="false">IF(ISBLANK($C199),"",IF(ISNUMBER(O199), O199, ""))</f>
        <v/>
      </c>
      <c r="AC199" s="99" t="str">
        <f aca="false">IF(ISBLANK($C199),"",IF(ISNUMBER(P199), P199, Constants!$B$13))</f>
        <v/>
      </c>
      <c r="AD199" s="96" t="str">
        <f aca="false">IF(ISBLANK($C199),"",IF(Q199=Constants!$B$2, TRUE(), IF(Q199=Constants!$B$3, FALSE(), FALSE())))</f>
        <v/>
      </c>
      <c r="AE199" s="96" t="str">
        <f aca="false">IF(ISBLANK(C199), "", IF(AD199, Constants!$B$4,IF(COUNTA(G199:O199)=0, Constants!$B$5, Constants!$B$7)))</f>
        <v/>
      </c>
      <c r="AF199" s="96" t="str">
        <f aca="false">IF(ISBLANK($C199), "",IF($AE199=Constants!$B$7,1,$AE199))</f>
        <v/>
      </c>
      <c r="AG199" s="96" t="str">
        <f aca="false">IF($AE199=Constants!$B$7,IF(V199, 1, Constants!$B$11) * IF(X199, 1, Constants!$B$12),"")</f>
        <v/>
      </c>
      <c r="AH199" s="96" t="str">
        <f aca="false">IF(AND($AE199=Constants!$B$7, T199, U199) ,MAX(0, $AA199-$Y199),"")</f>
        <v/>
      </c>
      <c r="AI199" s="96" t="str">
        <f aca="false">IF(ISERROR(AH199),$AI$6,"")</f>
        <v/>
      </c>
      <c r="AJ199" s="96" t="str">
        <f aca="false">IF($AE199=Constants!$B$7,IF(AND(T199,U199,W199),IF($AH$6=0,Constants!$B$9,Constants!$B$9*AH199/$AH$6), 0),"")</f>
        <v/>
      </c>
      <c r="AK199" s="96" t="str">
        <f aca="false">IF(AJ199&lt;&gt;"", AJ199*AG199,"")</f>
        <v/>
      </c>
      <c r="AL199" s="96" t="str">
        <f aca="false">IF(AND($AE199=Constants!$B$7, T199, U199) ,IF($Z199="", "", MAX(0,1-ABS($AA199-$Z199)/$AA199)),"")</f>
        <v/>
      </c>
      <c r="AM199" s="96" t="str">
        <f aca="false">IF(AND(NOT(ISERROR(AH199)),ISERROR(AL199)),$AM$6,"")</f>
        <v/>
      </c>
      <c r="AN199" s="96" t="str">
        <f aca="false">IF($AE199=Constants!$B$7 ,IF(AND(T199,U199,W199,ISNUMBER(Z199)),IF($AL$6=0,Constants!$B$10,Constants!$B$10*AL199/$AL$6), 0),"")</f>
        <v/>
      </c>
      <c r="AO199" s="96" t="str">
        <f aca="false">IF(AN199&lt;&gt;"", AN199*AG199,"")</f>
        <v/>
      </c>
      <c r="AP199" s="96" t="str">
        <f aca="false">IF($AE199=Constants!$B$7,IF($AP$6=0,Constants!$B$8,Constants!$B$8*AB199/$AP$6),"")</f>
        <v/>
      </c>
      <c r="AQ199" s="96" t="str">
        <f aca="false">IF($AE199&lt;&gt;Constants!$B$7,$AE199,AK199+AO199+AP199)</f>
        <v/>
      </c>
      <c r="AR199" s="96" t="str">
        <f aca="false">IF(ISBLANK($C199),"",IF($AE199=Constants!$B$7,RANK(AQ199,$AQ$8:$AQ$507),$AE199))</f>
        <v/>
      </c>
      <c r="AS199" s="96" t="str">
        <f aca="false">IF(ISBLANK($C199), "",AK199)</f>
        <v/>
      </c>
      <c r="AT199" s="96" t="str">
        <f aca="false">IF(ISBLANK($C199),"",IF($AE199=Constants!$B$7,RANK(AS199,AS$8:AS$507),$AE199))</f>
        <v/>
      </c>
      <c r="AU199" s="96" t="str">
        <f aca="false">IF(ISBLANK($C199), "",AP199)</f>
        <v/>
      </c>
      <c r="AV199" s="96" t="str">
        <f aca="false">IF(ISBLANK($C199),"",IF($AE199=Constants!$B$7,RANK(AU199,AU$8:AU$507),$AE199))</f>
        <v/>
      </c>
      <c r="AW199" s="96" t="str">
        <f aca="false">IF(ISBLANK($C199), "",AC199)</f>
        <v/>
      </c>
      <c r="AX199" s="96" t="str">
        <f aca="false">IF(ISBLANK($C199),"",
IF($AE199=Constants!$B$7,
  COUNTIFS($AR$8:$AR$507,"&lt;"&amp;$AR199)
  + COUNTIFS($AR$8:$AR$507,$AR199,$AT$8:$AT$507,"&lt;"&amp;$AT199)
  + COUNTIFS($AR$8:$AR$507,$AR199,$AT$8:$AT$507,$AT199,$AV$8:$AV$507,"&lt;"&amp;$AV199)
  + COUNTIFS($AR$8:$AR$507,$AR199,$AT$8:$AT$507,$AT199,$AV$8:$AV$507,$AV199,$AW$8:$AW$507,"&lt;"&amp;$AW199)
  + 1,
$AE199))</f>
        <v/>
      </c>
      <c r="AY199" s="96" t="str">
        <f aca="false">IF(ISBLANK(C199),"",IF($AE199=Constants!$B$7, AR199-AX199,$AE199))</f>
        <v/>
      </c>
      <c r="AZ199" s="100"/>
      <c r="BA199" s="101" t="str">
        <f aca="false">IF(ISBLANK($C199),"",TRIM(AI199&amp;" "&amp;AM199))</f>
        <v/>
      </c>
      <c r="BB199" s="102" t="str">
        <f aca="false">IF(ISBLANK($C199),"",IF($AE199&lt;&gt;Constants!$B$7, $AE199 ,AQ199))</f>
        <v/>
      </c>
      <c r="BC199" s="103" t="str">
        <f aca="false">IF(ISBLANK($C199),"",IF($AE199&lt;&gt;Constants!$B$7, $AE199 ,AF199))</f>
        <v/>
      </c>
      <c r="BD199" s="104" t="str">
        <f aca="false">IF(ISBLANK(C199),"",AY199)</f>
        <v/>
      </c>
      <c r="BE199" s="104" t="str">
        <f aca="false">IF(ISBLANK(C199),"",AX199)</f>
        <v/>
      </c>
      <c r="BF199" s="105" t="str">
        <f aca="false">IF(ISBLANK(C199),"",IFERROR(_xlfn.SWITCH(BE199, Constants!$B$4, COUNTA($C$8:$C698)+2, Constants!$B$5, COUNTA($C$8:$C698)+1, Constants!$B$6, COUNTA($C$8:$C698)),BE199))</f>
        <v/>
      </c>
      <c r="BG199" s="5"/>
      <c r="BH199" s="106" t="n">
        <f aca="false">IF(OR(ISNUMBER(BE199),BE199="DQ",BE199="P",BE199="NS"),
    1,
    0
)</f>
        <v>0</v>
      </c>
      <c r="BI199" s="106" t="n">
        <v>192</v>
      </c>
      <c r="BJ199" s="106" t="str">
        <f aca="false">IF(ISBLANK($C199),
    "",
   BF199+ROW($B199)/1000
)</f>
        <v/>
      </c>
      <c r="BK199" s="106" t="str">
        <f aca="false">IF(ISNUMBER(BJ199), RANK(BJ199,BJ$8:BJ$507,1), "")</f>
        <v/>
      </c>
      <c r="BL199" s="106" t="str">
        <f aca="false">IF(ISBLANK($C199),
    "",
    $B199
)</f>
        <v/>
      </c>
      <c r="BM199" s="106" t="str">
        <f aca="false">IF(ISBLANK($C199),
    "",
    $C199
)</f>
        <v/>
      </c>
      <c r="BN199" s="106" t="str">
        <f aca="false">IF(ISBLANK($C199),
    "",
    $D199
)</f>
        <v/>
      </c>
      <c r="BO199" s="107" t="str">
        <f aca="false">BC199</f>
        <v/>
      </c>
      <c r="BP199" s="108" t="str">
        <f aca="false">BB199</f>
        <v/>
      </c>
      <c r="BQ199" s="106" t="str">
        <f aca="false">IF(ISBLANK($C199),
    "",
    BE199
)</f>
        <v/>
      </c>
      <c r="BR199" s="109" t="str">
        <f aca="false">IF(BI199&gt;BH$7,
    "",
    VLOOKUP(BI199,BK$8:BQ698,7,FALSE())
)</f>
        <v/>
      </c>
      <c r="BS199" s="110" t="str">
        <f aca="false">IF(BI199&gt;BH$7,
    "",
    VLOOKUP(BI199,BK$8:BQ698,2,FALSE())
)</f>
        <v/>
      </c>
      <c r="BT199" s="110" t="str">
        <f aca="false">IF(BI199&gt;BH$7,
    "",
    VLOOKUP(BI199,BK$8:BQ698,3,FALSE())
)</f>
        <v/>
      </c>
      <c r="BU199" s="110" t="str">
        <f aca="false">IF(BI199&gt;BH$7,
    "",
    VLOOKUP(BI199,BK$8:BQ698,4,FALSE())
)</f>
        <v/>
      </c>
      <c r="BV199" s="110" t="str">
        <f aca="false">IF(BI199&gt;BH$7,
    "",
    VLOOKUP(BI199,BK$8:BQ698,5,FALSE())
)</f>
        <v/>
      </c>
      <c r="BW199" s="111" t="str">
        <f aca="false">IF(BI199&gt;BH$7,
    "",
    VLOOKUP(BI199,BK$8:BQ698,6,FALSE())
)</f>
        <v/>
      </c>
      <c r="BX199" s="50"/>
    </row>
    <row r="200" customFormat="false" ht="15.75" hidden="false" customHeight="false" outlineLevel="0" collapsed="false">
      <c r="A200" s="5"/>
      <c r="B200" s="126"/>
      <c r="C200" s="52"/>
      <c r="D200" s="53"/>
      <c r="E200" s="120"/>
      <c r="F200" s="120"/>
      <c r="G200" s="55"/>
      <c r="H200" s="56"/>
      <c r="I200" s="80"/>
      <c r="J200" s="80"/>
      <c r="K200" s="80"/>
      <c r="L200" s="58"/>
      <c r="M200" s="58"/>
      <c r="N200" s="58"/>
      <c r="O200" s="59"/>
      <c r="P200" s="60"/>
      <c r="Q200" s="80"/>
      <c r="R200" s="62"/>
      <c r="S200" s="63"/>
      <c r="T200" s="63" t="str">
        <f aca="false">IF(ISBLANK($C200),"",IF(G200=Constants!$B$2, TRUE(), IF(G200=Constants!$B$3, FALSE(), TRUE())))</f>
        <v/>
      </c>
      <c r="U200" s="63" t="str">
        <f aca="false">IF(ISBLANK($C200),"",IF(H200=Constants!$B$2, TRUE(), IF(H200=Constants!$B$3, FALSE(), TRUE())))</f>
        <v/>
      </c>
      <c r="V200" s="63" t="str">
        <f aca="false">IF(ISBLANK($C200),"",IF(I200=Constants!$B$2, TRUE(), IF(I200=Constants!$B$3, FALSE(), TRUE())))</f>
        <v/>
      </c>
      <c r="W200" s="63" t="str">
        <f aca="false">IF(ISBLANK($C200),"",IF(J200=Constants!$B$2, TRUE(), IF(J200=Constants!$B$3, FALSE(), TRUE())))</f>
        <v/>
      </c>
      <c r="X200" s="63" t="str">
        <f aca="false">IF(ISBLANK($C200),"",IF(K200=Constants!$B$2, TRUE(), IF(K200=Constants!$B$3, FALSE(), TRUE())))</f>
        <v/>
      </c>
      <c r="Y200" s="65" t="str">
        <f aca="false">IF(ISBLANK($C200),"",IF(ISNUMBER(L200), L200, ""))</f>
        <v/>
      </c>
      <c r="Z200" s="65" t="str">
        <f aca="false">IF(ISBLANK($C200),"",IF(ISNUMBER(M200), M200, ""))</f>
        <v/>
      </c>
      <c r="AA200" s="65" t="str">
        <f aca="false">IF(ISBLANK($C200),"",IF(ISNUMBER(N200), N200, ""))</f>
        <v/>
      </c>
      <c r="AB200" s="66" t="str">
        <f aca="false">IF(ISBLANK($C200),"",IF(ISNUMBER(O200), O200, ""))</f>
        <v/>
      </c>
      <c r="AC200" s="66" t="str">
        <f aca="false">IF(ISBLANK($C200),"",IF(ISNUMBER(P200), P200, Constants!$B$13))</f>
        <v/>
      </c>
      <c r="AD200" s="63" t="str">
        <f aca="false">IF(ISBLANK($C200),"",IF(Q200=Constants!$B$2, TRUE(), IF(Q200=Constants!$B$3, FALSE(), FALSE())))</f>
        <v/>
      </c>
      <c r="AE200" s="63" t="str">
        <f aca="false">IF(ISBLANK(C200), "", IF(AD200, Constants!$B$4,IF(COUNTA(G200:O200)=0, Constants!$B$5, Constants!$B$7)))</f>
        <v/>
      </c>
      <c r="AF200" s="63" t="str">
        <f aca="false">IF(ISBLANK($C200), "",IF($AE200=Constants!$B$7,1,$AE200))</f>
        <v/>
      </c>
      <c r="AG200" s="63" t="str">
        <f aca="false">IF($AE200=Constants!$B$7,IF(V200, 1, Constants!$B$11) * IF(X200, 1, Constants!$B$12),"")</f>
        <v/>
      </c>
      <c r="AH200" s="63" t="str">
        <f aca="false">IF(AND($AE200=Constants!$B$7, T200, U200) ,MAX(0, $AA200-$Y200),"")</f>
        <v/>
      </c>
      <c r="AI200" s="63" t="str">
        <f aca="false">IF(ISERROR(AH200),$AI$6,"")</f>
        <v/>
      </c>
      <c r="AJ200" s="63" t="str">
        <f aca="false">IF($AE200=Constants!$B$7,IF(AND(T200,U200,W200),IF($AH$6=0,Constants!$B$9,Constants!$B$9*AH200/$AH$6), 0),"")</f>
        <v/>
      </c>
      <c r="AK200" s="63" t="str">
        <f aca="false">IF(AJ200&lt;&gt;"", AJ200*AG200,"")</f>
        <v/>
      </c>
      <c r="AL200" s="63" t="str">
        <f aca="false">IF(AND($AE200=Constants!$B$7, T200, U200) ,IF($Z200="", "", MAX(0,1-ABS($AA200-$Z200)/$AA200)),"")</f>
        <v/>
      </c>
      <c r="AM200" s="63" t="str">
        <f aca="false">IF(AND(NOT(ISERROR(AH200)),ISERROR(AL200)),$AM$6,"")</f>
        <v/>
      </c>
      <c r="AN200" s="63" t="str">
        <f aca="false">IF($AE200=Constants!$B$7 ,IF(AND(T200,U200,W200,ISNUMBER(Z200)),IF($AL$6=0,Constants!$B$10,Constants!$B$10*AL200/$AL$6), 0),"")</f>
        <v/>
      </c>
      <c r="AO200" s="63" t="str">
        <f aca="false">IF(AN200&lt;&gt;"", AN200*AG200,"")</f>
        <v/>
      </c>
      <c r="AP200" s="63" t="str">
        <f aca="false">IF($AE200=Constants!$B$7,IF($AP$6=0,Constants!$B$8,Constants!$B$8*AB200/$AP$6),"")</f>
        <v/>
      </c>
      <c r="AQ200" s="63" t="str">
        <f aca="false">IF($AE200&lt;&gt;Constants!$B$7,$AE200,AK200+AO200+AP200)</f>
        <v/>
      </c>
      <c r="AR200" s="63" t="str">
        <f aca="false">IF(ISBLANK($C200),"",IF($AE200=Constants!$B$7,RANK(AQ200,$AQ$8:$AQ$507),$AE200))</f>
        <v/>
      </c>
      <c r="AS200" s="63" t="str">
        <f aca="false">IF(ISBLANK($C200), "",AK200)</f>
        <v/>
      </c>
      <c r="AT200" s="63" t="str">
        <f aca="false">IF(ISBLANK($C200),"",IF($AE200=Constants!$B$7,RANK(AS200,AS$8:AS$507),$AE200))</f>
        <v/>
      </c>
      <c r="AU200" s="63" t="str">
        <f aca="false">IF(ISBLANK($C200), "",AP200)</f>
        <v/>
      </c>
      <c r="AV200" s="63" t="str">
        <f aca="false">IF(ISBLANK($C200),"",IF($AE200=Constants!$B$7,RANK(AU200,AU$8:AU$507),$AE200))</f>
        <v/>
      </c>
      <c r="AW200" s="63" t="str">
        <f aca="false">IF(ISBLANK($C200), "",AC200)</f>
        <v/>
      </c>
      <c r="AX200" s="63" t="str">
        <f aca="false">IF(ISBLANK($C200),"",
IF($AE200=Constants!$B$7,
  COUNTIFS($AR$8:$AR$507,"&lt;"&amp;$AR200)
  + COUNTIFS($AR$8:$AR$507,$AR200,$AT$8:$AT$507,"&lt;"&amp;$AT200)
  + COUNTIFS($AR$8:$AR$507,$AR200,$AT$8:$AT$507,$AT200,$AV$8:$AV$507,"&lt;"&amp;$AV200)
  + COUNTIFS($AR$8:$AR$507,$AR200,$AT$8:$AT$507,$AT200,$AV$8:$AV$507,$AV200,$AW$8:$AW$507,"&lt;"&amp;$AW200)
  + 1,
$AE200))</f>
        <v/>
      </c>
      <c r="AY200" s="63" t="str">
        <f aca="false">IF(ISBLANK(C200),"",IF($AE200=Constants!$B$7, AR200-AX200,$AE200))</f>
        <v/>
      </c>
      <c r="AZ200" s="67"/>
      <c r="BA200" s="81" t="str">
        <f aca="false">IF(ISBLANK($C200),"",TRIM(AI200&amp;" "&amp;AM200))</f>
        <v/>
      </c>
      <c r="BB200" s="69" t="str">
        <f aca="false">IF(ISBLANK($C200),"",IF($AE200&lt;&gt;Constants!$B$7, $AE200 ,AQ200))</f>
        <v/>
      </c>
      <c r="BC200" s="70" t="str">
        <f aca="false">IF(ISBLANK($C200),"",IF($AE200&lt;&gt;Constants!$B$7, $AE200 ,AF200))</f>
        <v/>
      </c>
      <c r="BD200" s="71" t="str">
        <f aca="false">IF(ISBLANK(C200),"",AY200)</f>
        <v/>
      </c>
      <c r="BE200" s="71" t="str">
        <f aca="false">IF(ISBLANK(C200),"",AX200)</f>
        <v/>
      </c>
      <c r="BF200" s="72" t="str">
        <f aca="false">IF(ISBLANK(C200),"",IFERROR(_xlfn.SWITCH(BE200, Constants!$B$4, COUNTA($C$8:$C699)+2, Constants!$B$5, COUNTA($C$8:$C699)+1, Constants!$B$6, COUNTA($C$8:$C699)),BE200))</f>
        <v/>
      </c>
      <c r="BG200" s="5"/>
      <c r="BH200" s="73" t="n">
        <f aca="false">IF(OR(ISNUMBER(BE200),BE200="DQ",BE200="P",BE200="NS"),
    1,
    0
)</f>
        <v>0</v>
      </c>
      <c r="BI200" s="73" t="n">
        <v>193</v>
      </c>
      <c r="BJ200" s="73" t="str">
        <f aca="false">IF(ISBLANK($C200),
    "",
   BF200+ROW($B200)/1000
)</f>
        <v/>
      </c>
      <c r="BK200" s="73" t="str">
        <f aca="false">IF(ISNUMBER(BJ200), RANK(BJ200,BJ$8:BJ$507,1), "")</f>
        <v/>
      </c>
      <c r="BL200" s="73" t="str">
        <f aca="false">IF(ISBLANK($C200),
    "",
    $B200
)</f>
        <v/>
      </c>
      <c r="BM200" s="73" t="str">
        <f aca="false">IF(ISBLANK($C200),
    "",
    $C200
)</f>
        <v/>
      </c>
      <c r="BN200" s="73" t="str">
        <f aca="false">IF(ISBLANK($C200),
    "",
    $D200
)</f>
        <v/>
      </c>
      <c r="BO200" s="74" t="str">
        <f aca="false">BC200</f>
        <v/>
      </c>
      <c r="BP200" s="75" t="str">
        <f aca="false">BB200</f>
        <v/>
      </c>
      <c r="BQ200" s="73" t="str">
        <f aca="false">IF(ISBLANK($C200),
    "",
    BE200
)</f>
        <v/>
      </c>
      <c r="BR200" s="76" t="str">
        <f aca="false">IF(BI200&gt;BH$7,
    "",
    VLOOKUP(BI200,BK$8:BQ699,7,FALSE())
)</f>
        <v/>
      </c>
      <c r="BS200" s="77" t="str">
        <f aca="false">IF(BI200&gt;BH$7,
    "",
    VLOOKUP(BI200,BK$8:BQ699,2,FALSE())
)</f>
        <v/>
      </c>
      <c r="BT200" s="77" t="str">
        <f aca="false">IF(BI200&gt;BH$7,
    "",
    VLOOKUP(BI200,BK$8:BQ699,3,FALSE())
)</f>
        <v/>
      </c>
      <c r="BU200" s="77" t="str">
        <f aca="false">IF(BI200&gt;BH$7,
    "",
    VLOOKUP(BI200,BK$8:BQ699,4,FALSE())
)</f>
        <v/>
      </c>
      <c r="BV200" s="77" t="str">
        <f aca="false">IF(BI200&gt;BH$7,
    "",
    VLOOKUP(BI200,BK$8:BQ699,5,FALSE())
)</f>
        <v/>
      </c>
      <c r="BW200" s="78" t="str">
        <f aca="false">IF(BI200&gt;BH$7,
    "",
    VLOOKUP(BI200,BK$8:BQ699,6,FALSE())
)</f>
        <v/>
      </c>
      <c r="BX200" s="50"/>
    </row>
    <row r="201" customFormat="false" ht="15.75" hidden="false" customHeight="false" outlineLevel="0" collapsed="false">
      <c r="A201" s="5"/>
      <c r="B201" s="126"/>
      <c r="C201" s="52"/>
      <c r="D201" s="53"/>
      <c r="E201" s="120"/>
      <c r="F201" s="120"/>
      <c r="G201" s="55"/>
      <c r="H201" s="56"/>
      <c r="I201" s="80"/>
      <c r="J201" s="80"/>
      <c r="K201" s="80"/>
      <c r="L201" s="58"/>
      <c r="M201" s="58"/>
      <c r="N201" s="58"/>
      <c r="O201" s="59"/>
      <c r="P201" s="60"/>
      <c r="Q201" s="80"/>
      <c r="R201" s="62"/>
      <c r="S201" s="63"/>
      <c r="T201" s="63" t="str">
        <f aca="false">IF(ISBLANK($C201),"",IF(G201=Constants!$B$2, TRUE(), IF(G201=Constants!$B$3, FALSE(), TRUE())))</f>
        <v/>
      </c>
      <c r="U201" s="63" t="str">
        <f aca="false">IF(ISBLANK($C201),"",IF(H201=Constants!$B$2, TRUE(), IF(H201=Constants!$B$3, FALSE(), TRUE())))</f>
        <v/>
      </c>
      <c r="V201" s="63" t="str">
        <f aca="false">IF(ISBLANK($C201),"",IF(I201=Constants!$B$2, TRUE(), IF(I201=Constants!$B$3, FALSE(), TRUE())))</f>
        <v/>
      </c>
      <c r="W201" s="63" t="str">
        <f aca="false">IF(ISBLANK($C201),"",IF(J201=Constants!$B$2, TRUE(), IF(J201=Constants!$B$3, FALSE(), TRUE())))</f>
        <v/>
      </c>
      <c r="X201" s="63" t="str">
        <f aca="false">IF(ISBLANK($C201),"",IF(K201=Constants!$B$2, TRUE(), IF(K201=Constants!$B$3, FALSE(), TRUE())))</f>
        <v/>
      </c>
      <c r="Y201" s="65" t="str">
        <f aca="false">IF(ISBLANK($C201),"",IF(ISNUMBER(L201), L201, ""))</f>
        <v/>
      </c>
      <c r="Z201" s="65" t="str">
        <f aca="false">IF(ISBLANK($C201),"",IF(ISNUMBER(M201), M201, ""))</f>
        <v/>
      </c>
      <c r="AA201" s="65" t="str">
        <f aca="false">IF(ISBLANK($C201),"",IF(ISNUMBER(N201), N201, ""))</f>
        <v/>
      </c>
      <c r="AB201" s="66" t="str">
        <f aca="false">IF(ISBLANK($C201),"",IF(ISNUMBER(O201), O201, ""))</f>
        <v/>
      </c>
      <c r="AC201" s="66" t="str">
        <f aca="false">IF(ISBLANK($C201),"",IF(ISNUMBER(P201), P201, Constants!$B$13))</f>
        <v/>
      </c>
      <c r="AD201" s="63" t="str">
        <f aca="false">IF(ISBLANK($C201),"",IF(Q201=Constants!$B$2, TRUE(), IF(Q201=Constants!$B$3, FALSE(), FALSE())))</f>
        <v/>
      </c>
      <c r="AE201" s="63" t="str">
        <f aca="false">IF(ISBLANK(C201), "", IF(AD201, Constants!$B$4,IF(COUNTA(G201:O201)=0, Constants!$B$5, Constants!$B$7)))</f>
        <v/>
      </c>
      <c r="AF201" s="63" t="str">
        <f aca="false">IF(ISBLANK($C201), "",IF($AE201=Constants!$B$7,1,$AE201))</f>
        <v/>
      </c>
      <c r="AG201" s="63" t="str">
        <f aca="false">IF($AE201=Constants!$B$7,IF(V201, 1, Constants!$B$11) * IF(X201, 1, Constants!$B$12),"")</f>
        <v/>
      </c>
      <c r="AH201" s="63" t="str">
        <f aca="false">IF(AND($AE201=Constants!$B$7, T201, U201) ,MAX(0, $AA201-$Y201),"")</f>
        <v/>
      </c>
      <c r="AI201" s="63" t="str">
        <f aca="false">IF(ISERROR(AH201),$AI$6,"")</f>
        <v/>
      </c>
      <c r="AJ201" s="63" t="str">
        <f aca="false">IF($AE201=Constants!$B$7,IF(AND(T201,U201,W201),IF($AH$6=0,Constants!$B$9,Constants!$B$9*AH201/$AH$6), 0),"")</f>
        <v/>
      </c>
      <c r="AK201" s="63" t="str">
        <f aca="false">IF(AJ201&lt;&gt;"", AJ201*AG201,"")</f>
        <v/>
      </c>
      <c r="AL201" s="63" t="str">
        <f aca="false">IF(AND($AE201=Constants!$B$7, T201, U201) ,IF($Z201="", "", MAX(0,1-ABS($AA201-$Z201)/$AA201)),"")</f>
        <v/>
      </c>
      <c r="AM201" s="63" t="str">
        <f aca="false">IF(AND(NOT(ISERROR(AH201)),ISERROR(AL201)),$AM$6,"")</f>
        <v/>
      </c>
      <c r="AN201" s="63" t="str">
        <f aca="false">IF($AE201=Constants!$B$7 ,IF(AND(T201,U201,W201,ISNUMBER(Z201)),IF($AL$6=0,Constants!$B$10,Constants!$B$10*AL201/$AL$6), 0),"")</f>
        <v/>
      </c>
      <c r="AO201" s="63" t="str">
        <f aca="false">IF(AN201&lt;&gt;"", AN201*AG201,"")</f>
        <v/>
      </c>
      <c r="AP201" s="63" t="str">
        <f aca="false">IF($AE201=Constants!$B$7,IF($AP$6=0,Constants!$B$8,Constants!$B$8*AB201/$AP$6),"")</f>
        <v/>
      </c>
      <c r="AQ201" s="63" t="str">
        <f aca="false">IF($AE201&lt;&gt;Constants!$B$7,$AE201,AK201+AO201+AP201)</f>
        <v/>
      </c>
      <c r="AR201" s="63" t="str">
        <f aca="false">IF(ISBLANK($C201),"",IF($AE201=Constants!$B$7,RANK(AQ201,$AQ$8:$AQ$507),$AE201))</f>
        <v/>
      </c>
      <c r="AS201" s="63" t="str">
        <f aca="false">IF(ISBLANK($C201), "",AK201)</f>
        <v/>
      </c>
      <c r="AT201" s="63" t="str">
        <f aca="false">IF(ISBLANK($C201),"",IF($AE201=Constants!$B$7,RANK(AS201,AS$8:AS$507),$AE201))</f>
        <v/>
      </c>
      <c r="AU201" s="63" t="str">
        <f aca="false">IF(ISBLANK($C201), "",AP201)</f>
        <v/>
      </c>
      <c r="AV201" s="63" t="str">
        <f aca="false">IF(ISBLANK($C201),"",IF($AE201=Constants!$B$7,RANK(AU201,AU$8:AU$507),$AE201))</f>
        <v/>
      </c>
      <c r="AW201" s="63" t="str">
        <f aca="false">IF(ISBLANK($C201), "",AC201)</f>
        <v/>
      </c>
      <c r="AX201" s="63" t="str">
        <f aca="false">IF(ISBLANK($C201),"",
IF($AE201=Constants!$B$7,
  COUNTIFS($AR$8:$AR$507,"&lt;"&amp;$AR201)
  + COUNTIFS($AR$8:$AR$507,$AR201,$AT$8:$AT$507,"&lt;"&amp;$AT201)
  + COUNTIFS($AR$8:$AR$507,$AR201,$AT$8:$AT$507,$AT201,$AV$8:$AV$507,"&lt;"&amp;$AV201)
  + COUNTIFS($AR$8:$AR$507,$AR201,$AT$8:$AT$507,$AT201,$AV$8:$AV$507,$AV201,$AW$8:$AW$507,"&lt;"&amp;$AW201)
  + 1,
$AE201))</f>
        <v/>
      </c>
      <c r="AY201" s="63" t="str">
        <f aca="false">IF(ISBLANK(C201),"",IF($AE201=Constants!$B$7, AR201-AX201,$AE201))</f>
        <v/>
      </c>
      <c r="AZ201" s="67"/>
      <c r="BA201" s="81" t="str">
        <f aca="false">IF(ISBLANK($C201),"",TRIM(AI201&amp;" "&amp;AM201))</f>
        <v/>
      </c>
      <c r="BB201" s="69" t="str">
        <f aca="false">IF(ISBLANK($C201),"",IF($AE201&lt;&gt;Constants!$B$7, $AE201 ,AQ201))</f>
        <v/>
      </c>
      <c r="BC201" s="70" t="str">
        <f aca="false">IF(ISBLANK($C201),"",IF($AE201&lt;&gt;Constants!$B$7, $AE201 ,AF201))</f>
        <v/>
      </c>
      <c r="BD201" s="71" t="str">
        <f aca="false">IF(ISBLANK(C201),"",AY201)</f>
        <v/>
      </c>
      <c r="BE201" s="71" t="str">
        <f aca="false">IF(ISBLANK(C201),"",AX201)</f>
        <v/>
      </c>
      <c r="BF201" s="72" t="str">
        <f aca="false">IF(ISBLANK(C201),"",IFERROR(_xlfn.SWITCH(BE201, Constants!$B$4, COUNTA($C$8:$C700)+2, Constants!$B$5, COUNTA($C$8:$C700)+1, Constants!$B$6, COUNTA($C$8:$C700)),BE201))</f>
        <v/>
      </c>
      <c r="BG201" s="5"/>
      <c r="BH201" s="73" t="n">
        <f aca="false">IF(OR(ISNUMBER(BE201),BE201="DQ",BE201="P",BE201="NS"),
    1,
    0
)</f>
        <v>0</v>
      </c>
      <c r="BI201" s="73" t="n">
        <v>194</v>
      </c>
      <c r="BJ201" s="73" t="str">
        <f aca="false">IF(ISBLANK($C201),
    "",
   BF201+ROW($B201)/1000
)</f>
        <v/>
      </c>
      <c r="BK201" s="73" t="str">
        <f aca="false">IF(ISNUMBER(BJ201), RANK(BJ201,BJ$8:BJ$507,1), "")</f>
        <v/>
      </c>
      <c r="BL201" s="73" t="str">
        <f aca="false">IF(ISBLANK($C201),
    "",
    $B201
)</f>
        <v/>
      </c>
      <c r="BM201" s="73" t="str">
        <f aca="false">IF(ISBLANK($C201),
    "",
    $C201
)</f>
        <v/>
      </c>
      <c r="BN201" s="73" t="str">
        <f aca="false">IF(ISBLANK($C201),
    "",
    $D201
)</f>
        <v/>
      </c>
      <c r="BO201" s="74" t="str">
        <f aca="false">BC201</f>
        <v/>
      </c>
      <c r="BP201" s="75" t="str">
        <f aca="false">BB201</f>
        <v/>
      </c>
      <c r="BQ201" s="73" t="str">
        <f aca="false">IF(ISBLANK($C201),
    "",
    BE201
)</f>
        <v/>
      </c>
      <c r="BR201" s="76" t="str">
        <f aca="false">IF(BI201&gt;BH$7,
    "",
    VLOOKUP(BI201,BK$8:BQ700,7,FALSE())
)</f>
        <v/>
      </c>
      <c r="BS201" s="77" t="str">
        <f aca="false">IF(BI201&gt;BH$7,
    "",
    VLOOKUP(BI201,BK$8:BQ700,2,FALSE())
)</f>
        <v/>
      </c>
      <c r="BT201" s="77" t="str">
        <f aca="false">IF(BI201&gt;BH$7,
    "",
    VLOOKUP(BI201,BK$8:BQ700,3,FALSE())
)</f>
        <v/>
      </c>
      <c r="BU201" s="77" t="str">
        <f aca="false">IF(BI201&gt;BH$7,
    "",
    VLOOKUP(BI201,BK$8:BQ700,4,FALSE())
)</f>
        <v/>
      </c>
      <c r="BV201" s="77" t="str">
        <f aca="false">IF(BI201&gt;BH$7,
    "",
    VLOOKUP(BI201,BK$8:BQ700,5,FALSE())
)</f>
        <v/>
      </c>
      <c r="BW201" s="78" t="str">
        <f aca="false">IF(BI201&gt;BH$7,
    "",
    VLOOKUP(BI201,BK$8:BQ700,6,FALSE())
)</f>
        <v/>
      </c>
      <c r="BX201" s="50"/>
    </row>
    <row r="202" customFormat="false" ht="15.75" hidden="false" customHeight="false" outlineLevel="0" collapsed="false">
      <c r="A202" s="5"/>
      <c r="B202" s="126"/>
      <c r="C202" s="52"/>
      <c r="D202" s="53"/>
      <c r="E202" s="120"/>
      <c r="F202" s="120"/>
      <c r="G202" s="55"/>
      <c r="H202" s="56"/>
      <c r="I202" s="80"/>
      <c r="J202" s="80"/>
      <c r="K202" s="80"/>
      <c r="L202" s="58"/>
      <c r="M202" s="58"/>
      <c r="N202" s="58"/>
      <c r="O202" s="59"/>
      <c r="P202" s="60"/>
      <c r="Q202" s="80"/>
      <c r="R202" s="62"/>
      <c r="S202" s="63"/>
      <c r="T202" s="63" t="str">
        <f aca="false">IF(ISBLANK($C202),"",IF(G202=Constants!$B$2, TRUE(), IF(G202=Constants!$B$3, FALSE(), TRUE())))</f>
        <v/>
      </c>
      <c r="U202" s="63" t="str">
        <f aca="false">IF(ISBLANK($C202),"",IF(H202=Constants!$B$2, TRUE(), IF(H202=Constants!$B$3, FALSE(), TRUE())))</f>
        <v/>
      </c>
      <c r="V202" s="63" t="str">
        <f aca="false">IF(ISBLANK($C202),"",IF(I202=Constants!$B$2, TRUE(), IF(I202=Constants!$B$3, FALSE(), TRUE())))</f>
        <v/>
      </c>
      <c r="W202" s="63" t="str">
        <f aca="false">IF(ISBLANK($C202),"",IF(J202=Constants!$B$2, TRUE(), IF(J202=Constants!$B$3, FALSE(), TRUE())))</f>
        <v/>
      </c>
      <c r="X202" s="63" t="str">
        <f aca="false">IF(ISBLANK($C202),"",IF(K202=Constants!$B$2, TRUE(), IF(K202=Constants!$B$3, FALSE(), TRUE())))</f>
        <v/>
      </c>
      <c r="Y202" s="65" t="str">
        <f aca="false">IF(ISBLANK($C202),"",IF(ISNUMBER(L202), L202, ""))</f>
        <v/>
      </c>
      <c r="Z202" s="65" t="str">
        <f aca="false">IF(ISBLANK($C202),"",IF(ISNUMBER(M202), M202, ""))</f>
        <v/>
      </c>
      <c r="AA202" s="65" t="str">
        <f aca="false">IF(ISBLANK($C202),"",IF(ISNUMBER(N202), N202, ""))</f>
        <v/>
      </c>
      <c r="AB202" s="66" t="str">
        <f aca="false">IF(ISBLANK($C202),"",IF(ISNUMBER(O202), O202, ""))</f>
        <v/>
      </c>
      <c r="AC202" s="66" t="str">
        <f aca="false">IF(ISBLANK($C202),"",IF(ISNUMBER(P202), P202, Constants!$B$13))</f>
        <v/>
      </c>
      <c r="AD202" s="63" t="str">
        <f aca="false">IF(ISBLANK($C202),"",IF(Q202=Constants!$B$2, TRUE(), IF(Q202=Constants!$B$3, FALSE(), FALSE())))</f>
        <v/>
      </c>
      <c r="AE202" s="63" t="str">
        <f aca="false">IF(ISBLANK(C202), "", IF(AD202, Constants!$B$4,IF(COUNTA(G202:O202)=0, Constants!$B$5, Constants!$B$7)))</f>
        <v/>
      </c>
      <c r="AF202" s="63" t="str">
        <f aca="false">IF(ISBLANK($C202), "",IF($AE202=Constants!$B$7,1,$AE202))</f>
        <v/>
      </c>
      <c r="AG202" s="63" t="str">
        <f aca="false">IF($AE202=Constants!$B$7,IF(V202, 1, Constants!$B$11) * IF(X202, 1, Constants!$B$12),"")</f>
        <v/>
      </c>
      <c r="AH202" s="63" t="str">
        <f aca="false">IF(AND($AE202=Constants!$B$7, T202, U202) ,MAX(0, $AA202-$Y202),"")</f>
        <v/>
      </c>
      <c r="AI202" s="63" t="str">
        <f aca="false">IF(ISERROR(AH202),$AI$6,"")</f>
        <v/>
      </c>
      <c r="AJ202" s="63" t="str">
        <f aca="false">IF($AE202=Constants!$B$7,IF(AND(T202,U202,W202),IF($AH$6=0,Constants!$B$9,Constants!$B$9*AH202/$AH$6), 0),"")</f>
        <v/>
      </c>
      <c r="AK202" s="63" t="str">
        <f aca="false">IF(AJ202&lt;&gt;"", AJ202*AG202,"")</f>
        <v/>
      </c>
      <c r="AL202" s="63" t="str">
        <f aca="false">IF(AND($AE202=Constants!$B$7, T202, U202) ,IF($Z202="", "", MAX(0,1-ABS($AA202-$Z202)/$AA202)),"")</f>
        <v/>
      </c>
      <c r="AM202" s="63" t="str">
        <f aca="false">IF(AND(NOT(ISERROR(AH202)),ISERROR(AL202)),$AM$6,"")</f>
        <v/>
      </c>
      <c r="AN202" s="63" t="str">
        <f aca="false">IF($AE202=Constants!$B$7 ,IF(AND(T202,U202,W202,ISNUMBER(Z202)),IF($AL$6=0,Constants!$B$10,Constants!$B$10*AL202/$AL$6), 0),"")</f>
        <v/>
      </c>
      <c r="AO202" s="63" t="str">
        <f aca="false">IF(AN202&lt;&gt;"", AN202*AG202,"")</f>
        <v/>
      </c>
      <c r="AP202" s="63" t="str">
        <f aca="false">IF($AE202=Constants!$B$7,IF($AP$6=0,Constants!$B$8,Constants!$B$8*AB202/$AP$6),"")</f>
        <v/>
      </c>
      <c r="AQ202" s="63" t="str">
        <f aca="false">IF($AE202&lt;&gt;Constants!$B$7,$AE202,AK202+AO202+AP202)</f>
        <v/>
      </c>
      <c r="AR202" s="63" t="str">
        <f aca="false">IF(ISBLANK($C202),"",IF($AE202=Constants!$B$7,RANK(AQ202,$AQ$8:$AQ$507),$AE202))</f>
        <v/>
      </c>
      <c r="AS202" s="63" t="str">
        <f aca="false">IF(ISBLANK($C202), "",AK202)</f>
        <v/>
      </c>
      <c r="AT202" s="63" t="str">
        <f aca="false">IF(ISBLANK($C202),"",IF($AE202=Constants!$B$7,RANK(AS202,AS$8:AS$507),$AE202))</f>
        <v/>
      </c>
      <c r="AU202" s="63" t="str">
        <f aca="false">IF(ISBLANK($C202), "",AP202)</f>
        <v/>
      </c>
      <c r="AV202" s="63" t="str">
        <f aca="false">IF(ISBLANK($C202),"",IF($AE202=Constants!$B$7,RANK(AU202,AU$8:AU$507),$AE202))</f>
        <v/>
      </c>
      <c r="AW202" s="63" t="str">
        <f aca="false">IF(ISBLANK($C202), "",AC202)</f>
        <v/>
      </c>
      <c r="AX202" s="63" t="str">
        <f aca="false">IF(ISBLANK($C202),"",
IF($AE202=Constants!$B$7,
  COUNTIFS($AR$8:$AR$507,"&lt;"&amp;$AR202)
  + COUNTIFS($AR$8:$AR$507,$AR202,$AT$8:$AT$507,"&lt;"&amp;$AT202)
  + COUNTIFS($AR$8:$AR$507,$AR202,$AT$8:$AT$507,$AT202,$AV$8:$AV$507,"&lt;"&amp;$AV202)
  + COUNTIFS($AR$8:$AR$507,$AR202,$AT$8:$AT$507,$AT202,$AV$8:$AV$507,$AV202,$AW$8:$AW$507,"&lt;"&amp;$AW202)
  + 1,
$AE202))</f>
        <v/>
      </c>
      <c r="AY202" s="63" t="str">
        <f aca="false">IF(ISBLANK(C202),"",IF($AE202=Constants!$B$7, AR202-AX202,$AE202))</f>
        <v/>
      </c>
      <c r="AZ202" s="67"/>
      <c r="BA202" s="81" t="str">
        <f aca="false">IF(ISBLANK($C202),"",TRIM(AI202&amp;" "&amp;AM202))</f>
        <v/>
      </c>
      <c r="BB202" s="69" t="str">
        <f aca="false">IF(ISBLANK($C202),"",IF($AE202&lt;&gt;Constants!$B$7, $AE202 ,AQ202))</f>
        <v/>
      </c>
      <c r="BC202" s="70" t="str">
        <f aca="false">IF(ISBLANK($C202),"",IF($AE202&lt;&gt;Constants!$B$7, $AE202 ,AF202))</f>
        <v/>
      </c>
      <c r="BD202" s="71" t="str">
        <f aca="false">IF(ISBLANK(C202),"",AY202)</f>
        <v/>
      </c>
      <c r="BE202" s="71" t="str">
        <f aca="false">IF(ISBLANK(C202),"",AX202)</f>
        <v/>
      </c>
      <c r="BF202" s="72" t="str">
        <f aca="false">IF(ISBLANK(C202),"",IFERROR(_xlfn.SWITCH(BE202, Constants!$B$4, COUNTA($C$8:$C701)+2, Constants!$B$5, COUNTA($C$8:$C701)+1, Constants!$B$6, COUNTA($C$8:$C701)),BE202))</f>
        <v/>
      </c>
      <c r="BG202" s="5"/>
      <c r="BH202" s="73" t="n">
        <f aca="false">IF(OR(ISNUMBER(BE202),BE202="DQ",BE202="P",BE202="NS"),
    1,
    0
)</f>
        <v>0</v>
      </c>
      <c r="BI202" s="73" t="n">
        <v>195</v>
      </c>
      <c r="BJ202" s="73" t="str">
        <f aca="false">IF(ISBLANK($C202),
    "",
   BF202+ROW($B202)/1000
)</f>
        <v/>
      </c>
      <c r="BK202" s="73" t="str">
        <f aca="false">IF(ISNUMBER(BJ202), RANK(BJ202,BJ$8:BJ$507,1), "")</f>
        <v/>
      </c>
      <c r="BL202" s="73" t="str">
        <f aca="false">IF(ISBLANK($C202),
    "",
    $B202
)</f>
        <v/>
      </c>
      <c r="BM202" s="73" t="str">
        <f aca="false">IF(ISBLANK($C202),
    "",
    $C202
)</f>
        <v/>
      </c>
      <c r="BN202" s="73" t="str">
        <f aca="false">IF(ISBLANK($C202),
    "",
    $D202
)</f>
        <v/>
      </c>
      <c r="BO202" s="74" t="str">
        <f aca="false">BC202</f>
        <v/>
      </c>
      <c r="BP202" s="75" t="str">
        <f aca="false">BB202</f>
        <v/>
      </c>
      <c r="BQ202" s="73" t="str">
        <f aca="false">IF(ISBLANK($C202),
    "",
    BE202
)</f>
        <v/>
      </c>
      <c r="BR202" s="76" t="str">
        <f aca="false">IF(BI202&gt;BH$7,
    "",
    VLOOKUP(BI202,BK$8:BQ701,7,FALSE())
)</f>
        <v/>
      </c>
      <c r="BS202" s="77" t="str">
        <f aca="false">IF(BI202&gt;BH$7,
    "",
    VLOOKUP(BI202,BK$8:BQ701,2,FALSE())
)</f>
        <v/>
      </c>
      <c r="BT202" s="77" t="str">
        <f aca="false">IF(BI202&gt;BH$7,
    "",
    VLOOKUP(BI202,BK$8:BQ701,3,FALSE())
)</f>
        <v/>
      </c>
      <c r="BU202" s="77" t="str">
        <f aca="false">IF(BI202&gt;BH$7,
    "",
    VLOOKUP(BI202,BK$8:BQ701,4,FALSE())
)</f>
        <v/>
      </c>
      <c r="BV202" s="77" t="str">
        <f aca="false">IF(BI202&gt;BH$7,
    "",
    VLOOKUP(BI202,BK$8:BQ701,5,FALSE())
)</f>
        <v/>
      </c>
      <c r="BW202" s="78" t="str">
        <f aca="false">IF(BI202&gt;BH$7,
    "",
    VLOOKUP(BI202,BK$8:BQ701,6,FALSE())
)</f>
        <v/>
      </c>
      <c r="BX202" s="50"/>
    </row>
    <row r="203" customFormat="false" ht="15.75" hidden="false" customHeight="false" outlineLevel="0" collapsed="false">
      <c r="A203" s="5"/>
      <c r="B203" s="122"/>
      <c r="C203" s="123"/>
      <c r="D203" s="112"/>
      <c r="E203" s="116"/>
      <c r="F203" s="116"/>
      <c r="G203" s="88"/>
      <c r="H203" s="89"/>
      <c r="I203" s="125"/>
      <c r="J203" s="125"/>
      <c r="K203" s="125"/>
      <c r="L203" s="91"/>
      <c r="M203" s="91"/>
      <c r="N203" s="91"/>
      <c r="O203" s="92"/>
      <c r="P203" s="93"/>
      <c r="Q203" s="125"/>
      <c r="R203" s="95"/>
      <c r="S203" s="96"/>
      <c r="T203" s="96" t="str">
        <f aca="false">IF(ISBLANK($C203),"",IF(G203=Constants!$B$2, TRUE(), IF(G203=Constants!$B$3, FALSE(), TRUE())))</f>
        <v/>
      </c>
      <c r="U203" s="96" t="str">
        <f aca="false">IF(ISBLANK($C203),"",IF(H203=Constants!$B$2, TRUE(), IF(H203=Constants!$B$3, FALSE(), TRUE())))</f>
        <v/>
      </c>
      <c r="V203" s="96" t="str">
        <f aca="false">IF(ISBLANK($C203),"",IF(I203=Constants!$B$2, TRUE(), IF(I203=Constants!$B$3, FALSE(), TRUE())))</f>
        <v/>
      </c>
      <c r="W203" s="96" t="str">
        <f aca="false">IF(ISBLANK($C203),"",IF(J203=Constants!$B$2, TRUE(), IF(J203=Constants!$B$3, FALSE(), TRUE())))</f>
        <v/>
      </c>
      <c r="X203" s="97" t="str">
        <f aca="false">IF(ISBLANK($C203),"",IF(K203=Constants!$B$2, TRUE(), IF(K203=Constants!$B$3, FALSE(), TRUE())))</f>
        <v/>
      </c>
      <c r="Y203" s="98" t="str">
        <f aca="false">IF(ISBLANK($C203),"",IF(ISNUMBER(L203), L203, ""))</f>
        <v/>
      </c>
      <c r="Z203" s="98" t="str">
        <f aca="false">IF(ISBLANK($C203),"",IF(ISNUMBER(M203), M203, ""))</f>
        <v/>
      </c>
      <c r="AA203" s="98" t="str">
        <f aca="false">IF(ISBLANK($C203),"",IF(ISNUMBER(N203), N203, ""))</f>
        <v/>
      </c>
      <c r="AB203" s="99" t="str">
        <f aca="false">IF(ISBLANK($C203),"",IF(ISNUMBER(O203), O203, ""))</f>
        <v/>
      </c>
      <c r="AC203" s="99" t="str">
        <f aca="false">IF(ISBLANK($C203),"",IF(ISNUMBER(P203), P203, Constants!$B$13))</f>
        <v/>
      </c>
      <c r="AD203" s="96" t="str">
        <f aca="false">IF(ISBLANK($C203),"",IF(Q203=Constants!$B$2, TRUE(), IF(Q203=Constants!$B$3, FALSE(), FALSE())))</f>
        <v/>
      </c>
      <c r="AE203" s="96" t="str">
        <f aca="false">IF(ISBLANK(C203), "", IF(AD203, Constants!$B$4,IF(COUNTA(G203:O203)=0, Constants!$B$5, Constants!$B$7)))</f>
        <v/>
      </c>
      <c r="AF203" s="96" t="str">
        <f aca="false">IF(ISBLANK($C203), "",IF($AE203=Constants!$B$7,1,$AE203))</f>
        <v/>
      </c>
      <c r="AG203" s="96" t="str">
        <f aca="false">IF($AE203=Constants!$B$7,IF(V203, 1, Constants!$B$11) * IF(X203, 1, Constants!$B$12),"")</f>
        <v/>
      </c>
      <c r="AH203" s="96" t="str">
        <f aca="false">IF(AND($AE203=Constants!$B$7, T203, U203) ,MAX(0, $AA203-$Y203),"")</f>
        <v/>
      </c>
      <c r="AI203" s="96" t="str">
        <f aca="false">IF(ISERROR(AH203),$AI$6,"")</f>
        <v/>
      </c>
      <c r="AJ203" s="96" t="str">
        <f aca="false">IF($AE203=Constants!$B$7,IF(AND(T203,U203,W203),IF($AH$6=0,Constants!$B$9,Constants!$B$9*AH203/$AH$6), 0),"")</f>
        <v/>
      </c>
      <c r="AK203" s="96" t="str">
        <f aca="false">IF(AJ203&lt;&gt;"", AJ203*AG203,"")</f>
        <v/>
      </c>
      <c r="AL203" s="96" t="str">
        <f aca="false">IF(AND($AE203=Constants!$B$7, T203, U203) ,IF($Z203="", "", MAX(0,1-ABS($AA203-$Z203)/$AA203)),"")</f>
        <v/>
      </c>
      <c r="AM203" s="96" t="str">
        <f aca="false">IF(AND(NOT(ISERROR(AH203)),ISERROR(AL203)),$AM$6,"")</f>
        <v/>
      </c>
      <c r="AN203" s="96" t="str">
        <f aca="false">IF($AE203=Constants!$B$7 ,IF(AND(T203,U203,W203,ISNUMBER(Z203)),IF($AL$6=0,Constants!$B$10,Constants!$B$10*AL203/$AL$6), 0),"")</f>
        <v/>
      </c>
      <c r="AO203" s="96" t="str">
        <f aca="false">IF(AN203&lt;&gt;"", AN203*AG203,"")</f>
        <v/>
      </c>
      <c r="AP203" s="96" t="str">
        <f aca="false">IF($AE203=Constants!$B$7,IF($AP$6=0,Constants!$B$8,Constants!$B$8*AB203/$AP$6),"")</f>
        <v/>
      </c>
      <c r="AQ203" s="96" t="str">
        <f aca="false">IF($AE203&lt;&gt;Constants!$B$7,$AE203,AK203+AO203+AP203)</f>
        <v/>
      </c>
      <c r="AR203" s="96" t="str">
        <f aca="false">IF(ISBLANK($C203),"",IF($AE203=Constants!$B$7,RANK(AQ203,$AQ$8:$AQ$507),$AE203))</f>
        <v/>
      </c>
      <c r="AS203" s="96" t="str">
        <f aca="false">IF(ISBLANK($C203), "",AK203)</f>
        <v/>
      </c>
      <c r="AT203" s="96" t="str">
        <f aca="false">IF(ISBLANK($C203),"",IF($AE203=Constants!$B$7,RANK(AS203,AS$8:AS$507),$AE203))</f>
        <v/>
      </c>
      <c r="AU203" s="96" t="str">
        <f aca="false">IF(ISBLANK($C203), "",AP203)</f>
        <v/>
      </c>
      <c r="AV203" s="96" t="str">
        <f aca="false">IF(ISBLANK($C203),"",IF($AE203=Constants!$B$7,RANK(AU203,AU$8:AU$507),$AE203))</f>
        <v/>
      </c>
      <c r="AW203" s="96" t="str">
        <f aca="false">IF(ISBLANK($C203), "",AC203)</f>
        <v/>
      </c>
      <c r="AX203" s="96" t="str">
        <f aca="false">IF(ISBLANK($C203),"",
IF($AE203=Constants!$B$7,
  COUNTIFS($AR$8:$AR$507,"&lt;"&amp;$AR203)
  + COUNTIFS($AR$8:$AR$507,$AR203,$AT$8:$AT$507,"&lt;"&amp;$AT203)
  + COUNTIFS($AR$8:$AR$507,$AR203,$AT$8:$AT$507,$AT203,$AV$8:$AV$507,"&lt;"&amp;$AV203)
  + COUNTIFS($AR$8:$AR$507,$AR203,$AT$8:$AT$507,$AT203,$AV$8:$AV$507,$AV203,$AW$8:$AW$507,"&lt;"&amp;$AW203)
  + 1,
$AE203))</f>
        <v/>
      </c>
      <c r="AY203" s="96" t="str">
        <f aca="false">IF(ISBLANK(C203),"",IF($AE203=Constants!$B$7, AR203-AX203,$AE203))</f>
        <v/>
      </c>
      <c r="AZ203" s="100"/>
      <c r="BA203" s="101" t="str">
        <f aca="false">IF(ISBLANK($C203),"",TRIM(AI203&amp;" "&amp;AM203))</f>
        <v/>
      </c>
      <c r="BB203" s="102" t="str">
        <f aca="false">IF(ISBLANK($C203),"",IF($AE203&lt;&gt;Constants!$B$7, $AE203 ,AQ203))</f>
        <v/>
      </c>
      <c r="BC203" s="103" t="str">
        <f aca="false">IF(ISBLANK($C203),"",IF($AE203&lt;&gt;Constants!$B$7, $AE203 ,AF203))</f>
        <v/>
      </c>
      <c r="BD203" s="104" t="str">
        <f aca="false">IF(ISBLANK(C203),"",AY203)</f>
        <v/>
      </c>
      <c r="BE203" s="104" t="str">
        <f aca="false">IF(ISBLANK(C203),"",AX203)</f>
        <v/>
      </c>
      <c r="BF203" s="105" t="str">
        <f aca="false">IF(ISBLANK(C203),"",IFERROR(_xlfn.SWITCH(BE203, Constants!$B$4, COUNTA($C$8:$C702)+2, Constants!$B$5, COUNTA($C$8:$C702)+1, Constants!$B$6, COUNTA($C$8:$C702)),BE203))</f>
        <v/>
      </c>
      <c r="BG203" s="5"/>
      <c r="BH203" s="106" t="n">
        <f aca="false">IF(OR(ISNUMBER(BE203),BE203="DQ",BE203="P",BE203="NS"),
    1,
    0
)</f>
        <v>0</v>
      </c>
      <c r="BI203" s="106" t="n">
        <v>196</v>
      </c>
      <c r="BJ203" s="106" t="str">
        <f aca="false">IF(ISBLANK($C203),
    "",
   BF203+ROW($B203)/1000
)</f>
        <v/>
      </c>
      <c r="BK203" s="106" t="str">
        <f aca="false">IF(ISNUMBER(BJ203), RANK(BJ203,BJ$8:BJ$507,1), "")</f>
        <v/>
      </c>
      <c r="BL203" s="106" t="str">
        <f aca="false">IF(ISBLANK($C203),
    "",
    $B203
)</f>
        <v/>
      </c>
      <c r="BM203" s="106" t="str">
        <f aca="false">IF(ISBLANK($C203),
    "",
    $C203
)</f>
        <v/>
      </c>
      <c r="BN203" s="106" t="str">
        <f aca="false">IF(ISBLANK($C203),
    "",
    $D203
)</f>
        <v/>
      </c>
      <c r="BO203" s="107" t="str">
        <f aca="false">BC203</f>
        <v/>
      </c>
      <c r="BP203" s="108" t="str">
        <f aca="false">BB203</f>
        <v/>
      </c>
      <c r="BQ203" s="106" t="str">
        <f aca="false">IF(ISBLANK($C203),
    "",
    BE203
)</f>
        <v/>
      </c>
      <c r="BR203" s="109" t="str">
        <f aca="false">IF(BI203&gt;BH$7,
    "",
    VLOOKUP(BI203,BK$8:BQ702,7,FALSE())
)</f>
        <v/>
      </c>
      <c r="BS203" s="110" t="str">
        <f aca="false">IF(BI203&gt;BH$7,
    "",
    VLOOKUP(BI203,BK$8:BQ702,2,FALSE())
)</f>
        <v/>
      </c>
      <c r="BT203" s="110" t="str">
        <f aca="false">IF(BI203&gt;BH$7,
    "",
    VLOOKUP(BI203,BK$8:BQ702,3,FALSE())
)</f>
        <v/>
      </c>
      <c r="BU203" s="110" t="str">
        <f aca="false">IF(BI203&gt;BH$7,
    "",
    VLOOKUP(BI203,BK$8:BQ702,4,FALSE())
)</f>
        <v/>
      </c>
      <c r="BV203" s="110" t="str">
        <f aca="false">IF(BI203&gt;BH$7,
    "",
    VLOOKUP(BI203,BK$8:BQ702,5,FALSE())
)</f>
        <v/>
      </c>
      <c r="BW203" s="111" t="str">
        <f aca="false">IF(BI203&gt;BH$7,
    "",
    VLOOKUP(BI203,BK$8:BQ702,6,FALSE())
)</f>
        <v/>
      </c>
      <c r="BX203" s="50"/>
    </row>
    <row r="204" customFormat="false" ht="15.75" hidden="false" customHeight="false" outlineLevel="0" collapsed="false">
      <c r="A204" s="5"/>
      <c r="B204" s="122"/>
      <c r="C204" s="123"/>
      <c r="D204" s="112"/>
      <c r="E204" s="116"/>
      <c r="F204" s="116"/>
      <c r="G204" s="88"/>
      <c r="H204" s="89"/>
      <c r="I204" s="125"/>
      <c r="J204" s="125"/>
      <c r="K204" s="125"/>
      <c r="L204" s="91"/>
      <c r="M204" s="91"/>
      <c r="N204" s="91"/>
      <c r="O204" s="92"/>
      <c r="P204" s="93"/>
      <c r="Q204" s="125"/>
      <c r="R204" s="95"/>
      <c r="S204" s="96"/>
      <c r="T204" s="96" t="str">
        <f aca="false">IF(ISBLANK($C204),"",IF(G204=Constants!$B$2, TRUE(), IF(G204=Constants!$B$3, FALSE(), TRUE())))</f>
        <v/>
      </c>
      <c r="U204" s="96" t="str">
        <f aca="false">IF(ISBLANK($C204),"",IF(H204=Constants!$B$2, TRUE(), IF(H204=Constants!$B$3, FALSE(), TRUE())))</f>
        <v/>
      </c>
      <c r="V204" s="96" t="str">
        <f aca="false">IF(ISBLANK($C204),"",IF(I204=Constants!$B$2, TRUE(), IF(I204=Constants!$B$3, FALSE(), TRUE())))</f>
        <v/>
      </c>
      <c r="W204" s="96" t="str">
        <f aca="false">IF(ISBLANK($C204),"",IF(J204=Constants!$B$2, TRUE(), IF(J204=Constants!$B$3, FALSE(), TRUE())))</f>
        <v/>
      </c>
      <c r="X204" s="97" t="str">
        <f aca="false">IF(ISBLANK($C204),"",IF(K204=Constants!$B$2, TRUE(), IF(K204=Constants!$B$3, FALSE(), TRUE())))</f>
        <v/>
      </c>
      <c r="Y204" s="98" t="str">
        <f aca="false">IF(ISBLANK($C204),"",IF(ISNUMBER(L204), L204, ""))</f>
        <v/>
      </c>
      <c r="Z204" s="98" t="str">
        <f aca="false">IF(ISBLANK($C204),"",IF(ISNUMBER(M204), M204, ""))</f>
        <v/>
      </c>
      <c r="AA204" s="98" t="str">
        <f aca="false">IF(ISBLANK($C204),"",IF(ISNUMBER(N204), N204, ""))</f>
        <v/>
      </c>
      <c r="AB204" s="99" t="str">
        <f aca="false">IF(ISBLANK($C204),"",IF(ISNUMBER(O204), O204, ""))</f>
        <v/>
      </c>
      <c r="AC204" s="99" t="str">
        <f aca="false">IF(ISBLANK($C204),"",IF(ISNUMBER(P204), P204, Constants!$B$13))</f>
        <v/>
      </c>
      <c r="AD204" s="96" t="str">
        <f aca="false">IF(ISBLANK($C204),"",IF(Q204=Constants!$B$2, TRUE(), IF(Q204=Constants!$B$3, FALSE(), FALSE())))</f>
        <v/>
      </c>
      <c r="AE204" s="96" t="str">
        <f aca="false">IF(ISBLANK(C204), "", IF(AD204, Constants!$B$4,IF(COUNTA(G204:O204)=0, Constants!$B$5, Constants!$B$7)))</f>
        <v/>
      </c>
      <c r="AF204" s="96" t="str">
        <f aca="false">IF(ISBLANK($C204), "",IF($AE204=Constants!$B$7,1,$AE204))</f>
        <v/>
      </c>
      <c r="AG204" s="96" t="str">
        <f aca="false">IF($AE204=Constants!$B$7,IF(V204, 1, Constants!$B$11) * IF(X204, 1, Constants!$B$12),"")</f>
        <v/>
      </c>
      <c r="AH204" s="96" t="str">
        <f aca="false">IF(AND($AE204=Constants!$B$7, T204, U204) ,MAX(0, $AA204-$Y204),"")</f>
        <v/>
      </c>
      <c r="AI204" s="96" t="str">
        <f aca="false">IF(ISERROR(AH204),$AI$6,"")</f>
        <v/>
      </c>
      <c r="AJ204" s="96" t="str">
        <f aca="false">IF($AE204=Constants!$B$7,IF(AND(T204,U204,W204),IF($AH$6=0,Constants!$B$9,Constants!$B$9*AH204/$AH$6), 0),"")</f>
        <v/>
      </c>
      <c r="AK204" s="96" t="str">
        <f aca="false">IF(AJ204&lt;&gt;"", AJ204*AG204,"")</f>
        <v/>
      </c>
      <c r="AL204" s="96" t="str">
        <f aca="false">IF(AND($AE204=Constants!$B$7, T204, U204) ,IF($Z204="", "", MAX(0,1-ABS($AA204-$Z204)/$AA204)),"")</f>
        <v/>
      </c>
      <c r="AM204" s="96" t="str">
        <f aca="false">IF(AND(NOT(ISERROR(AH204)),ISERROR(AL204)),$AM$6,"")</f>
        <v/>
      </c>
      <c r="AN204" s="96" t="str">
        <f aca="false">IF($AE204=Constants!$B$7 ,IF(AND(T204,U204,W204,ISNUMBER(Z204)),IF($AL$6=0,Constants!$B$10,Constants!$B$10*AL204/$AL$6), 0),"")</f>
        <v/>
      </c>
      <c r="AO204" s="96" t="str">
        <f aca="false">IF(AN204&lt;&gt;"", AN204*AG204,"")</f>
        <v/>
      </c>
      <c r="AP204" s="96" t="str">
        <f aca="false">IF($AE204=Constants!$B$7,IF($AP$6=0,Constants!$B$8,Constants!$B$8*AB204/$AP$6),"")</f>
        <v/>
      </c>
      <c r="AQ204" s="96" t="str">
        <f aca="false">IF($AE204&lt;&gt;Constants!$B$7,$AE204,AK204+AO204+AP204)</f>
        <v/>
      </c>
      <c r="AR204" s="96" t="str">
        <f aca="false">IF(ISBLANK($C204),"",IF($AE204=Constants!$B$7,RANK(AQ204,$AQ$8:$AQ$507),$AE204))</f>
        <v/>
      </c>
      <c r="AS204" s="96" t="str">
        <f aca="false">IF(ISBLANK($C204), "",AK204)</f>
        <v/>
      </c>
      <c r="AT204" s="96" t="str">
        <f aca="false">IF(ISBLANK($C204),"",IF($AE204=Constants!$B$7,RANK(AS204,AS$8:AS$507),$AE204))</f>
        <v/>
      </c>
      <c r="AU204" s="96" t="str">
        <f aca="false">IF(ISBLANK($C204), "",AP204)</f>
        <v/>
      </c>
      <c r="AV204" s="96" t="str">
        <f aca="false">IF(ISBLANK($C204),"",IF($AE204=Constants!$B$7,RANK(AU204,AU$8:AU$507),$AE204))</f>
        <v/>
      </c>
      <c r="AW204" s="96" t="str">
        <f aca="false">IF(ISBLANK($C204), "",AC204)</f>
        <v/>
      </c>
      <c r="AX204" s="96" t="str">
        <f aca="false">IF(ISBLANK($C204),"",
IF($AE204=Constants!$B$7,
  COUNTIFS($AR$8:$AR$507,"&lt;"&amp;$AR204)
  + COUNTIFS($AR$8:$AR$507,$AR204,$AT$8:$AT$507,"&lt;"&amp;$AT204)
  + COUNTIFS($AR$8:$AR$507,$AR204,$AT$8:$AT$507,$AT204,$AV$8:$AV$507,"&lt;"&amp;$AV204)
  + COUNTIFS($AR$8:$AR$507,$AR204,$AT$8:$AT$507,$AT204,$AV$8:$AV$507,$AV204,$AW$8:$AW$507,"&lt;"&amp;$AW204)
  + 1,
$AE204))</f>
        <v/>
      </c>
      <c r="AY204" s="96" t="str">
        <f aca="false">IF(ISBLANK(C204),"",IF($AE204=Constants!$B$7, AR204-AX204,$AE204))</f>
        <v/>
      </c>
      <c r="AZ204" s="100"/>
      <c r="BA204" s="101" t="str">
        <f aca="false">IF(ISBLANK($C204),"",TRIM(AI204&amp;" "&amp;AM204))</f>
        <v/>
      </c>
      <c r="BB204" s="102" t="str">
        <f aca="false">IF(ISBLANK($C204),"",IF($AE204&lt;&gt;Constants!$B$7, $AE204 ,AQ204))</f>
        <v/>
      </c>
      <c r="BC204" s="103" t="str">
        <f aca="false">IF(ISBLANK($C204),"",IF($AE204&lt;&gt;Constants!$B$7, $AE204 ,AF204))</f>
        <v/>
      </c>
      <c r="BD204" s="104" t="str">
        <f aca="false">IF(ISBLANK(C204),"",AY204)</f>
        <v/>
      </c>
      <c r="BE204" s="104" t="str">
        <f aca="false">IF(ISBLANK(C204),"",AX204)</f>
        <v/>
      </c>
      <c r="BF204" s="105" t="str">
        <f aca="false">IF(ISBLANK(C204),"",IFERROR(_xlfn.SWITCH(BE204, Constants!$B$4, COUNTA($C$8:$C703)+2, Constants!$B$5, COUNTA($C$8:$C703)+1, Constants!$B$6, COUNTA($C$8:$C703)),BE204))</f>
        <v/>
      </c>
      <c r="BG204" s="5"/>
      <c r="BH204" s="106" t="n">
        <f aca="false">IF(OR(ISNUMBER(BE204),BE204="DQ",BE204="P",BE204="NS"),
    1,
    0
)</f>
        <v>0</v>
      </c>
      <c r="BI204" s="106" t="n">
        <v>197</v>
      </c>
      <c r="BJ204" s="106" t="str">
        <f aca="false">IF(ISBLANK($C204),
    "",
   BF204+ROW($B204)/1000
)</f>
        <v/>
      </c>
      <c r="BK204" s="106" t="str">
        <f aca="false">IF(ISNUMBER(BJ204), RANK(BJ204,BJ$8:BJ$507,1), "")</f>
        <v/>
      </c>
      <c r="BL204" s="106" t="str">
        <f aca="false">IF(ISBLANK($C204),
    "",
    $B204
)</f>
        <v/>
      </c>
      <c r="BM204" s="106" t="str">
        <f aca="false">IF(ISBLANK($C204),
    "",
    $C204
)</f>
        <v/>
      </c>
      <c r="BN204" s="106" t="str">
        <f aca="false">IF(ISBLANK($C204),
    "",
    $D204
)</f>
        <v/>
      </c>
      <c r="BO204" s="107" t="str">
        <f aca="false">BC204</f>
        <v/>
      </c>
      <c r="BP204" s="108" t="str">
        <f aca="false">BB204</f>
        <v/>
      </c>
      <c r="BQ204" s="106" t="str">
        <f aca="false">IF(ISBLANK($C204),
    "",
    BE204
)</f>
        <v/>
      </c>
      <c r="BR204" s="109" t="str">
        <f aca="false">IF(BI204&gt;BH$7,
    "",
    VLOOKUP(BI204,BK$8:BQ703,7,FALSE())
)</f>
        <v/>
      </c>
      <c r="BS204" s="110" t="str">
        <f aca="false">IF(BI204&gt;BH$7,
    "",
    VLOOKUP(BI204,BK$8:BQ703,2,FALSE())
)</f>
        <v/>
      </c>
      <c r="BT204" s="110" t="str">
        <f aca="false">IF(BI204&gt;BH$7,
    "",
    VLOOKUP(BI204,BK$8:BQ703,3,FALSE())
)</f>
        <v/>
      </c>
      <c r="BU204" s="110" t="str">
        <f aca="false">IF(BI204&gt;BH$7,
    "",
    VLOOKUP(BI204,BK$8:BQ703,4,FALSE())
)</f>
        <v/>
      </c>
      <c r="BV204" s="110" t="str">
        <f aca="false">IF(BI204&gt;BH$7,
    "",
    VLOOKUP(BI204,BK$8:BQ703,5,FALSE())
)</f>
        <v/>
      </c>
      <c r="BW204" s="111" t="str">
        <f aca="false">IF(BI204&gt;BH$7,
    "",
    VLOOKUP(BI204,BK$8:BQ703,6,FALSE())
)</f>
        <v/>
      </c>
      <c r="BX204" s="50"/>
    </row>
    <row r="205" customFormat="false" ht="15.75" hidden="false" customHeight="false" outlineLevel="0" collapsed="false">
      <c r="A205" s="5"/>
      <c r="B205" s="122"/>
      <c r="C205" s="123"/>
      <c r="D205" s="112"/>
      <c r="E205" s="116"/>
      <c r="F205" s="116"/>
      <c r="G205" s="88"/>
      <c r="H205" s="89"/>
      <c r="I205" s="125"/>
      <c r="J205" s="125"/>
      <c r="K205" s="125"/>
      <c r="L205" s="91"/>
      <c r="M205" s="91"/>
      <c r="N205" s="91"/>
      <c r="O205" s="92"/>
      <c r="P205" s="93"/>
      <c r="Q205" s="125"/>
      <c r="R205" s="95"/>
      <c r="S205" s="96"/>
      <c r="T205" s="96" t="str">
        <f aca="false">IF(ISBLANK($C205),"",IF(G205=Constants!$B$2, TRUE(), IF(G205=Constants!$B$3, FALSE(), TRUE())))</f>
        <v/>
      </c>
      <c r="U205" s="96" t="str">
        <f aca="false">IF(ISBLANK($C205),"",IF(H205=Constants!$B$2, TRUE(), IF(H205=Constants!$B$3, FALSE(), TRUE())))</f>
        <v/>
      </c>
      <c r="V205" s="96" t="str">
        <f aca="false">IF(ISBLANK($C205),"",IF(I205=Constants!$B$2, TRUE(), IF(I205=Constants!$B$3, FALSE(), TRUE())))</f>
        <v/>
      </c>
      <c r="W205" s="96" t="str">
        <f aca="false">IF(ISBLANK($C205),"",IF(J205=Constants!$B$2, TRUE(), IF(J205=Constants!$B$3, FALSE(), TRUE())))</f>
        <v/>
      </c>
      <c r="X205" s="97" t="str">
        <f aca="false">IF(ISBLANK($C205),"",IF(K205=Constants!$B$2, TRUE(), IF(K205=Constants!$B$3, FALSE(), TRUE())))</f>
        <v/>
      </c>
      <c r="Y205" s="98" t="str">
        <f aca="false">IF(ISBLANK($C205),"",IF(ISNUMBER(L205), L205, ""))</f>
        <v/>
      </c>
      <c r="Z205" s="98" t="str">
        <f aca="false">IF(ISBLANK($C205),"",IF(ISNUMBER(M205), M205, ""))</f>
        <v/>
      </c>
      <c r="AA205" s="98" t="str">
        <f aca="false">IF(ISBLANK($C205),"",IF(ISNUMBER(N205), N205, ""))</f>
        <v/>
      </c>
      <c r="AB205" s="99" t="str">
        <f aca="false">IF(ISBLANK($C205),"",IF(ISNUMBER(O205), O205, ""))</f>
        <v/>
      </c>
      <c r="AC205" s="99" t="str">
        <f aca="false">IF(ISBLANK($C205),"",IF(ISNUMBER(P205), P205, Constants!$B$13))</f>
        <v/>
      </c>
      <c r="AD205" s="96" t="str">
        <f aca="false">IF(ISBLANK($C205),"",IF(Q205=Constants!$B$2, TRUE(), IF(Q205=Constants!$B$3, FALSE(), FALSE())))</f>
        <v/>
      </c>
      <c r="AE205" s="96" t="str">
        <f aca="false">IF(ISBLANK(C205), "", IF(AD205, Constants!$B$4,IF(COUNTA(G205:O205)=0, Constants!$B$5, Constants!$B$7)))</f>
        <v/>
      </c>
      <c r="AF205" s="96" t="str">
        <f aca="false">IF(ISBLANK($C205), "",IF($AE205=Constants!$B$7,1,$AE205))</f>
        <v/>
      </c>
      <c r="AG205" s="96" t="str">
        <f aca="false">IF($AE205=Constants!$B$7,IF(V205, 1, Constants!$B$11) * IF(X205, 1, Constants!$B$12),"")</f>
        <v/>
      </c>
      <c r="AH205" s="96" t="str">
        <f aca="false">IF(AND($AE205=Constants!$B$7, T205, U205) ,MAX(0, $AA205-$Y205),"")</f>
        <v/>
      </c>
      <c r="AI205" s="96" t="str">
        <f aca="false">IF(ISERROR(AH205),$AI$6,"")</f>
        <v/>
      </c>
      <c r="AJ205" s="96" t="str">
        <f aca="false">IF($AE205=Constants!$B$7,IF(AND(T205,U205,W205),IF($AH$6=0,Constants!$B$9,Constants!$B$9*AH205/$AH$6), 0),"")</f>
        <v/>
      </c>
      <c r="AK205" s="96" t="str">
        <f aca="false">IF(AJ205&lt;&gt;"", AJ205*AG205,"")</f>
        <v/>
      </c>
      <c r="AL205" s="96" t="str">
        <f aca="false">IF(AND($AE205=Constants!$B$7, T205, U205) ,IF($Z205="", "", MAX(0,1-ABS($AA205-$Z205)/$AA205)),"")</f>
        <v/>
      </c>
      <c r="AM205" s="96" t="str">
        <f aca="false">IF(AND(NOT(ISERROR(AH205)),ISERROR(AL205)),$AM$6,"")</f>
        <v/>
      </c>
      <c r="AN205" s="96" t="str">
        <f aca="false">IF($AE205=Constants!$B$7 ,IF(AND(T205,U205,W205,ISNUMBER(Z205)),IF($AL$6=0,Constants!$B$10,Constants!$B$10*AL205/$AL$6), 0),"")</f>
        <v/>
      </c>
      <c r="AO205" s="96" t="str">
        <f aca="false">IF(AN205&lt;&gt;"", AN205*AG205,"")</f>
        <v/>
      </c>
      <c r="AP205" s="96" t="str">
        <f aca="false">IF($AE205=Constants!$B$7,IF($AP$6=0,Constants!$B$8,Constants!$B$8*AB205/$AP$6),"")</f>
        <v/>
      </c>
      <c r="AQ205" s="96" t="str">
        <f aca="false">IF($AE205&lt;&gt;Constants!$B$7,$AE205,AK205+AO205+AP205)</f>
        <v/>
      </c>
      <c r="AR205" s="96" t="str">
        <f aca="false">IF(ISBLANK($C205),"",IF($AE205=Constants!$B$7,RANK(AQ205,$AQ$8:$AQ$507),$AE205))</f>
        <v/>
      </c>
      <c r="AS205" s="96" t="str">
        <f aca="false">IF(ISBLANK($C205), "",AK205)</f>
        <v/>
      </c>
      <c r="AT205" s="96" t="str">
        <f aca="false">IF(ISBLANK($C205),"",IF($AE205=Constants!$B$7,RANK(AS205,AS$8:AS$507),$AE205))</f>
        <v/>
      </c>
      <c r="AU205" s="96" t="str">
        <f aca="false">IF(ISBLANK($C205), "",AP205)</f>
        <v/>
      </c>
      <c r="AV205" s="96" t="str">
        <f aca="false">IF(ISBLANK($C205),"",IF($AE205=Constants!$B$7,RANK(AU205,AU$8:AU$507),$AE205))</f>
        <v/>
      </c>
      <c r="AW205" s="96" t="str">
        <f aca="false">IF(ISBLANK($C205), "",AC205)</f>
        <v/>
      </c>
      <c r="AX205" s="96" t="str">
        <f aca="false">IF(ISBLANK($C205),"",
IF($AE205=Constants!$B$7,
  COUNTIFS($AR$8:$AR$507,"&lt;"&amp;$AR205)
  + COUNTIFS($AR$8:$AR$507,$AR205,$AT$8:$AT$507,"&lt;"&amp;$AT205)
  + COUNTIFS($AR$8:$AR$507,$AR205,$AT$8:$AT$507,$AT205,$AV$8:$AV$507,"&lt;"&amp;$AV205)
  + COUNTIFS($AR$8:$AR$507,$AR205,$AT$8:$AT$507,$AT205,$AV$8:$AV$507,$AV205,$AW$8:$AW$507,"&lt;"&amp;$AW205)
  + 1,
$AE205))</f>
        <v/>
      </c>
      <c r="AY205" s="96" t="str">
        <f aca="false">IF(ISBLANK(C205),"",IF($AE205=Constants!$B$7, AR205-AX205,$AE205))</f>
        <v/>
      </c>
      <c r="AZ205" s="100"/>
      <c r="BA205" s="101" t="str">
        <f aca="false">IF(ISBLANK($C205),"",TRIM(AI205&amp;" "&amp;AM205))</f>
        <v/>
      </c>
      <c r="BB205" s="102" t="str">
        <f aca="false">IF(ISBLANK($C205),"",IF($AE205&lt;&gt;Constants!$B$7, $AE205 ,AQ205))</f>
        <v/>
      </c>
      <c r="BC205" s="103" t="str">
        <f aca="false">IF(ISBLANK($C205),"",IF($AE205&lt;&gt;Constants!$B$7, $AE205 ,AF205))</f>
        <v/>
      </c>
      <c r="BD205" s="104" t="str">
        <f aca="false">IF(ISBLANK(C205),"",AY205)</f>
        <v/>
      </c>
      <c r="BE205" s="104" t="str">
        <f aca="false">IF(ISBLANK(C205),"",AX205)</f>
        <v/>
      </c>
      <c r="BF205" s="105" t="str">
        <f aca="false">IF(ISBLANK(C205),"",IFERROR(_xlfn.SWITCH(BE205, Constants!$B$4, COUNTA($C$8:$C704)+2, Constants!$B$5, COUNTA($C$8:$C704)+1, Constants!$B$6, COUNTA($C$8:$C704)),BE205))</f>
        <v/>
      </c>
      <c r="BG205" s="5"/>
      <c r="BH205" s="106" t="n">
        <f aca="false">IF(OR(ISNUMBER(BE205),BE205="DQ",BE205="P",BE205="NS"),
    1,
    0
)</f>
        <v>0</v>
      </c>
      <c r="BI205" s="106" t="n">
        <v>198</v>
      </c>
      <c r="BJ205" s="106" t="str">
        <f aca="false">IF(ISBLANK($C205),
    "",
   BF205+ROW($B205)/1000
)</f>
        <v/>
      </c>
      <c r="BK205" s="106" t="str">
        <f aca="false">IF(ISNUMBER(BJ205), RANK(BJ205,BJ$8:BJ$507,1), "")</f>
        <v/>
      </c>
      <c r="BL205" s="106" t="str">
        <f aca="false">IF(ISBLANK($C205),
    "",
    $B205
)</f>
        <v/>
      </c>
      <c r="BM205" s="106" t="str">
        <f aca="false">IF(ISBLANK($C205),
    "",
    $C205
)</f>
        <v/>
      </c>
      <c r="BN205" s="106" t="str">
        <f aca="false">IF(ISBLANK($C205),
    "",
    $D205
)</f>
        <v/>
      </c>
      <c r="BO205" s="107" t="str">
        <f aca="false">BC205</f>
        <v/>
      </c>
      <c r="BP205" s="108" t="str">
        <f aca="false">BB205</f>
        <v/>
      </c>
      <c r="BQ205" s="106" t="str">
        <f aca="false">IF(ISBLANK($C205),
    "",
    BE205
)</f>
        <v/>
      </c>
      <c r="BR205" s="109" t="str">
        <f aca="false">IF(BI205&gt;BH$7,
    "",
    VLOOKUP(BI205,BK$8:BQ704,7,FALSE())
)</f>
        <v/>
      </c>
      <c r="BS205" s="110" t="str">
        <f aca="false">IF(BI205&gt;BH$7,
    "",
    VLOOKUP(BI205,BK$8:BQ704,2,FALSE())
)</f>
        <v/>
      </c>
      <c r="BT205" s="110" t="str">
        <f aca="false">IF(BI205&gt;BH$7,
    "",
    VLOOKUP(BI205,BK$8:BQ704,3,FALSE())
)</f>
        <v/>
      </c>
      <c r="BU205" s="110" t="str">
        <f aca="false">IF(BI205&gt;BH$7,
    "",
    VLOOKUP(BI205,BK$8:BQ704,4,FALSE())
)</f>
        <v/>
      </c>
      <c r="BV205" s="110" t="str">
        <f aca="false">IF(BI205&gt;BH$7,
    "",
    VLOOKUP(BI205,BK$8:BQ704,5,FALSE())
)</f>
        <v/>
      </c>
      <c r="BW205" s="111" t="str">
        <f aca="false">IF(BI205&gt;BH$7,
    "",
    VLOOKUP(BI205,BK$8:BQ704,6,FALSE())
)</f>
        <v/>
      </c>
      <c r="BX205" s="50"/>
    </row>
    <row r="206" customFormat="false" ht="15.75" hidden="false" customHeight="false" outlineLevel="0" collapsed="false">
      <c r="A206" s="5"/>
      <c r="B206" s="126"/>
      <c r="C206" s="52"/>
      <c r="D206" s="53"/>
      <c r="E206" s="120"/>
      <c r="F206" s="120"/>
      <c r="G206" s="55"/>
      <c r="H206" s="56"/>
      <c r="I206" s="80"/>
      <c r="J206" s="80"/>
      <c r="K206" s="80"/>
      <c r="L206" s="58"/>
      <c r="M206" s="58"/>
      <c r="N206" s="58"/>
      <c r="O206" s="59"/>
      <c r="P206" s="60"/>
      <c r="Q206" s="80"/>
      <c r="R206" s="62"/>
      <c r="S206" s="63"/>
      <c r="T206" s="63" t="str">
        <f aca="false">IF(ISBLANK($C206),"",IF(G206=Constants!$B$2, TRUE(), IF(G206=Constants!$B$3, FALSE(), TRUE())))</f>
        <v/>
      </c>
      <c r="U206" s="63" t="str">
        <f aca="false">IF(ISBLANK($C206),"",IF(H206=Constants!$B$2, TRUE(), IF(H206=Constants!$B$3, FALSE(), TRUE())))</f>
        <v/>
      </c>
      <c r="V206" s="63" t="str">
        <f aca="false">IF(ISBLANK($C206),"",IF(I206=Constants!$B$2, TRUE(), IF(I206=Constants!$B$3, FALSE(), TRUE())))</f>
        <v/>
      </c>
      <c r="W206" s="63" t="str">
        <f aca="false">IF(ISBLANK($C206),"",IF(J206=Constants!$B$2, TRUE(), IF(J206=Constants!$B$3, FALSE(), TRUE())))</f>
        <v/>
      </c>
      <c r="X206" s="63" t="str">
        <f aca="false">IF(ISBLANK($C206),"",IF(K206=Constants!$B$2, TRUE(), IF(K206=Constants!$B$3, FALSE(), TRUE())))</f>
        <v/>
      </c>
      <c r="Y206" s="65" t="str">
        <f aca="false">IF(ISBLANK($C206),"",IF(ISNUMBER(L206), L206, ""))</f>
        <v/>
      </c>
      <c r="Z206" s="65" t="str">
        <f aca="false">IF(ISBLANK($C206),"",IF(ISNUMBER(M206), M206, ""))</f>
        <v/>
      </c>
      <c r="AA206" s="65" t="str">
        <f aca="false">IF(ISBLANK($C206),"",IF(ISNUMBER(N206), N206, ""))</f>
        <v/>
      </c>
      <c r="AB206" s="66" t="str">
        <f aca="false">IF(ISBLANK($C206),"",IF(ISNUMBER(O206), O206, ""))</f>
        <v/>
      </c>
      <c r="AC206" s="66" t="str">
        <f aca="false">IF(ISBLANK($C206),"",IF(ISNUMBER(P206), P206, Constants!$B$13))</f>
        <v/>
      </c>
      <c r="AD206" s="63" t="str">
        <f aca="false">IF(ISBLANK($C206),"",IF(Q206=Constants!$B$2, TRUE(), IF(Q206=Constants!$B$3, FALSE(), FALSE())))</f>
        <v/>
      </c>
      <c r="AE206" s="63" t="str">
        <f aca="false">IF(ISBLANK(C206), "", IF(AD206, Constants!$B$4,IF(COUNTA(G206:O206)=0, Constants!$B$5, Constants!$B$7)))</f>
        <v/>
      </c>
      <c r="AF206" s="63" t="str">
        <f aca="false">IF(ISBLANK($C206), "",IF($AE206=Constants!$B$7,1,$AE206))</f>
        <v/>
      </c>
      <c r="AG206" s="63" t="str">
        <f aca="false">IF($AE206=Constants!$B$7,IF(V206, 1, Constants!$B$11) * IF(X206, 1, Constants!$B$12),"")</f>
        <v/>
      </c>
      <c r="AH206" s="63" t="str">
        <f aca="false">IF(AND($AE206=Constants!$B$7, T206, U206) ,MAX(0, $AA206-$Y206),"")</f>
        <v/>
      </c>
      <c r="AI206" s="63" t="str">
        <f aca="false">IF(ISERROR(AH206),$AI$6,"")</f>
        <v/>
      </c>
      <c r="AJ206" s="63" t="str">
        <f aca="false">IF($AE206=Constants!$B$7,IF(AND(T206,U206,W206),IF($AH$6=0,Constants!$B$9,Constants!$B$9*AH206/$AH$6), 0),"")</f>
        <v/>
      </c>
      <c r="AK206" s="63" t="str">
        <f aca="false">IF(AJ206&lt;&gt;"", AJ206*AG206,"")</f>
        <v/>
      </c>
      <c r="AL206" s="63" t="str">
        <f aca="false">IF(AND($AE206=Constants!$B$7, T206, U206) ,IF($Z206="", "", MAX(0,1-ABS($AA206-$Z206)/$AA206)),"")</f>
        <v/>
      </c>
      <c r="AM206" s="63" t="str">
        <f aca="false">IF(AND(NOT(ISERROR(AH206)),ISERROR(AL206)),$AM$6,"")</f>
        <v/>
      </c>
      <c r="AN206" s="63" t="str">
        <f aca="false">IF($AE206=Constants!$B$7 ,IF(AND(T206,U206,W206,ISNUMBER(Z206)),IF($AL$6=0,Constants!$B$10,Constants!$B$10*AL206/$AL$6), 0),"")</f>
        <v/>
      </c>
      <c r="AO206" s="63" t="str">
        <f aca="false">IF(AN206&lt;&gt;"", AN206*AG206,"")</f>
        <v/>
      </c>
      <c r="AP206" s="63" t="str">
        <f aca="false">IF($AE206=Constants!$B$7,IF($AP$6=0,Constants!$B$8,Constants!$B$8*AB206/$AP$6),"")</f>
        <v/>
      </c>
      <c r="AQ206" s="63" t="str">
        <f aca="false">IF($AE206&lt;&gt;Constants!$B$7,$AE206,AK206+AO206+AP206)</f>
        <v/>
      </c>
      <c r="AR206" s="63" t="str">
        <f aca="false">IF(ISBLANK($C206),"",IF($AE206=Constants!$B$7,RANK(AQ206,$AQ$8:$AQ$507),$AE206))</f>
        <v/>
      </c>
      <c r="AS206" s="63" t="str">
        <f aca="false">IF(ISBLANK($C206), "",AK206)</f>
        <v/>
      </c>
      <c r="AT206" s="63" t="str">
        <f aca="false">IF(ISBLANK($C206),"",IF($AE206=Constants!$B$7,RANK(AS206,AS$8:AS$507),$AE206))</f>
        <v/>
      </c>
      <c r="AU206" s="63" t="str">
        <f aca="false">IF(ISBLANK($C206), "",AP206)</f>
        <v/>
      </c>
      <c r="AV206" s="63" t="str">
        <f aca="false">IF(ISBLANK($C206),"",IF($AE206=Constants!$B$7,RANK(AU206,AU$8:AU$507),$AE206))</f>
        <v/>
      </c>
      <c r="AW206" s="63" t="str">
        <f aca="false">IF(ISBLANK($C206), "",AC206)</f>
        <v/>
      </c>
      <c r="AX206" s="63" t="str">
        <f aca="false">IF(ISBLANK($C206),"",
IF($AE206=Constants!$B$7,
  COUNTIFS($AR$8:$AR$507,"&lt;"&amp;$AR206)
  + COUNTIFS($AR$8:$AR$507,$AR206,$AT$8:$AT$507,"&lt;"&amp;$AT206)
  + COUNTIFS($AR$8:$AR$507,$AR206,$AT$8:$AT$507,$AT206,$AV$8:$AV$507,"&lt;"&amp;$AV206)
  + COUNTIFS($AR$8:$AR$507,$AR206,$AT$8:$AT$507,$AT206,$AV$8:$AV$507,$AV206,$AW$8:$AW$507,"&lt;"&amp;$AW206)
  + 1,
$AE206))</f>
        <v/>
      </c>
      <c r="AY206" s="63" t="str">
        <f aca="false">IF(ISBLANK(C206),"",IF($AE206=Constants!$B$7, AR206-AX206,$AE206))</f>
        <v/>
      </c>
      <c r="AZ206" s="67"/>
      <c r="BA206" s="81" t="str">
        <f aca="false">IF(ISBLANK($C206),"",TRIM(AI206&amp;" "&amp;AM206))</f>
        <v/>
      </c>
      <c r="BB206" s="69" t="str">
        <f aca="false">IF(ISBLANK($C206),"",IF($AE206&lt;&gt;Constants!$B$7, $AE206 ,AQ206))</f>
        <v/>
      </c>
      <c r="BC206" s="70" t="str">
        <f aca="false">IF(ISBLANK($C206),"",IF($AE206&lt;&gt;Constants!$B$7, $AE206 ,AF206))</f>
        <v/>
      </c>
      <c r="BD206" s="71" t="str">
        <f aca="false">IF(ISBLANK(C206),"",AY206)</f>
        <v/>
      </c>
      <c r="BE206" s="71" t="str">
        <f aca="false">IF(ISBLANK(C206),"",AX206)</f>
        <v/>
      </c>
      <c r="BF206" s="72" t="str">
        <f aca="false">IF(ISBLANK(C206),"",IFERROR(_xlfn.SWITCH(BE206, Constants!$B$4, COUNTA($C$8:$C705)+2, Constants!$B$5, COUNTA($C$8:$C705)+1, Constants!$B$6, COUNTA($C$8:$C705)),BE206))</f>
        <v/>
      </c>
      <c r="BG206" s="5"/>
      <c r="BH206" s="73" t="n">
        <f aca="false">IF(OR(ISNUMBER(BE206),BE206="DQ",BE206="P",BE206="NS"),
    1,
    0
)</f>
        <v>0</v>
      </c>
      <c r="BI206" s="73" t="n">
        <v>199</v>
      </c>
      <c r="BJ206" s="73" t="str">
        <f aca="false">IF(ISBLANK($C206),
    "",
   BF206+ROW($B206)/1000
)</f>
        <v/>
      </c>
      <c r="BK206" s="73" t="str">
        <f aca="false">IF(ISNUMBER(BJ206), RANK(BJ206,BJ$8:BJ$507,1), "")</f>
        <v/>
      </c>
      <c r="BL206" s="73" t="str">
        <f aca="false">IF(ISBLANK($C206),
    "",
    $B206
)</f>
        <v/>
      </c>
      <c r="BM206" s="73" t="str">
        <f aca="false">IF(ISBLANK($C206),
    "",
    $C206
)</f>
        <v/>
      </c>
      <c r="BN206" s="73" t="str">
        <f aca="false">IF(ISBLANK($C206),
    "",
    $D206
)</f>
        <v/>
      </c>
      <c r="BO206" s="74" t="str">
        <f aca="false">BC206</f>
        <v/>
      </c>
      <c r="BP206" s="75" t="str">
        <f aca="false">BB206</f>
        <v/>
      </c>
      <c r="BQ206" s="73" t="str">
        <f aca="false">IF(ISBLANK($C206),
    "",
    BE206
)</f>
        <v/>
      </c>
      <c r="BR206" s="76" t="str">
        <f aca="false">IF(BI206&gt;BH$7,
    "",
    VLOOKUP(BI206,BK$8:BQ705,7,FALSE())
)</f>
        <v/>
      </c>
      <c r="BS206" s="77" t="str">
        <f aca="false">IF(BI206&gt;BH$7,
    "",
    VLOOKUP(BI206,BK$8:BQ705,2,FALSE())
)</f>
        <v/>
      </c>
      <c r="BT206" s="77" t="str">
        <f aca="false">IF(BI206&gt;BH$7,
    "",
    VLOOKUP(BI206,BK$8:BQ705,3,FALSE())
)</f>
        <v/>
      </c>
      <c r="BU206" s="77" t="str">
        <f aca="false">IF(BI206&gt;BH$7,
    "",
    VLOOKUP(BI206,BK$8:BQ705,4,FALSE())
)</f>
        <v/>
      </c>
      <c r="BV206" s="77" t="str">
        <f aca="false">IF(BI206&gt;BH$7,
    "",
    VLOOKUP(BI206,BK$8:BQ705,5,FALSE())
)</f>
        <v/>
      </c>
      <c r="BW206" s="78" t="str">
        <f aca="false">IF(BI206&gt;BH$7,
    "",
    VLOOKUP(BI206,BK$8:BQ705,6,FALSE())
)</f>
        <v/>
      </c>
      <c r="BX206" s="50"/>
    </row>
    <row r="207" customFormat="false" ht="15.75" hidden="false" customHeight="false" outlineLevel="0" collapsed="false">
      <c r="A207" s="5"/>
      <c r="B207" s="126"/>
      <c r="C207" s="52"/>
      <c r="D207" s="53"/>
      <c r="E207" s="120"/>
      <c r="F207" s="120"/>
      <c r="G207" s="55"/>
      <c r="H207" s="56"/>
      <c r="I207" s="80"/>
      <c r="J207" s="80"/>
      <c r="K207" s="80"/>
      <c r="L207" s="58"/>
      <c r="M207" s="58"/>
      <c r="N207" s="58"/>
      <c r="O207" s="59"/>
      <c r="P207" s="60"/>
      <c r="Q207" s="80"/>
      <c r="R207" s="62"/>
      <c r="S207" s="63"/>
      <c r="T207" s="63" t="str">
        <f aca="false">IF(ISBLANK($C207),"",IF(G207=Constants!$B$2, TRUE(), IF(G207=Constants!$B$3, FALSE(), TRUE())))</f>
        <v/>
      </c>
      <c r="U207" s="63" t="str">
        <f aca="false">IF(ISBLANK($C207),"",IF(H207=Constants!$B$2, TRUE(), IF(H207=Constants!$B$3, FALSE(), TRUE())))</f>
        <v/>
      </c>
      <c r="V207" s="63" t="str">
        <f aca="false">IF(ISBLANK($C207),"",IF(I207=Constants!$B$2, TRUE(), IF(I207=Constants!$B$3, FALSE(), TRUE())))</f>
        <v/>
      </c>
      <c r="W207" s="63" t="str">
        <f aca="false">IF(ISBLANK($C207),"",IF(J207=Constants!$B$2, TRUE(), IF(J207=Constants!$B$3, FALSE(), TRUE())))</f>
        <v/>
      </c>
      <c r="X207" s="63" t="str">
        <f aca="false">IF(ISBLANK($C207),"",IF(K207=Constants!$B$2, TRUE(), IF(K207=Constants!$B$3, FALSE(), TRUE())))</f>
        <v/>
      </c>
      <c r="Y207" s="65" t="str">
        <f aca="false">IF(ISBLANK($C207),"",IF(ISNUMBER(L207), L207, ""))</f>
        <v/>
      </c>
      <c r="Z207" s="65" t="str">
        <f aca="false">IF(ISBLANK($C207),"",IF(ISNUMBER(M207), M207, ""))</f>
        <v/>
      </c>
      <c r="AA207" s="65" t="str">
        <f aca="false">IF(ISBLANK($C207),"",IF(ISNUMBER(N207), N207, ""))</f>
        <v/>
      </c>
      <c r="AB207" s="66" t="str">
        <f aca="false">IF(ISBLANK($C207),"",IF(ISNUMBER(O207), O207, ""))</f>
        <v/>
      </c>
      <c r="AC207" s="66" t="str">
        <f aca="false">IF(ISBLANK($C207),"",IF(ISNUMBER(P207), P207, Constants!$B$13))</f>
        <v/>
      </c>
      <c r="AD207" s="63" t="str">
        <f aca="false">IF(ISBLANK($C207),"",IF(Q207=Constants!$B$2, TRUE(), IF(Q207=Constants!$B$3, FALSE(), FALSE())))</f>
        <v/>
      </c>
      <c r="AE207" s="63" t="str">
        <f aca="false">IF(ISBLANK(C207), "", IF(AD207, Constants!$B$4,IF(COUNTA(G207:O207)=0, Constants!$B$5, Constants!$B$7)))</f>
        <v/>
      </c>
      <c r="AF207" s="63" t="str">
        <f aca="false">IF(ISBLANK($C207), "",IF($AE207=Constants!$B$7,1,$AE207))</f>
        <v/>
      </c>
      <c r="AG207" s="63" t="str">
        <f aca="false">IF($AE207=Constants!$B$7,IF(V207, 1, Constants!$B$11) * IF(X207, 1, Constants!$B$12),"")</f>
        <v/>
      </c>
      <c r="AH207" s="63" t="str">
        <f aca="false">IF(AND($AE207=Constants!$B$7, T207, U207) ,MAX(0, $AA207-$Y207),"")</f>
        <v/>
      </c>
      <c r="AI207" s="63" t="str">
        <f aca="false">IF(ISERROR(AH207),$AI$6,"")</f>
        <v/>
      </c>
      <c r="AJ207" s="63" t="str">
        <f aca="false">IF($AE207=Constants!$B$7,IF(AND(T207,U207,W207),IF($AH$6=0,Constants!$B$9,Constants!$B$9*AH207/$AH$6), 0),"")</f>
        <v/>
      </c>
      <c r="AK207" s="63" t="str">
        <f aca="false">IF(AJ207&lt;&gt;"", AJ207*AG207,"")</f>
        <v/>
      </c>
      <c r="AL207" s="63" t="str">
        <f aca="false">IF(AND($AE207=Constants!$B$7, T207, U207) ,IF($Z207="", "", MAX(0,1-ABS($AA207-$Z207)/$AA207)),"")</f>
        <v/>
      </c>
      <c r="AM207" s="63" t="str">
        <f aca="false">IF(AND(NOT(ISERROR(AH207)),ISERROR(AL207)),$AM$6,"")</f>
        <v/>
      </c>
      <c r="AN207" s="63" t="str">
        <f aca="false">IF($AE207=Constants!$B$7 ,IF(AND(T207,U207,W207,ISNUMBER(Z207)),IF($AL$6=0,Constants!$B$10,Constants!$B$10*AL207/$AL$6), 0),"")</f>
        <v/>
      </c>
      <c r="AO207" s="63" t="str">
        <f aca="false">IF(AN207&lt;&gt;"", AN207*AG207,"")</f>
        <v/>
      </c>
      <c r="AP207" s="63" t="str">
        <f aca="false">IF($AE207=Constants!$B$7,IF($AP$6=0,Constants!$B$8,Constants!$B$8*AB207/$AP$6),"")</f>
        <v/>
      </c>
      <c r="AQ207" s="63" t="str">
        <f aca="false">IF($AE207&lt;&gt;Constants!$B$7,$AE207,AK207+AO207+AP207)</f>
        <v/>
      </c>
      <c r="AR207" s="63" t="str">
        <f aca="false">IF(ISBLANK($C207),"",IF($AE207=Constants!$B$7,RANK(AQ207,$AQ$8:$AQ$507),$AE207))</f>
        <v/>
      </c>
      <c r="AS207" s="63" t="str">
        <f aca="false">IF(ISBLANK($C207), "",AK207)</f>
        <v/>
      </c>
      <c r="AT207" s="63" t="str">
        <f aca="false">IF(ISBLANK($C207),"",IF($AE207=Constants!$B$7,RANK(AS207,AS$8:AS$507),$AE207))</f>
        <v/>
      </c>
      <c r="AU207" s="63" t="str">
        <f aca="false">IF(ISBLANK($C207), "",AP207)</f>
        <v/>
      </c>
      <c r="AV207" s="63" t="str">
        <f aca="false">IF(ISBLANK($C207),"",IF($AE207=Constants!$B$7,RANK(AU207,AU$8:AU$507),$AE207))</f>
        <v/>
      </c>
      <c r="AW207" s="63" t="str">
        <f aca="false">IF(ISBLANK($C207), "",AC207)</f>
        <v/>
      </c>
      <c r="AX207" s="63" t="str">
        <f aca="false">IF(ISBLANK($C207),"",
IF($AE207=Constants!$B$7,
  COUNTIFS($AR$8:$AR$507,"&lt;"&amp;$AR207)
  + COUNTIFS($AR$8:$AR$507,$AR207,$AT$8:$AT$507,"&lt;"&amp;$AT207)
  + COUNTIFS($AR$8:$AR$507,$AR207,$AT$8:$AT$507,$AT207,$AV$8:$AV$507,"&lt;"&amp;$AV207)
  + COUNTIFS($AR$8:$AR$507,$AR207,$AT$8:$AT$507,$AT207,$AV$8:$AV$507,$AV207,$AW$8:$AW$507,"&lt;"&amp;$AW207)
  + 1,
$AE207))</f>
        <v/>
      </c>
      <c r="AY207" s="63" t="str">
        <f aca="false">IF(ISBLANK(C207),"",IF($AE207=Constants!$B$7, AR207-AX207,$AE207))</f>
        <v/>
      </c>
      <c r="AZ207" s="67"/>
      <c r="BA207" s="81" t="str">
        <f aca="false">IF(ISBLANK($C207),"",TRIM(AI207&amp;" "&amp;AM207))</f>
        <v/>
      </c>
      <c r="BB207" s="69" t="str">
        <f aca="false">IF(ISBLANK($C207),"",IF($AE207&lt;&gt;Constants!$B$7, $AE207 ,AQ207))</f>
        <v/>
      </c>
      <c r="BC207" s="70" t="str">
        <f aca="false">IF(ISBLANK($C207),"",IF($AE207&lt;&gt;Constants!$B$7, $AE207 ,AF207))</f>
        <v/>
      </c>
      <c r="BD207" s="71" t="str">
        <f aca="false">IF(ISBLANK(C207),"",AY207)</f>
        <v/>
      </c>
      <c r="BE207" s="71" t="str">
        <f aca="false">IF(ISBLANK(C207),"",AX207)</f>
        <v/>
      </c>
      <c r="BF207" s="72" t="str">
        <f aca="false">IF(ISBLANK(C207),"",IFERROR(_xlfn.SWITCH(BE207, Constants!$B$4, COUNTA($C$8:$C706)+2, Constants!$B$5, COUNTA($C$8:$C706)+1, Constants!$B$6, COUNTA($C$8:$C706)),BE207))</f>
        <v/>
      </c>
      <c r="BG207" s="5"/>
      <c r="BH207" s="73" t="n">
        <f aca="false">IF(OR(ISNUMBER(BE207),BE207="DQ",BE207="P",BE207="NS"),
    1,
    0
)</f>
        <v>0</v>
      </c>
      <c r="BI207" s="73" t="n">
        <v>200</v>
      </c>
      <c r="BJ207" s="73" t="str">
        <f aca="false">IF(ISBLANK($C207),
    "",
   BF207+ROW($B207)/1000
)</f>
        <v/>
      </c>
      <c r="BK207" s="73" t="str">
        <f aca="false">IF(ISNUMBER(BJ207), RANK(BJ207,BJ$8:BJ$507,1), "")</f>
        <v/>
      </c>
      <c r="BL207" s="73" t="str">
        <f aca="false">IF(ISBLANK($C207),
    "",
    $B207
)</f>
        <v/>
      </c>
      <c r="BM207" s="73" t="str">
        <f aca="false">IF(ISBLANK($C207),
    "",
    $C207
)</f>
        <v/>
      </c>
      <c r="BN207" s="73" t="str">
        <f aca="false">IF(ISBLANK($C207),
    "",
    $D207
)</f>
        <v/>
      </c>
      <c r="BO207" s="74" t="str">
        <f aca="false">BC207</f>
        <v/>
      </c>
      <c r="BP207" s="75" t="str">
        <f aca="false">BB207</f>
        <v/>
      </c>
      <c r="BQ207" s="73" t="str">
        <f aca="false">IF(ISBLANK($C207),
    "",
    BE207
)</f>
        <v/>
      </c>
      <c r="BR207" s="76" t="str">
        <f aca="false">IF(BI207&gt;BH$7,
    "",
    VLOOKUP(BI207,BK$8:BQ706,7,FALSE())
)</f>
        <v/>
      </c>
      <c r="BS207" s="77" t="str">
        <f aca="false">IF(BI207&gt;BH$7,
    "",
    VLOOKUP(BI207,BK$8:BQ706,2,FALSE())
)</f>
        <v/>
      </c>
      <c r="BT207" s="77" t="str">
        <f aca="false">IF(BI207&gt;BH$7,
    "",
    VLOOKUP(BI207,BK$8:BQ706,3,FALSE())
)</f>
        <v/>
      </c>
      <c r="BU207" s="77" t="str">
        <f aca="false">IF(BI207&gt;BH$7,
    "",
    VLOOKUP(BI207,BK$8:BQ706,4,FALSE())
)</f>
        <v/>
      </c>
      <c r="BV207" s="77" t="str">
        <f aca="false">IF(BI207&gt;BH$7,
    "",
    VLOOKUP(BI207,BK$8:BQ706,5,FALSE())
)</f>
        <v/>
      </c>
      <c r="BW207" s="78" t="str">
        <f aca="false">IF(BI207&gt;BH$7,
    "",
    VLOOKUP(BI207,BK$8:BQ706,6,FALSE())
)</f>
        <v/>
      </c>
      <c r="BX207" s="50"/>
    </row>
    <row r="208" customFormat="false" ht="15.75" hidden="false" customHeight="false" outlineLevel="0" collapsed="false">
      <c r="A208" s="5"/>
      <c r="B208" s="126"/>
      <c r="C208" s="52"/>
      <c r="D208" s="53"/>
      <c r="E208" s="120"/>
      <c r="F208" s="120"/>
      <c r="G208" s="55"/>
      <c r="H208" s="56"/>
      <c r="I208" s="80"/>
      <c r="J208" s="80"/>
      <c r="K208" s="80"/>
      <c r="L208" s="58"/>
      <c r="M208" s="58"/>
      <c r="N208" s="58"/>
      <c r="O208" s="59"/>
      <c r="P208" s="60"/>
      <c r="Q208" s="80"/>
      <c r="R208" s="62"/>
      <c r="S208" s="63"/>
      <c r="T208" s="63" t="str">
        <f aca="false">IF(ISBLANK($C208),"",IF(G208=Constants!$B$2, TRUE(), IF(G208=Constants!$B$3, FALSE(), TRUE())))</f>
        <v/>
      </c>
      <c r="U208" s="63" t="str">
        <f aca="false">IF(ISBLANK($C208),"",IF(H208=Constants!$B$2, TRUE(), IF(H208=Constants!$B$3, FALSE(), TRUE())))</f>
        <v/>
      </c>
      <c r="V208" s="63" t="str">
        <f aca="false">IF(ISBLANK($C208),"",IF(I208=Constants!$B$2, TRUE(), IF(I208=Constants!$B$3, FALSE(), TRUE())))</f>
        <v/>
      </c>
      <c r="W208" s="63" t="str">
        <f aca="false">IF(ISBLANK($C208),"",IF(J208=Constants!$B$2, TRUE(), IF(J208=Constants!$B$3, FALSE(), TRUE())))</f>
        <v/>
      </c>
      <c r="X208" s="63" t="str">
        <f aca="false">IF(ISBLANK($C208),"",IF(K208=Constants!$B$2, TRUE(), IF(K208=Constants!$B$3, FALSE(), TRUE())))</f>
        <v/>
      </c>
      <c r="Y208" s="65" t="str">
        <f aca="false">IF(ISBLANK($C208),"",IF(ISNUMBER(L208), L208, ""))</f>
        <v/>
      </c>
      <c r="Z208" s="65" t="str">
        <f aca="false">IF(ISBLANK($C208),"",IF(ISNUMBER(M208), M208, ""))</f>
        <v/>
      </c>
      <c r="AA208" s="65" t="str">
        <f aca="false">IF(ISBLANK($C208),"",IF(ISNUMBER(N208), N208, ""))</f>
        <v/>
      </c>
      <c r="AB208" s="66" t="str">
        <f aca="false">IF(ISBLANK($C208),"",IF(ISNUMBER(O208), O208, ""))</f>
        <v/>
      </c>
      <c r="AC208" s="66" t="str">
        <f aca="false">IF(ISBLANK($C208),"",IF(ISNUMBER(P208), P208, Constants!$B$13))</f>
        <v/>
      </c>
      <c r="AD208" s="63" t="str">
        <f aca="false">IF(ISBLANK($C208),"",IF(Q208=Constants!$B$2, TRUE(), IF(Q208=Constants!$B$3, FALSE(), FALSE())))</f>
        <v/>
      </c>
      <c r="AE208" s="63" t="str">
        <f aca="false">IF(ISBLANK(C208), "", IF(AD208, Constants!$B$4,IF(COUNTA(G208:O208)=0, Constants!$B$5, Constants!$B$7)))</f>
        <v/>
      </c>
      <c r="AF208" s="63" t="str">
        <f aca="false">IF(ISBLANK($C208), "",IF($AE208=Constants!$B$7,1,$AE208))</f>
        <v/>
      </c>
      <c r="AG208" s="63" t="str">
        <f aca="false">IF($AE208=Constants!$B$7,IF(V208, 1, Constants!$B$11) * IF(X208, 1, Constants!$B$12),"")</f>
        <v/>
      </c>
      <c r="AH208" s="63" t="str">
        <f aca="false">IF(AND($AE208=Constants!$B$7, T208, U208) ,MAX(0, $AA208-$Y208),"")</f>
        <v/>
      </c>
      <c r="AI208" s="63" t="str">
        <f aca="false">IF(ISERROR(AH208),$AI$6,"")</f>
        <v/>
      </c>
      <c r="AJ208" s="63" t="str">
        <f aca="false">IF($AE208=Constants!$B$7,IF(AND(T208,U208,W208),IF($AH$6=0,Constants!$B$9,Constants!$B$9*AH208/$AH$6), 0),"")</f>
        <v/>
      </c>
      <c r="AK208" s="63" t="str">
        <f aca="false">IF(AJ208&lt;&gt;"", AJ208*AG208,"")</f>
        <v/>
      </c>
      <c r="AL208" s="63" t="str">
        <f aca="false">IF(AND($AE208=Constants!$B$7, T208, U208) ,IF($Z208="", "", MAX(0,1-ABS($AA208-$Z208)/$AA208)),"")</f>
        <v/>
      </c>
      <c r="AM208" s="63" t="str">
        <f aca="false">IF(AND(NOT(ISERROR(AH208)),ISERROR(AL208)),$AM$6,"")</f>
        <v/>
      </c>
      <c r="AN208" s="63" t="str">
        <f aca="false">IF($AE208=Constants!$B$7 ,IF(AND(T208,U208,W208,ISNUMBER(Z208)),IF($AL$6=0,Constants!$B$10,Constants!$B$10*AL208/$AL$6), 0),"")</f>
        <v/>
      </c>
      <c r="AO208" s="63" t="str">
        <f aca="false">IF(AN208&lt;&gt;"", AN208*AG208,"")</f>
        <v/>
      </c>
      <c r="AP208" s="63" t="str">
        <f aca="false">IF($AE208=Constants!$B$7,IF($AP$6=0,Constants!$B$8,Constants!$B$8*AB208/$AP$6),"")</f>
        <v/>
      </c>
      <c r="AQ208" s="63" t="str">
        <f aca="false">IF($AE208&lt;&gt;Constants!$B$7,$AE208,AK208+AO208+AP208)</f>
        <v/>
      </c>
      <c r="AR208" s="63" t="str">
        <f aca="false">IF(ISBLANK($C208),"",IF($AE208=Constants!$B$7,RANK(AQ208,$AQ$8:$AQ$507),$AE208))</f>
        <v/>
      </c>
      <c r="AS208" s="63" t="str">
        <f aca="false">IF(ISBLANK($C208), "",AK208)</f>
        <v/>
      </c>
      <c r="AT208" s="63" t="str">
        <f aca="false">IF(ISBLANK($C208),"",IF($AE208=Constants!$B$7,RANK(AS208,AS$8:AS$507),$AE208))</f>
        <v/>
      </c>
      <c r="AU208" s="63" t="str">
        <f aca="false">IF(ISBLANK($C208), "",AP208)</f>
        <v/>
      </c>
      <c r="AV208" s="63" t="str">
        <f aca="false">IF(ISBLANK($C208),"",IF($AE208=Constants!$B$7,RANK(AU208,AU$8:AU$507),$AE208))</f>
        <v/>
      </c>
      <c r="AW208" s="63" t="str">
        <f aca="false">IF(ISBLANK($C208), "",AC208)</f>
        <v/>
      </c>
      <c r="AX208" s="63" t="str">
        <f aca="false">IF(ISBLANK($C208),"",
IF($AE208=Constants!$B$7,
  COUNTIFS($AR$8:$AR$507,"&lt;"&amp;$AR208)
  + COUNTIFS($AR$8:$AR$507,$AR208,$AT$8:$AT$507,"&lt;"&amp;$AT208)
  + COUNTIFS($AR$8:$AR$507,$AR208,$AT$8:$AT$507,$AT208,$AV$8:$AV$507,"&lt;"&amp;$AV208)
  + COUNTIFS($AR$8:$AR$507,$AR208,$AT$8:$AT$507,$AT208,$AV$8:$AV$507,$AV208,$AW$8:$AW$507,"&lt;"&amp;$AW208)
  + 1,
$AE208))</f>
        <v/>
      </c>
      <c r="AY208" s="63" t="str">
        <f aca="false">IF(ISBLANK(C208),"",IF($AE208=Constants!$B$7, AR208-AX208,$AE208))</f>
        <v/>
      </c>
      <c r="AZ208" s="67"/>
      <c r="BA208" s="81" t="str">
        <f aca="false">IF(ISBLANK($C208),"",TRIM(AI208&amp;" "&amp;AM208))</f>
        <v/>
      </c>
      <c r="BB208" s="69" t="str">
        <f aca="false">IF(ISBLANK($C208),"",IF($AE208&lt;&gt;Constants!$B$7, $AE208 ,AQ208))</f>
        <v/>
      </c>
      <c r="BC208" s="70" t="str">
        <f aca="false">IF(ISBLANK($C208),"",IF($AE208&lt;&gt;Constants!$B$7, $AE208 ,AF208))</f>
        <v/>
      </c>
      <c r="BD208" s="71" t="str">
        <f aca="false">IF(ISBLANK(C208),"",AY208)</f>
        <v/>
      </c>
      <c r="BE208" s="71" t="str">
        <f aca="false">IF(ISBLANK(C208),"",AX208)</f>
        <v/>
      </c>
      <c r="BF208" s="72" t="str">
        <f aca="false">IF(ISBLANK(C208),"",IFERROR(_xlfn.SWITCH(BE208, Constants!$B$4, COUNTA($C$8:$C707)+2, Constants!$B$5, COUNTA($C$8:$C707)+1, Constants!$B$6, COUNTA($C$8:$C707)),BE208))</f>
        <v/>
      </c>
      <c r="BG208" s="5"/>
      <c r="BH208" s="73" t="n">
        <f aca="false">IF(OR(ISNUMBER(BE208),BE208="DQ",BE208="P",BE208="NS"),
    1,
    0
)</f>
        <v>0</v>
      </c>
      <c r="BI208" s="73" t="n">
        <v>201</v>
      </c>
      <c r="BJ208" s="73" t="str">
        <f aca="false">IF(ISBLANK($C208),
    "",
   BF208+ROW($B208)/1000
)</f>
        <v/>
      </c>
      <c r="BK208" s="73" t="str">
        <f aca="false">IF(ISNUMBER(BJ208), RANK(BJ208,BJ$8:BJ$507,1), "")</f>
        <v/>
      </c>
      <c r="BL208" s="73" t="str">
        <f aca="false">IF(ISBLANK($C208),
    "",
    $B208
)</f>
        <v/>
      </c>
      <c r="BM208" s="73" t="str">
        <f aca="false">IF(ISBLANK($C208),
    "",
    $C208
)</f>
        <v/>
      </c>
      <c r="BN208" s="73" t="str">
        <f aca="false">IF(ISBLANK($C208),
    "",
    $D208
)</f>
        <v/>
      </c>
      <c r="BO208" s="74" t="str">
        <f aca="false">BC208</f>
        <v/>
      </c>
      <c r="BP208" s="75" t="str">
        <f aca="false">BB208</f>
        <v/>
      </c>
      <c r="BQ208" s="73" t="str">
        <f aca="false">IF(ISBLANK($C208),
    "",
    BE208
)</f>
        <v/>
      </c>
      <c r="BR208" s="76" t="str">
        <f aca="false">IF(BI208&gt;BH$7,
    "",
    VLOOKUP(BI208,BK$8:BQ707,7,FALSE())
)</f>
        <v/>
      </c>
      <c r="BS208" s="77" t="str">
        <f aca="false">IF(BI208&gt;BH$7,
    "",
    VLOOKUP(BI208,BK$8:BQ707,2,FALSE())
)</f>
        <v/>
      </c>
      <c r="BT208" s="77" t="str">
        <f aca="false">IF(BI208&gt;BH$7,
    "",
    VLOOKUP(BI208,BK$8:BQ707,3,FALSE())
)</f>
        <v/>
      </c>
      <c r="BU208" s="77" t="str">
        <f aca="false">IF(BI208&gt;BH$7,
    "",
    VLOOKUP(BI208,BK$8:BQ707,4,FALSE())
)</f>
        <v/>
      </c>
      <c r="BV208" s="77" t="str">
        <f aca="false">IF(BI208&gt;BH$7,
    "",
    VLOOKUP(BI208,BK$8:BQ707,5,FALSE())
)</f>
        <v/>
      </c>
      <c r="BW208" s="78" t="str">
        <f aca="false">IF(BI208&gt;BH$7,
    "",
    VLOOKUP(BI208,BK$8:BQ707,6,FALSE())
)</f>
        <v/>
      </c>
      <c r="BX208" s="50"/>
    </row>
    <row r="209" customFormat="false" ht="15.75" hidden="false" customHeight="false" outlineLevel="0" collapsed="false">
      <c r="A209" s="5"/>
      <c r="B209" s="122"/>
      <c r="C209" s="123"/>
      <c r="D209" s="112"/>
      <c r="E209" s="116"/>
      <c r="F209" s="116"/>
      <c r="G209" s="88"/>
      <c r="H209" s="89"/>
      <c r="I209" s="125"/>
      <c r="J209" s="125"/>
      <c r="K209" s="125"/>
      <c r="L209" s="91"/>
      <c r="M209" s="91"/>
      <c r="N209" s="91"/>
      <c r="O209" s="92"/>
      <c r="P209" s="93"/>
      <c r="Q209" s="125"/>
      <c r="R209" s="95"/>
      <c r="S209" s="96"/>
      <c r="T209" s="96" t="str">
        <f aca="false">IF(ISBLANK($C209),"",IF(G209=Constants!$B$2, TRUE(), IF(G209=Constants!$B$3, FALSE(), TRUE())))</f>
        <v/>
      </c>
      <c r="U209" s="96" t="str">
        <f aca="false">IF(ISBLANK($C209),"",IF(H209=Constants!$B$2, TRUE(), IF(H209=Constants!$B$3, FALSE(), TRUE())))</f>
        <v/>
      </c>
      <c r="V209" s="96" t="str">
        <f aca="false">IF(ISBLANK($C209),"",IF(I209=Constants!$B$2, TRUE(), IF(I209=Constants!$B$3, FALSE(), TRUE())))</f>
        <v/>
      </c>
      <c r="W209" s="96" t="str">
        <f aca="false">IF(ISBLANK($C209),"",IF(J209=Constants!$B$2, TRUE(), IF(J209=Constants!$B$3, FALSE(), TRUE())))</f>
        <v/>
      </c>
      <c r="X209" s="97" t="str">
        <f aca="false">IF(ISBLANK($C209),"",IF(K209=Constants!$B$2, TRUE(), IF(K209=Constants!$B$3, FALSE(), TRUE())))</f>
        <v/>
      </c>
      <c r="Y209" s="98" t="str">
        <f aca="false">IF(ISBLANK($C209),"",IF(ISNUMBER(L209), L209, ""))</f>
        <v/>
      </c>
      <c r="Z209" s="98" t="str">
        <f aca="false">IF(ISBLANK($C209),"",IF(ISNUMBER(M209), M209, ""))</f>
        <v/>
      </c>
      <c r="AA209" s="98" t="str">
        <f aca="false">IF(ISBLANK($C209),"",IF(ISNUMBER(N209), N209, ""))</f>
        <v/>
      </c>
      <c r="AB209" s="99" t="str">
        <f aca="false">IF(ISBLANK($C209),"",IF(ISNUMBER(O209), O209, ""))</f>
        <v/>
      </c>
      <c r="AC209" s="99" t="str">
        <f aca="false">IF(ISBLANK($C209),"",IF(ISNUMBER(P209), P209, Constants!$B$13))</f>
        <v/>
      </c>
      <c r="AD209" s="96" t="str">
        <f aca="false">IF(ISBLANK($C209),"",IF(Q209=Constants!$B$2, TRUE(), IF(Q209=Constants!$B$3, FALSE(), FALSE())))</f>
        <v/>
      </c>
      <c r="AE209" s="96" t="str">
        <f aca="false">IF(ISBLANK(C209), "", IF(AD209, Constants!$B$4,IF(COUNTA(G209:O209)=0, Constants!$B$5, Constants!$B$7)))</f>
        <v/>
      </c>
      <c r="AF209" s="96" t="str">
        <f aca="false">IF(ISBLANK($C209), "",IF($AE209=Constants!$B$7,1,$AE209))</f>
        <v/>
      </c>
      <c r="AG209" s="96" t="str">
        <f aca="false">IF($AE209=Constants!$B$7,IF(V209, 1, Constants!$B$11) * IF(X209, 1, Constants!$B$12),"")</f>
        <v/>
      </c>
      <c r="AH209" s="96" t="str">
        <f aca="false">IF(AND($AE209=Constants!$B$7, T209, U209) ,MAX(0, $AA209-$Y209),"")</f>
        <v/>
      </c>
      <c r="AI209" s="96" t="str">
        <f aca="false">IF(ISERROR(AH209),$AI$6,"")</f>
        <v/>
      </c>
      <c r="AJ209" s="96" t="str">
        <f aca="false">IF($AE209=Constants!$B$7,IF(AND(T209,U209,W209),IF($AH$6=0,Constants!$B$9,Constants!$B$9*AH209/$AH$6), 0),"")</f>
        <v/>
      </c>
      <c r="AK209" s="96" t="str">
        <f aca="false">IF(AJ209&lt;&gt;"", AJ209*AG209,"")</f>
        <v/>
      </c>
      <c r="AL209" s="96" t="str">
        <f aca="false">IF(AND($AE209=Constants!$B$7, T209, U209) ,IF($Z209="", "", MAX(0,1-ABS($AA209-$Z209)/$AA209)),"")</f>
        <v/>
      </c>
      <c r="AM209" s="96" t="str">
        <f aca="false">IF(AND(NOT(ISERROR(AH209)),ISERROR(AL209)),$AM$6,"")</f>
        <v/>
      </c>
      <c r="AN209" s="96" t="str">
        <f aca="false">IF($AE209=Constants!$B$7 ,IF(AND(T209,U209,W209,ISNUMBER(Z209)),IF($AL$6=0,Constants!$B$10,Constants!$B$10*AL209/$AL$6), 0),"")</f>
        <v/>
      </c>
      <c r="AO209" s="96" t="str">
        <f aca="false">IF(AN209&lt;&gt;"", AN209*AG209,"")</f>
        <v/>
      </c>
      <c r="AP209" s="96" t="str">
        <f aca="false">IF($AE209=Constants!$B$7,IF($AP$6=0,Constants!$B$8,Constants!$B$8*AB209/$AP$6),"")</f>
        <v/>
      </c>
      <c r="AQ209" s="96" t="str">
        <f aca="false">IF($AE209&lt;&gt;Constants!$B$7,$AE209,AK209+AO209+AP209)</f>
        <v/>
      </c>
      <c r="AR209" s="96" t="str">
        <f aca="false">IF(ISBLANK($C209),"",IF($AE209=Constants!$B$7,RANK(AQ209,$AQ$8:$AQ$507),$AE209))</f>
        <v/>
      </c>
      <c r="AS209" s="96" t="str">
        <f aca="false">IF(ISBLANK($C209), "",AK209)</f>
        <v/>
      </c>
      <c r="AT209" s="96" t="str">
        <f aca="false">IF(ISBLANK($C209),"",IF($AE209=Constants!$B$7,RANK(AS209,AS$8:AS$507),$AE209))</f>
        <v/>
      </c>
      <c r="AU209" s="96" t="str">
        <f aca="false">IF(ISBLANK($C209), "",AP209)</f>
        <v/>
      </c>
      <c r="AV209" s="96" t="str">
        <f aca="false">IF(ISBLANK($C209),"",IF($AE209=Constants!$B$7,RANK(AU209,AU$8:AU$507),$AE209))</f>
        <v/>
      </c>
      <c r="AW209" s="96" t="str">
        <f aca="false">IF(ISBLANK($C209), "",AC209)</f>
        <v/>
      </c>
      <c r="AX209" s="96" t="str">
        <f aca="false">IF(ISBLANK($C209),"",
IF($AE209=Constants!$B$7,
  COUNTIFS($AR$8:$AR$507,"&lt;"&amp;$AR209)
  + COUNTIFS($AR$8:$AR$507,$AR209,$AT$8:$AT$507,"&lt;"&amp;$AT209)
  + COUNTIFS($AR$8:$AR$507,$AR209,$AT$8:$AT$507,$AT209,$AV$8:$AV$507,"&lt;"&amp;$AV209)
  + COUNTIFS($AR$8:$AR$507,$AR209,$AT$8:$AT$507,$AT209,$AV$8:$AV$507,$AV209,$AW$8:$AW$507,"&lt;"&amp;$AW209)
  + 1,
$AE209))</f>
        <v/>
      </c>
      <c r="AY209" s="96" t="str">
        <f aca="false">IF(ISBLANK(C209),"",IF($AE209=Constants!$B$7, AR209-AX209,$AE209))</f>
        <v/>
      </c>
      <c r="AZ209" s="100"/>
      <c r="BA209" s="101" t="str">
        <f aca="false">IF(ISBLANK($C209),"",TRIM(AI209&amp;" "&amp;AM209))</f>
        <v/>
      </c>
      <c r="BB209" s="102" t="str">
        <f aca="false">IF(ISBLANK($C209),"",IF($AE209&lt;&gt;Constants!$B$7, $AE209 ,AQ209))</f>
        <v/>
      </c>
      <c r="BC209" s="103" t="str">
        <f aca="false">IF(ISBLANK($C209),"",IF($AE209&lt;&gt;Constants!$B$7, $AE209 ,AF209))</f>
        <v/>
      </c>
      <c r="BD209" s="104" t="str">
        <f aca="false">IF(ISBLANK(C209),"",AY209)</f>
        <v/>
      </c>
      <c r="BE209" s="104" t="str">
        <f aca="false">IF(ISBLANK(C209),"",AX209)</f>
        <v/>
      </c>
      <c r="BF209" s="105" t="str">
        <f aca="false">IF(ISBLANK(C209),"",IFERROR(_xlfn.SWITCH(BE209, Constants!$B$4, COUNTA($C$8:$C708)+2, Constants!$B$5, COUNTA($C$8:$C708)+1, Constants!$B$6, COUNTA($C$8:$C708)),BE209))</f>
        <v/>
      </c>
      <c r="BG209" s="5"/>
      <c r="BH209" s="106" t="n">
        <f aca="false">IF(OR(ISNUMBER(BE209),BE209="DQ",BE209="P",BE209="NS"),
    1,
    0
)</f>
        <v>0</v>
      </c>
      <c r="BI209" s="106" t="n">
        <v>202</v>
      </c>
      <c r="BJ209" s="106" t="str">
        <f aca="false">IF(ISBLANK($C209),
    "",
   BF209+ROW($B209)/1000
)</f>
        <v/>
      </c>
      <c r="BK209" s="106" t="str">
        <f aca="false">IF(ISNUMBER(BJ209), RANK(BJ209,BJ$8:BJ$507,1), "")</f>
        <v/>
      </c>
      <c r="BL209" s="106" t="str">
        <f aca="false">IF(ISBLANK($C209),
    "",
    $B209
)</f>
        <v/>
      </c>
      <c r="BM209" s="106" t="str">
        <f aca="false">IF(ISBLANK($C209),
    "",
    $C209
)</f>
        <v/>
      </c>
      <c r="BN209" s="106" t="str">
        <f aca="false">IF(ISBLANK($C209),
    "",
    $D209
)</f>
        <v/>
      </c>
      <c r="BO209" s="107" t="str">
        <f aca="false">BC209</f>
        <v/>
      </c>
      <c r="BP209" s="108" t="str">
        <f aca="false">BB209</f>
        <v/>
      </c>
      <c r="BQ209" s="106" t="str">
        <f aca="false">IF(ISBLANK($C209),
    "",
    BE209
)</f>
        <v/>
      </c>
      <c r="BR209" s="109" t="str">
        <f aca="false">IF(BI209&gt;BH$7,
    "",
    VLOOKUP(BI209,BK$8:BQ708,7,FALSE())
)</f>
        <v/>
      </c>
      <c r="BS209" s="110" t="str">
        <f aca="false">IF(BI209&gt;BH$7,
    "",
    VLOOKUP(BI209,BK$8:BQ708,2,FALSE())
)</f>
        <v/>
      </c>
      <c r="BT209" s="110" t="str">
        <f aca="false">IF(BI209&gt;BH$7,
    "",
    VLOOKUP(BI209,BK$8:BQ708,3,FALSE())
)</f>
        <v/>
      </c>
      <c r="BU209" s="110" t="str">
        <f aca="false">IF(BI209&gt;BH$7,
    "",
    VLOOKUP(BI209,BK$8:BQ708,4,FALSE())
)</f>
        <v/>
      </c>
      <c r="BV209" s="110" t="str">
        <f aca="false">IF(BI209&gt;BH$7,
    "",
    VLOOKUP(BI209,BK$8:BQ708,5,FALSE())
)</f>
        <v/>
      </c>
      <c r="BW209" s="111" t="str">
        <f aca="false">IF(BI209&gt;BH$7,
    "",
    VLOOKUP(BI209,BK$8:BQ708,6,FALSE())
)</f>
        <v/>
      </c>
      <c r="BX209" s="50"/>
    </row>
    <row r="210" customFormat="false" ht="15.75" hidden="false" customHeight="false" outlineLevel="0" collapsed="false">
      <c r="A210" s="5"/>
      <c r="B210" s="122"/>
      <c r="C210" s="123"/>
      <c r="D210" s="112"/>
      <c r="E210" s="116"/>
      <c r="F210" s="116"/>
      <c r="G210" s="88"/>
      <c r="H210" s="89"/>
      <c r="I210" s="125"/>
      <c r="J210" s="125"/>
      <c r="K210" s="125"/>
      <c r="L210" s="91"/>
      <c r="M210" s="91"/>
      <c r="N210" s="91"/>
      <c r="O210" s="92"/>
      <c r="P210" s="93"/>
      <c r="Q210" s="125"/>
      <c r="R210" s="95"/>
      <c r="S210" s="96"/>
      <c r="T210" s="96" t="str">
        <f aca="false">IF(ISBLANK($C210),"",IF(G210=Constants!$B$2, TRUE(), IF(G210=Constants!$B$3, FALSE(), TRUE())))</f>
        <v/>
      </c>
      <c r="U210" s="96" t="str">
        <f aca="false">IF(ISBLANK($C210),"",IF(H210=Constants!$B$2, TRUE(), IF(H210=Constants!$B$3, FALSE(), TRUE())))</f>
        <v/>
      </c>
      <c r="V210" s="96" t="str">
        <f aca="false">IF(ISBLANK($C210),"",IF(I210=Constants!$B$2, TRUE(), IF(I210=Constants!$B$3, FALSE(), TRUE())))</f>
        <v/>
      </c>
      <c r="W210" s="96" t="str">
        <f aca="false">IF(ISBLANK($C210),"",IF(J210=Constants!$B$2, TRUE(), IF(J210=Constants!$B$3, FALSE(), TRUE())))</f>
        <v/>
      </c>
      <c r="X210" s="97" t="str">
        <f aca="false">IF(ISBLANK($C210),"",IF(K210=Constants!$B$2, TRUE(), IF(K210=Constants!$B$3, FALSE(), TRUE())))</f>
        <v/>
      </c>
      <c r="Y210" s="98" t="str">
        <f aca="false">IF(ISBLANK($C210),"",IF(ISNUMBER(L210), L210, ""))</f>
        <v/>
      </c>
      <c r="Z210" s="98" t="str">
        <f aca="false">IF(ISBLANK($C210),"",IF(ISNUMBER(M210), M210, ""))</f>
        <v/>
      </c>
      <c r="AA210" s="98" t="str">
        <f aca="false">IF(ISBLANK($C210),"",IF(ISNUMBER(N210), N210, ""))</f>
        <v/>
      </c>
      <c r="AB210" s="99" t="str">
        <f aca="false">IF(ISBLANK($C210),"",IF(ISNUMBER(O210), O210, ""))</f>
        <v/>
      </c>
      <c r="AC210" s="99" t="str">
        <f aca="false">IF(ISBLANK($C210),"",IF(ISNUMBER(P210), P210, Constants!$B$13))</f>
        <v/>
      </c>
      <c r="AD210" s="96" t="str">
        <f aca="false">IF(ISBLANK($C210),"",IF(Q210=Constants!$B$2, TRUE(), IF(Q210=Constants!$B$3, FALSE(), FALSE())))</f>
        <v/>
      </c>
      <c r="AE210" s="96" t="str">
        <f aca="false">IF(ISBLANK(C210), "", IF(AD210, Constants!$B$4,IF(COUNTA(G210:O210)=0, Constants!$B$5, Constants!$B$7)))</f>
        <v/>
      </c>
      <c r="AF210" s="96" t="str">
        <f aca="false">IF(ISBLANK($C210), "",IF($AE210=Constants!$B$7,1,$AE210))</f>
        <v/>
      </c>
      <c r="AG210" s="96" t="str">
        <f aca="false">IF($AE210=Constants!$B$7,IF(V210, 1, Constants!$B$11) * IF(X210, 1, Constants!$B$12),"")</f>
        <v/>
      </c>
      <c r="AH210" s="96" t="str">
        <f aca="false">IF(AND($AE210=Constants!$B$7, T210, U210) ,MAX(0, $AA210-$Y210),"")</f>
        <v/>
      </c>
      <c r="AI210" s="96" t="str">
        <f aca="false">IF(ISERROR(AH210),$AI$6,"")</f>
        <v/>
      </c>
      <c r="AJ210" s="96" t="str">
        <f aca="false">IF($AE210=Constants!$B$7,IF(AND(T210,U210,W210),IF($AH$6=0,Constants!$B$9,Constants!$B$9*AH210/$AH$6), 0),"")</f>
        <v/>
      </c>
      <c r="AK210" s="96" t="str">
        <f aca="false">IF(AJ210&lt;&gt;"", AJ210*AG210,"")</f>
        <v/>
      </c>
      <c r="AL210" s="96" t="str">
        <f aca="false">IF(AND($AE210=Constants!$B$7, T210, U210) ,IF($Z210="", "", MAX(0,1-ABS($AA210-$Z210)/$AA210)),"")</f>
        <v/>
      </c>
      <c r="AM210" s="96" t="str">
        <f aca="false">IF(AND(NOT(ISERROR(AH210)),ISERROR(AL210)),$AM$6,"")</f>
        <v/>
      </c>
      <c r="AN210" s="96" t="str">
        <f aca="false">IF($AE210=Constants!$B$7 ,IF(AND(T210,U210,W210,ISNUMBER(Z210)),IF($AL$6=0,Constants!$B$10,Constants!$B$10*AL210/$AL$6), 0),"")</f>
        <v/>
      </c>
      <c r="AO210" s="96" t="str">
        <f aca="false">IF(AN210&lt;&gt;"", AN210*AG210,"")</f>
        <v/>
      </c>
      <c r="AP210" s="96" t="str">
        <f aca="false">IF($AE210=Constants!$B$7,IF($AP$6=0,Constants!$B$8,Constants!$B$8*AB210/$AP$6),"")</f>
        <v/>
      </c>
      <c r="AQ210" s="96" t="str">
        <f aca="false">IF($AE210&lt;&gt;Constants!$B$7,$AE210,AK210+AO210+AP210)</f>
        <v/>
      </c>
      <c r="AR210" s="96" t="str">
        <f aca="false">IF(ISBLANK($C210),"",IF($AE210=Constants!$B$7,RANK(AQ210,$AQ$8:$AQ$507),$AE210))</f>
        <v/>
      </c>
      <c r="AS210" s="96" t="str">
        <f aca="false">IF(ISBLANK($C210), "",AK210)</f>
        <v/>
      </c>
      <c r="AT210" s="96" t="str">
        <f aca="false">IF(ISBLANK($C210),"",IF($AE210=Constants!$B$7,RANK(AS210,AS$8:AS$507),$AE210))</f>
        <v/>
      </c>
      <c r="AU210" s="96" t="str">
        <f aca="false">IF(ISBLANK($C210), "",AP210)</f>
        <v/>
      </c>
      <c r="AV210" s="96" t="str">
        <f aca="false">IF(ISBLANK($C210),"",IF($AE210=Constants!$B$7,RANK(AU210,AU$8:AU$507),$AE210))</f>
        <v/>
      </c>
      <c r="AW210" s="96" t="str">
        <f aca="false">IF(ISBLANK($C210), "",AC210)</f>
        <v/>
      </c>
      <c r="AX210" s="96" t="str">
        <f aca="false">IF(ISBLANK($C210),"",
IF($AE210=Constants!$B$7,
  COUNTIFS($AR$8:$AR$507,"&lt;"&amp;$AR210)
  + COUNTIFS($AR$8:$AR$507,$AR210,$AT$8:$AT$507,"&lt;"&amp;$AT210)
  + COUNTIFS($AR$8:$AR$507,$AR210,$AT$8:$AT$507,$AT210,$AV$8:$AV$507,"&lt;"&amp;$AV210)
  + COUNTIFS($AR$8:$AR$507,$AR210,$AT$8:$AT$507,$AT210,$AV$8:$AV$507,$AV210,$AW$8:$AW$507,"&lt;"&amp;$AW210)
  + 1,
$AE210))</f>
        <v/>
      </c>
      <c r="AY210" s="96" t="str">
        <f aca="false">IF(ISBLANK(C210),"",IF($AE210=Constants!$B$7, AR210-AX210,$AE210))</f>
        <v/>
      </c>
      <c r="AZ210" s="100"/>
      <c r="BA210" s="101" t="str">
        <f aca="false">IF(ISBLANK($C210),"",TRIM(AI210&amp;" "&amp;AM210))</f>
        <v/>
      </c>
      <c r="BB210" s="102" t="str">
        <f aca="false">IF(ISBLANK($C210),"",IF($AE210&lt;&gt;Constants!$B$7, $AE210 ,AQ210))</f>
        <v/>
      </c>
      <c r="BC210" s="103" t="str">
        <f aca="false">IF(ISBLANK($C210),"",IF($AE210&lt;&gt;Constants!$B$7, $AE210 ,AF210))</f>
        <v/>
      </c>
      <c r="BD210" s="104" t="str">
        <f aca="false">IF(ISBLANK(C210),"",AY210)</f>
        <v/>
      </c>
      <c r="BE210" s="104" t="str">
        <f aca="false">IF(ISBLANK(C210),"",AX210)</f>
        <v/>
      </c>
      <c r="BF210" s="105" t="str">
        <f aca="false">IF(ISBLANK(C210),"",IFERROR(_xlfn.SWITCH(BE210, Constants!$B$4, COUNTA($C$8:$C709)+2, Constants!$B$5, COUNTA($C$8:$C709)+1, Constants!$B$6, COUNTA($C$8:$C709)),BE210))</f>
        <v/>
      </c>
      <c r="BG210" s="5"/>
      <c r="BH210" s="106" t="n">
        <f aca="false">IF(OR(ISNUMBER(BE210),BE210="DQ",BE210="P",BE210="NS"),
    1,
    0
)</f>
        <v>0</v>
      </c>
      <c r="BI210" s="106" t="n">
        <v>203</v>
      </c>
      <c r="BJ210" s="106" t="str">
        <f aca="false">IF(ISBLANK($C210),
    "",
   BF210+ROW($B210)/1000
)</f>
        <v/>
      </c>
      <c r="BK210" s="106" t="str">
        <f aca="false">IF(ISNUMBER(BJ210), RANK(BJ210,BJ$8:BJ$507,1), "")</f>
        <v/>
      </c>
      <c r="BL210" s="106" t="str">
        <f aca="false">IF(ISBLANK($C210),
    "",
    $B210
)</f>
        <v/>
      </c>
      <c r="BM210" s="106" t="str">
        <f aca="false">IF(ISBLANK($C210),
    "",
    $C210
)</f>
        <v/>
      </c>
      <c r="BN210" s="106" t="str">
        <f aca="false">IF(ISBLANK($C210),
    "",
    $D210
)</f>
        <v/>
      </c>
      <c r="BO210" s="107" t="str">
        <f aca="false">BC210</f>
        <v/>
      </c>
      <c r="BP210" s="108" t="str">
        <f aca="false">BB210</f>
        <v/>
      </c>
      <c r="BQ210" s="106" t="str">
        <f aca="false">IF(ISBLANK($C210),
    "",
    BE210
)</f>
        <v/>
      </c>
      <c r="BR210" s="109" t="str">
        <f aca="false">IF(BI210&gt;BH$7,
    "",
    VLOOKUP(BI210,BK$8:BQ709,7,FALSE())
)</f>
        <v/>
      </c>
      <c r="BS210" s="110" t="str">
        <f aca="false">IF(BI210&gt;BH$7,
    "",
    VLOOKUP(BI210,BK$8:BQ709,2,FALSE())
)</f>
        <v/>
      </c>
      <c r="BT210" s="110" t="str">
        <f aca="false">IF(BI210&gt;BH$7,
    "",
    VLOOKUP(BI210,BK$8:BQ709,3,FALSE())
)</f>
        <v/>
      </c>
      <c r="BU210" s="110" t="str">
        <f aca="false">IF(BI210&gt;BH$7,
    "",
    VLOOKUP(BI210,BK$8:BQ709,4,FALSE())
)</f>
        <v/>
      </c>
      <c r="BV210" s="110" t="str">
        <f aca="false">IF(BI210&gt;BH$7,
    "",
    VLOOKUP(BI210,BK$8:BQ709,5,FALSE())
)</f>
        <v/>
      </c>
      <c r="BW210" s="111" t="str">
        <f aca="false">IF(BI210&gt;BH$7,
    "",
    VLOOKUP(BI210,BK$8:BQ709,6,FALSE())
)</f>
        <v/>
      </c>
      <c r="BX210" s="50"/>
    </row>
    <row r="211" customFormat="false" ht="15.75" hidden="false" customHeight="false" outlineLevel="0" collapsed="false">
      <c r="A211" s="5"/>
      <c r="B211" s="122"/>
      <c r="C211" s="123"/>
      <c r="D211" s="112"/>
      <c r="E211" s="116"/>
      <c r="F211" s="116"/>
      <c r="G211" s="88"/>
      <c r="H211" s="89"/>
      <c r="I211" s="125"/>
      <c r="J211" s="125"/>
      <c r="K211" s="125"/>
      <c r="L211" s="91"/>
      <c r="M211" s="91"/>
      <c r="N211" s="91"/>
      <c r="O211" s="92"/>
      <c r="P211" s="93"/>
      <c r="Q211" s="125"/>
      <c r="R211" s="95"/>
      <c r="S211" s="96"/>
      <c r="T211" s="96" t="str">
        <f aca="false">IF(ISBLANK($C211),"",IF(G211=Constants!$B$2, TRUE(), IF(G211=Constants!$B$3, FALSE(), TRUE())))</f>
        <v/>
      </c>
      <c r="U211" s="96" t="str">
        <f aca="false">IF(ISBLANK($C211),"",IF(H211=Constants!$B$2, TRUE(), IF(H211=Constants!$B$3, FALSE(), TRUE())))</f>
        <v/>
      </c>
      <c r="V211" s="96" t="str">
        <f aca="false">IF(ISBLANK($C211),"",IF(I211=Constants!$B$2, TRUE(), IF(I211=Constants!$B$3, FALSE(), TRUE())))</f>
        <v/>
      </c>
      <c r="W211" s="96" t="str">
        <f aca="false">IF(ISBLANK($C211),"",IF(J211=Constants!$B$2, TRUE(), IF(J211=Constants!$B$3, FALSE(), TRUE())))</f>
        <v/>
      </c>
      <c r="X211" s="97" t="str">
        <f aca="false">IF(ISBLANK($C211),"",IF(K211=Constants!$B$2, TRUE(), IF(K211=Constants!$B$3, FALSE(), TRUE())))</f>
        <v/>
      </c>
      <c r="Y211" s="98" t="str">
        <f aca="false">IF(ISBLANK($C211),"",IF(ISNUMBER(L211), L211, ""))</f>
        <v/>
      </c>
      <c r="Z211" s="98" t="str">
        <f aca="false">IF(ISBLANK($C211),"",IF(ISNUMBER(M211), M211, ""))</f>
        <v/>
      </c>
      <c r="AA211" s="98" t="str">
        <f aca="false">IF(ISBLANK($C211),"",IF(ISNUMBER(N211), N211, ""))</f>
        <v/>
      </c>
      <c r="AB211" s="99" t="str">
        <f aca="false">IF(ISBLANK($C211),"",IF(ISNUMBER(O211), O211, ""))</f>
        <v/>
      </c>
      <c r="AC211" s="99" t="str">
        <f aca="false">IF(ISBLANK($C211),"",IF(ISNUMBER(P211), P211, Constants!$B$13))</f>
        <v/>
      </c>
      <c r="AD211" s="96" t="str">
        <f aca="false">IF(ISBLANK($C211),"",IF(Q211=Constants!$B$2, TRUE(), IF(Q211=Constants!$B$3, FALSE(), FALSE())))</f>
        <v/>
      </c>
      <c r="AE211" s="96" t="str">
        <f aca="false">IF(ISBLANK(C211), "", IF(AD211, Constants!$B$4,IF(COUNTA(G211:O211)=0, Constants!$B$5, Constants!$B$7)))</f>
        <v/>
      </c>
      <c r="AF211" s="96" t="str">
        <f aca="false">IF(ISBLANK($C211), "",IF($AE211=Constants!$B$7,1,$AE211))</f>
        <v/>
      </c>
      <c r="AG211" s="96" t="str">
        <f aca="false">IF($AE211=Constants!$B$7,IF(V211, 1, Constants!$B$11) * IF(X211, 1, Constants!$B$12),"")</f>
        <v/>
      </c>
      <c r="AH211" s="96" t="str">
        <f aca="false">IF(AND($AE211=Constants!$B$7, T211, U211) ,MAX(0, $AA211-$Y211),"")</f>
        <v/>
      </c>
      <c r="AI211" s="96" t="str">
        <f aca="false">IF(ISERROR(AH211),$AI$6,"")</f>
        <v/>
      </c>
      <c r="AJ211" s="96" t="str">
        <f aca="false">IF($AE211=Constants!$B$7,IF(AND(T211,U211,W211),IF($AH$6=0,Constants!$B$9,Constants!$B$9*AH211/$AH$6), 0),"")</f>
        <v/>
      </c>
      <c r="AK211" s="96" t="str">
        <f aca="false">IF(AJ211&lt;&gt;"", AJ211*AG211,"")</f>
        <v/>
      </c>
      <c r="AL211" s="96" t="str">
        <f aca="false">IF(AND($AE211=Constants!$B$7, T211, U211) ,IF($Z211="", "", MAX(0,1-ABS($AA211-$Z211)/$AA211)),"")</f>
        <v/>
      </c>
      <c r="AM211" s="96" t="str">
        <f aca="false">IF(AND(NOT(ISERROR(AH211)),ISERROR(AL211)),$AM$6,"")</f>
        <v/>
      </c>
      <c r="AN211" s="96" t="str">
        <f aca="false">IF($AE211=Constants!$B$7 ,IF(AND(T211,U211,W211,ISNUMBER(Z211)),IF($AL$6=0,Constants!$B$10,Constants!$B$10*AL211/$AL$6), 0),"")</f>
        <v/>
      </c>
      <c r="AO211" s="96" t="str">
        <f aca="false">IF(AN211&lt;&gt;"", AN211*AG211,"")</f>
        <v/>
      </c>
      <c r="AP211" s="96" t="str">
        <f aca="false">IF($AE211=Constants!$B$7,IF($AP$6=0,Constants!$B$8,Constants!$B$8*AB211/$AP$6),"")</f>
        <v/>
      </c>
      <c r="AQ211" s="96" t="str">
        <f aca="false">IF($AE211&lt;&gt;Constants!$B$7,$AE211,AK211+AO211+AP211)</f>
        <v/>
      </c>
      <c r="AR211" s="96" t="str">
        <f aca="false">IF(ISBLANK($C211),"",IF($AE211=Constants!$B$7,RANK(AQ211,$AQ$8:$AQ$507),$AE211))</f>
        <v/>
      </c>
      <c r="AS211" s="96" t="str">
        <f aca="false">IF(ISBLANK($C211), "",AK211)</f>
        <v/>
      </c>
      <c r="AT211" s="96" t="str">
        <f aca="false">IF(ISBLANK($C211),"",IF($AE211=Constants!$B$7,RANK(AS211,AS$8:AS$507),$AE211))</f>
        <v/>
      </c>
      <c r="AU211" s="96" t="str">
        <f aca="false">IF(ISBLANK($C211), "",AP211)</f>
        <v/>
      </c>
      <c r="AV211" s="96" t="str">
        <f aca="false">IF(ISBLANK($C211),"",IF($AE211=Constants!$B$7,RANK(AU211,AU$8:AU$507),$AE211))</f>
        <v/>
      </c>
      <c r="AW211" s="96" t="str">
        <f aca="false">IF(ISBLANK($C211), "",AC211)</f>
        <v/>
      </c>
      <c r="AX211" s="96" t="str">
        <f aca="false">IF(ISBLANK($C211),"",
IF($AE211=Constants!$B$7,
  COUNTIFS($AR$8:$AR$507,"&lt;"&amp;$AR211)
  + COUNTIFS($AR$8:$AR$507,$AR211,$AT$8:$AT$507,"&lt;"&amp;$AT211)
  + COUNTIFS($AR$8:$AR$507,$AR211,$AT$8:$AT$507,$AT211,$AV$8:$AV$507,"&lt;"&amp;$AV211)
  + COUNTIFS($AR$8:$AR$507,$AR211,$AT$8:$AT$507,$AT211,$AV$8:$AV$507,$AV211,$AW$8:$AW$507,"&lt;"&amp;$AW211)
  + 1,
$AE211))</f>
        <v/>
      </c>
      <c r="AY211" s="96" t="str">
        <f aca="false">IF(ISBLANK(C211),"",IF($AE211=Constants!$B$7, AR211-AX211,$AE211))</f>
        <v/>
      </c>
      <c r="AZ211" s="100"/>
      <c r="BA211" s="101" t="str">
        <f aca="false">IF(ISBLANK($C211),"",TRIM(AI211&amp;" "&amp;AM211))</f>
        <v/>
      </c>
      <c r="BB211" s="102" t="str">
        <f aca="false">IF(ISBLANK($C211),"",IF($AE211&lt;&gt;Constants!$B$7, $AE211 ,AQ211))</f>
        <v/>
      </c>
      <c r="BC211" s="103" t="str">
        <f aca="false">IF(ISBLANK($C211),"",IF($AE211&lt;&gt;Constants!$B$7, $AE211 ,AF211))</f>
        <v/>
      </c>
      <c r="BD211" s="104" t="str">
        <f aca="false">IF(ISBLANK(C211),"",AY211)</f>
        <v/>
      </c>
      <c r="BE211" s="104" t="str">
        <f aca="false">IF(ISBLANK(C211),"",AX211)</f>
        <v/>
      </c>
      <c r="BF211" s="105" t="str">
        <f aca="false">IF(ISBLANK(C211),"",IFERROR(_xlfn.SWITCH(BE211, Constants!$B$4, COUNTA($C$8:$C710)+2, Constants!$B$5, COUNTA($C$8:$C710)+1, Constants!$B$6, COUNTA($C$8:$C710)),BE211))</f>
        <v/>
      </c>
      <c r="BG211" s="5"/>
      <c r="BH211" s="106" t="n">
        <f aca="false">IF(OR(ISNUMBER(BE211),BE211="DQ",BE211="P",BE211="NS"),
    1,
    0
)</f>
        <v>0</v>
      </c>
      <c r="BI211" s="106" t="n">
        <v>204</v>
      </c>
      <c r="BJ211" s="106" t="str">
        <f aca="false">IF(ISBLANK($C211),
    "",
   BF211+ROW($B211)/1000
)</f>
        <v/>
      </c>
      <c r="BK211" s="106" t="str">
        <f aca="false">IF(ISNUMBER(BJ211), RANK(BJ211,BJ$8:BJ$507,1), "")</f>
        <v/>
      </c>
      <c r="BL211" s="106" t="str">
        <f aca="false">IF(ISBLANK($C211),
    "",
    $B211
)</f>
        <v/>
      </c>
      <c r="BM211" s="106" t="str">
        <f aca="false">IF(ISBLANK($C211),
    "",
    $C211
)</f>
        <v/>
      </c>
      <c r="BN211" s="106" t="str">
        <f aca="false">IF(ISBLANK($C211),
    "",
    $D211
)</f>
        <v/>
      </c>
      <c r="BO211" s="107" t="str">
        <f aca="false">BC211</f>
        <v/>
      </c>
      <c r="BP211" s="108" t="str">
        <f aca="false">BB211</f>
        <v/>
      </c>
      <c r="BQ211" s="106" t="str">
        <f aca="false">IF(ISBLANK($C211),
    "",
    BE211
)</f>
        <v/>
      </c>
      <c r="BR211" s="109" t="str">
        <f aca="false">IF(BI211&gt;BH$7,
    "",
    VLOOKUP(BI211,BK$8:BQ710,7,FALSE())
)</f>
        <v/>
      </c>
      <c r="BS211" s="110" t="str">
        <f aca="false">IF(BI211&gt;BH$7,
    "",
    VLOOKUP(BI211,BK$8:BQ710,2,FALSE())
)</f>
        <v/>
      </c>
      <c r="BT211" s="110" t="str">
        <f aca="false">IF(BI211&gt;BH$7,
    "",
    VLOOKUP(BI211,BK$8:BQ710,3,FALSE())
)</f>
        <v/>
      </c>
      <c r="BU211" s="110" t="str">
        <f aca="false">IF(BI211&gt;BH$7,
    "",
    VLOOKUP(BI211,BK$8:BQ710,4,FALSE())
)</f>
        <v/>
      </c>
      <c r="BV211" s="110" t="str">
        <f aca="false">IF(BI211&gt;BH$7,
    "",
    VLOOKUP(BI211,BK$8:BQ710,5,FALSE())
)</f>
        <v/>
      </c>
      <c r="BW211" s="111" t="str">
        <f aca="false">IF(BI211&gt;BH$7,
    "",
    VLOOKUP(BI211,BK$8:BQ710,6,FALSE())
)</f>
        <v/>
      </c>
      <c r="BX211" s="50"/>
    </row>
    <row r="212" customFormat="false" ht="15.75" hidden="false" customHeight="false" outlineLevel="0" collapsed="false">
      <c r="A212" s="5"/>
      <c r="B212" s="126"/>
      <c r="C212" s="52"/>
      <c r="D212" s="53"/>
      <c r="E212" s="120"/>
      <c r="F212" s="120"/>
      <c r="G212" s="55"/>
      <c r="H212" s="56"/>
      <c r="I212" s="80"/>
      <c r="J212" s="80"/>
      <c r="K212" s="80"/>
      <c r="L212" s="58"/>
      <c r="M212" s="58"/>
      <c r="N212" s="58"/>
      <c r="O212" s="59"/>
      <c r="P212" s="60"/>
      <c r="Q212" s="80"/>
      <c r="R212" s="62"/>
      <c r="S212" s="63"/>
      <c r="T212" s="63" t="str">
        <f aca="false">IF(ISBLANK($C212),"",IF(G212=Constants!$B$2, TRUE(), IF(G212=Constants!$B$3, FALSE(), TRUE())))</f>
        <v/>
      </c>
      <c r="U212" s="63" t="str">
        <f aca="false">IF(ISBLANK($C212),"",IF(H212=Constants!$B$2, TRUE(), IF(H212=Constants!$B$3, FALSE(), TRUE())))</f>
        <v/>
      </c>
      <c r="V212" s="63" t="str">
        <f aca="false">IF(ISBLANK($C212),"",IF(I212=Constants!$B$2, TRUE(), IF(I212=Constants!$B$3, FALSE(), TRUE())))</f>
        <v/>
      </c>
      <c r="W212" s="63" t="str">
        <f aca="false">IF(ISBLANK($C212),"",IF(J212=Constants!$B$2, TRUE(), IF(J212=Constants!$B$3, FALSE(), TRUE())))</f>
        <v/>
      </c>
      <c r="X212" s="63" t="str">
        <f aca="false">IF(ISBLANK($C212),"",IF(K212=Constants!$B$2, TRUE(), IF(K212=Constants!$B$3, FALSE(), TRUE())))</f>
        <v/>
      </c>
      <c r="Y212" s="65" t="str">
        <f aca="false">IF(ISBLANK($C212),"",IF(ISNUMBER(L212), L212, ""))</f>
        <v/>
      </c>
      <c r="Z212" s="65" t="str">
        <f aca="false">IF(ISBLANK($C212),"",IF(ISNUMBER(M212), M212, ""))</f>
        <v/>
      </c>
      <c r="AA212" s="65" t="str">
        <f aca="false">IF(ISBLANK($C212),"",IF(ISNUMBER(N212), N212, ""))</f>
        <v/>
      </c>
      <c r="AB212" s="66" t="str">
        <f aca="false">IF(ISBLANK($C212),"",IF(ISNUMBER(O212), O212, ""))</f>
        <v/>
      </c>
      <c r="AC212" s="66" t="str">
        <f aca="false">IF(ISBLANK($C212),"",IF(ISNUMBER(P212), P212, Constants!$B$13))</f>
        <v/>
      </c>
      <c r="AD212" s="63" t="str">
        <f aca="false">IF(ISBLANK($C212),"",IF(Q212=Constants!$B$2, TRUE(), IF(Q212=Constants!$B$3, FALSE(), FALSE())))</f>
        <v/>
      </c>
      <c r="AE212" s="63" t="str">
        <f aca="false">IF(ISBLANK(C212), "", IF(AD212, Constants!$B$4,IF(COUNTA(G212:O212)=0, Constants!$B$5, Constants!$B$7)))</f>
        <v/>
      </c>
      <c r="AF212" s="63" t="str">
        <f aca="false">IF(ISBLANK($C212), "",IF($AE212=Constants!$B$7,1,$AE212))</f>
        <v/>
      </c>
      <c r="AG212" s="63" t="str">
        <f aca="false">IF($AE212=Constants!$B$7,IF(V212, 1, Constants!$B$11) * IF(X212, 1, Constants!$B$12),"")</f>
        <v/>
      </c>
      <c r="AH212" s="63" t="str">
        <f aca="false">IF(AND($AE212=Constants!$B$7, T212, U212) ,MAX(0, $AA212-$Y212),"")</f>
        <v/>
      </c>
      <c r="AI212" s="63" t="str">
        <f aca="false">IF(ISERROR(AH212),$AI$6,"")</f>
        <v/>
      </c>
      <c r="AJ212" s="63" t="str">
        <f aca="false">IF($AE212=Constants!$B$7,IF(AND(T212,U212,W212),IF($AH$6=0,Constants!$B$9,Constants!$B$9*AH212/$AH$6), 0),"")</f>
        <v/>
      </c>
      <c r="AK212" s="63" t="str">
        <f aca="false">IF(AJ212&lt;&gt;"", AJ212*AG212,"")</f>
        <v/>
      </c>
      <c r="AL212" s="63" t="str">
        <f aca="false">IF(AND($AE212=Constants!$B$7, T212, U212) ,IF($Z212="", "", MAX(0,1-ABS($AA212-$Z212)/$AA212)),"")</f>
        <v/>
      </c>
      <c r="AM212" s="63" t="str">
        <f aca="false">IF(AND(NOT(ISERROR(AH212)),ISERROR(AL212)),$AM$6,"")</f>
        <v/>
      </c>
      <c r="AN212" s="63" t="str">
        <f aca="false">IF($AE212=Constants!$B$7 ,IF(AND(T212,U212,W212,ISNUMBER(Z212)),IF($AL$6=0,Constants!$B$10,Constants!$B$10*AL212/$AL$6), 0),"")</f>
        <v/>
      </c>
      <c r="AO212" s="63" t="str">
        <f aca="false">IF(AN212&lt;&gt;"", AN212*AG212,"")</f>
        <v/>
      </c>
      <c r="AP212" s="63" t="str">
        <f aca="false">IF($AE212=Constants!$B$7,IF($AP$6=0,Constants!$B$8,Constants!$B$8*AB212/$AP$6),"")</f>
        <v/>
      </c>
      <c r="AQ212" s="63" t="str">
        <f aca="false">IF($AE212&lt;&gt;Constants!$B$7,$AE212,AK212+AO212+AP212)</f>
        <v/>
      </c>
      <c r="AR212" s="63" t="str">
        <f aca="false">IF(ISBLANK($C212),"",IF($AE212=Constants!$B$7,RANK(AQ212,$AQ$8:$AQ$507),$AE212))</f>
        <v/>
      </c>
      <c r="AS212" s="63" t="str">
        <f aca="false">IF(ISBLANK($C212), "",AK212)</f>
        <v/>
      </c>
      <c r="AT212" s="63" t="str">
        <f aca="false">IF(ISBLANK($C212),"",IF($AE212=Constants!$B$7,RANK(AS212,AS$8:AS$507),$AE212))</f>
        <v/>
      </c>
      <c r="AU212" s="63" t="str">
        <f aca="false">IF(ISBLANK($C212), "",AP212)</f>
        <v/>
      </c>
      <c r="AV212" s="63" t="str">
        <f aca="false">IF(ISBLANK($C212),"",IF($AE212=Constants!$B$7,RANK(AU212,AU$8:AU$507),$AE212))</f>
        <v/>
      </c>
      <c r="AW212" s="63" t="str">
        <f aca="false">IF(ISBLANK($C212), "",AC212)</f>
        <v/>
      </c>
      <c r="AX212" s="63" t="str">
        <f aca="false">IF(ISBLANK($C212),"",
IF($AE212=Constants!$B$7,
  COUNTIFS($AR$8:$AR$507,"&lt;"&amp;$AR212)
  + COUNTIFS($AR$8:$AR$507,$AR212,$AT$8:$AT$507,"&lt;"&amp;$AT212)
  + COUNTIFS($AR$8:$AR$507,$AR212,$AT$8:$AT$507,$AT212,$AV$8:$AV$507,"&lt;"&amp;$AV212)
  + COUNTIFS($AR$8:$AR$507,$AR212,$AT$8:$AT$507,$AT212,$AV$8:$AV$507,$AV212,$AW$8:$AW$507,"&lt;"&amp;$AW212)
  + 1,
$AE212))</f>
        <v/>
      </c>
      <c r="AY212" s="63" t="str">
        <f aca="false">IF(ISBLANK(C212),"",IF($AE212=Constants!$B$7, AR212-AX212,$AE212))</f>
        <v/>
      </c>
      <c r="AZ212" s="67"/>
      <c r="BA212" s="81" t="str">
        <f aca="false">IF(ISBLANK($C212),"",TRIM(AI212&amp;" "&amp;AM212))</f>
        <v/>
      </c>
      <c r="BB212" s="69" t="str">
        <f aca="false">IF(ISBLANK($C212),"",IF($AE212&lt;&gt;Constants!$B$7, $AE212 ,AQ212))</f>
        <v/>
      </c>
      <c r="BC212" s="70" t="str">
        <f aca="false">IF(ISBLANK($C212),"",IF($AE212&lt;&gt;Constants!$B$7, $AE212 ,AF212))</f>
        <v/>
      </c>
      <c r="BD212" s="71" t="str">
        <f aca="false">IF(ISBLANK(C212),"",AY212)</f>
        <v/>
      </c>
      <c r="BE212" s="71" t="str">
        <f aca="false">IF(ISBLANK(C212),"",AX212)</f>
        <v/>
      </c>
      <c r="BF212" s="72" t="str">
        <f aca="false">IF(ISBLANK(C212),"",IFERROR(_xlfn.SWITCH(BE212, Constants!$B$4, COUNTA($C$8:$C711)+2, Constants!$B$5, COUNTA($C$8:$C711)+1, Constants!$B$6, COUNTA($C$8:$C711)),BE212))</f>
        <v/>
      </c>
      <c r="BG212" s="5"/>
      <c r="BH212" s="73" t="n">
        <f aca="false">IF(OR(ISNUMBER(BE212),BE212="DQ",BE212="P",BE212="NS"),
    1,
    0
)</f>
        <v>0</v>
      </c>
      <c r="BI212" s="73" t="n">
        <v>205</v>
      </c>
      <c r="BJ212" s="73" t="str">
        <f aca="false">IF(ISBLANK($C212),
    "",
   BF212+ROW($B212)/1000
)</f>
        <v/>
      </c>
      <c r="BK212" s="73" t="str">
        <f aca="false">IF(ISNUMBER(BJ212), RANK(BJ212,BJ$8:BJ$507,1), "")</f>
        <v/>
      </c>
      <c r="BL212" s="73" t="str">
        <f aca="false">IF(ISBLANK($C212),
    "",
    $B212
)</f>
        <v/>
      </c>
      <c r="BM212" s="73" t="str">
        <f aca="false">IF(ISBLANK($C212),
    "",
    $C212
)</f>
        <v/>
      </c>
      <c r="BN212" s="73" t="str">
        <f aca="false">IF(ISBLANK($C212),
    "",
    $D212
)</f>
        <v/>
      </c>
      <c r="BO212" s="74" t="str">
        <f aca="false">BC212</f>
        <v/>
      </c>
      <c r="BP212" s="75" t="str">
        <f aca="false">BB212</f>
        <v/>
      </c>
      <c r="BQ212" s="73" t="str">
        <f aca="false">IF(ISBLANK($C212),
    "",
    BE212
)</f>
        <v/>
      </c>
      <c r="BR212" s="76" t="str">
        <f aca="false">IF(BI212&gt;BH$7,
    "",
    VLOOKUP(BI212,BK$8:BQ711,7,FALSE())
)</f>
        <v/>
      </c>
      <c r="BS212" s="77" t="str">
        <f aca="false">IF(BI212&gt;BH$7,
    "",
    VLOOKUP(BI212,BK$8:BQ711,2,FALSE())
)</f>
        <v/>
      </c>
      <c r="BT212" s="77" t="str">
        <f aca="false">IF(BI212&gt;BH$7,
    "",
    VLOOKUP(BI212,BK$8:BQ711,3,FALSE())
)</f>
        <v/>
      </c>
      <c r="BU212" s="77" t="str">
        <f aca="false">IF(BI212&gt;BH$7,
    "",
    VLOOKUP(BI212,BK$8:BQ711,4,FALSE())
)</f>
        <v/>
      </c>
      <c r="BV212" s="77" t="str">
        <f aca="false">IF(BI212&gt;BH$7,
    "",
    VLOOKUP(BI212,BK$8:BQ711,5,FALSE())
)</f>
        <v/>
      </c>
      <c r="BW212" s="78" t="str">
        <f aca="false">IF(BI212&gt;BH$7,
    "",
    VLOOKUP(BI212,BK$8:BQ711,6,FALSE())
)</f>
        <v/>
      </c>
      <c r="BX212" s="50"/>
    </row>
    <row r="213" customFormat="false" ht="15.75" hidden="false" customHeight="false" outlineLevel="0" collapsed="false">
      <c r="A213" s="5"/>
      <c r="B213" s="126"/>
      <c r="C213" s="52"/>
      <c r="D213" s="53"/>
      <c r="E213" s="120"/>
      <c r="F213" s="120"/>
      <c r="G213" s="55"/>
      <c r="H213" s="56"/>
      <c r="I213" s="80"/>
      <c r="J213" s="80"/>
      <c r="K213" s="80"/>
      <c r="L213" s="58"/>
      <c r="M213" s="58"/>
      <c r="N213" s="58"/>
      <c r="O213" s="59"/>
      <c r="P213" s="60"/>
      <c r="Q213" s="80"/>
      <c r="R213" s="62"/>
      <c r="S213" s="63"/>
      <c r="T213" s="63" t="str">
        <f aca="false">IF(ISBLANK($C213),"",IF(G213=Constants!$B$2, TRUE(), IF(G213=Constants!$B$3, FALSE(), TRUE())))</f>
        <v/>
      </c>
      <c r="U213" s="63" t="str">
        <f aca="false">IF(ISBLANK($C213),"",IF(H213=Constants!$B$2, TRUE(), IF(H213=Constants!$B$3, FALSE(), TRUE())))</f>
        <v/>
      </c>
      <c r="V213" s="63" t="str">
        <f aca="false">IF(ISBLANK($C213),"",IF(I213=Constants!$B$2, TRUE(), IF(I213=Constants!$B$3, FALSE(), TRUE())))</f>
        <v/>
      </c>
      <c r="W213" s="63" t="str">
        <f aca="false">IF(ISBLANK($C213),"",IF(J213=Constants!$B$2, TRUE(), IF(J213=Constants!$B$3, FALSE(), TRUE())))</f>
        <v/>
      </c>
      <c r="X213" s="63" t="str">
        <f aca="false">IF(ISBLANK($C213),"",IF(K213=Constants!$B$2, TRUE(), IF(K213=Constants!$B$3, FALSE(), TRUE())))</f>
        <v/>
      </c>
      <c r="Y213" s="65" t="str">
        <f aca="false">IF(ISBLANK($C213),"",IF(ISNUMBER(L213), L213, ""))</f>
        <v/>
      </c>
      <c r="Z213" s="65" t="str">
        <f aca="false">IF(ISBLANK($C213),"",IF(ISNUMBER(M213), M213, ""))</f>
        <v/>
      </c>
      <c r="AA213" s="65" t="str">
        <f aca="false">IF(ISBLANK($C213),"",IF(ISNUMBER(N213), N213, ""))</f>
        <v/>
      </c>
      <c r="AB213" s="66" t="str">
        <f aca="false">IF(ISBLANK($C213),"",IF(ISNUMBER(O213), O213, ""))</f>
        <v/>
      </c>
      <c r="AC213" s="66" t="str">
        <f aca="false">IF(ISBLANK($C213),"",IF(ISNUMBER(P213), P213, Constants!$B$13))</f>
        <v/>
      </c>
      <c r="AD213" s="63" t="str">
        <f aca="false">IF(ISBLANK($C213),"",IF(Q213=Constants!$B$2, TRUE(), IF(Q213=Constants!$B$3, FALSE(), FALSE())))</f>
        <v/>
      </c>
      <c r="AE213" s="63" t="str">
        <f aca="false">IF(ISBLANK(C213), "", IF(AD213, Constants!$B$4,IF(COUNTA(G213:O213)=0, Constants!$B$5, Constants!$B$7)))</f>
        <v/>
      </c>
      <c r="AF213" s="63" t="str">
        <f aca="false">IF(ISBLANK($C213), "",IF($AE213=Constants!$B$7,1,$AE213))</f>
        <v/>
      </c>
      <c r="AG213" s="63" t="str">
        <f aca="false">IF($AE213=Constants!$B$7,IF(V213, 1, Constants!$B$11) * IF(X213, 1, Constants!$B$12),"")</f>
        <v/>
      </c>
      <c r="AH213" s="63" t="str">
        <f aca="false">IF(AND($AE213=Constants!$B$7, T213, U213) ,MAX(0, $AA213-$Y213),"")</f>
        <v/>
      </c>
      <c r="AI213" s="63" t="str">
        <f aca="false">IF(ISERROR(AH213),$AI$6,"")</f>
        <v/>
      </c>
      <c r="AJ213" s="63" t="str">
        <f aca="false">IF($AE213=Constants!$B$7,IF(AND(T213,U213,W213),IF($AH$6=0,Constants!$B$9,Constants!$B$9*AH213/$AH$6), 0),"")</f>
        <v/>
      </c>
      <c r="AK213" s="63" t="str">
        <f aca="false">IF(AJ213&lt;&gt;"", AJ213*AG213,"")</f>
        <v/>
      </c>
      <c r="AL213" s="63" t="str">
        <f aca="false">IF(AND($AE213=Constants!$B$7, T213, U213) ,IF($Z213="", "", MAX(0,1-ABS($AA213-$Z213)/$AA213)),"")</f>
        <v/>
      </c>
      <c r="AM213" s="63" t="str">
        <f aca="false">IF(AND(NOT(ISERROR(AH213)),ISERROR(AL213)),$AM$6,"")</f>
        <v/>
      </c>
      <c r="AN213" s="63" t="str">
        <f aca="false">IF($AE213=Constants!$B$7 ,IF(AND(T213,U213,W213,ISNUMBER(Z213)),IF($AL$6=0,Constants!$B$10,Constants!$B$10*AL213/$AL$6), 0),"")</f>
        <v/>
      </c>
      <c r="AO213" s="63" t="str">
        <f aca="false">IF(AN213&lt;&gt;"", AN213*AG213,"")</f>
        <v/>
      </c>
      <c r="AP213" s="63" t="str">
        <f aca="false">IF($AE213=Constants!$B$7,IF($AP$6=0,Constants!$B$8,Constants!$B$8*AB213/$AP$6),"")</f>
        <v/>
      </c>
      <c r="AQ213" s="63" t="str">
        <f aca="false">IF($AE213&lt;&gt;Constants!$B$7,$AE213,AK213+AO213+AP213)</f>
        <v/>
      </c>
      <c r="AR213" s="63" t="str">
        <f aca="false">IF(ISBLANK($C213),"",IF($AE213=Constants!$B$7,RANK(AQ213,$AQ$8:$AQ$507),$AE213))</f>
        <v/>
      </c>
      <c r="AS213" s="63" t="str">
        <f aca="false">IF(ISBLANK($C213), "",AK213)</f>
        <v/>
      </c>
      <c r="AT213" s="63" t="str">
        <f aca="false">IF(ISBLANK($C213),"",IF($AE213=Constants!$B$7,RANK(AS213,AS$8:AS$507),$AE213))</f>
        <v/>
      </c>
      <c r="AU213" s="63" t="str">
        <f aca="false">IF(ISBLANK($C213), "",AP213)</f>
        <v/>
      </c>
      <c r="AV213" s="63" t="str">
        <f aca="false">IF(ISBLANK($C213),"",IF($AE213=Constants!$B$7,RANK(AU213,AU$8:AU$507),$AE213))</f>
        <v/>
      </c>
      <c r="AW213" s="63" t="str">
        <f aca="false">IF(ISBLANK($C213), "",AC213)</f>
        <v/>
      </c>
      <c r="AX213" s="63" t="str">
        <f aca="false">IF(ISBLANK($C213),"",
IF($AE213=Constants!$B$7,
  COUNTIFS($AR$8:$AR$507,"&lt;"&amp;$AR213)
  + COUNTIFS($AR$8:$AR$507,$AR213,$AT$8:$AT$507,"&lt;"&amp;$AT213)
  + COUNTIFS($AR$8:$AR$507,$AR213,$AT$8:$AT$507,$AT213,$AV$8:$AV$507,"&lt;"&amp;$AV213)
  + COUNTIFS($AR$8:$AR$507,$AR213,$AT$8:$AT$507,$AT213,$AV$8:$AV$507,$AV213,$AW$8:$AW$507,"&lt;"&amp;$AW213)
  + 1,
$AE213))</f>
        <v/>
      </c>
      <c r="AY213" s="63" t="str">
        <f aca="false">IF(ISBLANK(C213),"",IF($AE213=Constants!$B$7, AR213-AX213,$AE213))</f>
        <v/>
      </c>
      <c r="AZ213" s="67"/>
      <c r="BA213" s="81" t="str">
        <f aca="false">IF(ISBLANK($C213),"",TRIM(AI213&amp;" "&amp;AM213))</f>
        <v/>
      </c>
      <c r="BB213" s="69" t="str">
        <f aca="false">IF(ISBLANK($C213),"",IF($AE213&lt;&gt;Constants!$B$7, $AE213 ,AQ213))</f>
        <v/>
      </c>
      <c r="BC213" s="70" t="str">
        <f aca="false">IF(ISBLANK($C213),"",IF($AE213&lt;&gt;Constants!$B$7, $AE213 ,AF213))</f>
        <v/>
      </c>
      <c r="BD213" s="71" t="str">
        <f aca="false">IF(ISBLANK(C213),"",AY213)</f>
        <v/>
      </c>
      <c r="BE213" s="71" t="str">
        <f aca="false">IF(ISBLANK(C213),"",AX213)</f>
        <v/>
      </c>
      <c r="BF213" s="72" t="str">
        <f aca="false">IF(ISBLANK(C213),"",IFERROR(_xlfn.SWITCH(BE213, Constants!$B$4, COUNTA($C$8:$C712)+2, Constants!$B$5, COUNTA($C$8:$C712)+1, Constants!$B$6, COUNTA($C$8:$C712)),BE213))</f>
        <v/>
      </c>
      <c r="BG213" s="5"/>
      <c r="BH213" s="73" t="n">
        <f aca="false">IF(OR(ISNUMBER(BE213),BE213="DQ",BE213="P",BE213="NS"),
    1,
    0
)</f>
        <v>0</v>
      </c>
      <c r="BI213" s="73" t="n">
        <v>206</v>
      </c>
      <c r="BJ213" s="73" t="str">
        <f aca="false">IF(ISBLANK($C213),
    "",
   BF213+ROW($B213)/1000
)</f>
        <v/>
      </c>
      <c r="BK213" s="73" t="str">
        <f aca="false">IF(ISNUMBER(BJ213), RANK(BJ213,BJ$8:BJ$507,1), "")</f>
        <v/>
      </c>
      <c r="BL213" s="73" t="str">
        <f aca="false">IF(ISBLANK($C213),
    "",
    $B213
)</f>
        <v/>
      </c>
      <c r="BM213" s="73" t="str">
        <f aca="false">IF(ISBLANK($C213),
    "",
    $C213
)</f>
        <v/>
      </c>
      <c r="BN213" s="73" t="str">
        <f aca="false">IF(ISBLANK($C213),
    "",
    $D213
)</f>
        <v/>
      </c>
      <c r="BO213" s="74" t="str">
        <f aca="false">BC213</f>
        <v/>
      </c>
      <c r="BP213" s="75" t="str">
        <f aca="false">BB213</f>
        <v/>
      </c>
      <c r="BQ213" s="73" t="str">
        <f aca="false">IF(ISBLANK($C213),
    "",
    BE213
)</f>
        <v/>
      </c>
      <c r="BR213" s="76" t="str">
        <f aca="false">IF(BI213&gt;BH$7,
    "",
    VLOOKUP(BI213,BK$8:BQ712,7,FALSE())
)</f>
        <v/>
      </c>
      <c r="BS213" s="77" t="str">
        <f aca="false">IF(BI213&gt;BH$7,
    "",
    VLOOKUP(BI213,BK$8:BQ712,2,FALSE())
)</f>
        <v/>
      </c>
      <c r="BT213" s="77" t="str">
        <f aca="false">IF(BI213&gt;BH$7,
    "",
    VLOOKUP(BI213,BK$8:BQ712,3,FALSE())
)</f>
        <v/>
      </c>
      <c r="BU213" s="77" t="str">
        <f aca="false">IF(BI213&gt;BH$7,
    "",
    VLOOKUP(BI213,BK$8:BQ712,4,FALSE())
)</f>
        <v/>
      </c>
      <c r="BV213" s="77" t="str">
        <f aca="false">IF(BI213&gt;BH$7,
    "",
    VLOOKUP(BI213,BK$8:BQ712,5,FALSE())
)</f>
        <v/>
      </c>
      <c r="BW213" s="78" t="str">
        <f aca="false">IF(BI213&gt;BH$7,
    "",
    VLOOKUP(BI213,BK$8:BQ712,6,FALSE())
)</f>
        <v/>
      </c>
      <c r="BX213" s="50"/>
    </row>
    <row r="214" customFormat="false" ht="15.75" hidden="false" customHeight="false" outlineLevel="0" collapsed="false">
      <c r="A214" s="5"/>
      <c r="B214" s="126"/>
      <c r="C214" s="52"/>
      <c r="D214" s="53"/>
      <c r="E214" s="120"/>
      <c r="F214" s="120"/>
      <c r="G214" s="55"/>
      <c r="H214" s="56"/>
      <c r="I214" s="80"/>
      <c r="J214" s="80"/>
      <c r="K214" s="80"/>
      <c r="L214" s="58"/>
      <c r="M214" s="58"/>
      <c r="N214" s="58"/>
      <c r="O214" s="59"/>
      <c r="P214" s="60"/>
      <c r="Q214" s="80"/>
      <c r="R214" s="62"/>
      <c r="S214" s="63"/>
      <c r="T214" s="63" t="str">
        <f aca="false">IF(ISBLANK($C214),"",IF(G214=Constants!$B$2, TRUE(), IF(G214=Constants!$B$3, FALSE(), TRUE())))</f>
        <v/>
      </c>
      <c r="U214" s="63" t="str">
        <f aca="false">IF(ISBLANK($C214),"",IF(H214=Constants!$B$2, TRUE(), IF(H214=Constants!$B$3, FALSE(), TRUE())))</f>
        <v/>
      </c>
      <c r="V214" s="63" t="str">
        <f aca="false">IF(ISBLANK($C214),"",IF(I214=Constants!$B$2, TRUE(), IF(I214=Constants!$B$3, FALSE(), TRUE())))</f>
        <v/>
      </c>
      <c r="W214" s="63" t="str">
        <f aca="false">IF(ISBLANK($C214),"",IF(J214=Constants!$B$2, TRUE(), IF(J214=Constants!$B$3, FALSE(), TRUE())))</f>
        <v/>
      </c>
      <c r="X214" s="63" t="str">
        <f aca="false">IF(ISBLANK($C214),"",IF(K214=Constants!$B$2, TRUE(), IF(K214=Constants!$B$3, FALSE(), TRUE())))</f>
        <v/>
      </c>
      <c r="Y214" s="65" t="str">
        <f aca="false">IF(ISBLANK($C214),"",IF(ISNUMBER(L214), L214, ""))</f>
        <v/>
      </c>
      <c r="Z214" s="65" t="str">
        <f aca="false">IF(ISBLANK($C214),"",IF(ISNUMBER(M214), M214, ""))</f>
        <v/>
      </c>
      <c r="AA214" s="65" t="str">
        <f aca="false">IF(ISBLANK($C214),"",IF(ISNUMBER(N214), N214, ""))</f>
        <v/>
      </c>
      <c r="AB214" s="66" t="str">
        <f aca="false">IF(ISBLANK($C214),"",IF(ISNUMBER(O214), O214, ""))</f>
        <v/>
      </c>
      <c r="AC214" s="66" t="str">
        <f aca="false">IF(ISBLANK($C214),"",IF(ISNUMBER(P214), P214, Constants!$B$13))</f>
        <v/>
      </c>
      <c r="AD214" s="63" t="str">
        <f aca="false">IF(ISBLANK($C214),"",IF(Q214=Constants!$B$2, TRUE(), IF(Q214=Constants!$B$3, FALSE(), FALSE())))</f>
        <v/>
      </c>
      <c r="AE214" s="63" t="str">
        <f aca="false">IF(ISBLANK(C214), "", IF(AD214, Constants!$B$4,IF(COUNTA(G214:O214)=0, Constants!$B$5, Constants!$B$7)))</f>
        <v/>
      </c>
      <c r="AF214" s="63" t="str">
        <f aca="false">IF(ISBLANK($C214), "",IF($AE214=Constants!$B$7,1,$AE214))</f>
        <v/>
      </c>
      <c r="AG214" s="63" t="str">
        <f aca="false">IF($AE214=Constants!$B$7,IF(V214, 1, Constants!$B$11) * IF(X214, 1, Constants!$B$12),"")</f>
        <v/>
      </c>
      <c r="AH214" s="63" t="str">
        <f aca="false">IF(AND($AE214=Constants!$B$7, T214, U214) ,MAX(0, $AA214-$Y214),"")</f>
        <v/>
      </c>
      <c r="AI214" s="63" t="str">
        <f aca="false">IF(ISERROR(AH214),$AI$6,"")</f>
        <v/>
      </c>
      <c r="AJ214" s="63" t="str">
        <f aca="false">IF($AE214=Constants!$B$7,IF(AND(T214,U214,W214),IF($AH$6=0,Constants!$B$9,Constants!$B$9*AH214/$AH$6), 0),"")</f>
        <v/>
      </c>
      <c r="AK214" s="63" t="str">
        <f aca="false">IF(AJ214&lt;&gt;"", AJ214*AG214,"")</f>
        <v/>
      </c>
      <c r="AL214" s="63" t="str">
        <f aca="false">IF(AND($AE214=Constants!$B$7, T214, U214) ,IF($Z214="", "", MAX(0,1-ABS($AA214-$Z214)/$AA214)),"")</f>
        <v/>
      </c>
      <c r="AM214" s="63" t="str">
        <f aca="false">IF(AND(NOT(ISERROR(AH214)),ISERROR(AL214)),$AM$6,"")</f>
        <v/>
      </c>
      <c r="AN214" s="63" t="str">
        <f aca="false">IF($AE214=Constants!$B$7 ,IF(AND(T214,U214,W214,ISNUMBER(Z214)),IF($AL$6=0,Constants!$B$10,Constants!$B$10*AL214/$AL$6), 0),"")</f>
        <v/>
      </c>
      <c r="AO214" s="63" t="str">
        <f aca="false">IF(AN214&lt;&gt;"", AN214*AG214,"")</f>
        <v/>
      </c>
      <c r="AP214" s="63" t="str">
        <f aca="false">IF($AE214=Constants!$B$7,IF($AP$6=0,Constants!$B$8,Constants!$B$8*AB214/$AP$6),"")</f>
        <v/>
      </c>
      <c r="AQ214" s="63" t="str">
        <f aca="false">IF($AE214&lt;&gt;Constants!$B$7,$AE214,AK214+AO214+AP214)</f>
        <v/>
      </c>
      <c r="AR214" s="63" t="str">
        <f aca="false">IF(ISBLANK($C214),"",IF($AE214=Constants!$B$7,RANK(AQ214,$AQ$8:$AQ$507),$AE214))</f>
        <v/>
      </c>
      <c r="AS214" s="63" t="str">
        <f aca="false">IF(ISBLANK($C214), "",AK214)</f>
        <v/>
      </c>
      <c r="AT214" s="63" t="str">
        <f aca="false">IF(ISBLANK($C214),"",IF($AE214=Constants!$B$7,RANK(AS214,AS$8:AS$507),$AE214))</f>
        <v/>
      </c>
      <c r="AU214" s="63" t="str">
        <f aca="false">IF(ISBLANK($C214), "",AP214)</f>
        <v/>
      </c>
      <c r="AV214" s="63" t="str">
        <f aca="false">IF(ISBLANK($C214),"",IF($AE214=Constants!$B$7,RANK(AU214,AU$8:AU$507),$AE214))</f>
        <v/>
      </c>
      <c r="AW214" s="63" t="str">
        <f aca="false">IF(ISBLANK($C214), "",AC214)</f>
        <v/>
      </c>
      <c r="AX214" s="63" t="str">
        <f aca="false">IF(ISBLANK($C214),"",
IF($AE214=Constants!$B$7,
  COUNTIFS($AR$8:$AR$507,"&lt;"&amp;$AR214)
  + COUNTIFS($AR$8:$AR$507,$AR214,$AT$8:$AT$507,"&lt;"&amp;$AT214)
  + COUNTIFS($AR$8:$AR$507,$AR214,$AT$8:$AT$507,$AT214,$AV$8:$AV$507,"&lt;"&amp;$AV214)
  + COUNTIFS($AR$8:$AR$507,$AR214,$AT$8:$AT$507,$AT214,$AV$8:$AV$507,$AV214,$AW$8:$AW$507,"&lt;"&amp;$AW214)
  + 1,
$AE214))</f>
        <v/>
      </c>
      <c r="AY214" s="63" t="str">
        <f aca="false">IF(ISBLANK(C214),"",IF($AE214=Constants!$B$7, AR214-AX214,$AE214))</f>
        <v/>
      </c>
      <c r="AZ214" s="67"/>
      <c r="BA214" s="81" t="str">
        <f aca="false">IF(ISBLANK($C214),"",TRIM(AI214&amp;" "&amp;AM214))</f>
        <v/>
      </c>
      <c r="BB214" s="69" t="str">
        <f aca="false">IF(ISBLANK($C214),"",IF($AE214&lt;&gt;Constants!$B$7, $AE214 ,AQ214))</f>
        <v/>
      </c>
      <c r="BC214" s="70" t="str">
        <f aca="false">IF(ISBLANK($C214),"",IF($AE214&lt;&gt;Constants!$B$7, $AE214 ,AF214))</f>
        <v/>
      </c>
      <c r="BD214" s="71" t="str">
        <f aca="false">IF(ISBLANK(C214),"",AY214)</f>
        <v/>
      </c>
      <c r="BE214" s="71" t="str">
        <f aca="false">IF(ISBLANK(C214),"",AX214)</f>
        <v/>
      </c>
      <c r="BF214" s="72" t="str">
        <f aca="false">IF(ISBLANK(C214),"",IFERROR(_xlfn.SWITCH(BE214, Constants!$B$4, COUNTA($C$8:$C713)+2, Constants!$B$5, COUNTA($C$8:$C713)+1, Constants!$B$6, COUNTA($C$8:$C713)),BE214))</f>
        <v/>
      </c>
      <c r="BG214" s="5"/>
      <c r="BH214" s="73" t="n">
        <f aca="false">IF(OR(ISNUMBER(BE214),BE214="DQ",BE214="P",BE214="NS"),
    1,
    0
)</f>
        <v>0</v>
      </c>
      <c r="BI214" s="73" t="n">
        <v>207</v>
      </c>
      <c r="BJ214" s="73" t="str">
        <f aca="false">IF(ISBLANK($C214),
    "",
   BF214+ROW($B214)/1000
)</f>
        <v/>
      </c>
      <c r="BK214" s="73" t="str">
        <f aca="false">IF(ISNUMBER(BJ214), RANK(BJ214,BJ$8:BJ$507,1), "")</f>
        <v/>
      </c>
      <c r="BL214" s="73" t="str">
        <f aca="false">IF(ISBLANK($C214),
    "",
    $B214
)</f>
        <v/>
      </c>
      <c r="BM214" s="73" t="str">
        <f aca="false">IF(ISBLANK($C214),
    "",
    $C214
)</f>
        <v/>
      </c>
      <c r="BN214" s="73" t="str">
        <f aca="false">IF(ISBLANK($C214),
    "",
    $D214
)</f>
        <v/>
      </c>
      <c r="BO214" s="74" t="str">
        <f aca="false">BC214</f>
        <v/>
      </c>
      <c r="BP214" s="75" t="str">
        <f aca="false">BB214</f>
        <v/>
      </c>
      <c r="BQ214" s="73" t="str">
        <f aca="false">IF(ISBLANK($C214),
    "",
    BE214
)</f>
        <v/>
      </c>
      <c r="BR214" s="76" t="str">
        <f aca="false">IF(BI214&gt;BH$7,
    "",
    VLOOKUP(BI214,BK$8:BQ713,7,FALSE())
)</f>
        <v/>
      </c>
      <c r="BS214" s="77" t="str">
        <f aca="false">IF(BI214&gt;BH$7,
    "",
    VLOOKUP(BI214,BK$8:BQ713,2,FALSE())
)</f>
        <v/>
      </c>
      <c r="BT214" s="77" t="str">
        <f aca="false">IF(BI214&gt;BH$7,
    "",
    VLOOKUP(BI214,BK$8:BQ713,3,FALSE())
)</f>
        <v/>
      </c>
      <c r="BU214" s="77" t="str">
        <f aca="false">IF(BI214&gt;BH$7,
    "",
    VLOOKUP(BI214,BK$8:BQ713,4,FALSE())
)</f>
        <v/>
      </c>
      <c r="BV214" s="77" t="str">
        <f aca="false">IF(BI214&gt;BH$7,
    "",
    VLOOKUP(BI214,BK$8:BQ713,5,FALSE())
)</f>
        <v/>
      </c>
      <c r="BW214" s="78" t="str">
        <f aca="false">IF(BI214&gt;BH$7,
    "",
    VLOOKUP(BI214,BK$8:BQ713,6,FALSE())
)</f>
        <v/>
      </c>
      <c r="BX214" s="50"/>
    </row>
    <row r="215" customFormat="false" ht="15.75" hidden="false" customHeight="false" outlineLevel="0" collapsed="false">
      <c r="A215" s="5"/>
      <c r="B215" s="122"/>
      <c r="C215" s="123"/>
      <c r="D215" s="112"/>
      <c r="E215" s="116"/>
      <c r="F215" s="116"/>
      <c r="G215" s="88"/>
      <c r="H215" s="89"/>
      <c r="I215" s="125"/>
      <c r="J215" s="125"/>
      <c r="K215" s="125"/>
      <c r="L215" s="91"/>
      <c r="M215" s="91"/>
      <c r="N215" s="91"/>
      <c r="O215" s="92"/>
      <c r="P215" s="93"/>
      <c r="Q215" s="125"/>
      <c r="R215" s="95"/>
      <c r="S215" s="96"/>
      <c r="T215" s="96" t="str">
        <f aca="false">IF(ISBLANK($C215),"",IF(G215=Constants!$B$2, TRUE(), IF(G215=Constants!$B$3, FALSE(), TRUE())))</f>
        <v/>
      </c>
      <c r="U215" s="96" t="str">
        <f aca="false">IF(ISBLANK($C215),"",IF(H215=Constants!$B$2, TRUE(), IF(H215=Constants!$B$3, FALSE(), TRUE())))</f>
        <v/>
      </c>
      <c r="V215" s="96" t="str">
        <f aca="false">IF(ISBLANK($C215),"",IF(I215=Constants!$B$2, TRUE(), IF(I215=Constants!$B$3, FALSE(), TRUE())))</f>
        <v/>
      </c>
      <c r="W215" s="96" t="str">
        <f aca="false">IF(ISBLANK($C215),"",IF(J215=Constants!$B$2, TRUE(), IF(J215=Constants!$B$3, FALSE(), TRUE())))</f>
        <v/>
      </c>
      <c r="X215" s="97" t="str">
        <f aca="false">IF(ISBLANK($C215),"",IF(K215=Constants!$B$2, TRUE(), IF(K215=Constants!$B$3, FALSE(), TRUE())))</f>
        <v/>
      </c>
      <c r="Y215" s="98" t="str">
        <f aca="false">IF(ISBLANK($C215),"",IF(ISNUMBER(L215), L215, ""))</f>
        <v/>
      </c>
      <c r="Z215" s="98" t="str">
        <f aca="false">IF(ISBLANK($C215),"",IF(ISNUMBER(M215), M215, ""))</f>
        <v/>
      </c>
      <c r="AA215" s="98" t="str">
        <f aca="false">IF(ISBLANK($C215),"",IF(ISNUMBER(N215), N215, ""))</f>
        <v/>
      </c>
      <c r="AB215" s="99" t="str">
        <f aca="false">IF(ISBLANK($C215),"",IF(ISNUMBER(O215), O215, ""))</f>
        <v/>
      </c>
      <c r="AC215" s="99" t="str">
        <f aca="false">IF(ISBLANK($C215),"",IF(ISNUMBER(P215), P215, Constants!$B$13))</f>
        <v/>
      </c>
      <c r="AD215" s="96" t="str">
        <f aca="false">IF(ISBLANK($C215),"",IF(Q215=Constants!$B$2, TRUE(), IF(Q215=Constants!$B$3, FALSE(), FALSE())))</f>
        <v/>
      </c>
      <c r="AE215" s="96" t="str">
        <f aca="false">IF(ISBLANK(C215), "", IF(AD215, Constants!$B$4,IF(COUNTA(G215:O215)=0, Constants!$B$5, Constants!$B$7)))</f>
        <v/>
      </c>
      <c r="AF215" s="96" t="str">
        <f aca="false">IF(ISBLANK($C215), "",IF($AE215=Constants!$B$7,1,$AE215))</f>
        <v/>
      </c>
      <c r="AG215" s="96" t="str">
        <f aca="false">IF($AE215=Constants!$B$7,IF(V215, 1, Constants!$B$11) * IF(X215, 1, Constants!$B$12),"")</f>
        <v/>
      </c>
      <c r="AH215" s="96" t="str">
        <f aca="false">IF(AND($AE215=Constants!$B$7, T215, U215) ,MAX(0, $AA215-$Y215),"")</f>
        <v/>
      </c>
      <c r="AI215" s="96" t="str">
        <f aca="false">IF(ISERROR(AH215),$AI$6,"")</f>
        <v/>
      </c>
      <c r="AJ215" s="96" t="str">
        <f aca="false">IF($AE215=Constants!$B$7,IF(AND(T215,U215,W215),IF($AH$6=0,Constants!$B$9,Constants!$B$9*AH215/$AH$6), 0),"")</f>
        <v/>
      </c>
      <c r="AK215" s="96" t="str">
        <f aca="false">IF(AJ215&lt;&gt;"", AJ215*AG215,"")</f>
        <v/>
      </c>
      <c r="AL215" s="96" t="str">
        <f aca="false">IF(AND($AE215=Constants!$B$7, T215, U215) ,IF($Z215="", "", MAX(0,1-ABS($AA215-$Z215)/$AA215)),"")</f>
        <v/>
      </c>
      <c r="AM215" s="96" t="str">
        <f aca="false">IF(AND(NOT(ISERROR(AH215)),ISERROR(AL215)),$AM$6,"")</f>
        <v/>
      </c>
      <c r="AN215" s="96" t="str">
        <f aca="false">IF($AE215=Constants!$B$7 ,IF(AND(T215,U215,W215,ISNUMBER(Z215)),IF($AL$6=0,Constants!$B$10,Constants!$B$10*AL215/$AL$6), 0),"")</f>
        <v/>
      </c>
      <c r="AO215" s="96" t="str">
        <f aca="false">IF(AN215&lt;&gt;"", AN215*AG215,"")</f>
        <v/>
      </c>
      <c r="AP215" s="96" t="str">
        <f aca="false">IF($AE215=Constants!$B$7,IF($AP$6=0,Constants!$B$8,Constants!$B$8*AB215/$AP$6),"")</f>
        <v/>
      </c>
      <c r="AQ215" s="96" t="str">
        <f aca="false">IF($AE215&lt;&gt;Constants!$B$7,$AE215,AK215+AO215+AP215)</f>
        <v/>
      </c>
      <c r="AR215" s="96" t="str">
        <f aca="false">IF(ISBLANK($C215),"",IF($AE215=Constants!$B$7,RANK(AQ215,$AQ$8:$AQ$507),$AE215))</f>
        <v/>
      </c>
      <c r="AS215" s="96" t="str">
        <f aca="false">IF(ISBLANK($C215), "",AK215)</f>
        <v/>
      </c>
      <c r="AT215" s="96" t="str">
        <f aca="false">IF(ISBLANK($C215),"",IF($AE215=Constants!$B$7,RANK(AS215,AS$8:AS$507),$AE215))</f>
        <v/>
      </c>
      <c r="AU215" s="96" t="str">
        <f aca="false">IF(ISBLANK($C215), "",AP215)</f>
        <v/>
      </c>
      <c r="AV215" s="96" t="str">
        <f aca="false">IF(ISBLANK($C215),"",IF($AE215=Constants!$B$7,RANK(AU215,AU$8:AU$507),$AE215))</f>
        <v/>
      </c>
      <c r="AW215" s="96" t="str">
        <f aca="false">IF(ISBLANK($C215), "",AC215)</f>
        <v/>
      </c>
      <c r="AX215" s="96" t="str">
        <f aca="false">IF(ISBLANK($C215),"",
IF($AE215=Constants!$B$7,
  COUNTIFS($AR$8:$AR$507,"&lt;"&amp;$AR215)
  + COUNTIFS($AR$8:$AR$507,$AR215,$AT$8:$AT$507,"&lt;"&amp;$AT215)
  + COUNTIFS($AR$8:$AR$507,$AR215,$AT$8:$AT$507,$AT215,$AV$8:$AV$507,"&lt;"&amp;$AV215)
  + COUNTIFS($AR$8:$AR$507,$AR215,$AT$8:$AT$507,$AT215,$AV$8:$AV$507,$AV215,$AW$8:$AW$507,"&lt;"&amp;$AW215)
  + 1,
$AE215))</f>
        <v/>
      </c>
      <c r="AY215" s="96" t="str">
        <f aca="false">IF(ISBLANK(C215),"",IF($AE215=Constants!$B$7, AR215-AX215,$AE215))</f>
        <v/>
      </c>
      <c r="AZ215" s="100"/>
      <c r="BA215" s="101" t="str">
        <f aca="false">IF(ISBLANK($C215),"",TRIM(AI215&amp;" "&amp;AM215))</f>
        <v/>
      </c>
      <c r="BB215" s="102" t="str">
        <f aca="false">IF(ISBLANK($C215),"",IF($AE215&lt;&gt;Constants!$B$7, $AE215 ,AQ215))</f>
        <v/>
      </c>
      <c r="BC215" s="103" t="str">
        <f aca="false">IF(ISBLANK($C215),"",IF($AE215&lt;&gt;Constants!$B$7, $AE215 ,AF215))</f>
        <v/>
      </c>
      <c r="BD215" s="104" t="str">
        <f aca="false">IF(ISBLANK(C215),"",AY215)</f>
        <v/>
      </c>
      <c r="BE215" s="104" t="str">
        <f aca="false">IF(ISBLANK(C215),"",AX215)</f>
        <v/>
      </c>
      <c r="BF215" s="105" t="str">
        <f aca="false">IF(ISBLANK(C215),"",IFERROR(_xlfn.SWITCH(BE215, Constants!$B$4, COUNTA($C$8:$C714)+2, Constants!$B$5, COUNTA($C$8:$C714)+1, Constants!$B$6, COUNTA($C$8:$C714)),BE215))</f>
        <v/>
      </c>
      <c r="BG215" s="5"/>
      <c r="BH215" s="106" t="n">
        <f aca="false">IF(OR(ISNUMBER(BE215),BE215="DQ",BE215="P",BE215="NS"),
    1,
    0
)</f>
        <v>0</v>
      </c>
      <c r="BI215" s="106" t="n">
        <v>208</v>
      </c>
      <c r="BJ215" s="106" t="str">
        <f aca="false">IF(ISBLANK($C215),
    "",
   BF215+ROW($B215)/1000
)</f>
        <v/>
      </c>
      <c r="BK215" s="106" t="str">
        <f aca="false">IF(ISNUMBER(BJ215), RANK(BJ215,BJ$8:BJ$507,1), "")</f>
        <v/>
      </c>
      <c r="BL215" s="106" t="str">
        <f aca="false">IF(ISBLANK($C215),
    "",
    $B215
)</f>
        <v/>
      </c>
      <c r="BM215" s="106" t="str">
        <f aca="false">IF(ISBLANK($C215),
    "",
    $C215
)</f>
        <v/>
      </c>
      <c r="BN215" s="106" t="str">
        <f aca="false">IF(ISBLANK($C215),
    "",
    $D215
)</f>
        <v/>
      </c>
      <c r="BO215" s="107" t="str">
        <f aca="false">BC215</f>
        <v/>
      </c>
      <c r="BP215" s="108" t="str">
        <f aca="false">BB215</f>
        <v/>
      </c>
      <c r="BQ215" s="106" t="str">
        <f aca="false">IF(ISBLANK($C215),
    "",
    BE215
)</f>
        <v/>
      </c>
      <c r="BR215" s="109" t="str">
        <f aca="false">IF(BI215&gt;BH$7,
    "",
    VLOOKUP(BI215,BK$8:BQ714,7,FALSE())
)</f>
        <v/>
      </c>
      <c r="BS215" s="110" t="str">
        <f aca="false">IF(BI215&gt;BH$7,
    "",
    VLOOKUP(BI215,BK$8:BQ714,2,FALSE())
)</f>
        <v/>
      </c>
      <c r="BT215" s="110" t="str">
        <f aca="false">IF(BI215&gt;BH$7,
    "",
    VLOOKUP(BI215,BK$8:BQ714,3,FALSE())
)</f>
        <v/>
      </c>
      <c r="BU215" s="110" t="str">
        <f aca="false">IF(BI215&gt;BH$7,
    "",
    VLOOKUP(BI215,BK$8:BQ714,4,FALSE())
)</f>
        <v/>
      </c>
      <c r="BV215" s="110" t="str">
        <f aca="false">IF(BI215&gt;BH$7,
    "",
    VLOOKUP(BI215,BK$8:BQ714,5,FALSE())
)</f>
        <v/>
      </c>
      <c r="BW215" s="111" t="str">
        <f aca="false">IF(BI215&gt;BH$7,
    "",
    VLOOKUP(BI215,BK$8:BQ714,6,FALSE())
)</f>
        <v/>
      </c>
      <c r="BX215" s="50"/>
    </row>
    <row r="216" customFormat="false" ht="15.75" hidden="false" customHeight="false" outlineLevel="0" collapsed="false">
      <c r="A216" s="5"/>
      <c r="B216" s="122"/>
      <c r="C216" s="123"/>
      <c r="D216" s="112"/>
      <c r="E216" s="116"/>
      <c r="F216" s="116"/>
      <c r="G216" s="88"/>
      <c r="H216" s="89"/>
      <c r="I216" s="125"/>
      <c r="J216" s="125"/>
      <c r="K216" s="125"/>
      <c r="L216" s="91"/>
      <c r="M216" s="91"/>
      <c r="N216" s="91"/>
      <c r="O216" s="92"/>
      <c r="P216" s="93"/>
      <c r="Q216" s="125"/>
      <c r="R216" s="95"/>
      <c r="S216" s="96"/>
      <c r="T216" s="96" t="str">
        <f aca="false">IF(ISBLANK($C216),"",IF(G216=Constants!$B$2, TRUE(), IF(G216=Constants!$B$3, FALSE(), TRUE())))</f>
        <v/>
      </c>
      <c r="U216" s="96" t="str">
        <f aca="false">IF(ISBLANK($C216),"",IF(H216=Constants!$B$2, TRUE(), IF(H216=Constants!$B$3, FALSE(), TRUE())))</f>
        <v/>
      </c>
      <c r="V216" s="96" t="str">
        <f aca="false">IF(ISBLANK($C216),"",IF(I216=Constants!$B$2, TRUE(), IF(I216=Constants!$B$3, FALSE(), TRUE())))</f>
        <v/>
      </c>
      <c r="W216" s="96" t="str">
        <f aca="false">IF(ISBLANK($C216),"",IF(J216=Constants!$B$2, TRUE(), IF(J216=Constants!$B$3, FALSE(), TRUE())))</f>
        <v/>
      </c>
      <c r="X216" s="97" t="str">
        <f aca="false">IF(ISBLANK($C216),"",IF(K216=Constants!$B$2, TRUE(), IF(K216=Constants!$B$3, FALSE(), TRUE())))</f>
        <v/>
      </c>
      <c r="Y216" s="98" t="str">
        <f aca="false">IF(ISBLANK($C216),"",IF(ISNUMBER(L216), L216, ""))</f>
        <v/>
      </c>
      <c r="Z216" s="98" t="str">
        <f aca="false">IF(ISBLANK($C216),"",IF(ISNUMBER(M216), M216, ""))</f>
        <v/>
      </c>
      <c r="AA216" s="98" t="str">
        <f aca="false">IF(ISBLANK($C216),"",IF(ISNUMBER(N216), N216, ""))</f>
        <v/>
      </c>
      <c r="AB216" s="99" t="str">
        <f aca="false">IF(ISBLANK($C216),"",IF(ISNUMBER(O216), O216, ""))</f>
        <v/>
      </c>
      <c r="AC216" s="99" t="str">
        <f aca="false">IF(ISBLANK($C216),"",IF(ISNUMBER(P216), P216, Constants!$B$13))</f>
        <v/>
      </c>
      <c r="AD216" s="96" t="str">
        <f aca="false">IF(ISBLANK($C216),"",IF(Q216=Constants!$B$2, TRUE(), IF(Q216=Constants!$B$3, FALSE(), FALSE())))</f>
        <v/>
      </c>
      <c r="AE216" s="96" t="str">
        <f aca="false">IF(ISBLANK(C216), "", IF(AD216, Constants!$B$4,IF(COUNTA(G216:O216)=0, Constants!$B$5, Constants!$B$7)))</f>
        <v/>
      </c>
      <c r="AF216" s="96" t="str">
        <f aca="false">IF(ISBLANK($C216), "",IF($AE216=Constants!$B$7,1,$AE216))</f>
        <v/>
      </c>
      <c r="AG216" s="96" t="str">
        <f aca="false">IF($AE216=Constants!$B$7,IF(V216, 1, Constants!$B$11) * IF(X216, 1, Constants!$B$12),"")</f>
        <v/>
      </c>
      <c r="AH216" s="96" t="str">
        <f aca="false">IF(AND($AE216=Constants!$B$7, T216, U216) ,MAX(0, $AA216-$Y216),"")</f>
        <v/>
      </c>
      <c r="AI216" s="96" t="str">
        <f aca="false">IF(ISERROR(AH216),$AI$6,"")</f>
        <v/>
      </c>
      <c r="AJ216" s="96" t="str">
        <f aca="false">IF($AE216=Constants!$B$7,IF(AND(T216,U216,W216),IF($AH$6=0,Constants!$B$9,Constants!$B$9*AH216/$AH$6), 0),"")</f>
        <v/>
      </c>
      <c r="AK216" s="96" t="str">
        <f aca="false">IF(AJ216&lt;&gt;"", AJ216*AG216,"")</f>
        <v/>
      </c>
      <c r="AL216" s="96" t="str">
        <f aca="false">IF(AND($AE216=Constants!$B$7, T216, U216) ,IF($Z216="", "", MAX(0,1-ABS($AA216-$Z216)/$AA216)),"")</f>
        <v/>
      </c>
      <c r="AM216" s="96" t="str">
        <f aca="false">IF(AND(NOT(ISERROR(AH216)),ISERROR(AL216)),$AM$6,"")</f>
        <v/>
      </c>
      <c r="AN216" s="96" t="str">
        <f aca="false">IF($AE216=Constants!$B$7 ,IF(AND(T216,U216,W216,ISNUMBER(Z216)),IF($AL$6=0,Constants!$B$10,Constants!$B$10*AL216/$AL$6), 0),"")</f>
        <v/>
      </c>
      <c r="AO216" s="96" t="str">
        <f aca="false">IF(AN216&lt;&gt;"", AN216*AG216,"")</f>
        <v/>
      </c>
      <c r="AP216" s="96" t="str">
        <f aca="false">IF($AE216=Constants!$B$7,IF($AP$6=0,Constants!$B$8,Constants!$B$8*AB216/$AP$6),"")</f>
        <v/>
      </c>
      <c r="AQ216" s="96" t="str">
        <f aca="false">IF($AE216&lt;&gt;Constants!$B$7,$AE216,AK216+AO216+AP216)</f>
        <v/>
      </c>
      <c r="AR216" s="96" t="str">
        <f aca="false">IF(ISBLANK($C216),"",IF($AE216=Constants!$B$7,RANK(AQ216,$AQ$8:$AQ$507),$AE216))</f>
        <v/>
      </c>
      <c r="AS216" s="96" t="str">
        <f aca="false">IF(ISBLANK($C216), "",AK216)</f>
        <v/>
      </c>
      <c r="AT216" s="96" t="str">
        <f aca="false">IF(ISBLANK($C216),"",IF($AE216=Constants!$B$7,RANK(AS216,AS$8:AS$507),$AE216))</f>
        <v/>
      </c>
      <c r="AU216" s="96" t="str">
        <f aca="false">IF(ISBLANK($C216), "",AP216)</f>
        <v/>
      </c>
      <c r="AV216" s="96" t="str">
        <f aca="false">IF(ISBLANK($C216),"",IF($AE216=Constants!$B$7,RANK(AU216,AU$8:AU$507),$AE216))</f>
        <v/>
      </c>
      <c r="AW216" s="96" t="str">
        <f aca="false">IF(ISBLANK($C216), "",AC216)</f>
        <v/>
      </c>
      <c r="AX216" s="96" t="str">
        <f aca="false">IF(ISBLANK($C216),"",
IF($AE216=Constants!$B$7,
  COUNTIFS($AR$8:$AR$507,"&lt;"&amp;$AR216)
  + COUNTIFS($AR$8:$AR$507,$AR216,$AT$8:$AT$507,"&lt;"&amp;$AT216)
  + COUNTIFS($AR$8:$AR$507,$AR216,$AT$8:$AT$507,$AT216,$AV$8:$AV$507,"&lt;"&amp;$AV216)
  + COUNTIFS($AR$8:$AR$507,$AR216,$AT$8:$AT$507,$AT216,$AV$8:$AV$507,$AV216,$AW$8:$AW$507,"&lt;"&amp;$AW216)
  + 1,
$AE216))</f>
        <v/>
      </c>
      <c r="AY216" s="96" t="str">
        <f aca="false">IF(ISBLANK(C216),"",IF($AE216=Constants!$B$7, AR216-AX216,$AE216))</f>
        <v/>
      </c>
      <c r="AZ216" s="100"/>
      <c r="BA216" s="101" t="str">
        <f aca="false">IF(ISBLANK($C216),"",TRIM(AI216&amp;" "&amp;AM216))</f>
        <v/>
      </c>
      <c r="BB216" s="102" t="str">
        <f aca="false">IF(ISBLANK($C216),"",IF($AE216&lt;&gt;Constants!$B$7, $AE216 ,AQ216))</f>
        <v/>
      </c>
      <c r="BC216" s="103" t="str">
        <f aca="false">IF(ISBLANK($C216),"",IF($AE216&lt;&gt;Constants!$B$7, $AE216 ,AF216))</f>
        <v/>
      </c>
      <c r="BD216" s="104" t="str">
        <f aca="false">IF(ISBLANK(C216),"",AY216)</f>
        <v/>
      </c>
      <c r="BE216" s="104" t="str">
        <f aca="false">IF(ISBLANK(C216),"",AX216)</f>
        <v/>
      </c>
      <c r="BF216" s="105" t="str">
        <f aca="false">IF(ISBLANK(C216),"",IFERROR(_xlfn.SWITCH(BE216, Constants!$B$4, COUNTA($C$8:$C715)+2, Constants!$B$5, COUNTA($C$8:$C715)+1, Constants!$B$6, COUNTA($C$8:$C715)),BE216))</f>
        <v/>
      </c>
      <c r="BG216" s="5"/>
      <c r="BH216" s="106" t="n">
        <f aca="false">IF(OR(ISNUMBER(BE216),BE216="DQ",BE216="P",BE216="NS"),
    1,
    0
)</f>
        <v>0</v>
      </c>
      <c r="BI216" s="106" t="n">
        <v>209</v>
      </c>
      <c r="BJ216" s="106" t="str">
        <f aca="false">IF(ISBLANK($C216),
    "",
   BF216+ROW($B216)/1000
)</f>
        <v/>
      </c>
      <c r="BK216" s="106" t="str">
        <f aca="false">IF(ISNUMBER(BJ216), RANK(BJ216,BJ$8:BJ$507,1), "")</f>
        <v/>
      </c>
      <c r="BL216" s="106" t="str">
        <f aca="false">IF(ISBLANK($C216),
    "",
    $B216
)</f>
        <v/>
      </c>
      <c r="BM216" s="106" t="str">
        <f aca="false">IF(ISBLANK($C216),
    "",
    $C216
)</f>
        <v/>
      </c>
      <c r="BN216" s="106" t="str">
        <f aca="false">IF(ISBLANK($C216),
    "",
    $D216
)</f>
        <v/>
      </c>
      <c r="BO216" s="107" t="str">
        <f aca="false">BC216</f>
        <v/>
      </c>
      <c r="BP216" s="108" t="str">
        <f aca="false">BB216</f>
        <v/>
      </c>
      <c r="BQ216" s="106" t="str">
        <f aca="false">IF(ISBLANK($C216),
    "",
    BE216
)</f>
        <v/>
      </c>
      <c r="BR216" s="109" t="str">
        <f aca="false">IF(BI216&gt;BH$7,
    "",
    VLOOKUP(BI216,BK$8:BQ715,7,FALSE())
)</f>
        <v/>
      </c>
      <c r="BS216" s="110" t="str">
        <f aca="false">IF(BI216&gt;BH$7,
    "",
    VLOOKUP(BI216,BK$8:BQ715,2,FALSE())
)</f>
        <v/>
      </c>
      <c r="BT216" s="110" t="str">
        <f aca="false">IF(BI216&gt;BH$7,
    "",
    VLOOKUP(BI216,BK$8:BQ715,3,FALSE())
)</f>
        <v/>
      </c>
      <c r="BU216" s="110" t="str">
        <f aca="false">IF(BI216&gt;BH$7,
    "",
    VLOOKUP(BI216,BK$8:BQ715,4,FALSE())
)</f>
        <v/>
      </c>
      <c r="BV216" s="110" t="str">
        <f aca="false">IF(BI216&gt;BH$7,
    "",
    VLOOKUP(BI216,BK$8:BQ715,5,FALSE())
)</f>
        <v/>
      </c>
      <c r="BW216" s="111" t="str">
        <f aca="false">IF(BI216&gt;BH$7,
    "",
    VLOOKUP(BI216,BK$8:BQ715,6,FALSE())
)</f>
        <v/>
      </c>
      <c r="BX216" s="50"/>
    </row>
    <row r="217" customFormat="false" ht="15.75" hidden="false" customHeight="false" outlineLevel="0" collapsed="false">
      <c r="A217" s="5"/>
      <c r="B217" s="122"/>
      <c r="C217" s="123"/>
      <c r="D217" s="112"/>
      <c r="E217" s="116"/>
      <c r="F217" s="116"/>
      <c r="G217" s="88"/>
      <c r="H217" s="89"/>
      <c r="I217" s="125"/>
      <c r="J217" s="125"/>
      <c r="K217" s="125"/>
      <c r="L217" s="91"/>
      <c r="M217" s="91"/>
      <c r="N217" s="91"/>
      <c r="O217" s="92"/>
      <c r="P217" s="93"/>
      <c r="Q217" s="125"/>
      <c r="R217" s="95"/>
      <c r="S217" s="96"/>
      <c r="T217" s="96" t="str">
        <f aca="false">IF(ISBLANK($C217),"",IF(G217=Constants!$B$2, TRUE(), IF(G217=Constants!$B$3, FALSE(), TRUE())))</f>
        <v/>
      </c>
      <c r="U217" s="96" t="str">
        <f aca="false">IF(ISBLANK($C217),"",IF(H217=Constants!$B$2, TRUE(), IF(H217=Constants!$B$3, FALSE(), TRUE())))</f>
        <v/>
      </c>
      <c r="V217" s="96" t="str">
        <f aca="false">IF(ISBLANK($C217),"",IF(I217=Constants!$B$2, TRUE(), IF(I217=Constants!$B$3, FALSE(), TRUE())))</f>
        <v/>
      </c>
      <c r="W217" s="96" t="str">
        <f aca="false">IF(ISBLANK($C217),"",IF(J217=Constants!$B$2, TRUE(), IF(J217=Constants!$B$3, FALSE(), TRUE())))</f>
        <v/>
      </c>
      <c r="X217" s="97" t="str">
        <f aca="false">IF(ISBLANK($C217),"",IF(K217=Constants!$B$2, TRUE(), IF(K217=Constants!$B$3, FALSE(), TRUE())))</f>
        <v/>
      </c>
      <c r="Y217" s="98" t="str">
        <f aca="false">IF(ISBLANK($C217),"",IF(ISNUMBER(L217), L217, ""))</f>
        <v/>
      </c>
      <c r="Z217" s="98" t="str">
        <f aca="false">IF(ISBLANK($C217),"",IF(ISNUMBER(M217), M217, ""))</f>
        <v/>
      </c>
      <c r="AA217" s="98" t="str">
        <f aca="false">IF(ISBLANK($C217),"",IF(ISNUMBER(N217), N217, ""))</f>
        <v/>
      </c>
      <c r="AB217" s="99" t="str">
        <f aca="false">IF(ISBLANK($C217),"",IF(ISNUMBER(O217), O217, ""))</f>
        <v/>
      </c>
      <c r="AC217" s="99" t="str">
        <f aca="false">IF(ISBLANK($C217),"",IF(ISNUMBER(P217), P217, Constants!$B$13))</f>
        <v/>
      </c>
      <c r="AD217" s="96" t="str">
        <f aca="false">IF(ISBLANK($C217),"",IF(Q217=Constants!$B$2, TRUE(), IF(Q217=Constants!$B$3, FALSE(), FALSE())))</f>
        <v/>
      </c>
      <c r="AE217" s="96" t="str">
        <f aca="false">IF(ISBLANK(C217), "", IF(AD217, Constants!$B$4,IF(COUNTA(G217:O217)=0, Constants!$B$5, Constants!$B$7)))</f>
        <v/>
      </c>
      <c r="AF217" s="96" t="str">
        <f aca="false">IF(ISBLANK($C217), "",IF($AE217=Constants!$B$7,1,$AE217))</f>
        <v/>
      </c>
      <c r="AG217" s="96" t="str">
        <f aca="false">IF($AE217=Constants!$B$7,IF(V217, 1, Constants!$B$11) * IF(X217, 1, Constants!$B$12),"")</f>
        <v/>
      </c>
      <c r="AH217" s="96" t="str">
        <f aca="false">IF(AND($AE217=Constants!$B$7, T217, U217) ,MAX(0, $AA217-$Y217),"")</f>
        <v/>
      </c>
      <c r="AI217" s="96" t="str">
        <f aca="false">IF(ISERROR(AH217),$AI$6,"")</f>
        <v/>
      </c>
      <c r="AJ217" s="96" t="str">
        <f aca="false">IF($AE217=Constants!$B$7,IF(AND(T217,U217,W217),IF($AH$6=0,Constants!$B$9,Constants!$B$9*AH217/$AH$6), 0),"")</f>
        <v/>
      </c>
      <c r="AK217" s="96" t="str">
        <f aca="false">IF(AJ217&lt;&gt;"", AJ217*AG217,"")</f>
        <v/>
      </c>
      <c r="AL217" s="96" t="str">
        <f aca="false">IF(AND($AE217=Constants!$B$7, T217, U217) ,IF($Z217="", "", MAX(0,1-ABS($AA217-$Z217)/$AA217)),"")</f>
        <v/>
      </c>
      <c r="AM217" s="96" t="str">
        <f aca="false">IF(AND(NOT(ISERROR(AH217)),ISERROR(AL217)),$AM$6,"")</f>
        <v/>
      </c>
      <c r="AN217" s="96" t="str">
        <f aca="false">IF($AE217=Constants!$B$7 ,IF(AND(T217,U217,W217,ISNUMBER(Z217)),IF($AL$6=0,Constants!$B$10,Constants!$B$10*AL217/$AL$6), 0),"")</f>
        <v/>
      </c>
      <c r="AO217" s="96" t="str">
        <f aca="false">IF(AN217&lt;&gt;"", AN217*AG217,"")</f>
        <v/>
      </c>
      <c r="AP217" s="96" t="str">
        <f aca="false">IF($AE217=Constants!$B$7,IF($AP$6=0,Constants!$B$8,Constants!$B$8*AB217/$AP$6),"")</f>
        <v/>
      </c>
      <c r="AQ217" s="96" t="str">
        <f aca="false">IF($AE217&lt;&gt;Constants!$B$7,$AE217,AK217+AO217+AP217)</f>
        <v/>
      </c>
      <c r="AR217" s="96" t="str">
        <f aca="false">IF(ISBLANK($C217),"",IF($AE217=Constants!$B$7,RANK(AQ217,$AQ$8:$AQ$507),$AE217))</f>
        <v/>
      </c>
      <c r="AS217" s="96" t="str">
        <f aca="false">IF(ISBLANK($C217), "",AK217)</f>
        <v/>
      </c>
      <c r="AT217" s="96" t="str">
        <f aca="false">IF(ISBLANK($C217),"",IF($AE217=Constants!$B$7,RANK(AS217,AS$8:AS$507),$AE217))</f>
        <v/>
      </c>
      <c r="AU217" s="96" t="str">
        <f aca="false">IF(ISBLANK($C217), "",AP217)</f>
        <v/>
      </c>
      <c r="AV217" s="96" t="str">
        <f aca="false">IF(ISBLANK($C217),"",IF($AE217=Constants!$B$7,RANK(AU217,AU$8:AU$507),$AE217))</f>
        <v/>
      </c>
      <c r="AW217" s="96" t="str">
        <f aca="false">IF(ISBLANK($C217), "",AC217)</f>
        <v/>
      </c>
      <c r="AX217" s="96" t="str">
        <f aca="false">IF(ISBLANK($C217),"",
IF($AE217=Constants!$B$7,
  COUNTIFS($AR$8:$AR$507,"&lt;"&amp;$AR217)
  + COUNTIFS($AR$8:$AR$507,$AR217,$AT$8:$AT$507,"&lt;"&amp;$AT217)
  + COUNTIFS($AR$8:$AR$507,$AR217,$AT$8:$AT$507,$AT217,$AV$8:$AV$507,"&lt;"&amp;$AV217)
  + COUNTIFS($AR$8:$AR$507,$AR217,$AT$8:$AT$507,$AT217,$AV$8:$AV$507,$AV217,$AW$8:$AW$507,"&lt;"&amp;$AW217)
  + 1,
$AE217))</f>
        <v/>
      </c>
      <c r="AY217" s="96" t="str">
        <f aca="false">IF(ISBLANK(C217),"",IF($AE217=Constants!$B$7, AR217-AX217,$AE217))</f>
        <v/>
      </c>
      <c r="AZ217" s="100"/>
      <c r="BA217" s="101" t="str">
        <f aca="false">IF(ISBLANK($C217),"",TRIM(AI217&amp;" "&amp;AM217))</f>
        <v/>
      </c>
      <c r="BB217" s="102" t="str">
        <f aca="false">IF(ISBLANK($C217),"",IF($AE217&lt;&gt;Constants!$B$7, $AE217 ,AQ217))</f>
        <v/>
      </c>
      <c r="BC217" s="103" t="str">
        <f aca="false">IF(ISBLANK($C217),"",IF($AE217&lt;&gt;Constants!$B$7, $AE217 ,AF217))</f>
        <v/>
      </c>
      <c r="BD217" s="104" t="str">
        <f aca="false">IF(ISBLANK(C217),"",AY217)</f>
        <v/>
      </c>
      <c r="BE217" s="104" t="str">
        <f aca="false">IF(ISBLANK(C217),"",AX217)</f>
        <v/>
      </c>
      <c r="BF217" s="105" t="str">
        <f aca="false">IF(ISBLANK(C217),"",IFERROR(_xlfn.SWITCH(BE217, Constants!$B$4, COUNTA($C$8:$C716)+2, Constants!$B$5, COUNTA($C$8:$C716)+1, Constants!$B$6, COUNTA($C$8:$C716)),BE217))</f>
        <v/>
      </c>
      <c r="BG217" s="5"/>
      <c r="BH217" s="106" t="n">
        <f aca="false">IF(OR(ISNUMBER(BE217),BE217="DQ",BE217="P",BE217="NS"),
    1,
    0
)</f>
        <v>0</v>
      </c>
      <c r="BI217" s="106" t="n">
        <v>210</v>
      </c>
      <c r="BJ217" s="106" t="str">
        <f aca="false">IF(ISBLANK($C217),
    "",
   BF217+ROW($B217)/1000
)</f>
        <v/>
      </c>
      <c r="BK217" s="106" t="str">
        <f aca="false">IF(ISNUMBER(BJ217), RANK(BJ217,BJ$8:BJ$507,1), "")</f>
        <v/>
      </c>
      <c r="BL217" s="106" t="str">
        <f aca="false">IF(ISBLANK($C217),
    "",
    $B217
)</f>
        <v/>
      </c>
      <c r="BM217" s="106" t="str">
        <f aca="false">IF(ISBLANK($C217),
    "",
    $C217
)</f>
        <v/>
      </c>
      <c r="BN217" s="106" t="str">
        <f aca="false">IF(ISBLANK($C217),
    "",
    $D217
)</f>
        <v/>
      </c>
      <c r="BO217" s="107" t="str">
        <f aca="false">BC217</f>
        <v/>
      </c>
      <c r="BP217" s="108" t="str">
        <f aca="false">BB217</f>
        <v/>
      </c>
      <c r="BQ217" s="106" t="str">
        <f aca="false">IF(ISBLANK($C217),
    "",
    BE217
)</f>
        <v/>
      </c>
      <c r="BR217" s="109" t="str">
        <f aca="false">IF(BI217&gt;BH$7,
    "",
    VLOOKUP(BI217,BK$8:BQ716,7,FALSE())
)</f>
        <v/>
      </c>
      <c r="BS217" s="110" t="str">
        <f aca="false">IF(BI217&gt;BH$7,
    "",
    VLOOKUP(BI217,BK$8:BQ716,2,FALSE())
)</f>
        <v/>
      </c>
      <c r="BT217" s="110" t="str">
        <f aca="false">IF(BI217&gt;BH$7,
    "",
    VLOOKUP(BI217,BK$8:BQ716,3,FALSE())
)</f>
        <v/>
      </c>
      <c r="BU217" s="110" t="str">
        <f aca="false">IF(BI217&gt;BH$7,
    "",
    VLOOKUP(BI217,BK$8:BQ716,4,FALSE())
)</f>
        <v/>
      </c>
      <c r="BV217" s="110" t="str">
        <f aca="false">IF(BI217&gt;BH$7,
    "",
    VLOOKUP(BI217,BK$8:BQ716,5,FALSE())
)</f>
        <v/>
      </c>
      <c r="BW217" s="111" t="str">
        <f aca="false">IF(BI217&gt;BH$7,
    "",
    VLOOKUP(BI217,BK$8:BQ716,6,FALSE())
)</f>
        <v/>
      </c>
      <c r="BX217" s="50"/>
    </row>
    <row r="218" customFormat="false" ht="15.75" hidden="false" customHeight="false" outlineLevel="0" collapsed="false">
      <c r="A218" s="5"/>
      <c r="B218" s="126"/>
      <c r="C218" s="52"/>
      <c r="D218" s="53"/>
      <c r="E218" s="120"/>
      <c r="F218" s="120"/>
      <c r="G218" s="55"/>
      <c r="H218" s="56"/>
      <c r="I218" s="80"/>
      <c r="J218" s="80"/>
      <c r="K218" s="80"/>
      <c r="L218" s="58"/>
      <c r="M218" s="58"/>
      <c r="N218" s="58"/>
      <c r="O218" s="59"/>
      <c r="P218" s="60"/>
      <c r="Q218" s="80"/>
      <c r="R218" s="62"/>
      <c r="S218" s="63"/>
      <c r="T218" s="63" t="str">
        <f aca="false">IF(ISBLANK($C218),"",IF(G218=Constants!$B$2, TRUE(), IF(G218=Constants!$B$3, FALSE(), TRUE())))</f>
        <v/>
      </c>
      <c r="U218" s="63" t="str">
        <f aca="false">IF(ISBLANK($C218),"",IF(H218=Constants!$B$2, TRUE(), IF(H218=Constants!$B$3, FALSE(), TRUE())))</f>
        <v/>
      </c>
      <c r="V218" s="63" t="str">
        <f aca="false">IF(ISBLANK($C218),"",IF(I218=Constants!$B$2, TRUE(), IF(I218=Constants!$B$3, FALSE(), TRUE())))</f>
        <v/>
      </c>
      <c r="W218" s="63" t="str">
        <f aca="false">IF(ISBLANK($C218),"",IF(J218=Constants!$B$2, TRUE(), IF(J218=Constants!$B$3, FALSE(), TRUE())))</f>
        <v/>
      </c>
      <c r="X218" s="63" t="str">
        <f aca="false">IF(ISBLANK($C218),"",IF(K218=Constants!$B$2, TRUE(), IF(K218=Constants!$B$3, FALSE(), TRUE())))</f>
        <v/>
      </c>
      <c r="Y218" s="65" t="str">
        <f aca="false">IF(ISBLANK($C218),"",IF(ISNUMBER(L218), L218, ""))</f>
        <v/>
      </c>
      <c r="Z218" s="65" t="str">
        <f aca="false">IF(ISBLANK($C218),"",IF(ISNUMBER(M218), M218, ""))</f>
        <v/>
      </c>
      <c r="AA218" s="65" t="str">
        <f aca="false">IF(ISBLANK($C218),"",IF(ISNUMBER(N218), N218, ""))</f>
        <v/>
      </c>
      <c r="AB218" s="66" t="str">
        <f aca="false">IF(ISBLANK($C218),"",IF(ISNUMBER(O218), O218, ""))</f>
        <v/>
      </c>
      <c r="AC218" s="66" t="str">
        <f aca="false">IF(ISBLANK($C218),"",IF(ISNUMBER(P218), P218, Constants!$B$13))</f>
        <v/>
      </c>
      <c r="AD218" s="63" t="str">
        <f aca="false">IF(ISBLANK($C218),"",IF(Q218=Constants!$B$2, TRUE(), IF(Q218=Constants!$B$3, FALSE(), FALSE())))</f>
        <v/>
      </c>
      <c r="AE218" s="63" t="str">
        <f aca="false">IF(ISBLANK(C218), "", IF(AD218, Constants!$B$4,IF(COUNTA(G218:O218)=0, Constants!$B$5, Constants!$B$7)))</f>
        <v/>
      </c>
      <c r="AF218" s="63" t="str">
        <f aca="false">IF(ISBLANK($C218), "",IF($AE218=Constants!$B$7,1,$AE218))</f>
        <v/>
      </c>
      <c r="AG218" s="63" t="str">
        <f aca="false">IF($AE218=Constants!$B$7,IF(V218, 1, Constants!$B$11) * IF(X218, 1, Constants!$B$12),"")</f>
        <v/>
      </c>
      <c r="AH218" s="63" t="str">
        <f aca="false">IF(AND($AE218=Constants!$B$7, T218, U218) ,MAX(0, $AA218-$Y218),"")</f>
        <v/>
      </c>
      <c r="AI218" s="63" t="str">
        <f aca="false">IF(ISERROR(AH218),$AI$6,"")</f>
        <v/>
      </c>
      <c r="AJ218" s="63" t="str">
        <f aca="false">IF($AE218=Constants!$B$7,IF(AND(T218,U218,W218),IF($AH$6=0,Constants!$B$9,Constants!$B$9*AH218/$AH$6), 0),"")</f>
        <v/>
      </c>
      <c r="AK218" s="63" t="str">
        <f aca="false">IF(AJ218&lt;&gt;"", AJ218*AG218,"")</f>
        <v/>
      </c>
      <c r="AL218" s="63" t="str">
        <f aca="false">IF(AND($AE218=Constants!$B$7, T218, U218) ,IF($Z218="", "", MAX(0,1-ABS($AA218-$Z218)/$AA218)),"")</f>
        <v/>
      </c>
      <c r="AM218" s="63" t="str">
        <f aca="false">IF(AND(NOT(ISERROR(AH218)),ISERROR(AL218)),$AM$6,"")</f>
        <v/>
      </c>
      <c r="AN218" s="63" t="str">
        <f aca="false">IF($AE218=Constants!$B$7 ,IF(AND(T218,U218,W218,ISNUMBER(Z218)),IF($AL$6=0,Constants!$B$10,Constants!$B$10*AL218/$AL$6), 0),"")</f>
        <v/>
      </c>
      <c r="AO218" s="63" t="str">
        <f aca="false">IF(AN218&lt;&gt;"", AN218*AG218,"")</f>
        <v/>
      </c>
      <c r="AP218" s="63" t="str">
        <f aca="false">IF($AE218=Constants!$B$7,IF($AP$6=0,Constants!$B$8,Constants!$B$8*AB218/$AP$6),"")</f>
        <v/>
      </c>
      <c r="AQ218" s="63" t="str">
        <f aca="false">IF($AE218&lt;&gt;Constants!$B$7,$AE218,AK218+AO218+AP218)</f>
        <v/>
      </c>
      <c r="AR218" s="63" t="str">
        <f aca="false">IF(ISBLANK($C218),"",IF($AE218=Constants!$B$7,RANK(AQ218,$AQ$8:$AQ$507),$AE218))</f>
        <v/>
      </c>
      <c r="AS218" s="63" t="str">
        <f aca="false">IF(ISBLANK($C218), "",AK218)</f>
        <v/>
      </c>
      <c r="AT218" s="63" t="str">
        <f aca="false">IF(ISBLANK($C218),"",IF($AE218=Constants!$B$7,RANK(AS218,AS$8:AS$507),$AE218))</f>
        <v/>
      </c>
      <c r="AU218" s="63" t="str">
        <f aca="false">IF(ISBLANK($C218), "",AP218)</f>
        <v/>
      </c>
      <c r="AV218" s="63" t="str">
        <f aca="false">IF(ISBLANK($C218),"",IF($AE218=Constants!$B$7,RANK(AU218,AU$8:AU$507),$AE218))</f>
        <v/>
      </c>
      <c r="AW218" s="63" t="str">
        <f aca="false">IF(ISBLANK($C218), "",AC218)</f>
        <v/>
      </c>
      <c r="AX218" s="63" t="str">
        <f aca="false">IF(ISBLANK($C218),"",
IF($AE218=Constants!$B$7,
  COUNTIFS($AR$8:$AR$507,"&lt;"&amp;$AR218)
  + COUNTIFS($AR$8:$AR$507,$AR218,$AT$8:$AT$507,"&lt;"&amp;$AT218)
  + COUNTIFS($AR$8:$AR$507,$AR218,$AT$8:$AT$507,$AT218,$AV$8:$AV$507,"&lt;"&amp;$AV218)
  + COUNTIFS($AR$8:$AR$507,$AR218,$AT$8:$AT$507,$AT218,$AV$8:$AV$507,$AV218,$AW$8:$AW$507,"&lt;"&amp;$AW218)
  + 1,
$AE218))</f>
        <v/>
      </c>
      <c r="AY218" s="63" t="str">
        <f aca="false">IF(ISBLANK(C218),"",IF($AE218=Constants!$B$7, AR218-AX218,$AE218))</f>
        <v/>
      </c>
      <c r="AZ218" s="67"/>
      <c r="BA218" s="81" t="str">
        <f aca="false">IF(ISBLANK($C218),"",TRIM(AI218&amp;" "&amp;AM218))</f>
        <v/>
      </c>
      <c r="BB218" s="69" t="str">
        <f aca="false">IF(ISBLANK($C218),"",IF($AE218&lt;&gt;Constants!$B$7, $AE218 ,AQ218))</f>
        <v/>
      </c>
      <c r="BC218" s="70" t="str">
        <f aca="false">IF(ISBLANK($C218),"",IF($AE218&lt;&gt;Constants!$B$7, $AE218 ,AF218))</f>
        <v/>
      </c>
      <c r="BD218" s="71" t="str">
        <f aca="false">IF(ISBLANK(C218),"",AY218)</f>
        <v/>
      </c>
      <c r="BE218" s="71" t="str">
        <f aca="false">IF(ISBLANK(C218),"",AX218)</f>
        <v/>
      </c>
      <c r="BF218" s="72" t="str">
        <f aca="false">IF(ISBLANK(C218),"",IFERROR(_xlfn.SWITCH(BE218, Constants!$B$4, COUNTA($C$8:$C717)+2, Constants!$B$5, COUNTA($C$8:$C717)+1, Constants!$B$6, COUNTA($C$8:$C717)),BE218))</f>
        <v/>
      </c>
      <c r="BG218" s="5"/>
      <c r="BH218" s="73" t="n">
        <f aca="false">IF(OR(ISNUMBER(BE218),BE218="DQ",BE218="P",BE218="NS"),
    1,
    0
)</f>
        <v>0</v>
      </c>
      <c r="BI218" s="73" t="n">
        <v>211</v>
      </c>
      <c r="BJ218" s="73" t="str">
        <f aca="false">IF(ISBLANK($C218),
    "",
   BF218+ROW($B218)/1000
)</f>
        <v/>
      </c>
      <c r="BK218" s="73" t="str">
        <f aca="false">IF(ISNUMBER(BJ218), RANK(BJ218,BJ$8:BJ$507,1), "")</f>
        <v/>
      </c>
      <c r="BL218" s="73" t="str">
        <f aca="false">IF(ISBLANK($C218),
    "",
    $B218
)</f>
        <v/>
      </c>
      <c r="BM218" s="73" t="str">
        <f aca="false">IF(ISBLANK($C218),
    "",
    $C218
)</f>
        <v/>
      </c>
      <c r="BN218" s="73" t="str">
        <f aca="false">IF(ISBLANK($C218),
    "",
    $D218
)</f>
        <v/>
      </c>
      <c r="BO218" s="74" t="str">
        <f aca="false">BC218</f>
        <v/>
      </c>
      <c r="BP218" s="75" t="str">
        <f aca="false">BB218</f>
        <v/>
      </c>
      <c r="BQ218" s="73" t="str">
        <f aca="false">IF(ISBLANK($C218),
    "",
    BE218
)</f>
        <v/>
      </c>
      <c r="BR218" s="76" t="str">
        <f aca="false">IF(BI218&gt;BH$7,
    "",
    VLOOKUP(BI218,BK$8:BQ717,7,FALSE())
)</f>
        <v/>
      </c>
      <c r="BS218" s="77" t="str">
        <f aca="false">IF(BI218&gt;BH$7,
    "",
    VLOOKUP(BI218,BK$8:BQ717,2,FALSE())
)</f>
        <v/>
      </c>
      <c r="BT218" s="77" t="str">
        <f aca="false">IF(BI218&gt;BH$7,
    "",
    VLOOKUP(BI218,BK$8:BQ717,3,FALSE())
)</f>
        <v/>
      </c>
      <c r="BU218" s="77" t="str">
        <f aca="false">IF(BI218&gt;BH$7,
    "",
    VLOOKUP(BI218,BK$8:BQ717,4,FALSE())
)</f>
        <v/>
      </c>
      <c r="BV218" s="77" t="str">
        <f aca="false">IF(BI218&gt;BH$7,
    "",
    VLOOKUP(BI218,BK$8:BQ717,5,FALSE())
)</f>
        <v/>
      </c>
      <c r="BW218" s="78" t="str">
        <f aca="false">IF(BI218&gt;BH$7,
    "",
    VLOOKUP(BI218,BK$8:BQ717,6,FALSE())
)</f>
        <v/>
      </c>
      <c r="BX218" s="50"/>
    </row>
    <row r="219" customFormat="false" ht="15.75" hidden="false" customHeight="false" outlineLevel="0" collapsed="false">
      <c r="A219" s="5"/>
      <c r="B219" s="126"/>
      <c r="C219" s="52"/>
      <c r="D219" s="53"/>
      <c r="E219" s="120"/>
      <c r="F219" s="120"/>
      <c r="G219" s="55"/>
      <c r="H219" s="56"/>
      <c r="I219" s="80"/>
      <c r="J219" s="80"/>
      <c r="K219" s="80"/>
      <c r="L219" s="58"/>
      <c r="M219" s="58"/>
      <c r="N219" s="58"/>
      <c r="O219" s="59"/>
      <c r="P219" s="60"/>
      <c r="Q219" s="80"/>
      <c r="R219" s="62"/>
      <c r="S219" s="63"/>
      <c r="T219" s="63" t="str">
        <f aca="false">IF(ISBLANK($C219),"",IF(G219=Constants!$B$2, TRUE(), IF(G219=Constants!$B$3, FALSE(), TRUE())))</f>
        <v/>
      </c>
      <c r="U219" s="63" t="str">
        <f aca="false">IF(ISBLANK($C219),"",IF(H219=Constants!$B$2, TRUE(), IF(H219=Constants!$B$3, FALSE(), TRUE())))</f>
        <v/>
      </c>
      <c r="V219" s="63" t="str">
        <f aca="false">IF(ISBLANK($C219),"",IF(I219=Constants!$B$2, TRUE(), IF(I219=Constants!$B$3, FALSE(), TRUE())))</f>
        <v/>
      </c>
      <c r="W219" s="63" t="str">
        <f aca="false">IF(ISBLANK($C219),"",IF(J219=Constants!$B$2, TRUE(), IF(J219=Constants!$B$3, FALSE(), TRUE())))</f>
        <v/>
      </c>
      <c r="X219" s="63" t="str">
        <f aca="false">IF(ISBLANK($C219),"",IF(K219=Constants!$B$2, TRUE(), IF(K219=Constants!$B$3, FALSE(), TRUE())))</f>
        <v/>
      </c>
      <c r="Y219" s="65" t="str">
        <f aca="false">IF(ISBLANK($C219),"",IF(ISNUMBER(L219), L219, ""))</f>
        <v/>
      </c>
      <c r="Z219" s="65" t="str">
        <f aca="false">IF(ISBLANK($C219),"",IF(ISNUMBER(M219), M219, ""))</f>
        <v/>
      </c>
      <c r="AA219" s="65" t="str">
        <f aca="false">IF(ISBLANK($C219),"",IF(ISNUMBER(N219), N219, ""))</f>
        <v/>
      </c>
      <c r="AB219" s="66" t="str">
        <f aca="false">IF(ISBLANK($C219),"",IF(ISNUMBER(O219), O219, ""))</f>
        <v/>
      </c>
      <c r="AC219" s="66" t="str">
        <f aca="false">IF(ISBLANK($C219),"",IF(ISNUMBER(P219), P219, Constants!$B$13))</f>
        <v/>
      </c>
      <c r="AD219" s="63" t="str">
        <f aca="false">IF(ISBLANK($C219),"",IF(Q219=Constants!$B$2, TRUE(), IF(Q219=Constants!$B$3, FALSE(), FALSE())))</f>
        <v/>
      </c>
      <c r="AE219" s="63" t="str">
        <f aca="false">IF(ISBLANK(C219), "", IF(AD219, Constants!$B$4,IF(COUNTA(G219:O219)=0, Constants!$B$5, Constants!$B$7)))</f>
        <v/>
      </c>
      <c r="AF219" s="63" t="str">
        <f aca="false">IF(ISBLANK($C219), "",IF($AE219=Constants!$B$7,1,$AE219))</f>
        <v/>
      </c>
      <c r="AG219" s="63" t="str">
        <f aca="false">IF($AE219=Constants!$B$7,IF(V219, 1, Constants!$B$11) * IF(X219, 1, Constants!$B$12),"")</f>
        <v/>
      </c>
      <c r="AH219" s="63" t="str">
        <f aca="false">IF(AND($AE219=Constants!$B$7, T219, U219) ,MAX(0, $AA219-$Y219),"")</f>
        <v/>
      </c>
      <c r="AI219" s="63" t="str">
        <f aca="false">IF(ISERROR(AH219),$AI$6,"")</f>
        <v/>
      </c>
      <c r="AJ219" s="63" t="str">
        <f aca="false">IF($AE219=Constants!$B$7,IF(AND(T219,U219,W219),IF($AH$6=0,Constants!$B$9,Constants!$B$9*AH219/$AH$6), 0),"")</f>
        <v/>
      </c>
      <c r="AK219" s="63" t="str">
        <f aca="false">IF(AJ219&lt;&gt;"", AJ219*AG219,"")</f>
        <v/>
      </c>
      <c r="AL219" s="63" t="str">
        <f aca="false">IF(AND($AE219=Constants!$B$7, T219, U219) ,IF($Z219="", "", MAX(0,1-ABS($AA219-$Z219)/$AA219)),"")</f>
        <v/>
      </c>
      <c r="AM219" s="63" t="str">
        <f aca="false">IF(AND(NOT(ISERROR(AH219)),ISERROR(AL219)),$AM$6,"")</f>
        <v/>
      </c>
      <c r="AN219" s="63" t="str">
        <f aca="false">IF($AE219=Constants!$B$7 ,IF(AND(T219,U219,W219,ISNUMBER(Z219)),IF($AL$6=0,Constants!$B$10,Constants!$B$10*AL219/$AL$6), 0),"")</f>
        <v/>
      </c>
      <c r="AO219" s="63" t="str">
        <f aca="false">IF(AN219&lt;&gt;"", AN219*AG219,"")</f>
        <v/>
      </c>
      <c r="AP219" s="63" t="str">
        <f aca="false">IF($AE219=Constants!$B$7,IF($AP$6=0,Constants!$B$8,Constants!$B$8*AB219/$AP$6),"")</f>
        <v/>
      </c>
      <c r="AQ219" s="63" t="str">
        <f aca="false">IF($AE219&lt;&gt;Constants!$B$7,$AE219,AK219+AO219+AP219)</f>
        <v/>
      </c>
      <c r="AR219" s="63" t="str">
        <f aca="false">IF(ISBLANK($C219),"",IF($AE219=Constants!$B$7,RANK(AQ219,$AQ$8:$AQ$507),$AE219))</f>
        <v/>
      </c>
      <c r="AS219" s="63" t="str">
        <f aca="false">IF(ISBLANK($C219), "",AK219)</f>
        <v/>
      </c>
      <c r="AT219" s="63" t="str">
        <f aca="false">IF(ISBLANK($C219),"",IF($AE219=Constants!$B$7,RANK(AS219,AS$8:AS$507),$AE219))</f>
        <v/>
      </c>
      <c r="AU219" s="63" t="str">
        <f aca="false">IF(ISBLANK($C219), "",AP219)</f>
        <v/>
      </c>
      <c r="AV219" s="63" t="str">
        <f aca="false">IF(ISBLANK($C219),"",IF($AE219=Constants!$B$7,RANK(AU219,AU$8:AU$507),$AE219))</f>
        <v/>
      </c>
      <c r="AW219" s="63" t="str">
        <f aca="false">IF(ISBLANK($C219), "",AC219)</f>
        <v/>
      </c>
      <c r="AX219" s="63" t="str">
        <f aca="false">IF(ISBLANK($C219),"",
IF($AE219=Constants!$B$7,
  COUNTIFS($AR$8:$AR$507,"&lt;"&amp;$AR219)
  + COUNTIFS($AR$8:$AR$507,$AR219,$AT$8:$AT$507,"&lt;"&amp;$AT219)
  + COUNTIFS($AR$8:$AR$507,$AR219,$AT$8:$AT$507,$AT219,$AV$8:$AV$507,"&lt;"&amp;$AV219)
  + COUNTIFS($AR$8:$AR$507,$AR219,$AT$8:$AT$507,$AT219,$AV$8:$AV$507,$AV219,$AW$8:$AW$507,"&lt;"&amp;$AW219)
  + 1,
$AE219))</f>
        <v/>
      </c>
      <c r="AY219" s="63" t="str">
        <f aca="false">IF(ISBLANK(C219),"",IF($AE219=Constants!$B$7, AR219-AX219,$AE219))</f>
        <v/>
      </c>
      <c r="AZ219" s="67"/>
      <c r="BA219" s="81" t="str">
        <f aca="false">IF(ISBLANK($C219),"",TRIM(AI219&amp;" "&amp;AM219))</f>
        <v/>
      </c>
      <c r="BB219" s="69" t="str">
        <f aca="false">IF(ISBLANK($C219),"",IF($AE219&lt;&gt;Constants!$B$7, $AE219 ,AQ219))</f>
        <v/>
      </c>
      <c r="BC219" s="70" t="str">
        <f aca="false">IF(ISBLANK($C219),"",IF($AE219&lt;&gt;Constants!$B$7, $AE219 ,AF219))</f>
        <v/>
      </c>
      <c r="BD219" s="71" t="str">
        <f aca="false">IF(ISBLANK(C219),"",AY219)</f>
        <v/>
      </c>
      <c r="BE219" s="71" t="str">
        <f aca="false">IF(ISBLANK(C219),"",AX219)</f>
        <v/>
      </c>
      <c r="BF219" s="72" t="str">
        <f aca="false">IF(ISBLANK(C219),"",IFERROR(_xlfn.SWITCH(BE219, Constants!$B$4, COUNTA($C$8:$C718)+2, Constants!$B$5, COUNTA($C$8:$C718)+1, Constants!$B$6, COUNTA($C$8:$C718)),BE219))</f>
        <v/>
      </c>
      <c r="BG219" s="5"/>
      <c r="BH219" s="73" t="n">
        <f aca="false">IF(OR(ISNUMBER(BE219),BE219="DQ",BE219="P",BE219="NS"),
    1,
    0
)</f>
        <v>0</v>
      </c>
      <c r="BI219" s="73" t="n">
        <v>212</v>
      </c>
      <c r="BJ219" s="73" t="str">
        <f aca="false">IF(ISBLANK($C219),
    "",
   BF219+ROW($B219)/1000
)</f>
        <v/>
      </c>
      <c r="BK219" s="73" t="str">
        <f aca="false">IF(ISNUMBER(BJ219), RANK(BJ219,BJ$8:BJ$507,1), "")</f>
        <v/>
      </c>
      <c r="BL219" s="73" t="str">
        <f aca="false">IF(ISBLANK($C219),
    "",
    $B219
)</f>
        <v/>
      </c>
      <c r="BM219" s="73" t="str">
        <f aca="false">IF(ISBLANK($C219),
    "",
    $C219
)</f>
        <v/>
      </c>
      <c r="BN219" s="73" t="str">
        <f aca="false">IF(ISBLANK($C219),
    "",
    $D219
)</f>
        <v/>
      </c>
      <c r="BO219" s="74" t="str">
        <f aca="false">BC219</f>
        <v/>
      </c>
      <c r="BP219" s="75" t="str">
        <f aca="false">BB219</f>
        <v/>
      </c>
      <c r="BQ219" s="73" t="str">
        <f aca="false">IF(ISBLANK($C219),
    "",
    BE219
)</f>
        <v/>
      </c>
      <c r="BR219" s="76" t="str">
        <f aca="false">IF(BI219&gt;BH$7,
    "",
    VLOOKUP(BI219,BK$8:BQ718,7,FALSE())
)</f>
        <v/>
      </c>
      <c r="BS219" s="77" t="str">
        <f aca="false">IF(BI219&gt;BH$7,
    "",
    VLOOKUP(BI219,BK$8:BQ718,2,FALSE())
)</f>
        <v/>
      </c>
      <c r="BT219" s="77" t="str">
        <f aca="false">IF(BI219&gt;BH$7,
    "",
    VLOOKUP(BI219,BK$8:BQ718,3,FALSE())
)</f>
        <v/>
      </c>
      <c r="BU219" s="77" t="str">
        <f aca="false">IF(BI219&gt;BH$7,
    "",
    VLOOKUP(BI219,BK$8:BQ718,4,FALSE())
)</f>
        <v/>
      </c>
      <c r="BV219" s="77" t="str">
        <f aca="false">IF(BI219&gt;BH$7,
    "",
    VLOOKUP(BI219,BK$8:BQ718,5,FALSE())
)</f>
        <v/>
      </c>
      <c r="BW219" s="78" t="str">
        <f aca="false">IF(BI219&gt;BH$7,
    "",
    VLOOKUP(BI219,BK$8:BQ718,6,FALSE())
)</f>
        <v/>
      </c>
      <c r="BX219" s="50"/>
    </row>
    <row r="220" customFormat="false" ht="15.75" hidden="false" customHeight="false" outlineLevel="0" collapsed="false">
      <c r="A220" s="5"/>
      <c r="B220" s="126"/>
      <c r="C220" s="52"/>
      <c r="D220" s="53"/>
      <c r="E220" s="120"/>
      <c r="F220" s="120"/>
      <c r="G220" s="55"/>
      <c r="H220" s="56"/>
      <c r="I220" s="80"/>
      <c r="J220" s="80"/>
      <c r="K220" s="80"/>
      <c r="L220" s="58"/>
      <c r="M220" s="58"/>
      <c r="N220" s="58"/>
      <c r="O220" s="59"/>
      <c r="P220" s="60"/>
      <c r="Q220" s="80"/>
      <c r="R220" s="62"/>
      <c r="S220" s="63"/>
      <c r="T220" s="63" t="str">
        <f aca="false">IF(ISBLANK($C220),"",IF(G220=Constants!$B$2, TRUE(), IF(G220=Constants!$B$3, FALSE(), TRUE())))</f>
        <v/>
      </c>
      <c r="U220" s="63" t="str">
        <f aca="false">IF(ISBLANK($C220),"",IF(H220=Constants!$B$2, TRUE(), IF(H220=Constants!$B$3, FALSE(), TRUE())))</f>
        <v/>
      </c>
      <c r="V220" s="63" t="str">
        <f aca="false">IF(ISBLANK($C220),"",IF(I220=Constants!$B$2, TRUE(), IF(I220=Constants!$B$3, FALSE(), TRUE())))</f>
        <v/>
      </c>
      <c r="W220" s="63" t="str">
        <f aca="false">IF(ISBLANK($C220),"",IF(J220=Constants!$B$2, TRUE(), IF(J220=Constants!$B$3, FALSE(), TRUE())))</f>
        <v/>
      </c>
      <c r="X220" s="63" t="str">
        <f aca="false">IF(ISBLANK($C220),"",IF(K220=Constants!$B$2, TRUE(), IF(K220=Constants!$B$3, FALSE(), TRUE())))</f>
        <v/>
      </c>
      <c r="Y220" s="65" t="str">
        <f aca="false">IF(ISBLANK($C220),"",IF(ISNUMBER(L220), L220, ""))</f>
        <v/>
      </c>
      <c r="Z220" s="65" t="str">
        <f aca="false">IF(ISBLANK($C220),"",IF(ISNUMBER(M220), M220, ""))</f>
        <v/>
      </c>
      <c r="AA220" s="65" t="str">
        <f aca="false">IF(ISBLANK($C220),"",IF(ISNUMBER(N220), N220, ""))</f>
        <v/>
      </c>
      <c r="AB220" s="66" t="str">
        <f aca="false">IF(ISBLANK($C220),"",IF(ISNUMBER(O220), O220, ""))</f>
        <v/>
      </c>
      <c r="AC220" s="66" t="str">
        <f aca="false">IF(ISBLANK($C220),"",IF(ISNUMBER(P220), P220, Constants!$B$13))</f>
        <v/>
      </c>
      <c r="AD220" s="63" t="str">
        <f aca="false">IF(ISBLANK($C220),"",IF(Q220=Constants!$B$2, TRUE(), IF(Q220=Constants!$B$3, FALSE(), FALSE())))</f>
        <v/>
      </c>
      <c r="AE220" s="63" t="str">
        <f aca="false">IF(ISBLANK(C220), "", IF(AD220, Constants!$B$4,IF(COUNTA(G220:O220)=0, Constants!$B$5, Constants!$B$7)))</f>
        <v/>
      </c>
      <c r="AF220" s="63" t="str">
        <f aca="false">IF(ISBLANK($C220), "",IF($AE220=Constants!$B$7,1,$AE220))</f>
        <v/>
      </c>
      <c r="AG220" s="63" t="str">
        <f aca="false">IF($AE220=Constants!$B$7,IF(V220, 1, Constants!$B$11) * IF(X220, 1, Constants!$B$12),"")</f>
        <v/>
      </c>
      <c r="AH220" s="63" t="str">
        <f aca="false">IF(AND($AE220=Constants!$B$7, T220, U220) ,MAX(0, $AA220-$Y220),"")</f>
        <v/>
      </c>
      <c r="AI220" s="63" t="str">
        <f aca="false">IF(ISERROR(AH220),$AI$6,"")</f>
        <v/>
      </c>
      <c r="AJ220" s="63" t="str">
        <f aca="false">IF($AE220=Constants!$B$7,IF(AND(T220,U220,W220),IF($AH$6=0,Constants!$B$9,Constants!$B$9*AH220/$AH$6), 0),"")</f>
        <v/>
      </c>
      <c r="AK220" s="63" t="str">
        <f aca="false">IF(AJ220&lt;&gt;"", AJ220*AG220,"")</f>
        <v/>
      </c>
      <c r="AL220" s="63" t="str">
        <f aca="false">IF(AND($AE220=Constants!$B$7, T220, U220) ,IF($Z220="", "", MAX(0,1-ABS($AA220-$Z220)/$AA220)),"")</f>
        <v/>
      </c>
      <c r="AM220" s="63" t="str">
        <f aca="false">IF(AND(NOT(ISERROR(AH220)),ISERROR(AL220)),$AM$6,"")</f>
        <v/>
      </c>
      <c r="AN220" s="63" t="str">
        <f aca="false">IF($AE220=Constants!$B$7 ,IF(AND(T220,U220,W220,ISNUMBER(Z220)),IF($AL$6=0,Constants!$B$10,Constants!$B$10*AL220/$AL$6), 0),"")</f>
        <v/>
      </c>
      <c r="AO220" s="63" t="str">
        <f aca="false">IF(AN220&lt;&gt;"", AN220*AG220,"")</f>
        <v/>
      </c>
      <c r="AP220" s="63" t="str">
        <f aca="false">IF($AE220=Constants!$B$7,IF($AP$6=0,Constants!$B$8,Constants!$B$8*AB220/$AP$6),"")</f>
        <v/>
      </c>
      <c r="AQ220" s="63" t="str">
        <f aca="false">IF($AE220&lt;&gt;Constants!$B$7,$AE220,AK220+AO220+AP220)</f>
        <v/>
      </c>
      <c r="AR220" s="63" t="str">
        <f aca="false">IF(ISBLANK($C220),"",IF($AE220=Constants!$B$7,RANK(AQ220,$AQ$8:$AQ$507),$AE220))</f>
        <v/>
      </c>
      <c r="AS220" s="63" t="str">
        <f aca="false">IF(ISBLANK($C220), "",AK220)</f>
        <v/>
      </c>
      <c r="AT220" s="63" t="str">
        <f aca="false">IF(ISBLANK($C220),"",IF($AE220=Constants!$B$7,RANK(AS220,AS$8:AS$507),$AE220))</f>
        <v/>
      </c>
      <c r="AU220" s="63" t="str">
        <f aca="false">IF(ISBLANK($C220), "",AP220)</f>
        <v/>
      </c>
      <c r="AV220" s="63" t="str">
        <f aca="false">IF(ISBLANK($C220),"",IF($AE220=Constants!$B$7,RANK(AU220,AU$8:AU$507),$AE220))</f>
        <v/>
      </c>
      <c r="AW220" s="63" t="str">
        <f aca="false">IF(ISBLANK($C220), "",AC220)</f>
        <v/>
      </c>
      <c r="AX220" s="63" t="str">
        <f aca="false">IF(ISBLANK($C220),"",
IF($AE220=Constants!$B$7,
  COUNTIFS($AR$8:$AR$507,"&lt;"&amp;$AR220)
  + COUNTIFS($AR$8:$AR$507,$AR220,$AT$8:$AT$507,"&lt;"&amp;$AT220)
  + COUNTIFS($AR$8:$AR$507,$AR220,$AT$8:$AT$507,$AT220,$AV$8:$AV$507,"&lt;"&amp;$AV220)
  + COUNTIFS($AR$8:$AR$507,$AR220,$AT$8:$AT$507,$AT220,$AV$8:$AV$507,$AV220,$AW$8:$AW$507,"&lt;"&amp;$AW220)
  + 1,
$AE220))</f>
        <v/>
      </c>
      <c r="AY220" s="63" t="str">
        <f aca="false">IF(ISBLANK(C220),"",IF($AE220=Constants!$B$7, AR220-AX220,$AE220))</f>
        <v/>
      </c>
      <c r="AZ220" s="67"/>
      <c r="BA220" s="81" t="str">
        <f aca="false">IF(ISBLANK($C220),"",TRIM(AI220&amp;" "&amp;AM220))</f>
        <v/>
      </c>
      <c r="BB220" s="69" t="str">
        <f aca="false">IF(ISBLANK($C220),"",IF($AE220&lt;&gt;Constants!$B$7, $AE220 ,AQ220))</f>
        <v/>
      </c>
      <c r="BC220" s="70" t="str">
        <f aca="false">IF(ISBLANK($C220),"",IF($AE220&lt;&gt;Constants!$B$7, $AE220 ,AF220))</f>
        <v/>
      </c>
      <c r="BD220" s="71" t="str">
        <f aca="false">IF(ISBLANK(C220),"",AY220)</f>
        <v/>
      </c>
      <c r="BE220" s="71" t="str">
        <f aca="false">IF(ISBLANK(C220),"",AX220)</f>
        <v/>
      </c>
      <c r="BF220" s="72" t="str">
        <f aca="false">IF(ISBLANK(C220),"",IFERROR(_xlfn.SWITCH(BE220, Constants!$B$4, COUNTA($C$8:$C719)+2, Constants!$B$5, COUNTA($C$8:$C719)+1, Constants!$B$6, COUNTA($C$8:$C719)),BE220))</f>
        <v/>
      </c>
      <c r="BG220" s="5"/>
      <c r="BH220" s="73" t="n">
        <f aca="false">IF(OR(ISNUMBER(BE220),BE220="DQ",BE220="P",BE220="NS"),
    1,
    0
)</f>
        <v>0</v>
      </c>
      <c r="BI220" s="73" t="n">
        <v>213</v>
      </c>
      <c r="BJ220" s="73" t="str">
        <f aca="false">IF(ISBLANK($C220),
    "",
   BF220+ROW($B220)/1000
)</f>
        <v/>
      </c>
      <c r="BK220" s="73" t="str">
        <f aca="false">IF(ISNUMBER(BJ220), RANK(BJ220,BJ$8:BJ$507,1), "")</f>
        <v/>
      </c>
      <c r="BL220" s="73" t="str">
        <f aca="false">IF(ISBLANK($C220),
    "",
    $B220
)</f>
        <v/>
      </c>
      <c r="BM220" s="73" t="str">
        <f aca="false">IF(ISBLANK($C220),
    "",
    $C220
)</f>
        <v/>
      </c>
      <c r="BN220" s="73" t="str">
        <f aca="false">IF(ISBLANK($C220),
    "",
    $D220
)</f>
        <v/>
      </c>
      <c r="BO220" s="74" t="str">
        <f aca="false">BC220</f>
        <v/>
      </c>
      <c r="BP220" s="75" t="str">
        <f aca="false">BB220</f>
        <v/>
      </c>
      <c r="BQ220" s="73" t="str">
        <f aca="false">IF(ISBLANK($C220),
    "",
    BE220
)</f>
        <v/>
      </c>
      <c r="BR220" s="76" t="str">
        <f aca="false">IF(BI220&gt;BH$7,
    "",
    VLOOKUP(BI220,BK$8:BQ719,7,FALSE())
)</f>
        <v/>
      </c>
      <c r="BS220" s="77" t="str">
        <f aca="false">IF(BI220&gt;BH$7,
    "",
    VLOOKUP(BI220,BK$8:BQ719,2,FALSE())
)</f>
        <v/>
      </c>
      <c r="BT220" s="77" t="str">
        <f aca="false">IF(BI220&gt;BH$7,
    "",
    VLOOKUP(BI220,BK$8:BQ719,3,FALSE())
)</f>
        <v/>
      </c>
      <c r="BU220" s="77" t="str">
        <f aca="false">IF(BI220&gt;BH$7,
    "",
    VLOOKUP(BI220,BK$8:BQ719,4,FALSE())
)</f>
        <v/>
      </c>
      <c r="BV220" s="77" t="str">
        <f aca="false">IF(BI220&gt;BH$7,
    "",
    VLOOKUP(BI220,BK$8:BQ719,5,FALSE())
)</f>
        <v/>
      </c>
      <c r="BW220" s="78" t="str">
        <f aca="false">IF(BI220&gt;BH$7,
    "",
    VLOOKUP(BI220,BK$8:BQ719,6,FALSE())
)</f>
        <v/>
      </c>
      <c r="BX220" s="50"/>
    </row>
    <row r="221" customFormat="false" ht="15.75" hidden="false" customHeight="false" outlineLevel="0" collapsed="false">
      <c r="A221" s="5"/>
      <c r="B221" s="122"/>
      <c r="C221" s="123"/>
      <c r="D221" s="112"/>
      <c r="E221" s="116"/>
      <c r="F221" s="116"/>
      <c r="G221" s="88"/>
      <c r="H221" s="89"/>
      <c r="I221" s="125"/>
      <c r="J221" s="125"/>
      <c r="K221" s="125"/>
      <c r="L221" s="91"/>
      <c r="M221" s="91"/>
      <c r="N221" s="91"/>
      <c r="O221" s="92"/>
      <c r="P221" s="93"/>
      <c r="Q221" s="125"/>
      <c r="R221" s="95"/>
      <c r="S221" s="96"/>
      <c r="T221" s="96" t="str">
        <f aca="false">IF(ISBLANK($C221),"",IF(G221=Constants!$B$2, TRUE(), IF(G221=Constants!$B$3, FALSE(), TRUE())))</f>
        <v/>
      </c>
      <c r="U221" s="96" t="str">
        <f aca="false">IF(ISBLANK($C221),"",IF(H221=Constants!$B$2, TRUE(), IF(H221=Constants!$B$3, FALSE(), TRUE())))</f>
        <v/>
      </c>
      <c r="V221" s="96" t="str">
        <f aca="false">IF(ISBLANK($C221),"",IF(I221=Constants!$B$2, TRUE(), IF(I221=Constants!$B$3, FALSE(), TRUE())))</f>
        <v/>
      </c>
      <c r="W221" s="96" t="str">
        <f aca="false">IF(ISBLANK($C221),"",IF(J221=Constants!$B$2, TRUE(), IF(J221=Constants!$B$3, FALSE(), TRUE())))</f>
        <v/>
      </c>
      <c r="X221" s="97" t="str">
        <f aca="false">IF(ISBLANK($C221),"",IF(K221=Constants!$B$2, TRUE(), IF(K221=Constants!$B$3, FALSE(), TRUE())))</f>
        <v/>
      </c>
      <c r="Y221" s="98" t="str">
        <f aca="false">IF(ISBLANK($C221),"",IF(ISNUMBER(L221), L221, ""))</f>
        <v/>
      </c>
      <c r="Z221" s="98" t="str">
        <f aca="false">IF(ISBLANK($C221),"",IF(ISNUMBER(M221), M221, ""))</f>
        <v/>
      </c>
      <c r="AA221" s="98" t="str">
        <f aca="false">IF(ISBLANK($C221),"",IF(ISNUMBER(N221), N221, ""))</f>
        <v/>
      </c>
      <c r="AB221" s="99" t="str">
        <f aca="false">IF(ISBLANK($C221),"",IF(ISNUMBER(O221), O221, ""))</f>
        <v/>
      </c>
      <c r="AC221" s="99" t="str">
        <f aca="false">IF(ISBLANK($C221),"",IF(ISNUMBER(P221), P221, Constants!$B$13))</f>
        <v/>
      </c>
      <c r="AD221" s="96" t="str">
        <f aca="false">IF(ISBLANK($C221),"",IF(Q221=Constants!$B$2, TRUE(), IF(Q221=Constants!$B$3, FALSE(), FALSE())))</f>
        <v/>
      </c>
      <c r="AE221" s="96" t="str">
        <f aca="false">IF(ISBLANK(C221), "", IF(AD221, Constants!$B$4,IF(COUNTA(G221:O221)=0, Constants!$B$5, Constants!$B$7)))</f>
        <v/>
      </c>
      <c r="AF221" s="96" t="str">
        <f aca="false">IF(ISBLANK($C221), "",IF($AE221=Constants!$B$7,1,$AE221))</f>
        <v/>
      </c>
      <c r="AG221" s="96" t="str">
        <f aca="false">IF($AE221=Constants!$B$7,IF(V221, 1, Constants!$B$11) * IF(X221, 1, Constants!$B$12),"")</f>
        <v/>
      </c>
      <c r="AH221" s="96" t="str">
        <f aca="false">IF(AND($AE221=Constants!$B$7, T221, U221) ,MAX(0, $AA221-$Y221),"")</f>
        <v/>
      </c>
      <c r="AI221" s="96" t="str">
        <f aca="false">IF(ISERROR(AH221),$AI$6,"")</f>
        <v/>
      </c>
      <c r="AJ221" s="96" t="str">
        <f aca="false">IF($AE221=Constants!$B$7,IF(AND(T221,U221,W221),IF($AH$6=0,Constants!$B$9,Constants!$B$9*AH221/$AH$6), 0),"")</f>
        <v/>
      </c>
      <c r="AK221" s="96" t="str">
        <f aca="false">IF(AJ221&lt;&gt;"", AJ221*AG221,"")</f>
        <v/>
      </c>
      <c r="AL221" s="96" t="str">
        <f aca="false">IF(AND($AE221=Constants!$B$7, T221, U221) ,IF($Z221="", "", MAX(0,1-ABS($AA221-$Z221)/$AA221)),"")</f>
        <v/>
      </c>
      <c r="AM221" s="96" t="str">
        <f aca="false">IF(AND(NOT(ISERROR(AH221)),ISERROR(AL221)),$AM$6,"")</f>
        <v/>
      </c>
      <c r="AN221" s="96" t="str">
        <f aca="false">IF($AE221=Constants!$B$7 ,IF(AND(T221,U221,W221,ISNUMBER(Z221)),IF($AL$6=0,Constants!$B$10,Constants!$B$10*AL221/$AL$6), 0),"")</f>
        <v/>
      </c>
      <c r="AO221" s="96" t="str">
        <f aca="false">IF(AN221&lt;&gt;"", AN221*AG221,"")</f>
        <v/>
      </c>
      <c r="AP221" s="96" t="str">
        <f aca="false">IF($AE221=Constants!$B$7,IF($AP$6=0,Constants!$B$8,Constants!$B$8*AB221/$AP$6),"")</f>
        <v/>
      </c>
      <c r="AQ221" s="96" t="str">
        <f aca="false">IF($AE221&lt;&gt;Constants!$B$7,$AE221,AK221+AO221+AP221)</f>
        <v/>
      </c>
      <c r="AR221" s="96" t="str">
        <f aca="false">IF(ISBLANK($C221),"",IF($AE221=Constants!$B$7,RANK(AQ221,$AQ$8:$AQ$507),$AE221))</f>
        <v/>
      </c>
      <c r="AS221" s="96" t="str">
        <f aca="false">IF(ISBLANK($C221), "",AK221)</f>
        <v/>
      </c>
      <c r="AT221" s="96" t="str">
        <f aca="false">IF(ISBLANK($C221),"",IF($AE221=Constants!$B$7,RANK(AS221,AS$8:AS$507),$AE221))</f>
        <v/>
      </c>
      <c r="AU221" s="96" t="str">
        <f aca="false">IF(ISBLANK($C221), "",AP221)</f>
        <v/>
      </c>
      <c r="AV221" s="96" t="str">
        <f aca="false">IF(ISBLANK($C221),"",IF($AE221=Constants!$B$7,RANK(AU221,AU$8:AU$507),$AE221))</f>
        <v/>
      </c>
      <c r="AW221" s="96" t="str">
        <f aca="false">IF(ISBLANK($C221), "",AC221)</f>
        <v/>
      </c>
      <c r="AX221" s="96" t="str">
        <f aca="false">IF(ISBLANK($C221),"",
IF($AE221=Constants!$B$7,
  COUNTIFS($AR$8:$AR$507,"&lt;"&amp;$AR221)
  + COUNTIFS($AR$8:$AR$507,$AR221,$AT$8:$AT$507,"&lt;"&amp;$AT221)
  + COUNTIFS($AR$8:$AR$507,$AR221,$AT$8:$AT$507,$AT221,$AV$8:$AV$507,"&lt;"&amp;$AV221)
  + COUNTIFS($AR$8:$AR$507,$AR221,$AT$8:$AT$507,$AT221,$AV$8:$AV$507,$AV221,$AW$8:$AW$507,"&lt;"&amp;$AW221)
  + 1,
$AE221))</f>
        <v/>
      </c>
      <c r="AY221" s="96" t="str">
        <f aca="false">IF(ISBLANK(C221),"",IF($AE221=Constants!$B$7, AR221-AX221,$AE221))</f>
        <v/>
      </c>
      <c r="AZ221" s="100"/>
      <c r="BA221" s="101" t="str">
        <f aca="false">IF(ISBLANK($C221),"",TRIM(AI221&amp;" "&amp;AM221))</f>
        <v/>
      </c>
      <c r="BB221" s="102" t="str">
        <f aca="false">IF(ISBLANK($C221),"",IF($AE221&lt;&gt;Constants!$B$7, $AE221 ,AQ221))</f>
        <v/>
      </c>
      <c r="BC221" s="103" t="str">
        <f aca="false">IF(ISBLANK($C221),"",IF($AE221&lt;&gt;Constants!$B$7, $AE221 ,AF221))</f>
        <v/>
      </c>
      <c r="BD221" s="104" t="str">
        <f aca="false">IF(ISBLANK(C221),"",AY221)</f>
        <v/>
      </c>
      <c r="BE221" s="104" t="str">
        <f aca="false">IF(ISBLANK(C221),"",AX221)</f>
        <v/>
      </c>
      <c r="BF221" s="105" t="str">
        <f aca="false">IF(ISBLANK(C221),"",IFERROR(_xlfn.SWITCH(BE221, Constants!$B$4, COUNTA($C$8:$C720)+2, Constants!$B$5, COUNTA($C$8:$C720)+1, Constants!$B$6, COUNTA($C$8:$C720)),BE221))</f>
        <v/>
      </c>
      <c r="BG221" s="5"/>
      <c r="BH221" s="106" t="n">
        <f aca="false">IF(OR(ISNUMBER(BE221),BE221="DQ",BE221="P",BE221="NS"),
    1,
    0
)</f>
        <v>0</v>
      </c>
      <c r="BI221" s="106" t="n">
        <v>214</v>
      </c>
      <c r="BJ221" s="106" t="str">
        <f aca="false">IF(ISBLANK($C221),
    "",
   BF221+ROW($B221)/1000
)</f>
        <v/>
      </c>
      <c r="BK221" s="106" t="str">
        <f aca="false">IF(ISNUMBER(BJ221), RANK(BJ221,BJ$8:BJ$507,1), "")</f>
        <v/>
      </c>
      <c r="BL221" s="106" t="str">
        <f aca="false">IF(ISBLANK($C221),
    "",
    $B221
)</f>
        <v/>
      </c>
      <c r="BM221" s="106" t="str">
        <f aca="false">IF(ISBLANK($C221),
    "",
    $C221
)</f>
        <v/>
      </c>
      <c r="BN221" s="106" t="str">
        <f aca="false">IF(ISBLANK($C221),
    "",
    $D221
)</f>
        <v/>
      </c>
      <c r="BO221" s="107" t="str">
        <f aca="false">BC221</f>
        <v/>
      </c>
      <c r="BP221" s="108" t="str">
        <f aca="false">BB221</f>
        <v/>
      </c>
      <c r="BQ221" s="106" t="str">
        <f aca="false">IF(ISBLANK($C221),
    "",
    BE221
)</f>
        <v/>
      </c>
      <c r="BR221" s="109" t="str">
        <f aca="false">IF(BI221&gt;BH$7,
    "",
    VLOOKUP(BI221,BK$8:BQ720,7,FALSE())
)</f>
        <v/>
      </c>
      <c r="BS221" s="110" t="str">
        <f aca="false">IF(BI221&gt;BH$7,
    "",
    VLOOKUP(BI221,BK$8:BQ720,2,FALSE())
)</f>
        <v/>
      </c>
      <c r="BT221" s="110" t="str">
        <f aca="false">IF(BI221&gt;BH$7,
    "",
    VLOOKUP(BI221,BK$8:BQ720,3,FALSE())
)</f>
        <v/>
      </c>
      <c r="BU221" s="110" t="str">
        <f aca="false">IF(BI221&gt;BH$7,
    "",
    VLOOKUP(BI221,BK$8:BQ720,4,FALSE())
)</f>
        <v/>
      </c>
      <c r="BV221" s="110" t="str">
        <f aca="false">IF(BI221&gt;BH$7,
    "",
    VLOOKUP(BI221,BK$8:BQ720,5,FALSE())
)</f>
        <v/>
      </c>
      <c r="BW221" s="111" t="str">
        <f aca="false">IF(BI221&gt;BH$7,
    "",
    VLOOKUP(BI221,BK$8:BQ720,6,FALSE())
)</f>
        <v/>
      </c>
      <c r="BX221" s="50"/>
    </row>
    <row r="222" customFormat="false" ht="15.75" hidden="false" customHeight="false" outlineLevel="0" collapsed="false">
      <c r="A222" s="5"/>
      <c r="B222" s="122"/>
      <c r="C222" s="123"/>
      <c r="D222" s="112"/>
      <c r="E222" s="116"/>
      <c r="F222" s="116"/>
      <c r="G222" s="88"/>
      <c r="H222" s="89"/>
      <c r="I222" s="125"/>
      <c r="J222" s="125"/>
      <c r="K222" s="125"/>
      <c r="L222" s="91"/>
      <c r="M222" s="91"/>
      <c r="N222" s="91"/>
      <c r="O222" s="92"/>
      <c r="P222" s="93"/>
      <c r="Q222" s="125"/>
      <c r="R222" s="95"/>
      <c r="S222" s="96"/>
      <c r="T222" s="96" t="str">
        <f aca="false">IF(ISBLANK($C222),"",IF(G222=Constants!$B$2, TRUE(), IF(G222=Constants!$B$3, FALSE(), TRUE())))</f>
        <v/>
      </c>
      <c r="U222" s="96" t="str">
        <f aca="false">IF(ISBLANK($C222),"",IF(H222=Constants!$B$2, TRUE(), IF(H222=Constants!$B$3, FALSE(), TRUE())))</f>
        <v/>
      </c>
      <c r="V222" s="96" t="str">
        <f aca="false">IF(ISBLANK($C222),"",IF(I222=Constants!$B$2, TRUE(), IF(I222=Constants!$B$3, FALSE(), TRUE())))</f>
        <v/>
      </c>
      <c r="W222" s="96" t="str">
        <f aca="false">IF(ISBLANK($C222),"",IF(J222=Constants!$B$2, TRUE(), IF(J222=Constants!$B$3, FALSE(), TRUE())))</f>
        <v/>
      </c>
      <c r="X222" s="97" t="str">
        <f aca="false">IF(ISBLANK($C222),"",IF(K222=Constants!$B$2, TRUE(), IF(K222=Constants!$B$3, FALSE(), TRUE())))</f>
        <v/>
      </c>
      <c r="Y222" s="98" t="str">
        <f aca="false">IF(ISBLANK($C222),"",IF(ISNUMBER(L222), L222, ""))</f>
        <v/>
      </c>
      <c r="Z222" s="98" t="str">
        <f aca="false">IF(ISBLANK($C222),"",IF(ISNUMBER(M222), M222, ""))</f>
        <v/>
      </c>
      <c r="AA222" s="98" t="str">
        <f aca="false">IF(ISBLANK($C222),"",IF(ISNUMBER(N222), N222, ""))</f>
        <v/>
      </c>
      <c r="AB222" s="99" t="str">
        <f aca="false">IF(ISBLANK($C222),"",IF(ISNUMBER(O222), O222, ""))</f>
        <v/>
      </c>
      <c r="AC222" s="99" t="str">
        <f aca="false">IF(ISBLANK($C222),"",IF(ISNUMBER(P222), P222, Constants!$B$13))</f>
        <v/>
      </c>
      <c r="AD222" s="96" t="str">
        <f aca="false">IF(ISBLANK($C222),"",IF(Q222=Constants!$B$2, TRUE(), IF(Q222=Constants!$B$3, FALSE(), FALSE())))</f>
        <v/>
      </c>
      <c r="AE222" s="96" t="str">
        <f aca="false">IF(ISBLANK(C222), "", IF(AD222, Constants!$B$4,IF(COUNTA(G222:O222)=0, Constants!$B$5, Constants!$B$7)))</f>
        <v/>
      </c>
      <c r="AF222" s="96" t="str">
        <f aca="false">IF(ISBLANK($C222), "",IF($AE222=Constants!$B$7,1,$AE222))</f>
        <v/>
      </c>
      <c r="AG222" s="96" t="str">
        <f aca="false">IF($AE222=Constants!$B$7,IF(V222, 1, Constants!$B$11) * IF(X222, 1, Constants!$B$12),"")</f>
        <v/>
      </c>
      <c r="AH222" s="96" t="str">
        <f aca="false">IF(AND($AE222=Constants!$B$7, T222, U222) ,MAX(0, $AA222-$Y222),"")</f>
        <v/>
      </c>
      <c r="AI222" s="96" t="str">
        <f aca="false">IF(ISERROR(AH222),$AI$6,"")</f>
        <v/>
      </c>
      <c r="AJ222" s="96" t="str">
        <f aca="false">IF($AE222=Constants!$B$7,IF(AND(T222,U222,W222),IF($AH$6=0,Constants!$B$9,Constants!$B$9*AH222/$AH$6), 0),"")</f>
        <v/>
      </c>
      <c r="AK222" s="96" t="str">
        <f aca="false">IF(AJ222&lt;&gt;"", AJ222*AG222,"")</f>
        <v/>
      </c>
      <c r="AL222" s="96" t="str">
        <f aca="false">IF(AND($AE222=Constants!$B$7, T222, U222) ,IF($Z222="", "", MAX(0,1-ABS($AA222-$Z222)/$AA222)),"")</f>
        <v/>
      </c>
      <c r="AM222" s="96" t="str">
        <f aca="false">IF(AND(NOT(ISERROR(AH222)),ISERROR(AL222)),$AM$6,"")</f>
        <v/>
      </c>
      <c r="AN222" s="96" t="str">
        <f aca="false">IF($AE222=Constants!$B$7 ,IF(AND(T222,U222,W222,ISNUMBER(Z222)),IF($AL$6=0,Constants!$B$10,Constants!$B$10*AL222/$AL$6), 0),"")</f>
        <v/>
      </c>
      <c r="AO222" s="96" t="str">
        <f aca="false">IF(AN222&lt;&gt;"", AN222*AG222,"")</f>
        <v/>
      </c>
      <c r="AP222" s="96" t="str">
        <f aca="false">IF($AE222=Constants!$B$7,IF($AP$6=0,Constants!$B$8,Constants!$B$8*AB222/$AP$6),"")</f>
        <v/>
      </c>
      <c r="AQ222" s="96" t="str">
        <f aca="false">IF($AE222&lt;&gt;Constants!$B$7,$AE222,AK222+AO222+AP222)</f>
        <v/>
      </c>
      <c r="AR222" s="96" t="str">
        <f aca="false">IF(ISBLANK($C222),"",IF($AE222=Constants!$B$7,RANK(AQ222,$AQ$8:$AQ$507),$AE222))</f>
        <v/>
      </c>
      <c r="AS222" s="96" t="str">
        <f aca="false">IF(ISBLANK($C222), "",AK222)</f>
        <v/>
      </c>
      <c r="AT222" s="96" t="str">
        <f aca="false">IF(ISBLANK($C222),"",IF($AE222=Constants!$B$7,RANK(AS222,AS$8:AS$507),$AE222))</f>
        <v/>
      </c>
      <c r="AU222" s="96" t="str">
        <f aca="false">IF(ISBLANK($C222), "",AP222)</f>
        <v/>
      </c>
      <c r="AV222" s="96" t="str">
        <f aca="false">IF(ISBLANK($C222),"",IF($AE222=Constants!$B$7,RANK(AU222,AU$8:AU$507),$AE222))</f>
        <v/>
      </c>
      <c r="AW222" s="96" t="str">
        <f aca="false">IF(ISBLANK($C222), "",AC222)</f>
        <v/>
      </c>
      <c r="AX222" s="96" t="str">
        <f aca="false">IF(ISBLANK($C222),"",
IF($AE222=Constants!$B$7,
  COUNTIFS($AR$8:$AR$507,"&lt;"&amp;$AR222)
  + COUNTIFS($AR$8:$AR$507,$AR222,$AT$8:$AT$507,"&lt;"&amp;$AT222)
  + COUNTIFS($AR$8:$AR$507,$AR222,$AT$8:$AT$507,$AT222,$AV$8:$AV$507,"&lt;"&amp;$AV222)
  + COUNTIFS($AR$8:$AR$507,$AR222,$AT$8:$AT$507,$AT222,$AV$8:$AV$507,$AV222,$AW$8:$AW$507,"&lt;"&amp;$AW222)
  + 1,
$AE222))</f>
        <v/>
      </c>
      <c r="AY222" s="96" t="str">
        <f aca="false">IF(ISBLANK(C222),"",IF($AE222=Constants!$B$7, AR222-AX222,$AE222))</f>
        <v/>
      </c>
      <c r="AZ222" s="100"/>
      <c r="BA222" s="101" t="str">
        <f aca="false">IF(ISBLANK($C222),"",TRIM(AI222&amp;" "&amp;AM222))</f>
        <v/>
      </c>
      <c r="BB222" s="102" t="str">
        <f aca="false">IF(ISBLANK($C222),"",IF($AE222&lt;&gt;Constants!$B$7, $AE222 ,AQ222))</f>
        <v/>
      </c>
      <c r="BC222" s="103" t="str">
        <f aca="false">IF(ISBLANK($C222),"",IF($AE222&lt;&gt;Constants!$B$7, $AE222 ,AF222))</f>
        <v/>
      </c>
      <c r="BD222" s="104" t="str">
        <f aca="false">IF(ISBLANK(C222),"",AY222)</f>
        <v/>
      </c>
      <c r="BE222" s="104" t="str">
        <f aca="false">IF(ISBLANK(C222),"",AX222)</f>
        <v/>
      </c>
      <c r="BF222" s="105" t="str">
        <f aca="false">IF(ISBLANK(C222),"",IFERROR(_xlfn.SWITCH(BE222, Constants!$B$4, COUNTA($C$8:$C721)+2, Constants!$B$5, COUNTA($C$8:$C721)+1, Constants!$B$6, COUNTA($C$8:$C721)),BE222))</f>
        <v/>
      </c>
      <c r="BG222" s="5"/>
      <c r="BH222" s="106" t="n">
        <f aca="false">IF(OR(ISNUMBER(BE222),BE222="DQ",BE222="P",BE222="NS"),
    1,
    0
)</f>
        <v>0</v>
      </c>
      <c r="BI222" s="106" t="n">
        <v>215</v>
      </c>
      <c r="BJ222" s="106" t="str">
        <f aca="false">IF(ISBLANK($C222),
    "",
   BF222+ROW($B222)/1000
)</f>
        <v/>
      </c>
      <c r="BK222" s="106" t="str">
        <f aca="false">IF(ISNUMBER(BJ222), RANK(BJ222,BJ$8:BJ$507,1), "")</f>
        <v/>
      </c>
      <c r="BL222" s="106" t="str">
        <f aca="false">IF(ISBLANK($C222),
    "",
    $B222
)</f>
        <v/>
      </c>
      <c r="BM222" s="106" t="str">
        <f aca="false">IF(ISBLANK($C222),
    "",
    $C222
)</f>
        <v/>
      </c>
      <c r="BN222" s="106" t="str">
        <f aca="false">IF(ISBLANK($C222),
    "",
    $D222
)</f>
        <v/>
      </c>
      <c r="BO222" s="107" t="str">
        <f aca="false">BC222</f>
        <v/>
      </c>
      <c r="BP222" s="108" t="str">
        <f aca="false">BB222</f>
        <v/>
      </c>
      <c r="BQ222" s="106" t="str">
        <f aca="false">IF(ISBLANK($C222),
    "",
    BE222
)</f>
        <v/>
      </c>
      <c r="BR222" s="109" t="str">
        <f aca="false">IF(BI222&gt;BH$7,
    "",
    VLOOKUP(BI222,BK$8:BQ721,7,FALSE())
)</f>
        <v/>
      </c>
      <c r="BS222" s="110" t="str">
        <f aca="false">IF(BI222&gt;BH$7,
    "",
    VLOOKUP(BI222,BK$8:BQ721,2,FALSE())
)</f>
        <v/>
      </c>
      <c r="BT222" s="110" t="str">
        <f aca="false">IF(BI222&gt;BH$7,
    "",
    VLOOKUP(BI222,BK$8:BQ721,3,FALSE())
)</f>
        <v/>
      </c>
      <c r="BU222" s="110" t="str">
        <f aca="false">IF(BI222&gt;BH$7,
    "",
    VLOOKUP(BI222,BK$8:BQ721,4,FALSE())
)</f>
        <v/>
      </c>
      <c r="BV222" s="110" t="str">
        <f aca="false">IF(BI222&gt;BH$7,
    "",
    VLOOKUP(BI222,BK$8:BQ721,5,FALSE())
)</f>
        <v/>
      </c>
      <c r="BW222" s="111" t="str">
        <f aca="false">IF(BI222&gt;BH$7,
    "",
    VLOOKUP(BI222,BK$8:BQ721,6,FALSE())
)</f>
        <v/>
      </c>
      <c r="BX222" s="50"/>
    </row>
    <row r="223" customFormat="false" ht="15.75" hidden="false" customHeight="false" outlineLevel="0" collapsed="false">
      <c r="A223" s="5"/>
      <c r="B223" s="122"/>
      <c r="C223" s="123"/>
      <c r="D223" s="112"/>
      <c r="E223" s="116"/>
      <c r="F223" s="116"/>
      <c r="G223" s="88"/>
      <c r="H223" s="89"/>
      <c r="I223" s="125"/>
      <c r="J223" s="125"/>
      <c r="K223" s="125"/>
      <c r="L223" s="91"/>
      <c r="M223" s="91"/>
      <c r="N223" s="91"/>
      <c r="O223" s="92"/>
      <c r="P223" s="93"/>
      <c r="Q223" s="125"/>
      <c r="R223" s="95"/>
      <c r="S223" s="96"/>
      <c r="T223" s="96" t="str">
        <f aca="false">IF(ISBLANK($C223),"",IF(G223=Constants!$B$2, TRUE(), IF(G223=Constants!$B$3, FALSE(), TRUE())))</f>
        <v/>
      </c>
      <c r="U223" s="96" t="str">
        <f aca="false">IF(ISBLANK($C223),"",IF(H223=Constants!$B$2, TRUE(), IF(H223=Constants!$B$3, FALSE(), TRUE())))</f>
        <v/>
      </c>
      <c r="V223" s="96" t="str">
        <f aca="false">IF(ISBLANK($C223),"",IF(I223=Constants!$B$2, TRUE(), IF(I223=Constants!$B$3, FALSE(), TRUE())))</f>
        <v/>
      </c>
      <c r="W223" s="96" t="str">
        <f aca="false">IF(ISBLANK($C223),"",IF(J223=Constants!$B$2, TRUE(), IF(J223=Constants!$B$3, FALSE(), TRUE())))</f>
        <v/>
      </c>
      <c r="X223" s="97" t="str">
        <f aca="false">IF(ISBLANK($C223),"",IF(K223=Constants!$B$2, TRUE(), IF(K223=Constants!$B$3, FALSE(), TRUE())))</f>
        <v/>
      </c>
      <c r="Y223" s="98" t="str">
        <f aca="false">IF(ISBLANK($C223),"",IF(ISNUMBER(L223), L223, ""))</f>
        <v/>
      </c>
      <c r="Z223" s="98" t="str">
        <f aca="false">IF(ISBLANK($C223),"",IF(ISNUMBER(M223), M223, ""))</f>
        <v/>
      </c>
      <c r="AA223" s="98" t="str">
        <f aca="false">IF(ISBLANK($C223),"",IF(ISNUMBER(N223), N223, ""))</f>
        <v/>
      </c>
      <c r="AB223" s="99" t="str">
        <f aca="false">IF(ISBLANK($C223),"",IF(ISNUMBER(O223), O223, ""))</f>
        <v/>
      </c>
      <c r="AC223" s="99" t="str">
        <f aca="false">IF(ISBLANK($C223),"",IF(ISNUMBER(P223), P223, Constants!$B$13))</f>
        <v/>
      </c>
      <c r="AD223" s="96" t="str">
        <f aca="false">IF(ISBLANK($C223),"",IF(Q223=Constants!$B$2, TRUE(), IF(Q223=Constants!$B$3, FALSE(), FALSE())))</f>
        <v/>
      </c>
      <c r="AE223" s="96" t="str">
        <f aca="false">IF(ISBLANK(C223), "", IF(AD223, Constants!$B$4,IF(COUNTA(G223:O223)=0, Constants!$B$5, Constants!$B$7)))</f>
        <v/>
      </c>
      <c r="AF223" s="96" t="str">
        <f aca="false">IF(ISBLANK($C223), "",IF($AE223=Constants!$B$7,1,$AE223))</f>
        <v/>
      </c>
      <c r="AG223" s="96" t="str">
        <f aca="false">IF($AE223=Constants!$B$7,IF(V223, 1, Constants!$B$11) * IF(X223, 1, Constants!$B$12),"")</f>
        <v/>
      </c>
      <c r="AH223" s="96" t="str">
        <f aca="false">IF(AND($AE223=Constants!$B$7, T223, U223) ,MAX(0, $AA223-$Y223),"")</f>
        <v/>
      </c>
      <c r="AI223" s="96" t="str">
        <f aca="false">IF(ISERROR(AH223),$AI$6,"")</f>
        <v/>
      </c>
      <c r="AJ223" s="96" t="str">
        <f aca="false">IF($AE223=Constants!$B$7,IF(AND(T223,U223,W223),IF($AH$6=0,Constants!$B$9,Constants!$B$9*AH223/$AH$6), 0),"")</f>
        <v/>
      </c>
      <c r="AK223" s="96" t="str">
        <f aca="false">IF(AJ223&lt;&gt;"", AJ223*AG223,"")</f>
        <v/>
      </c>
      <c r="AL223" s="96" t="str">
        <f aca="false">IF(AND($AE223=Constants!$B$7, T223, U223) ,IF($Z223="", "", MAX(0,1-ABS($AA223-$Z223)/$AA223)),"")</f>
        <v/>
      </c>
      <c r="AM223" s="96" t="str">
        <f aca="false">IF(AND(NOT(ISERROR(AH223)),ISERROR(AL223)),$AM$6,"")</f>
        <v/>
      </c>
      <c r="AN223" s="96" t="str">
        <f aca="false">IF($AE223=Constants!$B$7 ,IF(AND(T223,U223,W223,ISNUMBER(Z223)),IF($AL$6=0,Constants!$B$10,Constants!$B$10*AL223/$AL$6), 0),"")</f>
        <v/>
      </c>
      <c r="AO223" s="96" t="str">
        <f aca="false">IF(AN223&lt;&gt;"", AN223*AG223,"")</f>
        <v/>
      </c>
      <c r="AP223" s="96" t="str">
        <f aca="false">IF($AE223=Constants!$B$7,IF($AP$6=0,Constants!$B$8,Constants!$B$8*AB223/$AP$6),"")</f>
        <v/>
      </c>
      <c r="AQ223" s="96" t="str">
        <f aca="false">IF($AE223&lt;&gt;Constants!$B$7,$AE223,AK223+AO223+AP223)</f>
        <v/>
      </c>
      <c r="AR223" s="96" t="str">
        <f aca="false">IF(ISBLANK($C223),"",IF($AE223=Constants!$B$7,RANK(AQ223,$AQ$8:$AQ$507),$AE223))</f>
        <v/>
      </c>
      <c r="AS223" s="96" t="str">
        <f aca="false">IF(ISBLANK($C223), "",AK223)</f>
        <v/>
      </c>
      <c r="AT223" s="96" t="str">
        <f aca="false">IF(ISBLANK($C223),"",IF($AE223=Constants!$B$7,RANK(AS223,AS$8:AS$507),$AE223))</f>
        <v/>
      </c>
      <c r="AU223" s="96" t="str">
        <f aca="false">IF(ISBLANK($C223), "",AP223)</f>
        <v/>
      </c>
      <c r="AV223" s="96" t="str">
        <f aca="false">IF(ISBLANK($C223),"",IF($AE223=Constants!$B$7,RANK(AU223,AU$8:AU$507),$AE223))</f>
        <v/>
      </c>
      <c r="AW223" s="96" t="str">
        <f aca="false">IF(ISBLANK($C223), "",AC223)</f>
        <v/>
      </c>
      <c r="AX223" s="96" t="str">
        <f aca="false">IF(ISBLANK($C223),"",
IF($AE223=Constants!$B$7,
  COUNTIFS($AR$8:$AR$507,"&lt;"&amp;$AR223)
  + COUNTIFS($AR$8:$AR$507,$AR223,$AT$8:$AT$507,"&lt;"&amp;$AT223)
  + COUNTIFS($AR$8:$AR$507,$AR223,$AT$8:$AT$507,$AT223,$AV$8:$AV$507,"&lt;"&amp;$AV223)
  + COUNTIFS($AR$8:$AR$507,$AR223,$AT$8:$AT$507,$AT223,$AV$8:$AV$507,$AV223,$AW$8:$AW$507,"&lt;"&amp;$AW223)
  + 1,
$AE223))</f>
        <v/>
      </c>
      <c r="AY223" s="96" t="str">
        <f aca="false">IF(ISBLANK(C223),"",IF($AE223=Constants!$B$7, AR223-AX223,$AE223))</f>
        <v/>
      </c>
      <c r="AZ223" s="100"/>
      <c r="BA223" s="101" t="str">
        <f aca="false">IF(ISBLANK($C223),"",TRIM(AI223&amp;" "&amp;AM223))</f>
        <v/>
      </c>
      <c r="BB223" s="102" t="str">
        <f aca="false">IF(ISBLANK($C223),"",IF($AE223&lt;&gt;Constants!$B$7, $AE223 ,AQ223))</f>
        <v/>
      </c>
      <c r="BC223" s="103" t="str">
        <f aca="false">IF(ISBLANK($C223),"",IF($AE223&lt;&gt;Constants!$B$7, $AE223 ,AF223))</f>
        <v/>
      </c>
      <c r="BD223" s="104" t="str">
        <f aca="false">IF(ISBLANK(C223),"",AY223)</f>
        <v/>
      </c>
      <c r="BE223" s="104" t="str">
        <f aca="false">IF(ISBLANK(C223),"",AX223)</f>
        <v/>
      </c>
      <c r="BF223" s="105" t="str">
        <f aca="false">IF(ISBLANK(C223),"",IFERROR(_xlfn.SWITCH(BE223, Constants!$B$4, COUNTA($C$8:$C722)+2, Constants!$B$5, COUNTA($C$8:$C722)+1, Constants!$B$6, COUNTA($C$8:$C722)),BE223))</f>
        <v/>
      </c>
      <c r="BG223" s="5"/>
      <c r="BH223" s="106" t="n">
        <f aca="false">IF(OR(ISNUMBER(BE223),BE223="DQ",BE223="P",BE223="NS"),
    1,
    0
)</f>
        <v>0</v>
      </c>
      <c r="BI223" s="106" t="n">
        <v>216</v>
      </c>
      <c r="BJ223" s="106" t="str">
        <f aca="false">IF(ISBLANK($C223),
    "",
   BF223+ROW($B223)/1000
)</f>
        <v/>
      </c>
      <c r="BK223" s="106" t="str">
        <f aca="false">IF(ISNUMBER(BJ223), RANK(BJ223,BJ$8:BJ$507,1), "")</f>
        <v/>
      </c>
      <c r="BL223" s="106" t="str">
        <f aca="false">IF(ISBLANK($C223),
    "",
    $B223
)</f>
        <v/>
      </c>
      <c r="BM223" s="106" t="str">
        <f aca="false">IF(ISBLANK($C223),
    "",
    $C223
)</f>
        <v/>
      </c>
      <c r="BN223" s="106" t="str">
        <f aca="false">IF(ISBLANK($C223),
    "",
    $D223
)</f>
        <v/>
      </c>
      <c r="BO223" s="107" t="str">
        <f aca="false">BC223</f>
        <v/>
      </c>
      <c r="BP223" s="108" t="str">
        <f aca="false">BB223</f>
        <v/>
      </c>
      <c r="BQ223" s="106" t="str">
        <f aca="false">IF(ISBLANK($C223),
    "",
    BE223
)</f>
        <v/>
      </c>
      <c r="BR223" s="109" t="str">
        <f aca="false">IF(BI223&gt;BH$7,
    "",
    VLOOKUP(BI223,BK$8:BQ722,7,FALSE())
)</f>
        <v/>
      </c>
      <c r="BS223" s="110" t="str">
        <f aca="false">IF(BI223&gt;BH$7,
    "",
    VLOOKUP(BI223,BK$8:BQ722,2,FALSE())
)</f>
        <v/>
      </c>
      <c r="BT223" s="110" t="str">
        <f aca="false">IF(BI223&gt;BH$7,
    "",
    VLOOKUP(BI223,BK$8:BQ722,3,FALSE())
)</f>
        <v/>
      </c>
      <c r="BU223" s="110" t="str">
        <f aca="false">IF(BI223&gt;BH$7,
    "",
    VLOOKUP(BI223,BK$8:BQ722,4,FALSE())
)</f>
        <v/>
      </c>
      <c r="BV223" s="110" t="str">
        <f aca="false">IF(BI223&gt;BH$7,
    "",
    VLOOKUP(BI223,BK$8:BQ722,5,FALSE())
)</f>
        <v/>
      </c>
      <c r="BW223" s="111" t="str">
        <f aca="false">IF(BI223&gt;BH$7,
    "",
    VLOOKUP(BI223,BK$8:BQ722,6,FALSE())
)</f>
        <v/>
      </c>
      <c r="BX223" s="50"/>
    </row>
    <row r="224" customFormat="false" ht="15.75" hidden="false" customHeight="false" outlineLevel="0" collapsed="false">
      <c r="A224" s="5"/>
      <c r="B224" s="126"/>
      <c r="C224" s="52"/>
      <c r="D224" s="53"/>
      <c r="E224" s="120"/>
      <c r="F224" s="120"/>
      <c r="G224" s="55"/>
      <c r="H224" s="56"/>
      <c r="I224" s="80"/>
      <c r="J224" s="80"/>
      <c r="K224" s="80"/>
      <c r="L224" s="58"/>
      <c r="M224" s="58"/>
      <c r="N224" s="58"/>
      <c r="O224" s="59"/>
      <c r="P224" s="60"/>
      <c r="Q224" s="80"/>
      <c r="R224" s="62"/>
      <c r="S224" s="63"/>
      <c r="T224" s="63" t="str">
        <f aca="false">IF(ISBLANK($C224),"",IF(G224=Constants!$B$2, TRUE(), IF(G224=Constants!$B$3, FALSE(), TRUE())))</f>
        <v/>
      </c>
      <c r="U224" s="63" t="str">
        <f aca="false">IF(ISBLANK($C224),"",IF(H224=Constants!$B$2, TRUE(), IF(H224=Constants!$B$3, FALSE(), TRUE())))</f>
        <v/>
      </c>
      <c r="V224" s="63" t="str">
        <f aca="false">IF(ISBLANK($C224),"",IF(I224=Constants!$B$2, TRUE(), IF(I224=Constants!$B$3, FALSE(), TRUE())))</f>
        <v/>
      </c>
      <c r="W224" s="63" t="str">
        <f aca="false">IF(ISBLANK($C224),"",IF(J224=Constants!$B$2, TRUE(), IF(J224=Constants!$B$3, FALSE(), TRUE())))</f>
        <v/>
      </c>
      <c r="X224" s="63" t="str">
        <f aca="false">IF(ISBLANK($C224),"",IF(K224=Constants!$B$2, TRUE(), IF(K224=Constants!$B$3, FALSE(), TRUE())))</f>
        <v/>
      </c>
      <c r="Y224" s="65" t="str">
        <f aca="false">IF(ISBLANK($C224),"",IF(ISNUMBER(L224), L224, ""))</f>
        <v/>
      </c>
      <c r="Z224" s="65" t="str">
        <f aca="false">IF(ISBLANK($C224),"",IF(ISNUMBER(M224), M224, ""))</f>
        <v/>
      </c>
      <c r="AA224" s="65" t="str">
        <f aca="false">IF(ISBLANK($C224),"",IF(ISNUMBER(N224), N224, ""))</f>
        <v/>
      </c>
      <c r="AB224" s="66" t="str">
        <f aca="false">IF(ISBLANK($C224),"",IF(ISNUMBER(O224), O224, ""))</f>
        <v/>
      </c>
      <c r="AC224" s="66" t="str">
        <f aca="false">IF(ISBLANK($C224),"",IF(ISNUMBER(P224), P224, Constants!$B$13))</f>
        <v/>
      </c>
      <c r="AD224" s="63" t="str">
        <f aca="false">IF(ISBLANK($C224),"",IF(Q224=Constants!$B$2, TRUE(), IF(Q224=Constants!$B$3, FALSE(), FALSE())))</f>
        <v/>
      </c>
      <c r="AE224" s="63" t="str">
        <f aca="false">IF(ISBLANK(C224), "", IF(AD224, Constants!$B$4,IF(COUNTA(G224:O224)=0, Constants!$B$5, Constants!$B$7)))</f>
        <v/>
      </c>
      <c r="AF224" s="63" t="str">
        <f aca="false">IF(ISBLANK($C224), "",IF($AE224=Constants!$B$7,1,$AE224))</f>
        <v/>
      </c>
      <c r="AG224" s="63" t="str">
        <f aca="false">IF($AE224=Constants!$B$7,IF(V224, 1, Constants!$B$11) * IF(X224, 1, Constants!$B$12),"")</f>
        <v/>
      </c>
      <c r="AH224" s="63" t="str">
        <f aca="false">IF(AND($AE224=Constants!$B$7, T224, U224) ,MAX(0, $AA224-$Y224),"")</f>
        <v/>
      </c>
      <c r="AI224" s="63" t="str">
        <f aca="false">IF(ISERROR(AH224),$AI$6,"")</f>
        <v/>
      </c>
      <c r="AJ224" s="63" t="str">
        <f aca="false">IF($AE224=Constants!$B$7,IF(AND(T224,U224,W224),IF($AH$6=0,Constants!$B$9,Constants!$B$9*AH224/$AH$6), 0),"")</f>
        <v/>
      </c>
      <c r="AK224" s="63" t="str">
        <f aca="false">IF(AJ224&lt;&gt;"", AJ224*AG224,"")</f>
        <v/>
      </c>
      <c r="AL224" s="63" t="str">
        <f aca="false">IF(AND($AE224=Constants!$B$7, T224, U224) ,IF($Z224="", "", MAX(0,1-ABS($AA224-$Z224)/$AA224)),"")</f>
        <v/>
      </c>
      <c r="AM224" s="63" t="str">
        <f aca="false">IF(AND(NOT(ISERROR(AH224)),ISERROR(AL224)),$AM$6,"")</f>
        <v/>
      </c>
      <c r="AN224" s="63" t="str">
        <f aca="false">IF($AE224=Constants!$B$7 ,IF(AND(T224,U224,W224,ISNUMBER(Z224)),IF($AL$6=0,Constants!$B$10,Constants!$B$10*AL224/$AL$6), 0),"")</f>
        <v/>
      </c>
      <c r="AO224" s="63" t="str">
        <f aca="false">IF(AN224&lt;&gt;"", AN224*AG224,"")</f>
        <v/>
      </c>
      <c r="AP224" s="63" t="str">
        <f aca="false">IF($AE224=Constants!$B$7,IF($AP$6=0,Constants!$B$8,Constants!$B$8*AB224/$AP$6),"")</f>
        <v/>
      </c>
      <c r="AQ224" s="63" t="str">
        <f aca="false">IF($AE224&lt;&gt;Constants!$B$7,$AE224,AK224+AO224+AP224)</f>
        <v/>
      </c>
      <c r="AR224" s="63" t="str">
        <f aca="false">IF(ISBLANK($C224),"",IF($AE224=Constants!$B$7,RANK(AQ224,$AQ$8:$AQ$507),$AE224))</f>
        <v/>
      </c>
      <c r="AS224" s="63" t="str">
        <f aca="false">IF(ISBLANK($C224), "",AK224)</f>
        <v/>
      </c>
      <c r="AT224" s="63" t="str">
        <f aca="false">IF(ISBLANK($C224),"",IF($AE224=Constants!$B$7,RANK(AS224,AS$8:AS$507),$AE224))</f>
        <v/>
      </c>
      <c r="AU224" s="63" t="str">
        <f aca="false">IF(ISBLANK($C224), "",AP224)</f>
        <v/>
      </c>
      <c r="AV224" s="63" t="str">
        <f aca="false">IF(ISBLANK($C224),"",IF($AE224=Constants!$B$7,RANK(AU224,AU$8:AU$507),$AE224))</f>
        <v/>
      </c>
      <c r="AW224" s="63" t="str">
        <f aca="false">IF(ISBLANK($C224), "",AC224)</f>
        <v/>
      </c>
      <c r="AX224" s="63" t="str">
        <f aca="false">IF(ISBLANK($C224),"",
IF($AE224=Constants!$B$7,
  COUNTIFS($AR$8:$AR$507,"&lt;"&amp;$AR224)
  + COUNTIFS($AR$8:$AR$507,$AR224,$AT$8:$AT$507,"&lt;"&amp;$AT224)
  + COUNTIFS($AR$8:$AR$507,$AR224,$AT$8:$AT$507,$AT224,$AV$8:$AV$507,"&lt;"&amp;$AV224)
  + COUNTIFS($AR$8:$AR$507,$AR224,$AT$8:$AT$507,$AT224,$AV$8:$AV$507,$AV224,$AW$8:$AW$507,"&lt;"&amp;$AW224)
  + 1,
$AE224))</f>
        <v/>
      </c>
      <c r="AY224" s="63" t="str">
        <f aca="false">IF(ISBLANK(C224),"",IF($AE224=Constants!$B$7, AR224-AX224,$AE224))</f>
        <v/>
      </c>
      <c r="AZ224" s="67"/>
      <c r="BA224" s="81" t="str">
        <f aca="false">IF(ISBLANK($C224),"",TRIM(AI224&amp;" "&amp;AM224))</f>
        <v/>
      </c>
      <c r="BB224" s="69" t="str">
        <f aca="false">IF(ISBLANK($C224),"",IF($AE224&lt;&gt;Constants!$B$7, $AE224 ,AQ224))</f>
        <v/>
      </c>
      <c r="BC224" s="70" t="str">
        <f aca="false">IF(ISBLANK($C224),"",IF($AE224&lt;&gt;Constants!$B$7, $AE224 ,AF224))</f>
        <v/>
      </c>
      <c r="BD224" s="71" t="str">
        <f aca="false">IF(ISBLANK(C224),"",AY224)</f>
        <v/>
      </c>
      <c r="BE224" s="71" t="str">
        <f aca="false">IF(ISBLANK(C224),"",AX224)</f>
        <v/>
      </c>
      <c r="BF224" s="72" t="str">
        <f aca="false">IF(ISBLANK(C224),"",IFERROR(_xlfn.SWITCH(BE224, Constants!$B$4, COUNTA($C$8:$C723)+2, Constants!$B$5, COUNTA($C$8:$C723)+1, Constants!$B$6, COUNTA($C$8:$C723)),BE224))</f>
        <v/>
      </c>
      <c r="BG224" s="5"/>
      <c r="BH224" s="73" t="n">
        <f aca="false">IF(OR(ISNUMBER(BE224),BE224="DQ",BE224="P",BE224="NS"),
    1,
    0
)</f>
        <v>0</v>
      </c>
      <c r="BI224" s="73" t="n">
        <v>217</v>
      </c>
      <c r="BJ224" s="73" t="str">
        <f aca="false">IF(ISBLANK($C224),
    "",
   BF224+ROW($B224)/1000
)</f>
        <v/>
      </c>
      <c r="BK224" s="73" t="str">
        <f aca="false">IF(ISNUMBER(BJ224), RANK(BJ224,BJ$8:BJ$507,1), "")</f>
        <v/>
      </c>
      <c r="BL224" s="73" t="str">
        <f aca="false">IF(ISBLANK($C224),
    "",
    $B224
)</f>
        <v/>
      </c>
      <c r="BM224" s="73" t="str">
        <f aca="false">IF(ISBLANK($C224),
    "",
    $C224
)</f>
        <v/>
      </c>
      <c r="BN224" s="73" t="str">
        <f aca="false">IF(ISBLANK($C224),
    "",
    $D224
)</f>
        <v/>
      </c>
      <c r="BO224" s="74" t="str">
        <f aca="false">BC224</f>
        <v/>
      </c>
      <c r="BP224" s="75" t="str">
        <f aca="false">BB224</f>
        <v/>
      </c>
      <c r="BQ224" s="73" t="str">
        <f aca="false">IF(ISBLANK($C224),
    "",
    BE224
)</f>
        <v/>
      </c>
      <c r="BR224" s="76" t="str">
        <f aca="false">IF(BI224&gt;BH$7,
    "",
    VLOOKUP(BI224,BK$8:BQ723,7,FALSE())
)</f>
        <v/>
      </c>
      <c r="BS224" s="77" t="str">
        <f aca="false">IF(BI224&gt;BH$7,
    "",
    VLOOKUP(BI224,BK$8:BQ723,2,FALSE())
)</f>
        <v/>
      </c>
      <c r="BT224" s="77" t="str">
        <f aca="false">IF(BI224&gt;BH$7,
    "",
    VLOOKUP(BI224,BK$8:BQ723,3,FALSE())
)</f>
        <v/>
      </c>
      <c r="BU224" s="77" t="str">
        <f aca="false">IF(BI224&gt;BH$7,
    "",
    VLOOKUP(BI224,BK$8:BQ723,4,FALSE())
)</f>
        <v/>
      </c>
      <c r="BV224" s="77" t="str">
        <f aca="false">IF(BI224&gt;BH$7,
    "",
    VLOOKUP(BI224,BK$8:BQ723,5,FALSE())
)</f>
        <v/>
      </c>
      <c r="BW224" s="78" t="str">
        <f aca="false">IF(BI224&gt;BH$7,
    "",
    VLOOKUP(BI224,BK$8:BQ723,6,FALSE())
)</f>
        <v/>
      </c>
      <c r="BX224" s="50"/>
    </row>
    <row r="225" customFormat="false" ht="15.75" hidden="false" customHeight="false" outlineLevel="0" collapsed="false">
      <c r="A225" s="5"/>
      <c r="B225" s="126"/>
      <c r="C225" s="52"/>
      <c r="D225" s="53"/>
      <c r="E225" s="120"/>
      <c r="F225" s="120"/>
      <c r="G225" s="55"/>
      <c r="H225" s="56"/>
      <c r="I225" s="80"/>
      <c r="J225" s="80"/>
      <c r="K225" s="80"/>
      <c r="L225" s="58"/>
      <c r="M225" s="58"/>
      <c r="N225" s="58"/>
      <c r="O225" s="59"/>
      <c r="P225" s="60"/>
      <c r="Q225" s="80"/>
      <c r="R225" s="62"/>
      <c r="S225" s="63"/>
      <c r="T225" s="63" t="str">
        <f aca="false">IF(ISBLANK($C225),"",IF(G225=Constants!$B$2, TRUE(), IF(G225=Constants!$B$3, FALSE(), TRUE())))</f>
        <v/>
      </c>
      <c r="U225" s="63" t="str">
        <f aca="false">IF(ISBLANK($C225),"",IF(H225=Constants!$B$2, TRUE(), IF(H225=Constants!$B$3, FALSE(), TRUE())))</f>
        <v/>
      </c>
      <c r="V225" s="63" t="str">
        <f aca="false">IF(ISBLANK($C225),"",IF(I225=Constants!$B$2, TRUE(), IF(I225=Constants!$B$3, FALSE(), TRUE())))</f>
        <v/>
      </c>
      <c r="W225" s="63" t="str">
        <f aca="false">IF(ISBLANK($C225),"",IF(J225=Constants!$B$2, TRUE(), IF(J225=Constants!$B$3, FALSE(), TRUE())))</f>
        <v/>
      </c>
      <c r="X225" s="63" t="str">
        <f aca="false">IF(ISBLANK($C225),"",IF(K225=Constants!$B$2, TRUE(), IF(K225=Constants!$B$3, FALSE(), TRUE())))</f>
        <v/>
      </c>
      <c r="Y225" s="65" t="str">
        <f aca="false">IF(ISBLANK($C225),"",IF(ISNUMBER(L225), L225, ""))</f>
        <v/>
      </c>
      <c r="Z225" s="65" t="str">
        <f aca="false">IF(ISBLANK($C225),"",IF(ISNUMBER(M225), M225, ""))</f>
        <v/>
      </c>
      <c r="AA225" s="65" t="str">
        <f aca="false">IF(ISBLANK($C225),"",IF(ISNUMBER(N225), N225, ""))</f>
        <v/>
      </c>
      <c r="AB225" s="66" t="str">
        <f aca="false">IF(ISBLANK($C225),"",IF(ISNUMBER(O225), O225, ""))</f>
        <v/>
      </c>
      <c r="AC225" s="66" t="str">
        <f aca="false">IF(ISBLANK($C225),"",IF(ISNUMBER(P225), P225, Constants!$B$13))</f>
        <v/>
      </c>
      <c r="AD225" s="63" t="str">
        <f aca="false">IF(ISBLANK($C225),"",IF(Q225=Constants!$B$2, TRUE(), IF(Q225=Constants!$B$3, FALSE(), FALSE())))</f>
        <v/>
      </c>
      <c r="AE225" s="63" t="str">
        <f aca="false">IF(ISBLANK(C225), "", IF(AD225, Constants!$B$4,IF(COUNTA(G225:O225)=0, Constants!$B$5, Constants!$B$7)))</f>
        <v/>
      </c>
      <c r="AF225" s="63" t="str">
        <f aca="false">IF(ISBLANK($C225), "",IF($AE225=Constants!$B$7,1,$AE225))</f>
        <v/>
      </c>
      <c r="AG225" s="63" t="str">
        <f aca="false">IF($AE225=Constants!$B$7,IF(V225, 1, Constants!$B$11) * IF(X225, 1, Constants!$B$12),"")</f>
        <v/>
      </c>
      <c r="AH225" s="63" t="str">
        <f aca="false">IF(AND($AE225=Constants!$B$7, T225, U225) ,MAX(0, $AA225-$Y225),"")</f>
        <v/>
      </c>
      <c r="AI225" s="63" t="str">
        <f aca="false">IF(ISERROR(AH225),$AI$6,"")</f>
        <v/>
      </c>
      <c r="AJ225" s="63" t="str">
        <f aca="false">IF($AE225=Constants!$B$7,IF(AND(T225,U225,W225),IF($AH$6=0,Constants!$B$9,Constants!$B$9*AH225/$AH$6), 0),"")</f>
        <v/>
      </c>
      <c r="AK225" s="63" t="str">
        <f aca="false">IF(AJ225&lt;&gt;"", AJ225*AG225,"")</f>
        <v/>
      </c>
      <c r="AL225" s="63" t="str">
        <f aca="false">IF(AND($AE225=Constants!$B$7, T225, U225) ,IF($Z225="", "", MAX(0,1-ABS($AA225-$Z225)/$AA225)),"")</f>
        <v/>
      </c>
      <c r="AM225" s="63" t="str">
        <f aca="false">IF(AND(NOT(ISERROR(AH225)),ISERROR(AL225)),$AM$6,"")</f>
        <v/>
      </c>
      <c r="AN225" s="63" t="str">
        <f aca="false">IF($AE225=Constants!$B$7 ,IF(AND(T225,U225,W225,ISNUMBER(Z225)),IF($AL$6=0,Constants!$B$10,Constants!$B$10*AL225/$AL$6), 0),"")</f>
        <v/>
      </c>
      <c r="AO225" s="63" t="str">
        <f aca="false">IF(AN225&lt;&gt;"", AN225*AG225,"")</f>
        <v/>
      </c>
      <c r="AP225" s="63" t="str">
        <f aca="false">IF($AE225=Constants!$B$7,IF($AP$6=0,Constants!$B$8,Constants!$B$8*AB225/$AP$6),"")</f>
        <v/>
      </c>
      <c r="AQ225" s="63" t="str">
        <f aca="false">IF($AE225&lt;&gt;Constants!$B$7,$AE225,AK225+AO225+AP225)</f>
        <v/>
      </c>
      <c r="AR225" s="63" t="str">
        <f aca="false">IF(ISBLANK($C225),"",IF($AE225=Constants!$B$7,RANK(AQ225,$AQ$8:$AQ$507),$AE225))</f>
        <v/>
      </c>
      <c r="AS225" s="63" t="str">
        <f aca="false">IF(ISBLANK($C225), "",AK225)</f>
        <v/>
      </c>
      <c r="AT225" s="63" t="str">
        <f aca="false">IF(ISBLANK($C225),"",IF($AE225=Constants!$B$7,RANK(AS225,AS$8:AS$507),$AE225))</f>
        <v/>
      </c>
      <c r="AU225" s="63" t="str">
        <f aca="false">IF(ISBLANK($C225), "",AP225)</f>
        <v/>
      </c>
      <c r="AV225" s="63" t="str">
        <f aca="false">IF(ISBLANK($C225),"",IF($AE225=Constants!$B$7,RANK(AU225,AU$8:AU$507),$AE225))</f>
        <v/>
      </c>
      <c r="AW225" s="63" t="str">
        <f aca="false">IF(ISBLANK($C225), "",AC225)</f>
        <v/>
      </c>
      <c r="AX225" s="63" t="str">
        <f aca="false">IF(ISBLANK($C225),"",
IF($AE225=Constants!$B$7,
  COUNTIFS($AR$8:$AR$507,"&lt;"&amp;$AR225)
  + COUNTIFS($AR$8:$AR$507,$AR225,$AT$8:$AT$507,"&lt;"&amp;$AT225)
  + COUNTIFS($AR$8:$AR$507,$AR225,$AT$8:$AT$507,$AT225,$AV$8:$AV$507,"&lt;"&amp;$AV225)
  + COUNTIFS($AR$8:$AR$507,$AR225,$AT$8:$AT$507,$AT225,$AV$8:$AV$507,$AV225,$AW$8:$AW$507,"&lt;"&amp;$AW225)
  + 1,
$AE225))</f>
        <v/>
      </c>
      <c r="AY225" s="63" t="str">
        <f aca="false">IF(ISBLANK(C225),"",IF($AE225=Constants!$B$7, AR225-AX225,$AE225))</f>
        <v/>
      </c>
      <c r="AZ225" s="67"/>
      <c r="BA225" s="81" t="str">
        <f aca="false">IF(ISBLANK($C225),"",TRIM(AI225&amp;" "&amp;AM225))</f>
        <v/>
      </c>
      <c r="BB225" s="69" t="str">
        <f aca="false">IF(ISBLANK($C225),"",IF($AE225&lt;&gt;Constants!$B$7, $AE225 ,AQ225))</f>
        <v/>
      </c>
      <c r="BC225" s="70" t="str">
        <f aca="false">IF(ISBLANK($C225),"",IF($AE225&lt;&gt;Constants!$B$7, $AE225 ,AF225))</f>
        <v/>
      </c>
      <c r="BD225" s="71" t="str">
        <f aca="false">IF(ISBLANK(C225),"",AY225)</f>
        <v/>
      </c>
      <c r="BE225" s="71" t="str">
        <f aca="false">IF(ISBLANK(C225),"",AX225)</f>
        <v/>
      </c>
      <c r="BF225" s="72" t="str">
        <f aca="false">IF(ISBLANK(C225),"",IFERROR(_xlfn.SWITCH(BE225, Constants!$B$4, COUNTA($C$8:$C724)+2, Constants!$B$5, COUNTA($C$8:$C724)+1, Constants!$B$6, COUNTA($C$8:$C724)),BE225))</f>
        <v/>
      </c>
      <c r="BG225" s="5"/>
      <c r="BH225" s="73" t="n">
        <f aca="false">IF(OR(ISNUMBER(BE225),BE225="DQ",BE225="P",BE225="NS"),
    1,
    0
)</f>
        <v>0</v>
      </c>
      <c r="BI225" s="73" t="n">
        <v>218</v>
      </c>
      <c r="BJ225" s="73" t="str">
        <f aca="false">IF(ISBLANK($C225),
    "",
   BF225+ROW($B225)/1000
)</f>
        <v/>
      </c>
      <c r="BK225" s="73" t="str">
        <f aca="false">IF(ISNUMBER(BJ225), RANK(BJ225,BJ$8:BJ$507,1), "")</f>
        <v/>
      </c>
      <c r="BL225" s="73" t="str">
        <f aca="false">IF(ISBLANK($C225),
    "",
    $B225
)</f>
        <v/>
      </c>
      <c r="BM225" s="73" t="str">
        <f aca="false">IF(ISBLANK($C225),
    "",
    $C225
)</f>
        <v/>
      </c>
      <c r="BN225" s="73" t="str">
        <f aca="false">IF(ISBLANK($C225),
    "",
    $D225
)</f>
        <v/>
      </c>
      <c r="BO225" s="74" t="str">
        <f aca="false">BC225</f>
        <v/>
      </c>
      <c r="BP225" s="75" t="str">
        <f aca="false">BB225</f>
        <v/>
      </c>
      <c r="BQ225" s="73" t="str">
        <f aca="false">IF(ISBLANK($C225),
    "",
    BE225
)</f>
        <v/>
      </c>
      <c r="BR225" s="76" t="str">
        <f aca="false">IF(BI225&gt;BH$7,
    "",
    VLOOKUP(BI225,BK$8:BQ724,7,FALSE())
)</f>
        <v/>
      </c>
      <c r="BS225" s="77" t="str">
        <f aca="false">IF(BI225&gt;BH$7,
    "",
    VLOOKUP(BI225,BK$8:BQ724,2,FALSE())
)</f>
        <v/>
      </c>
      <c r="BT225" s="77" t="str">
        <f aca="false">IF(BI225&gt;BH$7,
    "",
    VLOOKUP(BI225,BK$8:BQ724,3,FALSE())
)</f>
        <v/>
      </c>
      <c r="BU225" s="77" t="str">
        <f aca="false">IF(BI225&gt;BH$7,
    "",
    VLOOKUP(BI225,BK$8:BQ724,4,FALSE())
)</f>
        <v/>
      </c>
      <c r="BV225" s="77" t="str">
        <f aca="false">IF(BI225&gt;BH$7,
    "",
    VLOOKUP(BI225,BK$8:BQ724,5,FALSE())
)</f>
        <v/>
      </c>
      <c r="BW225" s="78" t="str">
        <f aca="false">IF(BI225&gt;BH$7,
    "",
    VLOOKUP(BI225,BK$8:BQ724,6,FALSE())
)</f>
        <v/>
      </c>
      <c r="BX225" s="50"/>
    </row>
    <row r="226" customFormat="false" ht="15.75" hidden="false" customHeight="false" outlineLevel="0" collapsed="false">
      <c r="A226" s="5"/>
      <c r="B226" s="126"/>
      <c r="C226" s="52"/>
      <c r="D226" s="53"/>
      <c r="E226" s="120"/>
      <c r="F226" s="120"/>
      <c r="G226" s="55"/>
      <c r="H226" s="56"/>
      <c r="I226" s="80"/>
      <c r="J226" s="80"/>
      <c r="K226" s="80"/>
      <c r="L226" s="58"/>
      <c r="M226" s="58"/>
      <c r="N226" s="58"/>
      <c r="O226" s="59"/>
      <c r="P226" s="60"/>
      <c r="Q226" s="80"/>
      <c r="R226" s="62"/>
      <c r="S226" s="63"/>
      <c r="T226" s="63" t="str">
        <f aca="false">IF(ISBLANK($C226),"",IF(G226=Constants!$B$2, TRUE(), IF(G226=Constants!$B$3, FALSE(), TRUE())))</f>
        <v/>
      </c>
      <c r="U226" s="63" t="str">
        <f aca="false">IF(ISBLANK($C226),"",IF(H226=Constants!$B$2, TRUE(), IF(H226=Constants!$B$3, FALSE(), TRUE())))</f>
        <v/>
      </c>
      <c r="V226" s="63" t="str">
        <f aca="false">IF(ISBLANK($C226),"",IF(I226=Constants!$B$2, TRUE(), IF(I226=Constants!$B$3, FALSE(), TRUE())))</f>
        <v/>
      </c>
      <c r="W226" s="63" t="str">
        <f aca="false">IF(ISBLANK($C226),"",IF(J226=Constants!$B$2, TRUE(), IF(J226=Constants!$B$3, FALSE(), TRUE())))</f>
        <v/>
      </c>
      <c r="X226" s="63" t="str">
        <f aca="false">IF(ISBLANK($C226),"",IF(K226=Constants!$B$2, TRUE(), IF(K226=Constants!$B$3, FALSE(), TRUE())))</f>
        <v/>
      </c>
      <c r="Y226" s="65" t="str">
        <f aca="false">IF(ISBLANK($C226),"",IF(ISNUMBER(L226), L226, ""))</f>
        <v/>
      </c>
      <c r="Z226" s="65" t="str">
        <f aca="false">IF(ISBLANK($C226),"",IF(ISNUMBER(M226), M226, ""))</f>
        <v/>
      </c>
      <c r="AA226" s="65" t="str">
        <f aca="false">IF(ISBLANK($C226),"",IF(ISNUMBER(N226), N226, ""))</f>
        <v/>
      </c>
      <c r="AB226" s="66" t="str">
        <f aca="false">IF(ISBLANK($C226),"",IF(ISNUMBER(O226), O226, ""))</f>
        <v/>
      </c>
      <c r="AC226" s="66" t="str">
        <f aca="false">IF(ISBLANK($C226),"",IF(ISNUMBER(P226), P226, Constants!$B$13))</f>
        <v/>
      </c>
      <c r="AD226" s="63" t="str">
        <f aca="false">IF(ISBLANK($C226),"",IF(Q226=Constants!$B$2, TRUE(), IF(Q226=Constants!$B$3, FALSE(), FALSE())))</f>
        <v/>
      </c>
      <c r="AE226" s="63" t="str">
        <f aca="false">IF(ISBLANK(C226), "", IF(AD226, Constants!$B$4,IF(COUNTA(G226:O226)=0, Constants!$B$5, Constants!$B$7)))</f>
        <v/>
      </c>
      <c r="AF226" s="63" t="str">
        <f aca="false">IF(ISBLANK($C226), "",IF($AE226=Constants!$B$7,1,$AE226))</f>
        <v/>
      </c>
      <c r="AG226" s="63" t="str">
        <f aca="false">IF($AE226=Constants!$B$7,IF(V226, 1, Constants!$B$11) * IF(X226, 1, Constants!$B$12),"")</f>
        <v/>
      </c>
      <c r="AH226" s="63" t="str">
        <f aca="false">IF(AND($AE226=Constants!$B$7, T226, U226) ,MAX(0, $AA226-$Y226),"")</f>
        <v/>
      </c>
      <c r="AI226" s="63" t="str">
        <f aca="false">IF(ISERROR(AH226),$AI$6,"")</f>
        <v/>
      </c>
      <c r="AJ226" s="63" t="str">
        <f aca="false">IF($AE226=Constants!$B$7,IF(AND(T226,U226,W226),IF($AH$6=0,Constants!$B$9,Constants!$B$9*AH226/$AH$6), 0),"")</f>
        <v/>
      </c>
      <c r="AK226" s="63" t="str">
        <f aca="false">IF(AJ226&lt;&gt;"", AJ226*AG226,"")</f>
        <v/>
      </c>
      <c r="AL226" s="63" t="str">
        <f aca="false">IF(AND($AE226=Constants!$B$7, T226, U226) ,IF($Z226="", "", MAX(0,1-ABS($AA226-$Z226)/$AA226)),"")</f>
        <v/>
      </c>
      <c r="AM226" s="63" t="str">
        <f aca="false">IF(AND(NOT(ISERROR(AH226)),ISERROR(AL226)),$AM$6,"")</f>
        <v/>
      </c>
      <c r="AN226" s="63" t="str">
        <f aca="false">IF($AE226=Constants!$B$7 ,IF(AND(T226,U226,W226,ISNUMBER(Z226)),IF($AL$6=0,Constants!$B$10,Constants!$B$10*AL226/$AL$6), 0),"")</f>
        <v/>
      </c>
      <c r="AO226" s="63" t="str">
        <f aca="false">IF(AN226&lt;&gt;"", AN226*AG226,"")</f>
        <v/>
      </c>
      <c r="AP226" s="63" t="str">
        <f aca="false">IF($AE226=Constants!$B$7,IF($AP$6=0,Constants!$B$8,Constants!$B$8*AB226/$AP$6),"")</f>
        <v/>
      </c>
      <c r="AQ226" s="63" t="str">
        <f aca="false">IF($AE226&lt;&gt;Constants!$B$7,$AE226,AK226+AO226+AP226)</f>
        <v/>
      </c>
      <c r="AR226" s="63" t="str">
        <f aca="false">IF(ISBLANK($C226),"",IF($AE226=Constants!$B$7,RANK(AQ226,$AQ$8:$AQ$507),$AE226))</f>
        <v/>
      </c>
      <c r="AS226" s="63" t="str">
        <f aca="false">IF(ISBLANK($C226), "",AK226)</f>
        <v/>
      </c>
      <c r="AT226" s="63" t="str">
        <f aca="false">IF(ISBLANK($C226),"",IF($AE226=Constants!$B$7,RANK(AS226,AS$8:AS$507),$AE226))</f>
        <v/>
      </c>
      <c r="AU226" s="63" t="str">
        <f aca="false">IF(ISBLANK($C226), "",AP226)</f>
        <v/>
      </c>
      <c r="AV226" s="63" t="str">
        <f aca="false">IF(ISBLANK($C226),"",IF($AE226=Constants!$B$7,RANK(AU226,AU$8:AU$507),$AE226))</f>
        <v/>
      </c>
      <c r="AW226" s="63" t="str">
        <f aca="false">IF(ISBLANK($C226), "",AC226)</f>
        <v/>
      </c>
      <c r="AX226" s="63" t="str">
        <f aca="false">IF(ISBLANK($C226),"",
IF($AE226=Constants!$B$7,
  COUNTIFS($AR$8:$AR$507,"&lt;"&amp;$AR226)
  + COUNTIFS($AR$8:$AR$507,$AR226,$AT$8:$AT$507,"&lt;"&amp;$AT226)
  + COUNTIFS($AR$8:$AR$507,$AR226,$AT$8:$AT$507,$AT226,$AV$8:$AV$507,"&lt;"&amp;$AV226)
  + COUNTIFS($AR$8:$AR$507,$AR226,$AT$8:$AT$507,$AT226,$AV$8:$AV$507,$AV226,$AW$8:$AW$507,"&lt;"&amp;$AW226)
  + 1,
$AE226))</f>
        <v/>
      </c>
      <c r="AY226" s="63" t="str">
        <f aca="false">IF(ISBLANK(C226),"",IF($AE226=Constants!$B$7, AR226-AX226,$AE226))</f>
        <v/>
      </c>
      <c r="AZ226" s="67"/>
      <c r="BA226" s="81" t="str">
        <f aca="false">IF(ISBLANK($C226),"",TRIM(AI226&amp;" "&amp;AM226))</f>
        <v/>
      </c>
      <c r="BB226" s="69" t="str">
        <f aca="false">IF(ISBLANK($C226),"",IF($AE226&lt;&gt;Constants!$B$7, $AE226 ,AQ226))</f>
        <v/>
      </c>
      <c r="BC226" s="70" t="str">
        <f aca="false">IF(ISBLANK($C226),"",IF($AE226&lt;&gt;Constants!$B$7, $AE226 ,AF226))</f>
        <v/>
      </c>
      <c r="BD226" s="71" t="str">
        <f aca="false">IF(ISBLANK(C226),"",AY226)</f>
        <v/>
      </c>
      <c r="BE226" s="71" t="str">
        <f aca="false">IF(ISBLANK(C226),"",AX226)</f>
        <v/>
      </c>
      <c r="BF226" s="72" t="str">
        <f aca="false">IF(ISBLANK(C226),"",IFERROR(_xlfn.SWITCH(BE226, Constants!$B$4, COUNTA($C$8:$C725)+2, Constants!$B$5, COUNTA($C$8:$C725)+1, Constants!$B$6, COUNTA($C$8:$C725)),BE226))</f>
        <v/>
      </c>
      <c r="BG226" s="5"/>
      <c r="BH226" s="73" t="n">
        <f aca="false">IF(OR(ISNUMBER(BE226),BE226="DQ",BE226="P",BE226="NS"),
    1,
    0
)</f>
        <v>0</v>
      </c>
      <c r="BI226" s="73" t="n">
        <v>219</v>
      </c>
      <c r="BJ226" s="73" t="str">
        <f aca="false">IF(ISBLANK($C226),
    "",
   BF226+ROW($B226)/1000
)</f>
        <v/>
      </c>
      <c r="BK226" s="73" t="str">
        <f aca="false">IF(ISNUMBER(BJ226), RANK(BJ226,BJ$8:BJ$507,1), "")</f>
        <v/>
      </c>
      <c r="BL226" s="73" t="str">
        <f aca="false">IF(ISBLANK($C226),
    "",
    $B226
)</f>
        <v/>
      </c>
      <c r="BM226" s="73" t="str">
        <f aca="false">IF(ISBLANK($C226),
    "",
    $C226
)</f>
        <v/>
      </c>
      <c r="BN226" s="73" t="str">
        <f aca="false">IF(ISBLANK($C226),
    "",
    $D226
)</f>
        <v/>
      </c>
      <c r="BO226" s="74" t="str">
        <f aca="false">BC226</f>
        <v/>
      </c>
      <c r="BP226" s="75" t="str">
        <f aca="false">BB226</f>
        <v/>
      </c>
      <c r="BQ226" s="73" t="str">
        <f aca="false">IF(ISBLANK($C226),
    "",
    BE226
)</f>
        <v/>
      </c>
      <c r="BR226" s="76" t="str">
        <f aca="false">IF(BI226&gt;BH$7,
    "",
    VLOOKUP(BI226,BK$8:BQ725,7,FALSE())
)</f>
        <v/>
      </c>
      <c r="BS226" s="77" t="str">
        <f aca="false">IF(BI226&gt;BH$7,
    "",
    VLOOKUP(BI226,BK$8:BQ725,2,FALSE())
)</f>
        <v/>
      </c>
      <c r="BT226" s="77" t="str">
        <f aca="false">IF(BI226&gt;BH$7,
    "",
    VLOOKUP(BI226,BK$8:BQ725,3,FALSE())
)</f>
        <v/>
      </c>
      <c r="BU226" s="77" t="str">
        <f aca="false">IF(BI226&gt;BH$7,
    "",
    VLOOKUP(BI226,BK$8:BQ725,4,FALSE())
)</f>
        <v/>
      </c>
      <c r="BV226" s="77" t="str">
        <f aca="false">IF(BI226&gt;BH$7,
    "",
    VLOOKUP(BI226,BK$8:BQ725,5,FALSE())
)</f>
        <v/>
      </c>
      <c r="BW226" s="78" t="str">
        <f aca="false">IF(BI226&gt;BH$7,
    "",
    VLOOKUP(BI226,BK$8:BQ725,6,FALSE())
)</f>
        <v/>
      </c>
      <c r="BX226" s="50"/>
    </row>
    <row r="227" customFormat="false" ht="15.75" hidden="false" customHeight="false" outlineLevel="0" collapsed="false">
      <c r="A227" s="5"/>
      <c r="B227" s="122"/>
      <c r="C227" s="123"/>
      <c r="D227" s="112"/>
      <c r="E227" s="116"/>
      <c r="F227" s="116"/>
      <c r="G227" s="88"/>
      <c r="H227" s="89"/>
      <c r="I227" s="125"/>
      <c r="J227" s="125"/>
      <c r="K227" s="125"/>
      <c r="L227" s="91"/>
      <c r="M227" s="91"/>
      <c r="N227" s="91"/>
      <c r="O227" s="92"/>
      <c r="P227" s="93"/>
      <c r="Q227" s="125"/>
      <c r="R227" s="95"/>
      <c r="S227" s="96"/>
      <c r="T227" s="96" t="str">
        <f aca="false">IF(ISBLANK($C227),"",IF(G227=Constants!$B$2, TRUE(), IF(G227=Constants!$B$3, FALSE(), TRUE())))</f>
        <v/>
      </c>
      <c r="U227" s="96" t="str">
        <f aca="false">IF(ISBLANK($C227),"",IF(H227=Constants!$B$2, TRUE(), IF(H227=Constants!$B$3, FALSE(), TRUE())))</f>
        <v/>
      </c>
      <c r="V227" s="96" t="str">
        <f aca="false">IF(ISBLANK($C227),"",IF(I227=Constants!$B$2, TRUE(), IF(I227=Constants!$B$3, FALSE(), TRUE())))</f>
        <v/>
      </c>
      <c r="W227" s="96" t="str">
        <f aca="false">IF(ISBLANK($C227),"",IF(J227=Constants!$B$2, TRUE(), IF(J227=Constants!$B$3, FALSE(), TRUE())))</f>
        <v/>
      </c>
      <c r="X227" s="97" t="str">
        <f aca="false">IF(ISBLANK($C227),"",IF(K227=Constants!$B$2, TRUE(), IF(K227=Constants!$B$3, FALSE(), TRUE())))</f>
        <v/>
      </c>
      <c r="Y227" s="98" t="str">
        <f aca="false">IF(ISBLANK($C227),"",IF(ISNUMBER(L227), L227, ""))</f>
        <v/>
      </c>
      <c r="Z227" s="98" t="str">
        <f aca="false">IF(ISBLANK($C227),"",IF(ISNUMBER(M227), M227, ""))</f>
        <v/>
      </c>
      <c r="AA227" s="98" t="str">
        <f aca="false">IF(ISBLANK($C227),"",IF(ISNUMBER(N227), N227, ""))</f>
        <v/>
      </c>
      <c r="AB227" s="99" t="str">
        <f aca="false">IF(ISBLANK($C227),"",IF(ISNUMBER(O227), O227, ""))</f>
        <v/>
      </c>
      <c r="AC227" s="99" t="str">
        <f aca="false">IF(ISBLANK($C227),"",IF(ISNUMBER(P227), P227, Constants!$B$13))</f>
        <v/>
      </c>
      <c r="AD227" s="96" t="str">
        <f aca="false">IF(ISBLANK($C227),"",IF(Q227=Constants!$B$2, TRUE(), IF(Q227=Constants!$B$3, FALSE(), FALSE())))</f>
        <v/>
      </c>
      <c r="AE227" s="96" t="str">
        <f aca="false">IF(ISBLANK(C227), "", IF(AD227, Constants!$B$4,IF(COUNTA(G227:O227)=0, Constants!$B$5, Constants!$B$7)))</f>
        <v/>
      </c>
      <c r="AF227" s="96" t="str">
        <f aca="false">IF(ISBLANK($C227), "",IF($AE227=Constants!$B$7,1,$AE227))</f>
        <v/>
      </c>
      <c r="AG227" s="96" t="str">
        <f aca="false">IF($AE227=Constants!$B$7,IF(V227, 1, Constants!$B$11) * IF(X227, 1, Constants!$B$12),"")</f>
        <v/>
      </c>
      <c r="AH227" s="96" t="str">
        <f aca="false">IF(AND($AE227=Constants!$B$7, T227, U227) ,MAX(0, $AA227-$Y227),"")</f>
        <v/>
      </c>
      <c r="AI227" s="96" t="str">
        <f aca="false">IF(ISERROR(AH227),$AI$6,"")</f>
        <v/>
      </c>
      <c r="AJ227" s="96" t="str">
        <f aca="false">IF($AE227=Constants!$B$7,IF(AND(T227,U227,W227),IF($AH$6=0,Constants!$B$9,Constants!$B$9*AH227/$AH$6), 0),"")</f>
        <v/>
      </c>
      <c r="AK227" s="96" t="str">
        <f aca="false">IF(AJ227&lt;&gt;"", AJ227*AG227,"")</f>
        <v/>
      </c>
      <c r="AL227" s="96" t="str">
        <f aca="false">IF(AND($AE227=Constants!$B$7, T227, U227) ,IF($Z227="", "", MAX(0,1-ABS($AA227-$Z227)/$AA227)),"")</f>
        <v/>
      </c>
      <c r="AM227" s="96" t="str">
        <f aca="false">IF(AND(NOT(ISERROR(AH227)),ISERROR(AL227)),$AM$6,"")</f>
        <v/>
      </c>
      <c r="AN227" s="96" t="str">
        <f aca="false">IF($AE227=Constants!$B$7 ,IF(AND(T227,U227,W227,ISNUMBER(Z227)),IF($AL$6=0,Constants!$B$10,Constants!$B$10*AL227/$AL$6), 0),"")</f>
        <v/>
      </c>
      <c r="AO227" s="96" t="str">
        <f aca="false">IF(AN227&lt;&gt;"", AN227*AG227,"")</f>
        <v/>
      </c>
      <c r="AP227" s="96" t="str">
        <f aca="false">IF($AE227=Constants!$B$7,IF($AP$6=0,Constants!$B$8,Constants!$B$8*AB227/$AP$6),"")</f>
        <v/>
      </c>
      <c r="AQ227" s="96" t="str">
        <f aca="false">IF($AE227&lt;&gt;Constants!$B$7,$AE227,AK227+AO227+AP227)</f>
        <v/>
      </c>
      <c r="AR227" s="96" t="str">
        <f aca="false">IF(ISBLANK($C227),"",IF($AE227=Constants!$B$7,RANK(AQ227,$AQ$8:$AQ$507),$AE227))</f>
        <v/>
      </c>
      <c r="AS227" s="96" t="str">
        <f aca="false">IF(ISBLANK($C227), "",AK227)</f>
        <v/>
      </c>
      <c r="AT227" s="96" t="str">
        <f aca="false">IF(ISBLANK($C227),"",IF($AE227=Constants!$B$7,RANK(AS227,AS$8:AS$507),$AE227))</f>
        <v/>
      </c>
      <c r="AU227" s="96" t="str">
        <f aca="false">IF(ISBLANK($C227), "",AP227)</f>
        <v/>
      </c>
      <c r="AV227" s="96" t="str">
        <f aca="false">IF(ISBLANK($C227),"",IF($AE227=Constants!$B$7,RANK(AU227,AU$8:AU$507),$AE227))</f>
        <v/>
      </c>
      <c r="AW227" s="96" t="str">
        <f aca="false">IF(ISBLANK($C227), "",AC227)</f>
        <v/>
      </c>
      <c r="AX227" s="96" t="str">
        <f aca="false">IF(ISBLANK($C227),"",
IF($AE227=Constants!$B$7,
  COUNTIFS($AR$8:$AR$507,"&lt;"&amp;$AR227)
  + COUNTIFS($AR$8:$AR$507,$AR227,$AT$8:$AT$507,"&lt;"&amp;$AT227)
  + COUNTIFS($AR$8:$AR$507,$AR227,$AT$8:$AT$507,$AT227,$AV$8:$AV$507,"&lt;"&amp;$AV227)
  + COUNTIFS($AR$8:$AR$507,$AR227,$AT$8:$AT$507,$AT227,$AV$8:$AV$507,$AV227,$AW$8:$AW$507,"&lt;"&amp;$AW227)
  + 1,
$AE227))</f>
        <v/>
      </c>
      <c r="AY227" s="96" t="str">
        <f aca="false">IF(ISBLANK(C227),"",IF($AE227=Constants!$B$7, AR227-AX227,$AE227))</f>
        <v/>
      </c>
      <c r="AZ227" s="100"/>
      <c r="BA227" s="101" t="str">
        <f aca="false">IF(ISBLANK($C227),"",TRIM(AI227&amp;" "&amp;AM227))</f>
        <v/>
      </c>
      <c r="BB227" s="102" t="str">
        <f aca="false">IF(ISBLANK($C227),"",IF($AE227&lt;&gt;Constants!$B$7, $AE227 ,AQ227))</f>
        <v/>
      </c>
      <c r="BC227" s="103" t="str">
        <f aca="false">IF(ISBLANK($C227),"",IF($AE227&lt;&gt;Constants!$B$7, $AE227 ,AF227))</f>
        <v/>
      </c>
      <c r="BD227" s="104" t="str">
        <f aca="false">IF(ISBLANK(C227),"",AY227)</f>
        <v/>
      </c>
      <c r="BE227" s="104" t="str">
        <f aca="false">IF(ISBLANK(C227),"",AX227)</f>
        <v/>
      </c>
      <c r="BF227" s="105" t="str">
        <f aca="false">IF(ISBLANK(C227),"",IFERROR(_xlfn.SWITCH(BE227, Constants!$B$4, COUNTA($C$8:$C726)+2, Constants!$B$5, COUNTA($C$8:$C726)+1, Constants!$B$6, COUNTA($C$8:$C726)),BE227))</f>
        <v/>
      </c>
      <c r="BG227" s="5"/>
      <c r="BH227" s="106" t="n">
        <f aca="false">IF(OR(ISNUMBER(BE227),BE227="DQ",BE227="P",BE227="NS"),
    1,
    0
)</f>
        <v>0</v>
      </c>
      <c r="BI227" s="106" t="n">
        <v>220</v>
      </c>
      <c r="BJ227" s="106" t="str">
        <f aca="false">IF(ISBLANK($C227),
    "",
   BF227+ROW($B227)/1000
)</f>
        <v/>
      </c>
      <c r="BK227" s="106" t="str">
        <f aca="false">IF(ISNUMBER(BJ227), RANK(BJ227,BJ$8:BJ$507,1), "")</f>
        <v/>
      </c>
      <c r="BL227" s="106" t="str">
        <f aca="false">IF(ISBLANK($C227),
    "",
    $B227
)</f>
        <v/>
      </c>
      <c r="BM227" s="106" t="str">
        <f aca="false">IF(ISBLANK($C227),
    "",
    $C227
)</f>
        <v/>
      </c>
      <c r="BN227" s="106" t="str">
        <f aca="false">IF(ISBLANK($C227),
    "",
    $D227
)</f>
        <v/>
      </c>
      <c r="BO227" s="107" t="str">
        <f aca="false">BC227</f>
        <v/>
      </c>
      <c r="BP227" s="108" t="str">
        <f aca="false">BB227</f>
        <v/>
      </c>
      <c r="BQ227" s="106" t="str">
        <f aca="false">IF(ISBLANK($C227),
    "",
    BE227
)</f>
        <v/>
      </c>
      <c r="BR227" s="109" t="str">
        <f aca="false">IF(BI227&gt;BH$7,
    "",
    VLOOKUP(BI227,BK$8:BQ726,7,FALSE())
)</f>
        <v/>
      </c>
      <c r="BS227" s="110" t="str">
        <f aca="false">IF(BI227&gt;BH$7,
    "",
    VLOOKUP(BI227,BK$8:BQ726,2,FALSE())
)</f>
        <v/>
      </c>
      <c r="BT227" s="110" t="str">
        <f aca="false">IF(BI227&gt;BH$7,
    "",
    VLOOKUP(BI227,BK$8:BQ726,3,FALSE())
)</f>
        <v/>
      </c>
      <c r="BU227" s="110" t="str">
        <f aca="false">IF(BI227&gt;BH$7,
    "",
    VLOOKUP(BI227,BK$8:BQ726,4,FALSE())
)</f>
        <v/>
      </c>
      <c r="BV227" s="110" t="str">
        <f aca="false">IF(BI227&gt;BH$7,
    "",
    VLOOKUP(BI227,BK$8:BQ726,5,FALSE())
)</f>
        <v/>
      </c>
      <c r="BW227" s="111" t="str">
        <f aca="false">IF(BI227&gt;BH$7,
    "",
    VLOOKUP(BI227,BK$8:BQ726,6,FALSE())
)</f>
        <v/>
      </c>
      <c r="BX227" s="50"/>
    </row>
    <row r="228" customFormat="false" ht="15.75" hidden="false" customHeight="false" outlineLevel="0" collapsed="false">
      <c r="A228" s="5"/>
      <c r="B228" s="122"/>
      <c r="C228" s="123"/>
      <c r="D228" s="112"/>
      <c r="E228" s="116"/>
      <c r="F228" s="116"/>
      <c r="G228" s="88"/>
      <c r="H228" s="89"/>
      <c r="I228" s="125"/>
      <c r="J228" s="125"/>
      <c r="K228" s="125"/>
      <c r="L228" s="91"/>
      <c r="M228" s="91"/>
      <c r="N228" s="91"/>
      <c r="O228" s="92"/>
      <c r="P228" s="93"/>
      <c r="Q228" s="125"/>
      <c r="R228" s="95"/>
      <c r="S228" s="96"/>
      <c r="T228" s="96" t="str">
        <f aca="false">IF(ISBLANK($C228),"",IF(G228=Constants!$B$2, TRUE(), IF(G228=Constants!$B$3, FALSE(), TRUE())))</f>
        <v/>
      </c>
      <c r="U228" s="96" t="str">
        <f aca="false">IF(ISBLANK($C228),"",IF(H228=Constants!$B$2, TRUE(), IF(H228=Constants!$B$3, FALSE(), TRUE())))</f>
        <v/>
      </c>
      <c r="V228" s="96" t="str">
        <f aca="false">IF(ISBLANK($C228),"",IF(I228=Constants!$B$2, TRUE(), IF(I228=Constants!$B$3, FALSE(), TRUE())))</f>
        <v/>
      </c>
      <c r="W228" s="96" t="str">
        <f aca="false">IF(ISBLANK($C228),"",IF(J228=Constants!$B$2, TRUE(), IF(J228=Constants!$B$3, FALSE(), TRUE())))</f>
        <v/>
      </c>
      <c r="X228" s="97" t="str">
        <f aca="false">IF(ISBLANK($C228),"",IF(K228=Constants!$B$2, TRUE(), IF(K228=Constants!$B$3, FALSE(), TRUE())))</f>
        <v/>
      </c>
      <c r="Y228" s="98" t="str">
        <f aca="false">IF(ISBLANK($C228),"",IF(ISNUMBER(L228), L228, ""))</f>
        <v/>
      </c>
      <c r="Z228" s="98" t="str">
        <f aca="false">IF(ISBLANK($C228),"",IF(ISNUMBER(M228), M228, ""))</f>
        <v/>
      </c>
      <c r="AA228" s="98" t="str">
        <f aca="false">IF(ISBLANK($C228),"",IF(ISNUMBER(N228), N228, ""))</f>
        <v/>
      </c>
      <c r="AB228" s="99" t="str">
        <f aca="false">IF(ISBLANK($C228),"",IF(ISNUMBER(O228), O228, ""))</f>
        <v/>
      </c>
      <c r="AC228" s="99" t="str">
        <f aca="false">IF(ISBLANK($C228),"",IF(ISNUMBER(P228), P228, Constants!$B$13))</f>
        <v/>
      </c>
      <c r="AD228" s="96" t="str">
        <f aca="false">IF(ISBLANK($C228),"",IF(Q228=Constants!$B$2, TRUE(), IF(Q228=Constants!$B$3, FALSE(), FALSE())))</f>
        <v/>
      </c>
      <c r="AE228" s="96" t="str">
        <f aca="false">IF(ISBLANK(C228), "", IF(AD228, Constants!$B$4,IF(COUNTA(G228:O228)=0, Constants!$B$5, Constants!$B$7)))</f>
        <v/>
      </c>
      <c r="AF228" s="96" t="str">
        <f aca="false">IF(ISBLANK($C228), "",IF($AE228=Constants!$B$7,1,$AE228))</f>
        <v/>
      </c>
      <c r="AG228" s="96" t="str">
        <f aca="false">IF($AE228=Constants!$B$7,IF(V228, 1, Constants!$B$11) * IF(X228, 1, Constants!$B$12),"")</f>
        <v/>
      </c>
      <c r="AH228" s="96" t="str">
        <f aca="false">IF(AND($AE228=Constants!$B$7, T228, U228) ,MAX(0, $AA228-$Y228),"")</f>
        <v/>
      </c>
      <c r="AI228" s="96" t="str">
        <f aca="false">IF(ISERROR(AH228),$AI$6,"")</f>
        <v/>
      </c>
      <c r="AJ228" s="96" t="str">
        <f aca="false">IF($AE228=Constants!$B$7,IF(AND(T228,U228,W228),IF($AH$6=0,Constants!$B$9,Constants!$B$9*AH228/$AH$6), 0),"")</f>
        <v/>
      </c>
      <c r="AK228" s="96" t="str">
        <f aca="false">IF(AJ228&lt;&gt;"", AJ228*AG228,"")</f>
        <v/>
      </c>
      <c r="AL228" s="96" t="str">
        <f aca="false">IF(AND($AE228=Constants!$B$7, T228, U228) ,IF($Z228="", "", MAX(0,1-ABS($AA228-$Z228)/$AA228)),"")</f>
        <v/>
      </c>
      <c r="AM228" s="96" t="str">
        <f aca="false">IF(AND(NOT(ISERROR(AH228)),ISERROR(AL228)),$AM$6,"")</f>
        <v/>
      </c>
      <c r="AN228" s="96" t="str">
        <f aca="false">IF($AE228=Constants!$B$7 ,IF(AND(T228,U228,W228,ISNUMBER(Z228)),IF($AL$6=0,Constants!$B$10,Constants!$B$10*AL228/$AL$6), 0),"")</f>
        <v/>
      </c>
      <c r="AO228" s="96" t="str">
        <f aca="false">IF(AN228&lt;&gt;"", AN228*AG228,"")</f>
        <v/>
      </c>
      <c r="AP228" s="96" t="str">
        <f aca="false">IF($AE228=Constants!$B$7,IF($AP$6=0,Constants!$B$8,Constants!$B$8*AB228/$AP$6),"")</f>
        <v/>
      </c>
      <c r="AQ228" s="96" t="str">
        <f aca="false">IF($AE228&lt;&gt;Constants!$B$7,$AE228,AK228+AO228+AP228)</f>
        <v/>
      </c>
      <c r="AR228" s="96" t="str">
        <f aca="false">IF(ISBLANK($C228),"",IF($AE228=Constants!$B$7,RANK(AQ228,$AQ$8:$AQ$507),$AE228))</f>
        <v/>
      </c>
      <c r="AS228" s="96" t="str">
        <f aca="false">IF(ISBLANK($C228), "",AK228)</f>
        <v/>
      </c>
      <c r="AT228" s="96" t="str">
        <f aca="false">IF(ISBLANK($C228),"",IF($AE228=Constants!$B$7,RANK(AS228,AS$8:AS$507),$AE228))</f>
        <v/>
      </c>
      <c r="AU228" s="96" t="str">
        <f aca="false">IF(ISBLANK($C228), "",AP228)</f>
        <v/>
      </c>
      <c r="AV228" s="96" t="str">
        <f aca="false">IF(ISBLANK($C228),"",IF($AE228=Constants!$B$7,RANK(AU228,AU$8:AU$507),$AE228))</f>
        <v/>
      </c>
      <c r="AW228" s="96" t="str">
        <f aca="false">IF(ISBLANK($C228), "",AC228)</f>
        <v/>
      </c>
      <c r="AX228" s="96" t="str">
        <f aca="false">IF(ISBLANK($C228),"",
IF($AE228=Constants!$B$7,
  COUNTIFS($AR$8:$AR$507,"&lt;"&amp;$AR228)
  + COUNTIFS($AR$8:$AR$507,$AR228,$AT$8:$AT$507,"&lt;"&amp;$AT228)
  + COUNTIFS($AR$8:$AR$507,$AR228,$AT$8:$AT$507,$AT228,$AV$8:$AV$507,"&lt;"&amp;$AV228)
  + COUNTIFS($AR$8:$AR$507,$AR228,$AT$8:$AT$507,$AT228,$AV$8:$AV$507,$AV228,$AW$8:$AW$507,"&lt;"&amp;$AW228)
  + 1,
$AE228))</f>
        <v/>
      </c>
      <c r="AY228" s="96" t="str">
        <f aca="false">IF(ISBLANK(C228),"",IF($AE228=Constants!$B$7, AR228-AX228,$AE228))</f>
        <v/>
      </c>
      <c r="AZ228" s="100"/>
      <c r="BA228" s="101" t="str">
        <f aca="false">IF(ISBLANK($C228),"",TRIM(AI228&amp;" "&amp;AM228))</f>
        <v/>
      </c>
      <c r="BB228" s="102" t="str">
        <f aca="false">IF(ISBLANK($C228),"",IF($AE228&lt;&gt;Constants!$B$7, $AE228 ,AQ228))</f>
        <v/>
      </c>
      <c r="BC228" s="103" t="str">
        <f aca="false">IF(ISBLANK($C228),"",IF($AE228&lt;&gt;Constants!$B$7, $AE228 ,AF228))</f>
        <v/>
      </c>
      <c r="BD228" s="104" t="str">
        <f aca="false">IF(ISBLANK(C228),"",AY228)</f>
        <v/>
      </c>
      <c r="BE228" s="104" t="str">
        <f aca="false">IF(ISBLANK(C228),"",AX228)</f>
        <v/>
      </c>
      <c r="BF228" s="105" t="str">
        <f aca="false">IF(ISBLANK(C228),"",IFERROR(_xlfn.SWITCH(BE228, Constants!$B$4, COUNTA($C$8:$C727)+2, Constants!$B$5, COUNTA($C$8:$C727)+1, Constants!$B$6, COUNTA($C$8:$C727)),BE228))</f>
        <v/>
      </c>
      <c r="BG228" s="5"/>
      <c r="BH228" s="106" t="n">
        <f aca="false">IF(OR(ISNUMBER(BE228),BE228="DQ",BE228="P",BE228="NS"),
    1,
    0
)</f>
        <v>0</v>
      </c>
      <c r="BI228" s="106" t="n">
        <v>221</v>
      </c>
      <c r="BJ228" s="106" t="str">
        <f aca="false">IF(ISBLANK($C228),
    "",
   BF228+ROW($B228)/1000
)</f>
        <v/>
      </c>
      <c r="BK228" s="106" t="str">
        <f aca="false">IF(ISNUMBER(BJ228), RANK(BJ228,BJ$8:BJ$507,1), "")</f>
        <v/>
      </c>
      <c r="BL228" s="106" t="str">
        <f aca="false">IF(ISBLANK($C228),
    "",
    $B228
)</f>
        <v/>
      </c>
      <c r="BM228" s="106" t="str">
        <f aca="false">IF(ISBLANK($C228),
    "",
    $C228
)</f>
        <v/>
      </c>
      <c r="BN228" s="106" t="str">
        <f aca="false">IF(ISBLANK($C228),
    "",
    $D228
)</f>
        <v/>
      </c>
      <c r="BO228" s="107" t="str">
        <f aca="false">BC228</f>
        <v/>
      </c>
      <c r="BP228" s="108" t="str">
        <f aca="false">BB228</f>
        <v/>
      </c>
      <c r="BQ228" s="106" t="str">
        <f aca="false">IF(ISBLANK($C228),
    "",
    BE228
)</f>
        <v/>
      </c>
      <c r="BR228" s="109" t="str">
        <f aca="false">IF(BI228&gt;BH$7,
    "",
    VLOOKUP(BI228,BK$8:BQ727,7,FALSE())
)</f>
        <v/>
      </c>
      <c r="BS228" s="110" t="str">
        <f aca="false">IF(BI228&gt;BH$7,
    "",
    VLOOKUP(BI228,BK$8:BQ727,2,FALSE())
)</f>
        <v/>
      </c>
      <c r="BT228" s="110" t="str">
        <f aca="false">IF(BI228&gt;BH$7,
    "",
    VLOOKUP(BI228,BK$8:BQ727,3,FALSE())
)</f>
        <v/>
      </c>
      <c r="BU228" s="110" t="str">
        <f aca="false">IF(BI228&gt;BH$7,
    "",
    VLOOKUP(BI228,BK$8:BQ727,4,FALSE())
)</f>
        <v/>
      </c>
      <c r="BV228" s="110" t="str">
        <f aca="false">IF(BI228&gt;BH$7,
    "",
    VLOOKUP(BI228,BK$8:BQ727,5,FALSE())
)</f>
        <v/>
      </c>
      <c r="BW228" s="111" t="str">
        <f aca="false">IF(BI228&gt;BH$7,
    "",
    VLOOKUP(BI228,BK$8:BQ727,6,FALSE())
)</f>
        <v/>
      </c>
      <c r="BX228" s="50"/>
    </row>
    <row r="229" customFormat="false" ht="15.75" hidden="false" customHeight="false" outlineLevel="0" collapsed="false">
      <c r="A229" s="5"/>
      <c r="B229" s="122"/>
      <c r="C229" s="123"/>
      <c r="D229" s="112"/>
      <c r="E229" s="116"/>
      <c r="F229" s="116"/>
      <c r="G229" s="88"/>
      <c r="H229" s="89"/>
      <c r="I229" s="125"/>
      <c r="J229" s="125"/>
      <c r="K229" s="125"/>
      <c r="L229" s="91"/>
      <c r="M229" s="91"/>
      <c r="N229" s="91"/>
      <c r="O229" s="92"/>
      <c r="P229" s="93"/>
      <c r="Q229" s="125"/>
      <c r="R229" s="95"/>
      <c r="S229" s="96"/>
      <c r="T229" s="96" t="str">
        <f aca="false">IF(ISBLANK($C229),"",IF(G229=Constants!$B$2, TRUE(), IF(G229=Constants!$B$3, FALSE(), TRUE())))</f>
        <v/>
      </c>
      <c r="U229" s="96" t="str">
        <f aca="false">IF(ISBLANK($C229),"",IF(H229=Constants!$B$2, TRUE(), IF(H229=Constants!$B$3, FALSE(), TRUE())))</f>
        <v/>
      </c>
      <c r="V229" s="96" t="str">
        <f aca="false">IF(ISBLANK($C229),"",IF(I229=Constants!$B$2, TRUE(), IF(I229=Constants!$B$3, FALSE(), TRUE())))</f>
        <v/>
      </c>
      <c r="W229" s="96" t="str">
        <f aca="false">IF(ISBLANK($C229),"",IF(J229=Constants!$B$2, TRUE(), IF(J229=Constants!$B$3, FALSE(), TRUE())))</f>
        <v/>
      </c>
      <c r="X229" s="97" t="str">
        <f aca="false">IF(ISBLANK($C229),"",IF(K229=Constants!$B$2, TRUE(), IF(K229=Constants!$B$3, FALSE(), TRUE())))</f>
        <v/>
      </c>
      <c r="Y229" s="98" t="str">
        <f aca="false">IF(ISBLANK($C229),"",IF(ISNUMBER(L229), L229, ""))</f>
        <v/>
      </c>
      <c r="Z229" s="98" t="str">
        <f aca="false">IF(ISBLANK($C229),"",IF(ISNUMBER(M229), M229, ""))</f>
        <v/>
      </c>
      <c r="AA229" s="98" t="str">
        <f aca="false">IF(ISBLANK($C229),"",IF(ISNUMBER(N229), N229, ""))</f>
        <v/>
      </c>
      <c r="AB229" s="99" t="str">
        <f aca="false">IF(ISBLANK($C229),"",IF(ISNUMBER(O229), O229, ""))</f>
        <v/>
      </c>
      <c r="AC229" s="99" t="str">
        <f aca="false">IF(ISBLANK($C229),"",IF(ISNUMBER(P229), P229, Constants!$B$13))</f>
        <v/>
      </c>
      <c r="AD229" s="96" t="str">
        <f aca="false">IF(ISBLANK($C229),"",IF(Q229=Constants!$B$2, TRUE(), IF(Q229=Constants!$B$3, FALSE(), FALSE())))</f>
        <v/>
      </c>
      <c r="AE229" s="96" t="str">
        <f aca="false">IF(ISBLANK(C229), "", IF(AD229, Constants!$B$4,IF(COUNTA(G229:O229)=0, Constants!$B$5, Constants!$B$7)))</f>
        <v/>
      </c>
      <c r="AF229" s="96" t="str">
        <f aca="false">IF(ISBLANK($C229), "",IF($AE229=Constants!$B$7,1,$AE229))</f>
        <v/>
      </c>
      <c r="AG229" s="96" t="str">
        <f aca="false">IF($AE229=Constants!$B$7,IF(V229, 1, Constants!$B$11) * IF(X229, 1, Constants!$B$12),"")</f>
        <v/>
      </c>
      <c r="AH229" s="96" t="str">
        <f aca="false">IF(AND($AE229=Constants!$B$7, T229, U229) ,MAX(0, $AA229-$Y229),"")</f>
        <v/>
      </c>
      <c r="AI229" s="96" t="str">
        <f aca="false">IF(ISERROR(AH229),$AI$6,"")</f>
        <v/>
      </c>
      <c r="AJ229" s="96" t="str">
        <f aca="false">IF($AE229=Constants!$B$7,IF(AND(T229,U229,W229),IF($AH$6=0,Constants!$B$9,Constants!$B$9*AH229/$AH$6), 0),"")</f>
        <v/>
      </c>
      <c r="AK229" s="96" t="str">
        <f aca="false">IF(AJ229&lt;&gt;"", AJ229*AG229,"")</f>
        <v/>
      </c>
      <c r="AL229" s="96" t="str">
        <f aca="false">IF(AND($AE229=Constants!$B$7, T229, U229) ,IF($Z229="", "", MAX(0,1-ABS($AA229-$Z229)/$AA229)),"")</f>
        <v/>
      </c>
      <c r="AM229" s="96" t="str">
        <f aca="false">IF(AND(NOT(ISERROR(AH229)),ISERROR(AL229)),$AM$6,"")</f>
        <v/>
      </c>
      <c r="AN229" s="96" t="str">
        <f aca="false">IF($AE229=Constants!$B$7 ,IF(AND(T229,U229,W229,ISNUMBER(Z229)),IF($AL$6=0,Constants!$B$10,Constants!$B$10*AL229/$AL$6), 0),"")</f>
        <v/>
      </c>
      <c r="AO229" s="96" t="str">
        <f aca="false">IF(AN229&lt;&gt;"", AN229*AG229,"")</f>
        <v/>
      </c>
      <c r="AP229" s="96" t="str">
        <f aca="false">IF($AE229=Constants!$B$7,IF($AP$6=0,Constants!$B$8,Constants!$B$8*AB229/$AP$6),"")</f>
        <v/>
      </c>
      <c r="AQ229" s="96" t="str">
        <f aca="false">IF($AE229&lt;&gt;Constants!$B$7,$AE229,AK229+AO229+AP229)</f>
        <v/>
      </c>
      <c r="AR229" s="96" t="str">
        <f aca="false">IF(ISBLANK($C229),"",IF($AE229=Constants!$B$7,RANK(AQ229,$AQ$8:$AQ$507),$AE229))</f>
        <v/>
      </c>
      <c r="AS229" s="96" t="str">
        <f aca="false">IF(ISBLANK($C229), "",AK229)</f>
        <v/>
      </c>
      <c r="AT229" s="96" t="str">
        <f aca="false">IF(ISBLANK($C229),"",IF($AE229=Constants!$B$7,RANK(AS229,AS$8:AS$507),$AE229))</f>
        <v/>
      </c>
      <c r="AU229" s="96" t="str">
        <f aca="false">IF(ISBLANK($C229), "",AP229)</f>
        <v/>
      </c>
      <c r="AV229" s="96" t="str">
        <f aca="false">IF(ISBLANK($C229),"",IF($AE229=Constants!$B$7,RANK(AU229,AU$8:AU$507),$AE229))</f>
        <v/>
      </c>
      <c r="AW229" s="96" t="str">
        <f aca="false">IF(ISBLANK($C229), "",AC229)</f>
        <v/>
      </c>
      <c r="AX229" s="96" t="str">
        <f aca="false">IF(ISBLANK($C229),"",
IF($AE229=Constants!$B$7,
  COUNTIFS($AR$8:$AR$507,"&lt;"&amp;$AR229)
  + COUNTIFS($AR$8:$AR$507,$AR229,$AT$8:$AT$507,"&lt;"&amp;$AT229)
  + COUNTIFS($AR$8:$AR$507,$AR229,$AT$8:$AT$507,$AT229,$AV$8:$AV$507,"&lt;"&amp;$AV229)
  + COUNTIFS($AR$8:$AR$507,$AR229,$AT$8:$AT$507,$AT229,$AV$8:$AV$507,$AV229,$AW$8:$AW$507,"&lt;"&amp;$AW229)
  + 1,
$AE229))</f>
        <v/>
      </c>
      <c r="AY229" s="96" t="str">
        <f aca="false">IF(ISBLANK(C229),"",IF($AE229=Constants!$B$7, AR229-AX229,$AE229))</f>
        <v/>
      </c>
      <c r="AZ229" s="100"/>
      <c r="BA229" s="101" t="str">
        <f aca="false">IF(ISBLANK($C229),"",TRIM(AI229&amp;" "&amp;AM229))</f>
        <v/>
      </c>
      <c r="BB229" s="102" t="str">
        <f aca="false">IF(ISBLANK($C229),"",IF($AE229&lt;&gt;Constants!$B$7, $AE229 ,AQ229))</f>
        <v/>
      </c>
      <c r="BC229" s="103" t="str">
        <f aca="false">IF(ISBLANK($C229),"",IF($AE229&lt;&gt;Constants!$B$7, $AE229 ,AF229))</f>
        <v/>
      </c>
      <c r="BD229" s="104" t="str">
        <f aca="false">IF(ISBLANK(C229),"",AY229)</f>
        <v/>
      </c>
      <c r="BE229" s="104" t="str">
        <f aca="false">IF(ISBLANK(C229),"",AX229)</f>
        <v/>
      </c>
      <c r="BF229" s="105" t="str">
        <f aca="false">IF(ISBLANK(C229),"",IFERROR(_xlfn.SWITCH(BE229, Constants!$B$4, COUNTA($C$8:$C728)+2, Constants!$B$5, COUNTA($C$8:$C728)+1, Constants!$B$6, COUNTA($C$8:$C728)),BE229))</f>
        <v/>
      </c>
      <c r="BG229" s="5"/>
      <c r="BH229" s="106" t="n">
        <f aca="false">IF(OR(ISNUMBER(BE229),BE229="DQ",BE229="P",BE229="NS"),
    1,
    0
)</f>
        <v>0</v>
      </c>
      <c r="BI229" s="106" t="n">
        <v>222</v>
      </c>
      <c r="BJ229" s="106" t="str">
        <f aca="false">IF(ISBLANK($C229),
    "",
   BF229+ROW($B229)/1000
)</f>
        <v/>
      </c>
      <c r="BK229" s="106" t="str">
        <f aca="false">IF(ISNUMBER(BJ229), RANK(BJ229,BJ$8:BJ$507,1), "")</f>
        <v/>
      </c>
      <c r="BL229" s="106" t="str">
        <f aca="false">IF(ISBLANK($C229),
    "",
    $B229
)</f>
        <v/>
      </c>
      <c r="BM229" s="106" t="str">
        <f aca="false">IF(ISBLANK($C229),
    "",
    $C229
)</f>
        <v/>
      </c>
      <c r="BN229" s="106" t="str">
        <f aca="false">IF(ISBLANK($C229),
    "",
    $D229
)</f>
        <v/>
      </c>
      <c r="BO229" s="107" t="str">
        <f aca="false">BC229</f>
        <v/>
      </c>
      <c r="BP229" s="108" t="str">
        <f aca="false">BB229</f>
        <v/>
      </c>
      <c r="BQ229" s="106" t="str">
        <f aca="false">IF(ISBLANK($C229),
    "",
    BE229
)</f>
        <v/>
      </c>
      <c r="BR229" s="109" t="str">
        <f aca="false">IF(BI229&gt;BH$7,
    "",
    VLOOKUP(BI229,BK$8:BQ728,7,FALSE())
)</f>
        <v/>
      </c>
      <c r="BS229" s="110" t="str">
        <f aca="false">IF(BI229&gt;BH$7,
    "",
    VLOOKUP(BI229,BK$8:BQ728,2,FALSE())
)</f>
        <v/>
      </c>
      <c r="BT229" s="110" t="str">
        <f aca="false">IF(BI229&gt;BH$7,
    "",
    VLOOKUP(BI229,BK$8:BQ728,3,FALSE())
)</f>
        <v/>
      </c>
      <c r="BU229" s="110" t="str">
        <f aca="false">IF(BI229&gt;BH$7,
    "",
    VLOOKUP(BI229,BK$8:BQ728,4,FALSE())
)</f>
        <v/>
      </c>
      <c r="BV229" s="110" t="str">
        <f aca="false">IF(BI229&gt;BH$7,
    "",
    VLOOKUP(BI229,BK$8:BQ728,5,FALSE())
)</f>
        <v/>
      </c>
      <c r="BW229" s="111" t="str">
        <f aca="false">IF(BI229&gt;BH$7,
    "",
    VLOOKUP(BI229,BK$8:BQ728,6,FALSE())
)</f>
        <v/>
      </c>
      <c r="BX229" s="50"/>
    </row>
    <row r="230" customFormat="false" ht="15.75" hidden="false" customHeight="false" outlineLevel="0" collapsed="false">
      <c r="A230" s="5"/>
      <c r="B230" s="126"/>
      <c r="C230" s="52"/>
      <c r="D230" s="53"/>
      <c r="E230" s="120"/>
      <c r="F230" s="120"/>
      <c r="G230" s="55"/>
      <c r="H230" s="56"/>
      <c r="I230" s="80"/>
      <c r="J230" s="80"/>
      <c r="K230" s="80"/>
      <c r="L230" s="58"/>
      <c r="M230" s="58"/>
      <c r="N230" s="58"/>
      <c r="O230" s="59"/>
      <c r="P230" s="60"/>
      <c r="Q230" s="80"/>
      <c r="R230" s="62"/>
      <c r="S230" s="63"/>
      <c r="T230" s="63" t="str">
        <f aca="false">IF(ISBLANK($C230),"",IF(G230=Constants!$B$2, TRUE(), IF(G230=Constants!$B$3, FALSE(), TRUE())))</f>
        <v/>
      </c>
      <c r="U230" s="63" t="str">
        <f aca="false">IF(ISBLANK($C230),"",IF(H230=Constants!$B$2, TRUE(), IF(H230=Constants!$B$3, FALSE(), TRUE())))</f>
        <v/>
      </c>
      <c r="V230" s="63" t="str">
        <f aca="false">IF(ISBLANK($C230),"",IF(I230=Constants!$B$2, TRUE(), IF(I230=Constants!$B$3, FALSE(), TRUE())))</f>
        <v/>
      </c>
      <c r="W230" s="63" t="str">
        <f aca="false">IF(ISBLANK($C230),"",IF(J230=Constants!$B$2, TRUE(), IF(J230=Constants!$B$3, FALSE(), TRUE())))</f>
        <v/>
      </c>
      <c r="X230" s="63" t="str">
        <f aca="false">IF(ISBLANK($C230),"",IF(K230=Constants!$B$2, TRUE(), IF(K230=Constants!$B$3, FALSE(), TRUE())))</f>
        <v/>
      </c>
      <c r="Y230" s="65" t="str">
        <f aca="false">IF(ISBLANK($C230),"",IF(ISNUMBER(L230), L230, ""))</f>
        <v/>
      </c>
      <c r="Z230" s="65" t="str">
        <f aca="false">IF(ISBLANK($C230),"",IF(ISNUMBER(M230), M230, ""))</f>
        <v/>
      </c>
      <c r="AA230" s="65" t="str">
        <f aca="false">IF(ISBLANK($C230),"",IF(ISNUMBER(N230), N230, ""))</f>
        <v/>
      </c>
      <c r="AB230" s="66" t="str">
        <f aca="false">IF(ISBLANK($C230),"",IF(ISNUMBER(O230), O230, ""))</f>
        <v/>
      </c>
      <c r="AC230" s="66" t="str">
        <f aca="false">IF(ISBLANK($C230),"",IF(ISNUMBER(P230), P230, Constants!$B$13))</f>
        <v/>
      </c>
      <c r="AD230" s="63" t="str">
        <f aca="false">IF(ISBLANK($C230),"",IF(Q230=Constants!$B$2, TRUE(), IF(Q230=Constants!$B$3, FALSE(), FALSE())))</f>
        <v/>
      </c>
      <c r="AE230" s="63" t="str">
        <f aca="false">IF(ISBLANK(C230), "", IF(AD230, Constants!$B$4,IF(COUNTA(G230:O230)=0, Constants!$B$5, Constants!$B$7)))</f>
        <v/>
      </c>
      <c r="AF230" s="63" t="str">
        <f aca="false">IF(ISBLANK($C230), "",IF($AE230=Constants!$B$7,1,$AE230))</f>
        <v/>
      </c>
      <c r="AG230" s="63" t="str">
        <f aca="false">IF($AE230=Constants!$B$7,IF(V230, 1, Constants!$B$11) * IF(X230, 1, Constants!$B$12),"")</f>
        <v/>
      </c>
      <c r="AH230" s="63" t="str">
        <f aca="false">IF(AND($AE230=Constants!$B$7, T230, U230) ,MAX(0, $AA230-$Y230),"")</f>
        <v/>
      </c>
      <c r="AI230" s="63" t="str">
        <f aca="false">IF(ISERROR(AH230),$AI$6,"")</f>
        <v/>
      </c>
      <c r="AJ230" s="63" t="str">
        <f aca="false">IF($AE230=Constants!$B$7,IF(AND(T230,U230,W230),IF($AH$6=0,Constants!$B$9,Constants!$B$9*AH230/$AH$6), 0),"")</f>
        <v/>
      </c>
      <c r="AK230" s="63" t="str">
        <f aca="false">IF(AJ230&lt;&gt;"", AJ230*AG230,"")</f>
        <v/>
      </c>
      <c r="AL230" s="63" t="str">
        <f aca="false">IF(AND($AE230=Constants!$B$7, T230, U230) ,IF($Z230="", "", MAX(0,1-ABS($AA230-$Z230)/$AA230)),"")</f>
        <v/>
      </c>
      <c r="AM230" s="63" t="str">
        <f aca="false">IF(AND(NOT(ISERROR(AH230)),ISERROR(AL230)),$AM$6,"")</f>
        <v/>
      </c>
      <c r="AN230" s="63" t="str">
        <f aca="false">IF($AE230=Constants!$B$7 ,IF(AND(T230,U230,W230,ISNUMBER(Z230)),IF($AL$6=0,Constants!$B$10,Constants!$B$10*AL230/$AL$6), 0),"")</f>
        <v/>
      </c>
      <c r="AO230" s="63" t="str">
        <f aca="false">IF(AN230&lt;&gt;"", AN230*AG230,"")</f>
        <v/>
      </c>
      <c r="AP230" s="63" t="str">
        <f aca="false">IF($AE230=Constants!$B$7,IF($AP$6=0,Constants!$B$8,Constants!$B$8*AB230/$AP$6),"")</f>
        <v/>
      </c>
      <c r="AQ230" s="63" t="str">
        <f aca="false">IF($AE230&lt;&gt;Constants!$B$7,$AE230,AK230+AO230+AP230)</f>
        <v/>
      </c>
      <c r="AR230" s="63" t="str">
        <f aca="false">IF(ISBLANK($C230),"",IF($AE230=Constants!$B$7,RANK(AQ230,$AQ$8:$AQ$507),$AE230))</f>
        <v/>
      </c>
      <c r="AS230" s="63" t="str">
        <f aca="false">IF(ISBLANK($C230), "",AK230)</f>
        <v/>
      </c>
      <c r="AT230" s="63" t="str">
        <f aca="false">IF(ISBLANK($C230),"",IF($AE230=Constants!$B$7,RANK(AS230,AS$8:AS$507),$AE230))</f>
        <v/>
      </c>
      <c r="AU230" s="63" t="str">
        <f aca="false">IF(ISBLANK($C230), "",AP230)</f>
        <v/>
      </c>
      <c r="AV230" s="63" t="str">
        <f aca="false">IF(ISBLANK($C230),"",IF($AE230=Constants!$B$7,RANK(AU230,AU$8:AU$507),$AE230))</f>
        <v/>
      </c>
      <c r="AW230" s="63" t="str">
        <f aca="false">IF(ISBLANK($C230), "",AC230)</f>
        <v/>
      </c>
      <c r="AX230" s="63" t="str">
        <f aca="false">IF(ISBLANK($C230),"",
IF($AE230=Constants!$B$7,
  COUNTIFS($AR$8:$AR$507,"&lt;"&amp;$AR230)
  + COUNTIFS($AR$8:$AR$507,$AR230,$AT$8:$AT$507,"&lt;"&amp;$AT230)
  + COUNTIFS($AR$8:$AR$507,$AR230,$AT$8:$AT$507,$AT230,$AV$8:$AV$507,"&lt;"&amp;$AV230)
  + COUNTIFS($AR$8:$AR$507,$AR230,$AT$8:$AT$507,$AT230,$AV$8:$AV$507,$AV230,$AW$8:$AW$507,"&lt;"&amp;$AW230)
  + 1,
$AE230))</f>
        <v/>
      </c>
      <c r="AY230" s="63" t="str">
        <f aca="false">IF(ISBLANK(C230),"",IF($AE230=Constants!$B$7, AR230-AX230,$AE230))</f>
        <v/>
      </c>
      <c r="AZ230" s="67"/>
      <c r="BA230" s="81" t="str">
        <f aca="false">IF(ISBLANK($C230),"",TRIM(AI230&amp;" "&amp;AM230))</f>
        <v/>
      </c>
      <c r="BB230" s="69" t="str">
        <f aca="false">IF(ISBLANK($C230),"",IF($AE230&lt;&gt;Constants!$B$7, $AE230 ,AQ230))</f>
        <v/>
      </c>
      <c r="BC230" s="70" t="str">
        <f aca="false">IF(ISBLANK($C230),"",IF($AE230&lt;&gt;Constants!$B$7, $AE230 ,AF230))</f>
        <v/>
      </c>
      <c r="BD230" s="71" t="str">
        <f aca="false">IF(ISBLANK(C230),"",AY230)</f>
        <v/>
      </c>
      <c r="BE230" s="71" t="str">
        <f aca="false">IF(ISBLANK(C230),"",AX230)</f>
        <v/>
      </c>
      <c r="BF230" s="72" t="str">
        <f aca="false">IF(ISBLANK(C230),"",IFERROR(_xlfn.SWITCH(BE230, Constants!$B$4, COUNTA($C$8:$C729)+2, Constants!$B$5, COUNTA($C$8:$C729)+1, Constants!$B$6, COUNTA($C$8:$C729)),BE230))</f>
        <v/>
      </c>
      <c r="BG230" s="5"/>
      <c r="BH230" s="73" t="n">
        <f aca="false">IF(OR(ISNUMBER(BE230),BE230="DQ",BE230="P",BE230="NS"),
    1,
    0
)</f>
        <v>0</v>
      </c>
      <c r="BI230" s="73" t="n">
        <v>223</v>
      </c>
      <c r="BJ230" s="73" t="str">
        <f aca="false">IF(ISBLANK($C230),
    "",
   BF230+ROW($B230)/1000
)</f>
        <v/>
      </c>
      <c r="BK230" s="73" t="str">
        <f aca="false">IF(ISNUMBER(BJ230), RANK(BJ230,BJ$8:BJ$507,1), "")</f>
        <v/>
      </c>
      <c r="BL230" s="73" t="str">
        <f aca="false">IF(ISBLANK($C230),
    "",
    $B230
)</f>
        <v/>
      </c>
      <c r="BM230" s="73" t="str">
        <f aca="false">IF(ISBLANK($C230),
    "",
    $C230
)</f>
        <v/>
      </c>
      <c r="BN230" s="73" t="str">
        <f aca="false">IF(ISBLANK($C230),
    "",
    $D230
)</f>
        <v/>
      </c>
      <c r="BO230" s="74" t="str">
        <f aca="false">BC230</f>
        <v/>
      </c>
      <c r="BP230" s="75" t="str">
        <f aca="false">BB230</f>
        <v/>
      </c>
      <c r="BQ230" s="73" t="str">
        <f aca="false">IF(ISBLANK($C230),
    "",
    BE230
)</f>
        <v/>
      </c>
      <c r="BR230" s="76" t="str">
        <f aca="false">IF(BI230&gt;BH$7,
    "",
    VLOOKUP(BI230,BK$8:BQ729,7,FALSE())
)</f>
        <v/>
      </c>
      <c r="BS230" s="77" t="str">
        <f aca="false">IF(BI230&gt;BH$7,
    "",
    VLOOKUP(BI230,BK$8:BQ729,2,FALSE())
)</f>
        <v/>
      </c>
      <c r="BT230" s="77" t="str">
        <f aca="false">IF(BI230&gt;BH$7,
    "",
    VLOOKUP(BI230,BK$8:BQ729,3,FALSE())
)</f>
        <v/>
      </c>
      <c r="BU230" s="77" t="str">
        <f aca="false">IF(BI230&gt;BH$7,
    "",
    VLOOKUP(BI230,BK$8:BQ729,4,FALSE())
)</f>
        <v/>
      </c>
      <c r="BV230" s="77" t="str">
        <f aca="false">IF(BI230&gt;BH$7,
    "",
    VLOOKUP(BI230,BK$8:BQ729,5,FALSE())
)</f>
        <v/>
      </c>
      <c r="BW230" s="78" t="str">
        <f aca="false">IF(BI230&gt;BH$7,
    "",
    VLOOKUP(BI230,BK$8:BQ729,6,FALSE())
)</f>
        <v/>
      </c>
      <c r="BX230" s="50"/>
    </row>
    <row r="231" customFormat="false" ht="15.75" hidden="false" customHeight="false" outlineLevel="0" collapsed="false">
      <c r="A231" s="5"/>
      <c r="B231" s="126"/>
      <c r="C231" s="52"/>
      <c r="D231" s="53"/>
      <c r="E231" s="120"/>
      <c r="F231" s="120"/>
      <c r="G231" s="55"/>
      <c r="H231" s="56"/>
      <c r="I231" s="80"/>
      <c r="J231" s="80"/>
      <c r="K231" s="80"/>
      <c r="L231" s="58"/>
      <c r="M231" s="58"/>
      <c r="N231" s="58"/>
      <c r="O231" s="59"/>
      <c r="P231" s="60"/>
      <c r="Q231" s="80"/>
      <c r="R231" s="62"/>
      <c r="S231" s="63"/>
      <c r="T231" s="63" t="str">
        <f aca="false">IF(ISBLANK($C231),"",IF(G231=Constants!$B$2, TRUE(), IF(G231=Constants!$B$3, FALSE(), TRUE())))</f>
        <v/>
      </c>
      <c r="U231" s="63" t="str">
        <f aca="false">IF(ISBLANK($C231),"",IF(H231=Constants!$B$2, TRUE(), IF(H231=Constants!$B$3, FALSE(), TRUE())))</f>
        <v/>
      </c>
      <c r="V231" s="63" t="str">
        <f aca="false">IF(ISBLANK($C231),"",IF(I231=Constants!$B$2, TRUE(), IF(I231=Constants!$B$3, FALSE(), TRUE())))</f>
        <v/>
      </c>
      <c r="W231" s="63" t="str">
        <f aca="false">IF(ISBLANK($C231),"",IF(J231=Constants!$B$2, TRUE(), IF(J231=Constants!$B$3, FALSE(), TRUE())))</f>
        <v/>
      </c>
      <c r="X231" s="63" t="str">
        <f aca="false">IF(ISBLANK($C231),"",IF(K231=Constants!$B$2, TRUE(), IF(K231=Constants!$B$3, FALSE(), TRUE())))</f>
        <v/>
      </c>
      <c r="Y231" s="65" t="str">
        <f aca="false">IF(ISBLANK($C231),"",IF(ISNUMBER(L231), L231, ""))</f>
        <v/>
      </c>
      <c r="Z231" s="65" t="str">
        <f aca="false">IF(ISBLANK($C231),"",IF(ISNUMBER(M231), M231, ""))</f>
        <v/>
      </c>
      <c r="AA231" s="65" t="str">
        <f aca="false">IF(ISBLANK($C231),"",IF(ISNUMBER(N231), N231, ""))</f>
        <v/>
      </c>
      <c r="AB231" s="66" t="str">
        <f aca="false">IF(ISBLANK($C231),"",IF(ISNUMBER(O231), O231, ""))</f>
        <v/>
      </c>
      <c r="AC231" s="66" t="str">
        <f aca="false">IF(ISBLANK($C231),"",IF(ISNUMBER(P231), P231, Constants!$B$13))</f>
        <v/>
      </c>
      <c r="AD231" s="63" t="str">
        <f aca="false">IF(ISBLANK($C231),"",IF(Q231=Constants!$B$2, TRUE(), IF(Q231=Constants!$B$3, FALSE(), FALSE())))</f>
        <v/>
      </c>
      <c r="AE231" s="63" t="str">
        <f aca="false">IF(ISBLANK(C231), "", IF(AD231, Constants!$B$4,IF(COUNTA(G231:O231)=0, Constants!$B$5, Constants!$B$7)))</f>
        <v/>
      </c>
      <c r="AF231" s="63" t="str">
        <f aca="false">IF(ISBLANK($C231), "",IF($AE231=Constants!$B$7,1,$AE231))</f>
        <v/>
      </c>
      <c r="AG231" s="63" t="str">
        <f aca="false">IF($AE231=Constants!$B$7,IF(V231, 1, Constants!$B$11) * IF(X231, 1, Constants!$B$12),"")</f>
        <v/>
      </c>
      <c r="AH231" s="63" t="str">
        <f aca="false">IF(AND($AE231=Constants!$B$7, T231, U231) ,MAX(0, $AA231-$Y231),"")</f>
        <v/>
      </c>
      <c r="AI231" s="63" t="str">
        <f aca="false">IF(ISERROR(AH231),$AI$6,"")</f>
        <v/>
      </c>
      <c r="AJ231" s="63" t="str">
        <f aca="false">IF($AE231=Constants!$B$7,IF(AND(T231,U231,W231),IF($AH$6=0,Constants!$B$9,Constants!$B$9*AH231/$AH$6), 0),"")</f>
        <v/>
      </c>
      <c r="AK231" s="63" t="str">
        <f aca="false">IF(AJ231&lt;&gt;"", AJ231*AG231,"")</f>
        <v/>
      </c>
      <c r="AL231" s="63" t="str">
        <f aca="false">IF(AND($AE231=Constants!$B$7, T231, U231) ,IF($Z231="", "", MAX(0,1-ABS($AA231-$Z231)/$AA231)),"")</f>
        <v/>
      </c>
      <c r="AM231" s="63" t="str">
        <f aca="false">IF(AND(NOT(ISERROR(AH231)),ISERROR(AL231)),$AM$6,"")</f>
        <v/>
      </c>
      <c r="AN231" s="63" t="str">
        <f aca="false">IF($AE231=Constants!$B$7 ,IF(AND(T231,U231,W231,ISNUMBER(Z231)),IF($AL$6=0,Constants!$B$10,Constants!$B$10*AL231/$AL$6), 0),"")</f>
        <v/>
      </c>
      <c r="AO231" s="63" t="str">
        <f aca="false">IF(AN231&lt;&gt;"", AN231*AG231,"")</f>
        <v/>
      </c>
      <c r="AP231" s="63" t="str">
        <f aca="false">IF($AE231=Constants!$B$7,IF($AP$6=0,Constants!$B$8,Constants!$B$8*AB231/$AP$6),"")</f>
        <v/>
      </c>
      <c r="AQ231" s="63" t="str">
        <f aca="false">IF($AE231&lt;&gt;Constants!$B$7,$AE231,AK231+AO231+AP231)</f>
        <v/>
      </c>
      <c r="AR231" s="63" t="str">
        <f aca="false">IF(ISBLANK($C231),"",IF($AE231=Constants!$B$7,RANK(AQ231,$AQ$8:$AQ$507),$AE231))</f>
        <v/>
      </c>
      <c r="AS231" s="63" t="str">
        <f aca="false">IF(ISBLANK($C231), "",AK231)</f>
        <v/>
      </c>
      <c r="AT231" s="63" t="str">
        <f aca="false">IF(ISBLANK($C231),"",IF($AE231=Constants!$B$7,RANK(AS231,AS$8:AS$507),$AE231))</f>
        <v/>
      </c>
      <c r="AU231" s="63" t="str">
        <f aca="false">IF(ISBLANK($C231), "",AP231)</f>
        <v/>
      </c>
      <c r="AV231" s="63" t="str">
        <f aca="false">IF(ISBLANK($C231),"",IF($AE231=Constants!$B$7,RANK(AU231,AU$8:AU$507),$AE231))</f>
        <v/>
      </c>
      <c r="AW231" s="63" t="str">
        <f aca="false">IF(ISBLANK($C231), "",AC231)</f>
        <v/>
      </c>
      <c r="AX231" s="63" t="str">
        <f aca="false">IF(ISBLANK($C231),"",
IF($AE231=Constants!$B$7,
  COUNTIFS($AR$8:$AR$507,"&lt;"&amp;$AR231)
  + COUNTIFS($AR$8:$AR$507,$AR231,$AT$8:$AT$507,"&lt;"&amp;$AT231)
  + COUNTIFS($AR$8:$AR$507,$AR231,$AT$8:$AT$507,$AT231,$AV$8:$AV$507,"&lt;"&amp;$AV231)
  + COUNTIFS($AR$8:$AR$507,$AR231,$AT$8:$AT$507,$AT231,$AV$8:$AV$507,$AV231,$AW$8:$AW$507,"&lt;"&amp;$AW231)
  + 1,
$AE231))</f>
        <v/>
      </c>
      <c r="AY231" s="63" t="str">
        <f aca="false">IF(ISBLANK(C231),"",IF($AE231=Constants!$B$7, AR231-AX231,$AE231))</f>
        <v/>
      </c>
      <c r="AZ231" s="67"/>
      <c r="BA231" s="81" t="str">
        <f aca="false">IF(ISBLANK($C231),"",TRIM(AI231&amp;" "&amp;AM231))</f>
        <v/>
      </c>
      <c r="BB231" s="69" t="str">
        <f aca="false">IF(ISBLANK($C231),"",IF($AE231&lt;&gt;Constants!$B$7, $AE231 ,AQ231))</f>
        <v/>
      </c>
      <c r="BC231" s="70" t="str">
        <f aca="false">IF(ISBLANK($C231),"",IF($AE231&lt;&gt;Constants!$B$7, $AE231 ,AF231))</f>
        <v/>
      </c>
      <c r="BD231" s="71" t="str">
        <f aca="false">IF(ISBLANK(C231),"",AY231)</f>
        <v/>
      </c>
      <c r="BE231" s="71" t="str">
        <f aca="false">IF(ISBLANK(C231),"",AX231)</f>
        <v/>
      </c>
      <c r="BF231" s="72" t="str">
        <f aca="false">IF(ISBLANK(C231),"",IFERROR(_xlfn.SWITCH(BE231, Constants!$B$4, COUNTA($C$8:$C730)+2, Constants!$B$5, COUNTA($C$8:$C730)+1, Constants!$B$6, COUNTA($C$8:$C730)),BE231))</f>
        <v/>
      </c>
      <c r="BG231" s="5"/>
      <c r="BH231" s="73" t="n">
        <f aca="false">IF(OR(ISNUMBER(BE231),BE231="DQ",BE231="P",BE231="NS"),
    1,
    0
)</f>
        <v>0</v>
      </c>
      <c r="BI231" s="73" t="n">
        <v>224</v>
      </c>
      <c r="BJ231" s="73" t="str">
        <f aca="false">IF(ISBLANK($C231),
    "",
   BF231+ROW($B231)/1000
)</f>
        <v/>
      </c>
      <c r="BK231" s="73" t="str">
        <f aca="false">IF(ISNUMBER(BJ231), RANK(BJ231,BJ$8:BJ$507,1), "")</f>
        <v/>
      </c>
      <c r="BL231" s="73" t="str">
        <f aca="false">IF(ISBLANK($C231),
    "",
    $B231
)</f>
        <v/>
      </c>
      <c r="BM231" s="73" t="str">
        <f aca="false">IF(ISBLANK($C231),
    "",
    $C231
)</f>
        <v/>
      </c>
      <c r="BN231" s="73" t="str">
        <f aca="false">IF(ISBLANK($C231),
    "",
    $D231
)</f>
        <v/>
      </c>
      <c r="BO231" s="74" t="str">
        <f aca="false">BC231</f>
        <v/>
      </c>
      <c r="BP231" s="75" t="str">
        <f aca="false">BB231</f>
        <v/>
      </c>
      <c r="BQ231" s="73" t="str">
        <f aca="false">IF(ISBLANK($C231),
    "",
    BE231
)</f>
        <v/>
      </c>
      <c r="BR231" s="76" t="str">
        <f aca="false">IF(BI231&gt;BH$7,
    "",
    VLOOKUP(BI231,BK$8:BQ730,7,FALSE())
)</f>
        <v/>
      </c>
      <c r="BS231" s="77" t="str">
        <f aca="false">IF(BI231&gt;BH$7,
    "",
    VLOOKUP(BI231,BK$8:BQ730,2,FALSE())
)</f>
        <v/>
      </c>
      <c r="BT231" s="77" t="str">
        <f aca="false">IF(BI231&gt;BH$7,
    "",
    VLOOKUP(BI231,BK$8:BQ730,3,FALSE())
)</f>
        <v/>
      </c>
      <c r="BU231" s="77" t="str">
        <f aca="false">IF(BI231&gt;BH$7,
    "",
    VLOOKUP(BI231,BK$8:BQ730,4,FALSE())
)</f>
        <v/>
      </c>
      <c r="BV231" s="77" t="str">
        <f aca="false">IF(BI231&gt;BH$7,
    "",
    VLOOKUP(BI231,BK$8:BQ730,5,FALSE())
)</f>
        <v/>
      </c>
      <c r="BW231" s="78" t="str">
        <f aca="false">IF(BI231&gt;BH$7,
    "",
    VLOOKUP(BI231,BK$8:BQ730,6,FALSE())
)</f>
        <v/>
      </c>
      <c r="BX231" s="50"/>
    </row>
    <row r="232" customFormat="false" ht="15.75" hidden="false" customHeight="false" outlineLevel="0" collapsed="false">
      <c r="A232" s="5"/>
      <c r="B232" s="126"/>
      <c r="C232" s="52"/>
      <c r="D232" s="53"/>
      <c r="E232" s="120"/>
      <c r="F232" s="120"/>
      <c r="G232" s="55"/>
      <c r="H232" s="56"/>
      <c r="I232" s="80"/>
      <c r="J232" s="80"/>
      <c r="K232" s="80"/>
      <c r="L232" s="58"/>
      <c r="M232" s="58"/>
      <c r="N232" s="58"/>
      <c r="O232" s="59"/>
      <c r="P232" s="60"/>
      <c r="Q232" s="80"/>
      <c r="R232" s="62"/>
      <c r="S232" s="63"/>
      <c r="T232" s="63" t="str">
        <f aca="false">IF(ISBLANK($C232),"",IF(G232=Constants!$B$2, TRUE(), IF(G232=Constants!$B$3, FALSE(), TRUE())))</f>
        <v/>
      </c>
      <c r="U232" s="63" t="str">
        <f aca="false">IF(ISBLANK($C232),"",IF(H232=Constants!$B$2, TRUE(), IF(H232=Constants!$B$3, FALSE(), TRUE())))</f>
        <v/>
      </c>
      <c r="V232" s="63" t="str">
        <f aca="false">IF(ISBLANK($C232),"",IF(I232=Constants!$B$2, TRUE(), IF(I232=Constants!$B$3, FALSE(), TRUE())))</f>
        <v/>
      </c>
      <c r="W232" s="63" t="str">
        <f aca="false">IF(ISBLANK($C232),"",IF(J232=Constants!$B$2, TRUE(), IF(J232=Constants!$B$3, FALSE(), TRUE())))</f>
        <v/>
      </c>
      <c r="X232" s="63" t="str">
        <f aca="false">IF(ISBLANK($C232),"",IF(K232=Constants!$B$2, TRUE(), IF(K232=Constants!$B$3, FALSE(), TRUE())))</f>
        <v/>
      </c>
      <c r="Y232" s="65" t="str">
        <f aca="false">IF(ISBLANK($C232),"",IF(ISNUMBER(L232), L232, ""))</f>
        <v/>
      </c>
      <c r="Z232" s="65" t="str">
        <f aca="false">IF(ISBLANK($C232),"",IF(ISNUMBER(M232), M232, ""))</f>
        <v/>
      </c>
      <c r="AA232" s="65" t="str">
        <f aca="false">IF(ISBLANK($C232),"",IF(ISNUMBER(N232), N232, ""))</f>
        <v/>
      </c>
      <c r="AB232" s="66" t="str">
        <f aca="false">IF(ISBLANK($C232),"",IF(ISNUMBER(O232), O232, ""))</f>
        <v/>
      </c>
      <c r="AC232" s="66" t="str">
        <f aca="false">IF(ISBLANK($C232),"",IF(ISNUMBER(P232), P232, Constants!$B$13))</f>
        <v/>
      </c>
      <c r="AD232" s="63" t="str">
        <f aca="false">IF(ISBLANK($C232),"",IF(Q232=Constants!$B$2, TRUE(), IF(Q232=Constants!$B$3, FALSE(), FALSE())))</f>
        <v/>
      </c>
      <c r="AE232" s="63" t="str">
        <f aca="false">IF(ISBLANK(C232), "", IF(AD232, Constants!$B$4,IF(COUNTA(G232:O232)=0, Constants!$B$5, Constants!$B$7)))</f>
        <v/>
      </c>
      <c r="AF232" s="63" t="str">
        <f aca="false">IF(ISBLANK($C232), "",IF($AE232=Constants!$B$7,1,$AE232))</f>
        <v/>
      </c>
      <c r="AG232" s="63" t="str">
        <f aca="false">IF($AE232=Constants!$B$7,IF(V232, 1, Constants!$B$11) * IF(X232, 1, Constants!$B$12),"")</f>
        <v/>
      </c>
      <c r="AH232" s="63" t="str">
        <f aca="false">IF(AND($AE232=Constants!$B$7, T232, U232) ,MAX(0, $AA232-$Y232),"")</f>
        <v/>
      </c>
      <c r="AI232" s="63" t="str">
        <f aca="false">IF(ISERROR(AH232),$AI$6,"")</f>
        <v/>
      </c>
      <c r="AJ232" s="63" t="str">
        <f aca="false">IF($AE232=Constants!$B$7,IF(AND(T232,U232,W232),IF($AH$6=0,Constants!$B$9,Constants!$B$9*AH232/$AH$6), 0),"")</f>
        <v/>
      </c>
      <c r="AK232" s="63" t="str">
        <f aca="false">IF(AJ232&lt;&gt;"", AJ232*AG232,"")</f>
        <v/>
      </c>
      <c r="AL232" s="63" t="str">
        <f aca="false">IF(AND($AE232=Constants!$B$7, T232, U232) ,IF($Z232="", "", MAX(0,1-ABS($AA232-$Z232)/$AA232)),"")</f>
        <v/>
      </c>
      <c r="AM232" s="63" t="str">
        <f aca="false">IF(AND(NOT(ISERROR(AH232)),ISERROR(AL232)),$AM$6,"")</f>
        <v/>
      </c>
      <c r="AN232" s="63" t="str">
        <f aca="false">IF($AE232=Constants!$B$7 ,IF(AND(T232,U232,W232,ISNUMBER(Z232)),IF($AL$6=0,Constants!$B$10,Constants!$B$10*AL232/$AL$6), 0),"")</f>
        <v/>
      </c>
      <c r="AO232" s="63" t="str">
        <f aca="false">IF(AN232&lt;&gt;"", AN232*AG232,"")</f>
        <v/>
      </c>
      <c r="AP232" s="63" t="str">
        <f aca="false">IF($AE232=Constants!$B$7,IF($AP$6=0,Constants!$B$8,Constants!$B$8*AB232/$AP$6),"")</f>
        <v/>
      </c>
      <c r="AQ232" s="63" t="str">
        <f aca="false">IF($AE232&lt;&gt;Constants!$B$7,$AE232,AK232+AO232+AP232)</f>
        <v/>
      </c>
      <c r="AR232" s="63" t="str">
        <f aca="false">IF(ISBLANK($C232),"",IF($AE232=Constants!$B$7,RANK(AQ232,$AQ$8:$AQ$507),$AE232))</f>
        <v/>
      </c>
      <c r="AS232" s="63" t="str">
        <f aca="false">IF(ISBLANK($C232), "",AK232)</f>
        <v/>
      </c>
      <c r="AT232" s="63" t="str">
        <f aca="false">IF(ISBLANK($C232),"",IF($AE232=Constants!$B$7,RANK(AS232,AS$8:AS$507),$AE232))</f>
        <v/>
      </c>
      <c r="AU232" s="63" t="str">
        <f aca="false">IF(ISBLANK($C232), "",AP232)</f>
        <v/>
      </c>
      <c r="AV232" s="63" t="str">
        <f aca="false">IF(ISBLANK($C232),"",IF($AE232=Constants!$B$7,RANK(AU232,AU$8:AU$507),$AE232))</f>
        <v/>
      </c>
      <c r="AW232" s="63" t="str">
        <f aca="false">IF(ISBLANK($C232), "",AC232)</f>
        <v/>
      </c>
      <c r="AX232" s="63" t="str">
        <f aca="false">IF(ISBLANK($C232),"",
IF($AE232=Constants!$B$7,
  COUNTIFS($AR$8:$AR$507,"&lt;"&amp;$AR232)
  + COUNTIFS($AR$8:$AR$507,$AR232,$AT$8:$AT$507,"&lt;"&amp;$AT232)
  + COUNTIFS($AR$8:$AR$507,$AR232,$AT$8:$AT$507,$AT232,$AV$8:$AV$507,"&lt;"&amp;$AV232)
  + COUNTIFS($AR$8:$AR$507,$AR232,$AT$8:$AT$507,$AT232,$AV$8:$AV$507,$AV232,$AW$8:$AW$507,"&lt;"&amp;$AW232)
  + 1,
$AE232))</f>
        <v/>
      </c>
      <c r="AY232" s="63" t="str">
        <f aca="false">IF(ISBLANK(C232),"",IF($AE232=Constants!$B$7, AR232-AX232,$AE232))</f>
        <v/>
      </c>
      <c r="AZ232" s="67"/>
      <c r="BA232" s="81" t="str">
        <f aca="false">IF(ISBLANK($C232),"",TRIM(AI232&amp;" "&amp;AM232))</f>
        <v/>
      </c>
      <c r="BB232" s="69" t="str">
        <f aca="false">IF(ISBLANK($C232),"",IF($AE232&lt;&gt;Constants!$B$7, $AE232 ,AQ232))</f>
        <v/>
      </c>
      <c r="BC232" s="70" t="str">
        <f aca="false">IF(ISBLANK($C232),"",IF($AE232&lt;&gt;Constants!$B$7, $AE232 ,AF232))</f>
        <v/>
      </c>
      <c r="BD232" s="71" t="str">
        <f aca="false">IF(ISBLANK(C232),"",AY232)</f>
        <v/>
      </c>
      <c r="BE232" s="71" t="str">
        <f aca="false">IF(ISBLANK(C232),"",AX232)</f>
        <v/>
      </c>
      <c r="BF232" s="72" t="str">
        <f aca="false">IF(ISBLANK(C232),"",IFERROR(_xlfn.SWITCH(BE232, Constants!$B$4, COUNTA($C$8:$C731)+2, Constants!$B$5, COUNTA($C$8:$C731)+1, Constants!$B$6, COUNTA($C$8:$C731)),BE232))</f>
        <v/>
      </c>
      <c r="BG232" s="5"/>
      <c r="BH232" s="73" t="n">
        <f aca="false">IF(OR(ISNUMBER(BE232),BE232="DQ",BE232="P",BE232="NS"),
    1,
    0
)</f>
        <v>0</v>
      </c>
      <c r="BI232" s="73" t="n">
        <v>225</v>
      </c>
      <c r="BJ232" s="73" t="str">
        <f aca="false">IF(ISBLANK($C232),
    "",
   BF232+ROW($B232)/1000
)</f>
        <v/>
      </c>
      <c r="BK232" s="73" t="str">
        <f aca="false">IF(ISNUMBER(BJ232), RANK(BJ232,BJ$8:BJ$507,1), "")</f>
        <v/>
      </c>
      <c r="BL232" s="73" t="str">
        <f aca="false">IF(ISBLANK($C232),
    "",
    $B232
)</f>
        <v/>
      </c>
      <c r="BM232" s="73" t="str">
        <f aca="false">IF(ISBLANK($C232),
    "",
    $C232
)</f>
        <v/>
      </c>
      <c r="BN232" s="73" t="str">
        <f aca="false">IF(ISBLANK($C232),
    "",
    $D232
)</f>
        <v/>
      </c>
      <c r="BO232" s="74" t="str">
        <f aca="false">BC232</f>
        <v/>
      </c>
      <c r="BP232" s="75" t="str">
        <f aca="false">BB232</f>
        <v/>
      </c>
      <c r="BQ232" s="73" t="str">
        <f aca="false">IF(ISBLANK($C232),
    "",
    BE232
)</f>
        <v/>
      </c>
      <c r="BR232" s="76" t="str">
        <f aca="false">IF(BI232&gt;BH$7,
    "",
    VLOOKUP(BI232,BK$8:BQ731,7,FALSE())
)</f>
        <v/>
      </c>
      <c r="BS232" s="77" t="str">
        <f aca="false">IF(BI232&gt;BH$7,
    "",
    VLOOKUP(BI232,BK$8:BQ731,2,FALSE())
)</f>
        <v/>
      </c>
      <c r="BT232" s="77" t="str">
        <f aca="false">IF(BI232&gt;BH$7,
    "",
    VLOOKUP(BI232,BK$8:BQ731,3,FALSE())
)</f>
        <v/>
      </c>
      <c r="BU232" s="77" t="str">
        <f aca="false">IF(BI232&gt;BH$7,
    "",
    VLOOKUP(BI232,BK$8:BQ731,4,FALSE())
)</f>
        <v/>
      </c>
      <c r="BV232" s="77" t="str">
        <f aca="false">IF(BI232&gt;BH$7,
    "",
    VLOOKUP(BI232,BK$8:BQ731,5,FALSE())
)</f>
        <v/>
      </c>
      <c r="BW232" s="78" t="str">
        <f aca="false">IF(BI232&gt;BH$7,
    "",
    VLOOKUP(BI232,BK$8:BQ731,6,FALSE())
)</f>
        <v/>
      </c>
      <c r="BX232" s="50"/>
    </row>
    <row r="233" customFormat="false" ht="15.75" hidden="false" customHeight="false" outlineLevel="0" collapsed="false">
      <c r="A233" s="5"/>
      <c r="B233" s="122"/>
      <c r="C233" s="123"/>
      <c r="D233" s="112"/>
      <c r="E233" s="116"/>
      <c r="F233" s="116"/>
      <c r="G233" s="88"/>
      <c r="H233" s="89"/>
      <c r="I233" s="125"/>
      <c r="J233" s="125"/>
      <c r="K233" s="125"/>
      <c r="L233" s="91"/>
      <c r="M233" s="91"/>
      <c r="N233" s="91"/>
      <c r="O233" s="92"/>
      <c r="P233" s="93"/>
      <c r="Q233" s="125"/>
      <c r="R233" s="95"/>
      <c r="S233" s="96"/>
      <c r="T233" s="96" t="str">
        <f aca="false">IF(ISBLANK($C233),"",IF(G233=Constants!$B$2, TRUE(), IF(G233=Constants!$B$3, FALSE(), TRUE())))</f>
        <v/>
      </c>
      <c r="U233" s="96" t="str">
        <f aca="false">IF(ISBLANK($C233),"",IF(H233=Constants!$B$2, TRUE(), IF(H233=Constants!$B$3, FALSE(), TRUE())))</f>
        <v/>
      </c>
      <c r="V233" s="96" t="str">
        <f aca="false">IF(ISBLANK($C233),"",IF(I233=Constants!$B$2, TRUE(), IF(I233=Constants!$B$3, FALSE(), TRUE())))</f>
        <v/>
      </c>
      <c r="W233" s="96" t="str">
        <f aca="false">IF(ISBLANK($C233),"",IF(J233=Constants!$B$2, TRUE(), IF(J233=Constants!$B$3, FALSE(), TRUE())))</f>
        <v/>
      </c>
      <c r="X233" s="97" t="str">
        <f aca="false">IF(ISBLANK($C233),"",IF(K233=Constants!$B$2, TRUE(), IF(K233=Constants!$B$3, FALSE(), TRUE())))</f>
        <v/>
      </c>
      <c r="Y233" s="98" t="str">
        <f aca="false">IF(ISBLANK($C233),"",IF(ISNUMBER(L233), L233, ""))</f>
        <v/>
      </c>
      <c r="Z233" s="98" t="str">
        <f aca="false">IF(ISBLANK($C233),"",IF(ISNUMBER(M233), M233, ""))</f>
        <v/>
      </c>
      <c r="AA233" s="98" t="str">
        <f aca="false">IF(ISBLANK($C233),"",IF(ISNUMBER(N233), N233, ""))</f>
        <v/>
      </c>
      <c r="AB233" s="99" t="str">
        <f aca="false">IF(ISBLANK($C233),"",IF(ISNUMBER(O233), O233, ""))</f>
        <v/>
      </c>
      <c r="AC233" s="99" t="str">
        <f aca="false">IF(ISBLANK($C233),"",IF(ISNUMBER(P233), P233, Constants!$B$13))</f>
        <v/>
      </c>
      <c r="AD233" s="96" t="str">
        <f aca="false">IF(ISBLANK($C233),"",IF(Q233=Constants!$B$2, TRUE(), IF(Q233=Constants!$B$3, FALSE(), FALSE())))</f>
        <v/>
      </c>
      <c r="AE233" s="96" t="str">
        <f aca="false">IF(ISBLANK(C233), "", IF(AD233, Constants!$B$4,IF(COUNTA(G233:O233)=0, Constants!$B$5, Constants!$B$7)))</f>
        <v/>
      </c>
      <c r="AF233" s="96" t="str">
        <f aca="false">IF(ISBLANK($C233), "",IF($AE233=Constants!$B$7,1,$AE233))</f>
        <v/>
      </c>
      <c r="AG233" s="96" t="str">
        <f aca="false">IF($AE233=Constants!$B$7,IF(V233, 1, Constants!$B$11) * IF(X233, 1, Constants!$B$12),"")</f>
        <v/>
      </c>
      <c r="AH233" s="96" t="str">
        <f aca="false">IF(AND($AE233=Constants!$B$7, T233, U233) ,MAX(0, $AA233-$Y233),"")</f>
        <v/>
      </c>
      <c r="AI233" s="96" t="str">
        <f aca="false">IF(ISERROR(AH233),$AI$6,"")</f>
        <v/>
      </c>
      <c r="AJ233" s="96" t="str">
        <f aca="false">IF($AE233=Constants!$B$7,IF(AND(T233,U233,W233),IF($AH$6=0,Constants!$B$9,Constants!$B$9*AH233/$AH$6), 0),"")</f>
        <v/>
      </c>
      <c r="AK233" s="96" t="str">
        <f aca="false">IF(AJ233&lt;&gt;"", AJ233*AG233,"")</f>
        <v/>
      </c>
      <c r="AL233" s="96" t="str">
        <f aca="false">IF(AND($AE233=Constants!$B$7, T233, U233) ,IF($Z233="", "", MAX(0,1-ABS($AA233-$Z233)/$AA233)),"")</f>
        <v/>
      </c>
      <c r="AM233" s="96" t="str">
        <f aca="false">IF(AND(NOT(ISERROR(AH233)),ISERROR(AL233)),$AM$6,"")</f>
        <v/>
      </c>
      <c r="AN233" s="96" t="str">
        <f aca="false">IF($AE233=Constants!$B$7 ,IF(AND(T233,U233,W233,ISNUMBER(Z233)),IF($AL$6=0,Constants!$B$10,Constants!$B$10*AL233/$AL$6), 0),"")</f>
        <v/>
      </c>
      <c r="AO233" s="96" t="str">
        <f aca="false">IF(AN233&lt;&gt;"", AN233*AG233,"")</f>
        <v/>
      </c>
      <c r="AP233" s="96" t="str">
        <f aca="false">IF($AE233=Constants!$B$7,IF($AP$6=0,Constants!$B$8,Constants!$B$8*AB233/$AP$6),"")</f>
        <v/>
      </c>
      <c r="AQ233" s="96" t="str">
        <f aca="false">IF($AE233&lt;&gt;Constants!$B$7,$AE233,AK233+AO233+AP233)</f>
        <v/>
      </c>
      <c r="AR233" s="96" t="str">
        <f aca="false">IF(ISBLANK($C233),"",IF($AE233=Constants!$B$7,RANK(AQ233,$AQ$8:$AQ$507),$AE233))</f>
        <v/>
      </c>
      <c r="AS233" s="96" t="str">
        <f aca="false">IF(ISBLANK($C233), "",AK233)</f>
        <v/>
      </c>
      <c r="AT233" s="96" t="str">
        <f aca="false">IF(ISBLANK($C233),"",IF($AE233=Constants!$B$7,RANK(AS233,AS$8:AS$507),$AE233))</f>
        <v/>
      </c>
      <c r="AU233" s="96" t="str">
        <f aca="false">IF(ISBLANK($C233), "",AP233)</f>
        <v/>
      </c>
      <c r="AV233" s="96" t="str">
        <f aca="false">IF(ISBLANK($C233),"",IF($AE233=Constants!$B$7,RANK(AU233,AU$8:AU$507),$AE233))</f>
        <v/>
      </c>
      <c r="AW233" s="96" t="str">
        <f aca="false">IF(ISBLANK($C233), "",AC233)</f>
        <v/>
      </c>
      <c r="AX233" s="96" t="str">
        <f aca="false">IF(ISBLANK($C233),"",
IF($AE233=Constants!$B$7,
  COUNTIFS($AR$8:$AR$507,"&lt;"&amp;$AR233)
  + COUNTIFS($AR$8:$AR$507,$AR233,$AT$8:$AT$507,"&lt;"&amp;$AT233)
  + COUNTIFS($AR$8:$AR$507,$AR233,$AT$8:$AT$507,$AT233,$AV$8:$AV$507,"&lt;"&amp;$AV233)
  + COUNTIFS($AR$8:$AR$507,$AR233,$AT$8:$AT$507,$AT233,$AV$8:$AV$507,$AV233,$AW$8:$AW$507,"&lt;"&amp;$AW233)
  + 1,
$AE233))</f>
        <v/>
      </c>
      <c r="AY233" s="96" t="str">
        <f aca="false">IF(ISBLANK(C233),"",IF($AE233=Constants!$B$7, AR233-AX233,$AE233))</f>
        <v/>
      </c>
      <c r="AZ233" s="100"/>
      <c r="BA233" s="101" t="str">
        <f aca="false">IF(ISBLANK($C233),"",TRIM(AI233&amp;" "&amp;AM233))</f>
        <v/>
      </c>
      <c r="BB233" s="102" t="str">
        <f aca="false">IF(ISBLANK($C233),"",IF($AE233&lt;&gt;Constants!$B$7, $AE233 ,AQ233))</f>
        <v/>
      </c>
      <c r="BC233" s="103" t="str">
        <f aca="false">IF(ISBLANK($C233),"",IF($AE233&lt;&gt;Constants!$B$7, $AE233 ,AF233))</f>
        <v/>
      </c>
      <c r="BD233" s="104" t="str">
        <f aca="false">IF(ISBLANK(C233),"",AY233)</f>
        <v/>
      </c>
      <c r="BE233" s="104" t="str">
        <f aca="false">IF(ISBLANK(C233),"",AX233)</f>
        <v/>
      </c>
      <c r="BF233" s="105" t="str">
        <f aca="false">IF(ISBLANK(C233),"",IFERROR(_xlfn.SWITCH(BE233, Constants!$B$4, COUNTA($C$8:$C732)+2, Constants!$B$5, COUNTA($C$8:$C732)+1, Constants!$B$6, COUNTA($C$8:$C732)),BE233))</f>
        <v/>
      </c>
      <c r="BG233" s="5"/>
      <c r="BH233" s="106" t="n">
        <f aca="false">IF(OR(ISNUMBER(BE233),BE233="DQ",BE233="P",BE233="NS"),
    1,
    0
)</f>
        <v>0</v>
      </c>
      <c r="BI233" s="106" t="n">
        <v>226</v>
      </c>
      <c r="BJ233" s="106" t="str">
        <f aca="false">IF(ISBLANK($C233),
    "",
   BF233+ROW($B233)/1000
)</f>
        <v/>
      </c>
      <c r="BK233" s="106" t="str">
        <f aca="false">IF(ISNUMBER(BJ233), RANK(BJ233,BJ$8:BJ$507,1), "")</f>
        <v/>
      </c>
      <c r="BL233" s="106" t="str">
        <f aca="false">IF(ISBLANK($C233),
    "",
    $B233
)</f>
        <v/>
      </c>
      <c r="BM233" s="106" t="str">
        <f aca="false">IF(ISBLANK($C233),
    "",
    $C233
)</f>
        <v/>
      </c>
      <c r="BN233" s="106" t="str">
        <f aca="false">IF(ISBLANK($C233),
    "",
    $D233
)</f>
        <v/>
      </c>
      <c r="BO233" s="107" t="str">
        <f aca="false">BC233</f>
        <v/>
      </c>
      <c r="BP233" s="108" t="str">
        <f aca="false">BB233</f>
        <v/>
      </c>
      <c r="BQ233" s="106" t="str">
        <f aca="false">IF(ISBLANK($C233),
    "",
    BE233
)</f>
        <v/>
      </c>
      <c r="BR233" s="109" t="str">
        <f aca="false">IF(BI233&gt;BH$7,
    "",
    VLOOKUP(BI233,BK$8:BQ732,7,FALSE())
)</f>
        <v/>
      </c>
      <c r="BS233" s="110" t="str">
        <f aca="false">IF(BI233&gt;BH$7,
    "",
    VLOOKUP(BI233,BK$8:BQ732,2,FALSE())
)</f>
        <v/>
      </c>
      <c r="BT233" s="110" t="str">
        <f aca="false">IF(BI233&gt;BH$7,
    "",
    VLOOKUP(BI233,BK$8:BQ732,3,FALSE())
)</f>
        <v/>
      </c>
      <c r="BU233" s="110" t="str">
        <f aca="false">IF(BI233&gt;BH$7,
    "",
    VLOOKUP(BI233,BK$8:BQ732,4,FALSE())
)</f>
        <v/>
      </c>
      <c r="BV233" s="110" t="str">
        <f aca="false">IF(BI233&gt;BH$7,
    "",
    VLOOKUP(BI233,BK$8:BQ732,5,FALSE())
)</f>
        <v/>
      </c>
      <c r="BW233" s="111" t="str">
        <f aca="false">IF(BI233&gt;BH$7,
    "",
    VLOOKUP(BI233,BK$8:BQ732,6,FALSE())
)</f>
        <v/>
      </c>
      <c r="BX233" s="50"/>
    </row>
    <row r="234" customFormat="false" ht="15.75" hidden="false" customHeight="false" outlineLevel="0" collapsed="false">
      <c r="A234" s="5"/>
      <c r="B234" s="122"/>
      <c r="C234" s="123"/>
      <c r="D234" s="112"/>
      <c r="E234" s="116"/>
      <c r="F234" s="116"/>
      <c r="G234" s="88"/>
      <c r="H234" s="89"/>
      <c r="I234" s="125"/>
      <c r="J234" s="125"/>
      <c r="K234" s="125"/>
      <c r="L234" s="91"/>
      <c r="M234" s="91"/>
      <c r="N234" s="91"/>
      <c r="O234" s="92"/>
      <c r="P234" s="93"/>
      <c r="Q234" s="125"/>
      <c r="R234" s="95"/>
      <c r="S234" s="96"/>
      <c r="T234" s="96" t="str">
        <f aca="false">IF(ISBLANK($C234),"",IF(G234=Constants!$B$2, TRUE(), IF(G234=Constants!$B$3, FALSE(), TRUE())))</f>
        <v/>
      </c>
      <c r="U234" s="96" t="str">
        <f aca="false">IF(ISBLANK($C234),"",IF(H234=Constants!$B$2, TRUE(), IF(H234=Constants!$B$3, FALSE(), TRUE())))</f>
        <v/>
      </c>
      <c r="V234" s="96" t="str">
        <f aca="false">IF(ISBLANK($C234),"",IF(I234=Constants!$B$2, TRUE(), IF(I234=Constants!$B$3, FALSE(), TRUE())))</f>
        <v/>
      </c>
      <c r="W234" s="96" t="str">
        <f aca="false">IF(ISBLANK($C234),"",IF(J234=Constants!$B$2, TRUE(), IF(J234=Constants!$B$3, FALSE(), TRUE())))</f>
        <v/>
      </c>
      <c r="X234" s="97" t="str">
        <f aca="false">IF(ISBLANK($C234),"",IF(K234=Constants!$B$2, TRUE(), IF(K234=Constants!$B$3, FALSE(), TRUE())))</f>
        <v/>
      </c>
      <c r="Y234" s="98" t="str">
        <f aca="false">IF(ISBLANK($C234),"",IF(ISNUMBER(L234), L234, ""))</f>
        <v/>
      </c>
      <c r="Z234" s="98" t="str">
        <f aca="false">IF(ISBLANK($C234),"",IF(ISNUMBER(M234), M234, ""))</f>
        <v/>
      </c>
      <c r="AA234" s="98" t="str">
        <f aca="false">IF(ISBLANK($C234),"",IF(ISNUMBER(N234), N234, ""))</f>
        <v/>
      </c>
      <c r="AB234" s="99" t="str">
        <f aca="false">IF(ISBLANK($C234),"",IF(ISNUMBER(O234), O234, ""))</f>
        <v/>
      </c>
      <c r="AC234" s="99" t="str">
        <f aca="false">IF(ISBLANK($C234),"",IF(ISNUMBER(P234), P234, Constants!$B$13))</f>
        <v/>
      </c>
      <c r="AD234" s="96" t="str">
        <f aca="false">IF(ISBLANK($C234),"",IF(Q234=Constants!$B$2, TRUE(), IF(Q234=Constants!$B$3, FALSE(), FALSE())))</f>
        <v/>
      </c>
      <c r="AE234" s="96" t="str">
        <f aca="false">IF(ISBLANK(C234), "", IF(AD234, Constants!$B$4,IF(COUNTA(G234:O234)=0, Constants!$B$5, Constants!$B$7)))</f>
        <v/>
      </c>
      <c r="AF234" s="96" t="str">
        <f aca="false">IF(ISBLANK($C234), "",IF($AE234=Constants!$B$7,1,$AE234))</f>
        <v/>
      </c>
      <c r="AG234" s="96" t="str">
        <f aca="false">IF($AE234=Constants!$B$7,IF(V234, 1, Constants!$B$11) * IF(X234, 1, Constants!$B$12),"")</f>
        <v/>
      </c>
      <c r="AH234" s="96" t="str">
        <f aca="false">IF(AND($AE234=Constants!$B$7, T234, U234) ,MAX(0, $AA234-$Y234),"")</f>
        <v/>
      </c>
      <c r="AI234" s="96" t="str">
        <f aca="false">IF(ISERROR(AH234),$AI$6,"")</f>
        <v/>
      </c>
      <c r="AJ234" s="96" t="str">
        <f aca="false">IF($AE234=Constants!$B$7,IF(AND(T234,U234,W234),IF($AH$6=0,Constants!$B$9,Constants!$B$9*AH234/$AH$6), 0),"")</f>
        <v/>
      </c>
      <c r="AK234" s="96" t="str">
        <f aca="false">IF(AJ234&lt;&gt;"", AJ234*AG234,"")</f>
        <v/>
      </c>
      <c r="AL234" s="96" t="str">
        <f aca="false">IF(AND($AE234=Constants!$B$7, T234, U234) ,IF($Z234="", "", MAX(0,1-ABS($AA234-$Z234)/$AA234)),"")</f>
        <v/>
      </c>
      <c r="AM234" s="96" t="str">
        <f aca="false">IF(AND(NOT(ISERROR(AH234)),ISERROR(AL234)),$AM$6,"")</f>
        <v/>
      </c>
      <c r="AN234" s="96" t="str">
        <f aca="false">IF($AE234=Constants!$B$7 ,IF(AND(T234,U234,W234,ISNUMBER(Z234)),IF($AL$6=0,Constants!$B$10,Constants!$B$10*AL234/$AL$6), 0),"")</f>
        <v/>
      </c>
      <c r="AO234" s="96" t="str">
        <f aca="false">IF(AN234&lt;&gt;"", AN234*AG234,"")</f>
        <v/>
      </c>
      <c r="AP234" s="96" t="str">
        <f aca="false">IF($AE234=Constants!$B$7,IF($AP$6=0,Constants!$B$8,Constants!$B$8*AB234/$AP$6),"")</f>
        <v/>
      </c>
      <c r="AQ234" s="96" t="str">
        <f aca="false">IF($AE234&lt;&gt;Constants!$B$7,$AE234,AK234+AO234+AP234)</f>
        <v/>
      </c>
      <c r="AR234" s="96" t="str">
        <f aca="false">IF(ISBLANK($C234),"",IF($AE234=Constants!$B$7,RANK(AQ234,$AQ$8:$AQ$507),$AE234))</f>
        <v/>
      </c>
      <c r="AS234" s="96" t="str">
        <f aca="false">IF(ISBLANK($C234), "",AK234)</f>
        <v/>
      </c>
      <c r="AT234" s="96" t="str">
        <f aca="false">IF(ISBLANK($C234),"",IF($AE234=Constants!$B$7,RANK(AS234,AS$8:AS$507),$AE234))</f>
        <v/>
      </c>
      <c r="AU234" s="96" t="str">
        <f aca="false">IF(ISBLANK($C234), "",AP234)</f>
        <v/>
      </c>
      <c r="AV234" s="96" t="str">
        <f aca="false">IF(ISBLANK($C234),"",IF($AE234=Constants!$B$7,RANK(AU234,AU$8:AU$507),$AE234))</f>
        <v/>
      </c>
      <c r="AW234" s="96" t="str">
        <f aca="false">IF(ISBLANK($C234), "",AC234)</f>
        <v/>
      </c>
      <c r="AX234" s="96" t="str">
        <f aca="false">IF(ISBLANK($C234),"",
IF($AE234=Constants!$B$7,
  COUNTIFS($AR$8:$AR$507,"&lt;"&amp;$AR234)
  + COUNTIFS($AR$8:$AR$507,$AR234,$AT$8:$AT$507,"&lt;"&amp;$AT234)
  + COUNTIFS($AR$8:$AR$507,$AR234,$AT$8:$AT$507,$AT234,$AV$8:$AV$507,"&lt;"&amp;$AV234)
  + COUNTIFS($AR$8:$AR$507,$AR234,$AT$8:$AT$507,$AT234,$AV$8:$AV$507,$AV234,$AW$8:$AW$507,"&lt;"&amp;$AW234)
  + 1,
$AE234))</f>
        <v/>
      </c>
      <c r="AY234" s="96" t="str">
        <f aca="false">IF(ISBLANK(C234),"",IF($AE234=Constants!$B$7, AR234-AX234,$AE234))</f>
        <v/>
      </c>
      <c r="AZ234" s="100"/>
      <c r="BA234" s="101" t="str">
        <f aca="false">IF(ISBLANK($C234),"",TRIM(AI234&amp;" "&amp;AM234))</f>
        <v/>
      </c>
      <c r="BB234" s="102" t="str">
        <f aca="false">IF(ISBLANK($C234),"",IF($AE234&lt;&gt;Constants!$B$7, $AE234 ,AQ234))</f>
        <v/>
      </c>
      <c r="BC234" s="103" t="str">
        <f aca="false">IF(ISBLANK($C234),"",IF($AE234&lt;&gt;Constants!$B$7, $AE234 ,AF234))</f>
        <v/>
      </c>
      <c r="BD234" s="104" t="str">
        <f aca="false">IF(ISBLANK(C234),"",AY234)</f>
        <v/>
      </c>
      <c r="BE234" s="104" t="str">
        <f aca="false">IF(ISBLANK(C234),"",AX234)</f>
        <v/>
      </c>
      <c r="BF234" s="105" t="str">
        <f aca="false">IF(ISBLANK(C234),"",IFERROR(_xlfn.SWITCH(BE234, Constants!$B$4, COUNTA($C$8:$C733)+2, Constants!$B$5, COUNTA($C$8:$C733)+1, Constants!$B$6, COUNTA($C$8:$C733)),BE234))</f>
        <v/>
      </c>
      <c r="BG234" s="5"/>
      <c r="BH234" s="106" t="n">
        <f aca="false">IF(OR(ISNUMBER(BE234),BE234="DQ",BE234="P",BE234="NS"),
    1,
    0
)</f>
        <v>0</v>
      </c>
      <c r="BI234" s="106" t="n">
        <v>227</v>
      </c>
      <c r="BJ234" s="106" t="str">
        <f aca="false">IF(ISBLANK($C234),
    "",
   BF234+ROW($B234)/1000
)</f>
        <v/>
      </c>
      <c r="BK234" s="106" t="str">
        <f aca="false">IF(ISNUMBER(BJ234), RANK(BJ234,BJ$8:BJ$507,1), "")</f>
        <v/>
      </c>
      <c r="BL234" s="106" t="str">
        <f aca="false">IF(ISBLANK($C234),
    "",
    $B234
)</f>
        <v/>
      </c>
      <c r="BM234" s="106" t="str">
        <f aca="false">IF(ISBLANK($C234),
    "",
    $C234
)</f>
        <v/>
      </c>
      <c r="BN234" s="106" t="str">
        <f aca="false">IF(ISBLANK($C234),
    "",
    $D234
)</f>
        <v/>
      </c>
      <c r="BO234" s="107" t="str">
        <f aca="false">BC234</f>
        <v/>
      </c>
      <c r="BP234" s="108" t="str">
        <f aca="false">BB234</f>
        <v/>
      </c>
      <c r="BQ234" s="106" t="str">
        <f aca="false">IF(ISBLANK($C234),
    "",
    BE234
)</f>
        <v/>
      </c>
      <c r="BR234" s="109" t="str">
        <f aca="false">IF(BI234&gt;BH$7,
    "",
    VLOOKUP(BI234,BK$8:BQ733,7,FALSE())
)</f>
        <v/>
      </c>
      <c r="BS234" s="110" t="str">
        <f aca="false">IF(BI234&gt;BH$7,
    "",
    VLOOKUP(BI234,BK$8:BQ733,2,FALSE())
)</f>
        <v/>
      </c>
      <c r="BT234" s="110" t="str">
        <f aca="false">IF(BI234&gt;BH$7,
    "",
    VLOOKUP(BI234,BK$8:BQ733,3,FALSE())
)</f>
        <v/>
      </c>
      <c r="BU234" s="110" t="str">
        <f aca="false">IF(BI234&gt;BH$7,
    "",
    VLOOKUP(BI234,BK$8:BQ733,4,FALSE())
)</f>
        <v/>
      </c>
      <c r="BV234" s="110" t="str">
        <f aca="false">IF(BI234&gt;BH$7,
    "",
    VLOOKUP(BI234,BK$8:BQ733,5,FALSE())
)</f>
        <v/>
      </c>
      <c r="BW234" s="111" t="str">
        <f aca="false">IF(BI234&gt;BH$7,
    "",
    VLOOKUP(BI234,BK$8:BQ733,6,FALSE())
)</f>
        <v/>
      </c>
      <c r="BX234" s="50"/>
    </row>
    <row r="235" customFormat="false" ht="15.75" hidden="false" customHeight="false" outlineLevel="0" collapsed="false">
      <c r="A235" s="5"/>
      <c r="B235" s="122"/>
      <c r="C235" s="123"/>
      <c r="D235" s="112"/>
      <c r="E235" s="116"/>
      <c r="F235" s="116"/>
      <c r="G235" s="88"/>
      <c r="H235" s="89"/>
      <c r="I235" s="125"/>
      <c r="J235" s="125"/>
      <c r="K235" s="125"/>
      <c r="L235" s="91"/>
      <c r="M235" s="91"/>
      <c r="N235" s="91"/>
      <c r="O235" s="92"/>
      <c r="P235" s="93"/>
      <c r="Q235" s="125"/>
      <c r="R235" s="95"/>
      <c r="S235" s="96"/>
      <c r="T235" s="96" t="str">
        <f aca="false">IF(ISBLANK($C235),"",IF(G235=Constants!$B$2, TRUE(), IF(G235=Constants!$B$3, FALSE(), TRUE())))</f>
        <v/>
      </c>
      <c r="U235" s="96" t="str">
        <f aca="false">IF(ISBLANK($C235),"",IF(H235=Constants!$B$2, TRUE(), IF(H235=Constants!$B$3, FALSE(), TRUE())))</f>
        <v/>
      </c>
      <c r="V235" s="96" t="str">
        <f aca="false">IF(ISBLANK($C235),"",IF(I235=Constants!$B$2, TRUE(), IF(I235=Constants!$B$3, FALSE(), TRUE())))</f>
        <v/>
      </c>
      <c r="W235" s="96" t="str">
        <f aca="false">IF(ISBLANK($C235),"",IF(J235=Constants!$B$2, TRUE(), IF(J235=Constants!$B$3, FALSE(), TRUE())))</f>
        <v/>
      </c>
      <c r="X235" s="97" t="str">
        <f aca="false">IF(ISBLANK($C235),"",IF(K235=Constants!$B$2, TRUE(), IF(K235=Constants!$B$3, FALSE(), TRUE())))</f>
        <v/>
      </c>
      <c r="Y235" s="98" t="str">
        <f aca="false">IF(ISBLANK($C235),"",IF(ISNUMBER(L235), L235, ""))</f>
        <v/>
      </c>
      <c r="Z235" s="98" t="str">
        <f aca="false">IF(ISBLANK($C235),"",IF(ISNUMBER(M235), M235, ""))</f>
        <v/>
      </c>
      <c r="AA235" s="98" t="str">
        <f aca="false">IF(ISBLANK($C235),"",IF(ISNUMBER(N235), N235, ""))</f>
        <v/>
      </c>
      <c r="AB235" s="99" t="str">
        <f aca="false">IF(ISBLANK($C235),"",IF(ISNUMBER(O235), O235, ""))</f>
        <v/>
      </c>
      <c r="AC235" s="99" t="str">
        <f aca="false">IF(ISBLANK($C235),"",IF(ISNUMBER(P235), P235, Constants!$B$13))</f>
        <v/>
      </c>
      <c r="AD235" s="96" t="str">
        <f aca="false">IF(ISBLANK($C235),"",IF(Q235=Constants!$B$2, TRUE(), IF(Q235=Constants!$B$3, FALSE(), FALSE())))</f>
        <v/>
      </c>
      <c r="AE235" s="96" t="str">
        <f aca="false">IF(ISBLANK(C235), "", IF(AD235, Constants!$B$4,IF(COUNTA(G235:O235)=0, Constants!$B$5, Constants!$B$7)))</f>
        <v/>
      </c>
      <c r="AF235" s="96" t="str">
        <f aca="false">IF(ISBLANK($C235), "",IF($AE235=Constants!$B$7,1,$AE235))</f>
        <v/>
      </c>
      <c r="AG235" s="96" t="str">
        <f aca="false">IF($AE235=Constants!$B$7,IF(V235, 1, Constants!$B$11) * IF(X235, 1, Constants!$B$12),"")</f>
        <v/>
      </c>
      <c r="AH235" s="96" t="str">
        <f aca="false">IF(AND($AE235=Constants!$B$7, T235, U235) ,MAX(0, $AA235-$Y235),"")</f>
        <v/>
      </c>
      <c r="AI235" s="96" t="str">
        <f aca="false">IF(ISERROR(AH235),$AI$6,"")</f>
        <v/>
      </c>
      <c r="AJ235" s="96" t="str">
        <f aca="false">IF($AE235=Constants!$B$7,IF(AND(T235,U235,W235),IF($AH$6=0,Constants!$B$9,Constants!$B$9*AH235/$AH$6), 0),"")</f>
        <v/>
      </c>
      <c r="AK235" s="96" t="str">
        <f aca="false">IF(AJ235&lt;&gt;"", AJ235*AG235,"")</f>
        <v/>
      </c>
      <c r="AL235" s="96" t="str">
        <f aca="false">IF(AND($AE235=Constants!$B$7, T235, U235) ,IF($Z235="", "", MAX(0,1-ABS($AA235-$Z235)/$AA235)),"")</f>
        <v/>
      </c>
      <c r="AM235" s="96" t="str">
        <f aca="false">IF(AND(NOT(ISERROR(AH235)),ISERROR(AL235)),$AM$6,"")</f>
        <v/>
      </c>
      <c r="AN235" s="96" t="str">
        <f aca="false">IF($AE235=Constants!$B$7 ,IF(AND(T235,U235,W235,ISNUMBER(Z235)),IF($AL$6=0,Constants!$B$10,Constants!$B$10*AL235/$AL$6), 0),"")</f>
        <v/>
      </c>
      <c r="AO235" s="96" t="str">
        <f aca="false">IF(AN235&lt;&gt;"", AN235*AG235,"")</f>
        <v/>
      </c>
      <c r="AP235" s="96" t="str">
        <f aca="false">IF($AE235=Constants!$B$7,IF($AP$6=0,Constants!$B$8,Constants!$B$8*AB235/$AP$6),"")</f>
        <v/>
      </c>
      <c r="AQ235" s="96" t="str">
        <f aca="false">IF($AE235&lt;&gt;Constants!$B$7,$AE235,AK235+AO235+AP235)</f>
        <v/>
      </c>
      <c r="AR235" s="96" t="str">
        <f aca="false">IF(ISBLANK($C235),"",IF($AE235=Constants!$B$7,RANK(AQ235,$AQ$8:$AQ$507),$AE235))</f>
        <v/>
      </c>
      <c r="AS235" s="96" t="str">
        <f aca="false">IF(ISBLANK($C235), "",AK235)</f>
        <v/>
      </c>
      <c r="AT235" s="96" t="str">
        <f aca="false">IF(ISBLANK($C235),"",IF($AE235=Constants!$B$7,RANK(AS235,AS$8:AS$507),$AE235))</f>
        <v/>
      </c>
      <c r="AU235" s="96" t="str">
        <f aca="false">IF(ISBLANK($C235), "",AP235)</f>
        <v/>
      </c>
      <c r="AV235" s="96" t="str">
        <f aca="false">IF(ISBLANK($C235),"",IF($AE235=Constants!$B$7,RANK(AU235,AU$8:AU$507),$AE235))</f>
        <v/>
      </c>
      <c r="AW235" s="96" t="str">
        <f aca="false">IF(ISBLANK($C235), "",AC235)</f>
        <v/>
      </c>
      <c r="AX235" s="96" t="str">
        <f aca="false">IF(ISBLANK($C235),"",
IF($AE235=Constants!$B$7,
  COUNTIFS($AR$8:$AR$507,"&lt;"&amp;$AR235)
  + COUNTIFS($AR$8:$AR$507,$AR235,$AT$8:$AT$507,"&lt;"&amp;$AT235)
  + COUNTIFS($AR$8:$AR$507,$AR235,$AT$8:$AT$507,$AT235,$AV$8:$AV$507,"&lt;"&amp;$AV235)
  + COUNTIFS($AR$8:$AR$507,$AR235,$AT$8:$AT$507,$AT235,$AV$8:$AV$507,$AV235,$AW$8:$AW$507,"&lt;"&amp;$AW235)
  + 1,
$AE235))</f>
        <v/>
      </c>
      <c r="AY235" s="96" t="str">
        <f aca="false">IF(ISBLANK(C235),"",IF($AE235=Constants!$B$7, AR235-AX235,$AE235))</f>
        <v/>
      </c>
      <c r="AZ235" s="100"/>
      <c r="BA235" s="101" t="str">
        <f aca="false">IF(ISBLANK($C235),"",TRIM(AI235&amp;" "&amp;AM235))</f>
        <v/>
      </c>
      <c r="BB235" s="102" t="str">
        <f aca="false">IF(ISBLANK($C235),"",IF($AE235&lt;&gt;Constants!$B$7, $AE235 ,AQ235))</f>
        <v/>
      </c>
      <c r="BC235" s="103" t="str">
        <f aca="false">IF(ISBLANK($C235),"",IF($AE235&lt;&gt;Constants!$B$7, $AE235 ,AF235))</f>
        <v/>
      </c>
      <c r="BD235" s="104" t="str">
        <f aca="false">IF(ISBLANK(C235),"",AY235)</f>
        <v/>
      </c>
      <c r="BE235" s="104" t="str">
        <f aca="false">IF(ISBLANK(C235),"",AX235)</f>
        <v/>
      </c>
      <c r="BF235" s="105" t="str">
        <f aca="false">IF(ISBLANK(C235),"",IFERROR(_xlfn.SWITCH(BE235, Constants!$B$4, COUNTA($C$8:$C734)+2, Constants!$B$5, COUNTA($C$8:$C734)+1, Constants!$B$6, COUNTA($C$8:$C734)),BE235))</f>
        <v/>
      </c>
      <c r="BG235" s="5"/>
      <c r="BH235" s="106" t="n">
        <f aca="false">IF(OR(ISNUMBER(BE235),BE235="DQ",BE235="P",BE235="NS"),
    1,
    0
)</f>
        <v>0</v>
      </c>
      <c r="BI235" s="106" t="n">
        <v>228</v>
      </c>
      <c r="BJ235" s="106" t="str">
        <f aca="false">IF(ISBLANK($C235),
    "",
   BF235+ROW($B235)/1000
)</f>
        <v/>
      </c>
      <c r="BK235" s="106" t="str">
        <f aca="false">IF(ISNUMBER(BJ235), RANK(BJ235,BJ$8:BJ$507,1), "")</f>
        <v/>
      </c>
      <c r="BL235" s="106" t="str">
        <f aca="false">IF(ISBLANK($C235),
    "",
    $B235
)</f>
        <v/>
      </c>
      <c r="BM235" s="106" t="str">
        <f aca="false">IF(ISBLANK($C235),
    "",
    $C235
)</f>
        <v/>
      </c>
      <c r="BN235" s="106" t="str">
        <f aca="false">IF(ISBLANK($C235),
    "",
    $D235
)</f>
        <v/>
      </c>
      <c r="BO235" s="107" t="str">
        <f aca="false">BC235</f>
        <v/>
      </c>
      <c r="BP235" s="108" t="str">
        <f aca="false">BB235</f>
        <v/>
      </c>
      <c r="BQ235" s="106" t="str">
        <f aca="false">IF(ISBLANK($C235),
    "",
    BE235
)</f>
        <v/>
      </c>
      <c r="BR235" s="109" t="str">
        <f aca="false">IF(BI235&gt;BH$7,
    "",
    VLOOKUP(BI235,BK$8:BQ734,7,FALSE())
)</f>
        <v/>
      </c>
      <c r="BS235" s="110" t="str">
        <f aca="false">IF(BI235&gt;BH$7,
    "",
    VLOOKUP(BI235,BK$8:BQ734,2,FALSE())
)</f>
        <v/>
      </c>
      <c r="BT235" s="110" t="str">
        <f aca="false">IF(BI235&gt;BH$7,
    "",
    VLOOKUP(BI235,BK$8:BQ734,3,FALSE())
)</f>
        <v/>
      </c>
      <c r="BU235" s="110" t="str">
        <f aca="false">IF(BI235&gt;BH$7,
    "",
    VLOOKUP(BI235,BK$8:BQ734,4,FALSE())
)</f>
        <v/>
      </c>
      <c r="BV235" s="110" t="str">
        <f aca="false">IF(BI235&gt;BH$7,
    "",
    VLOOKUP(BI235,BK$8:BQ734,5,FALSE())
)</f>
        <v/>
      </c>
      <c r="BW235" s="111" t="str">
        <f aca="false">IF(BI235&gt;BH$7,
    "",
    VLOOKUP(BI235,BK$8:BQ734,6,FALSE())
)</f>
        <v/>
      </c>
      <c r="BX235" s="50"/>
    </row>
    <row r="236" customFormat="false" ht="15.75" hidden="false" customHeight="false" outlineLevel="0" collapsed="false">
      <c r="A236" s="5"/>
      <c r="B236" s="126"/>
      <c r="C236" s="52"/>
      <c r="D236" s="53"/>
      <c r="E236" s="120"/>
      <c r="F236" s="120"/>
      <c r="G236" s="55"/>
      <c r="H236" s="56"/>
      <c r="I236" s="80"/>
      <c r="J236" s="80"/>
      <c r="K236" s="80"/>
      <c r="L236" s="58"/>
      <c r="M236" s="58"/>
      <c r="N236" s="58"/>
      <c r="O236" s="59"/>
      <c r="P236" s="60"/>
      <c r="Q236" s="80"/>
      <c r="R236" s="62"/>
      <c r="S236" s="63"/>
      <c r="T236" s="63" t="str">
        <f aca="false">IF(ISBLANK($C236),"",IF(G236=Constants!$B$2, TRUE(), IF(G236=Constants!$B$3, FALSE(), TRUE())))</f>
        <v/>
      </c>
      <c r="U236" s="63" t="str">
        <f aca="false">IF(ISBLANK($C236),"",IF(H236=Constants!$B$2, TRUE(), IF(H236=Constants!$B$3, FALSE(), TRUE())))</f>
        <v/>
      </c>
      <c r="V236" s="63" t="str">
        <f aca="false">IF(ISBLANK($C236),"",IF(I236=Constants!$B$2, TRUE(), IF(I236=Constants!$B$3, FALSE(), TRUE())))</f>
        <v/>
      </c>
      <c r="W236" s="63" t="str">
        <f aca="false">IF(ISBLANK($C236),"",IF(J236=Constants!$B$2, TRUE(), IF(J236=Constants!$B$3, FALSE(), TRUE())))</f>
        <v/>
      </c>
      <c r="X236" s="63" t="str">
        <f aca="false">IF(ISBLANK($C236),"",IF(K236=Constants!$B$2, TRUE(), IF(K236=Constants!$B$3, FALSE(), TRUE())))</f>
        <v/>
      </c>
      <c r="Y236" s="65" t="str">
        <f aca="false">IF(ISBLANK($C236),"",IF(ISNUMBER(L236), L236, ""))</f>
        <v/>
      </c>
      <c r="Z236" s="65" t="str">
        <f aca="false">IF(ISBLANK($C236),"",IF(ISNUMBER(M236), M236, ""))</f>
        <v/>
      </c>
      <c r="AA236" s="65" t="str">
        <f aca="false">IF(ISBLANK($C236),"",IF(ISNUMBER(N236), N236, ""))</f>
        <v/>
      </c>
      <c r="AB236" s="66" t="str">
        <f aca="false">IF(ISBLANK($C236),"",IF(ISNUMBER(O236), O236, ""))</f>
        <v/>
      </c>
      <c r="AC236" s="66" t="str">
        <f aca="false">IF(ISBLANK($C236),"",IF(ISNUMBER(P236), P236, Constants!$B$13))</f>
        <v/>
      </c>
      <c r="AD236" s="63" t="str">
        <f aca="false">IF(ISBLANK($C236),"",IF(Q236=Constants!$B$2, TRUE(), IF(Q236=Constants!$B$3, FALSE(), FALSE())))</f>
        <v/>
      </c>
      <c r="AE236" s="63" t="str">
        <f aca="false">IF(ISBLANK(C236), "", IF(AD236, Constants!$B$4,IF(COUNTA(G236:O236)=0, Constants!$B$5, Constants!$B$7)))</f>
        <v/>
      </c>
      <c r="AF236" s="63" t="str">
        <f aca="false">IF(ISBLANK($C236), "",IF($AE236=Constants!$B$7,1,$AE236))</f>
        <v/>
      </c>
      <c r="AG236" s="63" t="str">
        <f aca="false">IF($AE236=Constants!$B$7,IF(V236, 1, Constants!$B$11) * IF(X236, 1, Constants!$B$12),"")</f>
        <v/>
      </c>
      <c r="AH236" s="63" t="str">
        <f aca="false">IF(AND($AE236=Constants!$B$7, T236, U236) ,MAX(0, $AA236-$Y236),"")</f>
        <v/>
      </c>
      <c r="AI236" s="63" t="str">
        <f aca="false">IF(ISERROR(AH236),$AI$6,"")</f>
        <v/>
      </c>
      <c r="AJ236" s="63" t="str">
        <f aca="false">IF($AE236=Constants!$B$7,IF(AND(T236,U236,W236),IF($AH$6=0,Constants!$B$9,Constants!$B$9*AH236/$AH$6), 0),"")</f>
        <v/>
      </c>
      <c r="AK236" s="63" t="str">
        <f aca="false">IF(AJ236&lt;&gt;"", AJ236*AG236,"")</f>
        <v/>
      </c>
      <c r="AL236" s="63" t="str">
        <f aca="false">IF(AND($AE236=Constants!$B$7, T236, U236) ,IF($Z236="", "", MAX(0,1-ABS($AA236-$Z236)/$AA236)),"")</f>
        <v/>
      </c>
      <c r="AM236" s="63" t="str">
        <f aca="false">IF(AND(NOT(ISERROR(AH236)),ISERROR(AL236)),$AM$6,"")</f>
        <v/>
      </c>
      <c r="AN236" s="63" t="str">
        <f aca="false">IF($AE236=Constants!$B$7 ,IF(AND(T236,U236,W236,ISNUMBER(Z236)),IF($AL$6=0,Constants!$B$10,Constants!$B$10*AL236/$AL$6), 0),"")</f>
        <v/>
      </c>
      <c r="AO236" s="63" t="str">
        <f aca="false">IF(AN236&lt;&gt;"", AN236*AG236,"")</f>
        <v/>
      </c>
      <c r="AP236" s="63" t="str">
        <f aca="false">IF($AE236=Constants!$B$7,IF($AP$6=0,Constants!$B$8,Constants!$B$8*AB236/$AP$6),"")</f>
        <v/>
      </c>
      <c r="AQ236" s="63" t="str">
        <f aca="false">IF($AE236&lt;&gt;Constants!$B$7,$AE236,AK236+AO236+AP236)</f>
        <v/>
      </c>
      <c r="AR236" s="63" t="str">
        <f aca="false">IF(ISBLANK($C236),"",IF($AE236=Constants!$B$7,RANK(AQ236,$AQ$8:$AQ$507),$AE236))</f>
        <v/>
      </c>
      <c r="AS236" s="63" t="str">
        <f aca="false">IF(ISBLANK($C236), "",AK236)</f>
        <v/>
      </c>
      <c r="AT236" s="63" t="str">
        <f aca="false">IF(ISBLANK($C236),"",IF($AE236=Constants!$B$7,RANK(AS236,AS$8:AS$507),$AE236))</f>
        <v/>
      </c>
      <c r="AU236" s="63" t="str">
        <f aca="false">IF(ISBLANK($C236), "",AP236)</f>
        <v/>
      </c>
      <c r="AV236" s="63" t="str">
        <f aca="false">IF(ISBLANK($C236),"",IF($AE236=Constants!$B$7,RANK(AU236,AU$8:AU$507),$AE236))</f>
        <v/>
      </c>
      <c r="AW236" s="63" t="str">
        <f aca="false">IF(ISBLANK($C236), "",AC236)</f>
        <v/>
      </c>
      <c r="AX236" s="63" t="str">
        <f aca="false">IF(ISBLANK($C236),"",
IF($AE236=Constants!$B$7,
  COUNTIFS($AR$8:$AR$507,"&lt;"&amp;$AR236)
  + COUNTIFS($AR$8:$AR$507,$AR236,$AT$8:$AT$507,"&lt;"&amp;$AT236)
  + COUNTIFS($AR$8:$AR$507,$AR236,$AT$8:$AT$507,$AT236,$AV$8:$AV$507,"&lt;"&amp;$AV236)
  + COUNTIFS($AR$8:$AR$507,$AR236,$AT$8:$AT$507,$AT236,$AV$8:$AV$507,$AV236,$AW$8:$AW$507,"&lt;"&amp;$AW236)
  + 1,
$AE236))</f>
        <v/>
      </c>
      <c r="AY236" s="63" t="str">
        <f aca="false">IF(ISBLANK(C236),"",IF($AE236=Constants!$B$7, AR236-AX236,$AE236))</f>
        <v/>
      </c>
      <c r="AZ236" s="67"/>
      <c r="BA236" s="81" t="str">
        <f aca="false">IF(ISBLANK($C236),"",TRIM(AI236&amp;" "&amp;AM236))</f>
        <v/>
      </c>
      <c r="BB236" s="69" t="str">
        <f aca="false">IF(ISBLANK($C236),"",IF($AE236&lt;&gt;Constants!$B$7, $AE236 ,AQ236))</f>
        <v/>
      </c>
      <c r="BC236" s="70" t="str">
        <f aca="false">IF(ISBLANK($C236),"",IF($AE236&lt;&gt;Constants!$B$7, $AE236 ,AF236))</f>
        <v/>
      </c>
      <c r="BD236" s="71" t="str">
        <f aca="false">IF(ISBLANK(C236),"",AY236)</f>
        <v/>
      </c>
      <c r="BE236" s="71" t="str">
        <f aca="false">IF(ISBLANK(C236),"",AX236)</f>
        <v/>
      </c>
      <c r="BF236" s="72" t="str">
        <f aca="false">IF(ISBLANK(C236),"",IFERROR(_xlfn.SWITCH(BE236, Constants!$B$4, COUNTA($C$8:$C735)+2, Constants!$B$5, COUNTA($C$8:$C735)+1, Constants!$B$6, COUNTA($C$8:$C735)),BE236))</f>
        <v/>
      </c>
      <c r="BG236" s="5"/>
      <c r="BH236" s="73" t="n">
        <f aca="false">IF(OR(ISNUMBER(BE236),BE236="DQ",BE236="P",BE236="NS"),
    1,
    0
)</f>
        <v>0</v>
      </c>
      <c r="BI236" s="73" t="n">
        <v>229</v>
      </c>
      <c r="BJ236" s="73" t="str">
        <f aca="false">IF(ISBLANK($C236),
    "",
   BF236+ROW($B236)/1000
)</f>
        <v/>
      </c>
      <c r="BK236" s="73" t="str">
        <f aca="false">IF(ISNUMBER(BJ236), RANK(BJ236,BJ$8:BJ$507,1), "")</f>
        <v/>
      </c>
      <c r="BL236" s="73" t="str">
        <f aca="false">IF(ISBLANK($C236),
    "",
    $B236
)</f>
        <v/>
      </c>
      <c r="BM236" s="73" t="str">
        <f aca="false">IF(ISBLANK($C236),
    "",
    $C236
)</f>
        <v/>
      </c>
      <c r="BN236" s="73" t="str">
        <f aca="false">IF(ISBLANK($C236),
    "",
    $D236
)</f>
        <v/>
      </c>
      <c r="BO236" s="74" t="str">
        <f aca="false">BC236</f>
        <v/>
      </c>
      <c r="BP236" s="75" t="str">
        <f aca="false">BB236</f>
        <v/>
      </c>
      <c r="BQ236" s="73" t="str">
        <f aca="false">IF(ISBLANK($C236),
    "",
    BE236
)</f>
        <v/>
      </c>
      <c r="BR236" s="76" t="str">
        <f aca="false">IF(BI236&gt;BH$7,
    "",
    VLOOKUP(BI236,BK$8:BQ735,7,FALSE())
)</f>
        <v/>
      </c>
      <c r="BS236" s="77" t="str">
        <f aca="false">IF(BI236&gt;BH$7,
    "",
    VLOOKUP(BI236,BK$8:BQ735,2,FALSE())
)</f>
        <v/>
      </c>
      <c r="BT236" s="77" t="str">
        <f aca="false">IF(BI236&gt;BH$7,
    "",
    VLOOKUP(BI236,BK$8:BQ735,3,FALSE())
)</f>
        <v/>
      </c>
      <c r="BU236" s="77" t="str">
        <f aca="false">IF(BI236&gt;BH$7,
    "",
    VLOOKUP(BI236,BK$8:BQ735,4,FALSE())
)</f>
        <v/>
      </c>
      <c r="BV236" s="77" t="str">
        <f aca="false">IF(BI236&gt;BH$7,
    "",
    VLOOKUP(BI236,BK$8:BQ735,5,FALSE())
)</f>
        <v/>
      </c>
      <c r="BW236" s="78" t="str">
        <f aca="false">IF(BI236&gt;BH$7,
    "",
    VLOOKUP(BI236,BK$8:BQ735,6,FALSE())
)</f>
        <v/>
      </c>
      <c r="BX236" s="50"/>
    </row>
    <row r="237" customFormat="false" ht="15.75" hidden="false" customHeight="false" outlineLevel="0" collapsed="false">
      <c r="A237" s="5"/>
      <c r="B237" s="126"/>
      <c r="C237" s="52"/>
      <c r="D237" s="53"/>
      <c r="E237" s="120"/>
      <c r="F237" s="120"/>
      <c r="G237" s="55"/>
      <c r="H237" s="56"/>
      <c r="I237" s="80"/>
      <c r="J237" s="80"/>
      <c r="K237" s="80"/>
      <c r="L237" s="58"/>
      <c r="M237" s="58"/>
      <c r="N237" s="58"/>
      <c r="O237" s="59"/>
      <c r="P237" s="60"/>
      <c r="Q237" s="80"/>
      <c r="R237" s="62"/>
      <c r="S237" s="63"/>
      <c r="T237" s="63" t="str">
        <f aca="false">IF(ISBLANK($C237),"",IF(G237=Constants!$B$2, TRUE(), IF(G237=Constants!$B$3, FALSE(), TRUE())))</f>
        <v/>
      </c>
      <c r="U237" s="63" t="str">
        <f aca="false">IF(ISBLANK($C237),"",IF(H237=Constants!$B$2, TRUE(), IF(H237=Constants!$B$3, FALSE(), TRUE())))</f>
        <v/>
      </c>
      <c r="V237" s="63" t="str">
        <f aca="false">IF(ISBLANK($C237),"",IF(I237=Constants!$B$2, TRUE(), IF(I237=Constants!$B$3, FALSE(), TRUE())))</f>
        <v/>
      </c>
      <c r="W237" s="63" t="str">
        <f aca="false">IF(ISBLANK($C237),"",IF(J237=Constants!$B$2, TRUE(), IF(J237=Constants!$B$3, FALSE(), TRUE())))</f>
        <v/>
      </c>
      <c r="X237" s="63" t="str">
        <f aca="false">IF(ISBLANK($C237),"",IF(K237=Constants!$B$2, TRUE(), IF(K237=Constants!$B$3, FALSE(), TRUE())))</f>
        <v/>
      </c>
      <c r="Y237" s="65" t="str">
        <f aca="false">IF(ISBLANK($C237),"",IF(ISNUMBER(L237), L237, ""))</f>
        <v/>
      </c>
      <c r="Z237" s="65" t="str">
        <f aca="false">IF(ISBLANK($C237),"",IF(ISNUMBER(M237), M237, ""))</f>
        <v/>
      </c>
      <c r="AA237" s="65" t="str">
        <f aca="false">IF(ISBLANK($C237),"",IF(ISNUMBER(N237), N237, ""))</f>
        <v/>
      </c>
      <c r="AB237" s="66" t="str">
        <f aca="false">IF(ISBLANK($C237),"",IF(ISNUMBER(O237), O237, ""))</f>
        <v/>
      </c>
      <c r="AC237" s="66" t="str">
        <f aca="false">IF(ISBLANK($C237),"",IF(ISNUMBER(P237), P237, Constants!$B$13))</f>
        <v/>
      </c>
      <c r="AD237" s="63" t="str">
        <f aca="false">IF(ISBLANK($C237),"",IF(Q237=Constants!$B$2, TRUE(), IF(Q237=Constants!$B$3, FALSE(), FALSE())))</f>
        <v/>
      </c>
      <c r="AE237" s="63" t="str">
        <f aca="false">IF(ISBLANK(C237), "", IF(AD237, Constants!$B$4,IF(COUNTA(G237:O237)=0, Constants!$B$5, Constants!$B$7)))</f>
        <v/>
      </c>
      <c r="AF237" s="63" t="str">
        <f aca="false">IF(ISBLANK($C237), "",IF($AE237=Constants!$B$7,1,$AE237))</f>
        <v/>
      </c>
      <c r="AG237" s="63" t="str">
        <f aca="false">IF($AE237=Constants!$B$7,IF(V237, 1, Constants!$B$11) * IF(X237, 1, Constants!$B$12),"")</f>
        <v/>
      </c>
      <c r="AH237" s="63" t="str">
        <f aca="false">IF(AND($AE237=Constants!$B$7, T237, U237) ,MAX(0, $AA237-$Y237),"")</f>
        <v/>
      </c>
      <c r="AI237" s="63" t="str">
        <f aca="false">IF(ISERROR(AH237),$AI$6,"")</f>
        <v/>
      </c>
      <c r="AJ237" s="63" t="str">
        <f aca="false">IF($AE237=Constants!$B$7,IF(AND(T237,U237,W237),IF($AH$6=0,Constants!$B$9,Constants!$B$9*AH237/$AH$6), 0),"")</f>
        <v/>
      </c>
      <c r="AK237" s="63" t="str">
        <f aca="false">IF(AJ237&lt;&gt;"", AJ237*AG237,"")</f>
        <v/>
      </c>
      <c r="AL237" s="63" t="str">
        <f aca="false">IF(AND($AE237=Constants!$B$7, T237, U237) ,IF($Z237="", "", MAX(0,1-ABS($AA237-$Z237)/$AA237)),"")</f>
        <v/>
      </c>
      <c r="AM237" s="63" t="str">
        <f aca="false">IF(AND(NOT(ISERROR(AH237)),ISERROR(AL237)),$AM$6,"")</f>
        <v/>
      </c>
      <c r="AN237" s="63" t="str">
        <f aca="false">IF($AE237=Constants!$B$7 ,IF(AND(T237,U237,W237,ISNUMBER(Z237)),IF($AL$6=0,Constants!$B$10,Constants!$B$10*AL237/$AL$6), 0),"")</f>
        <v/>
      </c>
      <c r="AO237" s="63" t="str">
        <f aca="false">IF(AN237&lt;&gt;"", AN237*AG237,"")</f>
        <v/>
      </c>
      <c r="AP237" s="63" t="str">
        <f aca="false">IF($AE237=Constants!$B$7,IF($AP$6=0,Constants!$B$8,Constants!$B$8*AB237/$AP$6),"")</f>
        <v/>
      </c>
      <c r="AQ237" s="63" t="str">
        <f aca="false">IF($AE237&lt;&gt;Constants!$B$7,$AE237,AK237+AO237+AP237)</f>
        <v/>
      </c>
      <c r="AR237" s="63" t="str">
        <f aca="false">IF(ISBLANK($C237),"",IF($AE237=Constants!$B$7,RANK(AQ237,$AQ$8:$AQ$507),$AE237))</f>
        <v/>
      </c>
      <c r="AS237" s="63" t="str">
        <f aca="false">IF(ISBLANK($C237), "",AK237)</f>
        <v/>
      </c>
      <c r="AT237" s="63" t="str">
        <f aca="false">IF(ISBLANK($C237),"",IF($AE237=Constants!$B$7,RANK(AS237,AS$8:AS$507),$AE237))</f>
        <v/>
      </c>
      <c r="AU237" s="63" t="str">
        <f aca="false">IF(ISBLANK($C237), "",AP237)</f>
        <v/>
      </c>
      <c r="AV237" s="63" t="str">
        <f aca="false">IF(ISBLANK($C237),"",IF($AE237=Constants!$B$7,RANK(AU237,AU$8:AU$507),$AE237))</f>
        <v/>
      </c>
      <c r="AW237" s="63" t="str">
        <f aca="false">IF(ISBLANK($C237), "",AC237)</f>
        <v/>
      </c>
      <c r="AX237" s="63" t="str">
        <f aca="false">IF(ISBLANK($C237),"",
IF($AE237=Constants!$B$7,
  COUNTIFS($AR$8:$AR$507,"&lt;"&amp;$AR237)
  + COUNTIFS($AR$8:$AR$507,$AR237,$AT$8:$AT$507,"&lt;"&amp;$AT237)
  + COUNTIFS($AR$8:$AR$507,$AR237,$AT$8:$AT$507,$AT237,$AV$8:$AV$507,"&lt;"&amp;$AV237)
  + COUNTIFS($AR$8:$AR$507,$AR237,$AT$8:$AT$507,$AT237,$AV$8:$AV$507,$AV237,$AW$8:$AW$507,"&lt;"&amp;$AW237)
  + 1,
$AE237))</f>
        <v/>
      </c>
      <c r="AY237" s="63" t="str">
        <f aca="false">IF(ISBLANK(C237),"",IF($AE237=Constants!$B$7, AR237-AX237,$AE237))</f>
        <v/>
      </c>
      <c r="AZ237" s="67"/>
      <c r="BA237" s="81" t="str">
        <f aca="false">IF(ISBLANK($C237),"",TRIM(AI237&amp;" "&amp;AM237))</f>
        <v/>
      </c>
      <c r="BB237" s="69" t="str">
        <f aca="false">IF(ISBLANK($C237),"",IF($AE237&lt;&gt;Constants!$B$7, $AE237 ,AQ237))</f>
        <v/>
      </c>
      <c r="BC237" s="70" t="str">
        <f aca="false">IF(ISBLANK($C237),"",IF($AE237&lt;&gt;Constants!$B$7, $AE237 ,AF237))</f>
        <v/>
      </c>
      <c r="BD237" s="71" t="str">
        <f aca="false">IF(ISBLANK(C237),"",AY237)</f>
        <v/>
      </c>
      <c r="BE237" s="71" t="str">
        <f aca="false">IF(ISBLANK(C237),"",AX237)</f>
        <v/>
      </c>
      <c r="BF237" s="72" t="str">
        <f aca="false">IF(ISBLANK(C237),"",IFERROR(_xlfn.SWITCH(BE237, Constants!$B$4, COUNTA($C$8:$C736)+2, Constants!$B$5, COUNTA($C$8:$C736)+1, Constants!$B$6, COUNTA($C$8:$C736)),BE237))</f>
        <v/>
      </c>
      <c r="BG237" s="5"/>
      <c r="BH237" s="73" t="n">
        <f aca="false">IF(OR(ISNUMBER(BE237),BE237="DQ",BE237="P",BE237="NS"),
    1,
    0
)</f>
        <v>0</v>
      </c>
      <c r="BI237" s="73" t="n">
        <v>230</v>
      </c>
      <c r="BJ237" s="73" t="str">
        <f aca="false">IF(ISBLANK($C237),
    "",
   BF237+ROW($B237)/1000
)</f>
        <v/>
      </c>
      <c r="BK237" s="73" t="str">
        <f aca="false">IF(ISNUMBER(BJ237), RANK(BJ237,BJ$8:BJ$507,1), "")</f>
        <v/>
      </c>
      <c r="BL237" s="73" t="str">
        <f aca="false">IF(ISBLANK($C237),
    "",
    $B237
)</f>
        <v/>
      </c>
      <c r="BM237" s="73" t="str">
        <f aca="false">IF(ISBLANK($C237),
    "",
    $C237
)</f>
        <v/>
      </c>
      <c r="BN237" s="73" t="str">
        <f aca="false">IF(ISBLANK($C237),
    "",
    $D237
)</f>
        <v/>
      </c>
      <c r="BO237" s="74" t="str">
        <f aca="false">BC237</f>
        <v/>
      </c>
      <c r="BP237" s="75" t="str">
        <f aca="false">BB237</f>
        <v/>
      </c>
      <c r="BQ237" s="73" t="str">
        <f aca="false">IF(ISBLANK($C237),
    "",
    BE237
)</f>
        <v/>
      </c>
      <c r="BR237" s="76" t="str">
        <f aca="false">IF(BI237&gt;BH$7,
    "",
    VLOOKUP(BI237,BK$8:BQ736,7,FALSE())
)</f>
        <v/>
      </c>
      <c r="BS237" s="77" t="str">
        <f aca="false">IF(BI237&gt;BH$7,
    "",
    VLOOKUP(BI237,BK$8:BQ736,2,FALSE())
)</f>
        <v/>
      </c>
      <c r="BT237" s="77" t="str">
        <f aca="false">IF(BI237&gt;BH$7,
    "",
    VLOOKUP(BI237,BK$8:BQ736,3,FALSE())
)</f>
        <v/>
      </c>
      <c r="BU237" s="77" t="str">
        <f aca="false">IF(BI237&gt;BH$7,
    "",
    VLOOKUP(BI237,BK$8:BQ736,4,FALSE())
)</f>
        <v/>
      </c>
      <c r="BV237" s="77" t="str">
        <f aca="false">IF(BI237&gt;BH$7,
    "",
    VLOOKUP(BI237,BK$8:BQ736,5,FALSE())
)</f>
        <v/>
      </c>
      <c r="BW237" s="78" t="str">
        <f aca="false">IF(BI237&gt;BH$7,
    "",
    VLOOKUP(BI237,BK$8:BQ736,6,FALSE())
)</f>
        <v/>
      </c>
      <c r="BX237" s="50"/>
    </row>
    <row r="238" customFormat="false" ht="15.75" hidden="false" customHeight="false" outlineLevel="0" collapsed="false">
      <c r="A238" s="5"/>
      <c r="B238" s="126"/>
      <c r="C238" s="52"/>
      <c r="D238" s="53"/>
      <c r="E238" s="120"/>
      <c r="F238" s="120"/>
      <c r="G238" s="55"/>
      <c r="H238" s="56"/>
      <c r="I238" s="80"/>
      <c r="J238" s="80"/>
      <c r="K238" s="80"/>
      <c r="L238" s="58"/>
      <c r="M238" s="58"/>
      <c r="N238" s="58"/>
      <c r="O238" s="59"/>
      <c r="P238" s="60"/>
      <c r="Q238" s="80"/>
      <c r="R238" s="62"/>
      <c r="S238" s="63"/>
      <c r="T238" s="63" t="str">
        <f aca="false">IF(ISBLANK($C238),"",IF(G238=Constants!$B$2, TRUE(), IF(G238=Constants!$B$3, FALSE(), TRUE())))</f>
        <v/>
      </c>
      <c r="U238" s="63" t="str">
        <f aca="false">IF(ISBLANK($C238),"",IF(H238=Constants!$B$2, TRUE(), IF(H238=Constants!$B$3, FALSE(), TRUE())))</f>
        <v/>
      </c>
      <c r="V238" s="63" t="str">
        <f aca="false">IF(ISBLANK($C238),"",IF(I238=Constants!$B$2, TRUE(), IF(I238=Constants!$B$3, FALSE(), TRUE())))</f>
        <v/>
      </c>
      <c r="W238" s="63" t="str">
        <f aca="false">IF(ISBLANK($C238),"",IF(J238=Constants!$B$2, TRUE(), IF(J238=Constants!$B$3, FALSE(), TRUE())))</f>
        <v/>
      </c>
      <c r="X238" s="63" t="str">
        <f aca="false">IF(ISBLANK($C238),"",IF(K238=Constants!$B$2, TRUE(), IF(K238=Constants!$B$3, FALSE(), TRUE())))</f>
        <v/>
      </c>
      <c r="Y238" s="65" t="str">
        <f aca="false">IF(ISBLANK($C238),"",IF(ISNUMBER(L238), L238, ""))</f>
        <v/>
      </c>
      <c r="Z238" s="65" t="str">
        <f aca="false">IF(ISBLANK($C238),"",IF(ISNUMBER(M238), M238, ""))</f>
        <v/>
      </c>
      <c r="AA238" s="65" t="str">
        <f aca="false">IF(ISBLANK($C238),"",IF(ISNUMBER(N238), N238, ""))</f>
        <v/>
      </c>
      <c r="AB238" s="66" t="str">
        <f aca="false">IF(ISBLANK($C238),"",IF(ISNUMBER(O238), O238, ""))</f>
        <v/>
      </c>
      <c r="AC238" s="66" t="str">
        <f aca="false">IF(ISBLANK($C238),"",IF(ISNUMBER(P238), P238, Constants!$B$13))</f>
        <v/>
      </c>
      <c r="AD238" s="63" t="str">
        <f aca="false">IF(ISBLANK($C238),"",IF(Q238=Constants!$B$2, TRUE(), IF(Q238=Constants!$B$3, FALSE(), FALSE())))</f>
        <v/>
      </c>
      <c r="AE238" s="63" t="str">
        <f aca="false">IF(ISBLANK(C238), "", IF(AD238, Constants!$B$4,IF(COUNTA(G238:O238)=0, Constants!$B$5, Constants!$B$7)))</f>
        <v/>
      </c>
      <c r="AF238" s="63" t="str">
        <f aca="false">IF(ISBLANK($C238), "",IF($AE238=Constants!$B$7,1,$AE238))</f>
        <v/>
      </c>
      <c r="AG238" s="63" t="str">
        <f aca="false">IF($AE238=Constants!$B$7,IF(V238, 1, Constants!$B$11) * IF(X238, 1, Constants!$B$12),"")</f>
        <v/>
      </c>
      <c r="AH238" s="63" t="str">
        <f aca="false">IF(AND($AE238=Constants!$B$7, T238, U238) ,MAX(0, $AA238-$Y238),"")</f>
        <v/>
      </c>
      <c r="AI238" s="63" t="str">
        <f aca="false">IF(ISERROR(AH238),$AI$6,"")</f>
        <v/>
      </c>
      <c r="AJ238" s="63" t="str">
        <f aca="false">IF($AE238=Constants!$B$7,IF(AND(T238,U238,W238),IF($AH$6=0,Constants!$B$9,Constants!$B$9*AH238/$AH$6), 0),"")</f>
        <v/>
      </c>
      <c r="AK238" s="63" t="str">
        <f aca="false">IF(AJ238&lt;&gt;"", AJ238*AG238,"")</f>
        <v/>
      </c>
      <c r="AL238" s="63" t="str">
        <f aca="false">IF(AND($AE238=Constants!$B$7, T238, U238) ,IF($Z238="", "", MAX(0,1-ABS($AA238-$Z238)/$AA238)),"")</f>
        <v/>
      </c>
      <c r="AM238" s="63" t="str">
        <f aca="false">IF(AND(NOT(ISERROR(AH238)),ISERROR(AL238)),$AM$6,"")</f>
        <v/>
      </c>
      <c r="AN238" s="63" t="str">
        <f aca="false">IF($AE238=Constants!$B$7 ,IF(AND(T238,U238,W238,ISNUMBER(Z238)),IF($AL$6=0,Constants!$B$10,Constants!$B$10*AL238/$AL$6), 0),"")</f>
        <v/>
      </c>
      <c r="AO238" s="63" t="str">
        <f aca="false">IF(AN238&lt;&gt;"", AN238*AG238,"")</f>
        <v/>
      </c>
      <c r="AP238" s="63" t="str">
        <f aca="false">IF($AE238=Constants!$B$7,IF($AP$6=0,Constants!$B$8,Constants!$B$8*AB238/$AP$6),"")</f>
        <v/>
      </c>
      <c r="AQ238" s="63" t="str">
        <f aca="false">IF($AE238&lt;&gt;Constants!$B$7,$AE238,AK238+AO238+AP238)</f>
        <v/>
      </c>
      <c r="AR238" s="63" t="str">
        <f aca="false">IF(ISBLANK($C238),"",IF($AE238=Constants!$B$7,RANK(AQ238,$AQ$8:$AQ$507),$AE238))</f>
        <v/>
      </c>
      <c r="AS238" s="63" t="str">
        <f aca="false">IF(ISBLANK($C238), "",AK238)</f>
        <v/>
      </c>
      <c r="AT238" s="63" t="str">
        <f aca="false">IF(ISBLANK($C238),"",IF($AE238=Constants!$B$7,RANK(AS238,AS$8:AS$507),$AE238))</f>
        <v/>
      </c>
      <c r="AU238" s="63" t="str">
        <f aca="false">IF(ISBLANK($C238), "",AP238)</f>
        <v/>
      </c>
      <c r="AV238" s="63" t="str">
        <f aca="false">IF(ISBLANK($C238),"",IF($AE238=Constants!$B$7,RANK(AU238,AU$8:AU$507),$AE238))</f>
        <v/>
      </c>
      <c r="AW238" s="63" t="str">
        <f aca="false">IF(ISBLANK($C238), "",AC238)</f>
        <v/>
      </c>
      <c r="AX238" s="63" t="str">
        <f aca="false">IF(ISBLANK($C238),"",
IF($AE238=Constants!$B$7,
  COUNTIFS($AR$8:$AR$507,"&lt;"&amp;$AR238)
  + COUNTIFS($AR$8:$AR$507,$AR238,$AT$8:$AT$507,"&lt;"&amp;$AT238)
  + COUNTIFS($AR$8:$AR$507,$AR238,$AT$8:$AT$507,$AT238,$AV$8:$AV$507,"&lt;"&amp;$AV238)
  + COUNTIFS($AR$8:$AR$507,$AR238,$AT$8:$AT$507,$AT238,$AV$8:$AV$507,$AV238,$AW$8:$AW$507,"&lt;"&amp;$AW238)
  + 1,
$AE238))</f>
        <v/>
      </c>
      <c r="AY238" s="63" t="str">
        <f aca="false">IF(ISBLANK(C238),"",IF($AE238=Constants!$B$7, AR238-AX238,$AE238))</f>
        <v/>
      </c>
      <c r="AZ238" s="67"/>
      <c r="BA238" s="81" t="str">
        <f aca="false">IF(ISBLANK($C238),"",TRIM(AI238&amp;" "&amp;AM238))</f>
        <v/>
      </c>
      <c r="BB238" s="69" t="str">
        <f aca="false">IF(ISBLANK($C238),"",IF($AE238&lt;&gt;Constants!$B$7, $AE238 ,AQ238))</f>
        <v/>
      </c>
      <c r="BC238" s="70" t="str">
        <f aca="false">IF(ISBLANK($C238),"",IF($AE238&lt;&gt;Constants!$B$7, $AE238 ,AF238))</f>
        <v/>
      </c>
      <c r="BD238" s="71" t="str">
        <f aca="false">IF(ISBLANK(C238),"",AY238)</f>
        <v/>
      </c>
      <c r="BE238" s="71" t="str">
        <f aca="false">IF(ISBLANK(C238),"",AX238)</f>
        <v/>
      </c>
      <c r="BF238" s="72" t="str">
        <f aca="false">IF(ISBLANK(C238),"",IFERROR(_xlfn.SWITCH(BE238, Constants!$B$4, COUNTA($C$8:$C737)+2, Constants!$B$5, COUNTA($C$8:$C737)+1, Constants!$B$6, COUNTA($C$8:$C737)),BE238))</f>
        <v/>
      </c>
      <c r="BG238" s="5"/>
      <c r="BH238" s="73" t="n">
        <f aca="false">IF(OR(ISNUMBER(BE238),BE238="DQ",BE238="P",BE238="NS"),
    1,
    0
)</f>
        <v>0</v>
      </c>
      <c r="BI238" s="73" t="n">
        <v>231</v>
      </c>
      <c r="BJ238" s="73" t="str">
        <f aca="false">IF(ISBLANK($C238),
    "",
   BF238+ROW($B238)/1000
)</f>
        <v/>
      </c>
      <c r="BK238" s="73" t="str">
        <f aca="false">IF(ISNUMBER(BJ238), RANK(BJ238,BJ$8:BJ$507,1), "")</f>
        <v/>
      </c>
      <c r="BL238" s="73" t="str">
        <f aca="false">IF(ISBLANK($C238),
    "",
    $B238
)</f>
        <v/>
      </c>
      <c r="BM238" s="73" t="str">
        <f aca="false">IF(ISBLANK($C238),
    "",
    $C238
)</f>
        <v/>
      </c>
      <c r="BN238" s="73" t="str">
        <f aca="false">IF(ISBLANK($C238),
    "",
    $D238
)</f>
        <v/>
      </c>
      <c r="BO238" s="74" t="str">
        <f aca="false">BC238</f>
        <v/>
      </c>
      <c r="BP238" s="75" t="str">
        <f aca="false">BB238</f>
        <v/>
      </c>
      <c r="BQ238" s="73" t="str">
        <f aca="false">IF(ISBLANK($C238),
    "",
    BE238
)</f>
        <v/>
      </c>
      <c r="BR238" s="76" t="str">
        <f aca="false">IF(BI238&gt;BH$7,
    "",
    VLOOKUP(BI238,BK$8:BQ737,7,FALSE())
)</f>
        <v/>
      </c>
      <c r="BS238" s="77" t="str">
        <f aca="false">IF(BI238&gt;BH$7,
    "",
    VLOOKUP(BI238,BK$8:BQ737,2,FALSE())
)</f>
        <v/>
      </c>
      <c r="BT238" s="77" t="str">
        <f aca="false">IF(BI238&gt;BH$7,
    "",
    VLOOKUP(BI238,BK$8:BQ737,3,FALSE())
)</f>
        <v/>
      </c>
      <c r="BU238" s="77" t="str">
        <f aca="false">IF(BI238&gt;BH$7,
    "",
    VLOOKUP(BI238,BK$8:BQ737,4,FALSE())
)</f>
        <v/>
      </c>
      <c r="BV238" s="77" t="str">
        <f aca="false">IF(BI238&gt;BH$7,
    "",
    VLOOKUP(BI238,BK$8:BQ737,5,FALSE())
)</f>
        <v/>
      </c>
      <c r="BW238" s="78" t="str">
        <f aca="false">IF(BI238&gt;BH$7,
    "",
    VLOOKUP(BI238,BK$8:BQ737,6,FALSE())
)</f>
        <v/>
      </c>
      <c r="BX238" s="50"/>
    </row>
    <row r="239" customFormat="false" ht="15.75" hidden="false" customHeight="false" outlineLevel="0" collapsed="false">
      <c r="A239" s="5"/>
      <c r="B239" s="122"/>
      <c r="C239" s="123"/>
      <c r="D239" s="112"/>
      <c r="E239" s="116"/>
      <c r="F239" s="116"/>
      <c r="G239" s="88"/>
      <c r="H239" s="89"/>
      <c r="I239" s="125"/>
      <c r="J239" s="125"/>
      <c r="K239" s="125"/>
      <c r="L239" s="91"/>
      <c r="M239" s="91"/>
      <c r="N239" s="91"/>
      <c r="O239" s="92"/>
      <c r="P239" s="93"/>
      <c r="Q239" s="125"/>
      <c r="R239" s="95"/>
      <c r="S239" s="96"/>
      <c r="T239" s="96" t="str">
        <f aca="false">IF(ISBLANK($C239),"",IF(G239=Constants!$B$2, TRUE(), IF(G239=Constants!$B$3, FALSE(), TRUE())))</f>
        <v/>
      </c>
      <c r="U239" s="96" t="str">
        <f aca="false">IF(ISBLANK($C239),"",IF(H239=Constants!$B$2, TRUE(), IF(H239=Constants!$B$3, FALSE(), TRUE())))</f>
        <v/>
      </c>
      <c r="V239" s="96" t="str">
        <f aca="false">IF(ISBLANK($C239),"",IF(I239=Constants!$B$2, TRUE(), IF(I239=Constants!$B$3, FALSE(), TRUE())))</f>
        <v/>
      </c>
      <c r="W239" s="96" t="str">
        <f aca="false">IF(ISBLANK($C239),"",IF(J239=Constants!$B$2, TRUE(), IF(J239=Constants!$B$3, FALSE(), TRUE())))</f>
        <v/>
      </c>
      <c r="X239" s="97" t="str">
        <f aca="false">IF(ISBLANK($C239),"",IF(K239=Constants!$B$2, TRUE(), IF(K239=Constants!$B$3, FALSE(), TRUE())))</f>
        <v/>
      </c>
      <c r="Y239" s="98" t="str">
        <f aca="false">IF(ISBLANK($C239),"",IF(ISNUMBER(L239), L239, ""))</f>
        <v/>
      </c>
      <c r="Z239" s="98" t="str">
        <f aca="false">IF(ISBLANK($C239),"",IF(ISNUMBER(M239), M239, ""))</f>
        <v/>
      </c>
      <c r="AA239" s="98" t="str">
        <f aca="false">IF(ISBLANK($C239),"",IF(ISNUMBER(N239), N239, ""))</f>
        <v/>
      </c>
      <c r="AB239" s="99" t="str">
        <f aca="false">IF(ISBLANK($C239),"",IF(ISNUMBER(O239), O239, ""))</f>
        <v/>
      </c>
      <c r="AC239" s="99" t="str">
        <f aca="false">IF(ISBLANK($C239),"",IF(ISNUMBER(P239), P239, Constants!$B$13))</f>
        <v/>
      </c>
      <c r="AD239" s="96" t="str">
        <f aca="false">IF(ISBLANK($C239),"",IF(Q239=Constants!$B$2, TRUE(), IF(Q239=Constants!$B$3, FALSE(), FALSE())))</f>
        <v/>
      </c>
      <c r="AE239" s="96" t="str">
        <f aca="false">IF(ISBLANK(C239), "", IF(AD239, Constants!$B$4,IF(COUNTA(G239:O239)=0, Constants!$B$5, Constants!$B$7)))</f>
        <v/>
      </c>
      <c r="AF239" s="96" t="str">
        <f aca="false">IF(ISBLANK($C239), "",IF($AE239=Constants!$B$7,1,$AE239))</f>
        <v/>
      </c>
      <c r="AG239" s="96" t="str">
        <f aca="false">IF($AE239=Constants!$B$7,IF(V239, 1, Constants!$B$11) * IF(X239, 1, Constants!$B$12),"")</f>
        <v/>
      </c>
      <c r="AH239" s="96" t="str">
        <f aca="false">IF(AND($AE239=Constants!$B$7, T239, U239) ,MAX(0, $AA239-$Y239),"")</f>
        <v/>
      </c>
      <c r="AI239" s="96" t="str">
        <f aca="false">IF(ISERROR(AH239),$AI$6,"")</f>
        <v/>
      </c>
      <c r="AJ239" s="96" t="str">
        <f aca="false">IF($AE239=Constants!$B$7,IF(AND(T239,U239,W239),IF($AH$6=0,Constants!$B$9,Constants!$B$9*AH239/$AH$6), 0),"")</f>
        <v/>
      </c>
      <c r="AK239" s="96" t="str">
        <f aca="false">IF(AJ239&lt;&gt;"", AJ239*AG239,"")</f>
        <v/>
      </c>
      <c r="AL239" s="96" t="str">
        <f aca="false">IF(AND($AE239=Constants!$B$7, T239, U239) ,IF($Z239="", "", MAX(0,1-ABS($AA239-$Z239)/$AA239)),"")</f>
        <v/>
      </c>
      <c r="AM239" s="96" t="str">
        <f aca="false">IF(AND(NOT(ISERROR(AH239)),ISERROR(AL239)),$AM$6,"")</f>
        <v/>
      </c>
      <c r="AN239" s="96" t="str">
        <f aca="false">IF($AE239=Constants!$B$7 ,IF(AND(T239,U239,W239,ISNUMBER(Z239)),IF($AL$6=0,Constants!$B$10,Constants!$B$10*AL239/$AL$6), 0),"")</f>
        <v/>
      </c>
      <c r="AO239" s="96" t="str">
        <f aca="false">IF(AN239&lt;&gt;"", AN239*AG239,"")</f>
        <v/>
      </c>
      <c r="AP239" s="96" t="str">
        <f aca="false">IF($AE239=Constants!$B$7,IF($AP$6=0,Constants!$B$8,Constants!$B$8*AB239/$AP$6),"")</f>
        <v/>
      </c>
      <c r="AQ239" s="96" t="str">
        <f aca="false">IF($AE239&lt;&gt;Constants!$B$7,$AE239,AK239+AO239+AP239)</f>
        <v/>
      </c>
      <c r="AR239" s="96" t="str">
        <f aca="false">IF(ISBLANK($C239),"",IF($AE239=Constants!$B$7,RANK(AQ239,$AQ$8:$AQ$507),$AE239))</f>
        <v/>
      </c>
      <c r="AS239" s="96" t="str">
        <f aca="false">IF(ISBLANK($C239), "",AK239)</f>
        <v/>
      </c>
      <c r="AT239" s="96" t="str">
        <f aca="false">IF(ISBLANK($C239),"",IF($AE239=Constants!$B$7,RANK(AS239,AS$8:AS$507),$AE239))</f>
        <v/>
      </c>
      <c r="AU239" s="96" t="str">
        <f aca="false">IF(ISBLANK($C239), "",AP239)</f>
        <v/>
      </c>
      <c r="AV239" s="96" t="str">
        <f aca="false">IF(ISBLANK($C239),"",IF($AE239=Constants!$B$7,RANK(AU239,AU$8:AU$507),$AE239))</f>
        <v/>
      </c>
      <c r="AW239" s="96" t="str">
        <f aca="false">IF(ISBLANK($C239), "",AC239)</f>
        <v/>
      </c>
      <c r="AX239" s="96" t="str">
        <f aca="false">IF(ISBLANK($C239),"",
IF($AE239=Constants!$B$7,
  COUNTIFS($AR$8:$AR$507,"&lt;"&amp;$AR239)
  + COUNTIFS($AR$8:$AR$507,$AR239,$AT$8:$AT$507,"&lt;"&amp;$AT239)
  + COUNTIFS($AR$8:$AR$507,$AR239,$AT$8:$AT$507,$AT239,$AV$8:$AV$507,"&lt;"&amp;$AV239)
  + COUNTIFS($AR$8:$AR$507,$AR239,$AT$8:$AT$507,$AT239,$AV$8:$AV$507,$AV239,$AW$8:$AW$507,"&lt;"&amp;$AW239)
  + 1,
$AE239))</f>
        <v/>
      </c>
      <c r="AY239" s="96" t="str">
        <f aca="false">IF(ISBLANK(C239),"",IF($AE239=Constants!$B$7, AR239-AX239,$AE239))</f>
        <v/>
      </c>
      <c r="AZ239" s="100"/>
      <c r="BA239" s="101" t="str">
        <f aca="false">IF(ISBLANK($C239),"",TRIM(AI239&amp;" "&amp;AM239))</f>
        <v/>
      </c>
      <c r="BB239" s="102" t="str">
        <f aca="false">IF(ISBLANK($C239),"",IF($AE239&lt;&gt;Constants!$B$7, $AE239 ,AQ239))</f>
        <v/>
      </c>
      <c r="BC239" s="103" t="str">
        <f aca="false">IF(ISBLANK($C239),"",IF($AE239&lt;&gt;Constants!$B$7, $AE239 ,AF239))</f>
        <v/>
      </c>
      <c r="BD239" s="104" t="str">
        <f aca="false">IF(ISBLANK(C239),"",AY239)</f>
        <v/>
      </c>
      <c r="BE239" s="104" t="str">
        <f aca="false">IF(ISBLANK(C239),"",AX239)</f>
        <v/>
      </c>
      <c r="BF239" s="105" t="str">
        <f aca="false">IF(ISBLANK(C239),"",IFERROR(_xlfn.SWITCH(BE239, Constants!$B$4, COUNTA($C$8:$C738)+2, Constants!$B$5, COUNTA($C$8:$C738)+1, Constants!$B$6, COUNTA($C$8:$C738)),BE239))</f>
        <v/>
      </c>
      <c r="BG239" s="5"/>
      <c r="BH239" s="106" t="n">
        <f aca="false">IF(OR(ISNUMBER(BE239),BE239="DQ",BE239="P",BE239="NS"),
    1,
    0
)</f>
        <v>0</v>
      </c>
      <c r="BI239" s="106" t="n">
        <v>232</v>
      </c>
      <c r="BJ239" s="106" t="str">
        <f aca="false">IF(ISBLANK($C239),
    "",
   BF239+ROW($B239)/1000
)</f>
        <v/>
      </c>
      <c r="BK239" s="106" t="str">
        <f aca="false">IF(ISNUMBER(BJ239), RANK(BJ239,BJ$8:BJ$507,1), "")</f>
        <v/>
      </c>
      <c r="BL239" s="106" t="str">
        <f aca="false">IF(ISBLANK($C239),
    "",
    $B239
)</f>
        <v/>
      </c>
      <c r="BM239" s="106" t="str">
        <f aca="false">IF(ISBLANK($C239),
    "",
    $C239
)</f>
        <v/>
      </c>
      <c r="BN239" s="106" t="str">
        <f aca="false">IF(ISBLANK($C239),
    "",
    $D239
)</f>
        <v/>
      </c>
      <c r="BO239" s="107" t="str">
        <f aca="false">BC239</f>
        <v/>
      </c>
      <c r="BP239" s="108" t="str">
        <f aca="false">BB239</f>
        <v/>
      </c>
      <c r="BQ239" s="106" t="str">
        <f aca="false">IF(ISBLANK($C239),
    "",
    BE239
)</f>
        <v/>
      </c>
      <c r="BR239" s="109" t="str">
        <f aca="false">IF(BI239&gt;BH$7,
    "",
    VLOOKUP(BI239,BK$8:BQ738,7,FALSE())
)</f>
        <v/>
      </c>
      <c r="BS239" s="110" t="str">
        <f aca="false">IF(BI239&gt;BH$7,
    "",
    VLOOKUP(BI239,BK$8:BQ738,2,FALSE())
)</f>
        <v/>
      </c>
      <c r="BT239" s="110" t="str">
        <f aca="false">IF(BI239&gt;BH$7,
    "",
    VLOOKUP(BI239,BK$8:BQ738,3,FALSE())
)</f>
        <v/>
      </c>
      <c r="BU239" s="110" t="str">
        <f aca="false">IF(BI239&gt;BH$7,
    "",
    VLOOKUP(BI239,BK$8:BQ738,4,FALSE())
)</f>
        <v/>
      </c>
      <c r="BV239" s="110" t="str">
        <f aca="false">IF(BI239&gt;BH$7,
    "",
    VLOOKUP(BI239,BK$8:BQ738,5,FALSE())
)</f>
        <v/>
      </c>
      <c r="BW239" s="111" t="str">
        <f aca="false">IF(BI239&gt;BH$7,
    "",
    VLOOKUP(BI239,BK$8:BQ738,6,FALSE())
)</f>
        <v/>
      </c>
      <c r="BX239" s="50"/>
    </row>
    <row r="240" customFormat="false" ht="15.75" hidden="false" customHeight="false" outlineLevel="0" collapsed="false">
      <c r="A240" s="5"/>
      <c r="B240" s="122"/>
      <c r="C240" s="123"/>
      <c r="D240" s="112"/>
      <c r="E240" s="116"/>
      <c r="F240" s="116"/>
      <c r="G240" s="88"/>
      <c r="H240" s="89"/>
      <c r="I240" s="125"/>
      <c r="J240" s="125"/>
      <c r="K240" s="125"/>
      <c r="L240" s="91"/>
      <c r="M240" s="91"/>
      <c r="N240" s="91"/>
      <c r="O240" s="92"/>
      <c r="P240" s="93"/>
      <c r="Q240" s="125"/>
      <c r="R240" s="95"/>
      <c r="S240" s="96"/>
      <c r="T240" s="96" t="str">
        <f aca="false">IF(ISBLANK($C240),"",IF(G240=Constants!$B$2, TRUE(), IF(G240=Constants!$B$3, FALSE(), TRUE())))</f>
        <v/>
      </c>
      <c r="U240" s="96" t="str">
        <f aca="false">IF(ISBLANK($C240),"",IF(H240=Constants!$B$2, TRUE(), IF(H240=Constants!$B$3, FALSE(), TRUE())))</f>
        <v/>
      </c>
      <c r="V240" s="96" t="str">
        <f aca="false">IF(ISBLANK($C240),"",IF(I240=Constants!$B$2, TRUE(), IF(I240=Constants!$B$3, FALSE(), TRUE())))</f>
        <v/>
      </c>
      <c r="W240" s="96" t="str">
        <f aca="false">IF(ISBLANK($C240),"",IF(J240=Constants!$B$2, TRUE(), IF(J240=Constants!$B$3, FALSE(), TRUE())))</f>
        <v/>
      </c>
      <c r="X240" s="97" t="str">
        <f aca="false">IF(ISBLANK($C240),"",IF(K240=Constants!$B$2, TRUE(), IF(K240=Constants!$B$3, FALSE(), TRUE())))</f>
        <v/>
      </c>
      <c r="Y240" s="98" t="str">
        <f aca="false">IF(ISBLANK($C240),"",IF(ISNUMBER(L240), L240, ""))</f>
        <v/>
      </c>
      <c r="Z240" s="98" t="str">
        <f aca="false">IF(ISBLANK($C240),"",IF(ISNUMBER(M240), M240, ""))</f>
        <v/>
      </c>
      <c r="AA240" s="98" t="str">
        <f aca="false">IF(ISBLANK($C240),"",IF(ISNUMBER(N240), N240, ""))</f>
        <v/>
      </c>
      <c r="AB240" s="99" t="str">
        <f aca="false">IF(ISBLANK($C240),"",IF(ISNUMBER(O240), O240, ""))</f>
        <v/>
      </c>
      <c r="AC240" s="99" t="str">
        <f aca="false">IF(ISBLANK($C240),"",IF(ISNUMBER(P240), P240, Constants!$B$13))</f>
        <v/>
      </c>
      <c r="AD240" s="96" t="str">
        <f aca="false">IF(ISBLANK($C240),"",IF(Q240=Constants!$B$2, TRUE(), IF(Q240=Constants!$B$3, FALSE(), FALSE())))</f>
        <v/>
      </c>
      <c r="AE240" s="96" t="str">
        <f aca="false">IF(ISBLANK(C240), "", IF(AD240, Constants!$B$4,IF(COUNTA(G240:O240)=0, Constants!$B$5, Constants!$B$7)))</f>
        <v/>
      </c>
      <c r="AF240" s="96" t="str">
        <f aca="false">IF(ISBLANK($C240), "",IF($AE240=Constants!$B$7,1,$AE240))</f>
        <v/>
      </c>
      <c r="AG240" s="96" t="str">
        <f aca="false">IF($AE240=Constants!$B$7,IF(V240, 1, Constants!$B$11) * IF(X240, 1, Constants!$B$12),"")</f>
        <v/>
      </c>
      <c r="AH240" s="96" t="str">
        <f aca="false">IF(AND($AE240=Constants!$B$7, T240, U240) ,MAX(0, $AA240-$Y240),"")</f>
        <v/>
      </c>
      <c r="AI240" s="96" t="str">
        <f aca="false">IF(ISERROR(AH240),$AI$6,"")</f>
        <v/>
      </c>
      <c r="AJ240" s="96" t="str">
        <f aca="false">IF($AE240=Constants!$B$7,IF(AND(T240,U240,W240),IF($AH$6=0,Constants!$B$9,Constants!$B$9*AH240/$AH$6), 0),"")</f>
        <v/>
      </c>
      <c r="AK240" s="96" t="str">
        <f aca="false">IF(AJ240&lt;&gt;"", AJ240*AG240,"")</f>
        <v/>
      </c>
      <c r="AL240" s="96" t="str">
        <f aca="false">IF(AND($AE240=Constants!$B$7, T240, U240) ,IF($Z240="", "", MAX(0,1-ABS($AA240-$Z240)/$AA240)),"")</f>
        <v/>
      </c>
      <c r="AM240" s="96" t="str">
        <f aca="false">IF(AND(NOT(ISERROR(AH240)),ISERROR(AL240)),$AM$6,"")</f>
        <v/>
      </c>
      <c r="AN240" s="96" t="str">
        <f aca="false">IF($AE240=Constants!$B$7 ,IF(AND(T240,U240,W240,ISNUMBER(Z240)),IF($AL$6=0,Constants!$B$10,Constants!$B$10*AL240/$AL$6), 0),"")</f>
        <v/>
      </c>
      <c r="AO240" s="96" t="str">
        <f aca="false">IF(AN240&lt;&gt;"", AN240*AG240,"")</f>
        <v/>
      </c>
      <c r="AP240" s="96" t="str">
        <f aca="false">IF($AE240=Constants!$B$7,IF($AP$6=0,Constants!$B$8,Constants!$B$8*AB240/$AP$6),"")</f>
        <v/>
      </c>
      <c r="AQ240" s="96" t="str">
        <f aca="false">IF($AE240&lt;&gt;Constants!$B$7,$AE240,AK240+AO240+AP240)</f>
        <v/>
      </c>
      <c r="AR240" s="96" t="str">
        <f aca="false">IF(ISBLANK($C240),"",IF($AE240=Constants!$B$7,RANK(AQ240,$AQ$8:$AQ$507),$AE240))</f>
        <v/>
      </c>
      <c r="AS240" s="96" t="str">
        <f aca="false">IF(ISBLANK($C240), "",AK240)</f>
        <v/>
      </c>
      <c r="AT240" s="96" t="str">
        <f aca="false">IF(ISBLANK($C240),"",IF($AE240=Constants!$B$7,RANK(AS240,AS$8:AS$507),$AE240))</f>
        <v/>
      </c>
      <c r="AU240" s="96" t="str">
        <f aca="false">IF(ISBLANK($C240), "",AP240)</f>
        <v/>
      </c>
      <c r="AV240" s="96" t="str">
        <f aca="false">IF(ISBLANK($C240),"",IF($AE240=Constants!$B$7,RANK(AU240,AU$8:AU$507),$AE240))</f>
        <v/>
      </c>
      <c r="AW240" s="96" t="str">
        <f aca="false">IF(ISBLANK($C240), "",AC240)</f>
        <v/>
      </c>
      <c r="AX240" s="96" t="str">
        <f aca="false">IF(ISBLANK($C240),"",
IF($AE240=Constants!$B$7,
  COUNTIFS($AR$8:$AR$507,"&lt;"&amp;$AR240)
  + COUNTIFS($AR$8:$AR$507,$AR240,$AT$8:$AT$507,"&lt;"&amp;$AT240)
  + COUNTIFS($AR$8:$AR$507,$AR240,$AT$8:$AT$507,$AT240,$AV$8:$AV$507,"&lt;"&amp;$AV240)
  + COUNTIFS($AR$8:$AR$507,$AR240,$AT$8:$AT$507,$AT240,$AV$8:$AV$507,$AV240,$AW$8:$AW$507,"&lt;"&amp;$AW240)
  + 1,
$AE240))</f>
        <v/>
      </c>
      <c r="AY240" s="96" t="str">
        <f aca="false">IF(ISBLANK(C240),"",IF($AE240=Constants!$B$7, AR240-AX240,$AE240))</f>
        <v/>
      </c>
      <c r="AZ240" s="100"/>
      <c r="BA240" s="101" t="str">
        <f aca="false">IF(ISBLANK($C240),"",TRIM(AI240&amp;" "&amp;AM240))</f>
        <v/>
      </c>
      <c r="BB240" s="102" t="str">
        <f aca="false">IF(ISBLANK($C240),"",IF($AE240&lt;&gt;Constants!$B$7, $AE240 ,AQ240))</f>
        <v/>
      </c>
      <c r="BC240" s="103" t="str">
        <f aca="false">IF(ISBLANK($C240),"",IF($AE240&lt;&gt;Constants!$B$7, $AE240 ,AF240))</f>
        <v/>
      </c>
      <c r="BD240" s="104" t="str">
        <f aca="false">IF(ISBLANK(C240),"",AY240)</f>
        <v/>
      </c>
      <c r="BE240" s="104" t="str">
        <f aca="false">IF(ISBLANK(C240),"",AX240)</f>
        <v/>
      </c>
      <c r="BF240" s="105" t="str">
        <f aca="false">IF(ISBLANK(C240),"",IFERROR(_xlfn.SWITCH(BE240, Constants!$B$4, COUNTA($C$8:$C739)+2, Constants!$B$5, COUNTA($C$8:$C739)+1, Constants!$B$6, COUNTA($C$8:$C739)),BE240))</f>
        <v/>
      </c>
      <c r="BG240" s="5"/>
      <c r="BH240" s="106" t="n">
        <f aca="false">IF(OR(ISNUMBER(BE240),BE240="DQ",BE240="P",BE240="NS"),
    1,
    0
)</f>
        <v>0</v>
      </c>
      <c r="BI240" s="106" t="n">
        <v>233</v>
      </c>
      <c r="BJ240" s="106" t="str">
        <f aca="false">IF(ISBLANK($C240),
    "",
   BF240+ROW($B240)/1000
)</f>
        <v/>
      </c>
      <c r="BK240" s="106" t="str">
        <f aca="false">IF(ISNUMBER(BJ240), RANK(BJ240,BJ$8:BJ$507,1), "")</f>
        <v/>
      </c>
      <c r="BL240" s="106" t="str">
        <f aca="false">IF(ISBLANK($C240),
    "",
    $B240
)</f>
        <v/>
      </c>
      <c r="BM240" s="106" t="str">
        <f aca="false">IF(ISBLANK($C240),
    "",
    $C240
)</f>
        <v/>
      </c>
      <c r="BN240" s="106" t="str">
        <f aca="false">IF(ISBLANK($C240),
    "",
    $D240
)</f>
        <v/>
      </c>
      <c r="BO240" s="107" t="str">
        <f aca="false">BC240</f>
        <v/>
      </c>
      <c r="BP240" s="108" t="str">
        <f aca="false">BB240</f>
        <v/>
      </c>
      <c r="BQ240" s="106" t="str">
        <f aca="false">IF(ISBLANK($C240),
    "",
    BE240
)</f>
        <v/>
      </c>
      <c r="BR240" s="109" t="str">
        <f aca="false">IF(BI240&gt;BH$7,
    "",
    VLOOKUP(BI240,BK$8:BQ739,7,FALSE())
)</f>
        <v/>
      </c>
      <c r="BS240" s="110" t="str">
        <f aca="false">IF(BI240&gt;BH$7,
    "",
    VLOOKUP(BI240,BK$8:BQ739,2,FALSE())
)</f>
        <v/>
      </c>
      <c r="BT240" s="110" t="str">
        <f aca="false">IF(BI240&gt;BH$7,
    "",
    VLOOKUP(BI240,BK$8:BQ739,3,FALSE())
)</f>
        <v/>
      </c>
      <c r="BU240" s="110" t="str">
        <f aca="false">IF(BI240&gt;BH$7,
    "",
    VLOOKUP(BI240,BK$8:BQ739,4,FALSE())
)</f>
        <v/>
      </c>
      <c r="BV240" s="110" t="str">
        <f aca="false">IF(BI240&gt;BH$7,
    "",
    VLOOKUP(BI240,BK$8:BQ739,5,FALSE())
)</f>
        <v/>
      </c>
      <c r="BW240" s="111" t="str">
        <f aca="false">IF(BI240&gt;BH$7,
    "",
    VLOOKUP(BI240,BK$8:BQ739,6,FALSE())
)</f>
        <v/>
      </c>
      <c r="BX240" s="50"/>
    </row>
    <row r="241" customFormat="false" ht="15.75" hidden="false" customHeight="false" outlineLevel="0" collapsed="false">
      <c r="A241" s="5"/>
      <c r="B241" s="122"/>
      <c r="C241" s="123"/>
      <c r="D241" s="112"/>
      <c r="E241" s="116"/>
      <c r="F241" s="116"/>
      <c r="G241" s="88"/>
      <c r="H241" s="89"/>
      <c r="I241" s="125"/>
      <c r="J241" s="125"/>
      <c r="K241" s="125"/>
      <c r="L241" s="91"/>
      <c r="M241" s="91"/>
      <c r="N241" s="91"/>
      <c r="O241" s="92"/>
      <c r="P241" s="93"/>
      <c r="Q241" s="125"/>
      <c r="R241" s="95"/>
      <c r="S241" s="96"/>
      <c r="T241" s="96" t="str">
        <f aca="false">IF(ISBLANK($C241),"",IF(G241=Constants!$B$2, TRUE(), IF(G241=Constants!$B$3, FALSE(), TRUE())))</f>
        <v/>
      </c>
      <c r="U241" s="96" t="str">
        <f aca="false">IF(ISBLANK($C241),"",IF(H241=Constants!$B$2, TRUE(), IF(H241=Constants!$B$3, FALSE(), TRUE())))</f>
        <v/>
      </c>
      <c r="V241" s="96" t="str">
        <f aca="false">IF(ISBLANK($C241),"",IF(I241=Constants!$B$2, TRUE(), IF(I241=Constants!$B$3, FALSE(), TRUE())))</f>
        <v/>
      </c>
      <c r="W241" s="96" t="str">
        <f aca="false">IF(ISBLANK($C241),"",IF(J241=Constants!$B$2, TRUE(), IF(J241=Constants!$B$3, FALSE(), TRUE())))</f>
        <v/>
      </c>
      <c r="X241" s="97" t="str">
        <f aca="false">IF(ISBLANK($C241),"",IF(K241=Constants!$B$2, TRUE(), IF(K241=Constants!$B$3, FALSE(), TRUE())))</f>
        <v/>
      </c>
      <c r="Y241" s="98" t="str">
        <f aca="false">IF(ISBLANK($C241),"",IF(ISNUMBER(L241), L241, ""))</f>
        <v/>
      </c>
      <c r="Z241" s="98" t="str">
        <f aca="false">IF(ISBLANK($C241),"",IF(ISNUMBER(M241), M241, ""))</f>
        <v/>
      </c>
      <c r="AA241" s="98" t="str">
        <f aca="false">IF(ISBLANK($C241),"",IF(ISNUMBER(N241), N241, ""))</f>
        <v/>
      </c>
      <c r="AB241" s="99" t="str">
        <f aca="false">IF(ISBLANK($C241),"",IF(ISNUMBER(O241), O241, ""))</f>
        <v/>
      </c>
      <c r="AC241" s="99" t="str">
        <f aca="false">IF(ISBLANK($C241),"",IF(ISNUMBER(P241), P241, Constants!$B$13))</f>
        <v/>
      </c>
      <c r="AD241" s="96" t="str">
        <f aca="false">IF(ISBLANK($C241),"",IF(Q241=Constants!$B$2, TRUE(), IF(Q241=Constants!$B$3, FALSE(), FALSE())))</f>
        <v/>
      </c>
      <c r="AE241" s="96" t="str">
        <f aca="false">IF(ISBLANK(C241), "", IF(AD241, Constants!$B$4,IF(COUNTA(G241:O241)=0, Constants!$B$5, Constants!$B$7)))</f>
        <v/>
      </c>
      <c r="AF241" s="96" t="str">
        <f aca="false">IF(ISBLANK($C241), "",IF($AE241=Constants!$B$7,1,$AE241))</f>
        <v/>
      </c>
      <c r="AG241" s="96" t="str">
        <f aca="false">IF($AE241=Constants!$B$7,IF(V241, 1, Constants!$B$11) * IF(X241, 1, Constants!$B$12),"")</f>
        <v/>
      </c>
      <c r="AH241" s="96" t="str">
        <f aca="false">IF(AND($AE241=Constants!$B$7, T241, U241) ,MAX(0, $AA241-$Y241),"")</f>
        <v/>
      </c>
      <c r="AI241" s="96" t="str">
        <f aca="false">IF(ISERROR(AH241),$AI$6,"")</f>
        <v/>
      </c>
      <c r="AJ241" s="96" t="str">
        <f aca="false">IF($AE241=Constants!$B$7,IF(AND(T241,U241,W241),IF($AH$6=0,Constants!$B$9,Constants!$B$9*AH241/$AH$6), 0),"")</f>
        <v/>
      </c>
      <c r="AK241" s="96" t="str">
        <f aca="false">IF(AJ241&lt;&gt;"", AJ241*AG241,"")</f>
        <v/>
      </c>
      <c r="AL241" s="96" t="str">
        <f aca="false">IF(AND($AE241=Constants!$B$7, T241, U241) ,IF($Z241="", "", MAX(0,1-ABS($AA241-$Z241)/$AA241)),"")</f>
        <v/>
      </c>
      <c r="AM241" s="96" t="str">
        <f aca="false">IF(AND(NOT(ISERROR(AH241)),ISERROR(AL241)),$AM$6,"")</f>
        <v/>
      </c>
      <c r="AN241" s="96" t="str">
        <f aca="false">IF($AE241=Constants!$B$7 ,IF(AND(T241,U241,W241,ISNUMBER(Z241)),IF($AL$6=0,Constants!$B$10,Constants!$B$10*AL241/$AL$6), 0),"")</f>
        <v/>
      </c>
      <c r="AO241" s="96" t="str">
        <f aca="false">IF(AN241&lt;&gt;"", AN241*AG241,"")</f>
        <v/>
      </c>
      <c r="AP241" s="96" t="str">
        <f aca="false">IF($AE241=Constants!$B$7,IF($AP$6=0,Constants!$B$8,Constants!$B$8*AB241/$AP$6),"")</f>
        <v/>
      </c>
      <c r="AQ241" s="96" t="str">
        <f aca="false">IF($AE241&lt;&gt;Constants!$B$7,$AE241,AK241+AO241+AP241)</f>
        <v/>
      </c>
      <c r="AR241" s="96" t="str">
        <f aca="false">IF(ISBLANK($C241),"",IF($AE241=Constants!$B$7,RANK(AQ241,$AQ$8:$AQ$507),$AE241))</f>
        <v/>
      </c>
      <c r="AS241" s="96" t="str">
        <f aca="false">IF(ISBLANK($C241), "",AK241)</f>
        <v/>
      </c>
      <c r="AT241" s="96" t="str">
        <f aca="false">IF(ISBLANK($C241),"",IF($AE241=Constants!$B$7,RANK(AS241,AS$8:AS$507),$AE241))</f>
        <v/>
      </c>
      <c r="AU241" s="96" t="str">
        <f aca="false">IF(ISBLANK($C241), "",AP241)</f>
        <v/>
      </c>
      <c r="AV241" s="96" t="str">
        <f aca="false">IF(ISBLANK($C241),"",IF($AE241=Constants!$B$7,RANK(AU241,AU$8:AU$507),$AE241))</f>
        <v/>
      </c>
      <c r="AW241" s="96" t="str">
        <f aca="false">IF(ISBLANK($C241), "",AC241)</f>
        <v/>
      </c>
      <c r="AX241" s="96" t="str">
        <f aca="false">IF(ISBLANK($C241),"",
IF($AE241=Constants!$B$7,
  COUNTIFS($AR$8:$AR$507,"&lt;"&amp;$AR241)
  + COUNTIFS($AR$8:$AR$507,$AR241,$AT$8:$AT$507,"&lt;"&amp;$AT241)
  + COUNTIFS($AR$8:$AR$507,$AR241,$AT$8:$AT$507,$AT241,$AV$8:$AV$507,"&lt;"&amp;$AV241)
  + COUNTIFS($AR$8:$AR$507,$AR241,$AT$8:$AT$507,$AT241,$AV$8:$AV$507,$AV241,$AW$8:$AW$507,"&lt;"&amp;$AW241)
  + 1,
$AE241))</f>
        <v/>
      </c>
      <c r="AY241" s="96" t="str">
        <f aca="false">IF(ISBLANK(C241),"",IF($AE241=Constants!$B$7, AR241-AX241,$AE241))</f>
        <v/>
      </c>
      <c r="AZ241" s="100"/>
      <c r="BA241" s="101" t="str">
        <f aca="false">IF(ISBLANK($C241),"",TRIM(AI241&amp;" "&amp;AM241))</f>
        <v/>
      </c>
      <c r="BB241" s="102" t="str">
        <f aca="false">IF(ISBLANK($C241),"",IF($AE241&lt;&gt;Constants!$B$7, $AE241 ,AQ241))</f>
        <v/>
      </c>
      <c r="BC241" s="103" t="str">
        <f aca="false">IF(ISBLANK($C241),"",IF($AE241&lt;&gt;Constants!$B$7, $AE241 ,AF241))</f>
        <v/>
      </c>
      <c r="BD241" s="104" t="str">
        <f aca="false">IF(ISBLANK(C241),"",AY241)</f>
        <v/>
      </c>
      <c r="BE241" s="104" t="str">
        <f aca="false">IF(ISBLANK(C241),"",AX241)</f>
        <v/>
      </c>
      <c r="BF241" s="105" t="str">
        <f aca="false">IF(ISBLANK(C241),"",IFERROR(_xlfn.SWITCH(BE241, Constants!$B$4, COUNTA($C$8:$C740)+2, Constants!$B$5, COUNTA($C$8:$C740)+1, Constants!$B$6, COUNTA($C$8:$C740)),BE241))</f>
        <v/>
      </c>
      <c r="BG241" s="5"/>
      <c r="BH241" s="106" t="n">
        <f aca="false">IF(OR(ISNUMBER(BE241),BE241="DQ",BE241="P",BE241="NS"),
    1,
    0
)</f>
        <v>0</v>
      </c>
      <c r="BI241" s="106" t="n">
        <v>234</v>
      </c>
      <c r="BJ241" s="106" t="str">
        <f aca="false">IF(ISBLANK($C241),
    "",
   BF241+ROW($B241)/1000
)</f>
        <v/>
      </c>
      <c r="BK241" s="106" t="str">
        <f aca="false">IF(ISNUMBER(BJ241), RANK(BJ241,BJ$8:BJ$507,1), "")</f>
        <v/>
      </c>
      <c r="BL241" s="106" t="str">
        <f aca="false">IF(ISBLANK($C241),
    "",
    $B241
)</f>
        <v/>
      </c>
      <c r="BM241" s="106" t="str">
        <f aca="false">IF(ISBLANK($C241),
    "",
    $C241
)</f>
        <v/>
      </c>
      <c r="BN241" s="106" t="str">
        <f aca="false">IF(ISBLANK($C241),
    "",
    $D241
)</f>
        <v/>
      </c>
      <c r="BO241" s="107" t="str">
        <f aca="false">BC241</f>
        <v/>
      </c>
      <c r="BP241" s="108" t="str">
        <f aca="false">BB241</f>
        <v/>
      </c>
      <c r="BQ241" s="106" t="str">
        <f aca="false">IF(ISBLANK($C241),
    "",
    BE241
)</f>
        <v/>
      </c>
      <c r="BR241" s="109" t="str">
        <f aca="false">IF(BI241&gt;BH$7,
    "",
    VLOOKUP(BI241,BK$8:BQ740,7,FALSE())
)</f>
        <v/>
      </c>
      <c r="BS241" s="110" t="str">
        <f aca="false">IF(BI241&gt;BH$7,
    "",
    VLOOKUP(BI241,BK$8:BQ740,2,FALSE())
)</f>
        <v/>
      </c>
      <c r="BT241" s="110" t="str">
        <f aca="false">IF(BI241&gt;BH$7,
    "",
    VLOOKUP(BI241,BK$8:BQ740,3,FALSE())
)</f>
        <v/>
      </c>
      <c r="BU241" s="110" t="str">
        <f aca="false">IF(BI241&gt;BH$7,
    "",
    VLOOKUP(BI241,BK$8:BQ740,4,FALSE())
)</f>
        <v/>
      </c>
      <c r="BV241" s="110" t="str">
        <f aca="false">IF(BI241&gt;BH$7,
    "",
    VLOOKUP(BI241,BK$8:BQ740,5,FALSE())
)</f>
        <v/>
      </c>
      <c r="BW241" s="111" t="str">
        <f aca="false">IF(BI241&gt;BH$7,
    "",
    VLOOKUP(BI241,BK$8:BQ740,6,FALSE())
)</f>
        <v/>
      </c>
      <c r="BX241" s="50"/>
    </row>
    <row r="242" customFormat="false" ht="15.75" hidden="false" customHeight="false" outlineLevel="0" collapsed="false">
      <c r="A242" s="5"/>
      <c r="B242" s="126"/>
      <c r="C242" s="52"/>
      <c r="D242" s="53"/>
      <c r="E242" s="120"/>
      <c r="F242" s="120"/>
      <c r="G242" s="55"/>
      <c r="H242" s="56"/>
      <c r="I242" s="80"/>
      <c r="J242" s="80"/>
      <c r="K242" s="80"/>
      <c r="L242" s="58"/>
      <c r="M242" s="58"/>
      <c r="N242" s="58"/>
      <c r="O242" s="59"/>
      <c r="P242" s="60"/>
      <c r="Q242" s="80"/>
      <c r="R242" s="62"/>
      <c r="S242" s="63"/>
      <c r="T242" s="63" t="str">
        <f aca="false">IF(ISBLANK($C242),"",IF(G242=Constants!$B$2, TRUE(), IF(G242=Constants!$B$3, FALSE(), TRUE())))</f>
        <v/>
      </c>
      <c r="U242" s="63" t="str">
        <f aca="false">IF(ISBLANK($C242),"",IF(H242=Constants!$B$2, TRUE(), IF(H242=Constants!$B$3, FALSE(), TRUE())))</f>
        <v/>
      </c>
      <c r="V242" s="63" t="str">
        <f aca="false">IF(ISBLANK($C242),"",IF(I242=Constants!$B$2, TRUE(), IF(I242=Constants!$B$3, FALSE(), TRUE())))</f>
        <v/>
      </c>
      <c r="W242" s="63" t="str">
        <f aca="false">IF(ISBLANK($C242),"",IF(J242=Constants!$B$2, TRUE(), IF(J242=Constants!$B$3, FALSE(), TRUE())))</f>
        <v/>
      </c>
      <c r="X242" s="63" t="str">
        <f aca="false">IF(ISBLANK($C242),"",IF(K242=Constants!$B$2, TRUE(), IF(K242=Constants!$B$3, FALSE(), TRUE())))</f>
        <v/>
      </c>
      <c r="Y242" s="65" t="str">
        <f aca="false">IF(ISBLANK($C242),"",IF(ISNUMBER(L242), L242, ""))</f>
        <v/>
      </c>
      <c r="Z242" s="65" t="str">
        <f aca="false">IF(ISBLANK($C242),"",IF(ISNUMBER(M242), M242, ""))</f>
        <v/>
      </c>
      <c r="AA242" s="65" t="str">
        <f aca="false">IF(ISBLANK($C242),"",IF(ISNUMBER(N242), N242, ""))</f>
        <v/>
      </c>
      <c r="AB242" s="66" t="str">
        <f aca="false">IF(ISBLANK($C242),"",IF(ISNUMBER(O242), O242, ""))</f>
        <v/>
      </c>
      <c r="AC242" s="66" t="str">
        <f aca="false">IF(ISBLANK($C242),"",IF(ISNUMBER(P242), P242, Constants!$B$13))</f>
        <v/>
      </c>
      <c r="AD242" s="63" t="str">
        <f aca="false">IF(ISBLANK($C242),"",IF(Q242=Constants!$B$2, TRUE(), IF(Q242=Constants!$B$3, FALSE(), FALSE())))</f>
        <v/>
      </c>
      <c r="AE242" s="63" t="str">
        <f aca="false">IF(ISBLANK(C242), "", IF(AD242, Constants!$B$4,IF(COUNTA(G242:O242)=0, Constants!$B$5, Constants!$B$7)))</f>
        <v/>
      </c>
      <c r="AF242" s="63" t="str">
        <f aca="false">IF(ISBLANK($C242), "",IF($AE242=Constants!$B$7,1,$AE242))</f>
        <v/>
      </c>
      <c r="AG242" s="63" t="str">
        <f aca="false">IF($AE242=Constants!$B$7,IF(V242, 1, Constants!$B$11) * IF(X242, 1, Constants!$B$12),"")</f>
        <v/>
      </c>
      <c r="AH242" s="63" t="str">
        <f aca="false">IF(AND($AE242=Constants!$B$7, T242, U242) ,MAX(0, $AA242-$Y242),"")</f>
        <v/>
      </c>
      <c r="AI242" s="63" t="str">
        <f aca="false">IF(ISERROR(AH242),$AI$6,"")</f>
        <v/>
      </c>
      <c r="AJ242" s="63" t="str">
        <f aca="false">IF($AE242=Constants!$B$7,IF(AND(T242,U242,W242),IF($AH$6=0,Constants!$B$9,Constants!$B$9*AH242/$AH$6), 0),"")</f>
        <v/>
      </c>
      <c r="AK242" s="63" t="str">
        <f aca="false">IF(AJ242&lt;&gt;"", AJ242*AG242,"")</f>
        <v/>
      </c>
      <c r="AL242" s="63" t="str">
        <f aca="false">IF(AND($AE242=Constants!$B$7, T242, U242) ,IF($Z242="", "", MAX(0,1-ABS($AA242-$Z242)/$AA242)),"")</f>
        <v/>
      </c>
      <c r="AM242" s="63" t="str">
        <f aca="false">IF(AND(NOT(ISERROR(AH242)),ISERROR(AL242)),$AM$6,"")</f>
        <v/>
      </c>
      <c r="AN242" s="63" t="str">
        <f aca="false">IF($AE242=Constants!$B$7 ,IF(AND(T242,U242,W242,ISNUMBER(Z242)),IF($AL$6=0,Constants!$B$10,Constants!$B$10*AL242/$AL$6), 0),"")</f>
        <v/>
      </c>
      <c r="AO242" s="63" t="str">
        <f aca="false">IF(AN242&lt;&gt;"", AN242*AG242,"")</f>
        <v/>
      </c>
      <c r="AP242" s="63" t="str">
        <f aca="false">IF($AE242=Constants!$B$7,IF($AP$6=0,Constants!$B$8,Constants!$B$8*AB242/$AP$6),"")</f>
        <v/>
      </c>
      <c r="AQ242" s="63" t="str">
        <f aca="false">IF($AE242&lt;&gt;Constants!$B$7,$AE242,AK242+AO242+AP242)</f>
        <v/>
      </c>
      <c r="AR242" s="63" t="str">
        <f aca="false">IF(ISBLANK($C242),"",IF($AE242=Constants!$B$7,RANK(AQ242,$AQ$8:$AQ$507),$AE242))</f>
        <v/>
      </c>
      <c r="AS242" s="63" t="str">
        <f aca="false">IF(ISBLANK($C242), "",AK242)</f>
        <v/>
      </c>
      <c r="AT242" s="63" t="str">
        <f aca="false">IF(ISBLANK($C242),"",IF($AE242=Constants!$B$7,RANK(AS242,AS$8:AS$507),$AE242))</f>
        <v/>
      </c>
      <c r="AU242" s="63" t="str">
        <f aca="false">IF(ISBLANK($C242), "",AP242)</f>
        <v/>
      </c>
      <c r="AV242" s="63" t="str">
        <f aca="false">IF(ISBLANK($C242),"",IF($AE242=Constants!$B$7,RANK(AU242,AU$8:AU$507),$AE242))</f>
        <v/>
      </c>
      <c r="AW242" s="63" t="str">
        <f aca="false">IF(ISBLANK($C242), "",AC242)</f>
        <v/>
      </c>
      <c r="AX242" s="63" t="str">
        <f aca="false">IF(ISBLANK($C242),"",
IF($AE242=Constants!$B$7,
  COUNTIFS($AR$8:$AR$507,"&lt;"&amp;$AR242)
  + COUNTIFS($AR$8:$AR$507,$AR242,$AT$8:$AT$507,"&lt;"&amp;$AT242)
  + COUNTIFS($AR$8:$AR$507,$AR242,$AT$8:$AT$507,$AT242,$AV$8:$AV$507,"&lt;"&amp;$AV242)
  + COUNTIFS($AR$8:$AR$507,$AR242,$AT$8:$AT$507,$AT242,$AV$8:$AV$507,$AV242,$AW$8:$AW$507,"&lt;"&amp;$AW242)
  + 1,
$AE242))</f>
        <v/>
      </c>
      <c r="AY242" s="63" t="str">
        <f aca="false">IF(ISBLANK(C242),"",IF($AE242=Constants!$B$7, AR242-AX242,$AE242))</f>
        <v/>
      </c>
      <c r="AZ242" s="67"/>
      <c r="BA242" s="81" t="str">
        <f aca="false">IF(ISBLANK($C242),"",TRIM(AI242&amp;" "&amp;AM242))</f>
        <v/>
      </c>
      <c r="BB242" s="69" t="str">
        <f aca="false">IF(ISBLANK($C242),"",IF($AE242&lt;&gt;Constants!$B$7, $AE242 ,AQ242))</f>
        <v/>
      </c>
      <c r="BC242" s="70" t="str">
        <f aca="false">IF(ISBLANK($C242),"",IF($AE242&lt;&gt;Constants!$B$7, $AE242 ,AF242))</f>
        <v/>
      </c>
      <c r="BD242" s="71" t="str">
        <f aca="false">IF(ISBLANK(C242),"",AY242)</f>
        <v/>
      </c>
      <c r="BE242" s="71" t="str">
        <f aca="false">IF(ISBLANK(C242),"",AX242)</f>
        <v/>
      </c>
      <c r="BF242" s="72" t="str">
        <f aca="false">IF(ISBLANK(C242),"",IFERROR(_xlfn.SWITCH(BE242, Constants!$B$4, COUNTA($C$8:$C741)+2, Constants!$B$5, COUNTA($C$8:$C741)+1, Constants!$B$6, COUNTA($C$8:$C741)),BE242))</f>
        <v/>
      </c>
      <c r="BG242" s="5"/>
      <c r="BH242" s="73" t="n">
        <f aca="false">IF(OR(ISNUMBER(BE242),BE242="DQ",BE242="P",BE242="NS"),
    1,
    0
)</f>
        <v>0</v>
      </c>
      <c r="BI242" s="73" t="n">
        <v>235</v>
      </c>
      <c r="BJ242" s="73" t="str">
        <f aca="false">IF(ISBLANK($C242),
    "",
   BF242+ROW($B242)/1000
)</f>
        <v/>
      </c>
      <c r="BK242" s="73" t="str">
        <f aca="false">IF(ISNUMBER(BJ242), RANK(BJ242,BJ$8:BJ$507,1), "")</f>
        <v/>
      </c>
      <c r="BL242" s="73" t="str">
        <f aca="false">IF(ISBLANK($C242),
    "",
    $B242
)</f>
        <v/>
      </c>
      <c r="BM242" s="73" t="str">
        <f aca="false">IF(ISBLANK($C242),
    "",
    $C242
)</f>
        <v/>
      </c>
      <c r="BN242" s="73" t="str">
        <f aca="false">IF(ISBLANK($C242),
    "",
    $D242
)</f>
        <v/>
      </c>
      <c r="BO242" s="74" t="str">
        <f aca="false">BC242</f>
        <v/>
      </c>
      <c r="BP242" s="75" t="str">
        <f aca="false">BB242</f>
        <v/>
      </c>
      <c r="BQ242" s="73" t="str">
        <f aca="false">IF(ISBLANK($C242),
    "",
    BE242
)</f>
        <v/>
      </c>
      <c r="BR242" s="76" t="str">
        <f aca="false">IF(BI242&gt;BH$7,
    "",
    VLOOKUP(BI242,BK$8:BQ741,7,FALSE())
)</f>
        <v/>
      </c>
      <c r="BS242" s="77" t="str">
        <f aca="false">IF(BI242&gt;BH$7,
    "",
    VLOOKUP(BI242,BK$8:BQ741,2,FALSE())
)</f>
        <v/>
      </c>
      <c r="BT242" s="77" t="str">
        <f aca="false">IF(BI242&gt;BH$7,
    "",
    VLOOKUP(BI242,BK$8:BQ741,3,FALSE())
)</f>
        <v/>
      </c>
      <c r="BU242" s="77" t="str">
        <f aca="false">IF(BI242&gt;BH$7,
    "",
    VLOOKUP(BI242,BK$8:BQ741,4,FALSE())
)</f>
        <v/>
      </c>
      <c r="BV242" s="77" t="str">
        <f aca="false">IF(BI242&gt;BH$7,
    "",
    VLOOKUP(BI242,BK$8:BQ741,5,FALSE())
)</f>
        <v/>
      </c>
      <c r="BW242" s="78" t="str">
        <f aca="false">IF(BI242&gt;BH$7,
    "",
    VLOOKUP(BI242,BK$8:BQ741,6,FALSE())
)</f>
        <v/>
      </c>
      <c r="BX242" s="50"/>
    </row>
    <row r="243" customFormat="false" ht="15.75" hidden="false" customHeight="false" outlineLevel="0" collapsed="false">
      <c r="A243" s="5"/>
      <c r="B243" s="126"/>
      <c r="C243" s="52"/>
      <c r="D243" s="53"/>
      <c r="E243" s="120"/>
      <c r="F243" s="120"/>
      <c r="G243" s="55"/>
      <c r="H243" s="56"/>
      <c r="I243" s="80"/>
      <c r="J243" s="80"/>
      <c r="K243" s="80"/>
      <c r="L243" s="58"/>
      <c r="M243" s="58"/>
      <c r="N243" s="58"/>
      <c r="O243" s="59"/>
      <c r="P243" s="60"/>
      <c r="Q243" s="80"/>
      <c r="R243" s="62"/>
      <c r="S243" s="63"/>
      <c r="T243" s="63" t="str">
        <f aca="false">IF(ISBLANK($C243),"",IF(G243=Constants!$B$2, TRUE(), IF(G243=Constants!$B$3, FALSE(), TRUE())))</f>
        <v/>
      </c>
      <c r="U243" s="63" t="str">
        <f aca="false">IF(ISBLANK($C243),"",IF(H243=Constants!$B$2, TRUE(), IF(H243=Constants!$B$3, FALSE(), TRUE())))</f>
        <v/>
      </c>
      <c r="V243" s="63" t="str">
        <f aca="false">IF(ISBLANK($C243),"",IF(I243=Constants!$B$2, TRUE(), IF(I243=Constants!$B$3, FALSE(), TRUE())))</f>
        <v/>
      </c>
      <c r="W243" s="63" t="str">
        <f aca="false">IF(ISBLANK($C243),"",IF(J243=Constants!$B$2, TRUE(), IF(J243=Constants!$B$3, FALSE(), TRUE())))</f>
        <v/>
      </c>
      <c r="X243" s="63" t="str">
        <f aca="false">IF(ISBLANK($C243),"",IF(K243=Constants!$B$2, TRUE(), IF(K243=Constants!$B$3, FALSE(), TRUE())))</f>
        <v/>
      </c>
      <c r="Y243" s="65" t="str">
        <f aca="false">IF(ISBLANK($C243),"",IF(ISNUMBER(L243), L243, ""))</f>
        <v/>
      </c>
      <c r="Z243" s="65" t="str">
        <f aca="false">IF(ISBLANK($C243),"",IF(ISNUMBER(M243), M243, ""))</f>
        <v/>
      </c>
      <c r="AA243" s="65" t="str">
        <f aca="false">IF(ISBLANK($C243),"",IF(ISNUMBER(N243), N243, ""))</f>
        <v/>
      </c>
      <c r="AB243" s="66" t="str">
        <f aca="false">IF(ISBLANK($C243),"",IF(ISNUMBER(O243), O243, ""))</f>
        <v/>
      </c>
      <c r="AC243" s="66" t="str">
        <f aca="false">IF(ISBLANK($C243),"",IF(ISNUMBER(P243), P243, Constants!$B$13))</f>
        <v/>
      </c>
      <c r="AD243" s="63" t="str">
        <f aca="false">IF(ISBLANK($C243),"",IF(Q243=Constants!$B$2, TRUE(), IF(Q243=Constants!$B$3, FALSE(), FALSE())))</f>
        <v/>
      </c>
      <c r="AE243" s="63" t="str">
        <f aca="false">IF(ISBLANK(C243), "", IF(AD243, Constants!$B$4,IF(COUNTA(G243:O243)=0, Constants!$B$5, Constants!$B$7)))</f>
        <v/>
      </c>
      <c r="AF243" s="63" t="str">
        <f aca="false">IF(ISBLANK($C243), "",IF($AE243=Constants!$B$7,1,$AE243))</f>
        <v/>
      </c>
      <c r="AG243" s="63" t="str">
        <f aca="false">IF($AE243=Constants!$B$7,IF(V243, 1, Constants!$B$11) * IF(X243, 1, Constants!$B$12),"")</f>
        <v/>
      </c>
      <c r="AH243" s="63" t="str">
        <f aca="false">IF(AND($AE243=Constants!$B$7, T243, U243) ,MAX(0, $AA243-$Y243),"")</f>
        <v/>
      </c>
      <c r="AI243" s="63" t="str">
        <f aca="false">IF(ISERROR(AH243),$AI$6,"")</f>
        <v/>
      </c>
      <c r="AJ243" s="63" t="str">
        <f aca="false">IF($AE243=Constants!$B$7,IF(AND(T243,U243,W243),IF($AH$6=0,Constants!$B$9,Constants!$B$9*AH243/$AH$6), 0),"")</f>
        <v/>
      </c>
      <c r="AK243" s="63" t="str">
        <f aca="false">IF(AJ243&lt;&gt;"", AJ243*AG243,"")</f>
        <v/>
      </c>
      <c r="AL243" s="63" t="str">
        <f aca="false">IF(AND($AE243=Constants!$B$7, T243, U243) ,IF($Z243="", "", MAX(0,1-ABS($AA243-$Z243)/$AA243)),"")</f>
        <v/>
      </c>
      <c r="AM243" s="63" t="str">
        <f aca="false">IF(AND(NOT(ISERROR(AH243)),ISERROR(AL243)),$AM$6,"")</f>
        <v/>
      </c>
      <c r="AN243" s="63" t="str">
        <f aca="false">IF($AE243=Constants!$B$7 ,IF(AND(T243,U243,W243,ISNUMBER(Z243)),IF($AL$6=0,Constants!$B$10,Constants!$B$10*AL243/$AL$6), 0),"")</f>
        <v/>
      </c>
      <c r="AO243" s="63" t="str">
        <f aca="false">IF(AN243&lt;&gt;"", AN243*AG243,"")</f>
        <v/>
      </c>
      <c r="AP243" s="63" t="str">
        <f aca="false">IF($AE243=Constants!$B$7,IF($AP$6=0,Constants!$B$8,Constants!$B$8*AB243/$AP$6),"")</f>
        <v/>
      </c>
      <c r="AQ243" s="63" t="str">
        <f aca="false">IF($AE243&lt;&gt;Constants!$B$7,$AE243,AK243+AO243+AP243)</f>
        <v/>
      </c>
      <c r="AR243" s="63" t="str">
        <f aca="false">IF(ISBLANK($C243),"",IF($AE243=Constants!$B$7,RANK(AQ243,$AQ$8:$AQ$507),$AE243))</f>
        <v/>
      </c>
      <c r="AS243" s="63" t="str">
        <f aca="false">IF(ISBLANK($C243), "",AK243)</f>
        <v/>
      </c>
      <c r="AT243" s="63" t="str">
        <f aca="false">IF(ISBLANK($C243),"",IF($AE243=Constants!$B$7,RANK(AS243,AS$8:AS$507),$AE243))</f>
        <v/>
      </c>
      <c r="AU243" s="63" t="str">
        <f aca="false">IF(ISBLANK($C243), "",AP243)</f>
        <v/>
      </c>
      <c r="AV243" s="63" t="str">
        <f aca="false">IF(ISBLANK($C243),"",IF($AE243=Constants!$B$7,RANK(AU243,AU$8:AU$507),$AE243))</f>
        <v/>
      </c>
      <c r="AW243" s="63" t="str">
        <f aca="false">IF(ISBLANK($C243), "",AC243)</f>
        <v/>
      </c>
      <c r="AX243" s="63" t="str">
        <f aca="false">IF(ISBLANK($C243),"",
IF($AE243=Constants!$B$7,
  COUNTIFS($AR$8:$AR$507,"&lt;"&amp;$AR243)
  + COUNTIFS($AR$8:$AR$507,$AR243,$AT$8:$AT$507,"&lt;"&amp;$AT243)
  + COUNTIFS($AR$8:$AR$507,$AR243,$AT$8:$AT$507,$AT243,$AV$8:$AV$507,"&lt;"&amp;$AV243)
  + COUNTIFS($AR$8:$AR$507,$AR243,$AT$8:$AT$507,$AT243,$AV$8:$AV$507,$AV243,$AW$8:$AW$507,"&lt;"&amp;$AW243)
  + 1,
$AE243))</f>
        <v/>
      </c>
      <c r="AY243" s="63" t="str">
        <f aca="false">IF(ISBLANK(C243),"",IF($AE243=Constants!$B$7, AR243-AX243,$AE243))</f>
        <v/>
      </c>
      <c r="AZ243" s="67"/>
      <c r="BA243" s="81" t="str">
        <f aca="false">IF(ISBLANK($C243),"",TRIM(AI243&amp;" "&amp;AM243))</f>
        <v/>
      </c>
      <c r="BB243" s="69" t="str">
        <f aca="false">IF(ISBLANK($C243),"",IF($AE243&lt;&gt;Constants!$B$7, $AE243 ,AQ243))</f>
        <v/>
      </c>
      <c r="BC243" s="70" t="str">
        <f aca="false">IF(ISBLANK($C243),"",IF($AE243&lt;&gt;Constants!$B$7, $AE243 ,AF243))</f>
        <v/>
      </c>
      <c r="BD243" s="71" t="str">
        <f aca="false">IF(ISBLANK(C243),"",AY243)</f>
        <v/>
      </c>
      <c r="BE243" s="71" t="str">
        <f aca="false">IF(ISBLANK(C243),"",AX243)</f>
        <v/>
      </c>
      <c r="BF243" s="72" t="str">
        <f aca="false">IF(ISBLANK(C243),"",IFERROR(_xlfn.SWITCH(BE243, Constants!$B$4, COUNTA($C$8:$C742)+2, Constants!$B$5, COUNTA($C$8:$C742)+1, Constants!$B$6, COUNTA($C$8:$C742)),BE243))</f>
        <v/>
      </c>
      <c r="BG243" s="5"/>
      <c r="BH243" s="73" t="n">
        <f aca="false">IF(OR(ISNUMBER(BE243),BE243="DQ",BE243="P",BE243="NS"),
    1,
    0
)</f>
        <v>0</v>
      </c>
      <c r="BI243" s="73" t="n">
        <v>236</v>
      </c>
      <c r="BJ243" s="73" t="str">
        <f aca="false">IF(ISBLANK($C243),
    "",
   BF243+ROW($B243)/1000
)</f>
        <v/>
      </c>
      <c r="BK243" s="73" t="str">
        <f aca="false">IF(ISNUMBER(BJ243), RANK(BJ243,BJ$8:BJ$507,1), "")</f>
        <v/>
      </c>
      <c r="BL243" s="73" t="str">
        <f aca="false">IF(ISBLANK($C243),
    "",
    $B243
)</f>
        <v/>
      </c>
      <c r="BM243" s="73" t="str">
        <f aca="false">IF(ISBLANK($C243),
    "",
    $C243
)</f>
        <v/>
      </c>
      <c r="BN243" s="73" t="str">
        <f aca="false">IF(ISBLANK($C243),
    "",
    $D243
)</f>
        <v/>
      </c>
      <c r="BO243" s="74" t="str">
        <f aca="false">BC243</f>
        <v/>
      </c>
      <c r="BP243" s="75" t="str">
        <f aca="false">BB243</f>
        <v/>
      </c>
      <c r="BQ243" s="73" t="str">
        <f aca="false">IF(ISBLANK($C243),
    "",
    BE243
)</f>
        <v/>
      </c>
      <c r="BR243" s="76" t="str">
        <f aca="false">IF(BI243&gt;BH$7,
    "",
    VLOOKUP(BI243,BK$8:BQ742,7,FALSE())
)</f>
        <v/>
      </c>
      <c r="BS243" s="77" t="str">
        <f aca="false">IF(BI243&gt;BH$7,
    "",
    VLOOKUP(BI243,BK$8:BQ742,2,FALSE())
)</f>
        <v/>
      </c>
      <c r="BT243" s="77" t="str">
        <f aca="false">IF(BI243&gt;BH$7,
    "",
    VLOOKUP(BI243,BK$8:BQ742,3,FALSE())
)</f>
        <v/>
      </c>
      <c r="BU243" s="77" t="str">
        <f aca="false">IF(BI243&gt;BH$7,
    "",
    VLOOKUP(BI243,BK$8:BQ742,4,FALSE())
)</f>
        <v/>
      </c>
      <c r="BV243" s="77" t="str">
        <f aca="false">IF(BI243&gt;BH$7,
    "",
    VLOOKUP(BI243,BK$8:BQ742,5,FALSE())
)</f>
        <v/>
      </c>
      <c r="BW243" s="78" t="str">
        <f aca="false">IF(BI243&gt;BH$7,
    "",
    VLOOKUP(BI243,BK$8:BQ742,6,FALSE())
)</f>
        <v/>
      </c>
      <c r="BX243" s="50"/>
    </row>
    <row r="244" customFormat="false" ht="15.75" hidden="false" customHeight="false" outlineLevel="0" collapsed="false">
      <c r="A244" s="5"/>
      <c r="B244" s="126"/>
      <c r="C244" s="52"/>
      <c r="D244" s="53"/>
      <c r="E244" s="120"/>
      <c r="F244" s="120"/>
      <c r="G244" s="55"/>
      <c r="H244" s="56"/>
      <c r="I244" s="80"/>
      <c r="J244" s="80"/>
      <c r="K244" s="80"/>
      <c r="L244" s="58"/>
      <c r="M244" s="58"/>
      <c r="N244" s="58"/>
      <c r="O244" s="59"/>
      <c r="P244" s="60"/>
      <c r="Q244" s="80"/>
      <c r="R244" s="62"/>
      <c r="S244" s="63"/>
      <c r="T244" s="63" t="str">
        <f aca="false">IF(ISBLANK($C244),"",IF(G244=Constants!$B$2, TRUE(), IF(G244=Constants!$B$3, FALSE(), TRUE())))</f>
        <v/>
      </c>
      <c r="U244" s="63" t="str">
        <f aca="false">IF(ISBLANK($C244),"",IF(H244=Constants!$B$2, TRUE(), IF(H244=Constants!$B$3, FALSE(), TRUE())))</f>
        <v/>
      </c>
      <c r="V244" s="63" t="str">
        <f aca="false">IF(ISBLANK($C244),"",IF(I244=Constants!$B$2, TRUE(), IF(I244=Constants!$B$3, FALSE(), TRUE())))</f>
        <v/>
      </c>
      <c r="W244" s="63" t="str">
        <f aca="false">IF(ISBLANK($C244),"",IF(J244=Constants!$B$2, TRUE(), IF(J244=Constants!$B$3, FALSE(), TRUE())))</f>
        <v/>
      </c>
      <c r="X244" s="63" t="str">
        <f aca="false">IF(ISBLANK($C244),"",IF(K244=Constants!$B$2, TRUE(), IF(K244=Constants!$B$3, FALSE(), TRUE())))</f>
        <v/>
      </c>
      <c r="Y244" s="65" t="str">
        <f aca="false">IF(ISBLANK($C244),"",IF(ISNUMBER(L244), L244, ""))</f>
        <v/>
      </c>
      <c r="Z244" s="65" t="str">
        <f aca="false">IF(ISBLANK($C244),"",IF(ISNUMBER(M244), M244, ""))</f>
        <v/>
      </c>
      <c r="AA244" s="65" t="str">
        <f aca="false">IF(ISBLANK($C244),"",IF(ISNUMBER(N244), N244, ""))</f>
        <v/>
      </c>
      <c r="AB244" s="66" t="str">
        <f aca="false">IF(ISBLANK($C244),"",IF(ISNUMBER(O244), O244, ""))</f>
        <v/>
      </c>
      <c r="AC244" s="66" t="str">
        <f aca="false">IF(ISBLANK($C244),"",IF(ISNUMBER(P244), P244, Constants!$B$13))</f>
        <v/>
      </c>
      <c r="AD244" s="63" t="str">
        <f aca="false">IF(ISBLANK($C244),"",IF(Q244=Constants!$B$2, TRUE(), IF(Q244=Constants!$B$3, FALSE(), FALSE())))</f>
        <v/>
      </c>
      <c r="AE244" s="63" t="str">
        <f aca="false">IF(ISBLANK(C244), "", IF(AD244, Constants!$B$4,IF(COUNTA(G244:O244)=0, Constants!$B$5, Constants!$B$7)))</f>
        <v/>
      </c>
      <c r="AF244" s="63" t="str">
        <f aca="false">IF(ISBLANK($C244), "",IF($AE244=Constants!$B$7,1,$AE244))</f>
        <v/>
      </c>
      <c r="AG244" s="63" t="str">
        <f aca="false">IF($AE244=Constants!$B$7,IF(V244, 1, Constants!$B$11) * IF(X244, 1, Constants!$B$12),"")</f>
        <v/>
      </c>
      <c r="AH244" s="63" t="str">
        <f aca="false">IF(AND($AE244=Constants!$B$7, T244, U244) ,MAX(0, $AA244-$Y244),"")</f>
        <v/>
      </c>
      <c r="AI244" s="63" t="str">
        <f aca="false">IF(ISERROR(AH244),$AI$6,"")</f>
        <v/>
      </c>
      <c r="AJ244" s="63" t="str">
        <f aca="false">IF($AE244=Constants!$B$7,IF(AND(T244,U244,W244),IF($AH$6=0,Constants!$B$9,Constants!$B$9*AH244/$AH$6), 0),"")</f>
        <v/>
      </c>
      <c r="AK244" s="63" t="str">
        <f aca="false">IF(AJ244&lt;&gt;"", AJ244*AG244,"")</f>
        <v/>
      </c>
      <c r="AL244" s="63" t="str">
        <f aca="false">IF(AND($AE244=Constants!$B$7, T244, U244) ,IF($Z244="", "", MAX(0,1-ABS($AA244-$Z244)/$AA244)),"")</f>
        <v/>
      </c>
      <c r="AM244" s="63" t="str">
        <f aca="false">IF(AND(NOT(ISERROR(AH244)),ISERROR(AL244)),$AM$6,"")</f>
        <v/>
      </c>
      <c r="AN244" s="63" t="str">
        <f aca="false">IF($AE244=Constants!$B$7 ,IF(AND(T244,U244,W244,ISNUMBER(Z244)),IF($AL$6=0,Constants!$B$10,Constants!$B$10*AL244/$AL$6), 0),"")</f>
        <v/>
      </c>
      <c r="AO244" s="63" t="str">
        <f aca="false">IF(AN244&lt;&gt;"", AN244*AG244,"")</f>
        <v/>
      </c>
      <c r="AP244" s="63" t="str">
        <f aca="false">IF($AE244=Constants!$B$7,IF($AP$6=0,Constants!$B$8,Constants!$B$8*AB244/$AP$6),"")</f>
        <v/>
      </c>
      <c r="AQ244" s="63" t="str">
        <f aca="false">IF($AE244&lt;&gt;Constants!$B$7,$AE244,AK244+AO244+AP244)</f>
        <v/>
      </c>
      <c r="AR244" s="63" t="str">
        <f aca="false">IF(ISBLANK($C244),"",IF($AE244=Constants!$B$7,RANK(AQ244,$AQ$8:$AQ$507),$AE244))</f>
        <v/>
      </c>
      <c r="AS244" s="63" t="str">
        <f aca="false">IF(ISBLANK($C244), "",AK244)</f>
        <v/>
      </c>
      <c r="AT244" s="63" t="str">
        <f aca="false">IF(ISBLANK($C244),"",IF($AE244=Constants!$B$7,RANK(AS244,AS$8:AS$507),$AE244))</f>
        <v/>
      </c>
      <c r="AU244" s="63" t="str">
        <f aca="false">IF(ISBLANK($C244), "",AP244)</f>
        <v/>
      </c>
      <c r="AV244" s="63" t="str">
        <f aca="false">IF(ISBLANK($C244),"",IF($AE244=Constants!$B$7,RANK(AU244,AU$8:AU$507),$AE244))</f>
        <v/>
      </c>
      <c r="AW244" s="63" t="str">
        <f aca="false">IF(ISBLANK($C244), "",AC244)</f>
        <v/>
      </c>
      <c r="AX244" s="63" t="str">
        <f aca="false">IF(ISBLANK($C244),"",
IF($AE244=Constants!$B$7,
  COUNTIFS($AR$8:$AR$507,"&lt;"&amp;$AR244)
  + COUNTIFS($AR$8:$AR$507,$AR244,$AT$8:$AT$507,"&lt;"&amp;$AT244)
  + COUNTIFS($AR$8:$AR$507,$AR244,$AT$8:$AT$507,$AT244,$AV$8:$AV$507,"&lt;"&amp;$AV244)
  + COUNTIFS($AR$8:$AR$507,$AR244,$AT$8:$AT$507,$AT244,$AV$8:$AV$507,$AV244,$AW$8:$AW$507,"&lt;"&amp;$AW244)
  + 1,
$AE244))</f>
        <v/>
      </c>
      <c r="AY244" s="63" t="str">
        <f aca="false">IF(ISBLANK(C244),"",IF($AE244=Constants!$B$7, AR244-AX244,$AE244))</f>
        <v/>
      </c>
      <c r="AZ244" s="67"/>
      <c r="BA244" s="81" t="str">
        <f aca="false">IF(ISBLANK($C244),"",TRIM(AI244&amp;" "&amp;AM244))</f>
        <v/>
      </c>
      <c r="BB244" s="69" t="str">
        <f aca="false">IF(ISBLANK($C244),"",IF($AE244&lt;&gt;Constants!$B$7, $AE244 ,AQ244))</f>
        <v/>
      </c>
      <c r="BC244" s="70" t="str">
        <f aca="false">IF(ISBLANK($C244),"",IF($AE244&lt;&gt;Constants!$B$7, $AE244 ,AF244))</f>
        <v/>
      </c>
      <c r="BD244" s="71" t="str">
        <f aca="false">IF(ISBLANK(C244),"",AY244)</f>
        <v/>
      </c>
      <c r="BE244" s="71" t="str">
        <f aca="false">IF(ISBLANK(C244),"",AX244)</f>
        <v/>
      </c>
      <c r="BF244" s="72" t="str">
        <f aca="false">IF(ISBLANK(C244),"",IFERROR(_xlfn.SWITCH(BE244, Constants!$B$4, COUNTA($C$8:$C743)+2, Constants!$B$5, COUNTA($C$8:$C743)+1, Constants!$B$6, COUNTA($C$8:$C743)),BE244))</f>
        <v/>
      </c>
      <c r="BG244" s="5"/>
      <c r="BH244" s="73" t="n">
        <f aca="false">IF(OR(ISNUMBER(BE244),BE244="DQ",BE244="P",BE244="NS"),
    1,
    0
)</f>
        <v>0</v>
      </c>
      <c r="BI244" s="73" t="n">
        <v>237</v>
      </c>
      <c r="BJ244" s="73" t="str">
        <f aca="false">IF(ISBLANK($C244),
    "",
   BF244+ROW($B244)/1000
)</f>
        <v/>
      </c>
      <c r="BK244" s="73" t="str">
        <f aca="false">IF(ISNUMBER(BJ244), RANK(BJ244,BJ$8:BJ$507,1), "")</f>
        <v/>
      </c>
      <c r="BL244" s="73" t="str">
        <f aca="false">IF(ISBLANK($C244),
    "",
    $B244
)</f>
        <v/>
      </c>
      <c r="BM244" s="73" t="str">
        <f aca="false">IF(ISBLANK($C244),
    "",
    $C244
)</f>
        <v/>
      </c>
      <c r="BN244" s="73" t="str">
        <f aca="false">IF(ISBLANK($C244),
    "",
    $D244
)</f>
        <v/>
      </c>
      <c r="BO244" s="74" t="str">
        <f aca="false">BC244</f>
        <v/>
      </c>
      <c r="BP244" s="75" t="str">
        <f aca="false">BB244</f>
        <v/>
      </c>
      <c r="BQ244" s="73" t="str">
        <f aca="false">IF(ISBLANK($C244),
    "",
    BE244
)</f>
        <v/>
      </c>
      <c r="BR244" s="76" t="str">
        <f aca="false">IF(BI244&gt;BH$7,
    "",
    VLOOKUP(BI244,BK$8:BQ743,7,FALSE())
)</f>
        <v/>
      </c>
      <c r="BS244" s="77" t="str">
        <f aca="false">IF(BI244&gt;BH$7,
    "",
    VLOOKUP(BI244,BK$8:BQ743,2,FALSE())
)</f>
        <v/>
      </c>
      <c r="BT244" s="77" t="str">
        <f aca="false">IF(BI244&gt;BH$7,
    "",
    VLOOKUP(BI244,BK$8:BQ743,3,FALSE())
)</f>
        <v/>
      </c>
      <c r="BU244" s="77" t="str">
        <f aca="false">IF(BI244&gt;BH$7,
    "",
    VLOOKUP(BI244,BK$8:BQ743,4,FALSE())
)</f>
        <v/>
      </c>
      <c r="BV244" s="77" t="str">
        <f aca="false">IF(BI244&gt;BH$7,
    "",
    VLOOKUP(BI244,BK$8:BQ743,5,FALSE())
)</f>
        <v/>
      </c>
      <c r="BW244" s="78" t="str">
        <f aca="false">IF(BI244&gt;BH$7,
    "",
    VLOOKUP(BI244,BK$8:BQ743,6,FALSE())
)</f>
        <v/>
      </c>
      <c r="BX244" s="50"/>
    </row>
    <row r="245" customFormat="false" ht="15.75" hidden="false" customHeight="false" outlineLevel="0" collapsed="false">
      <c r="A245" s="5"/>
      <c r="B245" s="122"/>
      <c r="C245" s="123"/>
      <c r="D245" s="112"/>
      <c r="E245" s="116"/>
      <c r="F245" s="116"/>
      <c r="G245" s="88"/>
      <c r="H245" s="89"/>
      <c r="I245" s="125"/>
      <c r="J245" s="125"/>
      <c r="K245" s="125"/>
      <c r="L245" s="91"/>
      <c r="M245" s="91"/>
      <c r="N245" s="91"/>
      <c r="O245" s="92"/>
      <c r="P245" s="93"/>
      <c r="Q245" s="125"/>
      <c r="R245" s="95"/>
      <c r="S245" s="96"/>
      <c r="T245" s="96" t="str">
        <f aca="false">IF(ISBLANK($C245),"",IF(G245=Constants!$B$2, TRUE(), IF(G245=Constants!$B$3, FALSE(), TRUE())))</f>
        <v/>
      </c>
      <c r="U245" s="96" t="str">
        <f aca="false">IF(ISBLANK($C245),"",IF(H245=Constants!$B$2, TRUE(), IF(H245=Constants!$B$3, FALSE(), TRUE())))</f>
        <v/>
      </c>
      <c r="V245" s="96" t="str">
        <f aca="false">IF(ISBLANK($C245),"",IF(I245=Constants!$B$2, TRUE(), IF(I245=Constants!$B$3, FALSE(), TRUE())))</f>
        <v/>
      </c>
      <c r="W245" s="96" t="str">
        <f aca="false">IF(ISBLANK($C245),"",IF(J245=Constants!$B$2, TRUE(), IF(J245=Constants!$B$3, FALSE(), TRUE())))</f>
        <v/>
      </c>
      <c r="X245" s="97" t="str">
        <f aca="false">IF(ISBLANK($C245),"",IF(K245=Constants!$B$2, TRUE(), IF(K245=Constants!$B$3, FALSE(), TRUE())))</f>
        <v/>
      </c>
      <c r="Y245" s="98" t="str">
        <f aca="false">IF(ISBLANK($C245),"",IF(ISNUMBER(L245), L245, ""))</f>
        <v/>
      </c>
      <c r="Z245" s="98" t="str">
        <f aca="false">IF(ISBLANK($C245),"",IF(ISNUMBER(M245), M245, ""))</f>
        <v/>
      </c>
      <c r="AA245" s="98" t="str">
        <f aca="false">IF(ISBLANK($C245),"",IF(ISNUMBER(N245), N245, ""))</f>
        <v/>
      </c>
      <c r="AB245" s="99" t="str">
        <f aca="false">IF(ISBLANK($C245),"",IF(ISNUMBER(O245), O245, ""))</f>
        <v/>
      </c>
      <c r="AC245" s="99" t="str">
        <f aca="false">IF(ISBLANK($C245),"",IF(ISNUMBER(P245), P245, Constants!$B$13))</f>
        <v/>
      </c>
      <c r="AD245" s="96" t="str">
        <f aca="false">IF(ISBLANK($C245),"",IF(Q245=Constants!$B$2, TRUE(), IF(Q245=Constants!$B$3, FALSE(), FALSE())))</f>
        <v/>
      </c>
      <c r="AE245" s="96" t="str">
        <f aca="false">IF(ISBLANK(C245), "", IF(AD245, Constants!$B$4,IF(COUNTA(G245:O245)=0, Constants!$B$5, Constants!$B$7)))</f>
        <v/>
      </c>
      <c r="AF245" s="96" t="str">
        <f aca="false">IF(ISBLANK($C245), "",IF($AE245=Constants!$B$7,1,$AE245))</f>
        <v/>
      </c>
      <c r="AG245" s="96" t="str">
        <f aca="false">IF($AE245=Constants!$B$7,IF(V245, 1, Constants!$B$11) * IF(X245, 1, Constants!$B$12),"")</f>
        <v/>
      </c>
      <c r="AH245" s="96" t="str">
        <f aca="false">IF(AND($AE245=Constants!$B$7, T245, U245) ,MAX(0, $AA245-$Y245),"")</f>
        <v/>
      </c>
      <c r="AI245" s="96" t="str">
        <f aca="false">IF(ISERROR(AH245),$AI$6,"")</f>
        <v/>
      </c>
      <c r="AJ245" s="96" t="str">
        <f aca="false">IF($AE245=Constants!$B$7,IF(AND(T245,U245,W245),IF($AH$6=0,Constants!$B$9,Constants!$B$9*AH245/$AH$6), 0),"")</f>
        <v/>
      </c>
      <c r="AK245" s="96" t="str">
        <f aca="false">IF(AJ245&lt;&gt;"", AJ245*AG245,"")</f>
        <v/>
      </c>
      <c r="AL245" s="96" t="str">
        <f aca="false">IF(AND($AE245=Constants!$B$7, T245, U245) ,IF($Z245="", "", MAX(0,1-ABS($AA245-$Z245)/$AA245)),"")</f>
        <v/>
      </c>
      <c r="AM245" s="96" t="str">
        <f aca="false">IF(AND(NOT(ISERROR(AH245)),ISERROR(AL245)),$AM$6,"")</f>
        <v/>
      </c>
      <c r="AN245" s="96" t="str">
        <f aca="false">IF($AE245=Constants!$B$7 ,IF(AND(T245,U245,W245,ISNUMBER(Z245)),IF($AL$6=0,Constants!$B$10,Constants!$B$10*AL245/$AL$6), 0),"")</f>
        <v/>
      </c>
      <c r="AO245" s="96" t="str">
        <f aca="false">IF(AN245&lt;&gt;"", AN245*AG245,"")</f>
        <v/>
      </c>
      <c r="AP245" s="96" t="str">
        <f aca="false">IF($AE245=Constants!$B$7,IF($AP$6=0,Constants!$B$8,Constants!$B$8*AB245/$AP$6),"")</f>
        <v/>
      </c>
      <c r="AQ245" s="96" t="str">
        <f aca="false">IF($AE245&lt;&gt;Constants!$B$7,$AE245,AK245+AO245+AP245)</f>
        <v/>
      </c>
      <c r="AR245" s="96" t="str">
        <f aca="false">IF(ISBLANK($C245),"",IF($AE245=Constants!$B$7,RANK(AQ245,$AQ$8:$AQ$507),$AE245))</f>
        <v/>
      </c>
      <c r="AS245" s="96" t="str">
        <f aca="false">IF(ISBLANK($C245), "",AK245)</f>
        <v/>
      </c>
      <c r="AT245" s="96" t="str">
        <f aca="false">IF(ISBLANK($C245),"",IF($AE245=Constants!$B$7,RANK(AS245,AS$8:AS$507),$AE245))</f>
        <v/>
      </c>
      <c r="AU245" s="96" t="str">
        <f aca="false">IF(ISBLANK($C245), "",AP245)</f>
        <v/>
      </c>
      <c r="AV245" s="96" t="str">
        <f aca="false">IF(ISBLANK($C245),"",IF($AE245=Constants!$B$7,RANK(AU245,AU$8:AU$507),$AE245))</f>
        <v/>
      </c>
      <c r="AW245" s="96" t="str">
        <f aca="false">IF(ISBLANK($C245), "",AC245)</f>
        <v/>
      </c>
      <c r="AX245" s="96" t="str">
        <f aca="false">IF(ISBLANK($C245),"",
IF($AE245=Constants!$B$7,
  COUNTIFS($AR$8:$AR$507,"&lt;"&amp;$AR245)
  + COUNTIFS($AR$8:$AR$507,$AR245,$AT$8:$AT$507,"&lt;"&amp;$AT245)
  + COUNTIFS($AR$8:$AR$507,$AR245,$AT$8:$AT$507,$AT245,$AV$8:$AV$507,"&lt;"&amp;$AV245)
  + COUNTIFS($AR$8:$AR$507,$AR245,$AT$8:$AT$507,$AT245,$AV$8:$AV$507,$AV245,$AW$8:$AW$507,"&lt;"&amp;$AW245)
  + 1,
$AE245))</f>
        <v/>
      </c>
      <c r="AY245" s="96" t="str">
        <f aca="false">IF(ISBLANK(C245),"",IF($AE245=Constants!$B$7, AR245-AX245,$AE245))</f>
        <v/>
      </c>
      <c r="AZ245" s="100"/>
      <c r="BA245" s="101" t="str">
        <f aca="false">IF(ISBLANK($C245),"",TRIM(AI245&amp;" "&amp;AM245))</f>
        <v/>
      </c>
      <c r="BB245" s="102" t="str">
        <f aca="false">IF(ISBLANK($C245),"",IF($AE245&lt;&gt;Constants!$B$7, $AE245 ,AQ245))</f>
        <v/>
      </c>
      <c r="BC245" s="103" t="str">
        <f aca="false">IF(ISBLANK($C245),"",IF($AE245&lt;&gt;Constants!$B$7, $AE245 ,AF245))</f>
        <v/>
      </c>
      <c r="BD245" s="104" t="str">
        <f aca="false">IF(ISBLANK(C245),"",AY245)</f>
        <v/>
      </c>
      <c r="BE245" s="104" t="str">
        <f aca="false">IF(ISBLANK(C245),"",AX245)</f>
        <v/>
      </c>
      <c r="BF245" s="105" t="str">
        <f aca="false">IF(ISBLANK(C245),"",IFERROR(_xlfn.SWITCH(BE245, Constants!$B$4, COUNTA($C$8:$C744)+2, Constants!$B$5, COUNTA($C$8:$C744)+1, Constants!$B$6, COUNTA($C$8:$C744)),BE245))</f>
        <v/>
      </c>
      <c r="BG245" s="5"/>
      <c r="BH245" s="106" t="n">
        <f aca="false">IF(OR(ISNUMBER(BE245),BE245="DQ",BE245="P",BE245="NS"),
    1,
    0
)</f>
        <v>0</v>
      </c>
      <c r="BI245" s="106" t="n">
        <v>238</v>
      </c>
      <c r="BJ245" s="106" t="str">
        <f aca="false">IF(ISBLANK($C245),
    "",
   BF245+ROW($B245)/1000
)</f>
        <v/>
      </c>
      <c r="BK245" s="106" t="str">
        <f aca="false">IF(ISNUMBER(BJ245), RANK(BJ245,BJ$8:BJ$507,1), "")</f>
        <v/>
      </c>
      <c r="BL245" s="106" t="str">
        <f aca="false">IF(ISBLANK($C245),
    "",
    $B245
)</f>
        <v/>
      </c>
      <c r="BM245" s="106" t="str">
        <f aca="false">IF(ISBLANK($C245),
    "",
    $C245
)</f>
        <v/>
      </c>
      <c r="BN245" s="106" t="str">
        <f aca="false">IF(ISBLANK($C245),
    "",
    $D245
)</f>
        <v/>
      </c>
      <c r="BO245" s="107" t="str">
        <f aca="false">BC245</f>
        <v/>
      </c>
      <c r="BP245" s="108" t="str">
        <f aca="false">BB245</f>
        <v/>
      </c>
      <c r="BQ245" s="106" t="str">
        <f aca="false">IF(ISBLANK($C245),
    "",
    BE245
)</f>
        <v/>
      </c>
      <c r="BR245" s="109" t="str">
        <f aca="false">IF(BI245&gt;BH$7,
    "",
    VLOOKUP(BI245,BK$8:BQ744,7,FALSE())
)</f>
        <v/>
      </c>
      <c r="BS245" s="110" t="str">
        <f aca="false">IF(BI245&gt;BH$7,
    "",
    VLOOKUP(BI245,BK$8:BQ744,2,FALSE())
)</f>
        <v/>
      </c>
      <c r="BT245" s="110" t="str">
        <f aca="false">IF(BI245&gt;BH$7,
    "",
    VLOOKUP(BI245,BK$8:BQ744,3,FALSE())
)</f>
        <v/>
      </c>
      <c r="BU245" s="110" t="str">
        <f aca="false">IF(BI245&gt;BH$7,
    "",
    VLOOKUP(BI245,BK$8:BQ744,4,FALSE())
)</f>
        <v/>
      </c>
      <c r="BV245" s="110" t="str">
        <f aca="false">IF(BI245&gt;BH$7,
    "",
    VLOOKUP(BI245,BK$8:BQ744,5,FALSE())
)</f>
        <v/>
      </c>
      <c r="BW245" s="111" t="str">
        <f aca="false">IF(BI245&gt;BH$7,
    "",
    VLOOKUP(BI245,BK$8:BQ744,6,FALSE())
)</f>
        <v/>
      </c>
      <c r="BX245" s="50"/>
    </row>
    <row r="246" customFormat="false" ht="15.75" hidden="false" customHeight="false" outlineLevel="0" collapsed="false">
      <c r="A246" s="5"/>
      <c r="B246" s="122"/>
      <c r="C246" s="123"/>
      <c r="D246" s="112"/>
      <c r="E246" s="116"/>
      <c r="F246" s="116"/>
      <c r="G246" s="88"/>
      <c r="H246" s="89"/>
      <c r="I246" s="125"/>
      <c r="J246" s="125"/>
      <c r="K246" s="125"/>
      <c r="L246" s="91"/>
      <c r="M246" s="91"/>
      <c r="N246" s="91"/>
      <c r="O246" s="92"/>
      <c r="P246" s="93"/>
      <c r="Q246" s="125"/>
      <c r="R246" s="95"/>
      <c r="S246" s="96"/>
      <c r="T246" s="96" t="str">
        <f aca="false">IF(ISBLANK($C246),"",IF(G246=Constants!$B$2, TRUE(), IF(G246=Constants!$B$3, FALSE(), TRUE())))</f>
        <v/>
      </c>
      <c r="U246" s="96" t="str">
        <f aca="false">IF(ISBLANK($C246),"",IF(H246=Constants!$B$2, TRUE(), IF(H246=Constants!$B$3, FALSE(), TRUE())))</f>
        <v/>
      </c>
      <c r="V246" s="96" t="str">
        <f aca="false">IF(ISBLANK($C246),"",IF(I246=Constants!$B$2, TRUE(), IF(I246=Constants!$B$3, FALSE(), TRUE())))</f>
        <v/>
      </c>
      <c r="W246" s="96" t="str">
        <f aca="false">IF(ISBLANK($C246),"",IF(J246=Constants!$B$2, TRUE(), IF(J246=Constants!$B$3, FALSE(), TRUE())))</f>
        <v/>
      </c>
      <c r="X246" s="97" t="str">
        <f aca="false">IF(ISBLANK($C246),"",IF(K246=Constants!$B$2, TRUE(), IF(K246=Constants!$B$3, FALSE(), TRUE())))</f>
        <v/>
      </c>
      <c r="Y246" s="98" t="str">
        <f aca="false">IF(ISBLANK($C246),"",IF(ISNUMBER(L246), L246, ""))</f>
        <v/>
      </c>
      <c r="Z246" s="98" t="str">
        <f aca="false">IF(ISBLANK($C246),"",IF(ISNUMBER(M246), M246, ""))</f>
        <v/>
      </c>
      <c r="AA246" s="98" t="str">
        <f aca="false">IF(ISBLANK($C246),"",IF(ISNUMBER(N246), N246, ""))</f>
        <v/>
      </c>
      <c r="AB246" s="99" t="str">
        <f aca="false">IF(ISBLANK($C246),"",IF(ISNUMBER(O246), O246, ""))</f>
        <v/>
      </c>
      <c r="AC246" s="99" t="str">
        <f aca="false">IF(ISBLANK($C246),"",IF(ISNUMBER(P246), P246, Constants!$B$13))</f>
        <v/>
      </c>
      <c r="AD246" s="96" t="str">
        <f aca="false">IF(ISBLANK($C246),"",IF(Q246=Constants!$B$2, TRUE(), IF(Q246=Constants!$B$3, FALSE(), FALSE())))</f>
        <v/>
      </c>
      <c r="AE246" s="96" t="str">
        <f aca="false">IF(ISBLANK(C246), "", IF(AD246, Constants!$B$4,IF(COUNTA(G246:O246)=0, Constants!$B$5, Constants!$B$7)))</f>
        <v/>
      </c>
      <c r="AF246" s="96" t="str">
        <f aca="false">IF(ISBLANK($C246), "",IF($AE246=Constants!$B$7,1,$AE246))</f>
        <v/>
      </c>
      <c r="AG246" s="96" t="str">
        <f aca="false">IF($AE246=Constants!$B$7,IF(V246, 1, Constants!$B$11) * IF(X246, 1, Constants!$B$12),"")</f>
        <v/>
      </c>
      <c r="AH246" s="96" t="str">
        <f aca="false">IF(AND($AE246=Constants!$B$7, T246, U246) ,MAX(0, $AA246-$Y246),"")</f>
        <v/>
      </c>
      <c r="AI246" s="96" t="str">
        <f aca="false">IF(ISERROR(AH246),$AI$6,"")</f>
        <v/>
      </c>
      <c r="AJ246" s="96" t="str">
        <f aca="false">IF($AE246=Constants!$B$7,IF(AND(T246,U246,W246),IF($AH$6=0,Constants!$B$9,Constants!$B$9*AH246/$AH$6), 0),"")</f>
        <v/>
      </c>
      <c r="AK246" s="96" t="str">
        <f aca="false">IF(AJ246&lt;&gt;"", AJ246*AG246,"")</f>
        <v/>
      </c>
      <c r="AL246" s="96" t="str">
        <f aca="false">IF(AND($AE246=Constants!$B$7, T246, U246) ,IF($Z246="", "", MAX(0,1-ABS($AA246-$Z246)/$AA246)),"")</f>
        <v/>
      </c>
      <c r="AM246" s="96" t="str">
        <f aca="false">IF(AND(NOT(ISERROR(AH246)),ISERROR(AL246)),$AM$6,"")</f>
        <v/>
      </c>
      <c r="AN246" s="96" t="str">
        <f aca="false">IF($AE246=Constants!$B$7 ,IF(AND(T246,U246,W246,ISNUMBER(Z246)),IF($AL$6=0,Constants!$B$10,Constants!$B$10*AL246/$AL$6), 0),"")</f>
        <v/>
      </c>
      <c r="AO246" s="96" t="str">
        <f aca="false">IF(AN246&lt;&gt;"", AN246*AG246,"")</f>
        <v/>
      </c>
      <c r="AP246" s="96" t="str">
        <f aca="false">IF($AE246=Constants!$B$7,IF($AP$6=0,Constants!$B$8,Constants!$B$8*AB246/$AP$6),"")</f>
        <v/>
      </c>
      <c r="AQ246" s="96" t="str">
        <f aca="false">IF($AE246&lt;&gt;Constants!$B$7,$AE246,AK246+AO246+AP246)</f>
        <v/>
      </c>
      <c r="AR246" s="96" t="str">
        <f aca="false">IF(ISBLANK($C246),"",IF($AE246=Constants!$B$7,RANK(AQ246,$AQ$8:$AQ$507),$AE246))</f>
        <v/>
      </c>
      <c r="AS246" s="96" t="str">
        <f aca="false">IF(ISBLANK($C246), "",AK246)</f>
        <v/>
      </c>
      <c r="AT246" s="96" t="str">
        <f aca="false">IF(ISBLANK($C246),"",IF($AE246=Constants!$B$7,RANK(AS246,AS$8:AS$507),$AE246))</f>
        <v/>
      </c>
      <c r="AU246" s="96" t="str">
        <f aca="false">IF(ISBLANK($C246), "",AP246)</f>
        <v/>
      </c>
      <c r="AV246" s="96" t="str">
        <f aca="false">IF(ISBLANK($C246),"",IF($AE246=Constants!$B$7,RANK(AU246,AU$8:AU$507),$AE246))</f>
        <v/>
      </c>
      <c r="AW246" s="96" t="str">
        <f aca="false">IF(ISBLANK($C246), "",AC246)</f>
        <v/>
      </c>
      <c r="AX246" s="96" t="str">
        <f aca="false">IF(ISBLANK($C246),"",
IF($AE246=Constants!$B$7,
  COUNTIFS($AR$8:$AR$507,"&lt;"&amp;$AR246)
  + COUNTIFS($AR$8:$AR$507,$AR246,$AT$8:$AT$507,"&lt;"&amp;$AT246)
  + COUNTIFS($AR$8:$AR$507,$AR246,$AT$8:$AT$507,$AT246,$AV$8:$AV$507,"&lt;"&amp;$AV246)
  + COUNTIFS($AR$8:$AR$507,$AR246,$AT$8:$AT$507,$AT246,$AV$8:$AV$507,$AV246,$AW$8:$AW$507,"&lt;"&amp;$AW246)
  + 1,
$AE246))</f>
        <v/>
      </c>
      <c r="AY246" s="96" t="str">
        <f aca="false">IF(ISBLANK(C246),"",IF($AE246=Constants!$B$7, AR246-AX246,$AE246))</f>
        <v/>
      </c>
      <c r="AZ246" s="100"/>
      <c r="BA246" s="101" t="str">
        <f aca="false">IF(ISBLANK($C246),"",TRIM(AI246&amp;" "&amp;AM246))</f>
        <v/>
      </c>
      <c r="BB246" s="102" t="str">
        <f aca="false">IF(ISBLANK($C246),"",IF($AE246&lt;&gt;Constants!$B$7, $AE246 ,AQ246))</f>
        <v/>
      </c>
      <c r="BC246" s="103" t="str">
        <f aca="false">IF(ISBLANK($C246),"",IF($AE246&lt;&gt;Constants!$B$7, $AE246 ,AF246))</f>
        <v/>
      </c>
      <c r="BD246" s="104" t="str">
        <f aca="false">IF(ISBLANK(C246),"",AY246)</f>
        <v/>
      </c>
      <c r="BE246" s="104" t="str">
        <f aca="false">IF(ISBLANK(C246),"",AX246)</f>
        <v/>
      </c>
      <c r="BF246" s="105" t="str">
        <f aca="false">IF(ISBLANK(C246),"",IFERROR(_xlfn.SWITCH(BE246, Constants!$B$4, COUNTA($C$8:$C745)+2, Constants!$B$5, COUNTA($C$8:$C745)+1, Constants!$B$6, COUNTA($C$8:$C745)),BE246))</f>
        <v/>
      </c>
      <c r="BG246" s="5"/>
      <c r="BH246" s="106" t="n">
        <f aca="false">IF(OR(ISNUMBER(BE246),BE246="DQ",BE246="P",BE246="NS"),
    1,
    0
)</f>
        <v>0</v>
      </c>
      <c r="BI246" s="106" t="n">
        <v>239</v>
      </c>
      <c r="BJ246" s="106" t="str">
        <f aca="false">IF(ISBLANK($C246),
    "",
   BF246+ROW($B246)/1000
)</f>
        <v/>
      </c>
      <c r="BK246" s="106" t="str">
        <f aca="false">IF(ISNUMBER(BJ246), RANK(BJ246,BJ$8:BJ$507,1), "")</f>
        <v/>
      </c>
      <c r="BL246" s="106" t="str">
        <f aca="false">IF(ISBLANK($C246),
    "",
    $B246
)</f>
        <v/>
      </c>
      <c r="BM246" s="106" t="str">
        <f aca="false">IF(ISBLANK($C246),
    "",
    $C246
)</f>
        <v/>
      </c>
      <c r="BN246" s="106" t="str">
        <f aca="false">IF(ISBLANK($C246),
    "",
    $D246
)</f>
        <v/>
      </c>
      <c r="BO246" s="107" t="str">
        <f aca="false">BC246</f>
        <v/>
      </c>
      <c r="BP246" s="108" t="str">
        <f aca="false">BB246</f>
        <v/>
      </c>
      <c r="BQ246" s="106" t="str">
        <f aca="false">IF(ISBLANK($C246),
    "",
    BE246
)</f>
        <v/>
      </c>
      <c r="BR246" s="109" t="str">
        <f aca="false">IF(BI246&gt;BH$7,
    "",
    VLOOKUP(BI246,BK$8:BQ745,7,FALSE())
)</f>
        <v/>
      </c>
      <c r="BS246" s="110" t="str">
        <f aca="false">IF(BI246&gt;BH$7,
    "",
    VLOOKUP(BI246,BK$8:BQ745,2,FALSE())
)</f>
        <v/>
      </c>
      <c r="BT246" s="110" t="str">
        <f aca="false">IF(BI246&gt;BH$7,
    "",
    VLOOKUP(BI246,BK$8:BQ745,3,FALSE())
)</f>
        <v/>
      </c>
      <c r="BU246" s="110" t="str">
        <f aca="false">IF(BI246&gt;BH$7,
    "",
    VLOOKUP(BI246,BK$8:BQ745,4,FALSE())
)</f>
        <v/>
      </c>
      <c r="BV246" s="110" t="str">
        <f aca="false">IF(BI246&gt;BH$7,
    "",
    VLOOKUP(BI246,BK$8:BQ745,5,FALSE())
)</f>
        <v/>
      </c>
      <c r="BW246" s="111" t="str">
        <f aca="false">IF(BI246&gt;BH$7,
    "",
    VLOOKUP(BI246,BK$8:BQ745,6,FALSE())
)</f>
        <v/>
      </c>
      <c r="BX246" s="50"/>
    </row>
    <row r="247" customFormat="false" ht="15.75" hidden="false" customHeight="false" outlineLevel="0" collapsed="false">
      <c r="A247" s="5"/>
      <c r="B247" s="122"/>
      <c r="C247" s="123"/>
      <c r="D247" s="112"/>
      <c r="E247" s="116"/>
      <c r="F247" s="116"/>
      <c r="G247" s="88"/>
      <c r="H247" s="89"/>
      <c r="I247" s="125"/>
      <c r="J247" s="125"/>
      <c r="K247" s="125"/>
      <c r="L247" s="91"/>
      <c r="M247" s="91"/>
      <c r="N247" s="91"/>
      <c r="O247" s="92"/>
      <c r="P247" s="93"/>
      <c r="Q247" s="125"/>
      <c r="R247" s="95"/>
      <c r="S247" s="96"/>
      <c r="T247" s="96" t="str">
        <f aca="false">IF(ISBLANK($C247),"",IF(G247=Constants!$B$2, TRUE(), IF(G247=Constants!$B$3, FALSE(), TRUE())))</f>
        <v/>
      </c>
      <c r="U247" s="96" t="str">
        <f aca="false">IF(ISBLANK($C247),"",IF(H247=Constants!$B$2, TRUE(), IF(H247=Constants!$B$3, FALSE(), TRUE())))</f>
        <v/>
      </c>
      <c r="V247" s="96" t="str">
        <f aca="false">IF(ISBLANK($C247),"",IF(I247=Constants!$B$2, TRUE(), IF(I247=Constants!$B$3, FALSE(), TRUE())))</f>
        <v/>
      </c>
      <c r="W247" s="96" t="str">
        <f aca="false">IF(ISBLANK($C247),"",IF(J247=Constants!$B$2, TRUE(), IF(J247=Constants!$B$3, FALSE(), TRUE())))</f>
        <v/>
      </c>
      <c r="X247" s="97" t="str">
        <f aca="false">IF(ISBLANK($C247),"",IF(K247=Constants!$B$2, TRUE(), IF(K247=Constants!$B$3, FALSE(), TRUE())))</f>
        <v/>
      </c>
      <c r="Y247" s="98" t="str">
        <f aca="false">IF(ISBLANK($C247),"",IF(ISNUMBER(L247), L247, ""))</f>
        <v/>
      </c>
      <c r="Z247" s="98" t="str">
        <f aca="false">IF(ISBLANK($C247),"",IF(ISNUMBER(M247), M247, ""))</f>
        <v/>
      </c>
      <c r="AA247" s="98" t="str">
        <f aca="false">IF(ISBLANK($C247),"",IF(ISNUMBER(N247), N247, ""))</f>
        <v/>
      </c>
      <c r="AB247" s="99" t="str">
        <f aca="false">IF(ISBLANK($C247),"",IF(ISNUMBER(O247), O247, ""))</f>
        <v/>
      </c>
      <c r="AC247" s="99" t="str">
        <f aca="false">IF(ISBLANK($C247),"",IF(ISNUMBER(P247), P247, Constants!$B$13))</f>
        <v/>
      </c>
      <c r="AD247" s="96" t="str">
        <f aca="false">IF(ISBLANK($C247),"",IF(Q247=Constants!$B$2, TRUE(), IF(Q247=Constants!$B$3, FALSE(), FALSE())))</f>
        <v/>
      </c>
      <c r="AE247" s="96" t="str">
        <f aca="false">IF(ISBLANK(C247), "", IF(AD247, Constants!$B$4,IF(COUNTA(G247:O247)=0, Constants!$B$5, Constants!$B$7)))</f>
        <v/>
      </c>
      <c r="AF247" s="96" t="str">
        <f aca="false">IF(ISBLANK($C247), "",IF($AE247=Constants!$B$7,1,$AE247))</f>
        <v/>
      </c>
      <c r="AG247" s="96" t="str">
        <f aca="false">IF($AE247=Constants!$B$7,IF(V247, 1, Constants!$B$11) * IF(X247, 1, Constants!$B$12),"")</f>
        <v/>
      </c>
      <c r="AH247" s="96" t="str">
        <f aca="false">IF(AND($AE247=Constants!$B$7, T247, U247) ,MAX(0, $AA247-$Y247),"")</f>
        <v/>
      </c>
      <c r="AI247" s="96" t="str">
        <f aca="false">IF(ISERROR(AH247),$AI$6,"")</f>
        <v/>
      </c>
      <c r="AJ247" s="96" t="str">
        <f aca="false">IF($AE247=Constants!$B$7,IF(AND(T247,U247,W247),IF($AH$6=0,Constants!$B$9,Constants!$B$9*AH247/$AH$6), 0),"")</f>
        <v/>
      </c>
      <c r="AK247" s="96" t="str">
        <f aca="false">IF(AJ247&lt;&gt;"", AJ247*AG247,"")</f>
        <v/>
      </c>
      <c r="AL247" s="96" t="str">
        <f aca="false">IF(AND($AE247=Constants!$B$7, T247, U247) ,IF($Z247="", "", MAX(0,1-ABS($AA247-$Z247)/$AA247)),"")</f>
        <v/>
      </c>
      <c r="AM247" s="96" t="str">
        <f aca="false">IF(AND(NOT(ISERROR(AH247)),ISERROR(AL247)),$AM$6,"")</f>
        <v/>
      </c>
      <c r="AN247" s="96" t="str">
        <f aca="false">IF($AE247=Constants!$B$7 ,IF(AND(T247,U247,W247,ISNUMBER(Z247)),IF($AL$6=0,Constants!$B$10,Constants!$B$10*AL247/$AL$6), 0),"")</f>
        <v/>
      </c>
      <c r="AO247" s="96" t="str">
        <f aca="false">IF(AN247&lt;&gt;"", AN247*AG247,"")</f>
        <v/>
      </c>
      <c r="AP247" s="96" t="str">
        <f aca="false">IF($AE247=Constants!$B$7,IF($AP$6=0,Constants!$B$8,Constants!$B$8*AB247/$AP$6),"")</f>
        <v/>
      </c>
      <c r="AQ247" s="96" t="str">
        <f aca="false">IF($AE247&lt;&gt;Constants!$B$7,$AE247,AK247+AO247+AP247)</f>
        <v/>
      </c>
      <c r="AR247" s="96" t="str">
        <f aca="false">IF(ISBLANK($C247),"",IF($AE247=Constants!$B$7,RANK(AQ247,$AQ$8:$AQ$507),$AE247))</f>
        <v/>
      </c>
      <c r="AS247" s="96" t="str">
        <f aca="false">IF(ISBLANK($C247), "",AK247)</f>
        <v/>
      </c>
      <c r="AT247" s="96" t="str">
        <f aca="false">IF(ISBLANK($C247),"",IF($AE247=Constants!$B$7,RANK(AS247,AS$8:AS$507),$AE247))</f>
        <v/>
      </c>
      <c r="AU247" s="96" t="str">
        <f aca="false">IF(ISBLANK($C247), "",AP247)</f>
        <v/>
      </c>
      <c r="AV247" s="96" t="str">
        <f aca="false">IF(ISBLANK($C247),"",IF($AE247=Constants!$B$7,RANK(AU247,AU$8:AU$507),$AE247))</f>
        <v/>
      </c>
      <c r="AW247" s="96" t="str">
        <f aca="false">IF(ISBLANK($C247), "",AC247)</f>
        <v/>
      </c>
      <c r="AX247" s="96" t="str">
        <f aca="false">IF(ISBLANK($C247),"",
IF($AE247=Constants!$B$7,
  COUNTIFS($AR$8:$AR$507,"&lt;"&amp;$AR247)
  + COUNTIFS($AR$8:$AR$507,$AR247,$AT$8:$AT$507,"&lt;"&amp;$AT247)
  + COUNTIFS($AR$8:$AR$507,$AR247,$AT$8:$AT$507,$AT247,$AV$8:$AV$507,"&lt;"&amp;$AV247)
  + COUNTIFS($AR$8:$AR$507,$AR247,$AT$8:$AT$507,$AT247,$AV$8:$AV$507,$AV247,$AW$8:$AW$507,"&lt;"&amp;$AW247)
  + 1,
$AE247))</f>
        <v/>
      </c>
      <c r="AY247" s="96" t="str">
        <f aca="false">IF(ISBLANK(C247),"",IF($AE247=Constants!$B$7, AR247-AX247,$AE247))</f>
        <v/>
      </c>
      <c r="AZ247" s="100"/>
      <c r="BA247" s="101" t="str">
        <f aca="false">IF(ISBLANK($C247),"",TRIM(AI247&amp;" "&amp;AM247))</f>
        <v/>
      </c>
      <c r="BB247" s="102" t="str">
        <f aca="false">IF(ISBLANK($C247),"",IF($AE247&lt;&gt;Constants!$B$7, $AE247 ,AQ247))</f>
        <v/>
      </c>
      <c r="BC247" s="103" t="str">
        <f aca="false">IF(ISBLANK($C247),"",IF($AE247&lt;&gt;Constants!$B$7, $AE247 ,AF247))</f>
        <v/>
      </c>
      <c r="BD247" s="104" t="str">
        <f aca="false">IF(ISBLANK(C247),"",AY247)</f>
        <v/>
      </c>
      <c r="BE247" s="104" t="str">
        <f aca="false">IF(ISBLANK(C247),"",AX247)</f>
        <v/>
      </c>
      <c r="BF247" s="105" t="str">
        <f aca="false">IF(ISBLANK(C247),"",IFERROR(_xlfn.SWITCH(BE247, Constants!$B$4, COUNTA($C$8:$C746)+2, Constants!$B$5, COUNTA($C$8:$C746)+1, Constants!$B$6, COUNTA($C$8:$C746)),BE247))</f>
        <v/>
      </c>
      <c r="BG247" s="5"/>
      <c r="BH247" s="106" t="n">
        <f aca="false">IF(OR(ISNUMBER(BE247),BE247="DQ",BE247="P",BE247="NS"),
    1,
    0
)</f>
        <v>0</v>
      </c>
      <c r="BI247" s="106" t="n">
        <v>240</v>
      </c>
      <c r="BJ247" s="106" t="str">
        <f aca="false">IF(ISBLANK($C247),
    "",
   BF247+ROW($B247)/1000
)</f>
        <v/>
      </c>
      <c r="BK247" s="106" t="str">
        <f aca="false">IF(ISNUMBER(BJ247), RANK(BJ247,BJ$8:BJ$507,1), "")</f>
        <v/>
      </c>
      <c r="BL247" s="106" t="str">
        <f aca="false">IF(ISBLANK($C247),
    "",
    $B247
)</f>
        <v/>
      </c>
      <c r="BM247" s="106" t="str">
        <f aca="false">IF(ISBLANK($C247),
    "",
    $C247
)</f>
        <v/>
      </c>
      <c r="BN247" s="106" t="str">
        <f aca="false">IF(ISBLANK($C247),
    "",
    $D247
)</f>
        <v/>
      </c>
      <c r="BO247" s="107" t="str">
        <f aca="false">BC247</f>
        <v/>
      </c>
      <c r="BP247" s="108" t="str">
        <f aca="false">BB247</f>
        <v/>
      </c>
      <c r="BQ247" s="106" t="str">
        <f aca="false">IF(ISBLANK($C247),
    "",
    BE247
)</f>
        <v/>
      </c>
      <c r="BR247" s="109" t="str">
        <f aca="false">IF(BI247&gt;BH$7,
    "",
    VLOOKUP(BI247,BK$8:BQ746,7,FALSE())
)</f>
        <v/>
      </c>
      <c r="BS247" s="110" t="str">
        <f aca="false">IF(BI247&gt;BH$7,
    "",
    VLOOKUP(BI247,BK$8:BQ746,2,FALSE())
)</f>
        <v/>
      </c>
      <c r="BT247" s="110" t="str">
        <f aca="false">IF(BI247&gt;BH$7,
    "",
    VLOOKUP(BI247,BK$8:BQ746,3,FALSE())
)</f>
        <v/>
      </c>
      <c r="BU247" s="110" t="str">
        <f aca="false">IF(BI247&gt;BH$7,
    "",
    VLOOKUP(BI247,BK$8:BQ746,4,FALSE())
)</f>
        <v/>
      </c>
      <c r="BV247" s="110" t="str">
        <f aca="false">IF(BI247&gt;BH$7,
    "",
    VLOOKUP(BI247,BK$8:BQ746,5,FALSE())
)</f>
        <v/>
      </c>
      <c r="BW247" s="111" t="str">
        <f aca="false">IF(BI247&gt;BH$7,
    "",
    VLOOKUP(BI247,BK$8:BQ746,6,FALSE())
)</f>
        <v/>
      </c>
      <c r="BX247" s="50"/>
    </row>
    <row r="248" customFormat="false" ht="15.75" hidden="false" customHeight="false" outlineLevel="0" collapsed="false">
      <c r="A248" s="5"/>
      <c r="B248" s="126"/>
      <c r="C248" s="52"/>
      <c r="D248" s="53"/>
      <c r="E248" s="120"/>
      <c r="F248" s="120"/>
      <c r="G248" s="55"/>
      <c r="H248" s="56"/>
      <c r="I248" s="80"/>
      <c r="J248" s="80"/>
      <c r="K248" s="80"/>
      <c r="L248" s="58"/>
      <c r="M248" s="58"/>
      <c r="N248" s="58"/>
      <c r="O248" s="59"/>
      <c r="P248" s="60"/>
      <c r="Q248" s="80"/>
      <c r="R248" s="62"/>
      <c r="S248" s="63"/>
      <c r="T248" s="63" t="str">
        <f aca="false">IF(ISBLANK($C248),"",IF(G248=Constants!$B$2, TRUE(), IF(G248=Constants!$B$3, FALSE(), TRUE())))</f>
        <v/>
      </c>
      <c r="U248" s="63" t="str">
        <f aca="false">IF(ISBLANK($C248),"",IF(H248=Constants!$B$2, TRUE(), IF(H248=Constants!$B$3, FALSE(), TRUE())))</f>
        <v/>
      </c>
      <c r="V248" s="63" t="str">
        <f aca="false">IF(ISBLANK($C248),"",IF(I248=Constants!$B$2, TRUE(), IF(I248=Constants!$B$3, FALSE(), TRUE())))</f>
        <v/>
      </c>
      <c r="W248" s="63" t="str">
        <f aca="false">IF(ISBLANK($C248),"",IF(J248=Constants!$B$2, TRUE(), IF(J248=Constants!$B$3, FALSE(), TRUE())))</f>
        <v/>
      </c>
      <c r="X248" s="63" t="str">
        <f aca="false">IF(ISBLANK($C248),"",IF(K248=Constants!$B$2, TRUE(), IF(K248=Constants!$B$3, FALSE(), TRUE())))</f>
        <v/>
      </c>
      <c r="Y248" s="65" t="str">
        <f aca="false">IF(ISBLANK($C248),"",IF(ISNUMBER(L248), L248, ""))</f>
        <v/>
      </c>
      <c r="Z248" s="65" t="str">
        <f aca="false">IF(ISBLANK($C248),"",IF(ISNUMBER(M248), M248, ""))</f>
        <v/>
      </c>
      <c r="AA248" s="65" t="str">
        <f aca="false">IF(ISBLANK($C248),"",IF(ISNUMBER(N248), N248, ""))</f>
        <v/>
      </c>
      <c r="AB248" s="66" t="str">
        <f aca="false">IF(ISBLANK($C248),"",IF(ISNUMBER(O248), O248, ""))</f>
        <v/>
      </c>
      <c r="AC248" s="66" t="str">
        <f aca="false">IF(ISBLANK($C248),"",IF(ISNUMBER(P248), P248, Constants!$B$13))</f>
        <v/>
      </c>
      <c r="AD248" s="63" t="str">
        <f aca="false">IF(ISBLANK($C248),"",IF(Q248=Constants!$B$2, TRUE(), IF(Q248=Constants!$B$3, FALSE(), FALSE())))</f>
        <v/>
      </c>
      <c r="AE248" s="63" t="str">
        <f aca="false">IF(ISBLANK(C248), "", IF(AD248, Constants!$B$4,IF(COUNTA(G248:O248)=0, Constants!$B$5, Constants!$B$7)))</f>
        <v/>
      </c>
      <c r="AF248" s="63" t="str">
        <f aca="false">IF(ISBLANK($C248), "",IF($AE248=Constants!$B$7,1,$AE248))</f>
        <v/>
      </c>
      <c r="AG248" s="63" t="str">
        <f aca="false">IF($AE248=Constants!$B$7,IF(V248, 1, Constants!$B$11) * IF(X248, 1, Constants!$B$12),"")</f>
        <v/>
      </c>
      <c r="AH248" s="63" t="str">
        <f aca="false">IF(AND($AE248=Constants!$B$7, T248, U248) ,MAX(0, $AA248-$Y248),"")</f>
        <v/>
      </c>
      <c r="AI248" s="63" t="str">
        <f aca="false">IF(ISERROR(AH248),$AI$6,"")</f>
        <v/>
      </c>
      <c r="AJ248" s="63" t="str">
        <f aca="false">IF($AE248=Constants!$B$7,IF(AND(T248,U248,W248),IF($AH$6=0,Constants!$B$9,Constants!$B$9*AH248/$AH$6), 0),"")</f>
        <v/>
      </c>
      <c r="AK248" s="63" t="str">
        <f aca="false">IF(AJ248&lt;&gt;"", AJ248*AG248,"")</f>
        <v/>
      </c>
      <c r="AL248" s="63" t="str">
        <f aca="false">IF(AND($AE248=Constants!$B$7, T248, U248) ,IF($Z248="", "", MAX(0,1-ABS($AA248-$Z248)/$AA248)),"")</f>
        <v/>
      </c>
      <c r="AM248" s="63" t="str">
        <f aca="false">IF(AND(NOT(ISERROR(AH248)),ISERROR(AL248)),$AM$6,"")</f>
        <v/>
      </c>
      <c r="AN248" s="63" t="str">
        <f aca="false">IF($AE248=Constants!$B$7 ,IF(AND(T248,U248,W248,ISNUMBER(Z248)),IF($AL$6=0,Constants!$B$10,Constants!$B$10*AL248/$AL$6), 0),"")</f>
        <v/>
      </c>
      <c r="AO248" s="63" t="str">
        <f aca="false">IF(AN248&lt;&gt;"", AN248*AG248,"")</f>
        <v/>
      </c>
      <c r="AP248" s="63" t="str">
        <f aca="false">IF($AE248=Constants!$B$7,IF($AP$6=0,Constants!$B$8,Constants!$B$8*AB248/$AP$6),"")</f>
        <v/>
      </c>
      <c r="AQ248" s="63" t="str">
        <f aca="false">IF($AE248&lt;&gt;Constants!$B$7,$AE248,AK248+AO248+AP248)</f>
        <v/>
      </c>
      <c r="AR248" s="63" t="str">
        <f aca="false">IF(ISBLANK($C248),"",IF($AE248=Constants!$B$7,RANK(AQ248,$AQ$8:$AQ$507),$AE248))</f>
        <v/>
      </c>
      <c r="AS248" s="63" t="str">
        <f aca="false">IF(ISBLANK($C248), "",AK248)</f>
        <v/>
      </c>
      <c r="AT248" s="63" t="str">
        <f aca="false">IF(ISBLANK($C248),"",IF($AE248=Constants!$B$7,RANK(AS248,AS$8:AS$507),$AE248))</f>
        <v/>
      </c>
      <c r="AU248" s="63" t="str">
        <f aca="false">IF(ISBLANK($C248), "",AP248)</f>
        <v/>
      </c>
      <c r="AV248" s="63" t="str">
        <f aca="false">IF(ISBLANK($C248),"",IF($AE248=Constants!$B$7,RANK(AU248,AU$8:AU$507),$AE248))</f>
        <v/>
      </c>
      <c r="AW248" s="63" t="str">
        <f aca="false">IF(ISBLANK($C248), "",AC248)</f>
        <v/>
      </c>
      <c r="AX248" s="63" t="str">
        <f aca="false">IF(ISBLANK($C248),"",
IF($AE248=Constants!$B$7,
  COUNTIFS($AR$8:$AR$507,"&lt;"&amp;$AR248)
  + COUNTIFS($AR$8:$AR$507,$AR248,$AT$8:$AT$507,"&lt;"&amp;$AT248)
  + COUNTIFS($AR$8:$AR$507,$AR248,$AT$8:$AT$507,$AT248,$AV$8:$AV$507,"&lt;"&amp;$AV248)
  + COUNTIFS($AR$8:$AR$507,$AR248,$AT$8:$AT$507,$AT248,$AV$8:$AV$507,$AV248,$AW$8:$AW$507,"&lt;"&amp;$AW248)
  + 1,
$AE248))</f>
        <v/>
      </c>
      <c r="AY248" s="63" t="str">
        <f aca="false">IF(ISBLANK(C248),"",IF($AE248=Constants!$B$7, AR248-AX248,$AE248))</f>
        <v/>
      </c>
      <c r="AZ248" s="67"/>
      <c r="BA248" s="81" t="str">
        <f aca="false">IF(ISBLANK($C248),"",TRIM(AI248&amp;" "&amp;AM248))</f>
        <v/>
      </c>
      <c r="BB248" s="69" t="str">
        <f aca="false">IF(ISBLANK($C248),"",IF($AE248&lt;&gt;Constants!$B$7, $AE248 ,AQ248))</f>
        <v/>
      </c>
      <c r="BC248" s="70" t="str">
        <f aca="false">IF(ISBLANK($C248),"",IF($AE248&lt;&gt;Constants!$B$7, $AE248 ,AF248))</f>
        <v/>
      </c>
      <c r="BD248" s="71" t="str">
        <f aca="false">IF(ISBLANK(C248),"",AY248)</f>
        <v/>
      </c>
      <c r="BE248" s="71" t="str">
        <f aca="false">IF(ISBLANK(C248),"",AX248)</f>
        <v/>
      </c>
      <c r="BF248" s="72" t="str">
        <f aca="false">IF(ISBLANK(C248),"",IFERROR(_xlfn.SWITCH(BE248, Constants!$B$4, COUNTA($C$8:$C747)+2, Constants!$B$5, COUNTA($C$8:$C747)+1, Constants!$B$6, COUNTA($C$8:$C747)),BE248))</f>
        <v/>
      </c>
      <c r="BG248" s="5"/>
      <c r="BH248" s="73" t="n">
        <f aca="false">IF(OR(ISNUMBER(BE248),BE248="DQ",BE248="P",BE248="NS"),
    1,
    0
)</f>
        <v>0</v>
      </c>
      <c r="BI248" s="73" t="n">
        <v>241</v>
      </c>
      <c r="BJ248" s="73" t="str">
        <f aca="false">IF(ISBLANK($C248),
    "",
   BF248+ROW($B248)/1000
)</f>
        <v/>
      </c>
      <c r="BK248" s="73" t="str">
        <f aca="false">IF(ISNUMBER(BJ248), RANK(BJ248,BJ$8:BJ$507,1), "")</f>
        <v/>
      </c>
      <c r="BL248" s="73" t="str">
        <f aca="false">IF(ISBLANK($C248),
    "",
    $B248
)</f>
        <v/>
      </c>
      <c r="BM248" s="73" t="str">
        <f aca="false">IF(ISBLANK($C248),
    "",
    $C248
)</f>
        <v/>
      </c>
      <c r="BN248" s="73" t="str">
        <f aca="false">IF(ISBLANK($C248),
    "",
    $D248
)</f>
        <v/>
      </c>
      <c r="BO248" s="74" t="str">
        <f aca="false">BC248</f>
        <v/>
      </c>
      <c r="BP248" s="75" t="str">
        <f aca="false">BB248</f>
        <v/>
      </c>
      <c r="BQ248" s="73" t="str">
        <f aca="false">IF(ISBLANK($C248),
    "",
    BE248
)</f>
        <v/>
      </c>
      <c r="BR248" s="76" t="str">
        <f aca="false">IF(BI248&gt;BH$7,
    "",
    VLOOKUP(BI248,BK$8:BQ747,7,FALSE())
)</f>
        <v/>
      </c>
      <c r="BS248" s="77" t="str">
        <f aca="false">IF(BI248&gt;BH$7,
    "",
    VLOOKUP(BI248,BK$8:BQ747,2,FALSE())
)</f>
        <v/>
      </c>
      <c r="BT248" s="77" t="str">
        <f aca="false">IF(BI248&gt;BH$7,
    "",
    VLOOKUP(BI248,BK$8:BQ747,3,FALSE())
)</f>
        <v/>
      </c>
      <c r="BU248" s="77" t="str">
        <f aca="false">IF(BI248&gt;BH$7,
    "",
    VLOOKUP(BI248,BK$8:BQ747,4,FALSE())
)</f>
        <v/>
      </c>
      <c r="BV248" s="77" t="str">
        <f aca="false">IF(BI248&gt;BH$7,
    "",
    VLOOKUP(BI248,BK$8:BQ747,5,FALSE())
)</f>
        <v/>
      </c>
      <c r="BW248" s="78" t="str">
        <f aca="false">IF(BI248&gt;BH$7,
    "",
    VLOOKUP(BI248,BK$8:BQ747,6,FALSE())
)</f>
        <v/>
      </c>
      <c r="BX248" s="50"/>
    </row>
    <row r="249" customFormat="false" ht="15.75" hidden="false" customHeight="false" outlineLevel="0" collapsed="false">
      <c r="A249" s="5"/>
      <c r="B249" s="126"/>
      <c r="C249" s="52"/>
      <c r="D249" s="53"/>
      <c r="E249" s="120"/>
      <c r="F249" s="120"/>
      <c r="G249" s="55"/>
      <c r="H249" s="56"/>
      <c r="I249" s="80"/>
      <c r="J249" s="80"/>
      <c r="K249" s="80"/>
      <c r="L249" s="58"/>
      <c r="M249" s="58"/>
      <c r="N249" s="58"/>
      <c r="O249" s="59"/>
      <c r="P249" s="60"/>
      <c r="Q249" s="80"/>
      <c r="R249" s="62"/>
      <c r="S249" s="63"/>
      <c r="T249" s="63" t="str">
        <f aca="false">IF(ISBLANK($C249),"",IF(G249=Constants!$B$2, TRUE(), IF(G249=Constants!$B$3, FALSE(), TRUE())))</f>
        <v/>
      </c>
      <c r="U249" s="63" t="str">
        <f aca="false">IF(ISBLANK($C249),"",IF(H249=Constants!$B$2, TRUE(), IF(H249=Constants!$B$3, FALSE(), TRUE())))</f>
        <v/>
      </c>
      <c r="V249" s="63" t="str">
        <f aca="false">IF(ISBLANK($C249),"",IF(I249=Constants!$B$2, TRUE(), IF(I249=Constants!$B$3, FALSE(), TRUE())))</f>
        <v/>
      </c>
      <c r="W249" s="63" t="str">
        <f aca="false">IF(ISBLANK($C249),"",IF(J249=Constants!$B$2, TRUE(), IF(J249=Constants!$B$3, FALSE(), TRUE())))</f>
        <v/>
      </c>
      <c r="X249" s="63" t="str">
        <f aca="false">IF(ISBLANK($C249),"",IF(K249=Constants!$B$2, TRUE(), IF(K249=Constants!$B$3, FALSE(), TRUE())))</f>
        <v/>
      </c>
      <c r="Y249" s="65" t="str">
        <f aca="false">IF(ISBLANK($C249),"",IF(ISNUMBER(L249), L249, ""))</f>
        <v/>
      </c>
      <c r="Z249" s="65" t="str">
        <f aca="false">IF(ISBLANK($C249),"",IF(ISNUMBER(M249), M249, ""))</f>
        <v/>
      </c>
      <c r="AA249" s="65" t="str">
        <f aca="false">IF(ISBLANK($C249),"",IF(ISNUMBER(N249), N249, ""))</f>
        <v/>
      </c>
      <c r="AB249" s="66" t="str">
        <f aca="false">IF(ISBLANK($C249),"",IF(ISNUMBER(O249), O249, ""))</f>
        <v/>
      </c>
      <c r="AC249" s="66" t="str">
        <f aca="false">IF(ISBLANK($C249),"",IF(ISNUMBER(P249), P249, Constants!$B$13))</f>
        <v/>
      </c>
      <c r="AD249" s="63" t="str">
        <f aca="false">IF(ISBLANK($C249),"",IF(Q249=Constants!$B$2, TRUE(), IF(Q249=Constants!$B$3, FALSE(), FALSE())))</f>
        <v/>
      </c>
      <c r="AE249" s="63" t="str">
        <f aca="false">IF(ISBLANK(C249), "", IF(AD249, Constants!$B$4,IF(COUNTA(G249:O249)=0, Constants!$B$5, Constants!$B$7)))</f>
        <v/>
      </c>
      <c r="AF249" s="63" t="str">
        <f aca="false">IF(ISBLANK($C249), "",IF($AE249=Constants!$B$7,1,$AE249))</f>
        <v/>
      </c>
      <c r="AG249" s="63" t="str">
        <f aca="false">IF($AE249=Constants!$B$7,IF(V249, 1, Constants!$B$11) * IF(X249, 1, Constants!$B$12),"")</f>
        <v/>
      </c>
      <c r="AH249" s="63" t="str">
        <f aca="false">IF(AND($AE249=Constants!$B$7, T249, U249) ,MAX(0, $AA249-$Y249),"")</f>
        <v/>
      </c>
      <c r="AI249" s="63" t="str">
        <f aca="false">IF(ISERROR(AH249),$AI$6,"")</f>
        <v/>
      </c>
      <c r="AJ249" s="63" t="str">
        <f aca="false">IF($AE249=Constants!$B$7,IF(AND(T249,U249,W249),IF($AH$6=0,Constants!$B$9,Constants!$B$9*AH249/$AH$6), 0),"")</f>
        <v/>
      </c>
      <c r="AK249" s="63" t="str">
        <f aca="false">IF(AJ249&lt;&gt;"", AJ249*AG249,"")</f>
        <v/>
      </c>
      <c r="AL249" s="63" t="str">
        <f aca="false">IF(AND($AE249=Constants!$B$7, T249, U249) ,IF($Z249="", "", MAX(0,1-ABS($AA249-$Z249)/$AA249)),"")</f>
        <v/>
      </c>
      <c r="AM249" s="63" t="str">
        <f aca="false">IF(AND(NOT(ISERROR(AH249)),ISERROR(AL249)),$AM$6,"")</f>
        <v/>
      </c>
      <c r="AN249" s="63" t="str">
        <f aca="false">IF($AE249=Constants!$B$7 ,IF(AND(T249,U249,W249,ISNUMBER(Z249)),IF($AL$6=0,Constants!$B$10,Constants!$B$10*AL249/$AL$6), 0),"")</f>
        <v/>
      </c>
      <c r="AO249" s="63" t="str">
        <f aca="false">IF(AN249&lt;&gt;"", AN249*AG249,"")</f>
        <v/>
      </c>
      <c r="AP249" s="63" t="str">
        <f aca="false">IF($AE249=Constants!$B$7,IF($AP$6=0,Constants!$B$8,Constants!$B$8*AB249/$AP$6),"")</f>
        <v/>
      </c>
      <c r="AQ249" s="63" t="str">
        <f aca="false">IF($AE249&lt;&gt;Constants!$B$7,$AE249,AK249+AO249+AP249)</f>
        <v/>
      </c>
      <c r="AR249" s="63" t="str">
        <f aca="false">IF(ISBLANK($C249),"",IF($AE249=Constants!$B$7,RANK(AQ249,$AQ$8:$AQ$507),$AE249))</f>
        <v/>
      </c>
      <c r="AS249" s="63" t="str">
        <f aca="false">IF(ISBLANK($C249), "",AK249)</f>
        <v/>
      </c>
      <c r="AT249" s="63" t="str">
        <f aca="false">IF(ISBLANK($C249),"",IF($AE249=Constants!$B$7,RANK(AS249,AS$8:AS$507),$AE249))</f>
        <v/>
      </c>
      <c r="AU249" s="63" t="str">
        <f aca="false">IF(ISBLANK($C249), "",AP249)</f>
        <v/>
      </c>
      <c r="AV249" s="63" t="str">
        <f aca="false">IF(ISBLANK($C249),"",IF($AE249=Constants!$B$7,RANK(AU249,AU$8:AU$507),$AE249))</f>
        <v/>
      </c>
      <c r="AW249" s="63" t="str">
        <f aca="false">IF(ISBLANK($C249), "",AC249)</f>
        <v/>
      </c>
      <c r="AX249" s="63" t="str">
        <f aca="false">IF(ISBLANK($C249),"",
IF($AE249=Constants!$B$7,
  COUNTIFS($AR$8:$AR$507,"&lt;"&amp;$AR249)
  + COUNTIFS($AR$8:$AR$507,$AR249,$AT$8:$AT$507,"&lt;"&amp;$AT249)
  + COUNTIFS($AR$8:$AR$507,$AR249,$AT$8:$AT$507,$AT249,$AV$8:$AV$507,"&lt;"&amp;$AV249)
  + COUNTIFS($AR$8:$AR$507,$AR249,$AT$8:$AT$507,$AT249,$AV$8:$AV$507,$AV249,$AW$8:$AW$507,"&lt;"&amp;$AW249)
  + 1,
$AE249))</f>
        <v/>
      </c>
      <c r="AY249" s="63" t="str">
        <f aca="false">IF(ISBLANK(C249),"",IF($AE249=Constants!$B$7, AR249-AX249,$AE249))</f>
        <v/>
      </c>
      <c r="AZ249" s="67"/>
      <c r="BA249" s="81" t="str">
        <f aca="false">IF(ISBLANK($C249),"",TRIM(AI249&amp;" "&amp;AM249))</f>
        <v/>
      </c>
      <c r="BB249" s="69" t="str">
        <f aca="false">IF(ISBLANK($C249),"",IF($AE249&lt;&gt;Constants!$B$7, $AE249 ,AQ249))</f>
        <v/>
      </c>
      <c r="BC249" s="70" t="str">
        <f aca="false">IF(ISBLANK($C249),"",IF($AE249&lt;&gt;Constants!$B$7, $AE249 ,AF249))</f>
        <v/>
      </c>
      <c r="BD249" s="71" t="str">
        <f aca="false">IF(ISBLANK(C249),"",AY249)</f>
        <v/>
      </c>
      <c r="BE249" s="71" t="str">
        <f aca="false">IF(ISBLANK(C249),"",AX249)</f>
        <v/>
      </c>
      <c r="BF249" s="72" t="str">
        <f aca="false">IF(ISBLANK(C249),"",IFERROR(_xlfn.SWITCH(BE249, Constants!$B$4, COUNTA($C$8:$C748)+2, Constants!$B$5, COUNTA($C$8:$C748)+1, Constants!$B$6, COUNTA($C$8:$C748)),BE249))</f>
        <v/>
      </c>
      <c r="BG249" s="5"/>
      <c r="BH249" s="73" t="n">
        <f aca="false">IF(OR(ISNUMBER(BE249),BE249="DQ",BE249="P",BE249="NS"),
    1,
    0
)</f>
        <v>0</v>
      </c>
      <c r="BI249" s="73" t="n">
        <v>242</v>
      </c>
      <c r="BJ249" s="73" t="str">
        <f aca="false">IF(ISBLANK($C249),
    "",
   BF249+ROW($B249)/1000
)</f>
        <v/>
      </c>
      <c r="BK249" s="73" t="str">
        <f aca="false">IF(ISNUMBER(BJ249), RANK(BJ249,BJ$8:BJ$507,1), "")</f>
        <v/>
      </c>
      <c r="BL249" s="73" t="str">
        <f aca="false">IF(ISBLANK($C249),
    "",
    $B249
)</f>
        <v/>
      </c>
      <c r="BM249" s="73" t="str">
        <f aca="false">IF(ISBLANK($C249),
    "",
    $C249
)</f>
        <v/>
      </c>
      <c r="BN249" s="73" t="str">
        <f aca="false">IF(ISBLANK($C249),
    "",
    $D249
)</f>
        <v/>
      </c>
      <c r="BO249" s="74" t="str">
        <f aca="false">BC249</f>
        <v/>
      </c>
      <c r="BP249" s="75" t="str">
        <f aca="false">BB249</f>
        <v/>
      </c>
      <c r="BQ249" s="73" t="str">
        <f aca="false">IF(ISBLANK($C249),
    "",
    BE249
)</f>
        <v/>
      </c>
      <c r="BR249" s="76" t="str">
        <f aca="false">IF(BI249&gt;BH$7,
    "",
    VLOOKUP(BI249,BK$8:BQ748,7,FALSE())
)</f>
        <v/>
      </c>
      <c r="BS249" s="77" t="str">
        <f aca="false">IF(BI249&gt;BH$7,
    "",
    VLOOKUP(BI249,BK$8:BQ748,2,FALSE())
)</f>
        <v/>
      </c>
      <c r="BT249" s="77" t="str">
        <f aca="false">IF(BI249&gt;BH$7,
    "",
    VLOOKUP(BI249,BK$8:BQ748,3,FALSE())
)</f>
        <v/>
      </c>
      <c r="BU249" s="77" t="str">
        <f aca="false">IF(BI249&gt;BH$7,
    "",
    VLOOKUP(BI249,BK$8:BQ748,4,FALSE())
)</f>
        <v/>
      </c>
      <c r="BV249" s="77" t="str">
        <f aca="false">IF(BI249&gt;BH$7,
    "",
    VLOOKUP(BI249,BK$8:BQ748,5,FALSE())
)</f>
        <v/>
      </c>
      <c r="BW249" s="78" t="str">
        <f aca="false">IF(BI249&gt;BH$7,
    "",
    VLOOKUP(BI249,BK$8:BQ748,6,FALSE())
)</f>
        <v/>
      </c>
      <c r="BX249" s="50"/>
    </row>
    <row r="250" customFormat="false" ht="15.75" hidden="false" customHeight="false" outlineLevel="0" collapsed="false">
      <c r="A250" s="5"/>
      <c r="B250" s="126"/>
      <c r="C250" s="52"/>
      <c r="D250" s="53"/>
      <c r="E250" s="120"/>
      <c r="F250" s="120"/>
      <c r="G250" s="55"/>
      <c r="H250" s="56"/>
      <c r="I250" s="80"/>
      <c r="J250" s="80"/>
      <c r="K250" s="80"/>
      <c r="L250" s="58"/>
      <c r="M250" s="58"/>
      <c r="N250" s="58"/>
      <c r="O250" s="59"/>
      <c r="P250" s="60"/>
      <c r="Q250" s="80"/>
      <c r="R250" s="62"/>
      <c r="S250" s="63"/>
      <c r="T250" s="63" t="str">
        <f aca="false">IF(ISBLANK($C250),"",IF(G250=Constants!$B$2, TRUE(), IF(G250=Constants!$B$3, FALSE(), TRUE())))</f>
        <v/>
      </c>
      <c r="U250" s="63" t="str">
        <f aca="false">IF(ISBLANK($C250),"",IF(H250=Constants!$B$2, TRUE(), IF(H250=Constants!$B$3, FALSE(), TRUE())))</f>
        <v/>
      </c>
      <c r="V250" s="63" t="str">
        <f aca="false">IF(ISBLANK($C250),"",IF(I250=Constants!$B$2, TRUE(), IF(I250=Constants!$B$3, FALSE(), TRUE())))</f>
        <v/>
      </c>
      <c r="W250" s="63" t="str">
        <f aca="false">IF(ISBLANK($C250),"",IF(J250=Constants!$B$2, TRUE(), IF(J250=Constants!$B$3, FALSE(), TRUE())))</f>
        <v/>
      </c>
      <c r="X250" s="63" t="str">
        <f aca="false">IF(ISBLANK($C250),"",IF(K250=Constants!$B$2, TRUE(), IF(K250=Constants!$B$3, FALSE(), TRUE())))</f>
        <v/>
      </c>
      <c r="Y250" s="65" t="str">
        <f aca="false">IF(ISBLANK($C250),"",IF(ISNUMBER(L250), L250, ""))</f>
        <v/>
      </c>
      <c r="Z250" s="65" t="str">
        <f aca="false">IF(ISBLANK($C250),"",IF(ISNUMBER(M250), M250, ""))</f>
        <v/>
      </c>
      <c r="AA250" s="65" t="str">
        <f aca="false">IF(ISBLANK($C250),"",IF(ISNUMBER(N250), N250, ""))</f>
        <v/>
      </c>
      <c r="AB250" s="66" t="str">
        <f aca="false">IF(ISBLANK($C250),"",IF(ISNUMBER(O250), O250, ""))</f>
        <v/>
      </c>
      <c r="AC250" s="66" t="str">
        <f aca="false">IF(ISBLANK($C250),"",IF(ISNUMBER(P250), P250, Constants!$B$13))</f>
        <v/>
      </c>
      <c r="AD250" s="63" t="str">
        <f aca="false">IF(ISBLANK($C250),"",IF(Q250=Constants!$B$2, TRUE(), IF(Q250=Constants!$B$3, FALSE(), FALSE())))</f>
        <v/>
      </c>
      <c r="AE250" s="63" t="str">
        <f aca="false">IF(ISBLANK(C250), "", IF(AD250, Constants!$B$4,IF(COUNTA(G250:O250)=0, Constants!$B$5, Constants!$B$7)))</f>
        <v/>
      </c>
      <c r="AF250" s="63" t="str">
        <f aca="false">IF(ISBLANK($C250), "",IF($AE250=Constants!$B$7,1,$AE250))</f>
        <v/>
      </c>
      <c r="AG250" s="63" t="str">
        <f aca="false">IF($AE250=Constants!$B$7,IF(V250, 1, Constants!$B$11) * IF(X250, 1, Constants!$B$12),"")</f>
        <v/>
      </c>
      <c r="AH250" s="63" t="str">
        <f aca="false">IF(AND($AE250=Constants!$B$7, T250, U250) ,MAX(0, $AA250-$Y250),"")</f>
        <v/>
      </c>
      <c r="AI250" s="63" t="str">
        <f aca="false">IF(ISERROR(AH250),$AI$6,"")</f>
        <v/>
      </c>
      <c r="AJ250" s="63" t="str">
        <f aca="false">IF($AE250=Constants!$B$7,IF(AND(T250,U250,W250),IF($AH$6=0,Constants!$B$9,Constants!$B$9*AH250/$AH$6), 0),"")</f>
        <v/>
      </c>
      <c r="AK250" s="63" t="str">
        <f aca="false">IF(AJ250&lt;&gt;"", AJ250*AG250,"")</f>
        <v/>
      </c>
      <c r="AL250" s="63" t="str">
        <f aca="false">IF(AND($AE250=Constants!$B$7, T250, U250) ,IF($Z250="", "", MAX(0,1-ABS($AA250-$Z250)/$AA250)),"")</f>
        <v/>
      </c>
      <c r="AM250" s="63" t="str">
        <f aca="false">IF(AND(NOT(ISERROR(AH250)),ISERROR(AL250)),$AM$6,"")</f>
        <v/>
      </c>
      <c r="AN250" s="63" t="str">
        <f aca="false">IF($AE250=Constants!$B$7 ,IF(AND(T250,U250,W250,ISNUMBER(Z250)),IF($AL$6=0,Constants!$B$10,Constants!$B$10*AL250/$AL$6), 0),"")</f>
        <v/>
      </c>
      <c r="AO250" s="63" t="str">
        <f aca="false">IF(AN250&lt;&gt;"", AN250*AG250,"")</f>
        <v/>
      </c>
      <c r="AP250" s="63" t="str">
        <f aca="false">IF($AE250=Constants!$B$7,IF($AP$6=0,Constants!$B$8,Constants!$B$8*AB250/$AP$6),"")</f>
        <v/>
      </c>
      <c r="AQ250" s="63" t="str">
        <f aca="false">IF($AE250&lt;&gt;Constants!$B$7,$AE250,AK250+AO250+AP250)</f>
        <v/>
      </c>
      <c r="AR250" s="63" t="str">
        <f aca="false">IF(ISBLANK($C250),"",IF($AE250=Constants!$B$7,RANK(AQ250,$AQ$8:$AQ$507),$AE250))</f>
        <v/>
      </c>
      <c r="AS250" s="63" t="str">
        <f aca="false">IF(ISBLANK($C250), "",AK250)</f>
        <v/>
      </c>
      <c r="AT250" s="63" t="str">
        <f aca="false">IF(ISBLANK($C250),"",IF($AE250=Constants!$B$7,RANK(AS250,AS$8:AS$507),$AE250))</f>
        <v/>
      </c>
      <c r="AU250" s="63" t="str">
        <f aca="false">IF(ISBLANK($C250), "",AP250)</f>
        <v/>
      </c>
      <c r="AV250" s="63" t="str">
        <f aca="false">IF(ISBLANK($C250),"",IF($AE250=Constants!$B$7,RANK(AU250,AU$8:AU$507),$AE250))</f>
        <v/>
      </c>
      <c r="AW250" s="63" t="str">
        <f aca="false">IF(ISBLANK($C250), "",AC250)</f>
        <v/>
      </c>
      <c r="AX250" s="63" t="str">
        <f aca="false">IF(ISBLANK($C250),"",
IF($AE250=Constants!$B$7,
  COUNTIFS($AR$8:$AR$507,"&lt;"&amp;$AR250)
  + COUNTIFS($AR$8:$AR$507,$AR250,$AT$8:$AT$507,"&lt;"&amp;$AT250)
  + COUNTIFS($AR$8:$AR$507,$AR250,$AT$8:$AT$507,$AT250,$AV$8:$AV$507,"&lt;"&amp;$AV250)
  + COUNTIFS($AR$8:$AR$507,$AR250,$AT$8:$AT$507,$AT250,$AV$8:$AV$507,$AV250,$AW$8:$AW$507,"&lt;"&amp;$AW250)
  + 1,
$AE250))</f>
        <v/>
      </c>
      <c r="AY250" s="63" t="str">
        <f aca="false">IF(ISBLANK(C250),"",IF($AE250=Constants!$B$7, AR250-AX250,$AE250))</f>
        <v/>
      </c>
      <c r="AZ250" s="67"/>
      <c r="BA250" s="81" t="str">
        <f aca="false">IF(ISBLANK($C250),"",TRIM(AI250&amp;" "&amp;AM250))</f>
        <v/>
      </c>
      <c r="BB250" s="69" t="str">
        <f aca="false">IF(ISBLANK($C250),"",IF($AE250&lt;&gt;Constants!$B$7, $AE250 ,AQ250))</f>
        <v/>
      </c>
      <c r="BC250" s="70" t="str">
        <f aca="false">IF(ISBLANK($C250),"",IF($AE250&lt;&gt;Constants!$B$7, $AE250 ,AF250))</f>
        <v/>
      </c>
      <c r="BD250" s="71" t="str">
        <f aca="false">IF(ISBLANK(C250),"",AY250)</f>
        <v/>
      </c>
      <c r="BE250" s="71" t="str">
        <f aca="false">IF(ISBLANK(C250),"",AX250)</f>
        <v/>
      </c>
      <c r="BF250" s="72" t="str">
        <f aca="false">IF(ISBLANK(C250),"",IFERROR(_xlfn.SWITCH(BE250, Constants!$B$4, COUNTA($C$8:$C749)+2, Constants!$B$5, COUNTA($C$8:$C749)+1, Constants!$B$6, COUNTA($C$8:$C749)),BE250))</f>
        <v/>
      </c>
      <c r="BG250" s="5"/>
      <c r="BH250" s="73" t="n">
        <f aca="false">IF(OR(ISNUMBER(BE250),BE250="DQ",BE250="P",BE250="NS"),
    1,
    0
)</f>
        <v>0</v>
      </c>
      <c r="BI250" s="73" t="n">
        <v>243</v>
      </c>
      <c r="BJ250" s="73" t="str">
        <f aca="false">IF(ISBLANK($C250),
    "",
   BF250+ROW($B250)/1000
)</f>
        <v/>
      </c>
      <c r="BK250" s="73" t="str">
        <f aca="false">IF(ISNUMBER(BJ250), RANK(BJ250,BJ$8:BJ$507,1), "")</f>
        <v/>
      </c>
      <c r="BL250" s="73" t="str">
        <f aca="false">IF(ISBLANK($C250),
    "",
    $B250
)</f>
        <v/>
      </c>
      <c r="BM250" s="73" t="str">
        <f aca="false">IF(ISBLANK($C250),
    "",
    $C250
)</f>
        <v/>
      </c>
      <c r="BN250" s="73" t="str">
        <f aca="false">IF(ISBLANK($C250),
    "",
    $D250
)</f>
        <v/>
      </c>
      <c r="BO250" s="74" t="str">
        <f aca="false">BC250</f>
        <v/>
      </c>
      <c r="BP250" s="75" t="str">
        <f aca="false">BB250</f>
        <v/>
      </c>
      <c r="BQ250" s="73" t="str">
        <f aca="false">IF(ISBLANK($C250),
    "",
    BE250
)</f>
        <v/>
      </c>
      <c r="BR250" s="76" t="str">
        <f aca="false">IF(BI250&gt;BH$7,
    "",
    VLOOKUP(BI250,BK$8:BQ749,7,FALSE())
)</f>
        <v/>
      </c>
      <c r="BS250" s="77" t="str">
        <f aca="false">IF(BI250&gt;BH$7,
    "",
    VLOOKUP(BI250,BK$8:BQ749,2,FALSE())
)</f>
        <v/>
      </c>
      <c r="BT250" s="77" t="str">
        <f aca="false">IF(BI250&gt;BH$7,
    "",
    VLOOKUP(BI250,BK$8:BQ749,3,FALSE())
)</f>
        <v/>
      </c>
      <c r="BU250" s="77" t="str">
        <f aca="false">IF(BI250&gt;BH$7,
    "",
    VLOOKUP(BI250,BK$8:BQ749,4,FALSE())
)</f>
        <v/>
      </c>
      <c r="BV250" s="77" t="str">
        <f aca="false">IF(BI250&gt;BH$7,
    "",
    VLOOKUP(BI250,BK$8:BQ749,5,FALSE())
)</f>
        <v/>
      </c>
      <c r="BW250" s="78" t="str">
        <f aca="false">IF(BI250&gt;BH$7,
    "",
    VLOOKUP(BI250,BK$8:BQ749,6,FALSE())
)</f>
        <v/>
      </c>
      <c r="BX250" s="50"/>
    </row>
    <row r="251" customFormat="false" ht="15.75" hidden="false" customHeight="false" outlineLevel="0" collapsed="false">
      <c r="A251" s="5"/>
      <c r="B251" s="122"/>
      <c r="C251" s="123"/>
      <c r="D251" s="112"/>
      <c r="E251" s="116"/>
      <c r="F251" s="116"/>
      <c r="G251" s="88"/>
      <c r="H251" s="89"/>
      <c r="I251" s="125"/>
      <c r="J251" s="125"/>
      <c r="K251" s="125"/>
      <c r="L251" s="91"/>
      <c r="M251" s="91"/>
      <c r="N251" s="91"/>
      <c r="O251" s="92"/>
      <c r="P251" s="93"/>
      <c r="Q251" s="125"/>
      <c r="R251" s="95"/>
      <c r="S251" s="96"/>
      <c r="T251" s="96" t="str">
        <f aca="false">IF(ISBLANK($C251),"",IF(G251=Constants!$B$2, TRUE(), IF(G251=Constants!$B$3, FALSE(), TRUE())))</f>
        <v/>
      </c>
      <c r="U251" s="96" t="str">
        <f aca="false">IF(ISBLANK($C251),"",IF(H251=Constants!$B$2, TRUE(), IF(H251=Constants!$B$3, FALSE(), TRUE())))</f>
        <v/>
      </c>
      <c r="V251" s="96" t="str">
        <f aca="false">IF(ISBLANK($C251),"",IF(I251=Constants!$B$2, TRUE(), IF(I251=Constants!$B$3, FALSE(), TRUE())))</f>
        <v/>
      </c>
      <c r="W251" s="96" t="str">
        <f aca="false">IF(ISBLANK($C251),"",IF(J251=Constants!$B$2, TRUE(), IF(J251=Constants!$B$3, FALSE(), TRUE())))</f>
        <v/>
      </c>
      <c r="X251" s="97" t="str">
        <f aca="false">IF(ISBLANK($C251),"",IF(K251=Constants!$B$2, TRUE(), IF(K251=Constants!$B$3, FALSE(), TRUE())))</f>
        <v/>
      </c>
      <c r="Y251" s="98" t="str">
        <f aca="false">IF(ISBLANK($C251),"",IF(ISNUMBER(L251), L251, ""))</f>
        <v/>
      </c>
      <c r="Z251" s="98" t="str">
        <f aca="false">IF(ISBLANK($C251),"",IF(ISNUMBER(M251), M251, ""))</f>
        <v/>
      </c>
      <c r="AA251" s="98" t="str">
        <f aca="false">IF(ISBLANK($C251),"",IF(ISNUMBER(N251), N251, ""))</f>
        <v/>
      </c>
      <c r="AB251" s="99" t="str">
        <f aca="false">IF(ISBLANK($C251),"",IF(ISNUMBER(O251), O251, ""))</f>
        <v/>
      </c>
      <c r="AC251" s="99" t="str">
        <f aca="false">IF(ISBLANK($C251),"",IF(ISNUMBER(P251), P251, Constants!$B$13))</f>
        <v/>
      </c>
      <c r="AD251" s="96" t="str">
        <f aca="false">IF(ISBLANK($C251),"",IF(Q251=Constants!$B$2, TRUE(), IF(Q251=Constants!$B$3, FALSE(), FALSE())))</f>
        <v/>
      </c>
      <c r="AE251" s="96" t="str">
        <f aca="false">IF(ISBLANK(C251), "", IF(AD251, Constants!$B$4,IF(COUNTA(G251:O251)=0, Constants!$B$5, Constants!$B$7)))</f>
        <v/>
      </c>
      <c r="AF251" s="96" t="str">
        <f aca="false">IF(ISBLANK($C251), "",IF($AE251=Constants!$B$7,1,$AE251))</f>
        <v/>
      </c>
      <c r="AG251" s="96" t="str">
        <f aca="false">IF($AE251=Constants!$B$7,IF(V251, 1, Constants!$B$11) * IF(X251, 1, Constants!$B$12),"")</f>
        <v/>
      </c>
      <c r="AH251" s="96" t="str">
        <f aca="false">IF(AND($AE251=Constants!$B$7, T251, U251) ,MAX(0, $AA251-$Y251),"")</f>
        <v/>
      </c>
      <c r="AI251" s="96" t="str">
        <f aca="false">IF(ISERROR(AH251),$AI$6,"")</f>
        <v/>
      </c>
      <c r="AJ251" s="96" t="str">
        <f aca="false">IF($AE251=Constants!$B$7,IF(AND(T251,U251,W251),IF($AH$6=0,Constants!$B$9,Constants!$B$9*AH251/$AH$6), 0),"")</f>
        <v/>
      </c>
      <c r="AK251" s="96" t="str">
        <f aca="false">IF(AJ251&lt;&gt;"", AJ251*AG251,"")</f>
        <v/>
      </c>
      <c r="AL251" s="96" t="str">
        <f aca="false">IF(AND($AE251=Constants!$B$7, T251, U251) ,IF($Z251="", "", MAX(0,1-ABS($AA251-$Z251)/$AA251)),"")</f>
        <v/>
      </c>
      <c r="AM251" s="96" t="str">
        <f aca="false">IF(AND(NOT(ISERROR(AH251)),ISERROR(AL251)),$AM$6,"")</f>
        <v/>
      </c>
      <c r="AN251" s="96" t="str">
        <f aca="false">IF($AE251=Constants!$B$7 ,IF(AND(T251,U251,W251,ISNUMBER(Z251)),IF($AL$6=0,Constants!$B$10,Constants!$B$10*AL251/$AL$6), 0),"")</f>
        <v/>
      </c>
      <c r="AO251" s="96" t="str">
        <f aca="false">IF(AN251&lt;&gt;"", AN251*AG251,"")</f>
        <v/>
      </c>
      <c r="AP251" s="96" t="str">
        <f aca="false">IF($AE251=Constants!$B$7,IF($AP$6=0,Constants!$B$8,Constants!$B$8*AB251/$AP$6),"")</f>
        <v/>
      </c>
      <c r="AQ251" s="96" t="str">
        <f aca="false">IF($AE251&lt;&gt;Constants!$B$7,$AE251,AK251+AO251+AP251)</f>
        <v/>
      </c>
      <c r="AR251" s="96" t="str">
        <f aca="false">IF(ISBLANK($C251),"",IF($AE251=Constants!$B$7,RANK(AQ251,$AQ$8:$AQ$507),$AE251))</f>
        <v/>
      </c>
      <c r="AS251" s="96" t="str">
        <f aca="false">IF(ISBLANK($C251), "",AK251)</f>
        <v/>
      </c>
      <c r="AT251" s="96" t="str">
        <f aca="false">IF(ISBLANK($C251),"",IF($AE251=Constants!$B$7,RANK(AS251,AS$8:AS$507),$AE251))</f>
        <v/>
      </c>
      <c r="AU251" s="96" t="str">
        <f aca="false">IF(ISBLANK($C251), "",AP251)</f>
        <v/>
      </c>
      <c r="AV251" s="96" t="str">
        <f aca="false">IF(ISBLANK($C251),"",IF($AE251=Constants!$B$7,RANK(AU251,AU$8:AU$507),$AE251))</f>
        <v/>
      </c>
      <c r="AW251" s="96" t="str">
        <f aca="false">IF(ISBLANK($C251), "",AC251)</f>
        <v/>
      </c>
      <c r="AX251" s="96" t="str">
        <f aca="false">IF(ISBLANK($C251),"",
IF($AE251=Constants!$B$7,
  COUNTIFS($AR$8:$AR$507,"&lt;"&amp;$AR251)
  + COUNTIFS($AR$8:$AR$507,$AR251,$AT$8:$AT$507,"&lt;"&amp;$AT251)
  + COUNTIFS($AR$8:$AR$507,$AR251,$AT$8:$AT$507,$AT251,$AV$8:$AV$507,"&lt;"&amp;$AV251)
  + COUNTIFS($AR$8:$AR$507,$AR251,$AT$8:$AT$507,$AT251,$AV$8:$AV$507,$AV251,$AW$8:$AW$507,"&lt;"&amp;$AW251)
  + 1,
$AE251))</f>
        <v/>
      </c>
      <c r="AY251" s="96" t="str">
        <f aca="false">IF(ISBLANK(C251),"",IF($AE251=Constants!$B$7, AR251-AX251,$AE251))</f>
        <v/>
      </c>
      <c r="AZ251" s="100"/>
      <c r="BA251" s="101" t="str">
        <f aca="false">IF(ISBLANK($C251),"",TRIM(AI251&amp;" "&amp;AM251))</f>
        <v/>
      </c>
      <c r="BB251" s="102" t="str">
        <f aca="false">IF(ISBLANK($C251),"",IF($AE251&lt;&gt;Constants!$B$7, $AE251 ,AQ251))</f>
        <v/>
      </c>
      <c r="BC251" s="103" t="str">
        <f aca="false">IF(ISBLANK($C251),"",IF($AE251&lt;&gt;Constants!$B$7, $AE251 ,AF251))</f>
        <v/>
      </c>
      <c r="BD251" s="104" t="str">
        <f aca="false">IF(ISBLANK(C251),"",AY251)</f>
        <v/>
      </c>
      <c r="BE251" s="104" t="str">
        <f aca="false">IF(ISBLANK(C251),"",AX251)</f>
        <v/>
      </c>
      <c r="BF251" s="105" t="str">
        <f aca="false">IF(ISBLANK(C251),"",IFERROR(_xlfn.SWITCH(BE251, Constants!$B$4, COUNTA($C$8:$C750)+2, Constants!$B$5, COUNTA($C$8:$C750)+1, Constants!$B$6, COUNTA($C$8:$C750)),BE251))</f>
        <v/>
      </c>
      <c r="BG251" s="5"/>
      <c r="BH251" s="106" t="n">
        <f aca="false">IF(OR(ISNUMBER(BE251),BE251="DQ",BE251="P",BE251="NS"),
    1,
    0
)</f>
        <v>0</v>
      </c>
      <c r="BI251" s="106" t="n">
        <v>244</v>
      </c>
      <c r="BJ251" s="106" t="str">
        <f aca="false">IF(ISBLANK($C251),
    "",
   BF251+ROW($B251)/1000
)</f>
        <v/>
      </c>
      <c r="BK251" s="106" t="str">
        <f aca="false">IF(ISNUMBER(BJ251), RANK(BJ251,BJ$8:BJ$507,1), "")</f>
        <v/>
      </c>
      <c r="BL251" s="106" t="str">
        <f aca="false">IF(ISBLANK($C251),
    "",
    $B251
)</f>
        <v/>
      </c>
      <c r="BM251" s="106" t="str">
        <f aca="false">IF(ISBLANK($C251),
    "",
    $C251
)</f>
        <v/>
      </c>
      <c r="BN251" s="106" t="str">
        <f aca="false">IF(ISBLANK($C251),
    "",
    $D251
)</f>
        <v/>
      </c>
      <c r="BO251" s="107" t="str">
        <f aca="false">BC251</f>
        <v/>
      </c>
      <c r="BP251" s="108" t="str">
        <f aca="false">BB251</f>
        <v/>
      </c>
      <c r="BQ251" s="106" t="str">
        <f aca="false">IF(ISBLANK($C251),
    "",
    BE251
)</f>
        <v/>
      </c>
      <c r="BR251" s="109" t="str">
        <f aca="false">IF(BI251&gt;BH$7,
    "",
    VLOOKUP(BI251,BK$8:BQ750,7,FALSE())
)</f>
        <v/>
      </c>
      <c r="BS251" s="110" t="str">
        <f aca="false">IF(BI251&gt;BH$7,
    "",
    VLOOKUP(BI251,BK$8:BQ750,2,FALSE())
)</f>
        <v/>
      </c>
      <c r="BT251" s="110" t="str">
        <f aca="false">IF(BI251&gt;BH$7,
    "",
    VLOOKUP(BI251,BK$8:BQ750,3,FALSE())
)</f>
        <v/>
      </c>
      <c r="BU251" s="110" t="str">
        <f aca="false">IF(BI251&gt;BH$7,
    "",
    VLOOKUP(BI251,BK$8:BQ750,4,FALSE())
)</f>
        <v/>
      </c>
      <c r="BV251" s="110" t="str">
        <f aca="false">IF(BI251&gt;BH$7,
    "",
    VLOOKUP(BI251,BK$8:BQ750,5,FALSE())
)</f>
        <v/>
      </c>
      <c r="BW251" s="111" t="str">
        <f aca="false">IF(BI251&gt;BH$7,
    "",
    VLOOKUP(BI251,BK$8:BQ750,6,FALSE())
)</f>
        <v/>
      </c>
      <c r="BX251" s="50"/>
    </row>
    <row r="252" customFormat="false" ht="15.75" hidden="false" customHeight="false" outlineLevel="0" collapsed="false">
      <c r="A252" s="5"/>
      <c r="B252" s="122"/>
      <c r="C252" s="123"/>
      <c r="D252" s="112"/>
      <c r="E252" s="116"/>
      <c r="F252" s="116"/>
      <c r="G252" s="88"/>
      <c r="H252" s="89"/>
      <c r="I252" s="125"/>
      <c r="J252" s="125"/>
      <c r="K252" s="125"/>
      <c r="L252" s="91"/>
      <c r="M252" s="91"/>
      <c r="N252" s="91"/>
      <c r="O252" s="92"/>
      <c r="P252" s="93"/>
      <c r="Q252" s="125"/>
      <c r="R252" s="95"/>
      <c r="S252" s="96"/>
      <c r="T252" s="96" t="str">
        <f aca="false">IF(ISBLANK($C252),"",IF(G252=Constants!$B$2, TRUE(), IF(G252=Constants!$B$3, FALSE(), TRUE())))</f>
        <v/>
      </c>
      <c r="U252" s="96" t="str">
        <f aca="false">IF(ISBLANK($C252),"",IF(H252=Constants!$B$2, TRUE(), IF(H252=Constants!$B$3, FALSE(), TRUE())))</f>
        <v/>
      </c>
      <c r="V252" s="96" t="str">
        <f aca="false">IF(ISBLANK($C252),"",IF(I252=Constants!$B$2, TRUE(), IF(I252=Constants!$B$3, FALSE(), TRUE())))</f>
        <v/>
      </c>
      <c r="W252" s="96" t="str">
        <f aca="false">IF(ISBLANK($C252),"",IF(J252=Constants!$B$2, TRUE(), IF(J252=Constants!$B$3, FALSE(), TRUE())))</f>
        <v/>
      </c>
      <c r="X252" s="97" t="str">
        <f aca="false">IF(ISBLANK($C252),"",IF(K252=Constants!$B$2, TRUE(), IF(K252=Constants!$B$3, FALSE(), TRUE())))</f>
        <v/>
      </c>
      <c r="Y252" s="98" t="str">
        <f aca="false">IF(ISBLANK($C252),"",IF(ISNUMBER(L252), L252, ""))</f>
        <v/>
      </c>
      <c r="Z252" s="98" t="str">
        <f aca="false">IF(ISBLANK($C252),"",IF(ISNUMBER(M252), M252, ""))</f>
        <v/>
      </c>
      <c r="AA252" s="98" t="str">
        <f aca="false">IF(ISBLANK($C252),"",IF(ISNUMBER(N252), N252, ""))</f>
        <v/>
      </c>
      <c r="AB252" s="99" t="str">
        <f aca="false">IF(ISBLANK($C252),"",IF(ISNUMBER(O252), O252, ""))</f>
        <v/>
      </c>
      <c r="AC252" s="99" t="str">
        <f aca="false">IF(ISBLANK($C252),"",IF(ISNUMBER(P252), P252, Constants!$B$13))</f>
        <v/>
      </c>
      <c r="AD252" s="96" t="str">
        <f aca="false">IF(ISBLANK($C252),"",IF(Q252=Constants!$B$2, TRUE(), IF(Q252=Constants!$B$3, FALSE(), FALSE())))</f>
        <v/>
      </c>
      <c r="AE252" s="96" t="str">
        <f aca="false">IF(ISBLANK(C252), "", IF(AD252, Constants!$B$4,IF(COUNTA(G252:O252)=0, Constants!$B$5, Constants!$B$7)))</f>
        <v/>
      </c>
      <c r="AF252" s="96" t="str">
        <f aca="false">IF(ISBLANK($C252), "",IF($AE252=Constants!$B$7,1,$AE252))</f>
        <v/>
      </c>
      <c r="AG252" s="96" t="str">
        <f aca="false">IF($AE252=Constants!$B$7,IF(V252, 1, Constants!$B$11) * IF(X252, 1, Constants!$B$12),"")</f>
        <v/>
      </c>
      <c r="AH252" s="96" t="str">
        <f aca="false">IF(AND($AE252=Constants!$B$7, T252, U252) ,MAX(0, $AA252-$Y252),"")</f>
        <v/>
      </c>
      <c r="AI252" s="96" t="str">
        <f aca="false">IF(ISERROR(AH252),$AI$6,"")</f>
        <v/>
      </c>
      <c r="AJ252" s="96" t="str">
        <f aca="false">IF($AE252=Constants!$B$7,IF(AND(T252,U252,W252),IF($AH$6=0,Constants!$B$9,Constants!$B$9*AH252/$AH$6), 0),"")</f>
        <v/>
      </c>
      <c r="AK252" s="96" t="str">
        <f aca="false">IF(AJ252&lt;&gt;"", AJ252*AG252,"")</f>
        <v/>
      </c>
      <c r="AL252" s="96" t="str">
        <f aca="false">IF(AND($AE252=Constants!$B$7, T252, U252) ,IF($Z252="", "", MAX(0,1-ABS($AA252-$Z252)/$AA252)),"")</f>
        <v/>
      </c>
      <c r="AM252" s="96" t="str">
        <f aca="false">IF(AND(NOT(ISERROR(AH252)),ISERROR(AL252)),$AM$6,"")</f>
        <v/>
      </c>
      <c r="AN252" s="96" t="str">
        <f aca="false">IF($AE252=Constants!$B$7 ,IF(AND(T252,U252,W252,ISNUMBER(Z252)),IF($AL$6=0,Constants!$B$10,Constants!$B$10*AL252/$AL$6), 0),"")</f>
        <v/>
      </c>
      <c r="AO252" s="96" t="str">
        <f aca="false">IF(AN252&lt;&gt;"", AN252*AG252,"")</f>
        <v/>
      </c>
      <c r="AP252" s="96" t="str">
        <f aca="false">IF($AE252=Constants!$B$7,IF($AP$6=0,Constants!$B$8,Constants!$B$8*AB252/$AP$6),"")</f>
        <v/>
      </c>
      <c r="AQ252" s="96" t="str">
        <f aca="false">IF($AE252&lt;&gt;Constants!$B$7,$AE252,AK252+AO252+AP252)</f>
        <v/>
      </c>
      <c r="AR252" s="96" t="str">
        <f aca="false">IF(ISBLANK($C252),"",IF($AE252=Constants!$B$7,RANK(AQ252,$AQ$8:$AQ$507),$AE252))</f>
        <v/>
      </c>
      <c r="AS252" s="96" t="str">
        <f aca="false">IF(ISBLANK($C252), "",AK252)</f>
        <v/>
      </c>
      <c r="AT252" s="96" t="str">
        <f aca="false">IF(ISBLANK($C252),"",IF($AE252=Constants!$B$7,RANK(AS252,AS$8:AS$507),$AE252))</f>
        <v/>
      </c>
      <c r="AU252" s="96" t="str">
        <f aca="false">IF(ISBLANK($C252), "",AP252)</f>
        <v/>
      </c>
      <c r="AV252" s="96" t="str">
        <f aca="false">IF(ISBLANK($C252),"",IF($AE252=Constants!$B$7,RANK(AU252,AU$8:AU$507),$AE252))</f>
        <v/>
      </c>
      <c r="AW252" s="96" t="str">
        <f aca="false">IF(ISBLANK($C252), "",AC252)</f>
        <v/>
      </c>
      <c r="AX252" s="96" t="str">
        <f aca="false">IF(ISBLANK($C252),"",
IF($AE252=Constants!$B$7,
  COUNTIFS($AR$8:$AR$507,"&lt;"&amp;$AR252)
  + COUNTIFS($AR$8:$AR$507,$AR252,$AT$8:$AT$507,"&lt;"&amp;$AT252)
  + COUNTIFS($AR$8:$AR$507,$AR252,$AT$8:$AT$507,$AT252,$AV$8:$AV$507,"&lt;"&amp;$AV252)
  + COUNTIFS($AR$8:$AR$507,$AR252,$AT$8:$AT$507,$AT252,$AV$8:$AV$507,$AV252,$AW$8:$AW$507,"&lt;"&amp;$AW252)
  + 1,
$AE252))</f>
        <v/>
      </c>
      <c r="AY252" s="96" t="str">
        <f aca="false">IF(ISBLANK(C252),"",IF($AE252=Constants!$B$7, AR252-AX252,$AE252))</f>
        <v/>
      </c>
      <c r="AZ252" s="100"/>
      <c r="BA252" s="101" t="str">
        <f aca="false">IF(ISBLANK($C252),"",TRIM(AI252&amp;" "&amp;AM252))</f>
        <v/>
      </c>
      <c r="BB252" s="102" t="str">
        <f aca="false">IF(ISBLANK($C252),"",IF($AE252&lt;&gt;Constants!$B$7, $AE252 ,AQ252))</f>
        <v/>
      </c>
      <c r="BC252" s="103" t="str">
        <f aca="false">IF(ISBLANK($C252),"",IF($AE252&lt;&gt;Constants!$B$7, $AE252 ,AF252))</f>
        <v/>
      </c>
      <c r="BD252" s="104" t="str">
        <f aca="false">IF(ISBLANK(C252),"",AY252)</f>
        <v/>
      </c>
      <c r="BE252" s="104" t="str">
        <f aca="false">IF(ISBLANK(C252),"",AX252)</f>
        <v/>
      </c>
      <c r="BF252" s="105" t="str">
        <f aca="false">IF(ISBLANK(C252),"",IFERROR(_xlfn.SWITCH(BE252, Constants!$B$4, COUNTA($C$8:$C751)+2, Constants!$B$5, COUNTA($C$8:$C751)+1, Constants!$B$6, COUNTA($C$8:$C751)),BE252))</f>
        <v/>
      </c>
      <c r="BG252" s="5"/>
      <c r="BH252" s="106" t="n">
        <f aca="false">IF(OR(ISNUMBER(BE252),BE252="DQ",BE252="P",BE252="NS"),
    1,
    0
)</f>
        <v>0</v>
      </c>
      <c r="BI252" s="106" t="n">
        <v>245</v>
      </c>
      <c r="BJ252" s="106" t="str">
        <f aca="false">IF(ISBLANK($C252),
    "",
   BF252+ROW($B252)/1000
)</f>
        <v/>
      </c>
      <c r="BK252" s="106" t="str">
        <f aca="false">IF(ISNUMBER(BJ252), RANK(BJ252,BJ$8:BJ$507,1), "")</f>
        <v/>
      </c>
      <c r="BL252" s="106" t="str">
        <f aca="false">IF(ISBLANK($C252),
    "",
    $B252
)</f>
        <v/>
      </c>
      <c r="BM252" s="106" t="str">
        <f aca="false">IF(ISBLANK($C252),
    "",
    $C252
)</f>
        <v/>
      </c>
      <c r="BN252" s="106" t="str">
        <f aca="false">IF(ISBLANK($C252),
    "",
    $D252
)</f>
        <v/>
      </c>
      <c r="BO252" s="107" t="str">
        <f aca="false">BC252</f>
        <v/>
      </c>
      <c r="BP252" s="108" t="str">
        <f aca="false">BB252</f>
        <v/>
      </c>
      <c r="BQ252" s="106" t="str">
        <f aca="false">IF(ISBLANK($C252),
    "",
    BE252
)</f>
        <v/>
      </c>
      <c r="BR252" s="109" t="str">
        <f aca="false">IF(BI252&gt;BH$7,
    "",
    VLOOKUP(BI252,BK$8:BQ751,7,FALSE())
)</f>
        <v/>
      </c>
      <c r="BS252" s="110" t="str">
        <f aca="false">IF(BI252&gt;BH$7,
    "",
    VLOOKUP(BI252,BK$8:BQ751,2,FALSE())
)</f>
        <v/>
      </c>
      <c r="BT252" s="110" t="str">
        <f aca="false">IF(BI252&gt;BH$7,
    "",
    VLOOKUP(BI252,BK$8:BQ751,3,FALSE())
)</f>
        <v/>
      </c>
      <c r="BU252" s="110" t="str">
        <f aca="false">IF(BI252&gt;BH$7,
    "",
    VLOOKUP(BI252,BK$8:BQ751,4,FALSE())
)</f>
        <v/>
      </c>
      <c r="BV252" s="110" t="str">
        <f aca="false">IF(BI252&gt;BH$7,
    "",
    VLOOKUP(BI252,BK$8:BQ751,5,FALSE())
)</f>
        <v/>
      </c>
      <c r="BW252" s="111" t="str">
        <f aca="false">IF(BI252&gt;BH$7,
    "",
    VLOOKUP(BI252,BK$8:BQ751,6,FALSE())
)</f>
        <v/>
      </c>
      <c r="BX252" s="50"/>
    </row>
    <row r="253" customFormat="false" ht="15.75" hidden="false" customHeight="false" outlineLevel="0" collapsed="false">
      <c r="A253" s="5"/>
      <c r="B253" s="122"/>
      <c r="C253" s="123"/>
      <c r="D253" s="112"/>
      <c r="E253" s="116"/>
      <c r="F253" s="116"/>
      <c r="G253" s="88"/>
      <c r="H253" s="89"/>
      <c r="I253" s="125"/>
      <c r="J253" s="125"/>
      <c r="K253" s="125"/>
      <c r="L253" s="91"/>
      <c r="M253" s="91"/>
      <c r="N253" s="91"/>
      <c r="O253" s="92"/>
      <c r="P253" s="93"/>
      <c r="Q253" s="125"/>
      <c r="R253" s="95"/>
      <c r="S253" s="96"/>
      <c r="T253" s="96" t="str">
        <f aca="false">IF(ISBLANK($C253),"",IF(G253=Constants!$B$2, TRUE(), IF(G253=Constants!$B$3, FALSE(), TRUE())))</f>
        <v/>
      </c>
      <c r="U253" s="96" t="str">
        <f aca="false">IF(ISBLANK($C253),"",IF(H253=Constants!$B$2, TRUE(), IF(H253=Constants!$B$3, FALSE(), TRUE())))</f>
        <v/>
      </c>
      <c r="V253" s="96" t="str">
        <f aca="false">IF(ISBLANK($C253),"",IF(I253=Constants!$B$2, TRUE(), IF(I253=Constants!$B$3, FALSE(), TRUE())))</f>
        <v/>
      </c>
      <c r="W253" s="96" t="str">
        <f aca="false">IF(ISBLANK($C253),"",IF(J253=Constants!$B$2, TRUE(), IF(J253=Constants!$B$3, FALSE(), TRUE())))</f>
        <v/>
      </c>
      <c r="X253" s="97" t="str">
        <f aca="false">IF(ISBLANK($C253),"",IF(K253=Constants!$B$2, TRUE(), IF(K253=Constants!$B$3, FALSE(), TRUE())))</f>
        <v/>
      </c>
      <c r="Y253" s="98" t="str">
        <f aca="false">IF(ISBLANK($C253),"",IF(ISNUMBER(L253), L253, ""))</f>
        <v/>
      </c>
      <c r="Z253" s="98" t="str">
        <f aca="false">IF(ISBLANK($C253),"",IF(ISNUMBER(M253), M253, ""))</f>
        <v/>
      </c>
      <c r="AA253" s="98" t="str">
        <f aca="false">IF(ISBLANK($C253),"",IF(ISNUMBER(N253), N253, ""))</f>
        <v/>
      </c>
      <c r="AB253" s="99" t="str">
        <f aca="false">IF(ISBLANK($C253),"",IF(ISNUMBER(O253), O253, ""))</f>
        <v/>
      </c>
      <c r="AC253" s="99" t="str">
        <f aca="false">IF(ISBLANK($C253),"",IF(ISNUMBER(P253), P253, Constants!$B$13))</f>
        <v/>
      </c>
      <c r="AD253" s="96" t="str">
        <f aca="false">IF(ISBLANK($C253),"",IF(Q253=Constants!$B$2, TRUE(), IF(Q253=Constants!$B$3, FALSE(), FALSE())))</f>
        <v/>
      </c>
      <c r="AE253" s="96" t="str">
        <f aca="false">IF(ISBLANK(C253), "", IF(AD253, Constants!$B$4,IF(COUNTA(G253:O253)=0, Constants!$B$5, Constants!$B$7)))</f>
        <v/>
      </c>
      <c r="AF253" s="96" t="str">
        <f aca="false">IF(ISBLANK($C253), "",IF($AE253=Constants!$B$7,1,$AE253))</f>
        <v/>
      </c>
      <c r="AG253" s="96" t="str">
        <f aca="false">IF($AE253=Constants!$B$7,IF(V253, 1, Constants!$B$11) * IF(X253, 1, Constants!$B$12),"")</f>
        <v/>
      </c>
      <c r="AH253" s="96" t="str">
        <f aca="false">IF(AND($AE253=Constants!$B$7, T253, U253) ,MAX(0, $AA253-$Y253),"")</f>
        <v/>
      </c>
      <c r="AI253" s="96" t="str">
        <f aca="false">IF(ISERROR(AH253),$AI$6,"")</f>
        <v/>
      </c>
      <c r="AJ253" s="96" t="str">
        <f aca="false">IF($AE253=Constants!$B$7,IF(AND(T253,U253,W253),IF($AH$6=0,Constants!$B$9,Constants!$B$9*AH253/$AH$6), 0),"")</f>
        <v/>
      </c>
      <c r="AK253" s="96" t="str">
        <f aca="false">IF(AJ253&lt;&gt;"", AJ253*AG253,"")</f>
        <v/>
      </c>
      <c r="AL253" s="96" t="str">
        <f aca="false">IF(AND($AE253=Constants!$B$7, T253, U253) ,IF($Z253="", "", MAX(0,1-ABS($AA253-$Z253)/$AA253)),"")</f>
        <v/>
      </c>
      <c r="AM253" s="96" t="str">
        <f aca="false">IF(AND(NOT(ISERROR(AH253)),ISERROR(AL253)),$AM$6,"")</f>
        <v/>
      </c>
      <c r="AN253" s="96" t="str">
        <f aca="false">IF($AE253=Constants!$B$7 ,IF(AND(T253,U253,W253,ISNUMBER(Z253)),IF($AL$6=0,Constants!$B$10,Constants!$B$10*AL253/$AL$6), 0),"")</f>
        <v/>
      </c>
      <c r="AO253" s="96" t="str">
        <f aca="false">IF(AN253&lt;&gt;"", AN253*AG253,"")</f>
        <v/>
      </c>
      <c r="AP253" s="96" t="str">
        <f aca="false">IF($AE253=Constants!$B$7,IF($AP$6=0,Constants!$B$8,Constants!$B$8*AB253/$AP$6),"")</f>
        <v/>
      </c>
      <c r="AQ253" s="96" t="str">
        <f aca="false">IF($AE253&lt;&gt;Constants!$B$7,$AE253,AK253+AO253+AP253)</f>
        <v/>
      </c>
      <c r="AR253" s="96" t="str">
        <f aca="false">IF(ISBLANK($C253),"",IF($AE253=Constants!$B$7,RANK(AQ253,$AQ$8:$AQ$507),$AE253))</f>
        <v/>
      </c>
      <c r="AS253" s="96" t="str">
        <f aca="false">IF(ISBLANK($C253), "",AK253)</f>
        <v/>
      </c>
      <c r="AT253" s="96" t="str">
        <f aca="false">IF(ISBLANK($C253),"",IF($AE253=Constants!$B$7,RANK(AS253,AS$8:AS$507),$AE253))</f>
        <v/>
      </c>
      <c r="AU253" s="96" t="str">
        <f aca="false">IF(ISBLANK($C253), "",AP253)</f>
        <v/>
      </c>
      <c r="AV253" s="96" t="str">
        <f aca="false">IF(ISBLANK($C253),"",IF($AE253=Constants!$B$7,RANK(AU253,AU$8:AU$507),$AE253))</f>
        <v/>
      </c>
      <c r="AW253" s="96" t="str">
        <f aca="false">IF(ISBLANK($C253), "",AC253)</f>
        <v/>
      </c>
      <c r="AX253" s="96" t="str">
        <f aca="false">IF(ISBLANK($C253),"",
IF($AE253=Constants!$B$7,
  COUNTIFS($AR$8:$AR$507,"&lt;"&amp;$AR253)
  + COUNTIFS($AR$8:$AR$507,$AR253,$AT$8:$AT$507,"&lt;"&amp;$AT253)
  + COUNTIFS($AR$8:$AR$507,$AR253,$AT$8:$AT$507,$AT253,$AV$8:$AV$507,"&lt;"&amp;$AV253)
  + COUNTIFS($AR$8:$AR$507,$AR253,$AT$8:$AT$507,$AT253,$AV$8:$AV$507,$AV253,$AW$8:$AW$507,"&lt;"&amp;$AW253)
  + 1,
$AE253))</f>
        <v/>
      </c>
      <c r="AY253" s="96" t="str">
        <f aca="false">IF(ISBLANK(C253),"",IF($AE253=Constants!$B$7, AR253-AX253,$AE253))</f>
        <v/>
      </c>
      <c r="AZ253" s="100"/>
      <c r="BA253" s="101" t="str">
        <f aca="false">IF(ISBLANK($C253),"",TRIM(AI253&amp;" "&amp;AM253))</f>
        <v/>
      </c>
      <c r="BB253" s="102" t="str">
        <f aca="false">IF(ISBLANK($C253),"",IF($AE253&lt;&gt;Constants!$B$7, $AE253 ,AQ253))</f>
        <v/>
      </c>
      <c r="BC253" s="103" t="str">
        <f aca="false">IF(ISBLANK($C253),"",IF($AE253&lt;&gt;Constants!$B$7, $AE253 ,AF253))</f>
        <v/>
      </c>
      <c r="BD253" s="104" t="str">
        <f aca="false">IF(ISBLANK(C253),"",AY253)</f>
        <v/>
      </c>
      <c r="BE253" s="104" t="str">
        <f aca="false">IF(ISBLANK(C253),"",AX253)</f>
        <v/>
      </c>
      <c r="BF253" s="105" t="str">
        <f aca="false">IF(ISBLANK(C253),"",IFERROR(_xlfn.SWITCH(BE253, Constants!$B$4, COUNTA($C$8:$C752)+2, Constants!$B$5, COUNTA($C$8:$C752)+1, Constants!$B$6, COUNTA($C$8:$C752)),BE253))</f>
        <v/>
      </c>
      <c r="BG253" s="5"/>
      <c r="BH253" s="106" t="n">
        <f aca="false">IF(OR(ISNUMBER(BE253),BE253="DQ",BE253="P",BE253="NS"),
    1,
    0
)</f>
        <v>0</v>
      </c>
      <c r="BI253" s="106" t="n">
        <v>246</v>
      </c>
      <c r="BJ253" s="106" t="str">
        <f aca="false">IF(ISBLANK($C253),
    "",
   BF253+ROW($B253)/1000
)</f>
        <v/>
      </c>
      <c r="BK253" s="106" t="str">
        <f aca="false">IF(ISNUMBER(BJ253), RANK(BJ253,BJ$8:BJ$507,1), "")</f>
        <v/>
      </c>
      <c r="BL253" s="106" t="str">
        <f aca="false">IF(ISBLANK($C253),
    "",
    $B253
)</f>
        <v/>
      </c>
      <c r="BM253" s="106" t="str">
        <f aca="false">IF(ISBLANK($C253),
    "",
    $C253
)</f>
        <v/>
      </c>
      <c r="BN253" s="106" t="str">
        <f aca="false">IF(ISBLANK($C253),
    "",
    $D253
)</f>
        <v/>
      </c>
      <c r="BO253" s="107" t="str">
        <f aca="false">BC253</f>
        <v/>
      </c>
      <c r="BP253" s="108" t="str">
        <f aca="false">BB253</f>
        <v/>
      </c>
      <c r="BQ253" s="106" t="str">
        <f aca="false">IF(ISBLANK($C253),
    "",
    BE253
)</f>
        <v/>
      </c>
      <c r="BR253" s="109" t="str">
        <f aca="false">IF(BI253&gt;BH$7,
    "",
    VLOOKUP(BI253,BK$8:BQ752,7,FALSE())
)</f>
        <v/>
      </c>
      <c r="BS253" s="110" t="str">
        <f aca="false">IF(BI253&gt;BH$7,
    "",
    VLOOKUP(BI253,BK$8:BQ752,2,FALSE())
)</f>
        <v/>
      </c>
      <c r="BT253" s="110" t="str">
        <f aca="false">IF(BI253&gt;BH$7,
    "",
    VLOOKUP(BI253,BK$8:BQ752,3,FALSE())
)</f>
        <v/>
      </c>
      <c r="BU253" s="110" t="str">
        <f aca="false">IF(BI253&gt;BH$7,
    "",
    VLOOKUP(BI253,BK$8:BQ752,4,FALSE())
)</f>
        <v/>
      </c>
      <c r="BV253" s="110" t="str">
        <f aca="false">IF(BI253&gt;BH$7,
    "",
    VLOOKUP(BI253,BK$8:BQ752,5,FALSE())
)</f>
        <v/>
      </c>
      <c r="BW253" s="111" t="str">
        <f aca="false">IF(BI253&gt;BH$7,
    "",
    VLOOKUP(BI253,BK$8:BQ752,6,FALSE())
)</f>
        <v/>
      </c>
      <c r="BX253" s="50"/>
    </row>
    <row r="254" customFormat="false" ht="15.75" hidden="false" customHeight="false" outlineLevel="0" collapsed="false">
      <c r="A254" s="5"/>
      <c r="B254" s="126"/>
      <c r="C254" s="52"/>
      <c r="D254" s="53"/>
      <c r="E254" s="120"/>
      <c r="F254" s="120"/>
      <c r="G254" s="55"/>
      <c r="H254" s="56"/>
      <c r="I254" s="80"/>
      <c r="J254" s="80"/>
      <c r="K254" s="80"/>
      <c r="L254" s="58"/>
      <c r="M254" s="58"/>
      <c r="N254" s="58"/>
      <c r="O254" s="59"/>
      <c r="P254" s="60"/>
      <c r="Q254" s="80"/>
      <c r="R254" s="62"/>
      <c r="S254" s="63"/>
      <c r="T254" s="63" t="str">
        <f aca="false">IF(ISBLANK($C254),"",IF(G254=Constants!$B$2, TRUE(), IF(G254=Constants!$B$3, FALSE(), TRUE())))</f>
        <v/>
      </c>
      <c r="U254" s="63" t="str">
        <f aca="false">IF(ISBLANK($C254),"",IF(H254=Constants!$B$2, TRUE(), IF(H254=Constants!$B$3, FALSE(), TRUE())))</f>
        <v/>
      </c>
      <c r="V254" s="63" t="str">
        <f aca="false">IF(ISBLANK($C254),"",IF(I254=Constants!$B$2, TRUE(), IF(I254=Constants!$B$3, FALSE(), TRUE())))</f>
        <v/>
      </c>
      <c r="W254" s="63" t="str">
        <f aca="false">IF(ISBLANK($C254),"",IF(J254=Constants!$B$2, TRUE(), IF(J254=Constants!$B$3, FALSE(), TRUE())))</f>
        <v/>
      </c>
      <c r="X254" s="63" t="str">
        <f aca="false">IF(ISBLANK($C254),"",IF(K254=Constants!$B$2, TRUE(), IF(K254=Constants!$B$3, FALSE(), TRUE())))</f>
        <v/>
      </c>
      <c r="Y254" s="65" t="str">
        <f aca="false">IF(ISBLANK($C254),"",IF(ISNUMBER(L254), L254, ""))</f>
        <v/>
      </c>
      <c r="Z254" s="65" t="str">
        <f aca="false">IF(ISBLANK($C254),"",IF(ISNUMBER(M254), M254, ""))</f>
        <v/>
      </c>
      <c r="AA254" s="65" t="str">
        <f aca="false">IF(ISBLANK($C254),"",IF(ISNUMBER(N254), N254, ""))</f>
        <v/>
      </c>
      <c r="AB254" s="66" t="str">
        <f aca="false">IF(ISBLANK($C254),"",IF(ISNUMBER(O254), O254, ""))</f>
        <v/>
      </c>
      <c r="AC254" s="66" t="str">
        <f aca="false">IF(ISBLANK($C254),"",IF(ISNUMBER(P254), P254, Constants!$B$13))</f>
        <v/>
      </c>
      <c r="AD254" s="63" t="str">
        <f aca="false">IF(ISBLANK($C254),"",IF(Q254=Constants!$B$2, TRUE(), IF(Q254=Constants!$B$3, FALSE(), FALSE())))</f>
        <v/>
      </c>
      <c r="AE254" s="63" t="str">
        <f aca="false">IF(ISBLANK(C254), "", IF(AD254, Constants!$B$4,IF(COUNTA(G254:O254)=0, Constants!$B$5, Constants!$B$7)))</f>
        <v/>
      </c>
      <c r="AF254" s="63" t="str">
        <f aca="false">IF(ISBLANK($C254), "",IF($AE254=Constants!$B$7,1,$AE254))</f>
        <v/>
      </c>
      <c r="AG254" s="63" t="str">
        <f aca="false">IF($AE254=Constants!$B$7,IF(V254, 1, Constants!$B$11) * IF(X254, 1, Constants!$B$12),"")</f>
        <v/>
      </c>
      <c r="AH254" s="63" t="str">
        <f aca="false">IF(AND($AE254=Constants!$B$7, T254, U254) ,MAX(0, $AA254-$Y254),"")</f>
        <v/>
      </c>
      <c r="AI254" s="63" t="str">
        <f aca="false">IF(ISERROR(AH254),$AI$6,"")</f>
        <v/>
      </c>
      <c r="AJ254" s="63" t="str">
        <f aca="false">IF($AE254=Constants!$B$7,IF(AND(T254,U254,W254),IF($AH$6=0,Constants!$B$9,Constants!$B$9*AH254/$AH$6), 0),"")</f>
        <v/>
      </c>
      <c r="AK254" s="63" t="str">
        <f aca="false">IF(AJ254&lt;&gt;"", AJ254*AG254,"")</f>
        <v/>
      </c>
      <c r="AL254" s="63" t="str">
        <f aca="false">IF(AND($AE254=Constants!$B$7, T254, U254) ,IF($Z254="", "", MAX(0,1-ABS($AA254-$Z254)/$AA254)),"")</f>
        <v/>
      </c>
      <c r="AM254" s="63" t="str">
        <f aca="false">IF(AND(NOT(ISERROR(AH254)),ISERROR(AL254)),$AM$6,"")</f>
        <v/>
      </c>
      <c r="AN254" s="63" t="str">
        <f aca="false">IF($AE254=Constants!$B$7 ,IF(AND(T254,U254,W254,ISNUMBER(Z254)),IF($AL$6=0,Constants!$B$10,Constants!$B$10*AL254/$AL$6), 0),"")</f>
        <v/>
      </c>
      <c r="AO254" s="63" t="str">
        <f aca="false">IF(AN254&lt;&gt;"", AN254*AG254,"")</f>
        <v/>
      </c>
      <c r="AP254" s="63" t="str">
        <f aca="false">IF($AE254=Constants!$B$7,IF($AP$6=0,Constants!$B$8,Constants!$B$8*AB254/$AP$6),"")</f>
        <v/>
      </c>
      <c r="AQ254" s="63" t="str">
        <f aca="false">IF($AE254&lt;&gt;Constants!$B$7,$AE254,AK254+AO254+AP254)</f>
        <v/>
      </c>
      <c r="AR254" s="63" t="str">
        <f aca="false">IF(ISBLANK($C254),"",IF($AE254=Constants!$B$7,RANK(AQ254,$AQ$8:$AQ$507),$AE254))</f>
        <v/>
      </c>
      <c r="AS254" s="63" t="str">
        <f aca="false">IF(ISBLANK($C254), "",AK254)</f>
        <v/>
      </c>
      <c r="AT254" s="63" t="str">
        <f aca="false">IF(ISBLANK($C254),"",IF($AE254=Constants!$B$7,RANK(AS254,AS$8:AS$507),$AE254))</f>
        <v/>
      </c>
      <c r="AU254" s="63" t="str">
        <f aca="false">IF(ISBLANK($C254), "",AP254)</f>
        <v/>
      </c>
      <c r="AV254" s="63" t="str">
        <f aca="false">IF(ISBLANK($C254),"",IF($AE254=Constants!$B$7,RANK(AU254,AU$8:AU$507),$AE254))</f>
        <v/>
      </c>
      <c r="AW254" s="63" t="str">
        <f aca="false">IF(ISBLANK($C254), "",AC254)</f>
        <v/>
      </c>
      <c r="AX254" s="63" t="str">
        <f aca="false">IF(ISBLANK($C254),"",
IF($AE254=Constants!$B$7,
  COUNTIFS($AR$8:$AR$507,"&lt;"&amp;$AR254)
  + COUNTIFS($AR$8:$AR$507,$AR254,$AT$8:$AT$507,"&lt;"&amp;$AT254)
  + COUNTIFS($AR$8:$AR$507,$AR254,$AT$8:$AT$507,$AT254,$AV$8:$AV$507,"&lt;"&amp;$AV254)
  + COUNTIFS($AR$8:$AR$507,$AR254,$AT$8:$AT$507,$AT254,$AV$8:$AV$507,$AV254,$AW$8:$AW$507,"&lt;"&amp;$AW254)
  + 1,
$AE254))</f>
        <v/>
      </c>
      <c r="AY254" s="63" t="str">
        <f aca="false">IF(ISBLANK(C254),"",IF($AE254=Constants!$B$7, AR254-AX254,$AE254))</f>
        <v/>
      </c>
      <c r="AZ254" s="67"/>
      <c r="BA254" s="81" t="str">
        <f aca="false">IF(ISBLANK($C254),"",TRIM(AI254&amp;" "&amp;AM254))</f>
        <v/>
      </c>
      <c r="BB254" s="69" t="str">
        <f aca="false">IF(ISBLANK($C254),"",IF($AE254&lt;&gt;Constants!$B$7, $AE254 ,AQ254))</f>
        <v/>
      </c>
      <c r="BC254" s="70" t="str">
        <f aca="false">IF(ISBLANK($C254),"",IF($AE254&lt;&gt;Constants!$B$7, $AE254 ,AF254))</f>
        <v/>
      </c>
      <c r="BD254" s="71" t="str">
        <f aca="false">IF(ISBLANK(C254),"",AY254)</f>
        <v/>
      </c>
      <c r="BE254" s="71" t="str">
        <f aca="false">IF(ISBLANK(C254),"",AX254)</f>
        <v/>
      </c>
      <c r="BF254" s="72" t="str">
        <f aca="false">IF(ISBLANK(C254),"",IFERROR(_xlfn.SWITCH(BE254, Constants!$B$4, COUNTA($C$8:$C753)+2, Constants!$B$5, COUNTA($C$8:$C753)+1, Constants!$B$6, COUNTA($C$8:$C753)),BE254))</f>
        <v/>
      </c>
      <c r="BG254" s="5"/>
      <c r="BH254" s="73" t="n">
        <f aca="false">IF(OR(ISNUMBER(BE254),BE254="DQ",BE254="P",BE254="NS"),
    1,
    0
)</f>
        <v>0</v>
      </c>
      <c r="BI254" s="73" t="n">
        <v>247</v>
      </c>
      <c r="BJ254" s="73" t="str">
        <f aca="false">IF(ISBLANK($C254),
    "",
   BF254+ROW($B254)/1000
)</f>
        <v/>
      </c>
      <c r="BK254" s="73" t="str">
        <f aca="false">IF(ISNUMBER(BJ254), RANK(BJ254,BJ$8:BJ$507,1), "")</f>
        <v/>
      </c>
      <c r="BL254" s="73" t="str">
        <f aca="false">IF(ISBLANK($C254),
    "",
    $B254
)</f>
        <v/>
      </c>
      <c r="BM254" s="73" t="str">
        <f aca="false">IF(ISBLANK($C254),
    "",
    $C254
)</f>
        <v/>
      </c>
      <c r="BN254" s="73" t="str">
        <f aca="false">IF(ISBLANK($C254),
    "",
    $D254
)</f>
        <v/>
      </c>
      <c r="BO254" s="74" t="str">
        <f aca="false">BC254</f>
        <v/>
      </c>
      <c r="BP254" s="75" t="str">
        <f aca="false">BB254</f>
        <v/>
      </c>
      <c r="BQ254" s="73" t="str">
        <f aca="false">IF(ISBLANK($C254),
    "",
    BE254
)</f>
        <v/>
      </c>
      <c r="BR254" s="76" t="str">
        <f aca="false">IF(BI254&gt;BH$7,
    "",
    VLOOKUP(BI254,BK$8:BQ753,7,FALSE())
)</f>
        <v/>
      </c>
      <c r="BS254" s="77" t="str">
        <f aca="false">IF(BI254&gt;BH$7,
    "",
    VLOOKUP(BI254,BK$8:BQ753,2,FALSE())
)</f>
        <v/>
      </c>
      <c r="BT254" s="77" t="str">
        <f aca="false">IF(BI254&gt;BH$7,
    "",
    VLOOKUP(BI254,BK$8:BQ753,3,FALSE())
)</f>
        <v/>
      </c>
      <c r="BU254" s="77" t="str">
        <f aca="false">IF(BI254&gt;BH$7,
    "",
    VLOOKUP(BI254,BK$8:BQ753,4,FALSE())
)</f>
        <v/>
      </c>
      <c r="BV254" s="77" t="str">
        <f aca="false">IF(BI254&gt;BH$7,
    "",
    VLOOKUP(BI254,BK$8:BQ753,5,FALSE())
)</f>
        <v/>
      </c>
      <c r="BW254" s="78" t="str">
        <f aca="false">IF(BI254&gt;BH$7,
    "",
    VLOOKUP(BI254,BK$8:BQ753,6,FALSE())
)</f>
        <v/>
      </c>
      <c r="BX254" s="50"/>
    </row>
    <row r="255" customFormat="false" ht="15.75" hidden="false" customHeight="false" outlineLevel="0" collapsed="false">
      <c r="A255" s="5"/>
      <c r="B255" s="126"/>
      <c r="C255" s="52"/>
      <c r="D255" s="53"/>
      <c r="E255" s="120"/>
      <c r="F255" s="120"/>
      <c r="G255" s="55"/>
      <c r="H255" s="56"/>
      <c r="I255" s="80"/>
      <c r="J255" s="80"/>
      <c r="K255" s="80"/>
      <c r="L255" s="58"/>
      <c r="M255" s="58"/>
      <c r="N255" s="58"/>
      <c r="O255" s="59"/>
      <c r="P255" s="60"/>
      <c r="Q255" s="80"/>
      <c r="R255" s="62"/>
      <c r="S255" s="63"/>
      <c r="T255" s="63" t="str">
        <f aca="false">IF(ISBLANK($C255),"",IF(G255=Constants!$B$2, TRUE(), IF(G255=Constants!$B$3, FALSE(), TRUE())))</f>
        <v/>
      </c>
      <c r="U255" s="63" t="str">
        <f aca="false">IF(ISBLANK($C255),"",IF(H255=Constants!$B$2, TRUE(), IF(H255=Constants!$B$3, FALSE(), TRUE())))</f>
        <v/>
      </c>
      <c r="V255" s="63" t="str">
        <f aca="false">IF(ISBLANK($C255),"",IF(I255=Constants!$B$2, TRUE(), IF(I255=Constants!$B$3, FALSE(), TRUE())))</f>
        <v/>
      </c>
      <c r="W255" s="63" t="str">
        <f aca="false">IF(ISBLANK($C255),"",IF(J255=Constants!$B$2, TRUE(), IF(J255=Constants!$B$3, FALSE(), TRUE())))</f>
        <v/>
      </c>
      <c r="X255" s="63" t="str">
        <f aca="false">IF(ISBLANK($C255),"",IF(K255=Constants!$B$2, TRUE(), IF(K255=Constants!$B$3, FALSE(), TRUE())))</f>
        <v/>
      </c>
      <c r="Y255" s="65" t="str">
        <f aca="false">IF(ISBLANK($C255),"",IF(ISNUMBER(L255), L255, ""))</f>
        <v/>
      </c>
      <c r="Z255" s="65" t="str">
        <f aca="false">IF(ISBLANK($C255),"",IF(ISNUMBER(M255), M255, ""))</f>
        <v/>
      </c>
      <c r="AA255" s="65" t="str">
        <f aca="false">IF(ISBLANK($C255),"",IF(ISNUMBER(N255), N255, ""))</f>
        <v/>
      </c>
      <c r="AB255" s="66" t="str">
        <f aca="false">IF(ISBLANK($C255),"",IF(ISNUMBER(O255), O255, ""))</f>
        <v/>
      </c>
      <c r="AC255" s="66" t="str">
        <f aca="false">IF(ISBLANK($C255),"",IF(ISNUMBER(P255), P255, Constants!$B$13))</f>
        <v/>
      </c>
      <c r="AD255" s="63" t="str">
        <f aca="false">IF(ISBLANK($C255),"",IF(Q255=Constants!$B$2, TRUE(), IF(Q255=Constants!$B$3, FALSE(), FALSE())))</f>
        <v/>
      </c>
      <c r="AE255" s="63" t="str">
        <f aca="false">IF(ISBLANK(C255), "", IF(AD255, Constants!$B$4,IF(COUNTA(G255:O255)=0, Constants!$B$5, Constants!$B$7)))</f>
        <v/>
      </c>
      <c r="AF255" s="63" t="str">
        <f aca="false">IF(ISBLANK($C255), "",IF($AE255=Constants!$B$7,1,$AE255))</f>
        <v/>
      </c>
      <c r="AG255" s="63" t="str">
        <f aca="false">IF($AE255=Constants!$B$7,IF(V255, 1, Constants!$B$11) * IF(X255, 1, Constants!$B$12),"")</f>
        <v/>
      </c>
      <c r="AH255" s="63" t="str">
        <f aca="false">IF(AND($AE255=Constants!$B$7, T255, U255) ,MAX(0, $AA255-$Y255),"")</f>
        <v/>
      </c>
      <c r="AI255" s="63" t="str">
        <f aca="false">IF(ISERROR(AH255),$AI$6,"")</f>
        <v/>
      </c>
      <c r="AJ255" s="63" t="str">
        <f aca="false">IF($AE255=Constants!$B$7,IF(AND(T255,U255,W255),IF($AH$6=0,Constants!$B$9,Constants!$B$9*AH255/$AH$6), 0),"")</f>
        <v/>
      </c>
      <c r="AK255" s="63" t="str">
        <f aca="false">IF(AJ255&lt;&gt;"", AJ255*AG255,"")</f>
        <v/>
      </c>
      <c r="AL255" s="63" t="str">
        <f aca="false">IF(AND($AE255=Constants!$B$7, T255, U255) ,IF($Z255="", "", MAX(0,1-ABS($AA255-$Z255)/$AA255)),"")</f>
        <v/>
      </c>
      <c r="AM255" s="63" t="str">
        <f aca="false">IF(AND(NOT(ISERROR(AH255)),ISERROR(AL255)),$AM$6,"")</f>
        <v/>
      </c>
      <c r="AN255" s="63" t="str">
        <f aca="false">IF($AE255=Constants!$B$7 ,IF(AND(T255,U255,W255,ISNUMBER(Z255)),IF($AL$6=0,Constants!$B$10,Constants!$B$10*AL255/$AL$6), 0),"")</f>
        <v/>
      </c>
      <c r="AO255" s="63" t="str">
        <f aca="false">IF(AN255&lt;&gt;"", AN255*AG255,"")</f>
        <v/>
      </c>
      <c r="AP255" s="63" t="str">
        <f aca="false">IF($AE255=Constants!$B$7,IF($AP$6=0,Constants!$B$8,Constants!$B$8*AB255/$AP$6),"")</f>
        <v/>
      </c>
      <c r="AQ255" s="63" t="str">
        <f aca="false">IF($AE255&lt;&gt;Constants!$B$7,$AE255,AK255+AO255+AP255)</f>
        <v/>
      </c>
      <c r="AR255" s="63" t="str">
        <f aca="false">IF(ISBLANK($C255),"",IF($AE255=Constants!$B$7,RANK(AQ255,$AQ$8:$AQ$507),$AE255))</f>
        <v/>
      </c>
      <c r="AS255" s="63" t="str">
        <f aca="false">IF(ISBLANK($C255), "",AK255)</f>
        <v/>
      </c>
      <c r="AT255" s="63" t="str">
        <f aca="false">IF(ISBLANK($C255),"",IF($AE255=Constants!$B$7,RANK(AS255,AS$8:AS$507),$AE255))</f>
        <v/>
      </c>
      <c r="AU255" s="63" t="str">
        <f aca="false">IF(ISBLANK($C255), "",AP255)</f>
        <v/>
      </c>
      <c r="AV255" s="63" t="str">
        <f aca="false">IF(ISBLANK($C255),"",IF($AE255=Constants!$B$7,RANK(AU255,AU$8:AU$507),$AE255))</f>
        <v/>
      </c>
      <c r="AW255" s="63" t="str">
        <f aca="false">IF(ISBLANK($C255), "",AC255)</f>
        <v/>
      </c>
      <c r="AX255" s="63" t="str">
        <f aca="false">IF(ISBLANK($C255),"",
IF($AE255=Constants!$B$7,
  COUNTIFS($AR$8:$AR$507,"&lt;"&amp;$AR255)
  + COUNTIFS($AR$8:$AR$507,$AR255,$AT$8:$AT$507,"&lt;"&amp;$AT255)
  + COUNTIFS($AR$8:$AR$507,$AR255,$AT$8:$AT$507,$AT255,$AV$8:$AV$507,"&lt;"&amp;$AV255)
  + COUNTIFS($AR$8:$AR$507,$AR255,$AT$8:$AT$507,$AT255,$AV$8:$AV$507,$AV255,$AW$8:$AW$507,"&lt;"&amp;$AW255)
  + 1,
$AE255))</f>
        <v/>
      </c>
      <c r="AY255" s="63" t="str">
        <f aca="false">IF(ISBLANK(C255),"",IF($AE255=Constants!$B$7, AR255-AX255,$AE255))</f>
        <v/>
      </c>
      <c r="AZ255" s="67"/>
      <c r="BA255" s="81" t="str">
        <f aca="false">IF(ISBLANK($C255),"",TRIM(AI255&amp;" "&amp;AM255))</f>
        <v/>
      </c>
      <c r="BB255" s="69" t="str">
        <f aca="false">IF(ISBLANK($C255),"",IF($AE255&lt;&gt;Constants!$B$7, $AE255 ,AQ255))</f>
        <v/>
      </c>
      <c r="BC255" s="70" t="str">
        <f aca="false">IF(ISBLANK($C255),"",IF($AE255&lt;&gt;Constants!$B$7, $AE255 ,AF255))</f>
        <v/>
      </c>
      <c r="BD255" s="71" t="str">
        <f aca="false">IF(ISBLANK(C255),"",AY255)</f>
        <v/>
      </c>
      <c r="BE255" s="71" t="str">
        <f aca="false">IF(ISBLANK(C255),"",AX255)</f>
        <v/>
      </c>
      <c r="BF255" s="72" t="str">
        <f aca="false">IF(ISBLANK(C255),"",IFERROR(_xlfn.SWITCH(BE255, Constants!$B$4, COUNTA($C$8:$C754)+2, Constants!$B$5, COUNTA($C$8:$C754)+1, Constants!$B$6, COUNTA($C$8:$C754)),BE255))</f>
        <v/>
      </c>
      <c r="BG255" s="5"/>
      <c r="BH255" s="73" t="n">
        <f aca="false">IF(OR(ISNUMBER(BE255),BE255="DQ",BE255="P",BE255="NS"),
    1,
    0
)</f>
        <v>0</v>
      </c>
      <c r="BI255" s="73" t="n">
        <v>248</v>
      </c>
      <c r="BJ255" s="73" t="str">
        <f aca="false">IF(ISBLANK($C255),
    "",
   BF255+ROW($B255)/1000
)</f>
        <v/>
      </c>
      <c r="BK255" s="73" t="str">
        <f aca="false">IF(ISNUMBER(BJ255), RANK(BJ255,BJ$8:BJ$507,1), "")</f>
        <v/>
      </c>
      <c r="BL255" s="73" t="str">
        <f aca="false">IF(ISBLANK($C255),
    "",
    $B255
)</f>
        <v/>
      </c>
      <c r="BM255" s="73" t="str">
        <f aca="false">IF(ISBLANK($C255),
    "",
    $C255
)</f>
        <v/>
      </c>
      <c r="BN255" s="73" t="str">
        <f aca="false">IF(ISBLANK($C255),
    "",
    $D255
)</f>
        <v/>
      </c>
      <c r="BO255" s="74" t="str">
        <f aca="false">BC255</f>
        <v/>
      </c>
      <c r="BP255" s="75" t="str">
        <f aca="false">BB255</f>
        <v/>
      </c>
      <c r="BQ255" s="73" t="str">
        <f aca="false">IF(ISBLANK($C255),
    "",
    BE255
)</f>
        <v/>
      </c>
      <c r="BR255" s="76" t="str">
        <f aca="false">IF(BI255&gt;BH$7,
    "",
    VLOOKUP(BI255,BK$8:BQ754,7,FALSE())
)</f>
        <v/>
      </c>
      <c r="BS255" s="77" t="str">
        <f aca="false">IF(BI255&gt;BH$7,
    "",
    VLOOKUP(BI255,BK$8:BQ754,2,FALSE())
)</f>
        <v/>
      </c>
      <c r="BT255" s="77" t="str">
        <f aca="false">IF(BI255&gt;BH$7,
    "",
    VLOOKUP(BI255,BK$8:BQ754,3,FALSE())
)</f>
        <v/>
      </c>
      <c r="BU255" s="77" t="str">
        <f aca="false">IF(BI255&gt;BH$7,
    "",
    VLOOKUP(BI255,BK$8:BQ754,4,FALSE())
)</f>
        <v/>
      </c>
      <c r="BV255" s="77" t="str">
        <f aca="false">IF(BI255&gt;BH$7,
    "",
    VLOOKUP(BI255,BK$8:BQ754,5,FALSE())
)</f>
        <v/>
      </c>
      <c r="BW255" s="78" t="str">
        <f aca="false">IF(BI255&gt;BH$7,
    "",
    VLOOKUP(BI255,BK$8:BQ754,6,FALSE())
)</f>
        <v/>
      </c>
      <c r="BX255" s="50"/>
    </row>
    <row r="256" customFormat="false" ht="15.75" hidden="false" customHeight="false" outlineLevel="0" collapsed="false">
      <c r="A256" s="5"/>
      <c r="B256" s="126"/>
      <c r="C256" s="52"/>
      <c r="D256" s="53"/>
      <c r="E256" s="120"/>
      <c r="F256" s="120"/>
      <c r="G256" s="55"/>
      <c r="H256" s="56"/>
      <c r="I256" s="80"/>
      <c r="J256" s="80"/>
      <c r="K256" s="80"/>
      <c r="L256" s="58"/>
      <c r="M256" s="58"/>
      <c r="N256" s="58"/>
      <c r="O256" s="59"/>
      <c r="P256" s="60"/>
      <c r="Q256" s="80"/>
      <c r="R256" s="62"/>
      <c r="S256" s="63"/>
      <c r="T256" s="63" t="str">
        <f aca="false">IF(ISBLANK($C256),"",IF(G256=Constants!$B$2, TRUE(), IF(G256=Constants!$B$3, FALSE(), TRUE())))</f>
        <v/>
      </c>
      <c r="U256" s="63" t="str">
        <f aca="false">IF(ISBLANK($C256),"",IF(H256=Constants!$B$2, TRUE(), IF(H256=Constants!$B$3, FALSE(), TRUE())))</f>
        <v/>
      </c>
      <c r="V256" s="63" t="str">
        <f aca="false">IF(ISBLANK($C256),"",IF(I256=Constants!$B$2, TRUE(), IF(I256=Constants!$B$3, FALSE(), TRUE())))</f>
        <v/>
      </c>
      <c r="W256" s="63" t="str">
        <f aca="false">IF(ISBLANK($C256),"",IF(J256=Constants!$B$2, TRUE(), IF(J256=Constants!$B$3, FALSE(), TRUE())))</f>
        <v/>
      </c>
      <c r="X256" s="63" t="str">
        <f aca="false">IF(ISBLANK($C256),"",IF(K256=Constants!$B$2, TRUE(), IF(K256=Constants!$B$3, FALSE(), TRUE())))</f>
        <v/>
      </c>
      <c r="Y256" s="65" t="str">
        <f aca="false">IF(ISBLANK($C256),"",IF(ISNUMBER(L256), L256, ""))</f>
        <v/>
      </c>
      <c r="Z256" s="65" t="str">
        <f aca="false">IF(ISBLANK($C256),"",IF(ISNUMBER(M256), M256, ""))</f>
        <v/>
      </c>
      <c r="AA256" s="65" t="str">
        <f aca="false">IF(ISBLANK($C256),"",IF(ISNUMBER(N256), N256, ""))</f>
        <v/>
      </c>
      <c r="AB256" s="66" t="str">
        <f aca="false">IF(ISBLANK($C256),"",IF(ISNUMBER(O256), O256, ""))</f>
        <v/>
      </c>
      <c r="AC256" s="66" t="str">
        <f aca="false">IF(ISBLANK($C256),"",IF(ISNUMBER(P256), P256, Constants!$B$13))</f>
        <v/>
      </c>
      <c r="AD256" s="63" t="str">
        <f aca="false">IF(ISBLANK($C256),"",IF(Q256=Constants!$B$2, TRUE(), IF(Q256=Constants!$B$3, FALSE(), FALSE())))</f>
        <v/>
      </c>
      <c r="AE256" s="63" t="str">
        <f aca="false">IF(ISBLANK(C256), "", IF(AD256, Constants!$B$4,IF(COUNTA(G256:O256)=0, Constants!$B$5, Constants!$B$7)))</f>
        <v/>
      </c>
      <c r="AF256" s="63" t="str">
        <f aca="false">IF(ISBLANK($C256), "",IF($AE256=Constants!$B$7,1,$AE256))</f>
        <v/>
      </c>
      <c r="AG256" s="63" t="str">
        <f aca="false">IF($AE256=Constants!$B$7,IF(V256, 1, Constants!$B$11) * IF(X256, 1, Constants!$B$12),"")</f>
        <v/>
      </c>
      <c r="AH256" s="63" t="str">
        <f aca="false">IF(AND($AE256=Constants!$B$7, T256, U256) ,MAX(0, $AA256-$Y256),"")</f>
        <v/>
      </c>
      <c r="AI256" s="63" t="str">
        <f aca="false">IF(ISERROR(AH256),$AI$6,"")</f>
        <v/>
      </c>
      <c r="AJ256" s="63" t="str">
        <f aca="false">IF($AE256=Constants!$B$7,IF(AND(T256,U256,W256),IF($AH$6=0,Constants!$B$9,Constants!$B$9*AH256/$AH$6), 0),"")</f>
        <v/>
      </c>
      <c r="AK256" s="63" t="str">
        <f aca="false">IF(AJ256&lt;&gt;"", AJ256*AG256,"")</f>
        <v/>
      </c>
      <c r="AL256" s="63" t="str">
        <f aca="false">IF(AND($AE256=Constants!$B$7, T256, U256) ,IF($Z256="", "", MAX(0,1-ABS($AA256-$Z256)/$AA256)),"")</f>
        <v/>
      </c>
      <c r="AM256" s="63" t="str">
        <f aca="false">IF(AND(NOT(ISERROR(AH256)),ISERROR(AL256)),$AM$6,"")</f>
        <v/>
      </c>
      <c r="AN256" s="63" t="str">
        <f aca="false">IF($AE256=Constants!$B$7 ,IF(AND(T256,U256,W256,ISNUMBER(Z256)),IF($AL$6=0,Constants!$B$10,Constants!$B$10*AL256/$AL$6), 0),"")</f>
        <v/>
      </c>
      <c r="AO256" s="63" t="str">
        <f aca="false">IF(AN256&lt;&gt;"", AN256*AG256,"")</f>
        <v/>
      </c>
      <c r="AP256" s="63" t="str">
        <f aca="false">IF($AE256=Constants!$B$7,IF($AP$6=0,Constants!$B$8,Constants!$B$8*AB256/$AP$6),"")</f>
        <v/>
      </c>
      <c r="AQ256" s="63" t="str">
        <f aca="false">IF($AE256&lt;&gt;Constants!$B$7,$AE256,AK256+AO256+AP256)</f>
        <v/>
      </c>
      <c r="AR256" s="63" t="str">
        <f aca="false">IF(ISBLANK($C256),"",IF($AE256=Constants!$B$7,RANK(AQ256,$AQ$8:$AQ$507),$AE256))</f>
        <v/>
      </c>
      <c r="AS256" s="63" t="str">
        <f aca="false">IF(ISBLANK($C256), "",AK256)</f>
        <v/>
      </c>
      <c r="AT256" s="63" t="str">
        <f aca="false">IF(ISBLANK($C256),"",IF($AE256=Constants!$B$7,RANK(AS256,AS$8:AS$507),$AE256))</f>
        <v/>
      </c>
      <c r="AU256" s="63" t="str">
        <f aca="false">IF(ISBLANK($C256), "",AP256)</f>
        <v/>
      </c>
      <c r="AV256" s="63" t="str">
        <f aca="false">IF(ISBLANK($C256),"",IF($AE256=Constants!$B$7,RANK(AU256,AU$8:AU$507),$AE256))</f>
        <v/>
      </c>
      <c r="AW256" s="63" t="str">
        <f aca="false">IF(ISBLANK($C256), "",AC256)</f>
        <v/>
      </c>
      <c r="AX256" s="63" t="str">
        <f aca="false">IF(ISBLANK($C256),"",
IF($AE256=Constants!$B$7,
  COUNTIFS($AR$8:$AR$507,"&lt;"&amp;$AR256)
  + COUNTIFS($AR$8:$AR$507,$AR256,$AT$8:$AT$507,"&lt;"&amp;$AT256)
  + COUNTIFS($AR$8:$AR$507,$AR256,$AT$8:$AT$507,$AT256,$AV$8:$AV$507,"&lt;"&amp;$AV256)
  + COUNTIFS($AR$8:$AR$507,$AR256,$AT$8:$AT$507,$AT256,$AV$8:$AV$507,$AV256,$AW$8:$AW$507,"&lt;"&amp;$AW256)
  + 1,
$AE256))</f>
        <v/>
      </c>
      <c r="AY256" s="63" t="str">
        <f aca="false">IF(ISBLANK(C256),"",IF($AE256=Constants!$B$7, AR256-AX256,$AE256))</f>
        <v/>
      </c>
      <c r="AZ256" s="67"/>
      <c r="BA256" s="81" t="str">
        <f aca="false">IF(ISBLANK($C256),"",TRIM(AI256&amp;" "&amp;AM256))</f>
        <v/>
      </c>
      <c r="BB256" s="69" t="str">
        <f aca="false">IF(ISBLANK($C256),"",IF($AE256&lt;&gt;Constants!$B$7, $AE256 ,AQ256))</f>
        <v/>
      </c>
      <c r="BC256" s="70" t="str">
        <f aca="false">IF(ISBLANK($C256),"",IF($AE256&lt;&gt;Constants!$B$7, $AE256 ,AF256))</f>
        <v/>
      </c>
      <c r="BD256" s="71" t="str">
        <f aca="false">IF(ISBLANK(C256),"",AY256)</f>
        <v/>
      </c>
      <c r="BE256" s="71" t="str">
        <f aca="false">IF(ISBLANK(C256),"",AX256)</f>
        <v/>
      </c>
      <c r="BF256" s="72" t="str">
        <f aca="false">IF(ISBLANK(C256),"",IFERROR(_xlfn.SWITCH(BE256, Constants!$B$4, COUNTA($C$8:$C755)+2, Constants!$B$5, COUNTA($C$8:$C755)+1, Constants!$B$6, COUNTA($C$8:$C755)),BE256))</f>
        <v/>
      </c>
      <c r="BG256" s="5"/>
      <c r="BH256" s="73" t="n">
        <f aca="false">IF(OR(ISNUMBER(BE256),BE256="DQ",BE256="P",BE256="NS"),
    1,
    0
)</f>
        <v>0</v>
      </c>
      <c r="BI256" s="73" t="n">
        <v>249</v>
      </c>
      <c r="BJ256" s="73" t="str">
        <f aca="false">IF(ISBLANK($C256),
    "",
   BF256+ROW($B256)/1000
)</f>
        <v/>
      </c>
      <c r="BK256" s="73" t="str">
        <f aca="false">IF(ISNUMBER(BJ256), RANK(BJ256,BJ$8:BJ$507,1), "")</f>
        <v/>
      </c>
      <c r="BL256" s="73" t="str">
        <f aca="false">IF(ISBLANK($C256),
    "",
    $B256
)</f>
        <v/>
      </c>
      <c r="BM256" s="73" t="str">
        <f aca="false">IF(ISBLANK($C256),
    "",
    $C256
)</f>
        <v/>
      </c>
      <c r="BN256" s="73" t="str">
        <f aca="false">IF(ISBLANK($C256),
    "",
    $D256
)</f>
        <v/>
      </c>
      <c r="BO256" s="74" t="str">
        <f aca="false">BC256</f>
        <v/>
      </c>
      <c r="BP256" s="75" t="str">
        <f aca="false">BB256</f>
        <v/>
      </c>
      <c r="BQ256" s="73" t="str">
        <f aca="false">IF(ISBLANK($C256),
    "",
    BE256
)</f>
        <v/>
      </c>
      <c r="BR256" s="76" t="str">
        <f aca="false">IF(BI256&gt;BH$7,
    "",
    VLOOKUP(BI256,BK$8:BQ755,7,FALSE())
)</f>
        <v/>
      </c>
      <c r="BS256" s="77" t="str">
        <f aca="false">IF(BI256&gt;BH$7,
    "",
    VLOOKUP(BI256,BK$8:BQ755,2,FALSE())
)</f>
        <v/>
      </c>
      <c r="BT256" s="77" t="str">
        <f aca="false">IF(BI256&gt;BH$7,
    "",
    VLOOKUP(BI256,BK$8:BQ755,3,FALSE())
)</f>
        <v/>
      </c>
      <c r="BU256" s="77" t="str">
        <f aca="false">IF(BI256&gt;BH$7,
    "",
    VLOOKUP(BI256,BK$8:BQ755,4,FALSE())
)</f>
        <v/>
      </c>
      <c r="BV256" s="77" t="str">
        <f aca="false">IF(BI256&gt;BH$7,
    "",
    VLOOKUP(BI256,BK$8:BQ755,5,FALSE())
)</f>
        <v/>
      </c>
      <c r="BW256" s="78" t="str">
        <f aca="false">IF(BI256&gt;BH$7,
    "",
    VLOOKUP(BI256,BK$8:BQ755,6,FALSE())
)</f>
        <v/>
      </c>
      <c r="BX256" s="50"/>
    </row>
    <row r="257" customFormat="false" ht="15.75" hidden="false" customHeight="false" outlineLevel="0" collapsed="false">
      <c r="A257" s="5"/>
      <c r="B257" s="122"/>
      <c r="C257" s="123"/>
      <c r="D257" s="112"/>
      <c r="E257" s="116"/>
      <c r="F257" s="116"/>
      <c r="G257" s="88"/>
      <c r="H257" s="89"/>
      <c r="I257" s="125"/>
      <c r="J257" s="125"/>
      <c r="K257" s="125"/>
      <c r="L257" s="91"/>
      <c r="M257" s="91"/>
      <c r="N257" s="91"/>
      <c r="O257" s="92"/>
      <c r="P257" s="93"/>
      <c r="Q257" s="125"/>
      <c r="R257" s="95"/>
      <c r="S257" s="96"/>
      <c r="T257" s="96" t="str">
        <f aca="false">IF(ISBLANK($C257),"",IF(G257=Constants!$B$2, TRUE(), IF(G257=Constants!$B$3, FALSE(), TRUE())))</f>
        <v/>
      </c>
      <c r="U257" s="96" t="str">
        <f aca="false">IF(ISBLANK($C257),"",IF(H257=Constants!$B$2, TRUE(), IF(H257=Constants!$B$3, FALSE(), TRUE())))</f>
        <v/>
      </c>
      <c r="V257" s="96" t="str">
        <f aca="false">IF(ISBLANK($C257),"",IF(I257=Constants!$B$2, TRUE(), IF(I257=Constants!$B$3, FALSE(), TRUE())))</f>
        <v/>
      </c>
      <c r="W257" s="96" t="str">
        <f aca="false">IF(ISBLANK($C257),"",IF(J257=Constants!$B$2, TRUE(), IF(J257=Constants!$B$3, FALSE(), TRUE())))</f>
        <v/>
      </c>
      <c r="X257" s="97" t="str">
        <f aca="false">IF(ISBLANK($C257),"",IF(K257=Constants!$B$2, TRUE(), IF(K257=Constants!$B$3, FALSE(), TRUE())))</f>
        <v/>
      </c>
      <c r="Y257" s="98" t="str">
        <f aca="false">IF(ISBLANK($C257),"",IF(ISNUMBER(L257), L257, ""))</f>
        <v/>
      </c>
      <c r="Z257" s="98" t="str">
        <f aca="false">IF(ISBLANK($C257),"",IF(ISNUMBER(M257), M257, ""))</f>
        <v/>
      </c>
      <c r="AA257" s="98" t="str">
        <f aca="false">IF(ISBLANK($C257),"",IF(ISNUMBER(N257), N257, ""))</f>
        <v/>
      </c>
      <c r="AB257" s="99" t="str">
        <f aca="false">IF(ISBLANK($C257),"",IF(ISNUMBER(O257), O257, ""))</f>
        <v/>
      </c>
      <c r="AC257" s="99" t="str">
        <f aca="false">IF(ISBLANK($C257),"",IF(ISNUMBER(P257), P257, Constants!$B$13))</f>
        <v/>
      </c>
      <c r="AD257" s="96" t="str">
        <f aca="false">IF(ISBLANK($C257),"",IF(Q257=Constants!$B$2, TRUE(), IF(Q257=Constants!$B$3, FALSE(), FALSE())))</f>
        <v/>
      </c>
      <c r="AE257" s="96" t="str">
        <f aca="false">IF(ISBLANK(C257), "", IF(AD257, Constants!$B$4,IF(COUNTA(G257:O257)=0, Constants!$B$5, Constants!$B$7)))</f>
        <v/>
      </c>
      <c r="AF257" s="96" t="str">
        <f aca="false">IF(ISBLANK($C257), "",IF($AE257=Constants!$B$7,1,$AE257))</f>
        <v/>
      </c>
      <c r="AG257" s="96" t="str">
        <f aca="false">IF($AE257=Constants!$B$7,IF(V257, 1, Constants!$B$11) * IF(X257, 1, Constants!$B$12),"")</f>
        <v/>
      </c>
      <c r="AH257" s="96" t="str">
        <f aca="false">IF(AND($AE257=Constants!$B$7, T257, U257) ,MAX(0, $AA257-$Y257),"")</f>
        <v/>
      </c>
      <c r="AI257" s="96" t="str">
        <f aca="false">IF(ISERROR(AH257),$AI$6,"")</f>
        <v/>
      </c>
      <c r="AJ257" s="96" t="str">
        <f aca="false">IF($AE257=Constants!$B$7,IF(AND(T257,U257,W257),IF($AH$6=0,Constants!$B$9,Constants!$B$9*AH257/$AH$6), 0),"")</f>
        <v/>
      </c>
      <c r="AK257" s="96" t="str">
        <f aca="false">IF(AJ257&lt;&gt;"", AJ257*AG257,"")</f>
        <v/>
      </c>
      <c r="AL257" s="96" t="str">
        <f aca="false">IF(AND($AE257=Constants!$B$7, T257, U257) ,IF($Z257="", "", MAX(0,1-ABS($AA257-$Z257)/$AA257)),"")</f>
        <v/>
      </c>
      <c r="AM257" s="96" t="str">
        <f aca="false">IF(AND(NOT(ISERROR(AH257)),ISERROR(AL257)),$AM$6,"")</f>
        <v/>
      </c>
      <c r="AN257" s="96" t="str">
        <f aca="false">IF($AE257=Constants!$B$7 ,IF(AND(T257,U257,W257,ISNUMBER(Z257)),IF($AL$6=0,Constants!$B$10,Constants!$B$10*AL257/$AL$6), 0),"")</f>
        <v/>
      </c>
      <c r="AO257" s="96" t="str">
        <f aca="false">IF(AN257&lt;&gt;"", AN257*AG257,"")</f>
        <v/>
      </c>
      <c r="AP257" s="96" t="str">
        <f aca="false">IF($AE257=Constants!$B$7,IF($AP$6=0,Constants!$B$8,Constants!$B$8*AB257/$AP$6),"")</f>
        <v/>
      </c>
      <c r="AQ257" s="96" t="str">
        <f aca="false">IF($AE257&lt;&gt;Constants!$B$7,$AE257,AK257+AO257+AP257)</f>
        <v/>
      </c>
      <c r="AR257" s="96" t="str">
        <f aca="false">IF(ISBLANK($C257),"",IF($AE257=Constants!$B$7,RANK(AQ257,$AQ$8:$AQ$507),$AE257))</f>
        <v/>
      </c>
      <c r="AS257" s="96" t="str">
        <f aca="false">IF(ISBLANK($C257), "",AK257)</f>
        <v/>
      </c>
      <c r="AT257" s="96" t="str">
        <f aca="false">IF(ISBLANK($C257),"",IF($AE257=Constants!$B$7,RANK(AS257,AS$8:AS$507),$AE257))</f>
        <v/>
      </c>
      <c r="AU257" s="96" t="str">
        <f aca="false">IF(ISBLANK($C257), "",AP257)</f>
        <v/>
      </c>
      <c r="AV257" s="96" t="str">
        <f aca="false">IF(ISBLANK($C257),"",IF($AE257=Constants!$B$7,RANK(AU257,AU$8:AU$507),$AE257))</f>
        <v/>
      </c>
      <c r="AW257" s="96" t="str">
        <f aca="false">IF(ISBLANK($C257), "",AC257)</f>
        <v/>
      </c>
      <c r="AX257" s="96" t="str">
        <f aca="false">IF(ISBLANK($C257),"",
IF($AE257=Constants!$B$7,
  COUNTIFS($AR$8:$AR$507,"&lt;"&amp;$AR257)
  + COUNTIFS($AR$8:$AR$507,$AR257,$AT$8:$AT$507,"&lt;"&amp;$AT257)
  + COUNTIFS($AR$8:$AR$507,$AR257,$AT$8:$AT$507,$AT257,$AV$8:$AV$507,"&lt;"&amp;$AV257)
  + COUNTIFS($AR$8:$AR$507,$AR257,$AT$8:$AT$507,$AT257,$AV$8:$AV$507,$AV257,$AW$8:$AW$507,"&lt;"&amp;$AW257)
  + 1,
$AE257))</f>
        <v/>
      </c>
      <c r="AY257" s="96" t="str">
        <f aca="false">IF(ISBLANK(C257),"",IF($AE257=Constants!$B$7, AR257-AX257,$AE257))</f>
        <v/>
      </c>
      <c r="AZ257" s="100"/>
      <c r="BA257" s="101" t="str">
        <f aca="false">IF(ISBLANK($C257),"",TRIM(AI257&amp;" "&amp;AM257))</f>
        <v/>
      </c>
      <c r="BB257" s="102" t="str">
        <f aca="false">IF(ISBLANK($C257),"",IF($AE257&lt;&gt;Constants!$B$7, $AE257 ,AQ257))</f>
        <v/>
      </c>
      <c r="BC257" s="103" t="str">
        <f aca="false">IF(ISBLANK($C257),"",IF($AE257&lt;&gt;Constants!$B$7, $AE257 ,AF257))</f>
        <v/>
      </c>
      <c r="BD257" s="104" t="str">
        <f aca="false">IF(ISBLANK(C257),"",AY257)</f>
        <v/>
      </c>
      <c r="BE257" s="104" t="str">
        <f aca="false">IF(ISBLANK(C257),"",AX257)</f>
        <v/>
      </c>
      <c r="BF257" s="105" t="str">
        <f aca="false">IF(ISBLANK(C257),"",IFERROR(_xlfn.SWITCH(BE257, Constants!$B$4, COUNTA($C$8:$C756)+2, Constants!$B$5, COUNTA($C$8:$C756)+1, Constants!$B$6, COUNTA($C$8:$C756)),BE257))</f>
        <v/>
      </c>
      <c r="BG257" s="5"/>
      <c r="BH257" s="106" t="n">
        <f aca="false">IF(OR(ISNUMBER(BE257),BE257="DQ",BE257="P",BE257="NS"),
    1,
    0
)</f>
        <v>0</v>
      </c>
      <c r="BI257" s="106" t="n">
        <v>250</v>
      </c>
      <c r="BJ257" s="106" t="str">
        <f aca="false">IF(ISBLANK($C257),
    "",
   BF257+ROW($B257)/1000
)</f>
        <v/>
      </c>
      <c r="BK257" s="106" t="str">
        <f aca="false">IF(ISNUMBER(BJ257), RANK(BJ257,BJ$8:BJ$507,1), "")</f>
        <v/>
      </c>
      <c r="BL257" s="106" t="str">
        <f aca="false">IF(ISBLANK($C257),
    "",
    $B257
)</f>
        <v/>
      </c>
      <c r="BM257" s="106" t="str">
        <f aca="false">IF(ISBLANK($C257),
    "",
    $C257
)</f>
        <v/>
      </c>
      <c r="BN257" s="106" t="str">
        <f aca="false">IF(ISBLANK($C257),
    "",
    $D257
)</f>
        <v/>
      </c>
      <c r="BO257" s="107" t="str">
        <f aca="false">BC257</f>
        <v/>
      </c>
      <c r="BP257" s="108" t="str">
        <f aca="false">BB257</f>
        <v/>
      </c>
      <c r="BQ257" s="106" t="str">
        <f aca="false">IF(ISBLANK($C257),
    "",
    BE257
)</f>
        <v/>
      </c>
      <c r="BR257" s="109" t="str">
        <f aca="false">IF(BI257&gt;BH$7,
    "",
    VLOOKUP(BI257,BK$8:BQ756,7,FALSE())
)</f>
        <v/>
      </c>
      <c r="BS257" s="110" t="str">
        <f aca="false">IF(BI257&gt;BH$7,
    "",
    VLOOKUP(BI257,BK$8:BQ756,2,FALSE())
)</f>
        <v/>
      </c>
      <c r="BT257" s="110" t="str">
        <f aca="false">IF(BI257&gt;BH$7,
    "",
    VLOOKUP(BI257,BK$8:BQ756,3,FALSE())
)</f>
        <v/>
      </c>
      <c r="BU257" s="110" t="str">
        <f aca="false">IF(BI257&gt;BH$7,
    "",
    VLOOKUP(BI257,BK$8:BQ756,4,FALSE())
)</f>
        <v/>
      </c>
      <c r="BV257" s="110" t="str">
        <f aca="false">IF(BI257&gt;BH$7,
    "",
    VLOOKUP(BI257,BK$8:BQ756,5,FALSE())
)</f>
        <v/>
      </c>
      <c r="BW257" s="111" t="str">
        <f aca="false">IF(BI257&gt;BH$7,
    "",
    VLOOKUP(BI257,BK$8:BQ756,6,FALSE())
)</f>
        <v/>
      </c>
      <c r="BX257" s="50"/>
    </row>
    <row r="258" customFormat="false" ht="15.75" hidden="false" customHeight="false" outlineLevel="0" collapsed="false">
      <c r="A258" s="5"/>
      <c r="B258" s="122"/>
      <c r="C258" s="123"/>
      <c r="D258" s="112"/>
      <c r="E258" s="116"/>
      <c r="F258" s="116"/>
      <c r="G258" s="88"/>
      <c r="H258" s="89"/>
      <c r="I258" s="125"/>
      <c r="J258" s="125"/>
      <c r="K258" s="125"/>
      <c r="L258" s="91"/>
      <c r="M258" s="91"/>
      <c r="N258" s="91"/>
      <c r="O258" s="92"/>
      <c r="P258" s="93"/>
      <c r="Q258" s="125"/>
      <c r="R258" s="95"/>
      <c r="S258" s="96"/>
      <c r="T258" s="96" t="str">
        <f aca="false">IF(ISBLANK($C258),"",IF(G258=Constants!$B$2, TRUE(), IF(G258=Constants!$B$3, FALSE(), TRUE())))</f>
        <v/>
      </c>
      <c r="U258" s="96" t="str">
        <f aca="false">IF(ISBLANK($C258),"",IF(H258=Constants!$B$2, TRUE(), IF(H258=Constants!$B$3, FALSE(), TRUE())))</f>
        <v/>
      </c>
      <c r="V258" s="96" t="str">
        <f aca="false">IF(ISBLANK($C258),"",IF(I258=Constants!$B$2, TRUE(), IF(I258=Constants!$B$3, FALSE(), TRUE())))</f>
        <v/>
      </c>
      <c r="W258" s="96" t="str">
        <f aca="false">IF(ISBLANK($C258),"",IF(J258=Constants!$B$2, TRUE(), IF(J258=Constants!$B$3, FALSE(), TRUE())))</f>
        <v/>
      </c>
      <c r="X258" s="97" t="str">
        <f aca="false">IF(ISBLANK($C258),"",IF(K258=Constants!$B$2, TRUE(), IF(K258=Constants!$B$3, FALSE(), TRUE())))</f>
        <v/>
      </c>
      <c r="Y258" s="98" t="str">
        <f aca="false">IF(ISBLANK($C258),"",IF(ISNUMBER(L258), L258, ""))</f>
        <v/>
      </c>
      <c r="Z258" s="98" t="str">
        <f aca="false">IF(ISBLANK($C258),"",IF(ISNUMBER(M258), M258, ""))</f>
        <v/>
      </c>
      <c r="AA258" s="98" t="str">
        <f aca="false">IF(ISBLANK($C258),"",IF(ISNUMBER(N258), N258, ""))</f>
        <v/>
      </c>
      <c r="AB258" s="99" t="str">
        <f aca="false">IF(ISBLANK($C258),"",IF(ISNUMBER(O258), O258, ""))</f>
        <v/>
      </c>
      <c r="AC258" s="99" t="str">
        <f aca="false">IF(ISBLANK($C258),"",IF(ISNUMBER(P258), P258, Constants!$B$13))</f>
        <v/>
      </c>
      <c r="AD258" s="96" t="str">
        <f aca="false">IF(ISBLANK($C258),"",IF(Q258=Constants!$B$2, TRUE(), IF(Q258=Constants!$B$3, FALSE(), FALSE())))</f>
        <v/>
      </c>
      <c r="AE258" s="96" t="str">
        <f aca="false">IF(ISBLANK(C258), "", IF(AD258, Constants!$B$4,IF(COUNTA(G258:O258)=0, Constants!$B$5, Constants!$B$7)))</f>
        <v/>
      </c>
      <c r="AF258" s="96" t="str">
        <f aca="false">IF(ISBLANK($C258), "",IF($AE258=Constants!$B$7,1,$AE258))</f>
        <v/>
      </c>
      <c r="AG258" s="96" t="str">
        <f aca="false">IF($AE258=Constants!$B$7,IF(V258, 1, Constants!$B$11) * IF(X258, 1, Constants!$B$12),"")</f>
        <v/>
      </c>
      <c r="AH258" s="96" t="str">
        <f aca="false">IF(AND($AE258=Constants!$B$7, T258, U258) ,MAX(0, $AA258-$Y258),"")</f>
        <v/>
      </c>
      <c r="AI258" s="96" t="str">
        <f aca="false">IF(ISERROR(AH258),$AI$6,"")</f>
        <v/>
      </c>
      <c r="AJ258" s="96" t="str">
        <f aca="false">IF($AE258=Constants!$B$7,IF(AND(T258,U258,W258),IF($AH$6=0,Constants!$B$9,Constants!$B$9*AH258/$AH$6), 0),"")</f>
        <v/>
      </c>
      <c r="AK258" s="96" t="str">
        <f aca="false">IF(AJ258&lt;&gt;"", AJ258*AG258,"")</f>
        <v/>
      </c>
      <c r="AL258" s="96" t="str">
        <f aca="false">IF(AND($AE258=Constants!$B$7, T258, U258) ,IF($Z258="", "", MAX(0,1-ABS($AA258-$Z258)/$AA258)),"")</f>
        <v/>
      </c>
      <c r="AM258" s="96" t="str">
        <f aca="false">IF(AND(NOT(ISERROR(AH258)),ISERROR(AL258)),$AM$6,"")</f>
        <v/>
      </c>
      <c r="AN258" s="96" t="str">
        <f aca="false">IF($AE258=Constants!$B$7 ,IF(AND(T258,U258,W258,ISNUMBER(Z258)),IF($AL$6=0,Constants!$B$10,Constants!$B$10*AL258/$AL$6), 0),"")</f>
        <v/>
      </c>
      <c r="AO258" s="96" t="str">
        <f aca="false">IF(AN258&lt;&gt;"", AN258*AG258,"")</f>
        <v/>
      </c>
      <c r="AP258" s="96" t="str">
        <f aca="false">IF($AE258=Constants!$B$7,IF($AP$6=0,Constants!$B$8,Constants!$B$8*AB258/$AP$6),"")</f>
        <v/>
      </c>
      <c r="AQ258" s="96" t="str">
        <f aca="false">IF($AE258&lt;&gt;Constants!$B$7,$AE258,AK258+AO258+AP258)</f>
        <v/>
      </c>
      <c r="AR258" s="96" t="str">
        <f aca="false">IF(ISBLANK($C258),"",IF($AE258=Constants!$B$7,RANK(AQ258,$AQ$8:$AQ$507),$AE258))</f>
        <v/>
      </c>
      <c r="AS258" s="96" t="str">
        <f aca="false">IF(ISBLANK($C258), "",AK258)</f>
        <v/>
      </c>
      <c r="AT258" s="96" t="str">
        <f aca="false">IF(ISBLANK($C258),"",IF($AE258=Constants!$B$7,RANK(AS258,AS$8:AS$507),$AE258))</f>
        <v/>
      </c>
      <c r="AU258" s="96" t="str">
        <f aca="false">IF(ISBLANK($C258), "",AP258)</f>
        <v/>
      </c>
      <c r="AV258" s="96" t="str">
        <f aca="false">IF(ISBLANK($C258),"",IF($AE258=Constants!$B$7,RANK(AU258,AU$8:AU$507),$AE258))</f>
        <v/>
      </c>
      <c r="AW258" s="96" t="str">
        <f aca="false">IF(ISBLANK($C258), "",AC258)</f>
        <v/>
      </c>
      <c r="AX258" s="96" t="str">
        <f aca="false">IF(ISBLANK($C258),"",
IF($AE258=Constants!$B$7,
  COUNTIFS($AR$8:$AR$507,"&lt;"&amp;$AR258)
  + COUNTIFS($AR$8:$AR$507,$AR258,$AT$8:$AT$507,"&lt;"&amp;$AT258)
  + COUNTIFS($AR$8:$AR$507,$AR258,$AT$8:$AT$507,$AT258,$AV$8:$AV$507,"&lt;"&amp;$AV258)
  + COUNTIFS($AR$8:$AR$507,$AR258,$AT$8:$AT$507,$AT258,$AV$8:$AV$507,$AV258,$AW$8:$AW$507,"&lt;"&amp;$AW258)
  + 1,
$AE258))</f>
        <v/>
      </c>
      <c r="AY258" s="96" t="str">
        <f aca="false">IF(ISBLANK(C258),"",IF($AE258=Constants!$B$7, AR258-AX258,$AE258))</f>
        <v/>
      </c>
      <c r="AZ258" s="100"/>
      <c r="BA258" s="101" t="str">
        <f aca="false">IF(ISBLANK($C258),"",TRIM(AI258&amp;" "&amp;AM258))</f>
        <v/>
      </c>
      <c r="BB258" s="102" t="str">
        <f aca="false">IF(ISBLANK($C258),"",IF($AE258&lt;&gt;Constants!$B$7, $AE258 ,AQ258))</f>
        <v/>
      </c>
      <c r="BC258" s="103" t="str">
        <f aca="false">IF(ISBLANK($C258),"",IF($AE258&lt;&gt;Constants!$B$7, $AE258 ,AF258))</f>
        <v/>
      </c>
      <c r="BD258" s="104" t="str">
        <f aca="false">IF(ISBLANK(C258),"",AY258)</f>
        <v/>
      </c>
      <c r="BE258" s="104" t="str">
        <f aca="false">IF(ISBLANK(C258),"",AX258)</f>
        <v/>
      </c>
      <c r="BF258" s="105" t="str">
        <f aca="false">IF(ISBLANK(C258),"",IFERROR(_xlfn.SWITCH(BE258, Constants!$B$4, COUNTA($C$8:$C757)+2, Constants!$B$5, COUNTA($C$8:$C757)+1, Constants!$B$6, COUNTA($C$8:$C757)),BE258))</f>
        <v/>
      </c>
      <c r="BG258" s="5"/>
      <c r="BH258" s="106" t="n">
        <f aca="false">IF(OR(ISNUMBER(BE258),BE258="DQ",BE258="P",BE258="NS"),
    1,
    0
)</f>
        <v>0</v>
      </c>
      <c r="BI258" s="106" t="n">
        <v>251</v>
      </c>
      <c r="BJ258" s="106" t="str">
        <f aca="false">IF(ISBLANK($C258),
    "",
   BF258+ROW($B258)/1000
)</f>
        <v/>
      </c>
      <c r="BK258" s="106" t="str">
        <f aca="false">IF(ISNUMBER(BJ258), RANK(BJ258,BJ$8:BJ$507,1), "")</f>
        <v/>
      </c>
      <c r="BL258" s="106" t="str">
        <f aca="false">IF(ISBLANK($C258),
    "",
    $B258
)</f>
        <v/>
      </c>
      <c r="BM258" s="106" t="str">
        <f aca="false">IF(ISBLANK($C258),
    "",
    $C258
)</f>
        <v/>
      </c>
      <c r="BN258" s="106" t="str">
        <f aca="false">IF(ISBLANK($C258),
    "",
    $D258
)</f>
        <v/>
      </c>
      <c r="BO258" s="107" t="str">
        <f aca="false">BC258</f>
        <v/>
      </c>
      <c r="BP258" s="108" t="str">
        <f aca="false">BB258</f>
        <v/>
      </c>
      <c r="BQ258" s="106" t="str">
        <f aca="false">IF(ISBLANK($C258),
    "",
    BE258
)</f>
        <v/>
      </c>
      <c r="BR258" s="109" t="str">
        <f aca="false">IF(BI258&gt;BH$7,
    "",
    VLOOKUP(BI258,BK$8:BQ757,7,FALSE())
)</f>
        <v/>
      </c>
      <c r="BS258" s="110" t="str">
        <f aca="false">IF(BI258&gt;BH$7,
    "",
    VLOOKUP(BI258,BK$8:BQ757,2,FALSE())
)</f>
        <v/>
      </c>
      <c r="BT258" s="110" t="str">
        <f aca="false">IF(BI258&gt;BH$7,
    "",
    VLOOKUP(BI258,BK$8:BQ757,3,FALSE())
)</f>
        <v/>
      </c>
      <c r="BU258" s="110" t="str">
        <f aca="false">IF(BI258&gt;BH$7,
    "",
    VLOOKUP(BI258,BK$8:BQ757,4,FALSE())
)</f>
        <v/>
      </c>
      <c r="BV258" s="110" t="str">
        <f aca="false">IF(BI258&gt;BH$7,
    "",
    VLOOKUP(BI258,BK$8:BQ757,5,FALSE())
)</f>
        <v/>
      </c>
      <c r="BW258" s="111" t="str">
        <f aca="false">IF(BI258&gt;BH$7,
    "",
    VLOOKUP(BI258,BK$8:BQ757,6,FALSE())
)</f>
        <v/>
      </c>
      <c r="BX258" s="50"/>
    </row>
    <row r="259" customFormat="false" ht="15.75" hidden="false" customHeight="false" outlineLevel="0" collapsed="false">
      <c r="A259" s="5"/>
      <c r="B259" s="122"/>
      <c r="C259" s="123"/>
      <c r="D259" s="112"/>
      <c r="E259" s="116"/>
      <c r="F259" s="116"/>
      <c r="G259" s="88"/>
      <c r="H259" s="89"/>
      <c r="I259" s="125"/>
      <c r="J259" s="125"/>
      <c r="K259" s="125"/>
      <c r="L259" s="91"/>
      <c r="M259" s="91"/>
      <c r="N259" s="91"/>
      <c r="O259" s="92"/>
      <c r="P259" s="93"/>
      <c r="Q259" s="125"/>
      <c r="R259" s="95"/>
      <c r="S259" s="96"/>
      <c r="T259" s="96" t="str">
        <f aca="false">IF(ISBLANK($C259),"",IF(G259=Constants!$B$2, TRUE(), IF(G259=Constants!$B$3, FALSE(), TRUE())))</f>
        <v/>
      </c>
      <c r="U259" s="96" t="str">
        <f aca="false">IF(ISBLANK($C259),"",IF(H259=Constants!$B$2, TRUE(), IF(H259=Constants!$B$3, FALSE(), TRUE())))</f>
        <v/>
      </c>
      <c r="V259" s="96" t="str">
        <f aca="false">IF(ISBLANK($C259),"",IF(I259=Constants!$B$2, TRUE(), IF(I259=Constants!$B$3, FALSE(), TRUE())))</f>
        <v/>
      </c>
      <c r="W259" s="96" t="str">
        <f aca="false">IF(ISBLANK($C259),"",IF(J259=Constants!$B$2, TRUE(), IF(J259=Constants!$B$3, FALSE(), TRUE())))</f>
        <v/>
      </c>
      <c r="X259" s="97" t="str">
        <f aca="false">IF(ISBLANK($C259),"",IF(K259=Constants!$B$2, TRUE(), IF(K259=Constants!$B$3, FALSE(), TRUE())))</f>
        <v/>
      </c>
      <c r="Y259" s="98" t="str">
        <f aca="false">IF(ISBLANK($C259),"",IF(ISNUMBER(L259), L259, ""))</f>
        <v/>
      </c>
      <c r="Z259" s="98" t="str">
        <f aca="false">IF(ISBLANK($C259),"",IF(ISNUMBER(M259), M259, ""))</f>
        <v/>
      </c>
      <c r="AA259" s="98" t="str">
        <f aca="false">IF(ISBLANK($C259),"",IF(ISNUMBER(N259), N259, ""))</f>
        <v/>
      </c>
      <c r="AB259" s="99" t="str">
        <f aca="false">IF(ISBLANK($C259),"",IF(ISNUMBER(O259), O259, ""))</f>
        <v/>
      </c>
      <c r="AC259" s="99" t="str">
        <f aca="false">IF(ISBLANK($C259),"",IF(ISNUMBER(P259), P259, Constants!$B$13))</f>
        <v/>
      </c>
      <c r="AD259" s="96" t="str">
        <f aca="false">IF(ISBLANK($C259),"",IF(Q259=Constants!$B$2, TRUE(), IF(Q259=Constants!$B$3, FALSE(), FALSE())))</f>
        <v/>
      </c>
      <c r="AE259" s="96" t="str">
        <f aca="false">IF(ISBLANK(C259), "", IF(AD259, Constants!$B$4,IF(COUNTA(G259:O259)=0, Constants!$B$5, Constants!$B$7)))</f>
        <v/>
      </c>
      <c r="AF259" s="96" t="str">
        <f aca="false">IF(ISBLANK($C259), "",IF($AE259=Constants!$B$7,1,$AE259))</f>
        <v/>
      </c>
      <c r="AG259" s="96" t="str">
        <f aca="false">IF($AE259=Constants!$B$7,IF(V259, 1, Constants!$B$11) * IF(X259, 1, Constants!$B$12),"")</f>
        <v/>
      </c>
      <c r="AH259" s="96" t="str">
        <f aca="false">IF(AND($AE259=Constants!$B$7, T259, U259) ,MAX(0, $AA259-$Y259),"")</f>
        <v/>
      </c>
      <c r="AI259" s="96" t="str">
        <f aca="false">IF(ISERROR(AH259),$AI$6,"")</f>
        <v/>
      </c>
      <c r="AJ259" s="96" t="str">
        <f aca="false">IF($AE259=Constants!$B$7,IF(AND(T259,U259,W259),IF($AH$6=0,Constants!$B$9,Constants!$B$9*AH259/$AH$6), 0),"")</f>
        <v/>
      </c>
      <c r="AK259" s="96" t="str">
        <f aca="false">IF(AJ259&lt;&gt;"", AJ259*AG259,"")</f>
        <v/>
      </c>
      <c r="AL259" s="96" t="str">
        <f aca="false">IF(AND($AE259=Constants!$B$7, T259, U259) ,IF($Z259="", "", MAX(0,1-ABS($AA259-$Z259)/$AA259)),"")</f>
        <v/>
      </c>
      <c r="AM259" s="96" t="str">
        <f aca="false">IF(AND(NOT(ISERROR(AH259)),ISERROR(AL259)),$AM$6,"")</f>
        <v/>
      </c>
      <c r="AN259" s="96" t="str">
        <f aca="false">IF($AE259=Constants!$B$7 ,IF(AND(T259,U259,W259,ISNUMBER(Z259)),IF($AL$6=0,Constants!$B$10,Constants!$B$10*AL259/$AL$6), 0),"")</f>
        <v/>
      </c>
      <c r="AO259" s="96" t="str">
        <f aca="false">IF(AN259&lt;&gt;"", AN259*AG259,"")</f>
        <v/>
      </c>
      <c r="AP259" s="96" t="str">
        <f aca="false">IF($AE259=Constants!$B$7,IF($AP$6=0,Constants!$B$8,Constants!$B$8*AB259/$AP$6),"")</f>
        <v/>
      </c>
      <c r="AQ259" s="96" t="str">
        <f aca="false">IF($AE259&lt;&gt;Constants!$B$7,$AE259,AK259+AO259+AP259)</f>
        <v/>
      </c>
      <c r="AR259" s="96" t="str">
        <f aca="false">IF(ISBLANK($C259),"",IF($AE259=Constants!$B$7,RANK(AQ259,$AQ$8:$AQ$507),$AE259))</f>
        <v/>
      </c>
      <c r="AS259" s="96" t="str">
        <f aca="false">IF(ISBLANK($C259), "",AK259)</f>
        <v/>
      </c>
      <c r="AT259" s="96" t="str">
        <f aca="false">IF(ISBLANK($C259),"",IF($AE259=Constants!$B$7,RANK(AS259,AS$8:AS$507),$AE259))</f>
        <v/>
      </c>
      <c r="AU259" s="96" t="str">
        <f aca="false">IF(ISBLANK($C259), "",AP259)</f>
        <v/>
      </c>
      <c r="AV259" s="96" t="str">
        <f aca="false">IF(ISBLANK($C259),"",IF($AE259=Constants!$B$7,RANK(AU259,AU$8:AU$507),$AE259))</f>
        <v/>
      </c>
      <c r="AW259" s="96" t="str">
        <f aca="false">IF(ISBLANK($C259), "",AC259)</f>
        <v/>
      </c>
      <c r="AX259" s="96" t="str">
        <f aca="false">IF(ISBLANK($C259),"",
IF($AE259=Constants!$B$7,
  COUNTIFS($AR$8:$AR$507,"&lt;"&amp;$AR259)
  + COUNTIFS($AR$8:$AR$507,$AR259,$AT$8:$AT$507,"&lt;"&amp;$AT259)
  + COUNTIFS($AR$8:$AR$507,$AR259,$AT$8:$AT$507,$AT259,$AV$8:$AV$507,"&lt;"&amp;$AV259)
  + COUNTIFS($AR$8:$AR$507,$AR259,$AT$8:$AT$507,$AT259,$AV$8:$AV$507,$AV259,$AW$8:$AW$507,"&lt;"&amp;$AW259)
  + 1,
$AE259))</f>
        <v/>
      </c>
      <c r="AY259" s="96" t="str">
        <f aca="false">IF(ISBLANK(C259),"",IF($AE259=Constants!$B$7, AR259-AX259,$AE259))</f>
        <v/>
      </c>
      <c r="AZ259" s="100"/>
      <c r="BA259" s="101" t="str">
        <f aca="false">IF(ISBLANK($C259),"",TRIM(AI259&amp;" "&amp;AM259))</f>
        <v/>
      </c>
      <c r="BB259" s="102" t="str">
        <f aca="false">IF(ISBLANK($C259),"",IF($AE259&lt;&gt;Constants!$B$7, $AE259 ,AQ259))</f>
        <v/>
      </c>
      <c r="BC259" s="103" t="str">
        <f aca="false">IF(ISBLANK($C259),"",IF($AE259&lt;&gt;Constants!$B$7, $AE259 ,AF259))</f>
        <v/>
      </c>
      <c r="BD259" s="104" t="str">
        <f aca="false">IF(ISBLANK(C259),"",AY259)</f>
        <v/>
      </c>
      <c r="BE259" s="104" t="str">
        <f aca="false">IF(ISBLANK(C259),"",AX259)</f>
        <v/>
      </c>
      <c r="BF259" s="105" t="str">
        <f aca="false">IF(ISBLANK(C259),"",IFERROR(_xlfn.SWITCH(BE259, Constants!$B$4, COUNTA($C$8:$C758)+2, Constants!$B$5, COUNTA($C$8:$C758)+1, Constants!$B$6, COUNTA($C$8:$C758)),BE259))</f>
        <v/>
      </c>
      <c r="BG259" s="5"/>
      <c r="BH259" s="106" t="n">
        <f aca="false">IF(OR(ISNUMBER(BE259),BE259="DQ",BE259="P",BE259="NS"),
    1,
    0
)</f>
        <v>0</v>
      </c>
      <c r="BI259" s="106" t="n">
        <v>252</v>
      </c>
      <c r="BJ259" s="106" t="str">
        <f aca="false">IF(ISBLANK($C259),
    "",
   BF259+ROW($B259)/1000
)</f>
        <v/>
      </c>
      <c r="BK259" s="106" t="str">
        <f aca="false">IF(ISNUMBER(BJ259), RANK(BJ259,BJ$8:BJ$507,1), "")</f>
        <v/>
      </c>
      <c r="BL259" s="106" t="str">
        <f aca="false">IF(ISBLANK($C259),
    "",
    $B259
)</f>
        <v/>
      </c>
      <c r="BM259" s="106" t="str">
        <f aca="false">IF(ISBLANK($C259),
    "",
    $C259
)</f>
        <v/>
      </c>
      <c r="BN259" s="106" t="str">
        <f aca="false">IF(ISBLANK($C259),
    "",
    $D259
)</f>
        <v/>
      </c>
      <c r="BO259" s="107" t="str">
        <f aca="false">BC259</f>
        <v/>
      </c>
      <c r="BP259" s="108" t="str">
        <f aca="false">BB259</f>
        <v/>
      </c>
      <c r="BQ259" s="106" t="str">
        <f aca="false">IF(ISBLANK($C259),
    "",
    BE259
)</f>
        <v/>
      </c>
      <c r="BR259" s="109" t="str">
        <f aca="false">IF(BI259&gt;BH$7,
    "",
    VLOOKUP(BI259,BK$8:BQ758,7,FALSE())
)</f>
        <v/>
      </c>
      <c r="BS259" s="110" t="str">
        <f aca="false">IF(BI259&gt;BH$7,
    "",
    VLOOKUP(BI259,BK$8:BQ758,2,FALSE())
)</f>
        <v/>
      </c>
      <c r="BT259" s="110" t="str">
        <f aca="false">IF(BI259&gt;BH$7,
    "",
    VLOOKUP(BI259,BK$8:BQ758,3,FALSE())
)</f>
        <v/>
      </c>
      <c r="BU259" s="110" t="str">
        <f aca="false">IF(BI259&gt;BH$7,
    "",
    VLOOKUP(BI259,BK$8:BQ758,4,FALSE())
)</f>
        <v/>
      </c>
      <c r="BV259" s="110" t="str">
        <f aca="false">IF(BI259&gt;BH$7,
    "",
    VLOOKUP(BI259,BK$8:BQ758,5,FALSE())
)</f>
        <v/>
      </c>
      <c r="BW259" s="111" t="str">
        <f aca="false">IF(BI259&gt;BH$7,
    "",
    VLOOKUP(BI259,BK$8:BQ758,6,FALSE())
)</f>
        <v/>
      </c>
      <c r="BX259" s="50"/>
    </row>
    <row r="260" customFormat="false" ht="15.75" hidden="false" customHeight="false" outlineLevel="0" collapsed="false">
      <c r="A260" s="5"/>
      <c r="B260" s="126"/>
      <c r="C260" s="52"/>
      <c r="D260" s="53"/>
      <c r="E260" s="120"/>
      <c r="F260" s="120"/>
      <c r="G260" s="55"/>
      <c r="H260" s="56"/>
      <c r="I260" s="80"/>
      <c r="J260" s="80"/>
      <c r="K260" s="80"/>
      <c r="L260" s="58"/>
      <c r="M260" s="58"/>
      <c r="N260" s="58"/>
      <c r="O260" s="59"/>
      <c r="P260" s="60"/>
      <c r="Q260" s="80"/>
      <c r="R260" s="62"/>
      <c r="S260" s="63"/>
      <c r="T260" s="63" t="str">
        <f aca="false">IF(ISBLANK($C260),"",IF(G260=Constants!$B$2, TRUE(), IF(G260=Constants!$B$3, FALSE(), TRUE())))</f>
        <v/>
      </c>
      <c r="U260" s="63" t="str">
        <f aca="false">IF(ISBLANK($C260),"",IF(H260=Constants!$B$2, TRUE(), IF(H260=Constants!$B$3, FALSE(), TRUE())))</f>
        <v/>
      </c>
      <c r="V260" s="63" t="str">
        <f aca="false">IF(ISBLANK($C260),"",IF(I260=Constants!$B$2, TRUE(), IF(I260=Constants!$B$3, FALSE(), TRUE())))</f>
        <v/>
      </c>
      <c r="W260" s="63" t="str">
        <f aca="false">IF(ISBLANK($C260),"",IF(J260=Constants!$B$2, TRUE(), IF(J260=Constants!$B$3, FALSE(), TRUE())))</f>
        <v/>
      </c>
      <c r="X260" s="63" t="str">
        <f aca="false">IF(ISBLANK($C260),"",IF(K260=Constants!$B$2, TRUE(), IF(K260=Constants!$B$3, FALSE(), TRUE())))</f>
        <v/>
      </c>
      <c r="Y260" s="65" t="str">
        <f aca="false">IF(ISBLANK($C260),"",IF(ISNUMBER(L260), L260, ""))</f>
        <v/>
      </c>
      <c r="Z260" s="65" t="str">
        <f aca="false">IF(ISBLANK($C260),"",IF(ISNUMBER(M260), M260, ""))</f>
        <v/>
      </c>
      <c r="AA260" s="65" t="str">
        <f aca="false">IF(ISBLANK($C260),"",IF(ISNUMBER(N260), N260, ""))</f>
        <v/>
      </c>
      <c r="AB260" s="66" t="str">
        <f aca="false">IF(ISBLANK($C260),"",IF(ISNUMBER(O260), O260, ""))</f>
        <v/>
      </c>
      <c r="AC260" s="66" t="str">
        <f aca="false">IF(ISBLANK($C260),"",IF(ISNUMBER(P260), P260, Constants!$B$13))</f>
        <v/>
      </c>
      <c r="AD260" s="63" t="str">
        <f aca="false">IF(ISBLANK($C260),"",IF(Q260=Constants!$B$2, TRUE(), IF(Q260=Constants!$B$3, FALSE(), FALSE())))</f>
        <v/>
      </c>
      <c r="AE260" s="63" t="str">
        <f aca="false">IF(ISBLANK(C260), "", IF(AD260, Constants!$B$4,IF(COUNTA(G260:O260)=0, Constants!$B$5, Constants!$B$7)))</f>
        <v/>
      </c>
      <c r="AF260" s="63" t="str">
        <f aca="false">IF(ISBLANK($C260), "",IF($AE260=Constants!$B$7,1,$AE260))</f>
        <v/>
      </c>
      <c r="AG260" s="63" t="str">
        <f aca="false">IF($AE260=Constants!$B$7,IF(V260, 1, Constants!$B$11) * IF(X260, 1, Constants!$B$12),"")</f>
        <v/>
      </c>
      <c r="AH260" s="63" t="str">
        <f aca="false">IF(AND($AE260=Constants!$B$7, T260, U260) ,MAX(0, $AA260-$Y260),"")</f>
        <v/>
      </c>
      <c r="AI260" s="63" t="str">
        <f aca="false">IF(ISERROR(AH260),$AI$6,"")</f>
        <v/>
      </c>
      <c r="AJ260" s="63" t="str">
        <f aca="false">IF($AE260=Constants!$B$7,IF(AND(T260,U260,W260),IF($AH$6=0,Constants!$B$9,Constants!$B$9*AH260/$AH$6), 0),"")</f>
        <v/>
      </c>
      <c r="AK260" s="63" t="str">
        <f aca="false">IF(AJ260&lt;&gt;"", AJ260*AG260,"")</f>
        <v/>
      </c>
      <c r="AL260" s="63" t="str">
        <f aca="false">IF(AND($AE260=Constants!$B$7, T260, U260) ,IF($Z260="", "", MAX(0,1-ABS($AA260-$Z260)/$AA260)),"")</f>
        <v/>
      </c>
      <c r="AM260" s="63" t="str">
        <f aca="false">IF(AND(NOT(ISERROR(AH260)),ISERROR(AL260)),$AM$6,"")</f>
        <v/>
      </c>
      <c r="AN260" s="63" t="str">
        <f aca="false">IF($AE260=Constants!$B$7 ,IF(AND(T260,U260,W260,ISNUMBER(Z260)),IF($AL$6=0,Constants!$B$10,Constants!$B$10*AL260/$AL$6), 0),"")</f>
        <v/>
      </c>
      <c r="AO260" s="63" t="str">
        <f aca="false">IF(AN260&lt;&gt;"", AN260*AG260,"")</f>
        <v/>
      </c>
      <c r="AP260" s="63" t="str">
        <f aca="false">IF($AE260=Constants!$B$7,IF($AP$6=0,Constants!$B$8,Constants!$B$8*AB260/$AP$6),"")</f>
        <v/>
      </c>
      <c r="AQ260" s="63" t="str">
        <f aca="false">IF($AE260&lt;&gt;Constants!$B$7,$AE260,AK260+AO260+AP260)</f>
        <v/>
      </c>
      <c r="AR260" s="63" t="str">
        <f aca="false">IF(ISBLANK($C260),"",IF($AE260=Constants!$B$7,RANK(AQ260,$AQ$8:$AQ$507),$AE260))</f>
        <v/>
      </c>
      <c r="AS260" s="63" t="str">
        <f aca="false">IF(ISBLANK($C260), "",AK260)</f>
        <v/>
      </c>
      <c r="AT260" s="63" t="str">
        <f aca="false">IF(ISBLANK($C260),"",IF($AE260=Constants!$B$7,RANK(AS260,AS$8:AS$507),$AE260))</f>
        <v/>
      </c>
      <c r="AU260" s="63" t="str">
        <f aca="false">IF(ISBLANK($C260), "",AP260)</f>
        <v/>
      </c>
      <c r="AV260" s="63" t="str">
        <f aca="false">IF(ISBLANK($C260),"",IF($AE260=Constants!$B$7,RANK(AU260,AU$8:AU$507),$AE260))</f>
        <v/>
      </c>
      <c r="AW260" s="63" t="str">
        <f aca="false">IF(ISBLANK($C260), "",AC260)</f>
        <v/>
      </c>
      <c r="AX260" s="63" t="str">
        <f aca="false">IF(ISBLANK($C260),"",
IF($AE260=Constants!$B$7,
  COUNTIFS($AR$8:$AR$507,"&lt;"&amp;$AR260)
  + COUNTIFS($AR$8:$AR$507,$AR260,$AT$8:$AT$507,"&lt;"&amp;$AT260)
  + COUNTIFS($AR$8:$AR$507,$AR260,$AT$8:$AT$507,$AT260,$AV$8:$AV$507,"&lt;"&amp;$AV260)
  + COUNTIFS($AR$8:$AR$507,$AR260,$AT$8:$AT$507,$AT260,$AV$8:$AV$507,$AV260,$AW$8:$AW$507,"&lt;"&amp;$AW260)
  + 1,
$AE260))</f>
        <v/>
      </c>
      <c r="AY260" s="63" t="str">
        <f aca="false">IF(ISBLANK(C260),"",IF($AE260=Constants!$B$7, AR260-AX260,$AE260))</f>
        <v/>
      </c>
      <c r="AZ260" s="67"/>
      <c r="BA260" s="81" t="str">
        <f aca="false">IF(ISBLANK($C260),"",TRIM(AI260&amp;" "&amp;AM260))</f>
        <v/>
      </c>
      <c r="BB260" s="69" t="str">
        <f aca="false">IF(ISBLANK($C260),"",IF($AE260&lt;&gt;Constants!$B$7, $AE260 ,AQ260))</f>
        <v/>
      </c>
      <c r="BC260" s="70" t="str">
        <f aca="false">IF(ISBLANK($C260),"",IF($AE260&lt;&gt;Constants!$B$7, $AE260 ,AF260))</f>
        <v/>
      </c>
      <c r="BD260" s="71" t="str">
        <f aca="false">IF(ISBLANK(C260),"",AY260)</f>
        <v/>
      </c>
      <c r="BE260" s="71" t="str">
        <f aca="false">IF(ISBLANK(C260),"",AX260)</f>
        <v/>
      </c>
      <c r="BF260" s="72" t="str">
        <f aca="false">IF(ISBLANK(C260),"",IFERROR(_xlfn.SWITCH(BE260, Constants!$B$4, COUNTA($C$8:$C759)+2, Constants!$B$5, COUNTA($C$8:$C759)+1, Constants!$B$6, COUNTA($C$8:$C759)),BE260))</f>
        <v/>
      </c>
      <c r="BG260" s="5"/>
      <c r="BH260" s="73" t="n">
        <f aca="false">IF(OR(ISNUMBER(BE260),BE260="DQ",BE260="P",BE260="NS"),
    1,
    0
)</f>
        <v>0</v>
      </c>
      <c r="BI260" s="73" t="n">
        <v>253</v>
      </c>
      <c r="BJ260" s="73" t="str">
        <f aca="false">IF(ISBLANK($C260),
    "",
   BF260+ROW($B260)/1000
)</f>
        <v/>
      </c>
      <c r="BK260" s="73" t="str">
        <f aca="false">IF(ISNUMBER(BJ260), RANK(BJ260,BJ$8:BJ$507,1), "")</f>
        <v/>
      </c>
      <c r="BL260" s="73" t="str">
        <f aca="false">IF(ISBLANK($C260),
    "",
    $B260
)</f>
        <v/>
      </c>
      <c r="BM260" s="73" t="str">
        <f aca="false">IF(ISBLANK($C260),
    "",
    $C260
)</f>
        <v/>
      </c>
      <c r="BN260" s="73" t="str">
        <f aca="false">IF(ISBLANK($C260),
    "",
    $D260
)</f>
        <v/>
      </c>
      <c r="BO260" s="74" t="str">
        <f aca="false">BC260</f>
        <v/>
      </c>
      <c r="BP260" s="75" t="str">
        <f aca="false">BB260</f>
        <v/>
      </c>
      <c r="BQ260" s="73" t="str">
        <f aca="false">IF(ISBLANK($C260),
    "",
    BE260
)</f>
        <v/>
      </c>
      <c r="BR260" s="76" t="str">
        <f aca="false">IF(BI260&gt;BH$7,
    "",
    VLOOKUP(BI260,BK$8:BQ759,7,FALSE())
)</f>
        <v/>
      </c>
      <c r="BS260" s="77" t="str">
        <f aca="false">IF(BI260&gt;BH$7,
    "",
    VLOOKUP(BI260,BK$8:BQ759,2,FALSE())
)</f>
        <v/>
      </c>
      <c r="BT260" s="77" t="str">
        <f aca="false">IF(BI260&gt;BH$7,
    "",
    VLOOKUP(BI260,BK$8:BQ759,3,FALSE())
)</f>
        <v/>
      </c>
      <c r="BU260" s="77" t="str">
        <f aca="false">IF(BI260&gt;BH$7,
    "",
    VLOOKUP(BI260,BK$8:BQ759,4,FALSE())
)</f>
        <v/>
      </c>
      <c r="BV260" s="77" t="str">
        <f aca="false">IF(BI260&gt;BH$7,
    "",
    VLOOKUP(BI260,BK$8:BQ759,5,FALSE())
)</f>
        <v/>
      </c>
      <c r="BW260" s="78" t="str">
        <f aca="false">IF(BI260&gt;BH$7,
    "",
    VLOOKUP(BI260,BK$8:BQ759,6,FALSE())
)</f>
        <v/>
      </c>
      <c r="BX260" s="50"/>
    </row>
    <row r="261" customFormat="false" ht="15.75" hidden="false" customHeight="false" outlineLevel="0" collapsed="false">
      <c r="A261" s="5"/>
      <c r="B261" s="126"/>
      <c r="C261" s="52"/>
      <c r="D261" s="53"/>
      <c r="E261" s="120"/>
      <c r="F261" s="120"/>
      <c r="G261" s="55"/>
      <c r="H261" s="56"/>
      <c r="I261" s="80"/>
      <c r="J261" s="80"/>
      <c r="K261" s="80"/>
      <c r="L261" s="58"/>
      <c r="M261" s="58"/>
      <c r="N261" s="58"/>
      <c r="O261" s="59"/>
      <c r="P261" s="60"/>
      <c r="Q261" s="80"/>
      <c r="R261" s="62"/>
      <c r="S261" s="63"/>
      <c r="T261" s="63" t="str">
        <f aca="false">IF(ISBLANK($C261),"",IF(G261=Constants!$B$2, TRUE(), IF(G261=Constants!$B$3, FALSE(), TRUE())))</f>
        <v/>
      </c>
      <c r="U261" s="63" t="str">
        <f aca="false">IF(ISBLANK($C261),"",IF(H261=Constants!$B$2, TRUE(), IF(H261=Constants!$B$3, FALSE(), TRUE())))</f>
        <v/>
      </c>
      <c r="V261" s="63" t="str">
        <f aca="false">IF(ISBLANK($C261),"",IF(I261=Constants!$B$2, TRUE(), IF(I261=Constants!$B$3, FALSE(), TRUE())))</f>
        <v/>
      </c>
      <c r="W261" s="63" t="str">
        <f aca="false">IF(ISBLANK($C261),"",IF(J261=Constants!$B$2, TRUE(), IF(J261=Constants!$B$3, FALSE(), TRUE())))</f>
        <v/>
      </c>
      <c r="X261" s="63" t="str">
        <f aca="false">IF(ISBLANK($C261),"",IF(K261=Constants!$B$2, TRUE(), IF(K261=Constants!$B$3, FALSE(), TRUE())))</f>
        <v/>
      </c>
      <c r="Y261" s="65" t="str">
        <f aca="false">IF(ISBLANK($C261),"",IF(ISNUMBER(L261), L261, ""))</f>
        <v/>
      </c>
      <c r="Z261" s="65" t="str">
        <f aca="false">IF(ISBLANK($C261),"",IF(ISNUMBER(M261), M261, ""))</f>
        <v/>
      </c>
      <c r="AA261" s="65" t="str">
        <f aca="false">IF(ISBLANK($C261),"",IF(ISNUMBER(N261), N261, ""))</f>
        <v/>
      </c>
      <c r="AB261" s="66" t="str">
        <f aca="false">IF(ISBLANK($C261),"",IF(ISNUMBER(O261), O261, ""))</f>
        <v/>
      </c>
      <c r="AC261" s="66" t="str">
        <f aca="false">IF(ISBLANK($C261),"",IF(ISNUMBER(P261), P261, Constants!$B$13))</f>
        <v/>
      </c>
      <c r="AD261" s="63" t="str">
        <f aca="false">IF(ISBLANK($C261),"",IF(Q261=Constants!$B$2, TRUE(), IF(Q261=Constants!$B$3, FALSE(), FALSE())))</f>
        <v/>
      </c>
      <c r="AE261" s="63" t="str">
        <f aca="false">IF(ISBLANK(C261), "", IF(AD261, Constants!$B$4,IF(COUNTA(G261:O261)=0, Constants!$B$5, Constants!$B$7)))</f>
        <v/>
      </c>
      <c r="AF261" s="63" t="str">
        <f aca="false">IF(ISBLANK($C261), "",IF($AE261=Constants!$B$7,1,$AE261))</f>
        <v/>
      </c>
      <c r="AG261" s="63" t="str">
        <f aca="false">IF($AE261=Constants!$B$7,IF(V261, 1, Constants!$B$11) * IF(X261, 1, Constants!$B$12),"")</f>
        <v/>
      </c>
      <c r="AH261" s="63" t="str">
        <f aca="false">IF(AND($AE261=Constants!$B$7, T261, U261) ,MAX(0, $AA261-$Y261),"")</f>
        <v/>
      </c>
      <c r="AI261" s="63" t="str">
        <f aca="false">IF(ISERROR(AH261),$AI$6,"")</f>
        <v/>
      </c>
      <c r="AJ261" s="63" t="str">
        <f aca="false">IF($AE261=Constants!$B$7,IF(AND(T261,U261,W261),IF($AH$6=0,Constants!$B$9,Constants!$B$9*AH261/$AH$6), 0),"")</f>
        <v/>
      </c>
      <c r="AK261" s="63" t="str">
        <f aca="false">IF(AJ261&lt;&gt;"", AJ261*AG261,"")</f>
        <v/>
      </c>
      <c r="AL261" s="63" t="str">
        <f aca="false">IF(AND($AE261=Constants!$B$7, T261, U261) ,IF($Z261="", "", MAX(0,1-ABS($AA261-$Z261)/$AA261)),"")</f>
        <v/>
      </c>
      <c r="AM261" s="63" t="str">
        <f aca="false">IF(AND(NOT(ISERROR(AH261)),ISERROR(AL261)),$AM$6,"")</f>
        <v/>
      </c>
      <c r="AN261" s="63" t="str">
        <f aca="false">IF($AE261=Constants!$B$7 ,IF(AND(T261,U261,W261,ISNUMBER(Z261)),IF($AL$6=0,Constants!$B$10,Constants!$B$10*AL261/$AL$6), 0),"")</f>
        <v/>
      </c>
      <c r="AO261" s="63" t="str">
        <f aca="false">IF(AN261&lt;&gt;"", AN261*AG261,"")</f>
        <v/>
      </c>
      <c r="AP261" s="63" t="str">
        <f aca="false">IF($AE261=Constants!$B$7,IF($AP$6=0,Constants!$B$8,Constants!$B$8*AB261/$AP$6),"")</f>
        <v/>
      </c>
      <c r="AQ261" s="63" t="str">
        <f aca="false">IF($AE261&lt;&gt;Constants!$B$7,$AE261,AK261+AO261+AP261)</f>
        <v/>
      </c>
      <c r="AR261" s="63" t="str">
        <f aca="false">IF(ISBLANK($C261),"",IF($AE261=Constants!$B$7,RANK(AQ261,$AQ$8:$AQ$507),$AE261))</f>
        <v/>
      </c>
      <c r="AS261" s="63" t="str">
        <f aca="false">IF(ISBLANK($C261), "",AK261)</f>
        <v/>
      </c>
      <c r="AT261" s="63" t="str">
        <f aca="false">IF(ISBLANK($C261),"",IF($AE261=Constants!$B$7,RANK(AS261,AS$8:AS$507),$AE261))</f>
        <v/>
      </c>
      <c r="AU261" s="63" t="str">
        <f aca="false">IF(ISBLANK($C261), "",AP261)</f>
        <v/>
      </c>
      <c r="AV261" s="63" t="str">
        <f aca="false">IF(ISBLANK($C261),"",IF($AE261=Constants!$B$7,RANK(AU261,AU$8:AU$507),$AE261))</f>
        <v/>
      </c>
      <c r="AW261" s="63" t="str">
        <f aca="false">IF(ISBLANK($C261), "",AC261)</f>
        <v/>
      </c>
      <c r="AX261" s="63" t="str">
        <f aca="false">IF(ISBLANK($C261),"",
IF($AE261=Constants!$B$7,
  COUNTIFS($AR$8:$AR$507,"&lt;"&amp;$AR261)
  + COUNTIFS($AR$8:$AR$507,$AR261,$AT$8:$AT$507,"&lt;"&amp;$AT261)
  + COUNTIFS($AR$8:$AR$507,$AR261,$AT$8:$AT$507,$AT261,$AV$8:$AV$507,"&lt;"&amp;$AV261)
  + COUNTIFS($AR$8:$AR$507,$AR261,$AT$8:$AT$507,$AT261,$AV$8:$AV$507,$AV261,$AW$8:$AW$507,"&lt;"&amp;$AW261)
  + 1,
$AE261))</f>
        <v/>
      </c>
      <c r="AY261" s="63" t="str">
        <f aca="false">IF(ISBLANK(C261),"",IF($AE261=Constants!$B$7, AR261-AX261,$AE261))</f>
        <v/>
      </c>
      <c r="AZ261" s="67"/>
      <c r="BA261" s="81" t="str">
        <f aca="false">IF(ISBLANK($C261),"",TRIM(AI261&amp;" "&amp;AM261))</f>
        <v/>
      </c>
      <c r="BB261" s="69" t="str">
        <f aca="false">IF(ISBLANK($C261),"",IF($AE261&lt;&gt;Constants!$B$7, $AE261 ,AQ261))</f>
        <v/>
      </c>
      <c r="BC261" s="70" t="str">
        <f aca="false">IF(ISBLANK($C261),"",IF($AE261&lt;&gt;Constants!$B$7, $AE261 ,AF261))</f>
        <v/>
      </c>
      <c r="BD261" s="71" t="str">
        <f aca="false">IF(ISBLANK(C261),"",AY261)</f>
        <v/>
      </c>
      <c r="BE261" s="71" t="str">
        <f aca="false">IF(ISBLANK(C261),"",AX261)</f>
        <v/>
      </c>
      <c r="BF261" s="72" t="str">
        <f aca="false">IF(ISBLANK(C261),"",IFERROR(_xlfn.SWITCH(BE261, Constants!$B$4, COUNTA($C$8:$C760)+2, Constants!$B$5, COUNTA($C$8:$C760)+1, Constants!$B$6, COUNTA($C$8:$C760)),BE261))</f>
        <v/>
      </c>
      <c r="BG261" s="5"/>
      <c r="BH261" s="73" t="n">
        <f aca="false">IF(OR(ISNUMBER(BE261),BE261="DQ",BE261="P",BE261="NS"),
    1,
    0
)</f>
        <v>0</v>
      </c>
      <c r="BI261" s="73" t="n">
        <v>254</v>
      </c>
      <c r="BJ261" s="73" t="str">
        <f aca="false">IF(ISBLANK($C261),
    "",
   BF261+ROW($B261)/1000
)</f>
        <v/>
      </c>
      <c r="BK261" s="73" t="str">
        <f aca="false">IF(ISNUMBER(BJ261), RANK(BJ261,BJ$8:BJ$507,1), "")</f>
        <v/>
      </c>
      <c r="BL261" s="73" t="str">
        <f aca="false">IF(ISBLANK($C261),
    "",
    $B261
)</f>
        <v/>
      </c>
      <c r="BM261" s="73" t="str">
        <f aca="false">IF(ISBLANK($C261),
    "",
    $C261
)</f>
        <v/>
      </c>
      <c r="BN261" s="73" t="str">
        <f aca="false">IF(ISBLANK($C261),
    "",
    $D261
)</f>
        <v/>
      </c>
      <c r="BO261" s="74" t="str">
        <f aca="false">BC261</f>
        <v/>
      </c>
      <c r="BP261" s="75" t="str">
        <f aca="false">BB261</f>
        <v/>
      </c>
      <c r="BQ261" s="73" t="str">
        <f aca="false">IF(ISBLANK($C261),
    "",
    BE261
)</f>
        <v/>
      </c>
      <c r="BR261" s="76" t="str">
        <f aca="false">IF(BI261&gt;BH$7,
    "",
    VLOOKUP(BI261,BK$8:BQ760,7,FALSE())
)</f>
        <v/>
      </c>
      <c r="BS261" s="77" t="str">
        <f aca="false">IF(BI261&gt;BH$7,
    "",
    VLOOKUP(BI261,BK$8:BQ760,2,FALSE())
)</f>
        <v/>
      </c>
      <c r="BT261" s="77" t="str">
        <f aca="false">IF(BI261&gt;BH$7,
    "",
    VLOOKUP(BI261,BK$8:BQ760,3,FALSE())
)</f>
        <v/>
      </c>
      <c r="BU261" s="77" t="str">
        <f aca="false">IF(BI261&gt;BH$7,
    "",
    VLOOKUP(BI261,BK$8:BQ760,4,FALSE())
)</f>
        <v/>
      </c>
      <c r="BV261" s="77" t="str">
        <f aca="false">IF(BI261&gt;BH$7,
    "",
    VLOOKUP(BI261,BK$8:BQ760,5,FALSE())
)</f>
        <v/>
      </c>
      <c r="BW261" s="78" t="str">
        <f aca="false">IF(BI261&gt;BH$7,
    "",
    VLOOKUP(BI261,BK$8:BQ760,6,FALSE())
)</f>
        <v/>
      </c>
      <c r="BX261" s="50"/>
    </row>
    <row r="262" customFormat="false" ht="15.75" hidden="false" customHeight="false" outlineLevel="0" collapsed="false">
      <c r="A262" s="5"/>
      <c r="B262" s="126"/>
      <c r="C262" s="52"/>
      <c r="D262" s="53"/>
      <c r="E262" s="120"/>
      <c r="F262" s="120"/>
      <c r="G262" s="55"/>
      <c r="H262" s="56"/>
      <c r="I262" s="80"/>
      <c r="J262" s="80"/>
      <c r="K262" s="80"/>
      <c r="L262" s="58"/>
      <c r="M262" s="58"/>
      <c r="N262" s="58"/>
      <c r="O262" s="59"/>
      <c r="P262" s="60"/>
      <c r="Q262" s="80"/>
      <c r="R262" s="62"/>
      <c r="S262" s="63"/>
      <c r="T262" s="63" t="str">
        <f aca="false">IF(ISBLANK($C262),"",IF(G262=Constants!$B$2, TRUE(), IF(G262=Constants!$B$3, FALSE(), TRUE())))</f>
        <v/>
      </c>
      <c r="U262" s="63" t="str">
        <f aca="false">IF(ISBLANK($C262),"",IF(H262=Constants!$B$2, TRUE(), IF(H262=Constants!$B$3, FALSE(), TRUE())))</f>
        <v/>
      </c>
      <c r="V262" s="63" t="str">
        <f aca="false">IF(ISBLANK($C262),"",IF(I262=Constants!$B$2, TRUE(), IF(I262=Constants!$B$3, FALSE(), TRUE())))</f>
        <v/>
      </c>
      <c r="W262" s="63" t="str">
        <f aca="false">IF(ISBLANK($C262),"",IF(J262=Constants!$B$2, TRUE(), IF(J262=Constants!$B$3, FALSE(), TRUE())))</f>
        <v/>
      </c>
      <c r="X262" s="63" t="str">
        <f aca="false">IF(ISBLANK($C262),"",IF(K262=Constants!$B$2, TRUE(), IF(K262=Constants!$B$3, FALSE(), TRUE())))</f>
        <v/>
      </c>
      <c r="Y262" s="65" t="str">
        <f aca="false">IF(ISBLANK($C262),"",IF(ISNUMBER(L262), L262, ""))</f>
        <v/>
      </c>
      <c r="Z262" s="65" t="str">
        <f aca="false">IF(ISBLANK($C262),"",IF(ISNUMBER(M262), M262, ""))</f>
        <v/>
      </c>
      <c r="AA262" s="65" t="str">
        <f aca="false">IF(ISBLANK($C262),"",IF(ISNUMBER(N262), N262, ""))</f>
        <v/>
      </c>
      <c r="AB262" s="66" t="str">
        <f aca="false">IF(ISBLANK($C262),"",IF(ISNUMBER(O262), O262, ""))</f>
        <v/>
      </c>
      <c r="AC262" s="66" t="str">
        <f aca="false">IF(ISBLANK($C262),"",IF(ISNUMBER(P262), P262, Constants!$B$13))</f>
        <v/>
      </c>
      <c r="AD262" s="63" t="str">
        <f aca="false">IF(ISBLANK($C262),"",IF(Q262=Constants!$B$2, TRUE(), IF(Q262=Constants!$B$3, FALSE(), FALSE())))</f>
        <v/>
      </c>
      <c r="AE262" s="63" t="str">
        <f aca="false">IF(ISBLANK(C262), "", IF(AD262, Constants!$B$4,IF(COUNTA(G262:O262)=0, Constants!$B$5, Constants!$B$7)))</f>
        <v/>
      </c>
      <c r="AF262" s="63" t="str">
        <f aca="false">IF(ISBLANK($C262), "",IF($AE262=Constants!$B$7,1,$AE262))</f>
        <v/>
      </c>
      <c r="AG262" s="63" t="str">
        <f aca="false">IF($AE262=Constants!$B$7,IF(V262, 1, Constants!$B$11) * IF(X262, 1, Constants!$B$12),"")</f>
        <v/>
      </c>
      <c r="AH262" s="63" t="str">
        <f aca="false">IF(AND($AE262=Constants!$B$7, T262, U262) ,MAX(0, $AA262-$Y262),"")</f>
        <v/>
      </c>
      <c r="AI262" s="63" t="str">
        <f aca="false">IF(ISERROR(AH262),$AI$6,"")</f>
        <v/>
      </c>
      <c r="AJ262" s="63" t="str">
        <f aca="false">IF($AE262=Constants!$B$7,IF(AND(T262,U262,W262),IF($AH$6=0,Constants!$B$9,Constants!$B$9*AH262/$AH$6), 0),"")</f>
        <v/>
      </c>
      <c r="AK262" s="63" t="str">
        <f aca="false">IF(AJ262&lt;&gt;"", AJ262*AG262,"")</f>
        <v/>
      </c>
      <c r="AL262" s="63" t="str">
        <f aca="false">IF(AND($AE262=Constants!$B$7, T262, U262) ,IF($Z262="", "", MAX(0,1-ABS($AA262-$Z262)/$AA262)),"")</f>
        <v/>
      </c>
      <c r="AM262" s="63" t="str">
        <f aca="false">IF(AND(NOT(ISERROR(AH262)),ISERROR(AL262)),$AM$6,"")</f>
        <v/>
      </c>
      <c r="AN262" s="63" t="str">
        <f aca="false">IF($AE262=Constants!$B$7 ,IF(AND(T262,U262,W262,ISNUMBER(Z262)),IF($AL$6=0,Constants!$B$10,Constants!$B$10*AL262/$AL$6), 0),"")</f>
        <v/>
      </c>
      <c r="AO262" s="63" t="str">
        <f aca="false">IF(AN262&lt;&gt;"", AN262*AG262,"")</f>
        <v/>
      </c>
      <c r="AP262" s="63" t="str">
        <f aca="false">IF($AE262=Constants!$B$7,IF($AP$6=0,Constants!$B$8,Constants!$B$8*AB262/$AP$6),"")</f>
        <v/>
      </c>
      <c r="AQ262" s="63" t="str">
        <f aca="false">IF($AE262&lt;&gt;Constants!$B$7,$AE262,AK262+AO262+AP262)</f>
        <v/>
      </c>
      <c r="AR262" s="63" t="str">
        <f aca="false">IF(ISBLANK($C262),"",IF($AE262=Constants!$B$7,RANK(AQ262,$AQ$8:$AQ$507),$AE262))</f>
        <v/>
      </c>
      <c r="AS262" s="63" t="str">
        <f aca="false">IF(ISBLANK($C262), "",AK262)</f>
        <v/>
      </c>
      <c r="AT262" s="63" t="str">
        <f aca="false">IF(ISBLANK($C262),"",IF($AE262=Constants!$B$7,RANK(AS262,AS$8:AS$507),$AE262))</f>
        <v/>
      </c>
      <c r="AU262" s="63" t="str">
        <f aca="false">IF(ISBLANK($C262), "",AP262)</f>
        <v/>
      </c>
      <c r="AV262" s="63" t="str">
        <f aca="false">IF(ISBLANK($C262),"",IF($AE262=Constants!$B$7,RANK(AU262,AU$8:AU$507),$AE262))</f>
        <v/>
      </c>
      <c r="AW262" s="63" t="str">
        <f aca="false">IF(ISBLANK($C262), "",AC262)</f>
        <v/>
      </c>
      <c r="AX262" s="63" t="str">
        <f aca="false">IF(ISBLANK($C262),"",
IF($AE262=Constants!$B$7,
  COUNTIFS($AR$8:$AR$507,"&lt;"&amp;$AR262)
  + COUNTIFS($AR$8:$AR$507,$AR262,$AT$8:$AT$507,"&lt;"&amp;$AT262)
  + COUNTIFS($AR$8:$AR$507,$AR262,$AT$8:$AT$507,$AT262,$AV$8:$AV$507,"&lt;"&amp;$AV262)
  + COUNTIFS($AR$8:$AR$507,$AR262,$AT$8:$AT$507,$AT262,$AV$8:$AV$507,$AV262,$AW$8:$AW$507,"&lt;"&amp;$AW262)
  + 1,
$AE262))</f>
        <v/>
      </c>
      <c r="AY262" s="63" t="str">
        <f aca="false">IF(ISBLANK(C262),"",IF($AE262=Constants!$B$7, AR262-AX262,$AE262))</f>
        <v/>
      </c>
      <c r="AZ262" s="67"/>
      <c r="BA262" s="81" t="str">
        <f aca="false">IF(ISBLANK($C262),"",TRIM(AI262&amp;" "&amp;AM262))</f>
        <v/>
      </c>
      <c r="BB262" s="69" t="str">
        <f aca="false">IF(ISBLANK($C262),"",IF($AE262&lt;&gt;Constants!$B$7, $AE262 ,AQ262))</f>
        <v/>
      </c>
      <c r="BC262" s="70" t="str">
        <f aca="false">IF(ISBLANK($C262),"",IF($AE262&lt;&gt;Constants!$B$7, $AE262 ,AF262))</f>
        <v/>
      </c>
      <c r="BD262" s="71" t="str">
        <f aca="false">IF(ISBLANK(C262),"",AY262)</f>
        <v/>
      </c>
      <c r="BE262" s="71" t="str">
        <f aca="false">IF(ISBLANK(C262),"",AX262)</f>
        <v/>
      </c>
      <c r="BF262" s="72" t="str">
        <f aca="false">IF(ISBLANK(C262),"",IFERROR(_xlfn.SWITCH(BE262, Constants!$B$4, COUNTA($C$8:$C761)+2, Constants!$B$5, COUNTA($C$8:$C761)+1, Constants!$B$6, COUNTA($C$8:$C761)),BE262))</f>
        <v/>
      </c>
      <c r="BG262" s="5"/>
      <c r="BH262" s="73" t="n">
        <f aca="false">IF(OR(ISNUMBER(BE262),BE262="DQ",BE262="P",BE262="NS"),
    1,
    0
)</f>
        <v>0</v>
      </c>
      <c r="BI262" s="73" t="n">
        <v>255</v>
      </c>
      <c r="BJ262" s="73" t="str">
        <f aca="false">IF(ISBLANK($C262),
    "",
   BF262+ROW($B262)/1000
)</f>
        <v/>
      </c>
      <c r="BK262" s="73" t="str">
        <f aca="false">IF(ISNUMBER(BJ262), RANK(BJ262,BJ$8:BJ$507,1), "")</f>
        <v/>
      </c>
      <c r="BL262" s="73" t="str">
        <f aca="false">IF(ISBLANK($C262),
    "",
    $B262
)</f>
        <v/>
      </c>
      <c r="BM262" s="73" t="str">
        <f aca="false">IF(ISBLANK($C262),
    "",
    $C262
)</f>
        <v/>
      </c>
      <c r="BN262" s="73" t="str">
        <f aca="false">IF(ISBLANK($C262),
    "",
    $D262
)</f>
        <v/>
      </c>
      <c r="BO262" s="74" t="str">
        <f aca="false">BC262</f>
        <v/>
      </c>
      <c r="BP262" s="75" t="str">
        <f aca="false">BB262</f>
        <v/>
      </c>
      <c r="BQ262" s="73" t="str">
        <f aca="false">IF(ISBLANK($C262),
    "",
    BE262
)</f>
        <v/>
      </c>
      <c r="BR262" s="76" t="str">
        <f aca="false">IF(BI262&gt;BH$7,
    "",
    VLOOKUP(BI262,BK$8:BQ761,7,FALSE())
)</f>
        <v/>
      </c>
      <c r="BS262" s="77" t="str">
        <f aca="false">IF(BI262&gt;BH$7,
    "",
    VLOOKUP(BI262,BK$8:BQ761,2,FALSE())
)</f>
        <v/>
      </c>
      <c r="BT262" s="77" t="str">
        <f aca="false">IF(BI262&gt;BH$7,
    "",
    VLOOKUP(BI262,BK$8:BQ761,3,FALSE())
)</f>
        <v/>
      </c>
      <c r="BU262" s="77" t="str">
        <f aca="false">IF(BI262&gt;BH$7,
    "",
    VLOOKUP(BI262,BK$8:BQ761,4,FALSE())
)</f>
        <v/>
      </c>
      <c r="BV262" s="77" t="str">
        <f aca="false">IF(BI262&gt;BH$7,
    "",
    VLOOKUP(BI262,BK$8:BQ761,5,FALSE())
)</f>
        <v/>
      </c>
      <c r="BW262" s="78" t="str">
        <f aca="false">IF(BI262&gt;BH$7,
    "",
    VLOOKUP(BI262,BK$8:BQ761,6,FALSE())
)</f>
        <v/>
      </c>
      <c r="BX262" s="50"/>
    </row>
    <row r="263" customFormat="false" ht="15.75" hidden="false" customHeight="false" outlineLevel="0" collapsed="false">
      <c r="A263" s="5"/>
      <c r="B263" s="122"/>
      <c r="C263" s="123"/>
      <c r="D263" s="112"/>
      <c r="E263" s="116"/>
      <c r="F263" s="116"/>
      <c r="G263" s="88"/>
      <c r="H263" s="89"/>
      <c r="I263" s="125"/>
      <c r="J263" s="125"/>
      <c r="K263" s="125"/>
      <c r="L263" s="91"/>
      <c r="M263" s="91"/>
      <c r="N263" s="91"/>
      <c r="O263" s="92"/>
      <c r="P263" s="93"/>
      <c r="Q263" s="125"/>
      <c r="R263" s="95"/>
      <c r="S263" s="96"/>
      <c r="T263" s="96" t="str">
        <f aca="false">IF(ISBLANK($C263),"",IF(G263=Constants!$B$2, TRUE(), IF(G263=Constants!$B$3, FALSE(), TRUE())))</f>
        <v/>
      </c>
      <c r="U263" s="96" t="str">
        <f aca="false">IF(ISBLANK($C263),"",IF(H263=Constants!$B$2, TRUE(), IF(H263=Constants!$B$3, FALSE(), TRUE())))</f>
        <v/>
      </c>
      <c r="V263" s="96" t="str">
        <f aca="false">IF(ISBLANK($C263),"",IF(I263=Constants!$B$2, TRUE(), IF(I263=Constants!$B$3, FALSE(), TRUE())))</f>
        <v/>
      </c>
      <c r="W263" s="96" t="str">
        <f aca="false">IF(ISBLANK($C263),"",IF(J263=Constants!$B$2, TRUE(), IF(J263=Constants!$B$3, FALSE(), TRUE())))</f>
        <v/>
      </c>
      <c r="X263" s="97" t="str">
        <f aca="false">IF(ISBLANK($C263),"",IF(K263=Constants!$B$2, TRUE(), IF(K263=Constants!$B$3, FALSE(), TRUE())))</f>
        <v/>
      </c>
      <c r="Y263" s="98" t="str">
        <f aca="false">IF(ISBLANK($C263),"",IF(ISNUMBER(L263), L263, ""))</f>
        <v/>
      </c>
      <c r="Z263" s="98" t="str">
        <f aca="false">IF(ISBLANK($C263),"",IF(ISNUMBER(M263), M263, ""))</f>
        <v/>
      </c>
      <c r="AA263" s="98" t="str">
        <f aca="false">IF(ISBLANK($C263),"",IF(ISNUMBER(N263), N263, ""))</f>
        <v/>
      </c>
      <c r="AB263" s="99" t="str">
        <f aca="false">IF(ISBLANK($C263),"",IF(ISNUMBER(O263), O263, ""))</f>
        <v/>
      </c>
      <c r="AC263" s="99" t="str">
        <f aca="false">IF(ISBLANK($C263),"",IF(ISNUMBER(P263), P263, Constants!$B$13))</f>
        <v/>
      </c>
      <c r="AD263" s="96" t="str">
        <f aca="false">IF(ISBLANK($C263),"",IF(Q263=Constants!$B$2, TRUE(), IF(Q263=Constants!$B$3, FALSE(), FALSE())))</f>
        <v/>
      </c>
      <c r="AE263" s="96" t="str">
        <f aca="false">IF(ISBLANK(C263), "", IF(AD263, Constants!$B$4,IF(COUNTA(G263:O263)=0, Constants!$B$5, Constants!$B$7)))</f>
        <v/>
      </c>
      <c r="AF263" s="96" t="str">
        <f aca="false">IF(ISBLANK($C263), "",IF($AE263=Constants!$B$7,1,$AE263))</f>
        <v/>
      </c>
      <c r="AG263" s="96" t="str">
        <f aca="false">IF($AE263=Constants!$B$7,IF(V263, 1, Constants!$B$11) * IF(X263, 1, Constants!$B$12),"")</f>
        <v/>
      </c>
      <c r="AH263" s="96" t="str">
        <f aca="false">IF(AND($AE263=Constants!$B$7, T263, U263) ,MAX(0, $AA263-$Y263),"")</f>
        <v/>
      </c>
      <c r="AI263" s="96" t="str">
        <f aca="false">IF(ISERROR(AH263),$AI$6,"")</f>
        <v/>
      </c>
      <c r="AJ263" s="96" t="str">
        <f aca="false">IF($AE263=Constants!$B$7,IF(AND(T263,U263,W263),IF($AH$6=0,Constants!$B$9,Constants!$B$9*AH263/$AH$6), 0),"")</f>
        <v/>
      </c>
      <c r="AK263" s="96" t="str">
        <f aca="false">IF(AJ263&lt;&gt;"", AJ263*AG263,"")</f>
        <v/>
      </c>
      <c r="AL263" s="96" t="str">
        <f aca="false">IF(AND($AE263=Constants!$B$7, T263, U263) ,IF($Z263="", "", MAX(0,1-ABS($AA263-$Z263)/$AA263)),"")</f>
        <v/>
      </c>
      <c r="AM263" s="96" t="str">
        <f aca="false">IF(AND(NOT(ISERROR(AH263)),ISERROR(AL263)),$AM$6,"")</f>
        <v/>
      </c>
      <c r="AN263" s="96" t="str">
        <f aca="false">IF($AE263=Constants!$B$7 ,IF(AND(T263,U263,W263,ISNUMBER(Z263)),IF($AL$6=0,Constants!$B$10,Constants!$B$10*AL263/$AL$6), 0),"")</f>
        <v/>
      </c>
      <c r="AO263" s="96" t="str">
        <f aca="false">IF(AN263&lt;&gt;"", AN263*AG263,"")</f>
        <v/>
      </c>
      <c r="AP263" s="96" t="str">
        <f aca="false">IF($AE263=Constants!$B$7,IF($AP$6=0,Constants!$B$8,Constants!$B$8*AB263/$AP$6),"")</f>
        <v/>
      </c>
      <c r="AQ263" s="96" t="str">
        <f aca="false">IF($AE263&lt;&gt;Constants!$B$7,$AE263,AK263+AO263+AP263)</f>
        <v/>
      </c>
      <c r="AR263" s="96" t="str">
        <f aca="false">IF(ISBLANK($C263),"",IF($AE263=Constants!$B$7,RANK(AQ263,$AQ$8:$AQ$507),$AE263))</f>
        <v/>
      </c>
      <c r="AS263" s="96" t="str">
        <f aca="false">IF(ISBLANK($C263), "",AK263)</f>
        <v/>
      </c>
      <c r="AT263" s="96" t="str">
        <f aca="false">IF(ISBLANK($C263),"",IF($AE263=Constants!$B$7,RANK(AS263,AS$8:AS$507),$AE263))</f>
        <v/>
      </c>
      <c r="AU263" s="96" t="str">
        <f aca="false">IF(ISBLANK($C263), "",AP263)</f>
        <v/>
      </c>
      <c r="AV263" s="96" t="str">
        <f aca="false">IF(ISBLANK($C263),"",IF($AE263=Constants!$B$7,RANK(AU263,AU$8:AU$507),$AE263))</f>
        <v/>
      </c>
      <c r="AW263" s="96" t="str">
        <f aca="false">IF(ISBLANK($C263), "",AC263)</f>
        <v/>
      </c>
      <c r="AX263" s="96" t="str">
        <f aca="false">IF(ISBLANK($C263),"",
IF($AE263=Constants!$B$7,
  COUNTIFS($AR$8:$AR$507,"&lt;"&amp;$AR263)
  + COUNTIFS($AR$8:$AR$507,$AR263,$AT$8:$AT$507,"&lt;"&amp;$AT263)
  + COUNTIFS($AR$8:$AR$507,$AR263,$AT$8:$AT$507,$AT263,$AV$8:$AV$507,"&lt;"&amp;$AV263)
  + COUNTIFS($AR$8:$AR$507,$AR263,$AT$8:$AT$507,$AT263,$AV$8:$AV$507,$AV263,$AW$8:$AW$507,"&lt;"&amp;$AW263)
  + 1,
$AE263))</f>
        <v/>
      </c>
      <c r="AY263" s="96" t="str">
        <f aca="false">IF(ISBLANK(C263),"",IF($AE263=Constants!$B$7, AR263-AX263,$AE263))</f>
        <v/>
      </c>
      <c r="AZ263" s="100"/>
      <c r="BA263" s="101" t="str">
        <f aca="false">IF(ISBLANK($C263),"",TRIM(AI263&amp;" "&amp;AM263))</f>
        <v/>
      </c>
      <c r="BB263" s="102" t="str">
        <f aca="false">IF(ISBLANK($C263),"",IF($AE263&lt;&gt;Constants!$B$7, $AE263 ,AQ263))</f>
        <v/>
      </c>
      <c r="BC263" s="103" t="str">
        <f aca="false">IF(ISBLANK($C263),"",IF($AE263&lt;&gt;Constants!$B$7, $AE263 ,AF263))</f>
        <v/>
      </c>
      <c r="BD263" s="104" t="str">
        <f aca="false">IF(ISBLANK(C263),"",AY263)</f>
        <v/>
      </c>
      <c r="BE263" s="104" t="str">
        <f aca="false">IF(ISBLANK(C263),"",AX263)</f>
        <v/>
      </c>
      <c r="BF263" s="105" t="str">
        <f aca="false">IF(ISBLANK(C263),"",IFERROR(_xlfn.SWITCH(BE263, Constants!$B$4, COUNTA($C$8:$C762)+2, Constants!$B$5, COUNTA($C$8:$C762)+1, Constants!$B$6, COUNTA($C$8:$C762)),BE263))</f>
        <v/>
      </c>
      <c r="BG263" s="5"/>
      <c r="BH263" s="106" t="n">
        <f aca="false">IF(OR(ISNUMBER(BE263),BE263="DQ",BE263="P",BE263="NS"),
    1,
    0
)</f>
        <v>0</v>
      </c>
      <c r="BI263" s="106" t="n">
        <v>256</v>
      </c>
      <c r="BJ263" s="106" t="str">
        <f aca="false">IF(ISBLANK($C263),
    "",
   BF263+ROW($B263)/1000
)</f>
        <v/>
      </c>
      <c r="BK263" s="106" t="str">
        <f aca="false">IF(ISNUMBER(BJ263), RANK(BJ263,BJ$8:BJ$507,1), "")</f>
        <v/>
      </c>
      <c r="BL263" s="106" t="str">
        <f aca="false">IF(ISBLANK($C263),
    "",
    $B263
)</f>
        <v/>
      </c>
      <c r="BM263" s="106" t="str">
        <f aca="false">IF(ISBLANK($C263),
    "",
    $C263
)</f>
        <v/>
      </c>
      <c r="BN263" s="106" t="str">
        <f aca="false">IF(ISBLANK($C263),
    "",
    $D263
)</f>
        <v/>
      </c>
      <c r="BO263" s="107" t="str">
        <f aca="false">BC263</f>
        <v/>
      </c>
      <c r="BP263" s="108" t="str">
        <f aca="false">BB263</f>
        <v/>
      </c>
      <c r="BQ263" s="106" t="str">
        <f aca="false">IF(ISBLANK($C263),
    "",
    BE263
)</f>
        <v/>
      </c>
      <c r="BR263" s="109" t="str">
        <f aca="false">IF(BI263&gt;BH$7,
    "",
    VLOOKUP(BI263,BK$8:BQ762,7,FALSE())
)</f>
        <v/>
      </c>
      <c r="BS263" s="110" t="str">
        <f aca="false">IF(BI263&gt;BH$7,
    "",
    VLOOKUP(BI263,BK$8:BQ762,2,FALSE())
)</f>
        <v/>
      </c>
      <c r="BT263" s="110" t="str">
        <f aca="false">IF(BI263&gt;BH$7,
    "",
    VLOOKUP(BI263,BK$8:BQ762,3,FALSE())
)</f>
        <v/>
      </c>
      <c r="BU263" s="110" t="str">
        <f aca="false">IF(BI263&gt;BH$7,
    "",
    VLOOKUP(BI263,BK$8:BQ762,4,FALSE())
)</f>
        <v/>
      </c>
      <c r="BV263" s="110" t="str">
        <f aca="false">IF(BI263&gt;BH$7,
    "",
    VLOOKUP(BI263,BK$8:BQ762,5,FALSE())
)</f>
        <v/>
      </c>
      <c r="BW263" s="111" t="str">
        <f aca="false">IF(BI263&gt;BH$7,
    "",
    VLOOKUP(BI263,BK$8:BQ762,6,FALSE())
)</f>
        <v/>
      </c>
      <c r="BX263" s="50"/>
    </row>
    <row r="264" customFormat="false" ht="15.75" hidden="false" customHeight="false" outlineLevel="0" collapsed="false">
      <c r="A264" s="5"/>
      <c r="B264" s="122"/>
      <c r="C264" s="123"/>
      <c r="D264" s="112"/>
      <c r="E264" s="116"/>
      <c r="F264" s="116"/>
      <c r="G264" s="88"/>
      <c r="H264" s="89"/>
      <c r="I264" s="125"/>
      <c r="J264" s="125"/>
      <c r="K264" s="125"/>
      <c r="L264" s="91"/>
      <c r="M264" s="91"/>
      <c r="N264" s="91"/>
      <c r="O264" s="92"/>
      <c r="P264" s="93"/>
      <c r="Q264" s="125"/>
      <c r="R264" s="95"/>
      <c r="S264" s="96"/>
      <c r="T264" s="96" t="str">
        <f aca="false">IF(ISBLANK($C264),"",IF(G264=Constants!$B$2, TRUE(), IF(G264=Constants!$B$3, FALSE(), TRUE())))</f>
        <v/>
      </c>
      <c r="U264" s="96" t="str">
        <f aca="false">IF(ISBLANK($C264),"",IF(H264=Constants!$B$2, TRUE(), IF(H264=Constants!$B$3, FALSE(), TRUE())))</f>
        <v/>
      </c>
      <c r="V264" s="96" t="str">
        <f aca="false">IF(ISBLANK($C264),"",IF(I264=Constants!$B$2, TRUE(), IF(I264=Constants!$B$3, FALSE(), TRUE())))</f>
        <v/>
      </c>
      <c r="W264" s="96" t="str">
        <f aca="false">IF(ISBLANK($C264),"",IF(J264=Constants!$B$2, TRUE(), IF(J264=Constants!$B$3, FALSE(), TRUE())))</f>
        <v/>
      </c>
      <c r="X264" s="97" t="str">
        <f aca="false">IF(ISBLANK($C264),"",IF(K264=Constants!$B$2, TRUE(), IF(K264=Constants!$B$3, FALSE(), TRUE())))</f>
        <v/>
      </c>
      <c r="Y264" s="98" t="str">
        <f aca="false">IF(ISBLANK($C264),"",IF(ISNUMBER(L264), L264, ""))</f>
        <v/>
      </c>
      <c r="Z264" s="98" t="str">
        <f aca="false">IF(ISBLANK($C264),"",IF(ISNUMBER(M264), M264, ""))</f>
        <v/>
      </c>
      <c r="AA264" s="98" t="str">
        <f aca="false">IF(ISBLANK($C264),"",IF(ISNUMBER(N264), N264, ""))</f>
        <v/>
      </c>
      <c r="AB264" s="99" t="str">
        <f aca="false">IF(ISBLANK($C264),"",IF(ISNUMBER(O264), O264, ""))</f>
        <v/>
      </c>
      <c r="AC264" s="99" t="str">
        <f aca="false">IF(ISBLANK($C264),"",IF(ISNUMBER(P264), P264, Constants!$B$13))</f>
        <v/>
      </c>
      <c r="AD264" s="96" t="str">
        <f aca="false">IF(ISBLANK($C264),"",IF(Q264=Constants!$B$2, TRUE(), IF(Q264=Constants!$B$3, FALSE(), FALSE())))</f>
        <v/>
      </c>
      <c r="AE264" s="96" t="str">
        <f aca="false">IF(ISBLANK(C264), "", IF(AD264, Constants!$B$4,IF(COUNTA(G264:O264)=0, Constants!$B$5, Constants!$B$7)))</f>
        <v/>
      </c>
      <c r="AF264" s="96" t="str">
        <f aca="false">IF(ISBLANK($C264), "",IF($AE264=Constants!$B$7,1,$AE264))</f>
        <v/>
      </c>
      <c r="AG264" s="96" t="str">
        <f aca="false">IF($AE264=Constants!$B$7,IF(V264, 1, Constants!$B$11) * IF(X264, 1, Constants!$B$12),"")</f>
        <v/>
      </c>
      <c r="AH264" s="96" t="str">
        <f aca="false">IF(AND($AE264=Constants!$B$7, T264, U264) ,MAX(0, $AA264-$Y264),"")</f>
        <v/>
      </c>
      <c r="AI264" s="96" t="str">
        <f aca="false">IF(ISERROR(AH264),$AI$6,"")</f>
        <v/>
      </c>
      <c r="AJ264" s="96" t="str">
        <f aca="false">IF($AE264=Constants!$B$7,IF(AND(T264,U264,W264),IF($AH$6=0,Constants!$B$9,Constants!$B$9*AH264/$AH$6), 0),"")</f>
        <v/>
      </c>
      <c r="AK264" s="96" t="str">
        <f aca="false">IF(AJ264&lt;&gt;"", AJ264*AG264,"")</f>
        <v/>
      </c>
      <c r="AL264" s="96" t="str">
        <f aca="false">IF(AND($AE264=Constants!$B$7, T264, U264) ,IF($Z264="", "", MAX(0,1-ABS($AA264-$Z264)/$AA264)),"")</f>
        <v/>
      </c>
      <c r="AM264" s="96" t="str">
        <f aca="false">IF(AND(NOT(ISERROR(AH264)),ISERROR(AL264)),$AM$6,"")</f>
        <v/>
      </c>
      <c r="AN264" s="96" t="str">
        <f aca="false">IF($AE264=Constants!$B$7 ,IF(AND(T264,U264,W264,ISNUMBER(Z264)),IF($AL$6=0,Constants!$B$10,Constants!$B$10*AL264/$AL$6), 0),"")</f>
        <v/>
      </c>
      <c r="AO264" s="96" t="str">
        <f aca="false">IF(AN264&lt;&gt;"", AN264*AG264,"")</f>
        <v/>
      </c>
      <c r="AP264" s="96" t="str">
        <f aca="false">IF($AE264=Constants!$B$7,IF($AP$6=0,Constants!$B$8,Constants!$B$8*AB264/$AP$6),"")</f>
        <v/>
      </c>
      <c r="AQ264" s="96" t="str">
        <f aca="false">IF($AE264&lt;&gt;Constants!$B$7,$AE264,AK264+AO264+AP264)</f>
        <v/>
      </c>
      <c r="AR264" s="96" t="str">
        <f aca="false">IF(ISBLANK($C264),"",IF($AE264=Constants!$B$7,RANK(AQ264,$AQ$8:$AQ$507),$AE264))</f>
        <v/>
      </c>
      <c r="AS264" s="96" t="str">
        <f aca="false">IF(ISBLANK($C264), "",AK264)</f>
        <v/>
      </c>
      <c r="AT264" s="96" t="str">
        <f aca="false">IF(ISBLANK($C264),"",IF($AE264=Constants!$B$7,RANK(AS264,AS$8:AS$507),$AE264))</f>
        <v/>
      </c>
      <c r="AU264" s="96" t="str">
        <f aca="false">IF(ISBLANK($C264), "",AP264)</f>
        <v/>
      </c>
      <c r="AV264" s="96" t="str">
        <f aca="false">IF(ISBLANK($C264),"",IF($AE264=Constants!$B$7,RANK(AU264,AU$8:AU$507),$AE264))</f>
        <v/>
      </c>
      <c r="AW264" s="96" t="str">
        <f aca="false">IF(ISBLANK($C264), "",AC264)</f>
        <v/>
      </c>
      <c r="AX264" s="96" t="str">
        <f aca="false">IF(ISBLANK($C264),"",
IF($AE264=Constants!$B$7,
  COUNTIFS($AR$8:$AR$507,"&lt;"&amp;$AR264)
  + COUNTIFS($AR$8:$AR$507,$AR264,$AT$8:$AT$507,"&lt;"&amp;$AT264)
  + COUNTIFS($AR$8:$AR$507,$AR264,$AT$8:$AT$507,$AT264,$AV$8:$AV$507,"&lt;"&amp;$AV264)
  + COUNTIFS($AR$8:$AR$507,$AR264,$AT$8:$AT$507,$AT264,$AV$8:$AV$507,$AV264,$AW$8:$AW$507,"&lt;"&amp;$AW264)
  + 1,
$AE264))</f>
        <v/>
      </c>
      <c r="AY264" s="96" t="str">
        <f aca="false">IF(ISBLANK(C264),"",IF($AE264=Constants!$B$7, AR264-AX264,$AE264))</f>
        <v/>
      </c>
      <c r="AZ264" s="100"/>
      <c r="BA264" s="101" t="str">
        <f aca="false">IF(ISBLANK($C264),"",TRIM(AI264&amp;" "&amp;AM264))</f>
        <v/>
      </c>
      <c r="BB264" s="102" t="str">
        <f aca="false">IF(ISBLANK($C264),"",IF($AE264&lt;&gt;Constants!$B$7, $AE264 ,AQ264))</f>
        <v/>
      </c>
      <c r="BC264" s="103" t="str">
        <f aca="false">IF(ISBLANK($C264),"",IF($AE264&lt;&gt;Constants!$B$7, $AE264 ,AF264))</f>
        <v/>
      </c>
      <c r="BD264" s="104" t="str">
        <f aca="false">IF(ISBLANK(C264),"",AY264)</f>
        <v/>
      </c>
      <c r="BE264" s="104" t="str">
        <f aca="false">IF(ISBLANK(C264),"",AX264)</f>
        <v/>
      </c>
      <c r="BF264" s="105" t="str">
        <f aca="false">IF(ISBLANK(C264),"",IFERROR(_xlfn.SWITCH(BE264, Constants!$B$4, COUNTA($C$8:$C763)+2, Constants!$B$5, COUNTA($C$8:$C763)+1, Constants!$B$6, COUNTA($C$8:$C763)),BE264))</f>
        <v/>
      </c>
      <c r="BG264" s="5"/>
      <c r="BH264" s="106" t="n">
        <f aca="false">IF(OR(ISNUMBER(BE264),BE264="DQ",BE264="P",BE264="NS"),
    1,
    0
)</f>
        <v>0</v>
      </c>
      <c r="BI264" s="106" t="n">
        <v>257</v>
      </c>
      <c r="BJ264" s="106" t="str">
        <f aca="false">IF(ISBLANK($C264),
    "",
   BF264+ROW($B264)/1000
)</f>
        <v/>
      </c>
      <c r="BK264" s="106" t="str">
        <f aca="false">IF(ISNUMBER(BJ264), RANK(BJ264,BJ$8:BJ$507,1), "")</f>
        <v/>
      </c>
      <c r="BL264" s="106" t="str">
        <f aca="false">IF(ISBLANK($C264),
    "",
    $B264
)</f>
        <v/>
      </c>
      <c r="BM264" s="106" t="str">
        <f aca="false">IF(ISBLANK($C264),
    "",
    $C264
)</f>
        <v/>
      </c>
      <c r="BN264" s="106" t="str">
        <f aca="false">IF(ISBLANK($C264),
    "",
    $D264
)</f>
        <v/>
      </c>
      <c r="BO264" s="107" t="str">
        <f aca="false">BC264</f>
        <v/>
      </c>
      <c r="BP264" s="108" t="str">
        <f aca="false">BB264</f>
        <v/>
      </c>
      <c r="BQ264" s="106" t="str">
        <f aca="false">IF(ISBLANK($C264),
    "",
    BE264
)</f>
        <v/>
      </c>
      <c r="BR264" s="109" t="str">
        <f aca="false">IF(BI264&gt;BH$7,
    "",
    VLOOKUP(BI264,BK$8:BQ763,7,FALSE())
)</f>
        <v/>
      </c>
      <c r="BS264" s="110" t="str">
        <f aca="false">IF(BI264&gt;BH$7,
    "",
    VLOOKUP(BI264,BK$8:BQ763,2,FALSE())
)</f>
        <v/>
      </c>
      <c r="BT264" s="110" t="str">
        <f aca="false">IF(BI264&gt;BH$7,
    "",
    VLOOKUP(BI264,BK$8:BQ763,3,FALSE())
)</f>
        <v/>
      </c>
      <c r="BU264" s="110" t="str">
        <f aca="false">IF(BI264&gt;BH$7,
    "",
    VLOOKUP(BI264,BK$8:BQ763,4,FALSE())
)</f>
        <v/>
      </c>
      <c r="BV264" s="110" t="str">
        <f aca="false">IF(BI264&gt;BH$7,
    "",
    VLOOKUP(BI264,BK$8:BQ763,5,FALSE())
)</f>
        <v/>
      </c>
      <c r="BW264" s="111" t="str">
        <f aca="false">IF(BI264&gt;BH$7,
    "",
    VLOOKUP(BI264,BK$8:BQ763,6,FALSE())
)</f>
        <v/>
      </c>
      <c r="BX264" s="50"/>
    </row>
    <row r="265" customFormat="false" ht="15.75" hidden="false" customHeight="false" outlineLevel="0" collapsed="false">
      <c r="A265" s="5"/>
      <c r="B265" s="122"/>
      <c r="C265" s="123"/>
      <c r="D265" s="112"/>
      <c r="E265" s="116"/>
      <c r="F265" s="116"/>
      <c r="G265" s="88"/>
      <c r="H265" s="89"/>
      <c r="I265" s="125"/>
      <c r="J265" s="125"/>
      <c r="K265" s="125"/>
      <c r="L265" s="91"/>
      <c r="M265" s="91"/>
      <c r="N265" s="91"/>
      <c r="O265" s="92"/>
      <c r="P265" s="93"/>
      <c r="Q265" s="125"/>
      <c r="R265" s="95"/>
      <c r="S265" s="96"/>
      <c r="T265" s="96" t="str">
        <f aca="false">IF(ISBLANK($C265),"",IF(G265=Constants!$B$2, TRUE(), IF(G265=Constants!$B$3, FALSE(), TRUE())))</f>
        <v/>
      </c>
      <c r="U265" s="96" t="str">
        <f aca="false">IF(ISBLANK($C265),"",IF(H265=Constants!$B$2, TRUE(), IF(H265=Constants!$B$3, FALSE(), TRUE())))</f>
        <v/>
      </c>
      <c r="V265" s="96" t="str">
        <f aca="false">IF(ISBLANK($C265),"",IF(I265=Constants!$B$2, TRUE(), IF(I265=Constants!$B$3, FALSE(), TRUE())))</f>
        <v/>
      </c>
      <c r="W265" s="96" t="str">
        <f aca="false">IF(ISBLANK($C265),"",IF(J265=Constants!$B$2, TRUE(), IF(J265=Constants!$B$3, FALSE(), TRUE())))</f>
        <v/>
      </c>
      <c r="X265" s="97" t="str">
        <f aca="false">IF(ISBLANK($C265),"",IF(K265=Constants!$B$2, TRUE(), IF(K265=Constants!$B$3, FALSE(), TRUE())))</f>
        <v/>
      </c>
      <c r="Y265" s="98" t="str">
        <f aca="false">IF(ISBLANK($C265),"",IF(ISNUMBER(L265), L265, ""))</f>
        <v/>
      </c>
      <c r="Z265" s="98" t="str">
        <f aca="false">IF(ISBLANK($C265),"",IF(ISNUMBER(M265), M265, ""))</f>
        <v/>
      </c>
      <c r="AA265" s="98" t="str">
        <f aca="false">IF(ISBLANK($C265),"",IF(ISNUMBER(N265), N265, ""))</f>
        <v/>
      </c>
      <c r="AB265" s="99" t="str">
        <f aca="false">IF(ISBLANK($C265),"",IF(ISNUMBER(O265), O265, ""))</f>
        <v/>
      </c>
      <c r="AC265" s="99" t="str">
        <f aca="false">IF(ISBLANK($C265),"",IF(ISNUMBER(P265), P265, Constants!$B$13))</f>
        <v/>
      </c>
      <c r="AD265" s="96" t="str">
        <f aca="false">IF(ISBLANK($C265),"",IF(Q265=Constants!$B$2, TRUE(), IF(Q265=Constants!$B$3, FALSE(), FALSE())))</f>
        <v/>
      </c>
      <c r="AE265" s="96" t="str">
        <f aca="false">IF(ISBLANK(C265), "", IF(AD265, Constants!$B$4,IF(COUNTA(G265:O265)=0, Constants!$B$5, Constants!$B$7)))</f>
        <v/>
      </c>
      <c r="AF265" s="96" t="str">
        <f aca="false">IF(ISBLANK($C265), "",IF($AE265=Constants!$B$7,1,$AE265))</f>
        <v/>
      </c>
      <c r="AG265" s="96" t="str">
        <f aca="false">IF($AE265=Constants!$B$7,IF(V265, 1, Constants!$B$11) * IF(X265, 1, Constants!$B$12),"")</f>
        <v/>
      </c>
      <c r="AH265" s="96" t="str">
        <f aca="false">IF(AND($AE265=Constants!$B$7, T265, U265) ,MAX(0, $AA265-$Y265),"")</f>
        <v/>
      </c>
      <c r="AI265" s="96" t="str">
        <f aca="false">IF(ISERROR(AH265),$AI$6,"")</f>
        <v/>
      </c>
      <c r="AJ265" s="96" t="str">
        <f aca="false">IF($AE265=Constants!$B$7,IF(AND(T265,U265,W265),IF($AH$6=0,Constants!$B$9,Constants!$B$9*AH265/$AH$6), 0),"")</f>
        <v/>
      </c>
      <c r="AK265" s="96" t="str">
        <f aca="false">IF(AJ265&lt;&gt;"", AJ265*AG265,"")</f>
        <v/>
      </c>
      <c r="AL265" s="96" t="str">
        <f aca="false">IF(AND($AE265=Constants!$B$7, T265, U265) ,IF($Z265="", "", MAX(0,1-ABS($AA265-$Z265)/$AA265)),"")</f>
        <v/>
      </c>
      <c r="AM265" s="96" t="str">
        <f aca="false">IF(AND(NOT(ISERROR(AH265)),ISERROR(AL265)),$AM$6,"")</f>
        <v/>
      </c>
      <c r="AN265" s="96" t="str">
        <f aca="false">IF($AE265=Constants!$B$7 ,IF(AND(T265,U265,W265,ISNUMBER(Z265)),IF($AL$6=0,Constants!$B$10,Constants!$B$10*AL265/$AL$6), 0),"")</f>
        <v/>
      </c>
      <c r="AO265" s="96" t="str">
        <f aca="false">IF(AN265&lt;&gt;"", AN265*AG265,"")</f>
        <v/>
      </c>
      <c r="AP265" s="96" t="str">
        <f aca="false">IF($AE265=Constants!$B$7,IF($AP$6=0,Constants!$B$8,Constants!$B$8*AB265/$AP$6),"")</f>
        <v/>
      </c>
      <c r="AQ265" s="96" t="str">
        <f aca="false">IF($AE265&lt;&gt;Constants!$B$7,$AE265,AK265+AO265+AP265)</f>
        <v/>
      </c>
      <c r="AR265" s="96" t="str">
        <f aca="false">IF(ISBLANK($C265),"",IF($AE265=Constants!$B$7,RANK(AQ265,$AQ$8:$AQ$507),$AE265))</f>
        <v/>
      </c>
      <c r="AS265" s="96" t="str">
        <f aca="false">IF(ISBLANK($C265), "",AK265)</f>
        <v/>
      </c>
      <c r="AT265" s="96" t="str">
        <f aca="false">IF(ISBLANK($C265),"",IF($AE265=Constants!$B$7,RANK(AS265,AS$8:AS$507),$AE265))</f>
        <v/>
      </c>
      <c r="AU265" s="96" t="str">
        <f aca="false">IF(ISBLANK($C265), "",AP265)</f>
        <v/>
      </c>
      <c r="AV265" s="96" t="str">
        <f aca="false">IF(ISBLANK($C265),"",IF($AE265=Constants!$B$7,RANK(AU265,AU$8:AU$507),$AE265))</f>
        <v/>
      </c>
      <c r="AW265" s="96" t="str">
        <f aca="false">IF(ISBLANK($C265), "",AC265)</f>
        <v/>
      </c>
      <c r="AX265" s="96" t="str">
        <f aca="false">IF(ISBLANK($C265),"",
IF($AE265=Constants!$B$7,
  COUNTIFS($AR$8:$AR$507,"&lt;"&amp;$AR265)
  + COUNTIFS($AR$8:$AR$507,$AR265,$AT$8:$AT$507,"&lt;"&amp;$AT265)
  + COUNTIFS($AR$8:$AR$507,$AR265,$AT$8:$AT$507,$AT265,$AV$8:$AV$507,"&lt;"&amp;$AV265)
  + COUNTIFS($AR$8:$AR$507,$AR265,$AT$8:$AT$507,$AT265,$AV$8:$AV$507,$AV265,$AW$8:$AW$507,"&lt;"&amp;$AW265)
  + 1,
$AE265))</f>
        <v/>
      </c>
      <c r="AY265" s="96" t="str">
        <f aca="false">IF(ISBLANK(C265),"",IF($AE265=Constants!$B$7, AR265-AX265,$AE265))</f>
        <v/>
      </c>
      <c r="AZ265" s="100"/>
      <c r="BA265" s="101" t="str">
        <f aca="false">IF(ISBLANK($C265),"",TRIM(AI265&amp;" "&amp;AM265))</f>
        <v/>
      </c>
      <c r="BB265" s="102" t="str">
        <f aca="false">IF(ISBLANK($C265),"",IF($AE265&lt;&gt;Constants!$B$7, $AE265 ,AQ265))</f>
        <v/>
      </c>
      <c r="BC265" s="103" t="str">
        <f aca="false">IF(ISBLANK($C265),"",IF($AE265&lt;&gt;Constants!$B$7, $AE265 ,AF265))</f>
        <v/>
      </c>
      <c r="BD265" s="104" t="str">
        <f aca="false">IF(ISBLANK(C265),"",AY265)</f>
        <v/>
      </c>
      <c r="BE265" s="104" t="str">
        <f aca="false">IF(ISBLANK(C265),"",AX265)</f>
        <v/>
      </c>
      <c r="BF265" s="105" t="str">
        <f aca="false">IF(ISBLANK(C265),"",IFERROR(_xlfn.SWITCH(BE265, Constants!$B$4, COUNTA($C$8:$C764)+2, Constants!$B$5, COUNTA($C$8:$C764)+1, Constants!$B$6, COUNTA($C$8:$C764)),BE265))</f>
        <v/>
      </c>
      <c r="BG265" s="5"/>
      <c r="BH265" s="106" t="n">
        <f aca="false">IF(OR(ISNUMBER(BE265),BE265="DQ",BE265="P",BE265="NS"),
    1,
    0
)</f>
        <v>0</v>
      </c>
      <c r="BI265" s="106" t="n">
        <v>258</v>
      </c>
      <c r="BJ265" s="106" t="str">
        <f aca="false">IF(ISBLANK($C265),
    "",
   BF265+ROW($B265)/1000
)</f>
        <v/>
      </c>
      <c r="BK265" s="106" t="str">
        <f aca="false">IF(ISNUMBER(BJ265), RANK(BJ265,BJ$8:BJ$507,1), "")</f>
        <v/>
      </c>
      <c r="BL265" s="106" t="str">
        <f aca="false">IF(ISBLANK($C265),
    "",
    $B265
)</f>
        <v/>
      </c>
      <c r="BM265" s="106" t="str">
        <f aca="false">IF(ISBLANK($C265),
    "",
    $C265
)</f>
        <v/>
      </c>
      <c r="BN265" s="106" t="str">
        <f aca="false">IF(ISBLANK($C265),
    "",
    $D265
)</f>
        <v/>
      </c>
      <c r="BO265" s="107" t="str">
        <f aca="false">BC265</f>
        <v/>
      </c>
      <c r="BP265" s="108" t="str">
        <f aca="false">BB265</f>
        <v/>
      </c>
      <c r="BQ265" s="106" t="str">
        <f aca="false">IF(ISBLANK($C265),
    "",
    BE265
)</f>
        <v/>
      </c>
      <c r="BR265" s="109" t="str">
        <f aca="false">IF(BI265&gt;BH$7,
    "",
    VLOOKUP(BI265,BK$8:BQ764,7,FALSE())
)</f>
        <v/>
      </c>
      <c r="BS265" s="110" t="str">
        <f aca="false">IF(BI265&gt;BH$7,
    "",
    VLOOKUP(BI265,BK$8:BQ764,2,FALSE())
)</f>
        <v/>
      </c>
      <c r="BT265" s="110" t="str">
        <f aca="false">IF(BI265&gt;BH$7,
    "",
    VLOOKUP(BI265,BK$8:BQ764,3,FALSE())
)</f>
        <v/>
      </c>
      <c r="BU265" s="110" t="str">
        <f aca="false">IF(BI265&gt;BH$7,
    "",
    VLOOKUP(BI265,BK$8:BQ764,4,FALSE())
)</f>
        <v/>
      </c>
      <c r="BV265" s="110" t="str">
        <f aca="false">IF(BI265&gt;BH$7,
    "",
    VLOOKUP(BI265,BK$8:BQ764,5,FALSE())
)</f>
        <v/>
      </c>
      <c r="BW265" s="111" t="str">
        <f aca="false">IF(BI265&gt;BH$7,
    "",
    VLOOKUP(BI265,BK$8:BQ764,6,FALSE())
)</f>
        <v/>
      </c>
      <c r="BX265" s="50"/>
    </row>
    <row r="266" customFormat="false" ht="15.75" hidden="false" customHeight="false" outlineLevel="0" collapsed="false">
      <c r="A266" s="5"/>
      <c r="B266" s="126"/>
      <c r="C266" s="52"/>
      <c r="D266" s="53"/>
      <c r="E266" s="120"/>
      <c r="F266" s="120"/>
      <c r="G266" s="55"/>
      <c r="H266" s="56"/>
      <c r="I266" s="80"/>
      <c r="J266" s="80"/>
      <c r="K266" s="80"/>
      <c r="L266" s="58"/>
      <c r="M266" s="58"/>
      <c r="N266" s="58"/>
      <c r="O266" s="59"/>
      <c r="P266" s="60"/>
      <c r="Q266" s="80"/>
      <c r="R266" s="62"/>
      <c r="S266" s="63"/>
      <c r="T266" s="63" t="str">
        <f aca="false">IF(ISBLANK($C266),"",IF(G266=Constants!$B$2, TRUE(), IF(G266=Constants!$B$3, FALSE(), TRUE())))</f>
        <v/>
      </c>
      <c r="U266" s="63" t="str">
        <f aca="false">IF(ISBLANK($C266),"",IF(H266=Constants!$B$2, TRUE(), IF(H266=Constants!$B$3, FALSE(), TRUE())))</f>
        <v/>
      </c>
      <c r="V266" s="63" t="str">
        <f aca="false">IF(ISBLANK($C266),"",IF(I266=Constants!$B$2, TRUE(), IF(I266=Constants!$B$3, FALSE(), TRUE())))</f>
        <v/>
      </c>
      <c r="W266" s="63" t="str">
        <f aca="false">IF(ISBLANK($C266),"",IF(J266=Constants!$B$2, TRUE(), IF(J266=Constants!$B$3, FALSE(), TRUE())))</f>
        <v/>
      </c>
      <c r="X266" s="63" t="str">
        <f aca="false">IF(ISBLANK($C266),"",IF(K266=Constants!$B$2, TRUE(), IF(K266=Constants!$B$3, FALSE(), TRUE())))</f>
        <v/>
      </c>
      <c r="Y266" s="65" t="str">
        <f aca="false">IF(ISBLANK($C266),"",IF(ISNUMBER(L266), L266, ""))</f>
        <v/>
      </c>
      <c r="Z266" s="65" t="str">
        <f aca="false">IF(ISBLANK($C266),"",IF(ISNUMBER(M266), M266, ""))</f>
        <v/>
      </c>
      <c r="AA266" s="65" t="str">
        <f aca="false">IF(ISBLANK($C266),"",IF(ISNUMBER(N266), N266, ""))</f>
        <v/>
      </c>
      <c r="AB266" s="66" t="str">
        <f aca="false">IF(ISBLANK($C266),"",IF(ISNUMBER(O266), O266, ""))</f>
        <v/>
      </c>
      <c r="AC266" s="66" t="str">
        <f aca="false">IF(ISBLANK($C266),"",IF(ISNUMBER(P266), P266, Constants!$B$13))</f>
        <v/>
      </c>
      <c r="AD266" s="63" t="str">
        <f aca="false">IF(ISBLANK($C266),"",IF(Q266=Constants!$B$2, TRUE(), IF(Q266=Constants!$B$3, FALSE(), FALSE())))</f>
        <v/>
      </c>
      <c r="AE266" s="63" t="str">
        <f aca="false">IF(ISBLANK(C266), "", IF(AD266, Constants!$B$4,IF(COUNTA(G266:O266)=0, Constants!$B$5, Constants!$B$7)))</f>
        <v/>
      </c>
      <c r="AF266" s="63" t="str">
        <f aca="false">IF(ISBLANK($C266), "",IF($AE266=Constants!$B$7,1,$AE266))</f>
        <v/>
      </c>
      <c r="AG266" s="63" t="str">
        <f aca="false">IF($AE266=Constants!$B$7,IF(V266, 1, Constants!$B$11) * IF(X266, 1, Constants!$B$12),"")</f>
        <v/>
      </c>
      <c r="AH266" s="63" t="str">
        <f aca="false">IF(AND($AE266=Constants!$B$7, T266, U266) ,MAX(0, $AA266-$Y266),"")</f>
        <v/>
      </c>
      <c r="AI266" s="63" t="str">
        <f aca="false">IF(ISERROR(AH266),$AI$6,"")</f>
        <v/>
      </c>
      <c r="AJ266" s="63" t="str">
        <f aca="false">IF($AE266=Constants!$B$7,IF(AND(T266,U266,W266),IF($AH$6=0,Constants!$B$9,Constants!$B$9*AH266/$AH$6), 0),"")</f>
        <v/>
      </c>
      <c r="AK266" s="63" t="str">
        <f aca="false">IF(AJ266&lt;&gt;"", AJ266*AG266,"")</f>
        <v/>
      </c>
      <c r="AL266" s="63" t="str">
        <f aca="false">IF(AND($AE266=Constants!$B$7, T266, U266) ,IF($Z266="", "", MAX(0,1-ABS($AA266-$Z266)/$AA266)),"")</f>
        <v/>
      </c>
      <c r="AM266" s="63" t="str">
        <f aca="false">IF(AND(NOT(ISERROR(AH266)),ISERROR(AL266)),$AM$6,"")</f>
        <v/>
      </c>
      <c r="AN266" s="63" t="str">
        <f aca="false">IF($AE266=Constants!$B$7 ,IF(AND(T266,U266,W266,ISNUMBER(Z266)),IF($AL$6=0,Constants!$B$10,Constants!$B$10*AL266/$AL$6), 0),"")</f>
        <v/>
      </c>
      <c r="AO266" s="63" t="str">
        <f aca="false">IF(AN266&lt;&gt;"", AN266*AG266,"")</f>
        <v/>
      </c>
      <c r="AP266" s="63" t="str">
        <f aca="false">IF($AE266=Constants!$B$7,IF($AP$6=0,Constants!$B$8,Constants!$B$8*AB266/$AP$6),"")</f>
        <v/>
      </c>
      <c r="AQ266" s="63" t="str">
        <f aca="false">IF($AE266&lt;&gt;Constants!$B$7,$AE266,AK266+AO266+AP266)</f>
        <v/>
      </c>
      <c r="AR266" s="63" t="str">
        <f aca="false">IF(ISBLANK($C266),"",IF($AE266=Constants!$B$7,RANK(AQ266,$AQ$8:$AQ$507),$AE266))</f>
        <v/>
      </c>
      <c r="AS266" s="63" t="str">
        <f aca="false">IF(ISBLANK($C266), "",AK266)</f>
        <v/>
      </c>
      <c r="AT266" s="63" t="str">
        <f aca="false">IF(ISBLANK($C266),"",IF($AE266=Constants!$B$7,RANK(AS266,AS$8:AS$507),$AE266))</f>
        <v/>
      </c>
      <c r="AU266" s="63" t="str">
        <f aca="false">IF(ISBLANK($C266), "",AP266)</f>
        <v/>
      </c>
      <c r="AV266" s="63" t="str">
        <f aca="false">IF(ISBLANK($C266),"",IF($AE266=Constants!$B$7,RANK(AU266,AU$8:AU$507),$AE266))</f>
        <v/>
      </c>
      <c r="AW266" s="63" t="str">
        <f aca="false">IF(ISBLANK($C266), "",AC266)</f>
        <v/>
      </c>
      <c r="AX266" s="63" t="str">
        <f aca="false">IF(ISBLANK($C266),"",
IF($AE266=Constants!$B$7,
  COUNTIFS($AR$8:$AR$507,"&lt;"&amp;$AR266)
  + COUNTIFS($AR$8:$AR$507,$AR266,$AT$8:$AT$507,"&lt;"&amp;$AT266)
  + COUNTIFS($AR$8:$AR$507,$AR266,$AT$8:$AT$507,$AT266,$AV$8:$AV$507,"&lt;"&amp;$AV266)
  + COUNTIFS($AR$8:$AR$507,$AR266,$AT$8:$AT$507,$AT266,$AV$8:$AV$507,$AV266,$AW$8:$AW$507,"&lt;"&amp;$AW266)
  + 1,
$AE266))</f>
        <v/>
      </c>
      <c r="AY266" s="63" t="str">
        <f aca="false">IF(ISBLANK(C266),"",IF($AE266=Constants!$B$7, AR266-AX266,$AE266))</f>
        <v/>
      </c>
      <c r="AZ266" s="67"/>
      <c r="BA266" s="81" t="str">
        <f aca="false">IF(ISBLANK($C266),"",TRIM(AI266&amp;" "&amp;AM266))</f>
        <v/>
      </c>
      <c r="BB266" s="69" t="str">
        <f aca="false">IF(ISBLANK($C266),"",IF($AE266&lt;&gt;Constants!$B$7, $AE266 ,AQ266))</f>
        <v/>
      </c>
      <c r="BC266" s="70" t="str">
        <f aca="false">IF(ISBLANK($C266),"",IF($AE266&lt;&gt;Constants!$B$7, $AE266 ,AF266))</f>
        <v/>
      </c>
      <c r="BD266" s="71" t="str">
        <f aca="false">IF(ISBLANK(C266),"",AY266)</f>
        <v/>
      </c>
      <c r="BE266" s="71" t="str">
        <f aca="false">IF(ISBLANK(C266),"",AX266)</f>
        <v/>
      </c>
      <c r="BF266" s="72" t="str">
        <f aca="false">IF(ISBLANK(C266),"",IFERROR(_xlfn.SWITCH(BE266, Constants!$B$4, COUNTA($C$8:$C765)+2, Constants!$B$5, COUNTA($C$8:$C765)+1, Constants!$B$6, COUNTA($C$8:$C765)),BE266))</f>
        <v/>
      </c>
      <c r="BG266" s="5"/>
      <c r="BH266" s="73" t="n">
        <f aca="false">IF(OR(ISNUMBER(BE266),BE266="DQ",BE266="P",BE266="NS"),
    1,
    0
)</f>
        <v>0</v>
      </c>
      <c r="BI266" s="73" t="n">
        <v>259</v>
      </c>
      <c r="BJ266" s="73" t="str">
        <f aca="false">IF(ISBLANK($C266),
    "",
   BF266+ROW($B266)/1000
)</f>
        <v/>
      </c>
      <c r="BK266" s="73" t="str">
        <f aca="false">IF(ISNUMBER(BJ266), RANK(BJ266,BJ$8:BJ$507,1), "")</f>
        <v/>
      </c>
      <c r="BL266" s="73" t="str">
        <f aca="false">IF(ISBLANK($C266),
    "",
    $B266
)</f>
        <v/>
      </c>
      <c r="BM266" s="73" t="str">
        <f aca="false">IF(ISBLANK($C266),
    "",
    $C266
)</f>
        <v/>
      </c>
      <c r="BN266" s="73" t="str">
        <f aca="false">IF(ISBLANK($C266),
    "",
    $D266
)</f>
        <v/>
      </c>
      <c r="BO266" s="74" t="str">
        <f aca="false">BC266</f>
        <v/>
      </c>
      <c r="BP266" s="75" t="str">
        <f aca="false">BB266</f>
        <v/>
      </c>
      <c r="BQ266" s="73" t="str">
        <f aca="false">IF(ISBLANK($C266),
    "",
    BE266
)</f>
        <v/>
      </c>
      <c r="BR266" s="76" t="str">
        <f aca="false">IF(BI266&gt;BH$7,
    "",
    VLOOKUP(BI266,BK$8:BQ765,7,FALSE())
)</f>
        <v/>
      </c>
      <c r="BS266" s="77" t="str">
        <f aca="false">IF(BI266&gt;BH$7,
    "",
    VLOOKUP(BI266,BK$8:BQ765,2,FALSE())
)</f>
        <v/>
      </c>
      <c r="BT266" s="77" t="str">
        <f aca="false">IF(BI266&gt;BH$7,
    "",
    VLOOKUP(BI266,BK$8:BQ765,3,FALSE())
)</f>
        <v/>
      </c>
      <c r="BU266" s="77" t="str">
        <f aca="false">IF(BI266&gt;BH$7,
    "",
    VLOOKUP(BI266,BK$8:BQ765,4,FALSE())
)</f>
        <v/>
      </c>
      <c r="BV266" s="77" t="str">
        <f aca="false">IF(BI266&gt;BH$7,
    "",
    VLOOKUP(BI266,BK$8:BQ765,5,FALSE())
)</f>
        <v/>
      </c>
      <c r="BW266" s="78" t="str">
        <f aca="false">IF(BI266&gt;BH$7,
    "",
    VLOOKUP(BI266,BK$8:BQ765,6,FALSE())
)</f>
        <v/>
      </c>
      <c r="BX266" s="50"/>
    </row>
    <row r="267" customFormat="false" ht="15.75" hidden="false" customHeight="false" outlineLevel="0" collapsed="false">
      <c r="A267" s="5"/>
      <c r="B267" s="126"/>
      <c r="C267" s="52"/>
      <c r="D267" s="53"/>
      <c r="E267" s="120"/>
      <c r="F267" s="120"/>
      <c r="G267" s="55"/>
      <c r="H267" s="56"/>
      <c r="I267" s="80"/>
      <c r="J267" s="80"/>
      <c r="K267" s="80"/>
      <c r="L267" s="58"/>
      <c r="M267" s="58"/>
      <c r="N267" s="58"/>
      <c r="O267" s="59"/>
      <c r="P267" s="60"/>
      <c r="Q267" s="80"/>
      <c r="R267" s="62"/>
      <c r="S267" s="63"/>
      <c r="T267" s="63" t="str">
        <f aca="false">IF(ISBLANK($C267),"",IF(G267=Constants!$B$2, TRUE(), IF(G267=Constants!$B$3, FALSE(), TRUE())))</f>
        <v/>
      </c>
      <c r="U267" s="63" t="str">
        <f aca="false">IF(ISBLANK($C267),"",IF(H267=Constants!$B$2, TRUE(), IF(H267=Constants!$B$3, FALSE(), TRUE())))</f>
        <v/>
      </c>
      <c r="V267" s="63" t="str">
        <f aca="false">IF(ISBLANK($C267),"",IF(I267=Constants!$B$2, TRUE(), IF(I267=Constants!$B$3, FALSE(), TRUE())))</f>
        <v/>
      </c>
      <c r="W267" s="63" t="str">
        <f aca="false">IF(ISBLANK($C267),"",IF(J267=Constants!$B$2, TRUE(), IF(J267=Constants!$B$3, FALSE(), TRUE())))</f>
        <v/>
      </c>
      <c r="X267" s="63" t="str">
        <f aca="false">IF(ISBLANK($C267),"",IF(K267=Constants!$B$2, TRUE(), IF(K267=Constants!$B$3, FALSE(), TRUE())))</f>
        <v/>
      </c>
      <c r="Y267" s="65" t="str">
        <f aca="false">IF(ISBLANK($C267),"",IF(ISNUMBER(L267), L267, ""))</f>
        <v/>
      </c>
      <c r="Z267" s="65" t="str">
        <f aca="false">IF(ISBLANK($C267),"",IF(ISNUMBER(M267), M267, ""))</f>
        <v/>
      </c>
      <c r="AA267" s="65" t="str">
        <f aca="false">IF(ISBLANK($C267),"",IF(ISNUMBER(N267), N267, ""))</f>
        <v/>
      </c>
      <c r="AB267" s="66" t="str">
        <f aca="false">IF(ISBLANK($C267),"",IF(ISNUMBER(O267), O267, ""))</f>
        <v/>
      </c>
      <c r="AC267" s="66" t="str">
        <f aca="false">IF(ISBLANK($C267),"",IF(ISNUMBER(P267), P267, Constants!$B$13))</f>
        <v/>
      </c>
      <c r="AD267" s="63" t="str">
        <f aca="false">IF(ISBLANK($C267),"",IF(Q267=Constants!$B$2, TRUE(), IF(Q267=Constants!$B$3, FALSE(), FALSE())))</f>
        <v/>
      </c>
      <c r="AE267" s="63" t="str">
        <f aca="false">IF(ISBLANK(C267), "", IF(AD267, Constants!$B$4,IF(COUNTA(G267:O267)=0, Constants!$B$5, Constants!$B$7)))</f>
        <v/>
      </c>
      <c r="AF267" s="63" t="str">
        <f aca="false">IF(ISBLANK($C267), "",IF($AE267=Constants!$B$7,1,$AE267))</f>
        <v/>
      </c>
      <c r="AG267" s="63" t="str">
        <f aca="false">IF($AE267=Constants!$B$7,IF(V267, 1, Constants!$B$11) * IF(X267, 1, Constants!$B$12),"")</f>
        <v/>
      </c>
      <c r="AH267" s="63" t="str">
        <f aca="false">IF(AND($AE267=Constants!$B$7, T267, U267) ,MAX(0, $AA267-$Y267),"")</f>
        <v/>
      </c>
      <c r="AI267" s="63" t="str">
        <f aca="false">IF(ISERROR(AH267),$AI$6,"")</f>
        <v/>
      </c>
      <c r="AJ267" s="63" t="str">
        <f aca="false">IF($AE267=Constants!$B$7,IF(AND(T267,U267,W267),IF($AH$6=0,Constants!$B$9,Constants!$B$9*AH267/$AH$6), 0),"")</f>
        <v/>
      </c>
      <c r="AK267" s="63" t="str">
        <f aca="false">IF(AJ267&lt;&gt;"", AJ267*AG267,"")</f>
        <v/>
      </c>
      <c r="AL267" s="63" t="str">
        <f aca="false">IF(AND($AE267=Constants!$B$7, T267, U267) ,IF($Z267="", "", MAX(0,1-ABS($AA267-$Z267)/$AA267)),"")</f>
        <v/>
      </c>
      <c r="AM267" s="63" t="str">
        <f aca="false">IF(AND(NOT(ISERROR(AH267)),ISERROR(AL267)),$AM$6,"")</f>
        <v/>
      </c>
      <c r="AN267" s="63" t="str">
        <f aca="false">IF($AE267=Constants!$B$7 ,IF(AND(T267,U267,W267,ISNUMBER(Z267)),IF($AL$6=0,Constants!$B$10,Constants!$B$10*AL267/$AL$6), 0),"")</f>
        <v/>
      </c>
      <c r="AO267" s="63" t="str">
        <f aca="false">IF(AN267&lt;&gt;"", AN267*AG267,"")</f>
        <v/>
      </c>
      <c r="AP267" s="63" t="str">
        <f aca="false">IF($AE267=Constants!$B$7,IF($AP$6=0,Constants!$B$8,Constants!$B$8*AB267/$AP$6),"")</f>
        <v/>
      </c>
      <c r="AQ267" s="63" t="str">
        <f aca="false">IF($AE267&lt;&gt;Constants!$B$7,$AE267,AK267+AO267+AP267)</f>
        <v/>
      </c>
      <c r="AR267" s="63" t="str">
        <f aca="false">IF(ISBLANK($C267),"",IF($AE267=Constants!$B$7,RANK(AQ267,$AQ$8:$AQ$507),$AE267))</f>
        <v/>
      </c>
      <c r="AS267" s="63" t="str">
        <f aca="false">IF(ISBLANK($C267), "",AK267)</f>
        <v/>
      </c>
      <c r="AT267" s="63" t="str">
        <f aca="false">IF(ISBLANK($C267),"",IF($AE267=Constants!$B$7,RANK(AS267,AS$8:AS$507),$AE267))</f>
        <v/>
      </c>
      <c r="AU267" s="63" t="str">
        <f aca="false">IF(ISBLANK($C267), "",AP267)</f>
        <v/>
      </c>
      <c r="AV267" s="63" t="str">
        <f aca="false">IF(ISBLANK($C267),"",IF($AE267=Constants!$B$7,RANK(AU267,AU$8:AU$507),$AE267))</f>
        <v/>
      </c>
      <c r="AW267" s="63" t="str">
        <f aca="false">IF(ISBLANK($C267), "",AC267)</f>
        <v/>
      </c>
      <c r="AX267" s="63" t="str">
        <f aca="false">IF(ISBLANK($C267),"",
IF($AE267=Constants!$B$7,
  COUNTIFS($AR$8:$AR$507,"&lt;"&amp;$AR267)
  + COUNTIFS($AR$8:$AR$507,$AR267,$AT$8:$AT$507,"&lt;"&amp;$AT267)
  + COUNTIFS($AR$8:$AR$507,$AR267,$AT$8:$AT$507,$AT267,$AV$8:$AV$507,"&lt;"&amp;$AV267)
  + COUNTIFS($AR$8:$AR$507,$AR267,$AT$8:$AT$507,$AT267,$AV$8:$AV$507,$AV267,$AW$8:$AW$507,"&lt;"&amp;$AW267)
  + 1,
$AE267))</f>
        <v/>
      </c>
      <c r="AY267" s="63" t="str">
        <f aca="false">IF(ISBLANK(C267),"",IF($AE267=Constants!$B$7, AR267-AX267,$AE267))</f>
        <v/>
      </c>
      <c r="AZ267" s="67"/>
      <c r="BA267" s="81" t="str">
        <f aca="false">IF(ISBLANK($C267),"",TRIM(AI267&amp;" "&amp;AM267))</f>
        <v/>
      </c>
      <c r="BB267" s="69" t="str">
        <f aca="false">IF(ISBLANK($C267),"",IF($AE267&lt;&gt;Constants!$B$7, $AE267 ,AQ267))</f>
        <v/>
      </c>
      <c r="BC267" s="70" t="str">
        <f aca="false">IF(ISBLANK($C267),"",IF($AE267&lt;&gt;Constants!$B$7, $AE267 ,AF267))</f>
        <v/>
      </c>
      <c r="BD267" s="71" t="str">
        <f aca="false">IF(ISBLANK(C267),"",AY267)</f>
        <v/>
      </c>
      <c r="BE267" s="71" t="str">
        <f aca="false">IF(ISBLANK(C267),"",AX267)</f>
        <v/>
      </c>
      <c r="BF267" s="72" t="str">
        <f aca="false">IF(ISBLANK(C267),"",IFERROR(_xlfn.SWITCH(BE267, Constants!$B$4, COUNTA($C$8:$C766)+2, Constants!$B$5, COUNTA($C$8:$C766)+1, Constants!$B$6, COUNTA($C$8:$C766)),BE267))</f>
        <v/>
      </c>
      <c r="BG267" s="5"/>
      <c r="BH267" s="73" t="n">
        <f aca="false">IF(OR(ISNUMBER(BE267),BE267="DQ",BE267="P",BE267="NS"),
    1,
    0
)</f>
        <v>0</v>
      </c>
      <c r="BI267" s="73" t="n">
        <v>260</v>
      </c>
      <c r="BJ267" s="73" t="str">
        <f aca="false">IF(ISBLANK($C267),
    "",
   BF267+ROW($B267)/1000
)</f>
        <v/>
      </c>
      <c r="BK267" s="73" t="str">
        <f aca="false">IF(ISNUMBER(BJ267), RANK(BJ267,BJ$8:BJ$507,1), "")</f>
        <v/>
      </c>
      <c r="BL267" s="73" t="str">
        <f aca="false">IF(ISBLANK($C267),
    "",
    $B267
)</f>
        <v/>
      </c>
      <c r="BM267" s="73" t="str">
        <f aca="false">IF(ISBLANK($C267),
    "",
    $C267
)</f>
        <v/>
      </c>
      <c r="BN267" s="73" t="str">
        <f aca="false">IF(ISBLANK($C267),
    "",
    $D267
)</f>
        <v/>
      </c>
      <c r="BO267" s="74" t="str">
        <f aca="false">BC267</f>
        <v/>
      </c>
      <c r="BP267" s="75" t="str">
        <f aca="false">BB267</f>
        <v/>
      </c>
      <c r="BQ267" s="73" t="str">
        <f aca="false">IF(ISBLANK($C267),
    "",
    BE267
)</f>
        <v/>
      </c>
      <c r="BR267" s="76" t="str">
        <f aca="false">IF(BI267&gt;BH$7,
    "",
    VLOOKUP(BI267,BK$8:BQ766,7,FALSE())
)</f>
        <v/>
      </c>
      <c r="BS267" s="77" t="str">
        <f aca="false">IF(BI267&gt;BH$7,
    "",
    VLOOKUP(BI267,BK$8:BQ766,2,FALSE())
)</f>
        <v/>
      </c>
      <c r="BT267" s="77" t="str">
        <f aca="false">IF(BI267&gt;BH$7,
    "",
    VLOOKUP(BI267,BK$8:BQ766,3,FALSE())
)</f>
        <v/>
      </c>
      <c r="BU267" s="77" t="str">
        <f aca="false">IF(BI267&gt;BH$7,
    "",
    VLOOKUP(BI267,BK$8:BQ766,4,FALSE())
)</f>
        <v/>
      </c>
      <c r="BV267" s="77" t="str">
        <f aca="false">IF(BI267&gt;BH$7,
    "",
    VLOOKUP(BI267,BK$8:BQ766,5,FALSE())
)</f>
        <v/>
      </c>
      <c r="BW267" s="78" t="str">
        <f aca="false">IF(BI267&gt;BH$7,
    "",
    VLOOKUP(BI267,BK$8:BQ766,6,FALSE())
)</f>
        <v/>
      </c>
      <c r="BX267" s="50"/>
    </row>
    <row r="268" customFormat="false" ht="15.75" hidden="false" customHeight="false" outlineLevel="0" collapsed="false">
      <c r="A268" s="5"/>
      <c r="B268" s="126"/>
      <c r="C268" s="52"/>
      <c r="D268" s="53"/>
      <c r="E268" s="120"/>
      <c r="F268" s="120"/>
      <c r="G268" s="55"/>
      <c r="H268" s="56"/>
      <c r="I268" s="80"/>
      <c r="J268" s="80"/>
      <c r="K268" s="80"/>
      <c r="L268" s="58"/>
      <c r="M268" s="58"/>
      <c r="N268" s="58"/>
      <c r="O268" s="59"/>
      <c r="P268" s="60"/>
      <c r="Q268" s="80"/>
      <c r="R268" s="62"/>
      <c r="S268" s="63"/>
      <c r="T268" s="63" t="str">
        <f aca="false">IF(ISBLANK($C268),"",IF(G268=Constants!$B$2, TRUE(), IF(G268=Constants!$B$3, FALSE(), TRUE())))</f>
        <v/>
      </c>
      <c r="U268" s="63" t="str">
        <f aca="false">IF(ISBLANK($C268),"",IF(H268=Constants!$B$2, TRUE(), IF(H268=Constants!$B$3, FALSE(), TRUE())))</f>
        <v/>
      </c>
      <c r="V268" s="63" t="str">
        <f aca="false">IF(ISBLANK($C268),"",IF(I268=Constants!$B$2, TRUE(), IF(I268=Constants!$B$3, FALSE(), TRUE())))</f>
        <v/>
      </c>
      <c r="W268" s="63" t="str">
        <f aca="false">IF(ISBLANK($C268),"",IF(J268=Constants!$B$2, TRUE(), IF(J268=Constants!$B$3, FALSE(), TRUE())))</f>
        <v/>
      </c>
      <c r="X268" s="63" t="str">
        <f aca="false">IF(ISBLANK($C268),"",IF(K268=Constants!$B$2, TRUE(), IF(K268=Constants!$B$3, FALSE(), TRUE())))</f>
        <v/>
      </c>
      <c r="Y268" s="65" t="str">
        <f aca="false">IF(ISBLANK($C268),"",IF(ISNUMBER(L268), L268, ""))</f>
        <v/>
      </c>
      <c r="Z268" s="65" t="str">
        <f aca="false">IF(ISBLANK($C268),"",IF(ISNUMBER(M268), M268, ""))</f>
        <v/>
      </c>
      <c r="AA268" s="65" t="str">
        <f aca="false">IF(ISBLANK($C268),"",IF(ISNUMBER(N268), N268, ""))</f>
        <v/>
      </c>
      <c r="AB268" s="66" t="str">
        <f aca="false">IF(ISBLANK($C268),"",IF(ISNUMBER(O268), O268, ""))</f>
        <v/>
      </c>
      <c r="AC268" s="66" t="str">
        <f aca="false">IF(ISBLANK($C268),"",IF(ISNUMBER(P268), P268, Constants!$B$13))</f>
        <v/>
      </c>
      <c r="AD268" s="63" t="str">
        <f aca="false">IF(ISBLANK($C268),"",IF(Q268=Constants!$B$2, TRUE(), IF(Q268=Constants!$B$3, FALSE(), FALSE())))</f>
        <v/>
      </c>
      <c r="AE268" s="63" t="str">
        <f aca="false">IF(ISBLANK(C268), "", IF(AD268, Constants!$B$4,IF(COUNTA(G268:O268)=0, Constants!$B$5, Constants!$B$7)))</f>
        <v/>
      </c>
      <c r="AF268" s="63" t="str">
        <f aca="false">IF(ISBLANK($C268), "",IF($AE268=Constants!$B$7,1,$AE268))</f>
        <v/>
      </c>
      <c r="AG268" s="63" t="str">
        <f aca="false">IF($AE268=Constants!$B$7,IF(V268, 1, Constants!$B$11) * IF(X268, 1, Constants!$B$12),"")</f>
        <v/>
      </c>
      <c r="AH268" s="63" t="str">
        <f aca="false">IF(AND($AE268=Constants!$B$7, T268, U268) ,MAX(0, $AA268-$Y268),"")</f>
        <v/>
      </c>
      <c r="AI268" s="63" t="str">
        <f aca="false">IF(ISERROR(AH268),$AI$6,"")</f>
        <v/>
      </c>
      <c r="AJ268" s="63" t="str">
        <f aca="false">IF($AE268=Constants!$B$7,IF(AND(T268,U268,W268),IF($AH$6=0,Constants!$B$9,Constants!$B$9*AH268/$AH$6), 0),"")</f>
        <v/>
      </c>
      <c r="AK268" s="63" t="str">
        <f aca="false">IF(AJ268&lt;&gt;"", AJ268*AG268,"")</f>
        <v/>
      </c>
      <c r="AL268" s="63" t="str">
        <f aca="false">IF(AND($AE268=Constants!$B$7, T268, U268) ,IF($Z268="", "", MAX(0,1-ABS($AA268-$Z268)/$AA268)),"")</f>
        <v/>
      </c>
      <c r="AM268" s="63" t="str">
        <f aca="false">IF(AND(NOT(ISERROR(AH268)),ISERROR(AL268)),$AM$6,"")</f>
        <v/>
      </c>
      <c r="AN268" s="63" t="str">
        <f aca="false">IF($AE268=Constants!$B$7 ,IF(AND(T268,U268,W268,ISNUMBER(Z268)),IF($AL$6=0,Constants!$B$10,Constants!$B$10*AL268/$AL$6), 0),"")</f>
        <v/>
      </c>
      <c r="AO268" s="63" t="str">
        <f aca="false">IF(AN268&lt;&gt;"", AN268*AG268,"")</f>
        <v/>
      </c>
      <c r="AP268" s="63" t="str">
        <f aca="false">IF($AE268=Constants!$B$7,IF($AP$6=0,Constants!$B$8,Constants!$B$8*AB268/$AP$6),"")</f>
        <v/>
      </c>
      <c r="AQ268" s="63" t="str">
        <f aca="false">IF($AE268&lt;&gt;Constants!$B$7,$AE268,AK268+AO268+AP268)</f>
        <v/>
      </c>
      <c r="AR268" s="63" t="str">
        <f aca="false">IF(ISBLANK($C268),"",IF($AE268=Constants!$B$7,RANK(AQ268,$AQ$8:$AQ$507),$AE268))</f>
        <v/>
      </c>
      <c r="AS268" s="63" t="str">
        <f aca="false">IF(ISBLANK($C268), "",AK268)</f>
        <v/>
      </c>
      <c r="AT268" s="63" t="str">
        <f aca="false">IF(ISBLANK($C268),"",IF($AE268=Constants!$B$7,RANK(AS268,AS$8:AS$507),$AE268))</f>
        <v/>
      </c>
      <c r="AU268" s="63" t="str">
        <f aca="false">IF(ISBLANK($C268), "",AP268)</f>
        <v/>
      </c>
      <c r="AV268" s="63" t="str">
        <f aca="false">IF(ISBLANK($C268),"",IF($AE268=Constants!$B$7,RANK(AU268,AU$8:AU$507),$AE268))</f>
        <v/>
      </c>
      <c r="AW268" s="63" t="str">
        <f aca="false">IF(ISBLANK($C268), "",AC268)</f>
        <v/>
      </c>
      <c r="AX268" s="63" t="str">
        <f aca="false">IF(ISBLANK($C268),"",
IF($AE268=Constants!$B$7,
  COUNTIFS($AR$8:$AR$507,"&lt;"&amp;$AR268)
  + COUNTIFS($AR$8:$AR$507,$AR268,$AT$8:$AT$507,"&lt;"&amp;$AT268)
  + COUNTIFS($AR$8:$AR$507,$AR268,$AT$8:$AT$507,$AT268,$AV$8:$AV$507,"&lt;"&amp;$AV268)
  + COUNTIFS($AR$8:$AR$507,$AR268,$AT$8:$AT$507,$AT268,$AV$8:$AV$507,$AV268,$AW$8:$AW$507,"&lt;"&amp;$AW268)
  + 1,
$AE268))</f>
        <v/>
      </c>
      <c r="AY268" s="63" t="str">
        <f aca="false">IF(ISBLANK(C268),"",IF($AE268=Constants!$B$7, AR268-AX268,$AE268))</f>
        <v/>
      </c>
      <c r="AZ268" s="67"/>
      <c r="BA268" s="81" t="str">
        <f aca="false">IF(ISBLANK($C268),"",TRIM(AI268&amp;" "&amp;AM268))</f>
        <v/>
      </c>
      <c r="BB268" s="69" t="str">
        <f aca="false">IF(ISBLANK($C268),"",IF($AE268&lt;&gt;Constants!$B$7, $AE268 ,AQ268))</f>
        <v/>
      </c>
      <c r="BC268" s="70" t="str">
        <f aca="false">IF(ISBLANK($C268),"",IF($AE268&lt;&gt;Constants!$B$7, $AE268 ,AF268))</f>
        <v/>
      </c>
      <c r="BD268" s="71" t="str">
        <f aca="false">IF(ISBLANK(C268),"",AY268)</f>
        <v/>
      </c>
      <c r="BE268" s="71" t="str">
        <f aca="false">IF(ISBLANK(C268),"",AX268)</f>
        <v/>
      </c>
      <c r="BF268" s="72" t="str">
        <f aca="false">IF(ISBLANK(C268),"",IFERROR(_xlfn.SWITCH(BE268, Constants!$B$4, COUNTA($C$8:$C767)+2, Constants!$B$5, COUNTA($C$8:$C767)+1, Constants!$B$6, COUNTA($C$8:$C767)),BE268))</f>
        <v/>
      </c>
      <c r="BG268" s="5"/>
      <c r="BH268" s="73" t="n">
        <f aca="false">IF(OR(ISNUMBER(BE268),BE268="DQ",BE268="P",BE268="NS"),
    1,
    0
)</f>
        <v>0</v>
      </c>
      <c r="BI268" s="73" t="n">
        <v>261</v>
      </c>
      <c r="BJ268" s="73" t="str">
        <f aca="false">IF(ISBLANK($C268),
    "",
   BF268+ROW($B268)/1000
)</f>
        <v/>
      </c>
      <c r="BK268" s="73" t="str">
        <f aca="false">IF(ISNUMBER(BJ268), RANK(BJ268,BJ$8:BJ$507,1), "")</f>
        <v/>
      </c>
      <c r="BL268" s="73" t="str">
        <f aca="false">IF(ISBLANK($C268),
    "",
    $B268
)</f>
        <v/>
      </c>
      <c r="BM268" s="73" t="str">
        <f aca="false">IF(ISBLANK($C268),
    "",
    $C268
)</f>
        <v/>
      </c>
      <c r="BN268" s="73" t="str">
        <f aca="false">IF(ISBLANK($C268),
    "",
    $D268
)</f>
        <v/>
      </c>
      <c r="BO268" s="74" t="str">
        <f aca="false">BC268</f>
        <v/>
      </c>
      <c r="BP268" s="75" t="str">
        <f aca="false">BB268</f>
        <v/>
      </c>
      <c r="BQ268" s="73" t="str">
        <f aca="false">IF(ISBLANK($C268),
    "",
    BE268
)</f>
        <v/>
      </c>
      <c r="BR268" s="76" t="str">
        <f aca="false">IF(BI268&gt;BH$7,
    "",
    VLOOKUP(BI268,BK$8:BQ767,7,FALSE())
)</f>
        <v/>
      </c>
      <c r="BS268" s="77" t="str">
        <f aca="false">IF(BI268&gt;BH$7,
    "",
    VLOOKUP(BI268,BK$8:BQ767,2,FALSE())
)</f>
        <v/>
      </c>
      <c r="BT268" s="77" t="str">
        <f aca="false">IF(BI268&gt;BH$7,
    "",
    VLOOKUP(BI268,BK$8:BQ767,3,FALSE())
)</f>
        <v/>
      </c>
      <c r="BU268" s="77" t="str">
        <f aca="false">IF(BI268&gt;BH$7,
    "",
    VLOOKUP(BI268,BK$8:BQ767,4,FALSE())
)</f>
        <v/>
      </c>
      <c r="BV268" s="77" t="str">
        <f aca="false">IF(BI268&gt;BH$7,
    "",
    VLOOKUP(BI268,BK$8:BQ767,5,FALSE())
)</f>
        <v/>
      </c>
      <c r="BW268" s="78" t="str">
        <f aca="false">IF(BI268&gt;BH$7,
    "",
    VLOOKUP(BI268,BK$8:BQ767,6,FALSE())
)</f>
        <v/>
      </c>
      <c r="BX268" s="50"/>
    </row>
    <row r="269" customFormat="false" ht="15.75" hidden="false" customHeight="false" outlineLevel="0" collapsed="false">
      <c r="A269" s="5"/>
      <c r="B269" s="122"/>
      <c r="C269" s="123"/>
      <c r="D269" s="112"/>
      <c r="E269" s="116"/>
      <c r="F269" s="116"/>
      <c r="G269" s="88"/>
      <c r="H269" s="89"/>
      <c r="I269" s="125"/>
      <c r="J269" s="125"/>
      <c r="K269" s="125"/>
      <c r="L269" s="91"/>
      <c r="M269" s="91"/>
      <c r="N269" s="91"/>
      <c r="O269" s="92"/>
      <c r="P269" s="93"/>
      <c r="Q269" s="125"/>
      <c r="R269" s="95"/>
      <c r="S269" s="96"/>
      <c r="T269" s="96" t="str">
        <f aca="false">IF(ISBLANK($C269),"",IF(G269=Constants!$B$2, TRUE(), IF(G269=Constants!$B$3, FALSE(), TRUE())))</f>
        <v/>
      </c>
      <c r="U269" s="96" t="str">
        <f aca="false">IF(ISBLANK($C269),"",IF(H269=Constants!$B$2, TRUE(), IF(H269=Constants!$B$3, FALSE(), TRUE())))</f>
        <v/>
      </c>
      <c r="V269" s="96" t="str">
        <f aca="false">IF(ISBLANK($C269),"",IF(I269=Constants!$B$2, TRUE(), IF(I269=Constants!$B$3, FALSE(), TRUE())))</f>
        <v/>
      </c>
      <c r="W269" s="96" t="str">
        <f aca="false">IF(ISBLANK($C269),"",IF(J269=Constants!$B$2, TRUE(), IF(J269=Constants!$B$3, FALSE(), TRUE())))</f>
        <v/>
      </c>
      <c r="X269" s="97" t="str">
        <f aca="false">IF(ISBLANK($C269),"",IF(K269=Constants!$B$2, TRUE(), IF(K269=Constants!$B$3, FALSE(), TRUE())))</f>
        <v/>
      </c>
      <c r="Y269" s="98" t="str">
        <f aca="false">IF(ISBLANK($C269),"",IF(ISNUMBER(L269), L269, ""))</f>
        <v/>
      </c>
      <c r="Z269" s="98" t="str">
        <f aca="false">IF(ISBLANK($C269),"",IF(ISNUMBER(M269), M269, ""))</f>
        <v/>
      </c>
      <c r="AA269" s="98" t="str">
        <f aca="false">IF(ISBLANK($C269),"",IF(ISNUMBER(N269), N269, ""))</f>
        <v/>
      </c>
      <c r="AB269" s="99" t="str">
        <f aca="false">IF(ISBLANK($C269),"",IF(ISNUMBER(O269), O269, ""))</f>
        <v/>
      </c>
      <c r="AC269" s="99" t="str">
        <f aca="false">IF(ISBLANK($C269),"",IF(ISNUMBER(P269), P269, Constants!$B$13))</f>
        <v/>
      </c>
      <c r="AD269" s="96" t="str">
        <f aca="false">IF(ISBLANK($C269),"",IF(Q269=Constants!$B$2, TRUE(), IF(Q269=Constants!$B$3, FALSE(), FALSE())))</f>
        <v/>
      </c>
      <c r="AE269" s="96" t="str">
        <f aca="false">IF(ISBLANK(C269), "", IF(AD269, Constants!$B$4,IF(COUNTA(G269:O269)=0, Constants!$B$5, Constants!$B$7)))</f>
        <v/>
      </c>
      <c r="AF269" s="96" t="str">
        <f aca="false">IF(ISBLANK($C269), "",IF($AE269=Constants!$B$7,1,$AE269))</f>
        <v/>
      </c>
      <c r="AG269" s="96" t="str">
        <f aca="false">IF($AE269=Constants!$B$7,IF(V269, 1, Constants!$B$11) * IF(X269, 1, Constants!$B$12),"")</f>
        <v/>
      </c>
      <c r="AH269" s="96" t="str">
        <f aca="false">IF(AND($AE269=Constants!$B$7, T269, U269) ,MAX(0, $AA269-$Y269),"")</f>
        <v/>
      </c>
      <c r="AI269" s="96" t="str">
        <f aca="false">IF(ISERROR(AH269),$AI$6,"")</f>
        <v/>
      </c>
      <c r="AJ269" s="96" t="str">
        <f aca="false">IF($AE269=Constants!$B$7,IF(AND(T269,U269,W269),IF($AH$6=0,Constants!$B$9,Constants!$B$9*AH269/$AH$6), 0),"")</f>
        <v/>
      </c>
      <c r="AK269" s="96" t="str">
        <f aca="false">IF(AJ269&lt;&gt;"", AJ269*AG269,"")</f>
        <v/>
      </c>
      <c r="AL269" s="96" t="str">
        <f aca="false">IF(AND($AE269=Constants!$B$7, T269, U269) ,IF($Z269="", "", MAX(0,1-ABS($AA269-$Z269)/$AA269)),"")</f>
        <v/>
      </c>
      <c r="AM269" s="96" t="str">
        <f aca="false">IF(AND(NOT(ISERROR(AH269)),ISERROR(AL269)),$AM$6,"")</f>
        <v/>
      </c>
      <c r="AN269" s="96" t="str">
        <f aca="false">IF($AE269=Constants!$B$7 ,IF(AND(T269,U269,W269,ISNUMBER(Z269)),IF($AL$6=0,Constants!$B$10,Constants!$B$10*AL269/$AL$6), 0),"")</f>
        <v/>
      </c>
      <c r="AO269" s="96" t="str">
        <f aca="false">IF(AN269&lt;&gt;"", AN269*AG269,"")</f>
        <v/>
      </c>
      <c r="AP269" s="96" t="str">
        <f aca="false">IF($AE269=Constants!$B$7,IF($AP$6=0,Constants!$B$8,Constants!$B$8*AB269/$AP$6),"")</f>
        <v/>
      </c>
      <c r="AQ269" s="96" t="str">
        <f aca="false">IF($AE269&lt;&gt;Constants!$B$7,$AE269,AK269+AO269+AP269)</f>
        <v/>
      </c>
      <c r="AR269" s="96" t="str">
        <f aca="false">IF(ISBLANK($C269),"",IF($AE269=Constants!$B$7,RANK(AQ269,$AQ$8:$AQ$507),$AE269))</f>
        <v/>
      </c>
      <c r="AS269" s="96" t="str">
        <f aca="false">IF(ISBLANK($C269), "",AK269)</f>
        <v/>
      </c>
      <c r="AT269" s="96" t="str">
        <f aca="false">IF(ISBLANK($C269),"",IF($AE269=Constants!$B$7,RANK(AS269,AS$8:AS$507),$AE269))</f>
        <v/>
      </c>
      <c r="AU269" s="96" t="str">
        <f aca="false">IF(ISBLANK($C269), "",AP269)</f>
        <v/>
      </c>
      <c r="AV269" s="96" t="str">
        <f aca="false">IF(ISBLANK($C269),"",IF($AE269=Constants!$B$7,RANK(AU269,AU$8:AU$507),$AE269))</f>
        <v/>
      </c>
      <c r="AW269" s="96" t="str">
        <f aca="false">IF(ISBLANK($C269), "",AC269)</f>
        <v/>
      </c>
      <c r="AX269" s="96" t="str">
        <f aca="false">IF(ISBLANK($C269),"",
IF($AE269=Constants!$B$7,
  COUNTIFS($AR$8:$AR$507,"&lt;"&amp;$AR269)
  + COUNTIFS($AR$8:$AR$507,$AR269,$AT$8:$AT$507,"&lt;"&amp;$AT269)
  + COUNTIFS($AR$8:$AR$507,$AR269,$AT$8:$AT$507,$AT269,$AV$8:$AV$507,"&lt;"&amp;$AV269)
  + COUNTIFS($AR$8:$AR$507,$AR269,$AT$8:$AT$507,$AT269,$AV$8:$AV$507,$AV269,$AW$8:$AW$507,"&lt;"&amp;$AW269)
  + 1,
$AE269))</f>
        <v/>
      </c>
      <c r="AY269" s="96" t="str">
        <f aca="false">IF(ISBLANK(C269),"",IF($AE269=Constants!$B$7, AR269-AX269,$AE269))</f>
        <v/>
      </c>
      <c r="AZ269" s="100"/>
      <c r="BA269" s="101" t="str">
        <f aca="false">IF(ISBLANK($C269),"",TRIM(AI269&amp;" "&amp;AM269))</f>
        <v/>
      </c>
      <c r="BB269" s="102" t="str">
        <f aca="false">IF(ISBLANK($C269),"",IF($AE269&lt;&gt;Constants!$B$7, $AE269 ,AQ269))</f>
        <v/>
      </c>
      <c r="BC269" s="103" t="str">
        <f aca="false">IF(ISBLANK($C269),"",IF($AE269&lt;&gt;Constants!$B$7, $AE269 ,AF269))</f>
        <v/>
      </c>
      <c r="BD269" s="104" t="str">
        <f aca="false">IF(ISBLANK(C269),"",AY269)</f>
        <v/>
      </c>
      <c r="BE269" s="104" t="str">
        <f aca="false">IF(ISBLANK(C269),"",AX269)</f>
        <v/>
      </c>
      <c r="BF269" s="105" t="str">
        <f aca="false">IF(ISBLANK(C269),"",IFERROR(_xlfn.SWITCH(BE269, Constants!$B$4, COUNTA($C$8:$C768)+2, Constants!$B$5, COUNTA($C$8:$C768)+1, Constants!$B$6, COUNTA($C$8:$C768)),BE269))</f>
        <v/>
      </c>
      <c r="BG269" s="5"/>
      <c r="BH269" s="106" t="n">
        <f aca="false">IF(OR(ISNUMBER(BE269),BE269="DQ",BE269="P",BE269="NS"),
    1,
    0
)</f>
        <v>0</v>
      </c>
      <c r="BI269" s="106" t="n">
        <v>262</v>
      </c>
      <c r="BJ269" s="106" t="str">
        <f aca="false">IF(ISBLANK($C269),
    "",
   BF269+ROW($B269)/1000
)</f>
        <v/>
      </c>
      <c r="BK269" s="106" t="str">
        <f aca="false">IF(ISNUMBER(BJ269), RANK(BJ269,BJ$8:BJ$507,1), "")</f>
        <v/>
      </c>
      <c r="BL269" s="106" t="str">
        <f aca="false">IF(ISBLANK($C269),
    "",
    $B269
)</f>
        <v/>
      </c>
      <c r="BM269" s="106" t="str">
        <f aca="false">IF(ISBLANK($C269),
    "",
    $C269
)</f>
        <v/>
      </c>
      <c r="BN269" s="106" t="str">
        <f aca="false">IF(ISBLANK($C269),
    "",
    $D269
)</f>
        <v/>
      </c>
      <c r="BO269" s="107" t="str">
        <f aca="false">BC269</f>
        <v/>
      </c>
      <c r="BP269" s="108" t="str">
        <f aca="false">BB269</f>
        <v/>
      </c>
      <c r="BQ269" s="106" t="str">
        <f aca="false">IF(ISBLANK($C269),
    "",
    BE269
)</f>
        <v/>
      </c>
      <c r="BR269" s="109" t="str">
        <f aca="false">IF(BI269&gt;BH$7,
    "",
    VLOOKUP(BI269,BK$8:BQ768,7,FALSE())
)</f>
        <v/>
      </c>
      <c r="BS269" s="110" t="str">
        <f aca="false">IF(BI269&gt;BH$7,
    "",
    VLOOKUP(BI269,BK$8:BQ768,2,FALSE())
)</f>
        <v/>
      </c>
      <c r="BT269" s="110" t="str">
        <f aca="false">IF(BI269&gt;BH$7,
    "",
    VLOOKUP(BI269,BK$8:BQ768,3,FALSE())
)</f>
        <v/>
      </c>
      <c r="BU269" s="110" t="str">
        <f aca="false">IF(BI269&gt;BH$7,
    "",
    VLOOKUP(BI269,BK$8:BQ768,4,FALSE())
)</f>
        <v/>
      </c>
      <c r="BV269" s="110" t="str">
        <f aca="false">IF(BI269&gt;BH$7,
    "",
    VLOOKUP(BI269,BK$8:BQ768,5,FALSE())
)</f>
        <v/>
      </c>
      <c r="BW269" s="111" t="str">
        <f aca="false">IF(BI269&gt;BH$7,
    "",
    VLOOKUP(BI269,BK$8:BQ768,6,FALSE())
)</f>
        <v/>
      </c>
      <c r="BX269" s="50"/>
    </row>
    <row r="270" customFormat="false" ht="15.75" hidden="false" customHeight="false" outlineLevel="0" collapsed="false">
      <c r="A270" s="5"/>
      <c r="B270" s="122"/>
      <c r="C270" s="123"/>
      <c r="D270" s="112"/>
      <c r="E270" s="116"/>
      <c r="F270" s="116"/>
      <c r="G270" s="88"/>
      <c r="H270" s="89"/>
      <c r="I270" s="125"/>
      <c r="J270" s="125"/>
      <c r="K270" s="125"/>
      <c r="L270" s="91"/>
      <c r="M270" s="91"/>
      <c r="N270" s="91"/>
      <c r="O270" s="92"/>
      <c r="P270" s="93"/>
      <c r="Q270" s="125"/>
      <c r="R270" s="95"/>
      <c r="S270" s="96"/>
      <c r="T270" s="96" t="str">
        <f aca="false">IF(ISBLANK($C270),"",IF(G270=Constants!$B$2, TRUE(), IF(G270=Constants!$B$3, FALSE(), TRUE())))</f>
        <v/>
      </c>
      <c r="U270" s="96" t="str">
        <f aca="false">IF(ISBLANK($C270),"",IF(H270=Constants!$B$2, TRUE(), IF(H270=Constants!$B$3, FALSE(), TRUE())))</f>
        <v/>
      </c>
      <c r="V270" s="96" t="str">
        <f aca="false">IF(ISBLANK($C270),"",IF(I270=Constants!$B$2, TRUE(), IF(I270=Constants!$B$3, FALSE(), TRUE())))</f>
        <v/>
      </c>
      <c r="W270" s="96" t="str">
        <f aca="false">IF(ISBLANK($C270),"",IF(J270=Constants!$B$2, TRUE(), IF(J270=Constants!$B$3, FALSE(), TRUE())))</f>
        <v/>
      </c>
      <c r="X270" s="97" t="str">
        <f aca="false">IF(ISBLANK($C270),"",IF(K270=Constants!$B$2, TRUE(), IF(K270=Constants!$B$3, FALSE(), TRUE())))</f>
        <v/>
      </c>
      <c r="Y270" s="98" t="str">
        <f aca="false">IF(ISBLANK($C270),"",IF(ISNUMBER(L270), L270, ""))</f>
        <v/>
      </c>
      <c r="Z270" s="98" t="str">
        <f aca="false">IF(ISBLANK($C270),"",IF(ISNUMBER(M270), M270, ""))</f>
        <v/>
      </c>
      <c r="AA270" s="98" t="str">
        <f aca="false">IF(ISBLANK($C270),"",IF(ISNUMBER(N270), N270, ""))</f>
        <v/>
      </c>
      <c r="AB270" s="99" t="str">
        <f aca="false">IF(ISBLANK($C270),"",IF(ISNUMBER(O270), O270, ""))</f>
        <v/>
      </c>
      <c r="AC270" s="99" t="str">
        <f aca="false">IF(ISBLANK($C270),"",IF(ISNUMBER(P270), P270, Constants!$B$13))</f>
        <v/>
      </c>
      <c r="AD270" s="96" t="str">
        <f aca="false">IF(ISBLANK($C270),"",IF(Q270=Constants!$B$2, TRUE(), IF(Q270=Constants!$B$3, FALSE(), FALSE())))</f>
        <v/>
      </c>
      <c r="AE270" s="96" t="str">
        <f aca="false">IF(ISBLANK(C270), "", IF(AD270, Constants!$B$4,IF(COUNTA(G270:O270)=0, Constants!$B$5, Constants!$B$7)))</f>
        <v/>
      </c>
      <c r="AF270" s="96" t="str">
        <f aca="false">IF(ISBLANK($C270), "",IF($AE270=Constants!$B$7,1,$AE270))</f>
        <v/>
      </c>
      <c r="AG270" s="96" t="str">
        <f aca="false">IF($AE270=Constants!$B$7,IF(V270, 1, Constants!$B$11) * IF(X270, 1, Constants!$B$12),"")</f>
        <v/>
      </c>
      <c r="AH270" s="96" t="str">
        <f aca="false">IF(AND($AE270=Constants!$B$7, T270, U270) ,MAX(0, $AA270-$Y270),"")</f>
        <v/>
      </c>
      <c r="AI270" s="96" t="str">
        <f aca="false">IF(ISERROR(AH270),$AI$6,"")</f>
        <v/>
      </c>
      <c r="AJ270" s="96" t="str">
        <f aca="false">IF($AE270=Constants!$B$7,IF(AND(T270,U270,W270),IF($AH$6=0,Constants!$B$9,Constants!$B$9*AH270/$AH$6), 0),"")</f>
        <v/>
      </c>
      <c r="AK270" s="96" t="str">
        <f aca="false">IF(AJ270&lt;&gt;"", AJ270*AG270,"")</f>
        <v/>
      </c>
      <c r="AL270" s="96" t="str">
        <f aca="false">IF(AND($AE270=Constants!$B$7, T270, U270) ,IF($Z270="", "", MAX(0,1-ABS($AA270-$Z270)/$AA270)),"")</f>
        <v/>
      </c>
      <c r="AM270" s="96" t="str">
        <f aca="false">IF(AND(NOT(ISERROR(AH270)),ISERROR(AL270)),$AM$6,"")</f>
        <v/>
      </c>
      <c r="AN270" s="96" t="str">
        <f aca="false">IF($AE270=Constants!$B$7 ,IF(AND(T270,U270,W270,ISNUMBER(Z270)),IF($AL$6=0,Constants!$B$10,Constants!$B$10*AL270/$AL$6), 0),"")</f>
        <v/>
      </c>
      <c r="AO270" s="96" t="str">
        <f aca="false">IF(AN270&lt;&gt;"", AN270*AG270,"")</f>
        <v/>
      </c>
      <c r="AP270" s="96" t="str">
        <f aca="false">IF($AE270=Constants!$B$7,IF($AP$6=0,Constants!$B$8,Constants!$B$8*AB270/$AP$6),"")</f>
        <v/>
      </c>
      <c r="AQ270" s="96" t="str">
        <f aca="false">IF($AE270&lt;&gt;Constants!$B$7,$AE270,AK270+AO270+AP270)</f>
        <v/>
      </c>
      <c r="AR270" s="96" t="str">
        <f aca="false">IF(ISBLANK($C270),"",IF($AE270=Constants!$B$7,RANK(AQ270,$AQ$8:$AQ$507),$AE270))</f>
        <v/>
      </c>
      <c r="AS270" s="96" t="str">
        <f aca="false">IF(ISBLANK($C270), "",AK270)</f>
        <v/>
      </c>
      <c r="AT270" s="96" t="str">
        <f aca="false">IF(ISBLANK($C270),"",IF($AE270=Constants!$B$7,RANK(AS270,AS$8:AS$507),$AE270))</f>
        <v/>
      </c>
      <c r="AU270" s="96" t="str">
        <f aca="false">IF(ISBLANK($C270), "",AP270)</f>
        <v/>
      </c>
      <c r="AV270" s="96" t="str">
        <f aca="false">IF(ISBLANK($C270),"",IF($AE270=Constants!$B$7,RANK(AU270,AU$8:AU$507),$AE270))</f>
        <v/>
      </c>
      <c r="AW270" s="96" t="str">
        <f aca="false">IF(ISBLANK($C270), "",AC270)</f>
        <v/>
      </c>
      <c r="AX270" s="96" t="str">
        <f aca="false">IF(ISBLANK($C270),"",
IF($AE270=Constants!$B$7,
  COUNTIFS($AR$8:$AR$507,"&lt;"&amp;$AR270)
  + COUNTIFS($AR$8:$AR$507,$AR270,$AT$8:$AT$507,"&lt;"&amp;$AT270)
  + COUNTIFS($AR$8:$AR$507,$AR270,$AT$8:$AT$507,$AT270,$AV$8:$AV$507,"&lt;"&amp;$AV270)
  + COUNTIFS($AR$8:$AR$507,$AR270,$AT$8:$AT$507,$AT270,$AV$8:$AV$507,$AV270,$AW$8:$AW$507,"&lt;"&amp;$AW270)
  + 1,
$AE270))</f>
        <v/>
      </c>
      <c r="AY270" s="96" t="str">
        <f aca="false">IF(ISBLANK(C270),"",IF($AE270=Constants!$B$7, AR270-AX270,$AE270))</f>
        <v/>
      </c>
      <c r="AZ270" s="100"/>
      <c r="BA270" s="101" t="str">
        <f aca="false">IF(ISBLANK($C270),"",TRIM(AI270&amp;" "&amp;AM270))</f>
        <v/>
      </c>
      <c r="BB270" s="102" t="str">
        <f aca="false">IF(ISBLANK($C270),"",IF($AE270&lt;&gt;Constants!$B$7, $AE270 ,AQ270))</f>
        <v/>
      </c>
      <c r="BC270" s="103" t="str">
        <f aca="false">IF(ISBLANK($C270),"",IF($AE270&lt;&gt;Constants!$B$7, $AE270 ,AF270))</f>
        <v/>
      </c>
      <c r="BD270" s="104" t="str">
        <f aca="false">IF(ISBLANK(C270),"",AY270)</f>
        <v/>
      </c>
      <c r="BE270" s="104" t="str">
        <f aca="false">IF(ISBLANK(C270),"",AX270)</f>
        <v/>
      </c>
      <c r="BF270" s="105" t="str">
        <f aca="false">IF(ISBLANK(C270),"",IFERROR(_xlfn.SWITCH(BE270, Constants!$B$4, COUNTA($C$8:$C769)+2, Constants!$B$5, COUNTA($C$8:$C769)+1, Constants!$B$6, COUNTA($C$8:$C769)),BE270))</f>
        <v/>
      </c>
      <c r="BG270" s="5"/>
      <c r="BH270" s="106" t="n">
        <f aca="false">IF(OR(ISNUMBER(BE270),BE270="DQ",BE270="P",BE270="NS"),
    1,
    0
)</f>
        <v>0</v>
      </c>
      <c r="BI270" s="106" t="n">
        <v>263</v>
      </c>
      <c r="BJ270" s="106" t="str">
        <f aca="false">IF(ISBLANK($C270),
    "",
   BF270+ROW($B270)/1000
)</f>
        <v/>
      </c>
      <c r="BK270" s="106" t="str">
        <f aca="false">IF(ISNUMBER(BJ270), RANK(BJ270,BJ$8:BJ$507,1), "")</f>
        <v/>
      </c>
      <c r="BL270" s="106" t="str">
        <f aca="false">IF(ISBLANK($C270),
    "",
    $B270
)</f>
        <v/>
      </c>
      <c r="BM270" s="106" t="str">
        <f aca="false">IF(ISBLANK($C270),
    "",
    $C270
)</f>
        <v/>
      </c>
      <c r="BN270" s="106" t="str">
        <f aca="false">IF(ISBLANK($C270),
    "",
    $D270
)</f>
        <v/>
      </c>
      <c r="BO270" s="107" t="str">
        <f aca="false">BC270</f>
        <v/>
      </c>
      <c r="BP270" s="108" t="str">
        <f aca="false">BB270</f>
        <v/>
      </c>
      <c r="BQ270" s="106" t="str">
        <f aca="false">IF(ISBLANK($C270),
    "",
    BE270
)</f>
        <v/>
      </c>
      <c r="BR270" s="109" t="str">
        <f aca="false">IF(BI270&gt;BH$7,
    "",
    VLOOKUP(BI270,BK$8:BQ769,7,FALSE())
)</f>
        <v/>
      </c>
      <c r="BS270" s="110" t="str">
        <f aca="false">IF(BI270&gt;BH$7,
    "",
    VLOOKUP(BI270,BK$8:BQ769,2,FALSE())
)</f>
        <v/>
      </c>
      <c r="BT270" s="110" t="str">
        <f aca="false">IF(BI270&gt;BH$7,
    "",
    VLOOKUP(BI270,BK$8:BQ769,3,FALSE())
)</f>
        <v/>
      </c>
      <c r="BU270" s="110" t="str">
        <f aca="false">IF(BI270&gt;BH$7,
    "",
    VLOOKUP(BI270,BK$8:BQ769,4,FALSE())
)</f>
        <v/>
      </c>
      <c r="BV270" s="110" t="str">
        <f aca="false">IF(BI270&gt;BH$7,
    "",
    VLOOKUP(BI270,BK$8:BQ769,5,FALSE())
)</f>
        <v/>
      </c>
      <c r="BW270" s="111" t="str">
        <f aca="false">IF(BI270&gt;BH$7,
    "",
    VLOOKUP(BI270,BK$8:BQ769,6,FALSE())
)</f>
        <v/>
      </c>
      <c r="BX270" s="50"/>
    </row>
    <row r="271" customFormat="false" ht="15.75" hidden="false" customHeight="false" outlineLevel="0" collapsed="false">
      <c r="A271" s="5"/>
      <c r="B271" s="122"/>
      <c r="C271" s="123"/>
      <c r="D271" s="112"/>
      <c r="E271" s="116"/>
      <c r="F271" s="116"/>
      <c r="G271" s="88"/>
      <c r="H271" s="89"/>
      <c r="I271" s="125"/>
      <c r="J271" s="125"/>
      <c r="K271" s="125"/>
      <c r="L271" s="91"/>
      <c r="M271" s="91"/>
      <c r="N271" s="91"/>
      <c r="O271" s="92"/>
      <c r="P271" s="93"/>
      <c r="Q271" s="125"/>
      <c r="R271" s="95"/>
      <c r="S271" s="96"/>
      <c r="T271" s="96" t="str">
        <f aca="false">IF(ISBLANK($C271),"",IF(G271=Constants!$B$2, TRUE(), IF(G271=Constants!$B$3, FALSE(), TRUE())))</f>
        <v/>
      </c>
      <c r="U271" s="96" t="str">
        <f aca="false">IF(ISBLANK($C271),"",IF(H271=Constants!$B$2, TRUE(), IF(H271=Constants!$B$3, FALSE(), TRUE())))</f>
        <v/>
      </c>
      <c r="V271" s="96" t="str">
        <f aca="false">IF(ISBLANK($C271),"",IF(I271=Constants!$B$2, TRUE(), IF(I271=Constants!$B$3, FALSE(), TRUE())))</f>
        <v/>
      </c>
      <c r="W271" s="96" t="str">
        <f aca="false">IF(ISBLANK($C271),"",IF(J271=Constants!$B$2, TRUE(), IF(J271=Constants!$B$3, FALSE(), TRUE())))</f>
        <v/>
      </c>
      <c r="X271" s="97" t="str">
        <f aca="false">IF(ISBLANK($C271),"",IF(K271=Constants!$B$2, TRUE(), IF(K271=Constants!$B$3, FALSE(), TRUE())))</f>
        <v/>
      </c>
      <c r="Y271" s="98" t="str">
        <f aca="false">IF(ISBLANK($C271),"",IF(ISNUMBER(L271), L271, ""))</f>
        <v/>
      </c>
      <c r="Z271" s="98" t="str">
        <f aca="false">IF(ISBLANK($C271),"",IF(ISNUMBER(M271), M271, ""))</f>
        <v/>
      </c>
      <c r="AA271" s="98" t="str">
        <f aca="false">IF(ISBLANK($C271),"",IF(ISNUMBER(N271), N271, ""))</f>
        <v/>
      </c>
      <c r="AB271" s="99" t="str">
        <f aca="false">IF(ISBLANK($C271),"",IF(ISNUMBER(O271), O271, ""))</f>
        <v/>
      </c>
      <c r="AC271" s="99" t="str">
        <f aca="false">IF(ISBLANK($C271),"",IF(ISNUMBER(P271), P271, Constants!$B$13))</f>
        <v/>
      </c>
      <c r="AD271" s="96" t="str">
        <f aca="false">IF(ISBLANK($C271),"",IF(Q271=Constants!$B$2, TRUE(), IF(Q271=Constants!$B$3, FALSE(), FALSE())))</f>
        <v/>
      </c>
      <c r="AE271" s="96" t="str">
        <f aca="false">IF(ISBLANK(C271), "", IF(AD271, Constants!$B$4,IF(COUNTA(G271:O271)=0, Constants!$B$5, Constants!$B$7)))</f>
        <v/>
      </c>
      <c r="AF271" s="96" t="str">
        <f aca="false">IF(ISBLANK($C271), "",IF($AE271=Constants!$B$7,1,$AE271))</f>
        <v/>
      </c>
      <c r="AG271" s="96" t="str">
        <f aca="false">IF($AE271=Constants!$B$7,IF(V271, 1, Constants!$B$11) * IF(X271, 1, Constants!$B$12),"")</f>
        <v/>
      </c>
      <c r="AH271" s="96" t="str">
        <f aca="false">IF(AND($AE271=Constants!$B$7, T271, U271) ,MAX(0, $AA271-$Y271),"")</f>
        <v/>
      </c>
      <c r="AI271" s="96" t="str">
        <f aca="false">IF(ISERROR(AH271),$AI$6,"")</f>
        <v/>
      </c>
      <c r="AJ271" s="96" t="str">
        <f aca="false">IF($AE271=Constants!$B$7,IF(AND(T271,U271,W271),IF($AH$6=0,Constants!$B$9,Constants!$B$9*AH271/$AH$6), 0),"")</f>
        <v/>
      </c>
      <c r="AK271" s="96" t="str">
        <f aca="false">IF(AJ271&lt;&gt;"", AJ271*AG271,"")</f>
        <v/>
      </c>
      <c r="AL271" s="96" t="str">
        <f aca="false">IF(AND($AE271=Constants!$B$7, T271, U271) ,IF($Z271="", "", MAX(0,1-ABS($AA271-$Z271)/$AA271)),"")</f>
        <v/>
      </c>
      <c r="AM271" s="96" t="str">
        <f aca="false">IF(AND(NOT(ISERROR(AH271)),ISERROR(AL271)),$AM$6,"")</f>
        <v/>
      </c>
      <c r="AN271" s="96" t="str">
        <f aca="false">IF($AE271=Constants!$B$7 ,IF(AND(T271,U271,W271,ISNUMBER(Z271)),IF($AL$6=0,Constants!$B$10,Constants!$B$10*AL271/$AL$6), 0),"")</f>
        <v/>
      </c>
      <c r="AO271" s="96" t="str">
        <f aca="false">IF(AN271&lt;&gt;"", AN271*AG271,"")</f>
        <v/>
      </c>
      <c r="AP271" s="96" t="str">
        <f aca="false">IF($AE271=Constants!$B$7,IF($AP$6=0,Constants!$B$8,Constants!$B$8*AB271/$AP$6),"")</f>
        <v/>
      </c>
      <c r="AQ271" s="96" t="str">
        <f aca="false">IF($AE271&lt;&gt;Constants!$B$7,$AE271,AK271+AO271+AP271)</f>
        <v/>
      </c>
      <c r="AR271" s="96" t="str">
        <f aca="false">IF(ISBLANK($C271),"",IF($AE271=Constants!$B$7,RANK(AQ271,$AQ$8:$AQ$507),$AE271))</f>
        <v/>
      </c>
      <c r="AS271" s="96" t="str">
        <f aca="false">IF(ISBLANK($C271), "",AK271)</f>
        <v/>
      </c>
      <c r="AT271" s="96" t="str">
        <f aca="false">IF(ISBLANK($C271),"",IF($AE271=Constants!$B$7,RANK(AS271,AS$8:AS$507),$AE271))</f>
        <v/>
      </c>
      <c r="AU271" s="96" t="str">
        <f aca="false">IF(ISBLANK($C271), "",AP271)</f>
        <v/>
      </c>
      <c r="AV271" s="96" t="str">
        <f aca="false">IF(ISBLANK($C271),"",IF($AE271=Constants!$B$7,RANK(AU271,AU$8:AU$507),$AE271))</f>
        <v/>
      </c>
      <c r="AW271" s="96" t="str">
        <f aca="false">IF(ISBLANK($C271), "",AC271)</f>
        <v/>
      </c>
      <c r="AX271" s="96" t="str">
        <f aca="false">IF(ISBLANK($C271),"",
IF($AE271=Constants!$B$7,
  COUNTIFS($AR$8:$AR$507,"&lt;"&amp;$AR271)
  + COUNTIFS($AR$8:$AR$507,$AR271,$AT$8:$AT$507,"&lt;"&amp;$AT271)
  + COUNTIFS($AR$8:$AR$507,$AR271,$AT$8:$AT$507,$AT271,$AV$8:$AV$507,"&lt;"&amp;$AV271)
  + COUNTIFS($AR$8:$AR$507,$AR271,$AT$8:$AT$507,$AT271,$AV$8:$AV$507,$AV271,$AW$8:$AW$507,"&lt;"&amp;$AW271)
  + 1,
$AE271))</f>
        <v/>
      </c>
      <c r="AY271" s="96" t="str">
        <f aca="false">IF(ISBLANK(C271),"",IF($AE271=Constants!$B$7, AR271-AX271,$AE271))</f>
        <v/>
      </c>
      <c r="AZ271" s="100"/>
      <c r="BA271" s="101" t="str">
        <f aca="false">IF(ISBLANK($C271),"",TRIM(AI271&amp;" "&amp;AM271))</f>
        <v/>
      </c>
      <c r="BB271" s="102" t="str">
        <f aca="false">IF(ISBLANK($C271),"",IF($AE271&lt;&gt;Constants!$B$7, $AE271 ,AQ271))</f>
        <v/>
      </c>
      <c r="BC271" s="103" t="str">
        <f aca="false">IF(ISBLANK($C271),"",IF($AE271&lt;&gt;Constants!$B$7, $AE271 ,AF271))</f>
        <v/>
      </c>
      <c r="BD271" s="104" t="str">
        <f aca="false">IF(ISBLANK(C271),"",AY271)</f>
        <v/>
      </c>
      <c r="BE271" s="104" t="str">
        <f aca="false">IF(ISBLANK(C271),"",AX271)</f>
        <v/>
      </c>
      <c r="BF271" s="105" t="str">
        <f aca="false">IF(ISBLANK(C271),"",IFERROR(_xlfn.SWITCH(BE271, Constants!$B$4, COUNTA($C$8:$C770)+2, Constants!$B$5, COUNTA($C$8:$C770)+1, Constants!$B$6, COUNTA($C$8:$C770)),BE271))</f>
        <v/>
      </c>
      <c r="BG271" s="5"/>
      <c r="BH271" s="106" t="n">
        <f aca="false">IF(OR(ISNUMBER(BE271),BE271="DQ",BE271="P",BE271="NS"),
    1,
    0
)</f>
        <v>0</v>
      </c>
      <c r="BI271" s="106" t="n">
        <v>264</v>
      </c>
      <c r="BJ271" s="106" t="str">
        <f aca="false">IF(ISBLANK($C271),
    "",
   BF271+ROW($B271)/1000
)</f>
        <v/>
      </c>
      <c r="BK271" s="106" t="str">
        <f aca="false">IF(ISNUMBER(BJ271), RANK(BJ271,BJ$8:BJ$507,1), "")</f>
        <v/>
      </c>
      <c r="BL271" s="106" t="str">
        <f aca="false">IF(ISBLANK($C271),
    "",
    $B271
)</f>
        <v/>
      </c>
      <c r="BM271" s="106" t="str">
        <f aca="false">IF(ISBLANK($C271),
    "",
    $C271
)</f>
        <v/>
      </c>
      <c r="BN271" s="106" t="str">
        <f aca="false">IF(ISBLANK($C271),
    "",
    $D271
)</f>
        <v/>
      </c>
      <c r="BO271" s="107" t="str">
        <f aca="false">BC271</f>
        <v/>
      </c>
      <c r="BP271" s="108" t="str">
        <f aca="false">BB271</f>
        <v/>
      </c>
      <c r="BQ271" s="106" t="str">
        <f aca="false">IF(ISBLANK($C271),
    "",
    BE271
)</f>
        <v/>
      </c>
      <c r="BR271" s="109" t="str">
        <f aca="false">IF(BI271&gt;BH$7,
    "",
    VLOOKUP(BI271,BK$8:BQ770,7,FALSE())
)</f>
        <v/>
      </c>
      <c r="BS271" s="110" t="str">
        <f aca="false">IF(BI271&gt;BH$7,
    "",
    VLOOKUP(BI271,BK$8:BQ770,2,FALSE())
)</f>
        <v/>
      </c>
      <c r="BT271" s="110" t="str">
        <f aca="false">IF(BI271&gt;BH$7,
    "",
    VLOOKUP(BI271,BK$8:BQ770,3,FALSE())
)</f>
        <v/>
      </c>
      <c r="BU271" s="110" t="str">
        <f aca="false">IF(BI271&gt;BH$7,
    "",
    VLOOKUP(BI271,BK$8:BQ770,4,FALSE())
)</f>
        <v/>
      </c>
      <c r="BV271" s="110" t="str">
        <f aca="false">IF(BI271&gt;BH$7,
    "",
    VLOOKUP(BI271,BK$8:BQ770,5,FALSE())
)</f>
        <v/>
      </c>
      <c r="BW271" s="111" t="str">
        <f aca="false">IF(BI271&gt;BH$7,
    "",
    VLOOKUP(BI271,BK$8:BQ770,6,FALSE())
)</f>
        <v/>
      </c>
      <c r="BX271" s="50"/>
    </row>
    <row r="272" customFormat="false" ht="15.75" hidden="false" customHeight="false" outlineLevel="0" collapsed="false">
      <c r="A272" s="5"/>
      <c r="B272" s="126"/>
      <c r="C272" s="52"/>
      <c r="D272" s="53"/>
      <c r="E272" s="120"/>
      <c r="F272" s="120"/>
      <c r="G272" s="55"/>
      <c r="H272" s="56"/>
      <c r="I272" s="80"/>
      <c r="J272" s="80"/>
      <c r="K272" s="80"/>
      <c r="L272" s="58"/>
      <c r="M272" s="58"/>
      <c r="N272" s="58"/>
      <c r="O272" s="59"/>
      <c r="P272" s="60"/>
      <c r="Q272" s="80"/>
      <c r="R272" s="62"/>
      <c r="S272" s="63"/>
      <c r="T272" s="63" t="str">
        <f aca="false">IF(ISBLANK($C272),"",IF(G272=Constants!$B$2, TRUE(), IF(G272=Constants!$B$3, FALSE(), TRUE())))</f>
        <v/>
      </c>
      <c r="U272" s="63" t="str">
        <f aca="false">IF(ISBLANK($C272),"",IF(H272=Constants!$B$2, TRUE(), IF(H272=Constants!$B$3, FALSE(), TRUE())))</f>
        <v/>
      </c>
      <c r="V272" s="63" t="str">
        <f aca="false">IF(ISBLANK($C272),"",IF(I272=Constants!$B$2, TRUE(), IF(I272=Constants!$B$3, FALSE(), TRUE())))</f>
        <v/>
      </c>
      <c r="W272" s="63" t="str">
        <f aca="false">IF(ISBLANK($C272),"",IF(J272=Constants!$B$2, TRUE(), IF(J272=Constants!$B$3, FALSE(), TRUE())))</f>
        <v/>
      </c>
      <c r="X272" s="63" t="str">
        <f aca="false">IF(ISBLANK($C272),"",IF(K272=Constants!$B$2, TRUE(), IF(K272=Constants!$B$3, FALSE(), TRUE())))</f>
        <v/>
      </c>
      <c r="Y272" s="65" t="str">
        <f aca="false">IF(ISBLANK($C272),"",IF(ISNUMBER(L272), L272, ""))</f>
        <v/>
      </c>
      <c r="Z272" s="65" t="str">
        <f aca="false">IF(ISBLANK($C272),"",IF(ISNUMBER(M272), M272, ""))</f>
        <v/>
      </c>
      <c r="AA272" s="65" t="str">
        <f aca="false">IF(ISBLANK($C272),"",IF(ISNUMBER(N272), N272, ""))</f>
        <v/>
      </c>
      <c r="AB272" s="66" t="str">
        <f aca="false">IF(ISBLANK($C272),"",IF(ISNUMBER(O272), O272, ""))</f>
        <v/>
      </c>
      <c r="AC272" s="66" t="str">
        <f aca="false">IF(ISBLANK($C272),"",IF(ISNUMBER(P272), P272, Constants!$B$13))</f>
        <v/>
      </c>
      <c r="AD272" s="63" t="str">
        <f aca="false">IF(ISBLANK($C272),"",IF(Q272=Constants!$B$2, TRUE(), IF(Q272=Constants!$B$3, FALSE(), FALSE())))</f>
        <v/>
      </c>
      <c r="AE272" s="63" t="str">
        <f aca="false">IF(ISBLANK(C272), "", IF(AD272, Constants!$B$4,IF(COUNTA(G272:O272)=0, Constants!$B$5, Constants!$B$7)))</f>
        <v/>
      </c>
      <c r="AF272" s="63" t="str">
        <f aca="false">IF(ISBLANK($C272), "",IF($AE272=Constants!$B$7,1,$AE272))</f>
        <v/>
      </c>
      <c r="AG272" s="63" t="str">
        <f aca="false">IF($AE272=Constants!$B$7,IF(V272, 1, Constants!$B$11) * IF(X272, 1, Constants!$B$12),"")</f>
        <v/>
      </c>
      <c r="AH272" s="63" t="str">
        <f aca="false">IF(AND($AE272=Constants!$B$7, T272, U272) ,MAX(0, $AA272-$Y272),"")</f>
        <v/>
      </c>
      <c r="AI272" s="63" t="str">
        <f aca="false">IF(ISERROR(AH272),$AI$6,"")</f>
        <v/>
      </c>
      <c r="AJ272" s="63" t="str">
        <f aca="false">IF($AE272=Constants!$B$7,IF(AND(T272,U272,W272),IF($AH$6=0,Constants!$B$9,Constants!$B$9*AH272/$AH$6), 0),"")</f>
        <v/>
      </c>
      <c r="AK272" s="63" t="str">
        <f aca="false">IF(AJ272&lt;&gt;"", AJ272*AG272,"")</f>
        <v/>
      </c>
      <c r="AL272" s="63" t="str">
        <f aca="false">IF(AND($AE272=Constants!$B$7, T272, U272) ,IF($Z272="", "", MAX(0,1-ABS($AA272-$Z272)/$AA272)),"")</f>
        <v/>
      </c>
      <c r="AM272" s="63" t="str">
        <f aca="false">IF(AND(NOT(ISERROR(AH272)),ISERROR(AL272)),$AM$6,"")</f>
        <v/>
      </c>
      <c r="AN272" s="63" t="str">
        <f aca="false">IF($AE272=Constants!$B$7 ,IF(AND(T272,U272,W272,ISNUMBER(Z272)),IF($AL$6=0,Constants!$B$10,Constants!$B$10*AL272/$AL$6), 0),"")</f>
        <v/>
      </c>
      <c r="AO272" s="63" t="str">
        <f aca="false">IF(AN272&lt;&gt;"", AN272*AG272,"")</f>
        <v/>
      </c>
      <c r="AP272" s="63" t="str">
        <f aca="false">IF($AE272=Constants!$B$7,IF($AP$6=0,Constants!$B$8,Constants!$B$8*AB272/$AP$6),"")</f>
        <v/>
      </c>
      <c r="AQ272" s="63" t="str">
        <f aca="false">IF($AE272&lt;&gt;Constants!$B$7,$AE272,AK272+AO272+AP272)</f>
        <v/>
      </c>
      <c r="AR272" s="63" t="str">
        <f aca="false">IF(ISBLANK($C272),"",IF($AE272=Constants!$B$7,RANK(AQ272,$AQ$8:$AQ$507),$AE272))</f>
        <v/>
      </c>
      <c r="AS272" s="63" t="str">
        <f aca="false">IF(ISBLANK($C272), "",AK272)</f>
        <v/>
      </c>
      <c r="AT272" s="63" t="str">
        <f aca="false">IF(ISBLANK($C272),"",IF($AE272=Constants!$B$7,RANK(AS272,AS$8:AS$507),$AE272))</f>
        <v/>
      </c>
      <c r="AU272" s="63" t="str">
        <f aca="false">IF(ISBLANK($C272), "",AP272)</f>
        <v/>
      </c>
      <c r="AV272" s="63" t="str">
        <f aca="false">IF(ISBLANK($C272),"",IF($AE272=Constants!$B$7,RANK(AU272,AU$8:AU$507),$AE272))</f>
        <v/>
      </c>
      <c r="AW272" s="63" t="str">
        <f aca="false">IF(ISBLANK($C272), "",AC272)</f>
        <v/>
      </c>
      <c r="AX272" s="63" t="str">
        <f aca="false">IF(ISBLANK($C272),"",
IF($AE272=Constants!$B$7,
  COUNTIFS($AR$8:$AR$507,"&lt;"&amp;$AR272)
  + COUNTIFS($AR$8:$AR$507,$AR272,$AT$8:$AT$507,"&lt;"&amp;$AT272)
  + COUNTIFS($AR$8:$AR$507,$AR272,$AT$8:$AT$507,$AT272,$AV$8:$AV$507,"&lt;"&amp;$AV272)
  + COUNTIFS($AR$8:$AR$507,$AR272,$AT$8:$AT$507,$AT272,$AV$8:$AV$507,$AV272,$AW$8:$AW$507,"&lt;"&amp;$AW272)
  + 1,
$AE272))</f>
        <v/>
      </c>
      <c r="AY272" s="63" t="str">
        <f aca="false">IF(ISBLANK(C272),"",IF($AE272=Constants!$B$7, AR272-AX272,$AE272))</f>
        <v/>
      </c>
      <c r="AZ272" s="67"/>
      <c r="BA272" s="81" t="str">
        <f aca="false">IF(ISBLANK($C272),"",TRIM(AI272&amp;" "&amp;AM272))</f>
        <v/>
      </c>
      <c r="BB272" s="69" t="str">
        <f aca="false">IF(ISBLANK($C272),"",IF($AE272&lt;&gt;Constants!$B$7, $AE272 ,AQ272))</f>
        <v/>
      </c>
      <c r="BC272" s="70" t="str">
        <f aca="false">IF(ISBLANK($C272),"",IF($AE272&lt;&gt;Constants!$B$7, $AE272 ,AF272))</f>
        <v/>
      </c>
      <c r="BD272" s="71" t="str">
        <f aca="false">IF(ISBLANK(C272),"",AY272)</f>
        <v/>
      </c>
      <c r="BE272" s="71" t="str">
        <f aca="false">IF(ISBLANK(C272),"",AX272)</f>
        <v/>
      </c>
      <c r="BF272" s="72" t="str">
        <f aca="false">IF(ISBLANK(C272),"",IFERROR(_xlfn.SWITCH(BE272, Constants!$B$4, COUNTA($C$8:$C771)+2, Constants!$B$5, COUNTA($C$8:$C771)+1, Constants!$B$6, COUNTA($C$8:$C771)),BE272))</f>
        <v/>
      </c>
      <c r="BG272" s="5"/>
      <c r="BH272" s="73" t="n">
        <f aca="false">IF(OR(ISNUMBER(BE272),BE272="DQ",BE272="P",BE272="NS"),
    1,
    0
)</f>
        <v>0</v>
      </c>
      <c r="BI272" s="73" t="n">
        <v>265</v>
      </c>
      <c r="BJ272" s="73" t="str">
        <f aca="false">IF(ISBLANK($C272),
    "",
   BF272+ROW($B272)/1000
)</f>
        <v/>
      </c>
      <c r="BK272" s="73" t="str">
        <f aca="false">IF(ISNUMBER(BJ272), RANK(BJ272,BJ$8:BJ$507,1), "")</f>
        <v/>
      </c>
      <c r="BL272" s="73" t="str">
        <f aca="false">IF(ISBLANK($C272),
    "",
    $B272
)</f>
        <v/>
      </c>
      <c r="BM272" s="73" t="str">
        <f aca="false">IF(ISBLANK($C272),
    "",
    $C272
)</f>
        <v/>
      </c>
      <c r="BN272" s="73" t="str">
        <f aca="false">IF(ISBLANK($C272),
    "",
    $D272
)</f>
        <v/>
      </c>
      <c r="BO272" s="74" t="str">
        <f aca="false">BC272</f>
        <v/>
      </c>
      <c r="BP272" s="75" t="str">
        <f aca="false">BB272</f>
        <v/>
      </c>
      <c r="BQ272" s="73" t="str">
        <f aca="false">IF(ISBLANK($C272),
    "",
    BE272
)</f>
        <v/>
      </c>
      <c r="BR272" s="76" t="str">
        <f aca="false">IF(BI272&gt;BH$7,
    "",
    VLOOKUP(BI272,BK$8:BQ771,7,FALSE())
)</f>
        <v/>
      </c>
      <c r="BS272" s="77" t="str">
        <f aca="false">IF(BI272&gt;BH$7,
    "",
    VLOOKUP(BI272,BK$8:BQ771,2,FALSE())
)</f>
        <v/>
      </c>
      <c r="BT272" s="77" t="str">
        <f aca="false">IF(BI272&gt;BH$7,
    "",
    VLOOKUP(BI272,BK$8:BQ771,3,FALSE())
)</f>
        <v/>
      </c>
      <c r="BU272" s="77" t="str">
        <f aca="false">IF(BI272&gt;BH$7,
    "",
    VLOOKUP(BI272,BK$8:BQ771,4,FALSE())
)</f>
        <v/>
      </c>
      <c r="BV272" s="77" t="str">
        <f aca="false">IF(BI272&gt;BH$7,
    "",
    VLOOKUP(BI272,BK$8:BQ771,5,FALSE())
)</f>
        <v/>
      </c>
      <c r="BW272" s="78" t="str">
        <f aca="false">IF(BI272&gt;BH$7,
    "",
    VLOOKUP(BI272,BK$8:BQ771,6,FALSE())
)</f>
        <v/>
      </c>
      <c r="BX272" s="50"/>
    </row>
    <row r="273" customFormat="false" ht="15.75" hidden="false" customHeight="false" outlineLevel="0" collapsed="false">
      <c r="A273" s="5"/>
      <c r="B273" s="126"/>
      <c r="C273" s="52"/>
      <c r="D273" s="53"/>
      <c r="E273" s="120"/>
      <c r="F273" s="120"/>
      <c r="G273" s="55"/>
      <c r="H273" s="56"/>
      <c r="I273" s="80"/>
      <c r="J273" s="80"/>
      <c r="K273" s="80"/>
      <c r="L273" s="58"/>
      <c r="M273" s="58"/>
      <c r="N273" s="58"/>
      <c r="O273" s="59"/>
      <c r="P273" s="60"/>
      <c r="Q273" s="80"/>
      <c r="R273" s="62"/>
      <c r="S273" s="63"/>
      <c r="T273" s="63" t="str">
        <f aca="false">IF(ISBLANK($C273),"",IF(G273=Constants!$B$2, TRUE(), IF(G273=Constants!$B$3, FALSE(), TRUE())))</f>
        <v/>
      </c>
      <c r="U273" s="63" t="str">
        <f aca="false">IF(ISBLANK($C273),"",IF(H273=Constants!$B$2, TRUE(), IF(H273=Constants!$B$3, FALSE(), TRUE())))</f>
        <v/>
      </c>
      <c r="V273" s="63" t="str">
        <f aca="false">IF(ISBLANK($C273),"",IF(I273=Constants!$B$2, TRUE(), IF(I273=Constants!$B$3, FALSE(), TRUE())))</f>
        <v/>
      </c>
      <c r="W273" s="63" t="str">
        <f aca="false">IF(ISBLANK($C273),"",IF(J273=Constants!$B$2, TRUE(), IF(J273=Constants!$B$3, FALSE(), TRUE())))</f>
        <v/>
      </c>
      <c r="X273" s="63" t="str">
        <f aca="false">IF(ISBLANK($C273),"",IF(K273=Constants!$B$2, TRUE(), IF(K273=Constants!$B$3, FALSE(), TRUE())))</f>
        <v/>
      </c>
      <c r="Y273" s="65" t="str">
        <f aca="false">IF(ISBLANK($C273),"",IF(ISNUMBER(L273), L273, ""))</f>
        <v/>
      </c>
      <c r="Z273" s="65" t="str">
        <f aca="false">IF(ISBLANK($C273),"",IF(ISNUMBER(M273), M273, ""))</f>
        <v/>
      </c>
      <c r="AA273" s="65" t="str">
        <f aca="false">IF(ISBLANK($C273),"",IF(ISNUMBER(N273), N273, ""))</f>
        <v/>
      </c>
      <c r="AB273" s="66" t="str">
        <f aca="false">IF(ISBLANK($C273),"",IF(ISNUMBER(O273), O273, ""))</f>
        <v/>
      </c>
      <c r="AC273" s="66" t="str">
        <f aca="false">IF(ISBLANK($C273),"",IF(ISNUMBER(P273), P273, Constants!$B$13))</f>
        <v/>
      </c>
      <c r="AD273" s="63" t="str">
        <f aca="false">IF(ISBLANK($C273),"",IF(Q273=Constants!$B$2, TRUE(), IF(Q273=Constants!$B$3, FALSE(), FALSE())))</f>
        <v/>
      </c>
      <c r="AE273" s="63" t="str">
        <f aca="false">IF(ISBLANK(C273), "", IF(AD273, Constants!$B$4,IF(COUNTA(G273:O273)=0, Constants!$B$5, Constants!$B$7)))</f>
        <v/>
      </c>
      <c r="AF273" s="63" t="str">
        <f aca="false">IF(ISBLANK($C273), "",IF($AE273=Constants!$B$7,1,$AE273))</f>
        <v/>
      </c>
      <c r="AG273" s="63" t="str">
        <f aca="false">IF($AE273=Constants!$B$7,IF(V273, 1, Constants!$B$11) * IF(X273, 1, Constants!$B$12),"")</f>
        <v/>
      </c>
      <c r="AH273" s="63" t="str">
        <f aca="false">IF(AND($AE273=Constants!$B$7, T273, U273) ,MAX(0, $AA273-$Y273),"")</f>
        <v/>
      </c>
      <c r="AI273" s="63" t="str">
        <f aca="false">IF(ISERROR(AH273),$AI$6,"")</f>
        <v/>
      </c>
      <c r="AJ273" s="63" t="str">
        <f aca="false">IF($AE273=Constants!$B$7,IF(AND(T273,U273,W273),IF($AH$6=0,Constants!$B$9,Constants!$B$9*AH273/$AH$6), 0),"")</f>
        <v/>
      </c>
      <c r="AK273" s="63" t="str">
        <f aca="false">IF(AJ273&lt;&gt;"", AJ273*AG273,"")</f>
        <v/>
      </c>
      <c r="AL273" s="63" t="str">
        <f aca="false">IF(AND($AE273=Constants!$B$7, T273, U273) ,IF($Z273="", "", MAX(0,1-ABS($AA273-$Z273)/$AA273)),"")</f>
        <v/>
      </c>
      <c r="AM273" s="63" t="str">
        <f aca="false">IF(AND(NOT(ISERROR(AH273)),ISERROR(AL273)),$AM$6,"")</f>
        <v/>
      </c>
      <c r="AN273" s="63" t="str">
        <f aca="false">IF($AE273=Constants!$B$7 ,IF(AND(T273,U273,W273,ISNUMBER(Z273)),IF($AL$6=0,Constants!$B$10,Constants!$B$10*AL273/$AL$6), 0),"")</f>
        <v/>
      </c>
      <c r="AO273" s="63" t="str">
        <f aca="false">IF(AN273&lt;&gt;"", AN273*AG273,"")</f>
        <v/>
      </c>
      <c r="AP273" s="63" t="str">
        <f aca="false">IF($AE273=Constants!$B$7,IF($AP$6=0,Constants!$B$8,Constants!$B$8*AB273/$AP$6),"")</f>
        <v/>
      </c>
      <c r="AQ273" s="63" t="str">
        <f aca="false">IF($AE273&lt;&gt;Constants!$B$7,$AE273,AK273+AO273+AP273)</f>
        <v/>
      </c>
      <c r="AR273" s="63" t="str">
        <f aca="false">IF(ISBLANK($C273),"",IF($AE273=Constants!$B$7,RANK(AQ273,$AQ$8:$AQ$507),$AE273))</f>
        <v/>
      </c>
      <c r="AS273" s="63" t="str">
        <f aca="false">IF(ISBLANK($C273), "",AK273)</f>
        <v/>
      </c>
      <c r="AT273" s="63" t="str">
        <f aca="false">IF(ISBLANK($C273),"",IF($AE273=Constants!$B$7,RANK(AS273,AS$8:AS$507),$AE273))</f>
        <v/>
      </c>
      <c r="AU273" s="63" t="str">
        <f aca="false">IF(ISBLANK($C273), "",AP273)</f>
        <v/>
      </c>
      <c r="AV273" s="63" t="str">
        <f aca="false">IF(ISBLANK($C273),"",IF($AE273=Constants!$B$7,RANK(AU273,AU$8:AU$507),$AE273))</f>
        <v/>
      </c>
      <c r="AW273" s="63" t="str">
        <f aca="false">IF(ISBLANK($C273), "",AC273)</f>
        <v/>
      </c>
      <c r="AX273" s="63" t="str">
        <f aca="false">IF(ISBLANK($C273),"",
IF($AE273=Constants!$B$7,
  COUNTIFS($AR$8:$AR$507,"&lt;"&amp;$AR273)
  + COUNTIFS($AR$8:$AR$507,$AR273,$AT$8:$AT$507,"&lt;"&amp;$AT273)
  + COUNTIFS($AR$8:$AR$507,$AR273,$AT$8:$AT$507,$AT273,$AV$8:$AV$507,"&lt;"&amp;$AV273)
  + COUNTIFS($AR$8:$AR$507,$AR273,$AT$8:$AT$507,$AT273,$AV$8:$AV$507,$AV273,$AW$8:$AW$507,"&lt;"&amp;$AW273)
  + 1,
$AE273))</f>
        <v/>
      </c>
      <c r="AY273" s="63" t="str">
        <f aca="false">IF(ISBLANK(C273),"",IF($AE273=Constants!$B$7, AR273-AX273,$AE273))</f>
        <v/>
      </c>
      <c r="AZ273" s="67"/>
      <c r="BA273" s="81" t="str">
        <f aca="false">IF(ISBLANK($C273),"",TRIM(AI273&amp;" "&amp;AM273))</f>
        <v/>
      </c>
      <c r="BB273" s="69" t="str">
        <f aca="false">IF(ISBLANK($C273),"",IF($AE273&lt;&gt;Constants!$B$7, $AE273 ,AQ273))</f>
        <v/>
      </c>
      <c r="BC273" s="70" t="str">
        <f aca="false">IF(ISBLANK($C273),"",IF($AE273&lt;&gt;Constants!$B$7, $AE273 ,AF273))</f>
        <v/>
      </c>
      <c r="BD273" s="71" t="str">
        <f aca="false">IF(ISBLANK(C273),"",AY273)</f>
        <v/>
      </c>
      <c r="BE273" s="71" t="str">
        <f aca="false">IF(ISBLANK(C273),"",AX273)</f>
        <v/>
      </c>
      <c r="BF273" s="72" t="str">
        <f aca="false">IF(ISBLANK(C273),"",IFERROR(_xlfn.SWITCH(BE273, Constants!$B$4, COUNTA($C$8:$C772)+2, Constants!$B$5, COUNTA($C$8:$C772)+1, Constants!$B$6, COUNTA($C$8:$C772)),BE273))</f>
        <v/>
      </c>
      <c r="BG273" s="5"/>
      <c r="BH273" s="73" t="n">
        <f aca="false">IF(OR(ISNUMBER(BE273),BE273="DQ",BE273="P",BE273="NS"),
    1,
    0
)</f>
        <v>0</v>
      </c>
      <c r="BI273" s="73" t="n">
        <v>266</v>
      </c>
      <c r="BJ273" s="73" t="str">
        <f aca="false">IF(ISBLANK($C273),
    "",
   BF273+ROW($B273)/1000
)</f>
        <v/>
      </c>
      <c r="BK273" s="73" t="str">
        <f aca="false">IF(ISNUMBER(BJ273), RANK(BJ273,BJ$8:BJ$507,1), "")</f>
        <v/>
      </c>
      <c r="BL273" s="73" t="str">
        <f aca="false">IF(ISBLANK($C273),
    "",
    $B273
)</f>
        <v/>
      </c>
      <c r="BM273" s="73" t="str">
        <f aca="false">IF(ISBLANK($C273),
    "",
    $C273
)</f>
        <v/>
      </c>
      <c r="BN273" s="73" t="str">
        <f aca="false">IF(ISBLANK($C273),
    "",
    $D273
)</f>
        <v/>
      </c>
      <c r="BO273" s="74" t="str">
        <f aca="false">BC273</f>
        <v/>
      </c>
      <c r="BP273" s="75" t="str">
        <f aca="false">BB273</f>
        <v/>
      </c>
      <c r="BQ273" s="73" t="str">
        <f aca="false">IF(ISBLANK($C273),
    "",
    BE273
)</f>
        <v/>
      </c>
      <c r="BR273" s="76" t="str">
        <f aca="false">IF(BI273&gt;BH$7,
    "",
    VLOOKUP(BI273,BK$8:BQ772,7,FALSE())
)</f>
        <v/>
      </c>
      <c r="BS273" s="77" t="str">
        <f aca="false">IF(BI273&gt;BH$7,
    "",
    VLOOKUP(BI273,BK$8:BQ772,2,FALSE())
)</f>
        <v/>
      </c>
      <c r="BT273" s="77" t="str">
        <f aca="false">IF(BI273&gt;BH$7,
    "",
    VLOOKUP(BI273,BK$8:BQ772,3,FALSE())
)</f>
        <v/>
      </c>
      <c r="BU273" s="77" t="str">
        <f aca="false">IF(BI273&gt;BH$7,
    "",
    VLOOKUP(BI273,BK$8:BQ772,4,FALSE())
)</f>
        <v/>
      </c>
      <c r="BV273" s="77" t="str">
        <f aca="false">IF(BI273&gt;BH$7,
    "",
    VLOOKUP(BI273,BK$8:BQ772,5,FALSE())
)</f>
        <v/>
      </c>
      <c r="BW273" s="78" t="str">
        <f aca="false">IF(BI273&gt;BH$7,
    "",
    VLOOKUP(BI273,BK$8:BQ772,6,FALSE())
)</f>
        <v/>
      </c>
      <c r="BX273" s="50"/>
    </row>
    <row r="274" customFormat="false" ht="15.75" hidden="false" customHeight="false" outlineLevel="0" collapsed="false">
      <c r="A274" s="5"/>
      <c r="B274" s="126"/>
      <c r="C274" s="52"/>
      <c r="D274" s="53"/>
      <c r="E274" s="120"/>
      <c r="F274" s="120"/>
      <c r="G274" s="55"/>
      <c r="H274" s="56"/>
      <c r="I274" s="80"/>
      <c r="J274" s="80"/>
      <c r="K274" s="80"/>
      <c r="L274" s="58"/>
      <c r="M274" s="58"/>
      <c r="N274" s="58"/>
      <c r="O274" s="59"/>
      <c r="P274" s="60"/>
      <c r="Q274" s="80"/>
      <c r="R274" s="62"/>
      <c r="S274" s="63"/>
      <c r="T274" s="63" t="str">
        <f aca="false">IF(ISBLANK($C274),"",IF(G274=Constants!$B$2, TRUE(), IF(G274=Constants!$B$3, FALSE(), TRUE())))</f>
        <v/>
      </c>
      <c r="U274" s="63" t="str">
        <f aca="false">IF(ISBLANK($C274),"",IF(H274=Constants!$B$2, TRUE(), IF(H274=Constants!$B$3, FALSE(), TRUE())))</f>
        <v/>
      </c>
      <c r="V274" s="63" t="str">
        <f aca="false">IF(ISBLANK($C274),"",IF(I274=Constants!$B$2, TRUE(), IF(I274=Constants!$B$3, FALSE(), TRUE())))</f>
        <v/>
      </c>
      <c r="W274" s="63" t="str">
        <f aca="false">IF(ISBLANK($C274),"",IF(J274=Constants!$B$2, TRUE(), IF(J274=Constants!$B$3, FALSE(), TRUE())))</f>
        <v/>
      </c>
      <c r="X274" s="63" t="str">
        <f aca="false">IF(ISBLANK($C274),"",IF(K274=Constants!$B$2, TRUE(), IF(K274=Constants!$B$3, FALSE(), TRUE())))</f>
        <v/>
      </c>
      <c r="Y274" s="65" t="str">
        <f aca="false">IF(ISBLANK($C274),"",IF(ISNUMBER(L274), L274, ""))</f>
        <v/>
      </c>
      <c r="Z274" s="65" t="str">
        <f aca="false">IF(ISBLANK($C274),"",IF(ISNUMBER(M274), M274, ""))</f>
        <v/>
      </c>
      <c r="AA274" s="65" t="str">
        <f aca="false">IF(ISBLANK($C274),"",IF(ISNUMBER(N274), N274, ""))</f>
        <v/>
      </c>
      <c r="AB274" s="66" t="str">
        <f aca="false">IF(ISBLANK($C274),"",IF(ISNUMBER(O274), O274, ""))</f>
        <v/>
      </c>
      <c r="AC274" s="66" t="str">
        <f aca="false">IF(ISBLANK($C274),"",IF(ISNUMBER(P274), P274, Constants!$B$13))</f>
        <v/>
      </c>
      <c r="AD274" s="63" t="str">
        <f aca="false">IF(ISBLANK($C274),"",IF(Q274=Constants!$B$2, TRUE(), IF(Q274=Constants!$B$3, FALSE(), FALSE())))</f>
        <v/>
      </c>
      <c r="AE274" s="63" t="str">
        <f aca="false">IF(ISBLANK(C274), "", IF(AD274, Constants!$B$4,IF(COUNTA(G274:O274)=0, Constants!$B$5, Constants!$B$7)))</f>
        <v/>
      </c>
      <c r="AF274" s="63" t="str">
        <f aca="false">IF(ISBLANK($C274), "",IF($AE274=Constants!$B$7,1,$AE274))</f>
        <v/>
      </c>
      <c r="AG274" s="63" t="str">
        <f aca="false">IF($AE274=Constants!$B$7,IF(V274, 1, Constants!$B$11) * IF(X274, 1, Constants!$B$12),"")</f>
        <v/>
      </c>
      <c r="AH274" s="63" t="str">
        <f aca="false">IF(AND($AE274=Constants!$B$7, T274, U274) ,MAX(0, $AA274-$Y274),"")</f>
        <v/>
      </c>
      <c r="AI274" s="63" t="str">
        <f aca="false">IF(ISERROR(AH274),$AI$6,"")</f>
        <v/>
      </c>
      <c r="AJ274" s="63" t="str">
        <f aca="false">IF($AE274=Constants!$B$7,IF(AND(T274,U274,W274),IF($AH$6=0,Constants!$B$9,Constants!$B$9*AH274/$AH$6), 0),"")</f>
        <v/>
      </c>
      <c r="AK274" s="63" t="str">
        <f aca="false">IF(AJ274&lt;&gt;"", AJ274*AG274,"")</f>
        <v/>
      </c>
      <c r="AL274" s="63" t="str">
        <f aca="false">IF(AND($AE274=Constants!$B$7, T274, U274) ,IF($Z274="", "", MAX(0,1-ABS($AA274-$Z274)/$AA274)),"")</f>
        <v/>
      </c>
      <c r="AM274" s="63" t="str">
        <f aca="false">IF(AND(NOT(ISERROR(AH274)),ISERROR(AL274)),$AM$6,"")</f>
        <v/>
      </c>
      <c r="AN274" s="63" t="str">
        <f aca="false">IF($AE274=Constants!$B$7 ,IF(AND(T274,U274,W274,ISNUMBER(Z274)),IF($AL$6=0,Constants!$B$10,Constants!$B$10*AL274/$AL$6), 0),"")</f>
        <v/>
      </c>
      <c r="AO274" s="63" t="str">
        <f aca="false">IF(AN274&lt;&gt;"", AN274*AG274,"")</f>
        <v/>
      </c>
      <c r="AP274" s="63" t="str">
        <f aca="false">IF($AE274=Constants!$B$7,IF($AP$6=0,Constants!$B$8,Constants!$B$8*AB274/$AP$6),"")</f>
        <v/>
      </c>
      <c r="AQ274" s="63" t="str">
        <f aca="false">IF($AE274&lt;&gt;Constants!$B$7,$AE274,AK274+AO274+AP274)</f>
        <v/>
      </c>
      <c r="AR274" s="63" t="str">
        <f aca="false">IF(ISBLANK($C274),"",IF($AE274=Constants!$B$7,RANK(AQ274,$AQ$8:$AQ$507),$AE274))</f>
        <v/>
      </c>
      <c r="AS274" s="63" t="str">
        <f aca="false">IF(ISBLANK($C274), "",AK274)</f>
        <v/>
      </c>
      <c r="AT274" s="63" t="str">
        <f aca="false">IF(ISBLANK($C274),"",IF($AE274=Constants!$B$7,RANK(AS274,AS$8:AS$507),$AE274))</f>
        <v/>
      </c>
      <c r="AU274" s="63" t="str">
        <f aca="false">IF(ISBLANK($C274), "",AP274)</f>
        <v/>
      </c>
      <c r="AV274" s="63" t="str">
        <f aca="false">IF(ISBLANK($C274),"",IF($AE274=Constants!$B$7,RANK(AU274,AU$8:AU$507),$AE274))</f>
        <v/>
      </c>
      <c r="AW274" s="63" t="str">
        <f aca="false">IF(ISBLANK($C274), "",AC274)</f>
        <v/>
      </c>
      <c r="AX274" s="63" t="str">
        <f aca="false">IF(ISBLANK($C274),"",
IF($AE274=Constants!$B$7,
  COUNTIFS($AR$8:$AR$507,"&lt;"&amp;$AR274)
  + COUNTIFS($AR$8:$AR$507,$AR274,$AT$8:$AT$507,"&lt;"&amp;$AT274)
  + COUNTIFS($AR$8:$AR$507,$AR274,$AT$8:$AT$507,$AT274,$AV$8:$AV$507,"&lt;"&amp;$AV274)
  + COUNTIFS($AR$8:$AR$507,$AR274,$AT$8:$AT$507,$AT274,$AV$8:$AV$507,$AV274,$AW$8:$AW$507,"&lt;"&amp;$AW274)
  + 1,
$AE274))</f>
        <v/>
      </c>
      <c r="AY274" s="63" t="str">
        <f aca="false">IF(ISBLANK(C274),"",IF($AE274=Constants!$B$7, AR274-AX274,$AE274))</f>
        <v/>
      </c>
      <c r="AZ274" s="67"/>
      <c r="BA274" s="81" t="str">
        <f aca="false">IF(ISBLANK($C274),"",TRIM(AI274&amp;" "&amp;AM274))</f>
        <v/>
      </c>
      <c r="BB274" s="69" t="str">
        <f aca="false">IF(ISBLANK($C274),"",IF($AE274&lt;&gt;Constants!$B$7, $AE274 ,AQ274))</f>
        <v/>
      </c>
      <c r="BC274" s="70" t="str">
        <f aca="false">IF(ISBLANK($C274),"",IF($AE274&lt;&gt;Constants!$B$7, $AE274 ,AF274))</f>
        <v/>
      </c>
      <c r="BD274" s="71" t="str">
        <f aca="false">IF(ISBLANK(C274),"",AY274)</f>
        <v/>
      </c>
      <c r="BE274" s="71" t="str">
        <f aca="false">IF(ISBLANK(C274),"",AX274)</f>
        <v/>
      </c>
      <c r="BF274" s="72" t="str">
        <f aca="false">IF(ISBLANK(C274),"",IFERROR(_xlfn.SWITCH(BE274, Constants!$B$4, COUNTA($C$8:$C773)+2, Constants!$B$5, COUNTA($C$8:$C773)+1, Constants!$B$6, COUNTA($C$8:$C773)),BE274))</f>
        <v/>
      </c>
      <c r="BG274" s="5"/>
      <c r="BH274" s="73" t="n">
        <f aca="false">IF(OR(ISNUMBER(BE274),BE274="DQ",BE274="P",BE274="NS"),
    1,
    0
)</f>
        <v>0</v>
      </c>
      <c r="BI274" s="73" t="n">
        <v>267</v>
      </c>
      <c r="BJ274" s="73" t="str">
        <f aca="false">IF(ISBLANK($C274),
    "",
   BF274+ROW($B274)/1000
)</f>
        <v/>
      </c>
      <c r="BK274" s="73" t="str">
        <f aca="false">IF(ISNUMBER(BJ274), RANK(BJ274,BJ$8:BJ$507,1), "")</f>
        <v/>
      </c>
      <c r="BL274" s="73" t="str">
        <f aca="false">IF(ISBLANK($C274),
    "",
    $B274
)</f>
        <v/>
      </c>
      <c r="BM274" s="73" t="str">
        <f aca="false">IF(ISBLANK($C274),
    "",
    $C274
)</f>
        <v/>
      </c>
      <c r="BN274" s="73" t="str">
        <f aca="false">IF(ISBLANK($C274),
    "",
    $D274
)</f>
        <v/>
      </c>
      <c r="BO274" s="74" t="str">
        <f aca="false">BC274</f>
        <v/>
      </c>
      <c r="BP274" s="75" t="str">
        <f aca="false">BB274</f>
        <v/>
      </c>
      <c r="BQ274" s="73" t="str">
        <f aca="false">IF(ISBLANK($C274),
    "",
    BE274
)</f>
        <v/>
      </c>
      <c r="BR274" s="76" t="str">
        <f aca="false">IF(BI274&gt;BH$7,
    "",
    VLOOKUP(BI274,BK$8:BQ773,7,FALSE())
)</f>
        <v/>
      </c>
      <c r="BS274" s="77" t="str">
        <f aca="false">IF(BI274&gt;BH$7,
    "",
    VLOOKUP(BI274,BK$8:BQ773,2,FALSE())
)</f>
        <v/>
      </c>
      <c r="BT274" s="77" t="str">
        <f aca="false">IF(BI274&gt;BH$7,
    "",
    VLOOKUP(BI274,BK$8:BQ773,3,FALSE())
)</f>
        <v/>
      </c>
      <c r="BU274" s="77" t="str">
        <f aca="false">IF(BI274&gt;BH$7,
    "",
    VLOOKUP(BI274,BK$8:BQ773,4,FALSE())
)</f>
        <v/>
      </c>
      <c r="BV274" s="77" t="str">
        <f aca="false">IF(BI274&gt;BH$7,
    "",
    VLOOKUP(BI274,BK$8:BQ773,5,FALSE())
)</f>
        <v/>
      </c>
      <c r="BW274" s="78" t="str">
        <f aca="false">IF(BI274&gt;BH$7,
    "",
    VLOOKUP(BI274,BK$8:BQ773,6,FALSE())
)</f>
        <v/>
      </c>
      <c r="BX274" s="50"/>
    </row>
    <row r="275" customFormat="false" ht="15.75" hidden="false" customHeight="false" outlineLevel="0" collapsed="false">
      <c r="A275" s="5"/>
      <c r="B275" s="122"/>
      <c r="C275" s="123"/>
      <c r="D275" s="112"/>
      <c r="E275" s="116"/>
      <c r="F275" s="116"/>
      <c r="G275" s="88"/>
      <c r="H275" s="89"/>
      <c r="I275" s="125"/>
      <c r="J275" s="125"/>
      <c r="K275" s="125"/>
      <c r="L275" s="91"/>
      <c r="M275" s="91"/>
      <c r="N275" s="91"/>
      <c r="O275" s="92"/>
      <c r="P275" s="93"/>
      <c r="Q275" s="125"/>
      <c r="R275" s="95"/>
      <c r="S275" s="96"/>
      <c r="T275" s="96" t="str">
        <f aca="false">IF(ISBLANK($C275),"",IF(G275=Constants!$B$2, TRUE(), IF(G275=Constants!$B$3, FALSE(), TRUE())))</f>
        <v/>
      </c>
      <c r="U275" s="96" t="str">
        <f aca="false">IF(ISBLANK($C275),"",IF(H275=Constants!$B$2, TRUE(), IF(H275=Constants!$B$3, FALSE(), TRUE())))</f>
        <v/>
      </c>
      <c r="V275" s="96" t="str">
        <f aca="false">IF(ISBLANK($C275),"",IF(I275=Constants!$B$2, TRUE(), IF(I275=Constants!$B$3, FALSE(), TRUE())))</f>
        <v/>
      </c>
      <c r="W275" s="96" t="str">
        <f aca="false">IF(ISBLANK($C275),"",IF(J275=Constants!$B$2, TRUE(), IF(J275=Constants!$B$3, FALSE(), TRUE())))</f>
        <v/>
      </c>
      <c r="X275" s="97" t="str">
        <f aca="false">IF(ISBLANK($C275),"",IF(K275=Constants!$B$2, TRUE(), IF(K275=Constants!$B$3, FALSE(), TRUE())))</f>
        <v/>
      </c>
      <c r="Y275" s="98" t="str">
        <f aca="false">IF(ISBLANK($C275),"",IF(ISNUMBER(L275), L275, ""))</f>
        <v/>
      </c>
      <c r="Z275" s="98" t="str">
        <f aca="false">IF(ISBLANK($C275),"",IF(ISNUMBER(M275), M275, ""))</f>
        <v/>
      </c>
      <c r="AA275" s="98" t="str">
        <f aca="false">IF(ISBLANK($C275),"",IF(ISNUMBER(N275), N275, ""))</f>
        <v/>
      </c>
      <c r="AB275" s="99" t="str">
        <f aca="false">IF(ISBLANK($C275),"",IF(ISNUMBER(O275), O275, ""))</f>
        <v/>
      </c>
      <c r="AC275" s="99" t="str">
        <f aca="false">IF(ISBLANK($C275),"",IF(ISNUMBER(P275), P275, Constants!$B$13))</f>
        <v/>
      </c>
      <c r="AD275" s="96" t="str">
        <f aca="false">IF(ISBLANK($C275),"",IF(Q275=Constants!$B$2, TRUE(), IF(Q275=Constants!$B$3, FALSE(), FALSE())))</f>
        <v/>
      </c>
      <c r="AE275" s="96" t="str">
        <f aca="false">IF(ISBLANK(C275), "", IF(AD275, Constants!$B$4,IF(COUNTA(G275:O275)=0, Constants!$B$5, Constants!$B$7)))</f>
        <v/>
      </c>
      <c r="AF275" s="96" t="str">
        <f aca="false">IF(ISBLANK($C275), "",IF($AE275=Constants!$B$7,1,$AE275))</f>
        <v/>
      </c>
      <c r="AG275" s="96" t="str">
        <f aca="false">IF($AE275=Constants!$B$7,IF(V275, 1, Constants!$B$11) * IF(X275, 1, Constants!$B$12),"")</f>
        <v/>
      </c>
      <c r="AH275" s="96" t="str">
        <f aca="false">IF(AND($AE275=Constants!$B$7, T275, U275) ,MAX(0, $AA275-$Y275),"")</f>
        <v/>
      </c>
      <c r="AI275" s="96" t="str">
        <f aca="false">IF(ISERROR(AH275),$AI$6,"")</f>
        <v/>
      </c>
      <c r="AJ275" s="96" t="str">
        <f aca="false">IF($AE275=Constants!$B$7,IF(AND(T275,U275,W275),IF($AH$6=0,Constants!$B$9,Constants!$B$9*AH275/$AH$6), 0),"")</f>
        <v/>
      </c>
      <c r="AK275" s="96" t="str">
        <f aca="false">IF(AJ275&lt;&gt;"", AJ275*AG275,"")</f>
        <v/>
      </c>
      <c r="AL275" s="96" t="str">
        <f aca="false">IF(AND($AE275=Constants!$B$7, T275, U275) ,IF($Z275="", "", MAX(0,1-ABS($AA275-$Z275)/$AA275)),"")</f>
        <v/>
      </c>
      <c r="AM275" s="96" t="str">
        <f aca="false">IF(AND(NOT(ISERROR(AH275)),ISERROR(AL275)),$AM$6,"")</f>
        <v/>
      </c>
      <c r="AN275" s="96" t="str">
        <f aca="false">IF($AE275=Constants!$B$7 ,IF(AND(T275,U275,W275,ISNUMBER(Z275)),IF($AL$6=0,Constants!$B$10,Constants!$B$10*AL275/$AL$6), 0),"")</f>
        <v/>
      </c>
      <c r="AO275" s="96" t="str">
        <f aca="false">IF(AN275&lt;&gt;"", AN275*AG275,"")</f>
        <v/>
      </c>
      <c r="AP275" s="96" t="str">
        <f aca="false">IF($AE275=Constants!$B$7,IF($AP$6=0,Constants!$B$8,Constants!$B$8*AB275/$AP$6),"")</f>
        <v/>
      </c>
      <c r="AQ275" s="96" t="str">
        <f aca="false">IF($AE275&lt;&gt;Constants!$B$7,$AE275,AK275+AO275+AP275)</f>
        <v/>
      </c>
      <c r="AR275" s="96" t="str">
        <f aca="false">IF(ISBLANK($C275),"",IF($AE275=Constants!$B$7,RANK(AQ275,$AQ$8:$AQ$507),$AE275))</f>
        <v/>
      </c>
      <c r="AS275" s="96" t="str">
        <f aca="false">IF(ISBLANK($C275), "",AK275)</f>
        <v/>
      </c>
      <c r="AT275" s="96" t="str">
        <f aca="false">IF(ISBLANK($C275),"",IF($AE275=Constants!$B$7,RANK(AS275,AS$8:AS$507),$AE275))</f>
        <v/>
      </c>
      <c r="AU275" s="96" t="str">
        <f aca="false">IF(ISBLANK($C275), "",AP275)</f>
        <v/>
      </c>
      <c r="AV275" s="96" t="str">
        <f aca="false">IF(ISBLANK($C275),"",IF($AE275=Constants!$B$7,RANK(AU275,AU$8:AU$507),$AE275))</f>
        <v/>
      </c>
      <c r="AW275" s="96" t="str">
        <f aca="false">IF(ISBLANK($C275), "",AC275)</f>
        <v/>
      </c>
      <c r="AX275" s="96" t="str">
        <f aca="false">IF(ISBLANK($C275),"",
IF($AE275=Constants!$B$7,
  COUNTIFS($AR$8:$AR$507,"&lt;"&amp;$AR275)
  + COUNTIFS($AR$8:$AR$507,$AR275,$AT$8:$AT$507,"&lt;"&amp;$AT275)
  + COUNTIFS($AR$8:$AR$507,$AR275,$AT$8:$AT$507,$AT275,$AV$8:$AV$507,"&lt;"&amp;$AV275)
  + COUNTIFS($AR$8:$AR$507,$AR275,$AT$8:$AT$507,$AT275,$AV$8:$AV$507,$AV275,$AW$8:$AW$507,"&lt;"&amp;$AW275)
  + 1,
$AE275))</f>
        <v/>
      </c>
      <c r="AY275" s="96" t="str">
        <f aca="false">IF(ISBLANK(C275),"",IF($AE275=Constants!$B$7, AR275-AX275,$AE275))</f>
        <v/>
      </c>
      <c r="AZ275" s="100"/>
      <c r="BA275" s="101" t="str">
        <f aca="false">IF(ISBLANK($C275),"",TRIM(AI275&amp;" "&amp;AM275))</f>
        <v/>
      </c>
      <c r="BB275" s="102" t="str">
        <f aca="false">IF(ISBLANK($C275),"",IF($AE275&lt;&gt;Constants!$B$7, $AE275 ,AQ275))</f>
        <v/>
      </c>
      <c r="BC275" s="103" t="str">
        <f aca="false">IF(ISBLANK($C275),"",IF($AE275&lt;&gt;Constants!$B$7, $AE275 ,AF275))</f>
        <v/>
      </c>
      <c r="BD275" s="104" t="str">
        <f aca="false">IF(ISBLANK(C275),"",AY275)</f>
        <v/>
      </c>
      <c r="BE275" s="104" t="str">
        <f aca="false">IF(ISBLANK(C275),"",AX275)</f>
        <v/>
      </c>
      <c r="BF275" s="105" t="str">
        <f aca="false">IF(ISBLANK(C275),"",IFERROR(_xlfn.SWITCH(BE275, Constants!$B$4, COUNTA($C$8:$C774)+2, Constants!$B$5, COUNTA($C$8:$C774)+1, Constants!$B$6, COUNTA($C$8:$C774)),BE275))</f>
        <v/>
      </c>
      <c r="BG275" s="5"/>
      <c r="BH275" s="106" t="n">
        <f aca="false">IF(OR(ISNUMBER(BE275),BE275="DQ",BE275="P",BE275="NS"),
    1,
    0
)</f>
        <v>0</v>
      </c>
      <c r="BI275" s="106" t="n">
        <v>268</v>
      </c>
      <c r="BJ275" s="106" t="str">
        <f aca="false">IF(ISBLANK($C275),
    "",
   BF275+ROW($B275)/1000
)</f>
        <v/>
      </c>
      <c r="BK275" s="106" t="str">
        <f aca="false">IF(ISNUMBER(BJ275), RANK(BJ275,BJ$8:BJ$507,1), "")</f>
        <v/>
      </c>
      <c r="BL275" s="106" t="str">
        <f aca="false">IF(ISBLANK($C275),
    "",
    $B275
)</f>
        <v/>
      </c>
      <c r="BM275" s="106" t="str">
        <f aca="false">IF(ISBLANK($C275),
    "",
    $C275
)</f>
        <v/>
      </c>
      <c r="BN275" s="106" t="str">
        <f aca="false">IF(ISBLANK($C275),
    "",
    $D275
)</f>
        <v/>
      </c>
      <c r="BO275" s="107" t="str">
        <f aca="false">BC275</f>
        <v/>
      </c>
      <c r="BP275" s="108" t="str">
        <f aca="false">BB275</f>
        <v/>
      </c>
      <c r="BQ275" s="106" t="str">
        <f aca="false">IF(ISBLANK($C275),
    "",
    BE275
)</f>
        <v/>
      </c>
      <c r="BR275" s="109" t="str">
        <f aca="false">IF(BI275&gt;BH$7,
    "",
    VLOOKUP(BI275,BK$8:BQ774,7,FALSE())
)</f>
        <v/>
      </c>
      <c r="BS275" s="110" t="str">
        <f aca="false">IF(BI275&gt;BH$7,
    "",
    VLOOKUP(BI275,BK$8:BQ774,2,FALSE())
)</f>
        <v/>
      </c>
      <c r="BT275" s="110" t="str">
        <f aca="false">IF(BI275&gt;BH$7,
    "",
    VLOOKUP(BI275,BK$8:BQ774,3,FALSE())
)</f>
        <v/>
      </c>
      <c r="BU275" s="110" t="str">
        <f aca="false">IF(BI275&gt;BH$7,
    "",
    VLOOKUP(BI275,BK$8:BQ774,4,FALSE())
)</f>
        <v/>
      </c>
      <c r="BV275" s="110" t="str">
        <f aca="false">IF(BI275&gt;BH$7,
    "",
    VLOOKUP(BI275,BK$8:BQ774,5,FALSE())
)</f>
        <v/>
      </c>
      <c r="BW275" s="111" t="str">
        <f aca="false">IF(BI275&gt;BH$7,
    "",
    VLOOKUP(BI275,BK$8:BQ774,6,FALSE())
)</f>
        <v/>
      </c>
      <c r="BX275" s="50"/>
    </row>
    <row r="276" customFormat="false" ht="15.75" hidden="false" customHeight="false" outlineLevel="0" collapsed="false">
      <c r="A276" s="5"/>
      <c r="B276" s="122"/>
      <c r="C276" s="123"/>
      <c r="D276" s="112"/>
      <c r="E276" s="116"/>
      <c r="F276" s="116"/>
      <c r="G276" s="88"/>
      <c r="H276" s="89"/>
      <c r="I276" s="125"/>
      <c r="J276" s="125"/>
      <c r="K276" s="125"/>
      <c r="L276" s="91"/>
      <c r="M276" s="91"/>
      <c r="N276" s="91"/>
      <c r="O276" s="92"/>
      <c r="P276" s="93"/>
      <c r="Q276" s="125"/>
      <c r="R276" s="95"/>
      <c r="S276" s="96"/>
      <c r="T276" s="96" t="str">
        <f aca="false">IF(ISBLANK($C276),"",IF(G276=Constants!$B$2, TRUE(), IF(G276=Constants!$B$3, FALSE(), TRUE())))</f>
        <v/>
      </c>
      <c r="U276" s="96" t="str">
        <f aca="false">IF(ISBLANK($C276),"",IF(H276=Constants!$B$2, TRUE(), IF(H276=Constants!$B$3, FALSE(), TRUE())))</f>
        <v/>
      </c>
      <c r="V276" s="96" t="str">
        <f aca="false">IF(ISBLANK($C276),"",IF(I276=Constants!$B$2, TRUE(), IF(I276=Constants!$B$3, FALSE(), TRUE())))</f>
        <v/>
      </c>
      <c r="W276" s="96" t="str">
        <f aca="false">IF(ISBLANK($C276),"",IF(J276=Constants!$B$2, TRUE(), IF(J276=Constants!$B$3, FALSE(), TRUE())))</f>
        <v/>
      </c>
      <c r="X276" s="97" t="str">
        <f aca="false">IF(ISBLANK($C276),"",IF(K276=Constants!$B$2, TRUE(), IF(K276=Constants!$B$3, FALSE(), TRUE())))</f>
        <v/>
      </c>
      <c r="Y276" s="98" t="str">
        <f aca="false">IF(ISBLANK($C276),"",IF(ISNUMBER(L276), L276, ""))</f>
        <v/>
      </c>
      <c r="Z276" s="98" t="str">
        <f aca="false">IF(ISBLANK($C276),"",IF(ISNUMBER(M276), M276, ""))</f>
        <v/>
      </c>
      <c r="AA276" s="98" t="str">
        <f aca="false">IF(ISBLANK($C276),"",IF(ISNUMBER(N276), N276, ""))</f>
        <v/>
      </c>
      <c r="AB276" s="99" t="str">
        <f aca="false">IF(ISBLANK($C276),"",IF(ISNUMBER(O276), O276, ""))</f>
        <v/>
      </c>
      <c r="AC276" s="99" t="str">
        <f aca="false">IF(ISBLANK($C276),"",IF(ISNUMBER(P276), P276, Constants!$B$13))</f>
        <v/>
      </c>
      <c r="AD276" s="96" t="str">
        <f aca="false">IF(ISBLANK($C276),"",IF(Q276=Constants!$B$2, TRUE(), IF(Q276=Constants!$B$3, FALSE(), FALSE())))</f>
        <v/>
      </c>
      <c r="AE276" s="96" t="str">
        <f aca="false">IF(ISBLANK(C276), "", IF(AD276, Constants!$B$4,IF(COUNTA(G276:O276)=0, Constants!$B$5, Constants!$B$7)))</f>
        <v/>
      </c>
      <c r="AF276" s="96" t="str">
        <f aca="false">IF(ISBLANK($C276), "",IF($AE276=Constants!$B$7,1,$AE276))</f>
        <v/>
      </c>
      <c r="AG276" s="96" t="str">
        <f aca="false">IF($AE276=Constants!$B$7,IF(V276, 1, Constants!$B$11) * IF(X276, 1, Constants!$B$12),"")</f>
        <v/>
      </c>
      <c r="AH276" s="96" t="str">
        <f aca="false">IF(AND($AE276=Constants!$B$7, T276, U276) ,MAX(0, $AA276-$Y276),"")</f>
        <v/>
      </c>
      <c r="AI276" s="96" t="str">
        <f aca="false">IF(ISERROR(AH276),$AI$6,"")</f>
        <v/>
      </c>
      <c r="AJ276" s="96" t="str">
        <f aca="false">IF($AE276=Constants!$B$7,IF(AND(T276,U276,W276),IF($AH$6=0,Constants!$B$9,Constants!$B$9*AH276/$AH$6), 0),"")</f>
        <v/>
      </c>
      <c r="AK276" s="96" t="str">
        <f aca="false">IF(AJ276&lt;&gt;"", AJ276*AG276,"")</f>
        <v/>
      </c>
      <c r="AL276" s="96" t="str">
        <f aca="false">IF(AND($AE276=Constants!$B$7, T276, U276) ,IF($Z276="", "", MAX(0,1-ABS($AA276-$Z276)/$AA276)),"")</f>
        <v/>
      </c>
      <c r="AM276" s="96" t="str">
        <f aca="false">IF(AND(NOT(ISERROR(AH276)),ISERROR(AL276)),$AM$6,"")</f>
        <v/>
      </c>
      <c r="AN276" s="96" t="str">
        <f aca="false">IF($AE276=Constants!$B$7 ,IF(AND(T276,U276,W276,ISNUMBER(Z276)),IF($AL$6=0,Constants!$B$10,Constants!$B$10*AL276/$AL$6), 0),"")</f>
        <v/>
      </c>
      <c r="AO276" s="96" t="str">
        <f aca="false">IF(AN276&lt;&gt;"", AN276*AG276,"")</f>
        <v/>
      </c>
      <c r="AP276" s="96" t="str">
        <f aca="false">IF($AE276=Constants!$B$7,IF($AP$6=0,Constants!$B$8,Constants!$B$8*AB276/$AP$6),"")</f>
        <v/>
      </c>
      <c r="AQ276" s="96" t="str">
        <f aca="false">IF($AE276&lt;&gt;Constants!$B$7,$AE276,AK276+AO276+AP276)</f>
        <v/>
      </c>
      <c r="AR276" s="96" t="str">
        <f aca="false">IF(ISBLANK($C276),"",IF($AE276=Constants!$B$7,RANK(AQ276,$AQ$8:$AQ$507),$AE276))</f>
        <v/>
      </c>
      <c r="AS276" s="96" t="str">
        <f aca="false">IF(ISBLANK($C276), "",AK276)</f>
        <v/>
      </c>
      <c r="AT276" s="96" t="str">
        <f aca="false">IF(ISBLANK($C276),"",IF($AE276=Constants!$B$7,RANK(AS276,AS$8:AS$507),$AE276))</f>
        <v/>
      </c>
      <c r="AU276" s="96" t="str">
        <f aca="false">IF(ISBLANK($C276), "",AP276)</f>
        <v/>
      </c>
      <c r="AV276" s="96" t="str">
        <f aca="false">IF(ISBLANK($C276),"",IF($AE276=Constants!$B$7,RANK(AU276,AU$8:AU$507),$AE276))</f>
        <v/>
      </c>
      <c r="AW276" s="96" t="str">
        <f aca="false">IF(ISBLANK($C276), "",AC276)</f>
        <v/>
      </c>
      <c r="AX276" s="96" t="str">
        <f aca="false">IF(ISBLANK($C276),"",
IF($AE276=Constants!$B$7,
  COUNTIFS($AR$8:$AR$507,"&lt;"&amp;$AR276)
  + COUNTIFS($AR$8:$AR$507,$AR276,$AT$8:$AT$507,"&lt;"&amp;$AT276)
  + COUNTIFS($AR$8:$AR$507,$AR276,$AT$8:$AT$507,$AT276,$AV$8:$AV$507,"&lt;"&amp;$AV276)
  + COUNTIFS($AR$8:$AR$507,$AR276,$AT$8:$AT$507,$AT276,$AV$8:$AV$507,$AV276,$AW$8:$AW$507,"&lt;"&amp;$AW276)
  + 1,
$AE276))</f>
        <v/>
      </c>
      <c r="AY276" s="96" t="str">
        <f aca="false">IF(ISBLANK(C276),"",IF($AE276=Constants!$B$7, AR276-AX276,$AE276))</f>
        <v/>
      </c>
      <c r="AZ276" s="100"/>
      <c r="BA276" s="101" t="str">
        <f aca="false">IF(ISBLANK($C276),"",TRIM(AI276&amp;" "&amp;AM276))</f>
        <v/>
      </c>
      <c r="BB276" s="102" t="str">
        <f aca="false">IF(ISBLANK($C276),"",IF($AE276&lt;&gt;Constants!$B$7, $AE276 ,AQ276))</f>
        <v/>
      </c>
      <c r="BC276" s="103" t="str">
        <f aca="false">IF(ISBLANK($C276),"",IF($AE276&lt;&gt;Constants!$B$7, $AE276 ,AF276))</f>
        <v/>
      </c>
      <c r="BD276" s="104" t="str">
        <f aca="false">IF(ISBLANK(C276),"",AY276)</f>
        <v/>
      </c>
      <c r="BE276" s="104" t="str">
        <f aca="false">IF(ISBLANK(C276),"",AX276)</f>
        <v/>
      </c>
      <c r="BF276" s="105" t="str">
        <f aca="false">IF(ISBLANK(C276),"",IFERROR(_xlfn.SWITCH(BE276, Constants!$B$4, COUNTA($C$8:$C775)+2, Constants!$B$5, COUNTA($C$8:$C775)+1, Constants!$B$6, COUNTA($C$8:$C775)),BE276))</f>
        <v/>
      </c>
      <c r="BG276" s="5"/>
      <c r="BH276" s="106" t="n">
        <f aca="false">IF(OR(ISNUMBER(BE276),BE276="DQ",BE276="P",BE276="NS"),
    1,
    0
)</f>
        <v>0</v>
      </c>
      <c r="BI276" s="106" t="n">
        <v>269</v>
      </c>
      <c r="BJ276" s="106" t="str">
        <f aca="false">IF(ISBLANK($C276),
    "",
   BF276+ROW($B276)/1000
)</f>
        <v/>
      </c>
      <c r="BK276" s="106" t="str">
        <f aca="false">IF(ISNUMBER(BJ276), RANK(BJ276,BJ$8:BJ$507,1), "")</f>
        <v/>
      </c>
      <c r="BL276" s="106" t="str">
        <f aca="false">IF(ISBLANK($C276),
    "",
    $B276
)</f>
        <v/>
      </c>
      <c r="BM276" s="106" t="str">
        <f aca="false">IF(ISBLANK($C276),
    "",
    $C276
)</f>
        <v/>
      </c>
      <c r="BN276" s="106" t="str">
        <f aca="false">IF(ISBLANK($C276),
    "",
    $D276
)</f>
        <v/>
      </c>
      <c r="BO276" s="107" t="str">
        <f aca="false">BC276</f>
        <v/>
      </c>
      <c r="BP276" s="108" t="str">
        <f aca="false">BB276</f>
        <v/>
      </c>
      <c r="BQ276" s="106" t="str">
        <f aca="false">IF(ISBLANK($C276),
    "",
    BE276
)</f>
        <v/>
      </c>
      <c r="BR276" s="109" t="str">
        <f aca="false">IF(BI276&gt;BH$7,
    "",
    VLOOKUP(BI276,BK$8:BQ775,7,FALSE())
)</f>
        <v/>
      </c>
      <c r="BS276" s="110" t="str">
        <f aca="false">IF(BI276&gt;BH$7,
    "",
    VLOOKUP(BI276,BK$8:BQ775,2,FALSE())
)</f>
        <v/>
      </c>
      <c r="BT276" s="110" t="str">
        <f aca="false">IF(BI276&gt;BH$7,
    "",
    VLOOKUP(BI276,BK$8:BQ775,3,FALSE())
)</f>
        <v/>
      </c>
      <c r="BU276" s="110" t="str">
        <f aca="false">IF(BI276&gt;BH$7,
    "",
    VLOOKUP(BI276,BK$8:BQ775,4,FALSE())
)</f>
        <v/>
      </c>
      <c r="BV276" s="110" t="str">
        <f aca="false">IF(BI276&gt;BH$7,
    "",
    VLOOKUP(BI276,BK$8:BQ775,5,FALSE())
)</f>
        <v/>
      </c>
      <c r="BW276" s="111" t="str">
        <f aca="false">IF(BI276&gt;BH$7,
    "",
    VLOOKUP(BI276,BK$8:BQ775,6,FALSE())
)</f>
        <v/>
      </c>
      <c r="BX276" s="50"/>
    </row>
    <row r="277" customFormat="false" ht="15.75" hidden="false" customHeight="false" outlineLevel="0" collapsed="false">
      <c r="A277" s="5"/>
      <c r="B277" s="122"/>
      <c r="C277" s="123"/>
      <c r="D277" s="112"/>
      <c r="E277" s="116"/>
      <c r="F277" s="116"/>
      <c r="G277" s="88"/>
      <c r="H277" s="89"/>
      <c r="I277" s="125"/>
      <c r="J277" s="125"/>
      <c r="K277" s="125"/>
      <c r="L277" s="91"/>
      <c r="M277" s="91"/>
      <c r="N277" s="91"/>
      <c r="O277" s="92"/>
      <c r="P277" s="93"/>
      <c r="Q277" s="125"/>
      <c r="R277" s="95"/>
      <c r="S277" s="96"/>
      <c r="T277" s="96" t="str">
        <f aca="false">IF(ISBLANK($C277),"",IF(G277=Constants!$B$2, TRUE(), IF(G277=Constants!$B$3, FALSE(), TRUE())))</f>
        <v/>
      </c>
      <c r="U277" s="96" t="str">
        <f aca="false">IF(ISBLANK($C277),"",IF(H277=Constants!$B$2, TRUE(), IF(H277=Constants!$B$3, FALSE(), TRUE())))</f>
        <v/>
      </c>
      <c r="V277" s="96" t="str">
        <f aca="false">IF(ISBLANK($C277),"",IF(I277=Constants!$B$2, TRUE(), IF(I277=Constants!$B$3, FALSE(), TRUE())))</f>
        <v/>
      </c>
      <c r="W277" s="96" t="str">
        <f aca="false">IF(ISBLANK($C277),"",IF(J277=Constants!$B$2, TRUE(), IF(J277=Constants!$B$3, FALSE(), TRUE())))</f>
        <v/>
      </c>
      <c r="X277" s="97" t="str">
        <f aca="false">IF(ISBLANK($C277),"",IF(K277=Constants!$B$2, TRUE(), IF(K277=Constants!$B$3, FALSE(), TRUE())))</f>
        <v/>
      </c>
      <c r="Y277" s="98" t="str">
        <f aca="false">IF(ISBLANK($C277),"",IF(ISNUMBER(L277), L277, ""))</f>
        <v/>
      </c>
      <c r="Z277" s="98" t="str">
        <f aca="false">IF(ISBLANK($C277),"",IF(ISNUMBER(M277), M277, ""))</f>
        <v/>
      </c>
      <c r="AA277" s="98" t="str">
        <f aca="false">IF(ISBLANK($C277),"",IF(ISNUMBER(N277), N277, ""))</f>
        <v/>
      </c>
      <c r="AB277" s="99" t="str">
        <f aca="false">IF(ISBLANK($C277),"",IF(ISNUMBER(O277), O277, ""))</f>
        <v/>
      </c>
      <c r="AC277" s="99" t="str">
        <f aca="false">IF(ISBLANK($C277),"",IF(ISNUMBER(P277), P277, Constants!$B$13))</f>
        <v/>
      </c>
      <c r="AD277" s="96" t="str">
        <f aca="false">IF(ISBLANK($C277),"",IF(Q277=Constants!$B$2, TRUE(), IF(Q277=Constants!$B$3, FALSE(), FALSE())))</f>
        <v/>
      </c>
      <c r="AE277" s="96" t="str">
        <f aca="false">IF(ISBLANK(C277), "", IF(AD277, Constants!$B$4,IF(COUNTA(G277:O277)=0, Constants!$B$5, Constants!$B$7)))</f>
        <v/>
      </c>
      <c r="AF277" s="96" t="str">
        <f aca="false">IF(ISBLANK($C277), "",IF($AE277=Constants!$B$7,1,$AE277))</f>
        <v/>
      </c>
      <c r="AG277" s="96" t="str">
        <f aca="false">IF($AE277=Constants!$B$7,IF(V277, 1, Constants!$B$11) * IF(X277, 1, Constants!$B$12),"")</f>
        <v/>
      </c>
      <c r="AH277" s="96" t="str">
        <f aca="false">IF(AND($AE277=Constants!$B$7, T277, U277) ,MAX(0, $AA277-$Y277),"")</f>
        <v/>
      </c>
      <c r="AI277" s="96" t="str">
        <f aca="false">IF(ISERROR(AH277),$AI$6,"")</f>
        <v/>
      </c>
      <c r="AJ277" s="96" t="str">
        <f aca="false">IF($AE277=Constants!$B$7,IF(AND(T277,U277,W277),IF($AH$6=0,Constants!$B$9,Constants!$B$9*AH277/$AH$6), 0),"")</f>
        <v/>
      </c>
      <c r="AK277" s="96" t="str">
        <f aca="false">IF(AJ277&lt;&gt;"", AJ277*AG277,"")</f>
        <v/>
      </c>
      <c r="AL277" s="96" t="str">
        <f aca="false">IF(AND($AE277=Constants!$B$7, T277, U277) ,IF($Z277="", "", MAX(0,1-ABS($AA277-$Z277)/$AA277)),"")</f>
        <v/>
      </c>
      <c r="AM277" s="96" t="str">
        <f aca="false">IF(AND(NOT(ISERROR(AH277)),ISERROR(AL277)),$AM$6,"")</f>
        <v/>
      </c>
      <c r="AN277" s="96" t="str">
        <f aca="false">IF($AE277=Constants!$B$7 ,IF(AND(T277,U277,W277,ISNUMBER(Z277)),IF($AL$6=0,Constants!$B$10,Constants!$B$10*AL277/$AL$6), 0),"")</f>
        <v/>
      </c>
      <c r="AO277" s="96" t="str">
        <f aca="false">IF(AN277&lt;&gt;"", AN277*AG277,"")</f>
        <v/>
      </c>
      <c r="AP277" s="96" t="str">
        <f aca="false">IF($AE277=Constants!$B$7,IF($AP$6=0,Constants!$B$8,Constants!$B$8*AB277/$AP$6),"")</f>
        <v/>
      </c>
      <c r="AQ277" s="96" t="str">
        <f aca="false">IF($AE277&lt;&gt;Constants!$B$7,$AE277,AK277+AO277+AP277)</f>
        <v/>
      </c>
      <c r="AR277" s="96" t="str">
        <f aca="false">IF(ISBLANK($C277),"",IF($AE277=Constants!$B$7,RANK(AQ277,$AQ$8:$AQ$507),$AE277))</f>
        <v/>
      </c>
      <c r="AS277" s="96" t="str">
        <f aca="false">IF(ISBLANK($C277), "",AK277)</f>
        <v/>
      </c>
      <c r="AT277" s="96" t="str">
        <f aca="false">IF(ISBLANK($C277),"",IF($AE277=Constants!$B$7,RANK(AS277,AS$8:AS$507),$AE277))</f>
        <v/>
      </c>
      <c r="AU277" s="96" t="str">
        <f aca="false">IF(ISBLANK($C277), "",AP277)</f>
        <v/>
      </c>
      <c r="AV277" s="96" t="str">
        <f aca="false">IF(ISBLANK($C277),"",IF($AE277=Constants!$B$7,RANK(AU277,AU$8:AU$507),$AE277))</f>
        <v/>
      </c>
      <c r="AW277" s="96" t="str">
        <f aca="false">IF(ISBLANK($C277), "",AC277)</f>
        <v/>
      </c>
      <c r="AX277" s="96" t="str">
        <f aca="false">IF(ISBLANK($C277),"",
IF($AE277=Constants!$B$7,
  COUNTIFS($AR$8:$AR$507,"&lt;"&amp;$AR277)
  + COUNTIFS($AR$8:$AR$507,$AR277,$AT$8:$AT$507,"&lt;"&amp;$AT277)
  + COUNTIFS($AR$8:$AR$507,$AR277,$AT$8:$AT$507,$AT277,$AV$8:$AV$507,"&lt;"&amp;$AV277)
  + COUNTIFS($AR$8:$AR$507,$AR277,$AT$8:$AT$507,$AT277,$AV$8:$AV$507,$AV277,$AW$8:$AW$507,"&lt;"&amp;$AW277)
  + 1,
$AE277))</f>
        <v/>
      </c>
      <c r="AY277" s="96" t="str">
        <f aca="false">IF(ISBLANK(C277),"",IF($AE277=Constants!$B$7, AR277-AX277,$AE277))</f>
        <v/>
      </c>
      <c r="AZ277" s="100"/>
      <c r="BA277" s="101" t="str">
        <f aca="false">IF(ISBLANK($C277),"",TRIM(AI277&amp;" "&amp;AM277))</f>
        <v/>
      </c>
      <c r="BB277" s="102" t="str">
        <f aca="false">IF(ISBLANK($C277),"",IF($AE277&lt;&gt;Constants!$B$7, $AE277 ,AQ277))</f>
        <v/>
      </c>
      <c r="BC277" s="103" t="str">
        <f aca="false">IF(ISBLANK($C277),"",IF($AE277&lt;&gt;Constants!$B$7, $AE277 ,AF277))</f>
        <v/>
      </c>
      <c r="BD277" s="104" t="str">
        <f aca="false">IF(ISBLANK(C277),"",AY277)</f>
        <v/>
      </c>
      <c r="BE277" s="104" t="str">
        <f aca="false">IF(ISBLANK(C277),"",AX277)</f>
        <v/>
      </c>
      <c r="BF277" s="105" t="str">
        <f aca="false">IF(ISBLANK(C277),"",IFERROR(_xlfn.SWITCH(BE277, Constants!$B$4, COUNTA($C$8:$C776)+2, Constants!$B$5, COUNTA($C$8:$C776)+1, Constants!$B$6, COUNTA($C$8:$C776)),BE277))</f>
        <v/>
      </c>
      <c r="BG277" s="5"/>
      <c r="BH277" s="106" t="n">
        <f aca="false">IF(OR(ISNUMBER(BE277),BE277="DQ",BE277="P",BE277="NS"),
    1,
    0
)</f>
        <v>0</v>
      </c>
      <c r="BI277" s="106" t="n">
        <v>270</v>
      </c>
      <c r="BJ277" s="106" t="str">
        <f aca="false">IF(ISBLANK($C277),
    "",
   BF277+ROW($B277)/1000
)</f>
        <v/>
      </c>
      <c r="BK277" s="106" t="str">
        <f aca="false">IF(ISNUMBER(BJ277), RANK(BJ277,BJ$8:BJ$507,1), "")</f>
        <v/>
      </c>
      <c r="BL277" s="106" t="str">
        <f aca="false">IF(ISBLANK($C277),
    "",
    $B277
)</f>
        <v/>
      </c>
      <c r="BM277" s="106" t="str">
        <f aca="false">IF(ISBLANK($C277),
    "",
    $C277
)</f>
        <v/>
      </c>
      <c r="BN277" s="106" t="str">
        <f aca="false">IF(ISBLANK($C277),
    "",
    $D277
)</f>
        <v/>
      </c>
      <c r="BO277" s="107" t="str">
        <f aca="false">BC277</f>
        <v/>
      </c>
      <c r="BP277" s="108" t="str">
        <f aca="false">BB277</f>
        <v/>
      </c>
      <c r="BQ277" s="106" t="str">
        <f aca="false">IF(ISBLANK($C277),
    "",
    BE277
)</f>
        <v/>
      </c>
      <c r="BR277" s="109" t="str">
        <f aca="false">IF(BI277&gt;BH$7,
    "",
    VLOOKUP(BI277,BK$8:BQ776,7,FALSE())
)</f>
        <v/>
      </c>
      <c r="BS277" s="110" t="str">
        <f aca="false">IF(BI277&gt;BH$7,
    "",
    VLOOKUP(BI277,BK$8:BQ776,2,FALSE())
)</f>
        <v/>
      </c>
      <c r="BT277" s="110" t="str">
        <f aca="false">IF(BI277&gt;BH$7,
    "",
    VLOOKUP(BI277,BK$8:BQ776,3,FALSE())
)</f>
        <v/>
      </c>
      <c r="BU277" s="110" t="str">
        <f aca="false">IF(BI277&gt;BH$7,
    "",
    VLOOKUP(BI277,BK$8:BQ776,4,FALSE())
)</f>
        <v/>
      </c>
      <c r="BV277" s="110" t="str">
        <f aca="false">IF(BI277&gt;BH$7,
    "",
    VLOOKUP(BI277,BK$8:BQ776,5,FALSE())
)</f>
        <v/>
      </c>
      <c r="BW277" s="111" t="str">
        <f aca="false">IF(BI277&gt;BH$7,
    "",
    VLOOKUP(BI277,BK$8:BQ776,6,FALSE())
)</f>
        <v/>
      </c>
      <c r="BX277" s="50"/>
    </row>
    <row r="278" customFormat="false" ht="15.75" hidden="false" customHeight="false" outlineLevel="0" collapsed="false">
      <c r="A278" s="5"/>
      <c r="B278" s="126"/>
      <c r="C278" s="52"/>
      <c r="D278" s="53"/>
      <c r="E278" s="120"/>
      <c r="F278" s="120"/>
      <c r="G278" s="55"/>
      <c r="H278" s="56"/>
      <c r="I278" s="80"/>
      <c r="J278" s="80"/>
      <c r="K278" s="80"/>
      <c r="L278" s="58"/>
      <c r="M278" s="58"/>
      <c r="N278" s="58"/>
      <c r="O278" s="59"/>
      <c r="P278" s="60"/>
      <c r="Q278" s="80"/>
      <c r="R278" s="62"/>
      <c r="S278" s="63"/>
      <c r="T278" s="63" t="str">
        <f aca="false">IF(ISBLANK($C278),"",IF(G278=Constants!$B$2, TRUE(), IF(G278=Constants!$B$3, FALSE(), TRUE())))</f>
        <v/>
      </c>
      <c r="U278" s="63" t="str">
        <f aca="false">IF(ISBLANK($C278),"",IF(H278=Constants!$B$2, TRUE(), IF(H278=Constants!$B$3, FALSE(), TRUE())))</f>
        <v/>
      </c>
      <c r="V278" s="63" t="str">
        <f aca="false">IF(ISBLANK($C278),"",IF(I278=Constants!$B$2, TRUE(), IF(I278=Constants!$B$3, FALSE(), TRUE())))</f>
        <v/>
      </c>
      <c r="W278" s="63" t="str">
        <f aca="false">IF(ISBLANK($C278),"",IF(J278=Constants!$B$2, TRUE(), IF(J278=Constants!$B$3, FALSE(), TRUE())))</f>
        <v/>
      </c>
      <c r="X278" s="63" t="str">
        <f aca="false">IF(ISBLANK($C278),"",IF(K278=Constants!$B$2, TRUE(), IF(K278=Constants!$B$3, FALSE(), TRUE())))</f>
        <v/>
      </c>
      <c r="Y278" s="65" t="str">
        <f aca="false">IF(ISBLANK($C278),"",IF(ISNUMBER(L278), L278, ""))</f>
        <v/>
      </c>
      <c r="Z278" s="65" t="str">
        <f aca="false">IF(ISBLANK($C278),"",IF(ISNUMBER(M278), M278, ""))</f>
        <v/>
      </c>
      <c r="AA278" s="65" t="str">
        <f aca="false">IF(ISBLANK($C278),"",IF(ISNUMBER(N278), N278, ""))</f>
        <v/>
      </c>
      <c r="AB278" s="66" t="str">
        <f aca="false">IF(ISBLANK($C278),"",IF(ISNUMBER(O278), O278, ""))</f>
        <v/>
      </c>
      <c r="AC278" s="66" t="str">
        <f aca="false">IF(ISBLANK($C278),"",IF(ISNUMBER(P278), P278, Constants!$B$13))</f>
        <v/>
      </c>
      <c r="AD278" s="63" t="str">
        <f aca="false">IF(ISBLANK($C278),"",IF(Q278=Constants!$B$2, TRUE(), IF(Q278=Constants!$B$3, FALSE(), FALSE())))</f>
        <v/>
      </c>
      <c r="AE278" s="63" t="str">
        <f aca="false">IF(ISBLANK(C278), "", IF(AD278, Constants!$B$4,IF(COUNTA(G278:O278)=0, Constants!$B$5, Constants!$B$7)))</f>
        <v/>
      </c>
      <c r="AF278" s="63" t="str">
        <f aca="false">IF(ISBLANK($C278), "",IF($AE278=Constants!$B$7,1,$AE278))</f>
        <v/>
      </c>
      <c r="AG278" s="63" t="str">
        <f aca="false">IF($AE278=Constants!$B$7,IF(V278, 1, Constants!$B$11) * IF(X278, 1, Constants!$B$12),"")</f>
        <v/>
      </c>
      <c r="AH278" s="63" t="str">
        <f aca="false">IF(AND($AE278=Constants!$B$7, T278, U278) ,MAX(0, $AA278-$Y278),"")</f>
        <v/>
      </c>
      <c r="AI278" s="63" t="str">
        <f aca="false">IF(ISERROR(AH278),$AI$6,"")</f>
        <v/>
      </c>
      <c r="AJ278" s="63" t="str">
        <f aca="false">IF($AE278=Constants!$B$7,IF(AND(T278,U278,W278),IF($AH$6=0,Constants!$B$9,Constants!$B$9*AH278/$AH$6), 0),"")</f>
        <v/>
      </c>
      <c r="AK278" s="63" t="str">
        <f aca="false">IF(AJ278&lt;&gt;"", AJ278*AG278,"")</f>
        <v/>
      </c>
      <c r="AL278" s="63" t="str">
        <f aca="false">IF(AND($AE278=Constants!$B$7, T278, U278) ,IF($Z278="", "", MAX(0,1-ABS($AA278-$Z278)/$AA278)),"")</f>
        <v/>
      </c>
      <c r="AM278" s="63" t="str">
        <f aca="false">IF(AND(NOT(ISERROR(AH278)),ISERROR(AL278)),$AM$6,"")</f>
        <v/>
      </c>
      <c r="AN278" s="63" t="str">
        <f aca="false">IF($AE278=Constants!$B$7 ,IF(AND(T278,U278,W278,ISNUMBER(Z278)),IF($AL$6=0,Constants!$B$10,Constants!$B$10*AL278/$AL$6), 0),"")</f>
        <v/>
      </c>
      <c r="AO278" s="63" t="str">
        <f aca="false">IF(AN278&lt;&gt;"", AN278*AG278,"")</f>
        <v/>
      </c>
      <c r="AP278" s="63" t="str">
        <f aca="false">IF($AE278=Constants!$B$7,IF($AP$6=0,Constants!$B$8,Constants!$B$8*AB278/$AP$6),"")</f>
        <v/>
      </c>
      <c r="AQ278" s="63" t="str">
        <f aca="false">IF($AE278&lt;&gt;Constants!$B$7,$AE278,AK278+AO278+AP278)</f>
        <v/>
      </c>
      <c r="AR278" s="63" t="str">
        <f aca="false">IF(ISBLANK($C278),"",IF($AE278=Constants!$B$7,RANK(AQ278,$AQ$8:$AQ$507),$AE278))</f>
        <v/>
      </c>
      <c r="AS278" s="63" t="str">
        <f aca="false">IF(ISBLANK($C278), "",AK278)</f>
        <v/>
      </c>
      <c r="AT278" s="63" t="str">
        <f aca="false">IF(ISBLANK($C278),"",IF($AE278=Constants!$B$7,RANK(AS278,AS$8:AS$507),$AE278))</f>
        <v/>
      </c>
      <c r="AU278" s="63" t="str">
        <f aca="false">IF(ISBLANK($C278), "",AP278)</f>
        <v/>
      </c>
      <c r="AV278" s="63" t="str">
        <f aca="false">IF(ISBLANK($C278),"",IF($AE278=Constants!$B$7,RANK(AU278,AU$8:AU$507),$AE278))</f>
        <v/>
      </c>
      <c r="AW278" s="63" t="str">
        <f aca="false">IF(ISBLANK($C278), "",AC278)</f>
        <v/>
      </c>
      <c r="AX278" s="63" t="str">
        <f aca="false">IF(ISBLANK($C278),"",
IF($AE278=Constants!$B$7,
  COUNTIFS($AR$8:$AR$507,"&lt;"&amp;$AR278)
  + COUNTIFS($AR$8:$AR$507,$AR278,$AT$8:$AT$507,"&lt;"&amp;$AT278)
  + COUNTIFS($AR$8:$AR$507,$AR278,$AT$8:$AT$507,$AT278,$AV$8:$AV$507,"&lt;"&amp;$AV278)
  + COUNTIFS($AR$8:$AR$507,$AR278,$AT$8:$AT$507,$AT278,$AV$8:$AV$507,$AV278,$AW$8:$AW$507,"&lt;"&amp;$AW278)
  + 1,
$AE278))</f>
        <v/>
      </c>
      <c r="AY278" s="63" t="str">
        <f aca="false">IF(ISBLANK(C278),"",IF($AE278=Constants!$B$7, AR278-AX278,$AE278))</f>
        <v/>
      </c>
      <c r="AZ278" s="67"/>
      <c r="BA278" s="81" t="str">
        <f aca="false">IF(ISBLANK($C278),"",TRIM(AI278&amp;" "&amp;AM278))</f>
        <v/>
      </c>
      <c r="BB278" s="69" t="str">
        <f aca="false">IF(ISBLANK($C278),"",IF($AE278&lt;&gt;Constants!$B$7, $AE278 ,AQ278))</f>
        <v/>
      </c>
      <c r="BC278" s="70" t="str">
        <f aca="false">IF(ISBLANK($C278),"",IF($AE278&lt;&gt;Constants!$B$7, $AE278 ,AF278))</f>
        <v/>
      </c>
      <c r="BD278" s="71" t="str">
        <f aca="false">IF(ISBLANK(C278),"",AY278)</f>
        <v/>
      </c>
      <c r="BE278" s="71" t="str">
        <f aca="false">IF(ISBLANK(C278),"",AX278)</f>
        <v/>
      </c>
      <c r="BF278" s="72" t="str">
        <f aca="false">IF(ISBLANK(C278),"",IFERROR(_xlfn.SWITCH(BE278, Constants!$B$4, COUNTA($C$8:$C777)+2, Constants!$B$5, COUNTA($C$8:$C777)+1, Constants!$B$6, COUNTA($C$8:$C777)),BE278))</f>
        <v/>
      </c>
      <c r="BG278" s="5"/>
      <c r="BH278" s="73" t="n">
        <f aca="false">IF(OR(ISNUMBER(BE278),BE278="DQ",BE278="P",BE278="NS"),
    1,
    0
)</f>
        <v>0</v>
      </c>
      <c r="BI278" s="73" t="n">
        <v>271</v>
      </c>
      <c r="BJ278" s="73" t="str">
        <f aca="false">IF(ISBLANK($C278),
    "",
   BF278+ROW($B278)/1000
)</f>
        <v/>
      </c>
      <c r="BK278" s="73" t="str">
        <f aca="false">IF(ISNUMBER(BJ278), RANK(BJ278,BJ$8:BJ$507,1), "")</f>
        <v/>
      </c>
      <c r="BL278" s="73" t="str">
        <f aca="false">IF(ISBLANK($C278),
    "",
    $B278
)</f>
        <v/>
      </c>
      <c r="BM278" s="73" t="str">
        <f aca="false">IF(ISBLANK($C278),
    "",
    $C278
)</f>
        <v/>
      </c>
      <c r="BN278" s="73" t="str">
        <f aca="false">IF(ISBLANK($C278),
    "",
    $D278
)</f>
        <v/>
      </c>
      <c r="BO278" s="74" t="str">
        <f aca="false">BC278</f>
        <v/>
      </c>
      <c r="BP278" s="75" t="str">
        <f aca="false">BB278</f>
        <v/>
      </c>
      <c r="BQ278" s="73" t="str">
        <f aca="false">IF(ISBLANK($C278),
    "",
    BE278
)</f>
        <v/>
      </c>
      <c r="BR278" s="76" t="str">
        <f aca="false">IF(BI278&gt;BH$7,
    "",
    VLOOKUP(BI278,BK$8:BQ777,7,FALSE())
)</f>
        <v/>
      </c>
      <c r="BS278" s="77" t="str">
        <f aca="false">IF(BI278&gt;BH$7,
    "",
    VLOOKUP(BI278,BK$8:BQ777,2,FALSE())
)</f>
        <v/>
      </c>
      <c r="BT278" s="77" t="str">
        <f aca="false">IF(BI278&gt;BH$7,
    "",
    VLOOKUP(BI278,BK$8:BQ777,3,FALSE())
)</f>
        <v/>
      </c>
      <c r="BU278" s="77" t="str">
        <f aca="false">IF(BI278&gt;BH$7,
    "",
    VLOOKUP(BI278,BK$8:BQ777,4,FALSE())
)</f>
        <v/>
      </c>
      <c r="BV278" s="77" t="str">
        <f aca="false">IF(BI278&gt;BH$7,
    "",
    VLOOKUP(BI278,BK$8:BQ777,5,FALSE())
)</f>
        <v/>
      </c>
      <c r="BW278" s="78" t="str">
        <f aca="false">IF(BI278&gt;BH$7,
    "",
    VLOOKUP(BI278,BK$8:BQ777,6,FALSE())
)</f>
        <v/>
      </c>
      <c r="BX278" s="50"/>
    </row>
    <row r="279" customFormat="false" ht="15.75" hidden="false" customHeight="false" outlineLevel="0" collapsed="false">
      <c r="A279" s="5"/>
      <c r="B279" s="126"/>
      <c r="C279" s="52"/>
      <c r="D279" s="53"/>
      <c r="E279" s="120"/>
      <c r="F279" s="120"/>
      <c r="G279" s="55"/>
      <c r="H279" s="56"/>
      <c r="I279" s="80"/>
      <c r="J279" s="80"/>
      <c r="K279" s="80"/>
      <c r="L279" s="58"/>
      <c r="M279" s="58"/>
      <c r="N279" s="58"/>
      <c r="O279" s="59"/>
      <c r="P279" s="60"/>
      <c r="Q279" s="80"/>
      <c r="R279" s="62"/>
      <c r="S279" s="63"/>
      <c r="T279" s="63" t="str">
        <f aca="false">IF(ISBLANK($C279),"",IF(G279=Constants!$B$2, TRUE(), IF(G279=Constants!$B$3, FALSE(), TRUE())))</f>
        <v/>
      </c>
      <c r="U279" s="63" t="str">
        <f aca="false">IF(ISBLANK($C279),"",IF(H279=Constants!$B$2, TRUE(), IF(H279=Constants!$B$3, FALSE(), TRUE())))</f>
        <v/>
      </c>
      <c r="V279" s="63" t="str">
        <f aca="false">IF(ISBLANK($C279),"",IF(I279=Constants!$B$2, TRUE(), IF(I279=Constants!$B$3, FALSE(), TRUE())))</f>
        <v/>
      </c>
      <c r="W279" s="63" t="str">
        <f aca="false">IF(ISBLANK($C279),"",IF(J279=Constants!$B$2, TRUE(), IF(J279=Constants!$B$3, FALSE(), TRUE())))</f>
        <v/>
      </c>
      <c r="X279" s="63" t="str">
        <f aca="false">IF(ISBLANK($C279),"",IF(K279=Constants!$B$2, TRUE(), IF(K279=Constants!$B$3, FALSE(), TRUE())))</f>
        <v/>
      </c>
      <c r="Y279" s="65" t="str">
        <f aca="false">IF(ISBLANK($C279),"",IF(ISNUMBER(L279), L279, ""))</f>
        <v/>
      </c>
      <c r="Z279" s="65" t="str">
        <f aca="false">IF(ISBLANK($C279),"",IF(ISNUMBER(M279), M279, ""))</f>
        <v/>
      </c>
      <c r="AA279" s="65" t="str">
        <f aca="false">IF(ISBLANK($C279),"",IF(ISNUMBER(N279), N279, ""))</f>
        <v/>
      </c>
      <c r="AB279" s="66" t="str">
        <f aca="false">IF(ISBLANK($C279),"",IF(ISNUMBER(O279), O279, ""))</f>
        <v/>
      </c>
      <c r="AC279" s="66" t="str">
        <f aca="false">IF(ISBLANK($C279),"",IF(ISNUMBER(P279), P279, Constants!$B$13))</f>
        <v/>
      </c>
      <c r="AD279" s="63" t="str">
        <f aca="false">IF(ISBLANK($C279),"",IF(Q279=Constants!$B$2, TRUE(), IF(Q279=Constants!$B$3, FALSE(), FALSE())))</f>
        <v/>
      </c>
      <c r="AE279" s="63" t="str">
        <f aca="false">IF(ISBLANK(C279), "", IF(AD279, Constants!$B$4,IF(COUNTA(G279:O279)=0, Constants!$B$5, Constants!$B$7)))</f>
        <v/>
      </c>
      <c r="AF279" s="63" t="str">
        <f aca="false">IF(ISBLANK($C279), "",IF($AE279=Constants!$B$7,1,$AE279))</f>
        <v/>
      </c>
      <c r="AG279" s="63" t="str">
        <f aca="false">IF($AE279=Constants!$B$7,IF(V279, 1, Constants!$B$11) * IF(X279, 1, Constants!$B$12),"")</f>
        <v/>
      </c>
      <c r="AH279" s="63" t="str">
        <f aca="false">IF(AND($AE279=Constants!$B$7, T279, U279) ,MAX(0, $AA279-$Y279),"")</f>
        <v/>
      </c>
      <c r="AI279" s="63" t="str">
        <f aca="false">IF(ISERROR(AH279),$AI$6,"")</f>
        <v/>
      </c>
      <c r="AJ279" s="63" t="str">
        <f aca="false">IF($AE279=Constants!$B$7,IF(AND(T279,U279,W279),IF($AH$6=0,Constants!$B$9,Constants!$B$9*AH279/$AH$6), 0),"")</f>
        <v/>
      </c>
      <c r="AK279" s="63" t="str">
        <f aca="false">IF(AJ279&lt;&gt;"", AJ279*AG279,"")</f>
        <v/>
      </c>
      <c r="AL279" s="63" t="str">
        <f aca="false">IF(AND($AE279=Constants!$B$7, T279, U279) ,IF($Z279="", "", MAX(0,1-ABS($AA279-$Z279)/$AA279)),"")</f>
        <v/>
      </c>
      <c r="AM279" s="63" t="str">
        <f aca="false">IF(AND(NOT(ISERROR(AH279)),ISERROR(AL279)),$AM$6,"")</f>
        <v/>
      </c>
      <c r="AN279" s="63" t="str">
        <f aca="false">IF($AE279=Constants!$B$7 ,IF(AND(T279,U279,W279,ISNUMBER(Z279)),IF($AL$6=0,Constants!$B$10,Constants!$B$10*AL279/$AL$6), 0),"")</f>
        <v/>
      </c>
      <c r="AO279" s="63" t="str">
        <f aca="false">IF(AN279&lt;&gt;"", AN279*AG279,"")</f>
        <v/>
      </c>
      <c r="AP279" s="63" t="str">
        <f aca="false">IF($AE279=Constants!$B$7,IF($AP$6=0,Constants!$B$8,Constants!$B$8*AB279/$AP$6),"")</f>
        <v/>
      </c>
      <c r="AQ279" s="63" t="str">
        <f aca="false">IF($AE279&lt;&gt;Constants!$B$7,$AE279,AK279+AO279+AP279)</f>
        <v/>
      </c>
      <c r="AR279" s="63" t="str">
        <f aca="false">IF(ISBLANK($C279),"",IF($AE279=Constants!$B$7,RANK(AQ279,$AQ$8:$AQ$507),$AE279))</f>
        <v/>
      </c>
      <c r="AS279" s="63" t="str">
        <f aca="false">IF(ISBLANK($C279), "",AK279)</f>
        <v/>
      </c>
      <c r="AT279" s="63" t="str">
        <f aca="false">IF(ISBLANK($C279),"",IF($AE279=Constants!$B$7,RANK(AS279,AS$8:AS$507),$AE279))</f>
        <v/>
      </c>
      <c r="AU279" s="63" t="str">
        <f aca="false">IF(ISBLANK($C279), "",AP279)</f>
        <v/>
      </c>
      <c r="AV279" s="63" t="str">
        <f aca="false">IF(ISBLANK($C279),"",IF($AE279=Constants!$B$7,RANK(AU279,AU$8:AU$507),$AE279))</f>
        <v/>
      </c>
      <c r="AW279" s="63" t="str">
        <f aca="false">IF(ISBLANK($C279), "",AC279)</f>
        <v/>
      </c>
      <c r="AX279" s="63" t="str">
        <f aca="false">IF(ISBLANK($C279),"",
IF($AE279=Constants!$B$7,
  COUNTIFS($AR$8:$AR$507,"&lt;"&amp;$AR279)
  + COUNTIFS($AR$8:$AR$507,$AR279,$AT$8:$AT$507,"&lt;"&amp;$AT279)
  + COUNTIFS($AR$8:$AR$507,$AR279,$AT$8:$AT$507,$AT279,$AV$8:$AV$507,"&lt;"&amp;$AV279)
  + COUNTIFS($AR$8:$AR$507,$AR279,$AT$8:$AT$507,$AT279,$AV$8:$AV$507,$AV279,$AW$8:$AW$507,"&lt;"&amp;$AW279)
  + 1,
$AE279))</f>
        <v/>
      </c>
      <c r="AY279" s="63" t="str">
        <f aca="false">IF(ISBLANK(C279),"",IF($AE279=Constants!$B$7, AR279-AX279,$AE279))</f>
        <v/>
      </c>
      <c r="AZ279" s="67"/>
      <c r="BA279" s="81" t="str">
        <f aca="false">IF(ISBLANK($C279),"",TRIM(AI279&amp;" "&amp;AM279))</f>
        <v/>
      </c>
      <c r="BB279" s="69" t="str">
        <f aca="false">IF(ISBLANK($C279),"",IF($AE279&lt;&gt;Constants!$B$7, $AE279 ,AQ279))</f>
        <v/>
      </c>
      <c r="BC279" s="70" t="str">
        <f aca="false">IF(ISBLANK($C279),"",IF($AE279&lt;&gt;Constants!$B$7, $AE279 ,AF279))</f>
        <v/>
      </c>
      <c r="BD279" s="71" t="str">
        <f aca="false">IF(ISBLANK(C279),"",AY279)</f>
        <v/>
      </c>
      <c r="BE279" s="71" t="str">
        <f aca="false">IF(ISBLANK(C279),"",AX279)</f>
        <v/>
      </c>
      <c r="BF279" s="72" t="str">
        <f aca="false">IF(ISBLANK(C279),"",IFERROR(_xlfn.SWITCH(BE279, Constants!$B$4, COUNTA($C$8:$C778)+2, Constants!$B$5, COUNTA($C$8:$C778)+1, Constants!$B$6, COUNTA($C$8:$C778)),BE279))</f>
        <v/>
      </c>
      <c r="BG279" s="5"/>
      <c r="BH279" s="73" t="n">
        <f aca="false">IF(OR(ISNUMBER(BE279),BE279="DQ",BE279="P",BE279="NS"),
    1,
    0
)</f>
        <v>0</v>
      </c>
      <c r="BI279" s="73" t="n">
        <v>272</v>
      </c>
      <c r="BJ279" s="73" t="str">
        <f aca="false">IF(ISBLANK($C279),
    "",
   BF279+ROW($B279)/1000
)</f>
        <v/>
      </c>
      <c r="BK279" s="73" t="str">
        <f aca="false">IF(ISNUMBER(BJ279), RANK(BJ279,BJ$8:BJ$507,1), "")</f>
        <v/>
      </c>
      <c r="BL279" s="73" t="str">
        <f aca="false">IF(ISBLANK($C279),
    "",
    $B279
)</f>
        <v/>
      </c>
      <c r="BM279" s="73" t="str">
        <f aca="false">IF(ISBLANK($C279),
    "",
    $C279
)</f>
        <v/>
      </c>
      <c r="BN279" s="73" t="str">
        <f aca="false">IF(ISBLANK($C279),
    "",
    $D279
)</f>
        <v/>
      </c>
      <c r="BO279" s="74" t="str">
        <f aca="false">BC279</f>
        <v/>
      </c>
      <c r="BP279" s="75" t="str">
        <f aca="false">BB279</f>
        <v/>
      </c>
      <c r="BQ279" s="73" t="str">
        <f aca="false">IF(ISBLANK($C279),
    "",
    BE279
)</f>
        <v/>
      </c>
      <c r="BR279" s="76" t="str">
        <f aca="false">IF(BI279&gt;BH$7,
    "",
    VLOOKUP(BI279,BK$8:BQ778,7,FALSE())
)</f>
        <v/>
      </c>
      <c r="BS279" s="77" t="str">
        <f aca="false">IF(BI279&gt;BH$7,
    "",
    VLOOKUP(BI279,BK$8:BQ778,2,FALSE())
)</f>
        <v/>
      </c>
      <c r="BT279" s="77" t="str">
        <f aca="false">IF(BI279&gt;BH$7,
    "",
    VLOOKUP(BI279,BK$8:BQ778,3,FALSE())
)</f>
        <v/>
      </c>
      <c r="BU279" s="77" t="str">
        <f aca="false">IF(BI279&gt;BH$7,
    "",
    VLOOKUP(BI279,BK$8:BQ778,4,FALSE())
)</f>
        <v/>
      </c>
      <c r="BV279" s="77" t="str">
        <f aca="false">IF(BI279&gt;BH$7,
    "",
    VLOOKUP(BI279,BK$8:BQ778,5,FALSE())
)</f>
        <v/>
      </c>
      <c r="BW279" s="78" t="str">
        <f aca="false">IF(BI279&gt;BH$7,
    "",
    VLOOKUP(BI279,BK$8:BQ778,6,FALSE())
)</f>
        <v/>
      </c>
      <c r="BX279" s="50"/>
    </row>
    <row r="280" customFormat="false" ht="15.75" hidden="false" customHeight="false" outlineLevel="0" collapsed="false">
      <c r="A280" s="5"/>
      <c r="B280" s="126"/>
      <c r="C280" s="52"/>
      <c r="D280" s="53"/>
      <c r="E280" s="120"/>
      <c r="F280" s="120"/>
      <c r="G280" s="55"/>
      <c r="H280" s="56"/>
      <c r="I280" s="80"/>
      <c r="J280" s="80"/>
      <c r="K280" s="80"/>
      <c r="L280" s="58"/>
      <c r="M280" s="58"/>
      <c r="N280" s="58"/>
      <c r="O280" s="59"/>
      <c r="P280" s="60"/>
      <c r="Q280" s="80"/>
      <c r="R280" s="62"/>
      <c r="S280" s="63"/>
      <c r="T280" s="63" t="str">
        <f aca="false">IF(ISBLANK($C280),"",IF(G280=Constants!$B$2, TRUE(), IF(G280=Constants!$B$3, FALSE(), TRUE())))</f>
        <v/>
      </c>
      <c r="U280" s="63" t="str">
        <f aca="false">IF(ISBLANK($C280),"",IF(H280=Constants!$B$2, TRUE(), IF(H280=Constants!$B$3, FALSE(), TRUE())))</f>
        <v/>
      </c>
      <c r="V280" s="63" t="str">
        <f aca="false">IF(ISBLANK($C280),"",IF(I280=Constants!$B$2, TRUE(), IF(I280=Constants!$B$3, FALSE(), TRUE())))</f>
        <v/>
      </c>
      <c r="W280" s="63" t="str">
        <f aca="false">IF(ISBLANK($C280),"",IF(J280=Constants!$B$2, TRUE(), IF(J280=Constants!$B$3, FALSE(), TRUE())))</f>
        <v/>
      </c>
      <c r="X280" s="63" t="str">
        <f aca="false">IF(ISBLANK($C280),"",IF(K280=Constants!$B$2, TRUE(), IF(K280=Constants!$B$3, FALSE(), TRUE())))</f>
        <v/>
      </c>
      <c r="Y280" s="65" t="str">
        <f aca="false">IF(ISBLANK($C280),"",IF(ISNUMBER(L280), L280, ""))</f>
        <v/>
      </c>
      <c r="Z280" s="65" t="str">
        <f aca="false">IF(ISBLANK($C280),"",IF(ISNUMBER(M280), M280, ""))</f>
        <v/>
      </c>
      <c r="AA280" s="65" t="str">
        <f aca="false">IF(ISBLANK($C280),"",IF(ISNUMBER(N280), N280, ""))</f>
        <v/>
      </c>
      <c r="AB280" s="66" t="str">
        <f aca="false">IF(ISBLANK($C280),"",IF(ISNUMBER(O280), O280, ""))</f>
        <v/>
      </c>
      <c r="AC280" s="66" t="str">
        <f aca="false">IF(ISBLANK($C280),"",IF(ISNUMBER(P280), P280, Constants!$B$13))</f>
        <v/>
      </c>
      <c r="AD280" s="63" t="str">
        <f aca="false">IF(ISBLANK($C280),"",IF(Q280=Constants!$B$2, TRUE(), IF(Q280=Constants!$B$3, FALSE(), FALSE())))</f>
        <v/>
      </c>
      <c r="AE280" s="63" t="str">
        <f aca="false">IF(ISBLANK(C280), "", IF(AD280, Constants!$B$4,IF(COUNTA(G280:O280)=0, Constants!$B$5, Constants!$B$7)))</f>
        <v/>
      </c>
      <c r="AF280" s="63" t="str">
        <f aca="false">IF(ISBLANK($C280), "",IF($AE280=Constants!$B$7,1,$AE280))</f>
        <v/>
      </c>
      <c r="AG280" s="63" t="str">
        <f aca="false">IF($AE280=Constants!$B$7,IF(V280, 1, Constants!$B$11) * IF(X280, 1, Constants!$B$12),"")</f>
        <v/>
      </c>
      <c r="AH280" s="63" t="str">
        <f aca="false">IF(AND($AE280=Constants!$B$7, T280, U280) ,MAX(0, $AA280-$Y280),"")</f>
        <v/>
      </c>
      <c r="AI280" s="63" t="str">
        <f aca="false">IF(ISERROR(AH280),$AI$6,"")</f>
        <v/>
      </c>
      <c r="AJ280" s="63" t="str">
        <f aca="false">IF($AE280=Constants!$B$7,IF(AND(T280,U280,W280),IF($AH$6=0,Constants!$B$9,Constants!$B$9*AH280/$AH$6), 0),"")</f>
        <v/>
      </c>
      <c r="AK280" s="63" t="str">
        <f aca="false">IF(AJ280&lt;&gt;"", AJ280*AG280,"")</f>
        <v/>
      </c>
      <c r="AL280" s="63" t="str">
        <f aca="false">IF(AND($AE280=Constants!$B$7, T280, U280) ,IF($Z280="", "", MAX(0,1-ABS($AA280-$Z280)/$AA280)),"")</f>
        <v/>
      </c>
      <c r="AM280" s="63" t="str">
        <f aca="false">IF(AND(NOT(ISERROR(AH280)),ISERROR(AL280)),$AM$6,"")</f>
        <v/>
      </c>
      <c r="AN280" s="63" t="str">
        <f aca="false">IF($AE280=Constants!$B$7 ,IF(AND(T280,U280,W280,ISNUMBER(Z280)),IF($AL$6=0,Constants!$B$10,Constants!$B$10*AL280/$AL$6), 0),"")</f>
        <v/>
      </c>
      <c r="AO280" s="63" t="str">
        <f aca="false">IF(AN280&lt;&gt;"", AN280*AG280,"")</f>
        <v/>
      </c>
      <c r="AP280" s="63" t="str">
        <f aca="false">IF($AE280=Constants!$B$7,IF($AP$6=0,Constants!$B$8,Constants!$B$8*AB280/$AP$6),"")</f>
        <v/>
      </c>
      <c r="AQ280" s="63" t="str">
        <f aca="false">IF($AE280&lt;&gt;Constants!$B$7,$AE280,AK280+AO280+AP280)</f>
        <v/>
      </c>
      <c r="AR280" s="63" t="str">
        <f aca="false">IF(ISBLANK($C280),"",IF($AE280=Constants!$B$7,RANK(AQ280,$AQ$8:$AQ$507),$AE280))</f>
        <v/>
      </c>
      <c r="AS280" s="63" t="str">
        <f aca="false">IF(ISBLANK($C280), "",AK280)</f>
        <v/>
      </c>
      <c r="AT280" s="63" t="str">
        <f aca="false">IF(ISBLANK($C280),"",IF($AE280=Constants!$B$7,RANK(AS280,AS$8:AS$507),$AE280))</f>
        <v/>
      </c>
      <c r="AU280" s="63" t="str">
        <f aca="false">IF(ISBLANK($C280), "",AP280)</f>
        <v/>
      </c>
      <c r="AV280" s="63" t="str">
        <f aca="false">IF(ISBLANK($C280),"",IF($AE280=Constants!$B$7,RANK(AU280,AU$8:AU$507),$AE280))</f>
        <v/>
      </c>
      <c r="AW280" s="63" t="str">
        <f aca="false">IF(ISBLANK($C280), "",AC280)</f>
        <v/>
      </c>
      <c r="AX280" s="63" t="str">
        <f aca="false">IF(ISBLANK($C280),"",
IF($AE280=Constants!$B$7,
  COUNTIFS($AR$8:$AR$507,"&lt;"&amp;$AR280)
  + COUNTIFS($AR$8:$AR$507,$AR280,$AT$8:$AT$507,"&lt;"&amp;$AT280)
  + COUNTIFS($AR$8:$AR$507,$AR280,$AT$8:$AT$507,$AT280,$AV$8:$AV$507,"&lt;"&amp;$AV280)
  + COUNTIFS($AR$8:$AR$507,$AR280,$AT$8:$AT$507,$AT280,$AV$8:$AV$507,$AV280,$AW$8:$AW$507,"&lt;"&amp;$AW280)
  + 1,
$AE280))</f>
        <v/>
      </c>
      <c r="AY280" s="63" t="str">
        <f aca="false">IF(ISBLANK(C280),"",IF($AE280=Constants!$B$7, AR280-AX280,$AE280))</f>
        <v/>
      </c>
      <c r="AZ280" s="67"/>
      <c r="BA280" s="81" t="str">
        <f aca="false">IF(ISBLANK($C280),"",TRIM(AI280&amp;" "&amp;AM280))</f>
        <v/>
      </c>
      <c r="BB280" s="69" t="str">
        <f aca="false">IF(ISBLANK($C280),"",IF($AE280&lt;&gt;Constants!$B$7, $AE280 ,AQ280))</f>
        <v/>
      </c>
      <c r="BC280" s="70" t="str">
        <f aca="false">IF(ISBLANK($C280),"",IF($AE280&lt;&gt;Constants!$B$7, $AE280 ,AF280))</f>
        <v/>
      </c>
      <c r="BD280" s="71" t="str">
        <f aca="false">IF(ISBLANK(C280),"",AY280)</f>
        <v/>
      </c>
      <c r="BE280" s="71" t="str">
        <f aca="false">IF(ISBLANK(C280),"",AX280)</f>
        <v/>
      </c>
      <c r="BF280" s="72" t="str">
        <f aca="false">IF(ISBLANK(C280),"",IFERROR(_xlfn.SWITCH(BE280, Constants!$B$4, COUNTA($C$8:$C779)+2, Constants!$B$5, COUNTA($C$8:$C779)+1, Constants!$B$6, COUNTA($C$8:$C779)),BE280))</f>
        <v/>
      </c>
      <c r="BG280" s="5"/>
      <c r="BH280" s="73" t="n">
        <f aca="false">IF(OR(ISNUMBER(BE280),BE280="DQ",BE280="P",BE280="NS"),
    1,
    0
)</f>
        <v>0</v>
      </c>
      <c r="BI280" s="73" t="n">
        <v>273</v>
      </c>
      <c r="BJ280" s="73" t="str">
        <f aca="false">IF(ISBLANK($C280),
    "",
   BF280+ROW($B280)/1000
)</f>
        <v/>
      </c>
      <c r="BK280" s="73" t="str">
        <f aca="false">IF(ISNUMBER(BJ280), RANK(BJ280,BJ$8:BJ$507,1), "")</f>
        <v/>
      </c>
      <c r="BL280" s="73" t="str">
        <f aca="false">IF(ISBLANK($C280),
    "",
    $B280
)</f>
        <v/>
      </c>
      <c r="BM280" s="73" t="str">
        <f aca="false">IF(ISBLANK($C280),
    "",
    $C280
)</f>
        <v/>
      </c>
      <c r="BN280" s="73" t="str">
        <f aca="false">IF(ISBLANK($C280),
    "",
    $D280
)</f>
        <v/>
      </c>
      <c r="BO280" s="74" t="str">
        <f aca="false">BC280</f>
        <v/>
      </c>
      <c r="BP280" s="75" t="str">
        <f aca="false">BB280</f>
        <v/>
      </c>
      <c r="BQ280" s="73" t="str">
        <f aca="false">IF(ISBLANK($C280),
    "",
    BE280
)</f>
        <v/>
      </c>
      <c r="BR280" s="76" t="str">
        <f aca="false">IF(BI280&gt;BH$7,
    "",
    VLOOKUP(BI280,BK$8:BQ779,7,FALSE())
)</f>
        <v/>
      </c>
      <c r="BS280" s="77" t="str">
        <f aca="false">IF(BI280&gt;BH$7,
    "",
    VLOOKUP(BI280,BK$8:BQ779,2,FALSE())
)</f>
        <v/>
      </c>
      <c r="BT280" s="77" t="str">
        <f aca="false">IF(BI280&gt;BH$7,
    "",
    VLOOKUP(BI280,BK$8:BQ779,3,FALSE())
)</f>
        <v/>
      </c>
      <c r="BU280" s="77" t="str">
        <f aca="false">IF(BI280&gt;BH$7,
    "",
    VLOOKUP(BI280,BK$8:BQ779,4,FALSE())
)</f>
        <v/>
      </c>
      <c r="BV280" s="77" t="str">
        <f aca="false">IF(BI280&gt;BH$7,
    "",
    VLOOKUP(BI280,BK$8:BQ779,5,FALSE())
)</f>
        <v/>
      </c>
      <c r="BW280" s="78" t="str">
        <f aca="false">IF(BI280&gt;BH$7,
    "",
    VLOOKUP(BI280,BK$8:BQ779,6,FALSE())
)</f>
        <v/>
      </c>
      <c r="BX280" s="50"/>
    </row>
    <row r="281" customFormat="false" ht="15.75" hidden="false" customHeight="false" outlineLevel="0" collapsed="false">
      <c r="A281" s="5"/>
      <c r="B281" s="122"/>
      <c r="C281" s="123"/>
      <c r="D281" s="112"/>
      <c r="E281" s="116"/>
      <c r="F281" s="116"/>
      <c r="G281" s="88"/>
      <c r="H281" s="89"/>
      <c r="I281" s="125"/>
      <c r="J281" s="125"/>
      <c r="K281" s="125"/>
      <c r="L281" s="91"/>
      <c r="M281" s="91"/>
      <c r="N281" s="91"/>
      <c r="O281" s="92"/>
      <c r="P281" s="93"/>
      <c r="Q281" s="125"/>
      <c r="R281" s="95"/>
      <c r="S281" s="96"/>
      <c r="T281" s="96" t="str">
        <f aca="false">IF(ISBLANK($C281),"",IF(G281=Constants!$B$2, TRUE(), IF(G281=Constants!$B$3, FALSE(), TRUE())))</f>
        <v/>
      </c>
      <c r="U281" s="96" t="str">
        <f aca="false">IF(ISBLANK($C281),"",IF(H281=Constants!$B$2, TRUE(), IF(H281=Constants!$B$3, FALSE(), TRUE())))</f>
        <v/>
      </c>
      <c r="V281" s="96" t="str">
        <f aca="false">IF(ISBLANK($C281),"",IF(I281=Constants!$B$2, TRUE(), IF(I281=Constants!$B$3, FALSE(), TRUE())))</f>
        <v/>
      </c>
      <c r="W281" s="96" t="str">
        <f aca="false">IF(ISBLANK($C281),"",IF(J281=Constants!$B$2, TRUE(), IF(J281=Constants!$B$3, FALSE(), TRUE())))</f>
        <v/>
      </c>
      <c r="X281" s="97" t="str">
        <f aca="false">IF(ISBLANK($C281),"",IF(K281=Constants!$B$2, TRUE(), IF(K281=Constants!$B$3, FALSE(), TRUE())))</f>
        <v/>
      </c>
      <c r="Y281" s="98" t="str">
        <f aca="false">IF(ISBLANK($C281),"",IF(ISNUMBER(L281), L281, ""))</f>
        <v/>
      </c>
      <c r="Z281" s="98" t="str">
        <f aca="false">IF(ISBLANK($C281),"",IF(ISNUMBER(M281), M281, ""))</f>
        <v/>
      </c>
      <c r="AA281" s="98" t="str">
        <f aca="false">IF(ISBLANK($C281),"",IF(ISNUMBER(N281), N281, ""))</f>
        <v/>
      </c>
      <c r="AB281" s="99" t="str">
        <f aca="false">IF(ISBLANK($C281),"",IF(ISNUMBER(O281), O281, ""))</f>
        <v/>
      </c>
      <c r="AC281" s="99" t="str">
        <f aca="false">IF(ISBLANK($C281),"",IF(ISNUMBER(P281), P281, Constants!$B$13))</f>
        <v/>
      </c>
      <c r="AD281" s="96" t="str">
        <f aca="false">IF(ISBLANK($C281),"",IF(Q281=Constants!$B$2, TRUE(), IF(Q281=Constants!$B$3, FALSE(), FALSE())))</f>
        <v/>
      </c>
      <c r="AE281" s="96" t="str">
        <f aca="false">IF(ISBLANK(C281), "", IF(AD281, Constants!$B$4,IF(COUNTA(G281:O281)=0, Constants!$B$5, Constants!$B$7)))</f>
        <v/>
      </c>
      <c r="AF281" s="96" t="str">
        <f aca="false">IF(ISBLANK($C281), "",IF($AE281=Constants!$B$7,1,$AE281))</f>
        <v/>
      </c>
      <c r="AG281" s="96" t="str">
        <f aca="false">IF($AE281=Constants!$B$7,IF(V281, 1, Constants!$B$11) * IF(X281, 1, Constants!$B$12),"")</f>
        <v/>
      </c>
      <c r="AH281" s="96" t="str">
        <f aca="false">IF(AND($AE281=Constants!$B$7, T281, U281) ,MAX(0, $AA281-$Y281),"")</f>
        <v/>
      </c>
      <c r="AI281" s="96" t="str">
        <f aca="false">IF(ISERROR(AH281),$AI$6,"")</f>
        <v/>
      </c>
      <c r="AJ281" s="96" t="str">
        <f aca="false">IF($AE281=Constants!$B$7,IF(AND(T281,U281,W281),IF($AH$6=0,Constants!$B$9,Constants!$B$9*AH281/$AH$6), 0),"")</f>
        <v/>
      </c>
      <c r="AK281" s="96" t="str">
        <f aca="false">IF(AJ281&lt;&gt;"", AJ281*AG281,"")</f>
        <v/>
      </c>
      <c r="AL281" s="96" t="str">
        <f aca="false">IF(AND($AE281=Constants!$B$7, T281, U281) ,IF($Z281="", "", MAX(0,1-ABS($AA281-$Z281)/$AA281)),"")</f>
        <v/>
      </c>
      <c r="AM281" s="96" t="str">
        <f aca="false">IF(AND(NOT(ISERROR(AH281)),ISERROR(AL281)),$AM$6,"")</f>
        <v/>
      </c>
      <c r="AN281" s="96" t="str">
        <f aca="false">IF($AE281=Constants!$B$7 ,IF(AND(T281,U281,W281,ISNUMBER(Z281)),IF($AL$6=0,Constants!$B$10,Constants!$B$10*AL281/$AL$6), 0),"")</f>
        <v/>
      </c>
      <c r="AO281" s="96" t="str">
        <f aca="false">IF(AN281&lt;&gt;"", AN281*AG281,"")</f>
        <v/>
      </c>
      <c r="AP281" s="96" t="str">
        <f aca="false">IF($AE281=Constants!$B$7,IF($AP$6=0,Constants!$B$8,Constants!$B$8*AB281/$AP$6),"")</f>
        <v/>
      </c>
      <c r="AQ281" s="96" t="str">
        <f aca="false">IF($AE281&lt;&gt;Constants!$B$7,$AE281,AK281+AO281+AP281)</f>
        <v/>
      </c>
      <c r="AR281" s="96" t="str">
        <f aca="false">IF(ISBLANK($C281),"",IF($AE281=Constants!$B$7,RANK(AQ281,$AQ$8:$AQ$507),$AE281))</f>
        <v/>
      </c>
      <c r="AS281" s="96" t="str">
        <f aca="false">IF(ISBLANK($C281), "",AK281)</f>
        <v/>
      </c>
      <c r="AT281" s="96" t="str">
        <f aca="false">IF(ISBLANK($C281),"",IF($AE281=Constants!$B$7,RANK(AS281,AS$8:AS$507),$AE281))</f>
        <v/>
      </c>
      <c r="AU281" s="96" t="str">
        <f aca="false">IF(ISBLANK($C281), "",AP281)</f>
        <v/>
      </c>
      <c r="AV281" s="96" t="str">
        <f aca="false">IF(ISBLANK($C281),"",IF($AE281=Constants!$B$7,RANK(AU281,AU$8:AU$507),$AE281))</f>
        <v/>
      </c>
      <c r="AW281" s="96" t="str">
        <f aca="false">IF(ISBLANK($C281), "",AC281)</f>
        <v/>
      </c>
      <c r="AX281" s="96" t="str">
        <f aca="false">IF(ISBLANK($C281),"",
IF($AE281=Constants!$B$7,
  COUNTIFS($AR$8:$AR$507,"&lt;"&amp;$AR281)
  + COUNTIFS($AR$8:$AR$507,$AR281,$AT$8:$AT$507,"&lt;"&amp;$AT281)
  + COUNTIFS($AR$8:$AR$507,$AR281,$AT$8:$AT$507,$AT281,$AV$8:$AV$507,"&lt;"&amp;$AV281)
  + COUNTIFS($AR$8:$AR$507,$AR281,$AT$8:$AT$507,$AT281,$AV$8:$AV$507,$AV281,$AW$8:$AW$507,"&lt;"&amp;$AW281)
  + 1,
$AE281))</f>
        <v/>
      </c>
      <c r="AY281" s="96" t="str">
        <f aca="false">IF(ISBLANK(C281),"",IF($AE281=Constants!$B$7, AR281-AX281,$AE281))</f>
        <v/>
      </c>
      <c r="AZ281" s="100"/>
      <c r="BA281" s="101" t="str">
        <f aca="false">IF(ISBLANK($C281),"",TRIM(AI281&amp;" "&amp;AM281))</f>
        <v/>
      </c>
      <c r="BB281" s="102" t="str">
        <f aca="false">IF(ISBLANK($C281),"",IF($AE281&lt;&gt;Constants!$B$7, $AE281 ,AQ281))</f>
        <v/>
      </c>
      <c r="BC281" s="103" t="str">
        <f aca="false">IF(ISBLANK($C281),"",IF($AE281&lt;&gt;Constants!$B$7, $AE281 ,AF281))</f>
        <v/>
      </c>
      <c r="BD281" s="104" t="str">
        <f aca="false">IF(ISBLANK(C281),"",AY281)</f>
        <v/>
      </c>
      <c r="BE281" s="104" t="str">
        <f aca="false">IF(ISBLANK(C281),"",AX281)</f>
        <v/>
      </c>
      <c r="BF281" s="105" t="str">
        <f aca="false">IF(ISBLANK(C281),"",IFERROR(_xlfn.SWITCH(BE281, Constants!$B$4, COUNTA($C$8:$C780)+2, Constants!$B$5, COUNTA($C$8:$C780)+1, Constants!$B$6, COUNTA($C$8:$C780)),BE281))</f>
        <v/>
      </c>
      <c r="BG281" s="5"/>
      <c r="BH281" s="106" t="n">
        <f aca="false">IF(OR(ISNUMBER(BE281),BE281="DQ",BE281="P",BE281="NS"),
    1,
    0
)</f>
        <v>0</v>
      </c>
      <c r="BI281" s="106" t="n">
        <v>274</v>
      </c>
      <c r="BJ281" s="106" t="str">
        <f aca="false">IF(ISBLANK($C281),
    "",
   BF281+ROW($B281)/1000
)</f>
        <v/>
      </c>
      <c r="BK281" s="106" t="str">
        <f aca="false">IF(ISNUMBER(BJ281), RANK(BJ281,BJ$8:BJ$507,1), "")</f>
        <v/>
      </c>
      <c r="BL281" s="106" t="str">
        <f aca="false">IF(ISBLANK($C281),
    "",
    $B281
)</f>
        <v/>
      </c>
      <c r="BM281" s="106" t="str">
        <f aca="false">IF(ISBLANK($C281),
    "",
    $C281
)</f>
        <v/>
      </c>
      <c r="BN281" s="106" t="str">
        <f aca="false">IF(ISBLANK($C281),
    "",
    $D281
)</f>
        <v/>
      </c>
      <c r="BO281" s="107" t="str">
        <f aca="false">BC281</f>
        <v/>
      </c>
      <c r="BP281" s="108" t="str">
        <f aca="false">BB281</f>
        <v/>
      </c>
      <c r="BQ281" s="106" t="str">
        <f aca="false">IF(ISBLANK($C281),
    "",
    BE281
)</f>
        <v/>
      </c>
      <c r="BR281" s="109" t="str">
        <f aca="false">IF(BI281&gt;BH$7,
    "",
    VLOOKUP(BI281,BK$8:BQ780,7,FALSE())
)</f>
        <v/>
      </c>
      <c r="BS281" s="110" t="str">
        <f aca="false">IF(BI281&gt;BH$7,
    "",
    VLOOKUP(BI281,BK$8:BQ780,2,FALSE())
)</f>
        <v/>
      </c>
      <c r="BT281" s="110" t="str">
        <f aca="false">IF(BI281&gt;BH$7,
    "",
    VLOOKUP(BI281,BK$8:BQ780,3,FALSE())
)</f>
        <v/>
      </c>
      <c r="BU281" s="110" t="str">
        <f aca="false">IF(BI281&gt;BH$7,
    "",
    VLOOKUP(BI281,BK$8:BQ780,4,FALSE())
)</f>
        <v/>
      </c>
      <c r="BV281" s="110" t="str">
        <f aca="false">IF(BI281&gt;BH$7,
    "",
    VLOOKUP(BI281,BK$8:BQ780,5,FALSE())
)</f>
        <v/>
      </c>
      <c r="BW281" s="111" t="str">
        <f aca="false">IF(BI281&gt;BH$7,
    "",
    VLOOKUP(BI281,BK$8:BQ780,6,FALSE())
)</f>
        <v/>
      </c>
      <c r="BX281" s="50"/>
    </row>
    <row r="282" customFormat="false" ht="15.75" hidden="false" customHeight="false" outlineLevel="0" collapsed="false">
      <c r="A282" s="5"/>
      <c r="B282" s="122"/>
      <c r="C282" s="123"/>
      <c r="D282" s="112"/>
      <c r="E282" s="116"/>
      <c r="F282" s="116"/>
      <c r="G282" s="88"/>
      <c r="H282" s="89"/>
      <c r="I282" s="125"/>
      <c r="J282" s="125"/>
      <c r="K282" s="125"/>
      <c r="L282" s="91"/>
      <c r="M282" s="91"/>
      <c r="N282" s="91"/>
      <c r="O282" s="92"/>
      <c r="P282" s="93"/>
      <c r="Q282" s="125"/>
      <c r="R282" s="95"/>
      <c r="S282" s="96"/>
      <c r="T282" s="96" t="str">
        <f aca="false">IF(ISBLANK($C282),"",IF(G282=Constants!$B$2, TRUE(), IF(G282=Constants!$B$3, FALSE(), TRUE())))</f>
        <v/>
      </c>
      <c r="U282" s="96" t="str">
        <f aca="false">IF(ISBLANK($C282),"",IF(H282=Constants!$B$2, TRUE(), IF(H282=Constants!$B$3, FALSE(), TRUE())))</f>
        <v/>
      </c>
      <c r="V282" s="96" t="str">
        <f aca="false">IF(ISBLANK($C282),"",IF(I282=Constants!$B$2, TRUE(), IF(I282=Constants!$B$3, FALSE(), TRUE())))</f>
        <v/>
      </c>
      <c r="W282" s="96" t="str">
        <f aca="false">IF(ISBLANK($C282),"",IF(J282=Constants!$B$2, TRUE(), IF(J282=Constants!$B$3, FALSE(), TRUE())))</f>
        <v/>
      </c>
      <c r="X282" s="97" t="str">
        <f aca="false">IF(ISBLANK($C282),"",IF(K282=Constants!$B$2, TRUE(), IF(K282=Constants!$B$3, FALSE(), TRUE())))</f>
        <v/>
      </c>
      <c r="Y282" s="98" t="str">
        <f aca="false">IF(ISBLANK($C282),"",IF(ISNUMBER(L282), L282, ""))</f>
        <v/>
      </c>
      <c r="Z282" s="98" t="str">
        <f aca="false">IF(ISBLANK($C282),"",IF(ISNUMBER(M282), M282, ""))</f>
        <v/>
      </c>
      <c r="AA282" s="98" t="str">
        <f aca="false">IF(ISBLANK($C282),"",IF(ISNUMBER(N282), N282, ""))</f>
        <v/>
      </c>
      <c r="AB282" s="99" t="str">
        <f aca="false">IF(ISBLANK($C282),"",IF(ISNUMBER(O282), O282, ""))</f>
        <v/>
      </c>
      <c r="AC282" s="99" t="str">
        <f aca="false">IF(ISBLANK($C282),"",IF(ISNUMBER(P282), P282, Constants!$B$13))</f>
        <v/>
      </c>
      <c r="AD282" s="96" t="str">
        <f aca="false">IF(ISBLANK($C282),"",IF(Q282=Constants!$B$2, TRUE(), IF(Q282=Constants!$B$3, FALSE(), FALSE())))</f>
        <v/>
      </c>
      <c r="AE282" s="96" t="str">
        <f aca="false">IF(ISBLANK(C282), "", IF(AD282, Constants!$B$4,IF(COUNTA(G282:O282)=0, Constants!$B$5, Constants!$B$7)))</f>
        <v/>
      </c>
      <c r="AF282" s="96" t="str">
        <f aca="false">IF(ISBLANK($C282), "",IF($AE282=Constants!$B$7,1,$AE282))</f>
        <v/>
      </c>
      <c r="AG282" s="96" t="str">
        <f aca="false">IF($AE282=Constants!$B$7,IF(V282, 1, Constants!$B$11) * IF(X282, 1, Constants!$B$12),"")</f>
        <v/>
      </c>
      <c r="AH282" s="96" t="str">
        <f aca="false">IF(AND($AE282=Constants!$B$7, T282, U282) ,MAX(0, $AA282-$Y282),"")</f>
        <v/>
      </c>
      <c r="AI282" s="96" t="str">
        <f aca="false">IF(ISERROR(AH282),$AI$6,"")</f>
        <v/>
      </c>
      <c r="AJ282" s="96" t="str">
        <f aca="false">IF($AE282=Constants!$B$7,IF(AND(T282,U282,W282),IF($AH$6=0,Constants!$B$9,Constants!$B$9*AH282/$AH$6), 0),"")</f>
        <v/>
      </c>
      <c r="AK282" s="96" t="str">
        <f aca="false">IF(AJ282&lt;&gt;"", AJ282*AG282,"")</f>
        <v/>
      </c>
      <c r="AL282" s="96" t="str">
        <f aca="false">IF(AND($AE282=Constants!$B$7, T282, U282) ,IF($Z282="", "", MAX(0,1-ABS($AA282-$Z282)/$AA282)),"")</f>
        <v/>
      </c>
      <c r="AM282" s="96" t="str">
        <f aca="false">IF(AND(NOT(ISERROR(AH282)),ISERROR(AL282)),$AM$6,"")</f>
        <v/>
      </c>
      <c r="AN282" s="96" t="str">
        <f aca="false">IF($AE282=Constants!$B$7 ,IF(AND(T282,U282,W282,ISNUMBER(Z282)),IF($AL$6=0,Constants!$B$10,Constants!$B$10*AL282/$AL$6), 0),"")</f>
        <v/>
      </c>
      <c r="AO282" s="96" t="str">
        <f aca="false">IF(AN282&lt;&gt;"", AN282*AG282,"")</f>
        <v/>
      </c>
      <c r="AP282" s="96" t="str">
        <f aca="false">IF($AE282=Constants!$B$7,IF($AP$6=0,Constants!$B$8,Constants!$B$8*AB282/$AP$6),"")</f>
        <v/>
      </c>
      <c r="AQ282" s="96" t="str">
        <f aca="false">IF($AE282&lt;&gt;Constants!$B$7,$AE282,AK282+AO282+AP282)</f>
        <v/>
      </c>
      <c r="AR282" s="96" t="str">
        <f aca="false">IF(ISBLANK($C282),"",IF($AE282=Constants!$B$7,RANK(AQ282,$AQ$8:$AQ$507),$AE282))</f>
        <v/>
      </c>
      <c r="AS282" s="96" t="str">
        <f aca="false">IF(ISBLANK($C282), "",AK282)</f>
        <v/>
      </c>
      <c r="AT282" s="96" t="str">
        <f aca="false">IF(ISBLANK($C282),"",IF($AE282=Constants!$B$7,RANK(AS282,AS$8:AS$507),$AE282))</f>
        <v/>
      </c>
      <c r="AU282" s="96" t="str">
        <f aca="false">IF(ISBLANK($C282), "",AP282)</f>
        <v/>
      </c>
      <c r="AV282" s="96" t="str">
        <f aca="false">IF(ISBLANK($C282),"",IF($AE282=Constants!$B$7,RANK(AU282,AU$8:AU$507),$AE282))</f>
        <v/>
      </c>
      <c r="AW282" s="96" t="str">
        <f aca="false">IF(ISBLANK($C282), "",AC282)</f>
        <v/>
      </c>
      <c r="AX282" s="96" t="str">
        <f aca="false">IF(ISBLANK($C282),"",
IF($AE282=Constants!$B$7,
  COUNTIFS($AR$8:$AR$507,"&lt;"&amp;$AR282)
  + COUNTIFS($AR$8:$AR$507,$AR282,$AT$8:$AT$507,"&lt;"&amp;$AT282)
  + COUNTIFS($AR$8:$AR$507,$AR282,$AT$8:$AT$507,$AT282,$AV$8:$AV$507,"&lt;"&amp;$AV282)
  + COUNTIFS($AR$8:$AR$507,$AR282,$AT$8:$AT$507,$AT282,$AV$8:$AV$507,$AV282,$AW$8:$AW$507,"&lt;"&amp;$AW282)
  + 1,
$AE282))</f>
        <v/>
      </c>
      <c r="AY282" s="96" t="str">
        <f aca="false">IF(ISBLANK(C282),"",IF($AE282=Constants!$B$7, AR282-AX282,$AE282))</f>
        <v/>
      </c>
      <c r="AZ282" s="100"/>
      <c r="BA282" s="101" t="str">
        <f aca="false">IF(ISBLANK($C282),"",TRIM(AI282&amp;" "&amp;AM282))</f>
        <v/>
      </c>
      <c r="BB282" s="102" t="str">
        <f aca="false">IF(ISBLANK($C282),"",IF($AE282&lt;&gt;Constants!$B$7, $AE282 ,AQ282))</f>
        <v/>
      </c>
      <c r="BC282" s="103" t="str">
        <f aca="false">IF(ISBLANK($C282),"",IF($AE282&lt;&gt;Constants!$B$7, $AE282 ,AF282))</f>
        <v/>
      </c>
      <c r="BD282" s="104" t="str">
        <f aca="false">IF(ISBLANK(C282),"",AY282)</f>
        <v/>
      </c>
      <c r="BE282" s="104" t="str">
        <f aca="false">IF(ISBLANK(C282),"",AX282)</f>
        <v/>
      </c>
      <c r="BF282" s="105" t="str">
        <f aca="false">IF(ISBLANK(C282),"",IFERROR(_xlfn.SWITCH(BE282, Constants!$B$4, COUNTA($C$8:$C781)+2, Constants!$B$5, COUNTA($C$8:$C781)+1, Constants!$B$6, COUNTA($C$8:$C781)),BE282))</f>
        <v/>
      </c>
      <c r="BG282" s="5"/>
      <c r="BH282" s="106" t="n">
        <f aca="false">IF(OR(ISNUMBER(BE282),BE282="DQ",BE282="P",BE282="NS"),
    1,
    0
)</f>
        <v>0</v>
      </c>
      <c r="BI282" s="106" t="n">
        <v>275</v>
      </c>
      <c r="BJ282" s="106" t="str">
        <f aca="false">IF(ISBLANK($C282),
    "",
   BF282+ROW($B282)/1000
)</f>
        <v/>
      </c>
      <c r="BK282" s="106" t="str">
        <f aca="false">IF(ISNUMBER(BJ282), RANK(BJ282,BJ$8:BJ$507,1), "")</f>
        <v/>
      </c>
      <c r="BL282" s="106" t="str">
        <f aca="false">IF(ISBLANK($C282),
    "",
    $B282
)</f>
        <v/>
      </c>
      <c r="BM282" s="106" t="str">
        <f aca="false">IF(ISBLANK($C282),
    "",
    $C282
)</f>
        <v/>
      </c>
      <c r="BN282" s="106" t="str">
        <f aca="false">IF(ISBLANK($C282),
    "",
    $D282
)</f>
        <v/>
      </c>
      <c r="BO282" s="107" t="str">
        <f aca="false">BC282</f>
        <v/>
      </c>
      <c r="BP282" s="108" t="str">
        <f aca="false">BB282</f>
        <v/>
      </c>
      <c r="BQ282" s="106" t="str">
        <f aca="false">IF(ISBLANK($C282),
    "",
    BE282
)</f>
        <v/>
      </c>
      <c r="BR282" s="109" t="str">
        <f aca="false">IF(BI282&gt;BH$7,
    "",
    VLOOKUP(BI282,BK$8:BQ781,7,FALSE())
)</f>
        <v/>
      </c>
      <c r="BS282" s="110" t="str">
        <f aca="false">IF(BI282&gt;BH$7,
    "",
    VLOOKUP(BI282,BK$8:BQ781,2,FALSE())
)</f>
        <v/>
      </c>
      <c r="BT282" s="110" t="str">
        <f aca="false">IF(BI282&gt;BH$7,
    "",
    VLOOKUP(BI282,BK$8:BQ781,3,FALSE())
)</f>
        <v/>
      </c>
      <c r="BU282" s="110" t="str">
        <f aca="false">IF(BI282&gt;BH$7,
    "",
    VLOOKUP(BI282,BK$8:BQ781,4,FALSE())
)</f>
        <v/>
      </c>
      <c r="BV282" s="110" t="str">
        <f aca="false">IF(BI282&gt;BH$7,
    "",
    VLOOKUP(BI282,BK$8:BQ781,5,FALSE())
)</f>
        <v/>
      </c>
      <c r="BW282" s="111" t="str">
        <f aca="false">IF(BI282&gt;BH$7,
    "",
    VLOOKUP(BI282,BK$8:BQ781,6,FALSE())
)</f>
        <v/>
      </c>
      <c r="BX282" s="50"/>
    </row>
    <row r="283" customFormat="false" ht="15.75" hidden="false" customHeight="false" outlineLevel="0" collapsed="false">
      <c r="A283" s="5"/>
      <c r="B283" s="122"/>
      <c r="C283" s="123"/>
      <c r="D283" s="112"/>
      <c r="E283" s="116"/>
      <c r="F283" s="116"/>
      <c r="G283" s="88"/>
      <c r="H283" s="89"/>
      <c r="I283" s="125"/>
      <c r="J283" s="125"/>
      <c r="K283" s="125"/>
      <c r="L283" s="91"/>
      <c r="M283" s="91"/>
      <c r="N283" s="91"/>
      <c r="O283" s="92"/>
      <c r="P283" s="93"/>
      <c r="Q283" s="125"/>
      <c r="R283" s="95"/>
      <c r="S283" s="96"/>
      <c r="T283" s="96" t="str">
        <f aca="false">IF(ISBLANK($C283),"",IF(G283=Constants!$B$2, TRUE(), IF(G283=Constants!$B$3, FALSE(), TRUE())))</f>
        <v/>
      </c>
      <c r="U283" s="96" t="str">
        <f aca="false">IF(ISBLANK($C283),"",IF(H283=Constants!$B$2, TRUE(), IF(H283=Constants!$B$3, FALSE(), TRUE())))</f>
        <v/>
      </c>
      <c r="V283" s="96" t="str">
        <f aca="false">IF(ISBLANK($C283),"",IF(I283=Constants!$B$2, TRUE(), IF(I283=Constants!$B$3, FALSE(), TRUE())))</f>
        <v/>
      </c>
      <c r="W283" s="96" t="str">
        <f aca="false">IF(ISBLANK($C283),"",IF(J283=Constants!$B$2, TRUE(), IF(J283=Constants!$B$3, FALSE(), TRUE())))</f>
        <v/>
      </c>
      <c r="X283" s="97" t="str">
        <f aca="false">IF(ISBLANK($C283),"",IF(K283=Constants!$B$2, TRUE(), IF(K283=Constants!$B$3, FALSE(), TRUE())))</f>
        <v/>
      </c>
      <c r="Y283" s="98" t="str">
        <f aca="false">IF(ISBLANK($C283),"",IF(ISNUMBER(L283), L283, ""))</f>
        <v/>
      </c>
      <c r="Z283" s="98" t="str">
        <f aca="false">IF(ISBLANK($C283),"",IF(ISNUMBER(M283), M283, ""))</f>
        <v/>
      </c>
      <c r="AA283" s="98" t="str">
        <f aca="false">IF(ISBLANK($C283),"",IF(ISNUMBER(N283), N283, ""))</f>
        <v/>
      </c>
      <c r="AB283" s="99" t="str">
        <f aca="false">IF(ISBLANK($C283),"",IF(ISNUMBER(O283), O283, ""))</f>
        <v/>
      </c>
      <c r="AC283" s="99" t="str">
        <f aca="false">IF(ISBLANK($C283),"",IF(ISNUMBER(P283), P283, Constants!$B$13))</f>
        <v/>
      </c>
      <c r="AD283" s="96" t="str">
        <f aca="false">IF(ISBLANK($C283),"",IF(Q283=Constants!$B$2, TRUE(), IF(Q283=Constants!$B$3, FALSE(), FALSE())))</f>
        <v/>
      </c>
      <c r="AE283" s="96" t="str">
        <f aca="false">IF(ISBLANK(C283), "", IF(AD283, Constants!$B$4,IF(COUNTA(G283:O283)=0, Constants!$B$5, Constants!$B$7)))</f>
        <v/>
      </c>
      <c r="AF283" s="96" t="str">
        <f aca="false">IF(ISBLANK($C283), "",IF($AE283=Constants!$B$7,1,$AE283))</f>
        <v/>
      </c>
      <c r="AG283" s="96" t="str">
        <f aca="false">IF($AE283=Constants!$B$7,IF(V283, 1, Constants!$B$11) * IF(X283, 1, Constants!$B$12),"")</f>
        <v/>
      </c>
      <c r="AH283" s="96" t="str">
        <f aca="false">IF(AND($AE283=Constants!$B$7, T283, U283) ,MAX(0, $AA283-$Y283),"")</f>
        <v/>
      </c>
      <c r="AI283" s="96" t="str">
        <f aca="false">IF(ISERROR(AH283),$AI$6,"")</f>
        <v/>
      </c>
      <c r="AJ283" s="96" t="str">
        <f aca="false">IF($AE283=Constants!$B$7,IF(AND(T283,U283,W283),IF($AH$6=0,Constants!$B$9,Constants!$B$9*AH283/$AH$6), 0),"")</f>
        <v/>
      </c>
      <c r="AK283" s="96" t="str">
        <f aca="false">IF(AJ283&lt;&gt;"", AJ283*AG283,"")</f>
        <v/>
      </c>
      <c r="AL283" s="96" t="str">
        <f aca="false">IF(AND($AE283=Constants!$B$7, T283, U283) ,IF($Z283="", "", MAX(0,1-ABS($AA283-$Z283)/$AA283)),"")</f>
        <v/>
      </c>
      <c r="AM283" s="96" t="str">
        <f aca="false">IF(AND(NOT(ISERROR(AH283)),ISERROR(AL283)),$AM$6,"")</f>
        <v/>
      </c>
      <c r="AN283" s="96" t="str">
        <f aca="false">IF($AE283=Constants!$B$7 ,IF(AND(T283,U283,W283,ISNUMBER(Z283)),IF($AL$6=0,Constants!$B$10,Constants!$B$10*AL283/$AL$6), 0),"")</f>
        <v/>
      </c>
      <c r="AO283" s="96" t="str">
        <f aca="false">IF(AN283&lt;&gt;"", AN283*AG283,"")</f>
        <v/>
      </c>
      <c r="AP283" s="96" t="str">
        <f aca="false">IF($AE283=Constants!$B$7,IF($AP$6=0,Constants!$B$8,Constants!$B$8*AB283/$AP$6),"")</f>
        <v/>
      </c>
      <c r="AQ283" s="96" t="str">
        <f aca="false">IF($AE283&lt;&gt;Constants!$B$7,$AE283,AK283+AO283+AP283)</f>
        <v/>
      </c>
      <c r="AR283" s="96" t="str">
        <f aca="false">IF(ISBLANK($C283),"",IF($AE283=Constants!$B$7,RANK(AQ283,$AQ$8:$AQ$507),$AE283))</f>
        <v/>
      </c>
      <c r="AS283" s="96" t="str">
        <f aca="false">IF(ISBLANK($C283), "",AK283)</f>
        <v/>
      </c>
      <c r="AT283" s="96" t="str">
        <f aca="false">IF(ISBLANK($C283),"",IF($AE283=Constants!$B$7,RANK(AS283,AS$8:AS$507),$AE283))</f>
        <v/>
      </c>
      <c r="AU283" s="96" t="str">
        <f aca="false">IF(ISBLANK($C283), "",AP283)</f>
        <v/>
      </c>
      <c r="AV283" s="96" t="str">
        <f aca="false">IF(ISBLANK($C283),"",IF($AE283=Constants!$B$7,RANK(AU283,AU$8:AU$507),$AE283))</f>
        <v/>
      </c>
      <c r="AW283" s="96" t="str">
        <f aca="false">IF(ISBLANK($C283), "",AC283)</f>
        <v/>
      </c>
      <c r="AX283" s="96" t="str">
        <f aca="false">IF(ISBLANK($C283),"",
IF($AE283=Constants!$B$7,
  COUNTIFS($AR$8:$AR$507,"&lt;"&amp;$AR283)
  + COUNTIFS($AR$8:$AR$507,$AR283,$AT$8:$AT$507,"&lt;"&amp;$AT283)
  + COUNTIFS($AR$8:$AR$507,$AR283,$AT$8:$AT$507,$AT283,$AV$8:$AV$507,"&lt;"&amp;$AV283)
  + COUNTIFS($AR$8:$AR$507,$AR283,$AT$8:$AT$507,$AT283,$AV$8:$AV$507,$AV283,$AW$8:$AW$507,"&lt;"&amp;$AW283)
  + 1,
$AE283))</f>
        <v/>
      </c>
      <c r="AY283" s="96" t="str">
        <f aca="false">IF(ISBLANK(C283),"",IF($AE283=Constants!$B$7, AR283-AX283,$AE283))</f>
        <v/>
      </c>
      <c r="AZ283" s="100"/>
      <c r="BA283" s="101" t="str">
        <f aca="false">IF(ISBLANK($C283),"",TRIM(AI283&amp;" "&amp;AM283))</f>
        <v/>
      </c>
      <c r="BB283" s="102" t="str">
        <f aca="false">IF(ISBLANK($C283),"",IF($AE283&lt;&gt;Constants!$B$7, $AE283 ,AQ283))</f>
        <v/>
      </c>
      <c r="BC283" s="103" t="str">
        <f aca="false">IF(ISBLANK($C283),"",IF($AE283&lt;&gt;Constants!$B$7, $AE283 ,AF283))</f>
        <v/>
      </c>
      <c r="BD283" s="104" t="str">
        <f aca="false">IF(ISBLANK(C283),"",AY283)</f>
        <v/>
      </c>
      <c r="BE283" s="104" t="str">
        <f aca="false">IF(ISBLANK(C283),"",AX283)</f>
        <v/>
      </c>
      <c r="BF283" s="105" t="str">
        <f aca="false">IF(ISBLANK(C283),"",IFERROR(_xlfn.SWITCH(BE283, Constants!$B$4, COUNTA($C$8:$C782)+2, Constants!$B$5, COUNTA($C$8:$C782)+1, Constants!$B$6, COUNTA($C$8:$C782)),BE283))</f>
        <v/>
      </c>
      <c r="BG283" s="5"/>
      <c r="BH283" s="106" t="n">
        <f aca="false">IF(OR(ISNUMBER(BE283),BE283="DQ",BE283="P",BE283="NS"),
    1,
    0
)</f>
        <v>0</v>
      </c>
      <c r="BI283" s="106" t="n">
        <v>276</v>
      </c>
      <c r="BJ283" s="106" t="str">
        <f aca="false">IF(ISBLANK($C283),
    "",
   BF283+ROW($B283)/1000
)</f>
        <v/>
      </c>
      <c r="BK283" s="106" t="str">
        <f aca="false">IF(ISNUMBER(BJ283), RANK(BJ283,BJ$8:BJ$507,1), "")</f>
        <v/>
      </c>
      <c r="BL283" s="106" t="str">
        <f aca="false">IF(ISBLANK($C283),
    "",
    $B283
)</f>
        <v/>
      </c>
      <c r="BM283" s="106" t="str">
        <f aca="false">IF(ISBLANK($C283),
    "",
    $C283
)</f>
        <v/>
      </c>
      <c r="BN283" s="106" t="str">
        <f aca="false">IF(ISBLANK($C283),
    "",
    $D283
)</f>
        <v/>
      </c>
      <c r="BO283" s="107" t="str">
        <f aca="false">BC283</f>
        <v/>
      </c>
      <c r="BP283" s="108" t="str">
        <f aca="false">BB283</f>
        <v/>
      </c>
      <c r="BQ283" s="106" t="str">
        <f aca="false">IF(ISBLANK($C283),
    "",
    BE283
)</f>
        <v/>
      </c>
      <c r="BR283" s="109" t="str">
        <f aca="false">IF(BI283&gt;BH$7,
    "",
    VLOOKUP(BI283,BK$8:BQ782,7,FALSE())
)</f>
        <v/>
      </c>
      <c r="BS283" s="110" t="str">
        <f aca="false">IF(BI283&gt;BH$7,
    "",
    VLOOKUP(BI283,BK$8:BQ782,2,FALSE())
)</f>
        <v/>
      </c>
      <c r="BT283" s="110" t="str">
        <f aca="false">IF(BI283&gt;BH$7,
    "",
    VLOOKUP(BI283,BK$8:BQ782,3,FALSE())
)</f>
        <v/>
      </c>
      <c r="BU283" s="110" t="str">
        <f aca="false">IF(BI283&gt;BH$7,
    "",
    VLOOKUP(BI283,BK$8:BQ782,4,FALSE())
)</f>
        <v/>
      </c>
      <c r="BV283" s="110" t="str">
        <f aca="false">IF(BI283&gt;BH$7,
    "",
    VLOOKUP(BI283,BK$8:BQ782,5,FALSE())
)</f>
        <v/>
      </c>
      <c r="BW283" s="111" t="str">
        <f aca="false">IF(BI283&gt;BH$7,
    "",
    VLOOKUP(BI283,BK$8:BQ782,6,FALSE())
)</f>
        <v/>
      </c>
      <c r="BX283" s="50"/>
    </row>
    <row r="284" customFormat="false" ht="15.75" hidden="false" customHeight="false" outlineLevel="0" collapsed="false">
      <c r="A284" s="5"/>
      <c r="B284" s="126"/>
      <c r="C284" s="52"/>
      <c r="D284" s="53"/>
      <c r="E284" s="120"/>
      <c r="F284" s="120"/>
      <c r="G284" s="55"/>
      <c r="H284" s="56"/>
      <c r="I284" s="80"/>
      <c r="J284" s="80"/>
      <c r="K284" s="80"/>
      <c r="L284" s="58"/>
      <c r="M284" s="58"/>
      <c r="N284" s="58"/>
      <c r="O284" s="59"/>
      <c r="P284" s="60"/>
      <c r="Q284" s="80"/>
      <c r="R284" s="62"/>
      <c r="S284" s="63"/>
      <c r="T284" s="63" t="str">
        <f aca="false">IF(ISBLANK($C284),"",IF(G284=Constants!$B$2, TRUE(), IF(G284=Constants!$B$3, FALSE(), TRUE())))</f>
        <v/>
      </c>
      <c r="U284" s="63" t="str">
        <f aca="false">IF(ISBLANK($C284),"",IF(H284=Constants!$B$2, TRUE(), IF(H284=Constants!$B$3, FALSE(), TRUE())))</f>
        <v/>
      </c>
      <c r="V284" s="63" t="str">
        <f aca="false">IF(ISBLANK($C284),"",IF(I284=Constants!$B$2, TRUE(), IF(I284=Constants!$B$3, FALSE(), TRUE())))</f>
        <v/>
      </c>
      <c r="W284" s="63" t="str">
        <f aca="false">IF(ISBLANK($C284),"",IF(J284=Constants!$B$2, TRUE(), IF(J284=Constants!$B$3, FALSE(), TRUE())))</f>
        <v/>
      </c>
      <c r="X284" s="63" t="str">
        <f aca="false">IF(ISBLANK($C284),"",IF(K284=Constants!$B$2, TRUE(), IF(K284=Constants!$B$3, FALSE(), TRUE())))</f>
        <v/>
      </c>
      <c r="Y284" s="65" t="str">
        <f aca="false">IF(ISBLANK($C284),"",IF(ISNUMBER(L284), L284, ""))</f>
        <v/>
      </c>
      <c r="Z284" s="65" t="str">
        <f aca="false">IF(ISBLANK($C284),"",IF(ISNUMBER(M284), M284, ""))</f>
        <v/>
      </c>
      <c r="AA284" s="65" t="str">
        <f aca="false">IF(ISBLANK($C284),"",IF(ISNUMBER(N284), N284, ""))</f>
        <v/>
      </c>
      <c r="AB284" s="66" t="str">
        <f aca="false">IF(ISBLANK($C284),"",IF(ISNUMBER(O284), O284, ""))</f>
        <v/>
      </c>
      <c r="AC284" s="66" t="str">
        <f aca="false">IF(ISBLANK($C284),"",IF(ISNUMBER(P284), P284, Constants!$B$13))</f>
        <v/>
      </c>
      <c r="AD284" s="63" t="str">
        <f aca="false">IF(ISBLANK($C284),"",IF(Q284=Constants!$B$2, TRUE(), IF(Q284=Constants!$B$3, FALSE(), FALSE())))</f>
        <v/>
      </c>
      <c r="AE284" s="63" t="str">
        <f aca="false">IF(ISBLANK(C284), "", IF(AD284, Constants!$B$4,IF(COUNTA(G284:O284)=0, Constants!$B$5, Constants!$B$7)))</f>
        <v/>
      </c>
      <c r="AF284" s="63" t="str">
        <f aca="false">IF(ISBLANK($C284), "",IF($AE284=Constants!$B$7,1,$AE284))</f>
        <v/>
      </c>
      <c r="AG284" s="63" t="str">
        <f aca="false">IF($AE284=Constants!$B$7,IF(V284, 1, Constants!$B$11) * IF(X284, 1, Constants!$B$12),"")</f>
        <v/>
      </c>
      <c r="AH284" s="63" t="str">
        <f aca="false">IF(AND($AE284=Constants!$B$7, T284, U284) ,MAX(0, $AA284-$Y284),"")</f>
        <v/>
      </c>
      <c r="AI284" s="63" t="str">
        <f aca="false">IF(ISERROR(AH284),$AI$6,"")</f>
        <v/>
      </c>
      <c r="AJ284" s="63" t="str">
        <f aca="false">IF($AE284=Constants!$B$7,IF(AND(T284,U284,W284),IF($AH$6=0,Constants!$B$9,Constants!$B$9*AH284/$AH$6), 0),"")</f>
        <v/>
      </c>
      <c r="AK284" s="63" t="str">
        <f aca="false">IF(AJ284&lt;&gt;"", AJ284*AG284,"")</f>
        <v/>
      </c>
      <c r="AL284" s="63" t="str">
        <f aca="false">IF(AND($AE284=Constants!$B$7, T284, U284) ,IF($Z284="", "", MAX(0,1-ABS($AA284-$Z284)/$AA284)),"")</f>
        <v/>
      </c>
      <c r="AM284" s="63" t="str">
        <f aca="false">IF(AND(NOT(ISERROR(AH284)),ISERROR(AL284)),$AM$6,"")</f>
        <v/>
      </c>
      <c r="AN284" s="63" t="str">
        <f aca="false">IF($AE284=Constants!$B$7 ,IF(AND(T284,U284,W284,ISNUMBER(Z284)),IF($AL$6=0,Constants!$B$10,Constants!$B$10*AL284/$AL$6), 0),"")</f>
        <v/>
      </c>
      <c r="AO284" s="63" t="str">
        <f aca="false">IF(AN284&lt;&gt;"", AN284*AG284,"")</f>
        <v/>
      </c>
      <c r="AP284" s="63" t="str">
        <f aca="false">IF($AE284=Constants!$B$7,IF($AP$6=0,Constants!$B$8,Constants!$B$8*AB284/$AP$6),"")</f>
        <v/>
      </c>
      <c r="AQ284" s="63" t="str">
        <f aca="false">IF($AE284&lt;&gt;Constants!$B$7,$AE284,AK284+AO284+AP284)</f>
        <v/>
      </c>
      <c r="AR284" s="63" t="str">
        <f aca="false">IF(ISBLANK($C284),"",IF($AE284=Constants!$B$7,RANK(AQ284,$AQ$8:$AQ$507),$AE284))</f>
        <v/>
      </c>
      <c r="AS284" s="63" t="str">
        <f aca="false">IF(ISBLANK($C284), "",AK284)</f>
        <v/>
      </c>
      <c r="AT284" s="63" t="str">
        <f aca="false">IF(ISBLANK($C284),"",IF($AE284=Constants!$B$7,RANK(AS284,AS$8:AS$507),$AE284))</f>
        <v/>
      </c>
      <c r="AU284" s="63" t="str">
        <f aca="false">IF(ISBLANK($C284), "",AP284)</f>
        <v/>
      </c>
      <c r="AV284" s="63" t="str">
        <f aca="false">IF(ISBLANK($C284),"",IF($AE284=Constants!$B$7,RANK(AU284,AU$8:AU$507),$AE284))</f>
        <v/>
      </c>
      <c r="AW284" s="63" t="str">
        <f aca="false">IF(ISBLANK($C284), "",AC284)</f>
        <v/>
      </c>
      <c r="AX284" s="63" t="str">
        <f aca="false">IF(ISBLANK($C284),"",
IF($AE284=Constants!$B$7,
  COUNTIFS($AR$8:$AR$507,"&lt;"&amp;$AR284)
  + COUNTIFS($AR$8:$AR$507,$AR284,$AT$8:$AT$507,"&lt;"&amp;$AT284)
  + COUNTIFS($AR$8:$AR$507,$AR284,$AT$8:$AT$507,$AT284,$AV$8:$AV$507,"&lt;"&amp;$AV284)
  + COUNTIFS($AR$8:$AR$507,$AR284,$AT$8:$AT$507,$AT284,$AV$8:$AV$507,$AV284,$AW$8:$AW$507,"&lt;"&amp;$AW284)
  + 1,
$AE284))</f>
        <v/>
      </c>
      <c r="AY284" s="63" t="str">
        <f aca="false">IF(ISBLANK(C284),"",IF($AE284=Constants!$B$7, AR284-AX284,$AE284))</f>
        <v/>
      </c>
      <c r="AZ284" s="67"/>
      <c r="BA284" s="81" t="str">
        <f aca="false">IF(ISBLANK($C284),"",TRIM(AI284&amp;" "&amp;AM284))</f>
        <v/>
      </c>
      <c r="BB284" s="69" t="str">
        <f aca="false">IF(ISBLANK($C284),"",IF($AE284&lt;&gt;Constants!$B$7, $AE284 ,AQ284))</f>
        <v/>
      </c>
      <c r="BC284" s="70" t="str">
        <f aca="false">IF(ISBLANK($C284),"",IF($AE284&lt;&gt;Constants!$B$7, $AE284 ,AF284))</f>
        <v/>
      </c>
      <c r="BD284" s="71" t="str">
        <f aca="false">IF(ISBLANK(C284),"",AY284)</f>
        <v/>
      </c>
      <c r="BE284" s="71" t="str">
        <f aca="false">IF(ISBLANK(C284),"",AX284)</f>
        <v/>
      </c>
      <c r="BF284" s="72" t="str">
        <f aca="false">IF(ISBLANK(C284),"",IFERROR(_xlfn.SWITCH(BE284, Constants!$B$4, COUNTA($C$8:$C783)+2, Constants!$B$5, COUNTA($C$8:$C783)+1, Constants!$B$6, COUNTA($C$8:$C783)),BE284))</f>
        <v/>
      </c>
      <c r="BG284" s="5"/>
      <c r="BH284" s="73" t="n">
        <f aca="false">IF(OR(ISNUMBER(BE284),BE284="DQ",BE284="P",BE284="NS"),
    1,
    0
)</f>
        <v>0</v>
      </c>
      <c r="BI284" s="73" t="n">
        <v>277</v>
      </c>
      <c r="BJ284" s="73" t="str">
        <f aca="false">IF(ISBLANK($C284),
    "",
   BF284+ROW($B284)/1000
)</f>
        <v/>
      </c>
      <c r="BK284" s="73" t="str">
        <f aca="false">IF(ISNUMBER(BJ284), RANK(BJ284,BJ$8:BJ$507,1), "")</f>
        <v/>
      </c>
      <c r="BL284" s="73" t="str">
        <f aca="false">IF(ISBLANK($C284),
    "",
    $B284
)</f>
        <v/>
      </c>
      <c r="BM284" s="73" t="str">
        <f aca="false">IF(ISBLANK($C284),
    "",
    $C284
)</f>
        <v/>
      </c>
      <c r="BN284" s="73" t="str">
        <f aca="false">IF(ISBLANK($C284),
    "",
    $D284
)</f>
        <v/>
      </c>
      <c r="BO284" s="74" t="str">
        <f aca="false">BC284</f>
        <v/>
      </c>
      <c r="BP284" s="75" t="str">
        <f aca="false">BB284</f>
        <v/>
      </c>
      <c r="BQ284" s="73" t="str">
        <f aca="false">IF(ISBLANK($C284),
    "",
    BE284
)</f>
        <v/>
      </c>
      <c r="BR284" s="76" t="str">
        <f aca="false">IF(BI284&gt;BH$7,
    "",
    VLOOKUP(BI284,BK$8:BQ783,7,FALSE())
)</f>
        <v/>
      </c>
      <c r="BS284" s="77" t="str">
        <f aca="false">IF(BI284&gt;BH$7,
    "",
    VLOOKUP(BI284,BK$8:BQ783,2,FALSE())
)</f>
        <v/>
      </c>
      <c r="BT284" s="77" t="str">
        <f aca="false">IF(BI284&gt;BH$7,
    "",
    VLOOKUP(BI284,BK$8:BQ783,3,FALSE())
)</f>
        <v/>
      </c>
      <c r="BU284" s="77" t="str">
        <f aca="false">IF(BI284&gt;BH$7,
    "",
    VLOOKUP(BI284,BK$8:BQ783,4,FALSE())
)</f>
        <v/>
      </c>
      <c r="BV284" s="77" t="str">
        <f aca="false">IF(BI284&gt;BH$7,
    "",
    VLOOKUP(BI284,BK$8:BQ783,5,FALSE())
)</f>
        <v/>
      </c>
      <c r="BW284" s="78" t="str">
        <f aca="false">IF(BI284&gt;BH$7,
    "",
    VLOOKUP(BI284,BK$8:BQ783,6,FALSE())
)</f>
        <v/>
      </c>
      <c r="BX284" s="50"/>
    </row>
    <row r="285" customFormat="false" ht="15.75" hidden="false" customHeight="false" outlineLevel="0" collapsed="false">
      <c r="A285" s="5"/>
      <c r="B285" s="126"/>
      <c r="C285" s="52"/>
      <c r="D285" s="53"/>
      <c r="E285" s="120"/>
      <c r="F285" s="120"/>
      <c r="G285" s="55"/>
      <c r="H285" s="56"/>
      <c r="I285" s="80"/>
      <c r="J285" s="80"/>
      <c r="K285" s="80"/>
      <c r="L285" s="58"/>
      <c r="M285" s="58"/>
      <c r="N285" s="58"/>
      <c r="O285" s="59"/>
      <c r="P285" s="60"/>
      <c r="Q285" s="80"/>
      <c r="R285" s="62"/>
      <c r="S285" s="63"/>
      <c r="T285" s="63" t="str">
        <f aca="false">IF(ISBLANK($C285),"",IF(G285=Constants!$B$2, TRUE(), IF(G285=Constants!$B$3, FALSE(), TRUE())))</f>
        <v/>
      </c>
      <c r="U285" s="63" t="str">
        <f aca="false">IF(ISBLANK($C285),"",IF(H285=Constants!$B$2, TRUE(), IF(H285=Constants!$B$3, FALSE(), TRUE())))</f>
        <v/>
      </c>
      <c r="V285" s="63" t="str">
        <f aca="false">IF(ISBLANK($C285),"",IF(I285=Constants!$B$2, TRUE(), IF(I285=Constants!$B$3, FALSE(), TRUE())))</f>
        <v/>
      </c>
      <c r="W285" s="63" t="str">
        <f aca="false">IF(ISBLANK($C285),"",IF(J285=Constants!$B$2, TRUE(), IF(J285=Constants!$B$3, FALSE(), TRUE())))</f>
        <v/>
      </c>
      <c r="X285" s="63" t="str">
        <f aca="false">IF(ISBLANK($C285),"",IF(K285=Constants!$B$2, TRUE(), IF(K285=Constants!$B$3, FALSE(), TRUE())))</f>
        <v/>
      </c>
      <c r="Y285" s="65" t="str">
        <f aca="false">IF(ISBLANK($C285),"",IF(ISNUMBER(L285), L285, ""))</f>
        <v/>
      </c>
      <c r="Z285" s="65" t="str">
        <f aca="false">IF(ISBLANK($C285),"",IF(ISNUMBER(M285), M285, ""))</f>
        <v/>
      </c>
      <c r="AA285" s="65" t="str">
        <f aca="false">IF(ISBLANK($C285),"",IF(ISNUMBER(N285), N285, ""))</f>
        <v/>
      </c>
      <c r="AB285" s="66" t="str">
        <f aca="false">IF(ISBLANK($C285),"",IF(ISNUMBER(O285), O285, ""))</f>
        <v/>
      </c>
      <c r="AC285" s="66" t="str">
        <f aca="false">IF(ISBLANK($C285),"",IF(ISNUMBER(P285), P285, Constants!$B$13))</f>
        <v/>
      </c>
      <c r="AD285" s="63" t="str">
        <f aca="false">IF(ISBLANK($C285),"",IF(Q285=Constants!$B$2, TRUE(), IF(Q285=Constants!$B$3, FALSE(), FALSE())))</f>
        <v/>
      </c>
      <c r="AE285" s="63" t="str">
        <f aca="false">IF(ISBLANK(C285), "", IF(AD285, Constants!$B$4,IF(COUNTA(G285:O285)=0, Constants!$B$5, Constants!$B$7)))</f>
        <v/>
      </c>
      <c r="AF285" s="63" t="str">
        <f aca="false">IF(ISBLANK($C285), "",IF($AE285=Constants!$B$7,1,$AE285))</f>
        <v/>
      </c>
      <c r="AG285" s="63" t="str">
        <f aca="false">IF($AE285=Constants!$B$7,IF(V285, 1, Constants!$B$11) * IF(X285, 1, Constants!$B$12),"")</f>
        <v/>
      </c>
      <c r="AH285" s="63" t="str">
        <f aca="false">IF(AND($AE285=Constants!$B$7, T285, U285) ,MAX(0, $AA285-$Y285),"")</f>
        <v/>
      </c>
      <c r="AI285" s="63" t="str">
        <f aca="false">IF(ISERROR(AH285),$AI$6,"")</f>
        <v/>
      </c>
      <c r="AJ285" s="63" t="str">
        <f aca="false">IF($AE285=Constants!$B$7,IF(AND(T285,U285,W285),IF($AH$6=0,Constants!$B$9,Constants!$B$9*AH285/$AH$6), 0),"")</f>
        <v/>
      </c>
      <c r="AK285" s="63" t="str">
        <f aca="false">IF(AJ285&lt;&gt;"", AJ285*AG285,"")</f>
        <v/>
      </c>
      <c r="AL285" s="63" t="str">
        <f aca="false">IF(AND($AE285=Constants!$B$7, T285, U285) ,IF($Z285="", "", MAX(0,1-ABS($AA285-$Z285)/$AA285)),"")</f>
        <v/>
      </c>
      <c r="AM285" s="63" t="str">
        <f aca="false">IF(AND(NOT(ISERROR(AH285)),ISERROR(AL285)),$AM$6,"")</f>
        <v/>
      </c>
      <c r="AN285" s="63" t="str">
        <f aca="false">IF($AE285=Constants!$B$7 ,IF(AND(T285,U285,W285,ISNUMBER(Z285)),IF($AL$6=0,Constants!$B$10,Constants!$B$10*AL285/$AL$6), 0),"")</f>
        <v/>
      </c>
      <c r="AO285" s="63" t="str">
        <f aca="false">IF(AN285&lt;&gt;"", AN285*AG285,"")</f>
        <v/>
      </c>
      <c r="AP285" s="63" t="str">
        <f aca="false">IF($AE285=Constants!$B$7,IF($AP$6=0,Constants!$B$8,Constants!$B$8*AB285/$AP$6),"")</f>
        <v/>
      </c>
      <c r="AQ285" s="63" t="str">
        <f aca="false">IF($AE285&lt;&gt;Constants!$B$7,$AE285,AK285+AO285+AP285)</f>
        <v/>
      </c>
      <c r="AR285" s="63" t="str">
        <f aca="false">IF(ISBLANK($C285),"",IF($AE285=Constants!$B$7,RANK(AQ285,$AQ$8:$AQ$507),$AE285))</f>
        <v/>
      </c>
      <c r="AS285" s="63" t="str">
        <f aca="false">IF(ISBLANK($C285), "",AK285)</f>
        <v/>
      </c>
      <c r="AT285" s="63" t="str">
        <f aca="false">IF(ISBLANK($C285),"",IF($AE285=Constants!$B$7,RANK(AS285,AS$8:AS$507),$AE285))</f>
        <v/>
      </c>
      <c r="AU285" s="63" t="str">
        <f aca="false">IF(ISBLANK($C285), "",AP285)</f>
        <v/>
      </c>
      <c r="AV285" s="63" t="str">
        <f aca="false">IF(ISBLANK($C285),"",IF($AE285=Constants!$B$7,RANK(AU285,AU$8:AU$507),$AE285))</f>
        <v/>
      </c>
      <c r="AW285" s="63" t="str">
        <f aca="false">IF(ISBLANK($C285), "",AC285)</f>
        <v/>
      </c>
      <c r="AX285" s="63" t="str">
        <f aca="false">IF(ISBLANK($C285),"",
IF($AE285=Constants!$B$7,
  COUNTIFS($AR$8:$AR$507,"&lt;"&amp;$AR285)
  + COUNTIFS($AR$8:$AR$507,$AR285,$AT$8:$AT$507,"&lt;"&amp;$AT285)
  + COUNTIFS($AR$8:$AR$507,$AR285,$AT$8:$AT$507,$AT285,$AV$8:$AV$507,"&lt;"&amp;$AV285)
  + COUNTIFS($AR$8:$AR$507,$AR285,$AT$8:$AT$507,$AT285,$AV$8:$AV$507,$AV285,$AW$8:$AW$507,"&lt;"&amp;$AW285)
  + 1,
$AE285))</f>
        <v/>
      </c>
      <c r="AY285" s="63" t="str">
        <f aca="false">IF(ISBLANK(C285),"",IF($AE285=Constants!$B$7, AR285-AX285,$AE285))</f>
        <v/>
      </c>
      <c r="AZ285" s="67"/>
      <c r="BA285" s="81" t="str">
        <f aca="false">IF(ISBLANK($C285),"",TRIM(AI285&amp;" "&amp;AM285))</f>
        <v/>
      </c>
      <c r="BB285" s="69" t="str">
        <f aca="false">IF(ISBLANK($C285),"",IF($AE285&lt;&gt;Constants!$B$7, $AE285 ,AQ285))</f>
        <v/>
      </c>
      <c r="BC285" s="70" t="str">
        <f aca="false">IF(ISBLANK($C285),"",IF($AE285&lt;&gt;Constants!$B$7, $AE285 ,AF285))</f>
        <v/>
      </c>
      <c r="BD285" s="71" t="str">
        <f aca="false">IF(ISBLANK(C285),"",AY285)</f>
        <v/>
      </c>
      <c r="BE285" s="71" t="str">
        <f aca="false">IF(ISBLANK(C285),"",AX285)</f>
        <v/>
      </c>
      <c r="BF285" s="72" t="str">
        <f aca="false">IF(ISBLANK(C285),"",IFERROR(_xlfn.SWITCH(BE285, Constants!$B$4, COUNTA($C$8:$C784)+2, Constants!$B$5, COUNTA($C$8:$C784)+1, Constants!$B$6, COUNTA($C$8:$C784)),BE285))</f>
        <v/>
      </c>
      <c r="BG285" s="5"/>
      <c r="BH285" s="73" t="n">
        <f aca="false">IF(OR(ISNUMBER(BE285),BE285="DQ",BE285="P",BE285="NS"),
    1,
    0
)</f>
        <v>0</v>
      </c>
      <c r="BI285" s="73" t="n">
        <v>278</v>
      </c>
      <c r="BJ285" s="73" t="str">
        <f aca="false">IF(ISBLANK($C285),
    "",
   BF285+ROW($B285)/1000
)</f>
        <v/>
      </c>
      <c r="BK285" s="73" t="str">
        <f aca="false">IF(ISNUMBER(BJ285), RANK(BJ285,BJ$8:BJ$507,1), "")</f>
        <v/>
      </c>
      <c r="BL285" s="73" t="str">
        <f aca="false">IF(ISBLANK($C285),
    "",
    $B285
)</f>
        <v/>
      </c>
      <c r="BM285" s="73" t="str">
        <f aca="false">IF(ISBLANK($C285),
    "",
    $C285
)</f>
        <v/>
      </c>
      <c r="BN285" s="73" t="str">
        <f aca="false">IF(ISBLANK($C285),
    "",
    $D285
)</f>
        <v/>
      </c>
      <c r="BO285" s="74" t="str">
        <f aca="false">BC285</f>
        <v/>
      </c>
      <c r="BP285" s="75" t="str">
        <f aca="false">BB285</f>
        <v/>
      </c>
      <c r="BQ285" s="73" t="str">
        <f aca="false">IF(ISBLANK($C285),
    "",
    BE285
)</f>
        <v/>
      </c>
      <c r="BR285" s="76" t="str">
        <f aca="false">IF(BI285&gt;BH$7,
    "",
    VLOOKUP(BI285,BK$8:BQ784,7,FALSE())
)</f>
        <v/>
      </c>
      <c r="BS285" s="77" t="str">
        <f aca="false">IF(BI285&gt;BH$7,
    "",
    VLOOKUP(BI285,BK$8:BQ784,2,FALSE())
)</f>
        <v/>
      </c>
      <c r="BT285" s="77" t="str">
        <f aca="false">IF(BI285&gt;BH$7,
    "",
    VLOOKUP(BI285,BK$8:BQ784,3,FALSE())
)</f>
        <v/>
      </c>
      <c r="BU285" s="77" t="str">
        <f aca="false">IF(BI285&gt;BH$7,
    "",
    VLOOKUP(BI285,BK$8:BQ784,4,FALSE())
)</f>
        <v/>
      </c>
      <c r="BV285" s="77" t="str">
        <f aca="false">IF(BI285&gt;BH$7,
    "",
    VLOOKUP(BI285,BK$8:BQ784,5,FALSE())
)</f>
        <v/>
      </c>
      <c r="BW285" s="78" t="str">
        <f aca="false">IF(BI285&gt;BH$7,
    "",
    VLOOKUP(BI285,BK$8:BQ784,6,FALSE())
)</f>
        <v/>
      </c>
      <c r="BX285" s="50"/>
    </row>
    <row r="286" customFormat="false" ht="15.75" hidden="false" customHeight="false" outlineLevel="0" collapsed="false">
      <c r="A286" s="5"/>
      <c r="B286" s="126"/>
      <c r="C286" s="52"/>
      <c r="D286" s="53"/>
      <c r="E286" s="120"/>
      <c r="F286" s="120"/>
      <c r="G286" s="55"/>
      <c r="H286" s="56"/>
      <c r="I286" s="80"/>
      <c r="J286" s="80"/>
      <c r="K286" s="80"/>
      <c r="L286" s="58"/>
      <c r="M286" s="58"/>
      <c r="N286" s="58"/>
      <c r="O286" s="59"/>
      <c r="P286" s="60"/>
      <c r="Q286" s="80"/>
      <c r="R286" s="62"/>
      <c r="S286" s="63"/>
      <c r="T286" s="63" t="str">
        <f aca="false">IF(ISBLANK($C286),"",IF(G286=Constants!$B$2, TRUE(), IF(G286=Constants!$B$3, FALSE(), TRUE())))</f>
        <v/>
      </c>
      <c r="U286" s="63" t="str">
        <f aca="false">IF(ISBLANK($C286),"",IF(H286=Constants!$B$2, TRUE(), IF(H286=Constants!$B$3, FALSE(), TRUE())))</f>
        <v/>
      </c>
      <c r="V286" s="63" t="str">
        <f aca="false">IF(ISBLANK($C286),"",IF(I286=Constants!$B$2, TRUE(), IF(I286=Constants!$B$3, FALSE(), TRUE())))</f>
        <v/>
      </c>
      <c r="W286" s="63" t="str">
        <f aca="false">IF(ISBLANK($C286),"",IF(J286=Constants!$B$2, TRUE(), IF(J286=Constants!$B$3, FALSE(), TRUE())))</f>
        <v/>
      </c>
      <c r="X286" s="63" t="str">
        <f aca="false">IF(ISBLANK($C286),"",IF(K286=Constants!$B$2, TRUE(), IF(K286=Constants!$B$3, FALSE(), TRUE())))</f>
        <v/>
      </c>
      <c r="Y286" s="65" t="str">
        <f aca="false">IF(ISBLANK($C286),"",IF(ISNUMBER(L286), L286, ""))</f>
        <v/>
      </c>
      <c r="Z286" s="65" t="str">
        <f aca="false">IF(ISBLANK($C286),"",IF(ISNUMBER(M286), M286, ""))</f>
        <v/>
      </c>
      <c r="AA286" s="65" t="str">
        <f aca="false">IF(ISBLANK($C286),"",IF(ISNUMBER(N286), N286, ""))</f>
        <v/>
      </c>
      <c r="AB286" s="66" t="str">
        <f aca="false">IF(ISBLANK($C286),"",IF(ISNUMBER(O286), O286, ""))</f>
        <v/>
      </c>
      <c r="AC286" s="66" t="str">
        <f aca="false">IF(ISBLANK($C286),"",IF(ISNUMBER(P286), P286, Constants!$B$13))</f>
        <v/>
      </c>
      <c r="AD286" s="63" t="str">
        <f aca="false">IF(ISBLANK($C286),"",IF(Q286=Constants!$B$2, TRUE(), IF(Q286=Constants!$B$3, FALSE(), FALSE())))</f>
        <v/>
      </c>
      <c r="AE286" s="63" t="str">
        <f aca="false">IF(ISBLANK(C286), "", IF(AD286, Constants!$B$4,IF(COUNTA(G286:O286)=0, Constants!$B$5, Constants!$B$7)))</f>
        <v/>
      </c>
      <c r="AF286" s="63" t="str">
        <f aca="false">IF(ISBLANK($C286), "",IF($AE286=Constants!$B$7,1,$AE286))</f>
        <v/>
      </c>
      <c r="AG286" s="63" t="str">
        <f aca="false">IF($AE286=Constants!$B$7,IF(V286, 1, Constants!$B$11) * IF(X286, 1, Constants!$B$12),"")</f>
        <v/>
      </c>
      <c r="AH286" s="63" t="str">
        <f aca="false">IF(AND($AE286=Constants!$B$7, T286, U286) ,MAX(0, $AA286-$Y286),"")</f>
        <v/>
      </c>
      <c r="AI286" s="63" t="str">
        <f aca="false">IF(ISERROR(AH286),$AI$6,"")</f>
        <v/>
      </c>
      <c r="AJ286" s="63" t="str">
        <f aca="false">IF($AE286=Constants!$B$7,IF(AND(T286,U286,W286),IF($AH$6=0,Constants!$B$9,Constants!$B$9*AH286/$AH$6), 0),"")</f>
        <v/>
      </c>
      <c r="AK286" s="63" t="str">
        <f aca="false">IF(AJ286&lt;&gt;"", AJ286*AG286,"")</f>
        <v/>
      </c>
      <c r="AL286" s="63" t="str">
        <f aca="false">IF(AND($AE286=Constants!$B$7, T286, U286) ,IF($Z286="", "", MAX(0,1-ABS($AA286-$Z286)/$AA286)),"")</f>
        <v/>
      </c>
      <c r="AM286" s="63" t="str">
        <f aca="false">IF(AND(NOT(ISERROR(AH286)),ISERROR(AL286)),$AM$6,"")</f>
        <v/>
      </c>
      <c r="AN286" s="63" t="str">
        <f aca="false">IF($AE286=Constants!$B$7 ,IF(AND(T286,U286,W286,ISNUMBER(Z286)),IF($AL$6=0,Constants!$B$10,Constants!$B$10*AL286/$AL$6), 0),"")</f>
        <v/>
      </c>
      <c r="AO286" s="63" t="str">
        <f aca="false">IF(AN286&lt;&gt;"", AN286*AG286,"")</f>
        <v/>
      </c>
      <c r="AP286" s="63" t="str">
        <f aca="false">IF($AE286=Constants!$B$7,IF($AP$6=0,Constants!$B$8,Constants!$B$8*AB286/$AP$6),"")</f>
        <v/>
      </c>
      <c r="AQ286" s="63" t="str">
        <f aca="false">IF($AE286&lt;&gt;Constants!$B$7,$AE286,AK286+AO286+AP286)</f>
        <v/>
      </c>
      <c r="AR286" s="63" t="str">
        <f aca="false">IF(ISBLANK($C286),"",IF($AE286=Constants!$B$7,RANK(AQ286,$AQ$8:$AQ$507),$AE286))</f>
        <v/>
      </c>
      <c r="AS286" s="63" t="str">
        <f aca="false">IF(ISBLANK($C286), "",AK286)</f>
        <v/>
      </c>
      <c r="AT286" s="63" t="str">
        <f aca="false">IF(ISBLANK($C286),"",IF($AE286=Constants!$B$7,RANK(AS286,AS$8:AS$507),$AE286))</f>
        <v/>
      </c>
      <c r="AU286" s="63" t="str">
        <f aca="false">IF(ISBLANK($C286), "",AP286)</f>
        <v/>
      </c>
      <c r="AV286" s="63" t="str">
        <f aca="false">IF(ISBLANK($C286),"",IF($AE286=Constants!$B$7,RANK(AU286,AU$8:AU$507),$AE286))</f>
        <v/>
      </c>
      <c r="AW286" s="63" t="str">
        <f aca="false">IF(ISBLANK($C286), "",AC286)</f>
        <v/>
      </c>
      <c r="AX286" s="63" t="str">
        <f aca="false">IF(ISBLANK($C286),"",
IF($AE286=Constants!$B$7,
  COUNTIFS($AR$8:$AR$507,"&lt;"&amp;$AR286)
  + COUNTIFS($AR$8:$AR$507,$AR286,$AT$8:$AT$507,"&lt;"&amp;$AT286)
  + COUNTIFS($AR$8:$AR$507,$AR286,$AT$8:$AT$507,$AT286,$AV$8:$AV$507,"&lt;"&amp;$AV286)
  + COUNTIFS($AR$8:$AR$507,$AR286,$AT$8:$AT$507,$AT286,$AV$8:$AV$507,$AV286,$AW$8:$AW$507,"&lt;"&amp;$AW286)
  + 1,
$AE286))</f>
        <v/>
      </c>
      <c r="AY286" s="63" t="str">
        <f aca="false">IF(ISBLANK(C286),"",IF($AE286=Constants!$B$7, AR286-AX286,$AE286))</f>
        <v/>
      </c>
      <c r="AZ286" s="67"/>
      <c r="BA286" s="81" t="str">
        <f aca="false">IF(ISBLANK($C286),"",TRIM(AI286&amp;" "&amp;AM286))</f>
        <v/>
      </c>
      <c r="BB286" s="69" t="str">
        <f aca="false">IF(ISBLANK($C286),"",IF($AE286&lt;&gt;Constants!$B$7, $AE286 ,AQ286))</f>
        <v/>
      </c>
      <c r="BC286" s="70" t="str">
        <f aca="false">IF(ISBLANK($C286),"",IF($AE286&lt;&gt;Constants!$B$7, $AE286 ,AF286))</f>
        <v/>
      </c>
      <c r="BD286" s="71" t="str">
        <f aca="false">IF(ISBLANK(C286),"",AY286)</f>
        <v/>
      </c>
      <c r="BE286" s="71" t="str">
        <f aca="false">IF(ISBLANK(C286),"",AX286)</f>
        <v/>
      </c>
      <c r="BF286" s="72" t="str">
        <f aca="false">IF(ISBLANK(C286),"",IFERROR(_xlfn.SWITCH(BE286, Constants!$B$4, COUNTA($C$8:$C785)+2, Constants!$B$5, COUNTA($C$8:$C785)+1, Constants!$B$6, COUNTA($C$8:$C785)),BE286))</f>
        <v/>
      </c>
      <c r="BG286" s="5"/>
      <c r="BH286" s="73" t="n">
        <f aca="false">IF(OR(ISNUMBER(BE286),BE286="DQ",BE286="P",BE286="NS"),
    1,
    0
)</f>
        <v>0</v>
      </c>
      <c r="BI286" s="73" t="n">
        <v>279</v>
      </c>
      <c r="BJ286" s="73" t="str">
        <f aca="false">IF(ISBLANK($C286),
    "",
   BF286+ROW($B286)/1000
)</f>
        <v/>
      </c>
      <c r="BK286" s="73" t="str">
        <f aca="false">IF(ISNUMBER(BJ286), RANK(BJ286,BJ$8:BJ$507,1), "")</f>
        <v/>
      </c>
      <c r="BL286" s="73" t="str">
        <f aca="false">IF(ISBLANK($C286),
    "",
    $B286
)</f>
        <v/>
      </c>
      <c r="BM286" s="73" t="str">
        <f aca="false">IF(ISBLANK($C286),
    "",
    $C286
)</f>
        <v/>
      </c>
      <c r="BN286" s="73" t="str">
        <f aca="false">IF(ISBLANK($C286),
    "",
    $D286
)</f>
        <v/>
      </c>
      <c r="BO286" s="74" t="str">
        <f aca="false">BC286</f>
        <v/>
      </c>
      <c r="BP286" s="75" t="str">
        <f aca="false">BB286</f>
        <v/>
      </c>
      <c r="BQ286" s="73" t="str">
        <f aca="false">IF(ISBLANK($C286),
    "",
    BE286
)</f>
        <v/>
      </c>
      <c r="BR286" s="76" t="str">
        <f aca="false">IF(BI286&gt;BH$7,
    "",
    VLOOKUP(BI286,BK$8:BQ785,7,FALSE())
)</f>
        <v/>
      </c>
      <c r="BS286" s="77" t="str">
        <f aca="false">IF(BI286&gt;BH$7,
    "",
    VLOOKUP(BI286,BK$8:BQ785,2,FALSE())
)</f>
        <v/>
      </c>
      <c r="BT286" s="77" t="str">
        <f aca="false">IF(BI286&gt;BH$7,
    "",
    VLOOKUP(BI286,BK$8:BQ785,3,FALSE())
)</f>
        <v/>
      </c>
      <c r="BU286" s="77" t="str">
        <f aca="false">IF(BI286&gt;BH$7,
    "",
    VLOOKUP(BI286,BK$8:BQ785,4,FALSE())
)</f>
        <v/>
      </c>
      <c r="BV286" s="77" t="str">
        <f aca="false">IF(BI286&gt;BH$7,
    "",
    VLOOKUP(BI286,BK$8:BQ785,5,FALSE())
)</f>
        <v/>
      </c>
      <c r="BW286" s="78" t="str">
        <f aca="false">IF(BI286&gt;BH$7,
    "",
    VLOOKUP(BI286,BK$8:BQ785,6,FALSE())
)</f>
        <v/>
      </c>
      <c r="BX286" s="50"/>
    </row>
    <row r="287" customFormat="false" ht="15.75" hidden="false" customHeight="false" outlineLevel="0" collapsed="false">
      <c r="A287" s="5"/>
      <c r="B287" s="122"/>
      <c r="C287" s="123"/>
      <c r="D287" s="112"/>
      <c r="E287" s="116"/>
      <c r="F287" s="116"/>
      <c r="G287" s="88"/>
      <c r="H287" s="89"/>
      <c r="I287" s="125"/>
      <c r="J287" s="125"/>
      <c r="K287" s="125"/>
      <c r="L287" s="91"/>
      <c r="M287" s="91"/>
      <c r="N287" s="91"/>
      <c r="O287" s="92"/>
      <c r="P287" s="93"/>
      <c r="Q287" s="125"/>
      <c r="R287" s="95"/>
      <c r="S287" s="96"/>
      <c r="T287" s="96" t="str">
        <f aca="false">IF(ISBLANK($C287),"",IF(G287=Constants!$B$2, TRUE(), IF(G287=Constants!$B$3, FALSE(), TRUE())))</f>
        <v/>
      </c>
      <c r="U287" s="96" t="str">
        <f aca="false">IF(ISBLANK($C287),"",IF(H287=Constants!$B$2, TRUE(), IF(H287=Constants!$B$3, FALSE(), TRUE())))</f>
        <v/>
      </c>
      <c r="V287" s="96" t="str">
        <f aca="false">IF(ISBLANK($C287),"",IF(I287=Constants!$B$2, TRUE(), IF(I287=Constants!$B$3, FALSE(), TRUE())))</f>
        <v/>
      </c>
      <c r="W287" s="96" t="str">
        <f aca="false">IF(ISBLANK($C287),"",IF(J287=Constants!$B$2, TRUE(), IF(J287=Constants!$B$3, FALSE(), TRUE())))</f>
        <v/>
      </c>
      <c r="X287" s="97" t="str">
        <f aca="false">IF(ISBLANK($C287),"",IF(K287=Constants!$B$2, TRUE(), IF(K287=Constants!$B$3, FALSE(), TRUE())))</f>
        <v/>
      </c>
      <c r="Y287" s="98" t="str">
        <f aca="false">IF(ISBLANK($C287),"",IF(ISNUMBER(L287), L287, ""))</f>
        <v/>
      </c>
      <c r="Z287" s="98" t="str">
        <f aca="false">IF(ISBLANK($C287),"",IF(ISNUMBER(M287), M287, ""))</f>
        <v/>
      </c>
      <c r="AA287" s="98" t="str">
        <f aca="false">IF(ISBLANK($C287),"",IF(ISNUMBER(N287), N287, ""))</f>
        <v/>
      </c>
      <c r="AB287" s="99" t="str">
        <f aca="false">IF(ISBLANK($C287),"",IF(ISNUMBER(O287), O287, ""))</f>
        <v/>
      </c>
      <c r="AC287" s="99" t="str">
        <f aca="false">IF(ISBLANK($C287),"",IF(ISNUMBER(P287), P287, Constants!$B$13))</f>
        <v/>
      </c>
      <c r="AD287" s="96" t="str">
        <f aca="false">IF(ISBLANK($C287),"",IF(Q287=Constants!$B$2, TRUE(), IF(Q287=Constants!$B$3, FALSE(), FALSE())))</f>
        <v/>
      </c>
      <c r="AE287" s="96" t="str">
        <f aca="false">IF(ISBLANK(C287), "", IF(AD287, Constants!$B$4,IF(COUNTA(G287:O287)=0, Constants!$B$5, Constants!$B$7)))</f>
        <v/>
      </c>
      <c r="AF287" s="96" t="str">
        <f aca="false">IF(ISBLANK($C287), "",IF($AE287=Constants!$B$7,1,$AE287))</f>
        <v/>
      </c>
      <c r="AG287" s="96" t="str">
        <f aca="false">IF($AE287=Constants!$B$7,IF(V287, 1, Constants!$B$11) * IF(X287, 1, Constants!$B$12),"")</f>
        <v/>
      </c>
      <c r="AH287" s="96" t="str">
        <f aca="false">IF(AND($AE287=Constants!$B$7, T287, U287) ,MAX(0, $AA287-$Y287),"")</f>
        <v/>
      </c>
      <c r="AI287" s="96" t="str">
        <f aca="false">IF(ISERROR(AH287),$AI$6,"")</f>
        <v/>
      </c>
      <c r="AJ287" s="96" t="str">
        <f aca="false">IF($AE287=Constants!$B$7,IF(AND(T287,U287,W287),IF($AH$6=0,Constants!$B$9,Constants!$B$9*AH287/$AH$6), 0),"")</f>
        <v/>
      </c>
      <c r="AK287" s="96" t="str">
        <f aca="false">IF(AJ287&lt;&gt;"", AJ287*AG287,"")</f>
        <v/>
      </c>
      <c r="AL287" s="96" t="str">
        <f aca="false">IF(AND($AE287=Constants!$B$7, T287, U287) ,IF($Z287="", "", MAX(0,1-ABS($AA287-$Z287)/$AA287)),"")</f>
        <v/>
      </c>
      <c r="AM287" s="96" t="str">
        <f aca="false">IF(AND(NOT(ISERROR(AH287)),ISERROR(AL287)),$AM$6,"")</f>
        <v/>
      </c>
      <c r="AN287" s="96" t="str">
        <f aca="false">IF($AE287=Constants!$B$7 ,IF(AND(T287,U287,W287,ISNUMBER(Z287)),IF($AL$6=0,Constants!$B$10,Constants!$B$10*AL287/$AL$6), 0),"")</f>
        <v/>
      </c>
      <c r="AO287" s="96" t="str">
        <f aca="false">IF(AN287&lt;&gt;"", AN287*AG287,"")</f>
        <v/>
      </c>
      <c r="AP287" s="96" t="str">
        <f aca="false">IF($AE287=Constants!$B$7,IF($AP$6=0,Constants!$B$8,Constants!$B$8*AB287/$AP$6),"")</f>
        <v/>
      </c>
      <c r="AQ287" s="96" t="str">
        <f aca="false">IF($AE287&lt;&gt;Constants!$B$7,$AE287,AK287+AO287+AP287)</f>
        <v/>
      </c>
      <c r="AR287" s="96" t="str">
        <f aca="false">IF(ISBLANK($C287),"",IF($AE287=Constants!$B$7,RANK(AQ287,$AQ$8:$AQ$507),$AE287))</f>
        <v/>
      </c>
      <c r="AS287" s="96" t="str">
        <f aca="false">IF(ISBLANK($C287), "",AK287)</f>
        <v/>
      </c>
      <c r="AT287" s="96" t="str">
        <f aca="false">IF(ISBLANK($C287),"",IF($AE287=Constants!$B$7,RANK(AS287,AS$8:AS$507),$AE287))</f>
        <v/>
      </c>
      <c r="AU287" s="96" t="str">
        <f aca="false">IF(ISBLANK($C287), "",AP287)</f>
        <v/>
      </c>
      <c r="AV287" s="96" t="str">
        <f aca="false">IF(ISBLANK($C287),"",IF($AE287=Constants!$B$7,RANK(AU287,AU$8:AU$507),$AE287))</f>
        <v/>
      </c>
      <c r="AW287" s="96" t="str">
        <f aca="false">IF(ISBLANK($C287), "",AC287)</f>
        <v/>
      </c>
      <c r="AX287" s="96" t="str">
        <f aca="false">IF(ISBLANK($C287),"",
IF($AE287=Constants!$B$7,
  COUNTIFS($AR$8:$AR$507,"&lt;"&amp;$AR287)
  + COUNTIFS($AR$8:$AR$507,$AR287,$AT$8:$AT$507,"&lt;"&amp;$AT287)
  + COUNTIFS($AR$8:$AR$507,$AR287,$AT$8:$AT$507,$AT287,$AV$8:$AV$507,"&lt;"&amp;$AV287)
  + COUNTIFS($AR$8:$AR$507,$AR287,$AT$8:$AT$507,$AT287,$AV$8:$AV$507,$AV287,$AW$8:$AW$507,"&lt;"&amp;$AW287)
  + 1,
$AE287))</f>
        <v/>
      </c>
      <c r="AY287" s="96" t="str">
        <f aca="false">IF(ISBLANK(C287),"",IF($AE287=Constants!$B$7, AR287-AX287,$AE287))</f>
        <v/>
      </c>
      <c r="AZ287" s="100"/>
      <c r="BA287" s="101" t="str">
        <f aca="false">IF(ISBLANK($C287),"",TRIM(AI287&amp;" "&amp;AM287))</f>
        <v/>
      </c>
      <c r="BB287" s="102" t="str">
        <f aca="false">IF(ISBLANK($C287),"",IF($AE287&lt;&gt;Constants!$B$7, $AE287 ,AQ287))</f>
        <v/>
      </c>
      <c r="BC287" s="103" t="str">
        <f aca="false">IF(ISBLANK($C287),"",IF($AE287&lt;&gt;Constants!$B$7, $AE287 ,AF287))</f>
        <v/>
      </c>
      <c r="BD287" s="104" t="str">
        <f aca="false">IF(ISBLANK(C287),"",AY287)</f>
        <v/>
      </c>
      <c r="BE287" s="104" t="str">
        <f aca="false">IF(ISBLANK(C287),"",AX287)</f>
        <v/>
      </c>
      <c r="BF287" s="105" t="str">
        <f aca="false">IF(ISBLANK(C287),"",IFERROR(_xlfn.SWITCH(BE287, Constants!$B$4, COUNTA($C$8:$C786)+2, Constants!$B$5, COUNTA($C$8:$C786)+1, Constants!$B$6, COUNTA($C$8:$C786)),BE287))</f>
        <v/>
      </c>
      <c r="BG287" s="5"/>
      <c r="BH287" s="106" t="n">
        <f aca="false">IF(OR(ISNUMBER(BE287),BE287="DQ",BE287="P",BE287="NS"),
    1,
    0
)</f>
        <v>0</v>
      </c>
      <c r="BI287" s="106" t="n">
        <v>280</v>
      </c>
      <c r="BJ287" s="106" t="str">
        <f aca="false">IF(ISBLANK($C287),
    "",
   BF287+ROW($B287)/1000
)</f>
        <v/>
      </c>
      <c r="BK287" s="106" t="str">
        <f aca="false">IF(ISNUMBER(BJ287), RANK(BJ287,BJ$8:BJ$507,1), "")</f>
        <v/>
      </c>
      <c r="BL287" s="106" t="str">
        <f aca="false">IF(ISBLANK($C287),
    "",
    $B287
)</f>
        <v/>
      </c>
      <c r="BM287" s="106" t="str">
        <f aca="false">IF(ISBLANK($C287),
    "",
    $C287
)</f>
        <v/>
      </c>
      <c r="BN287" s="106" t="str">
        <f aca="false">IF(ISBLANK($C287),
    "",
    $D287
)</f>
        <v/>
      </c>
      <c r="BO287" s="107" t="str">
        <f aca="false">BC287</f>
        <v/>
      </c>
      <c r="BP287" s="108" t="str">
        <f aca="false">BB287</f>
        <v/>
      </c>
      <c r="BQ287" s="106" t="str">
        <f aca="false">IF(ISBLANK($C287),
    "",
    BE287
)</f>
        <v/>
      </c>
      <c r="BR287" s="109" t="str">
        <f aca="false">IF(BI287&gt;BH$7,
    "",
    VLOOKUP(BI287,BK$8:BQ786,7,FALSE())
)</f>
        <v/>
      </c>
      <c r="BS287" s="110" t="str">
        <f aca="false">IF(BI287&gt;BH$7,
    "",
    VLOOKUP(BI287,BK$8:BQ786,2,FALSE())
)</f>
        <v/>
      </c>
      <c r="BT287" s="110" t="str">
        <f aca="false">IF(BI287&gt;BH$7,
    "",
    VLOOKUP(BI287,BK$8:BQ786,3,FALSE())
)</f>
        <v/>
      </c>
      <c r="BU287" s="110" t="str">
        <f aca="false">IF(BI287&gt;BH$7,
    "",
    VLOOKUP(BI287,BK$8:BQ786,4,FALSE())
)</f>
        <v/>
      </c>
      <c r="BV287" s="110" t="str">
        <f aca="false">IF(BI287&gt;BH$7,
    "",
    VLOOKUP(BI287,BK$8:BQ786,5,FALSE())
)</f>
        <v/>
      </c>
      <c r="BW287" s="111" t="str">
        <f aca="false">IF(BI287&gt;BH$7,
    "",
    VLOOKUP(BI287,BK$8:BQ786,6,FALSE())
)</f>
        <v/>
      </c>
      <c r="BX287" s="50"/>
    </row>
    <row r="288" customFormat="false" ht="15.75" hidden="false" customHeight="false" outlineLevel="0" collapsed="false">
      <c r="A288" s="5"/>
      <c r="B288" s="122"/>
      <c r="C288" s="123"/>
      <c r="D288" s="112"/>
      <c r="E288" s="116"/>
      <c r="F288" s="116"/>
      <c r="G288" s="88"/>
      <c r="H288" s="89"/>
      <c r="I288" s="125"/>
      <c r="J288" s="125"/>
      <c r="K288" s="125"/>
      <c r="L288" s="91"/>
      <c r="M288" s="91"/>
      <c r="N288" s="91"/>
      <c r="O288" s="92"/>
      <c r="P288" s="93"/>
      <c r="Q288" s="125"/>
      <c r="R288" s="95"/>
      <c r="S288" s="96"/>
      <c r="T288" s="96" t="str">
        <f aca="false">IF(ISBLANK($C288),"",IF(G288=Constants!$B$2, TRUE(), IF(G288=Constants!$B$3, FALSE(), TRUE())))</f>
        <v/>
      </c>
      <c r="U288" s="96" t="str">
        <f aca="false">IF(ISBLANK($C288),"",IF(H288=Constants!$B$2, TRUE(), IF(H288=Constants!$B$3, FALSE(), TRUE())))</f>
        <v/>
      </c>
      <c r="V288" s="96" t="str">
        <f aca="false">IF(ISBLANK($C288),"",IF(I288=Constants!$B$2, TRUE(), IF(I288=Constants!$B$3, FALSE(), TRUE())))</f>
        <v/>
      </c>
      <c r="W288" s="96" t="str">
        <f aca="false">IF(ISBLANK($C288),"",IF(J288=Constants!$B$2, TRUE(), IF(J288=Constants!$B$3, FALSE(), TRUE())))</f>
        <v/>
      </c>
      <c r="X288" s="97" t="str">
        <f aca="false">IF(ISBLANK($C288),"",IF(K288=Constants!$B$2, TRUE(), IF(K288=Constants!$B$3, FALSE(), TRUE())))</f>
        <v/>
      </c>
      <c r="Y288" s="98" t="str">
        <f aca="false">IF(ISBLANK($C288),"",IF(ISNUMBER(L288), L288, ""))</f>
        <v/>
      </c>
      <c r="Z288" s="98" t="str">
        <f aca="false">IF(ISBLANK($C288),"",IF(ISNUMBER(M288), M288, ""))</f>
        <v/>
      </c>
      <c r="AA288" s="98" t="str">
        <f aca="false">IF(ISBLANK($C288),"",IF(ISNUMBER(N288), N288, ""))</f>
        <v/>
      </c>
      <c r="AB288" s="99" t="str">
        <f aca="false">IF(ISBLANK($C288),"",IF(ISNUMBER(O288), O288, ""))</f>
        <v/>
      </c>
      <c r="AC288" s="99" t="str">
        <f aca="false">IF(ISBLANK($C288),"",IF(ISNUMBER(P288), P288, Constants!$B$13))</f>
        <v/>
      </c>
      <c r="AD288" s="96" t="str">
        <f aca="false">IF(ISBLANK($C288),"",IF(Q288=Constants!$B$2, TRUE(), IF(Q288=Constants!$B$3, FALSE(), FALSE())))</f>
        <v/>
      </c>
      <c r="AE288" s="96" t="str">
        <f aca="false">IF(ISBLANK(C288), "", IF(AD288, Constants!$B$4,IF(COUNTA(G288:O288)=0, Constants!$B$5, Constants!$B$7)))</f>
        <v/>
      </c>
      <c r="AF288" s="96" t="str">
        <f aca="false">IF(ISBLANK($C288), "",IF($AE288=Constants!$B$7,1,$AE288))</f>
        <v/>
      </c>
      <c r="AG288" s="96" t="str">
        <f aca="false">IF($AE288=Constants!$B$7,IF(V288, 1, Constants!$B$11) * IF(X288, 1, Constants!$B$12),"")</f>
        <v/>
      </c>
      <c r="AH288" s="96" t="str">
        <f aca="false">IF(AND($AE288=Constants!$B$7, T288, U288) ,MAX(0, $AA288-$Y288),"")</f>
        <v/>
      </c>
      <c r="AI288" s="96" t="str">
        <f aca="false">IF(ISERROR(AH288),$AI$6,"")</f>
        <v/>
      </c>
      <c r="AJ288" s="96" t="str">
        <f aca="false">IF($AE288=Constants!$B$7,IF(AND(T288,U288,W288),IF($AH$6=0,Constants!$B$9,Constants!$B$9*AH288/$AH$6), 0),"")</f>
        <v/>
      </c>
      <c r="AK288" s="96" t="str">
        <f aca="false">IF(AJ288&lt;&gt;"", AJ288*AG288,"")</f>
        <v/>
      </c>
      <c r="AL288" s="96" t="str">
        <f aca="false">IF(AND($AE288=Constants!$B$7, T288, U288) ,IF($Z288="", "", MAX(0,1-ABS($AA288-$Z288)/$AA288)),"")</f>
        <v/>
      </c>
      <c r="AM288" s="96" t="str">
        <f aca="false">IF(AND(NOT(ISERROR(AH288)),ISERROR(AL288)),$AM$6,"")</f>
        <v/>
      </c>
      <c r="AN288" s="96" t="str">
        <f aca="false">IF($AE288=Constants!$B$7 ,IF(AND(T288,U288,W288,ISNUMBER(Z288)),IF($AL$6=0,Constants!$B$10,Constants!$B$10*AL288/$AL$6), 0),"")</f>
        <v/>
      </c>
      <c r="AO288" s="96" t="str">
        <f aca="false">IF(AN288&lt;&gt;"", AN288*AG288,"")</f>
        <v/>
      </c>
      <c r="AP288" s="96" t="str">
        <f aca="false">IF($AE288=Constants!$B$7,IF($AP$6=0,Constants!$B$8,Constants!$B$8*AB288/$AP$6),"")</f>
        <v/>
      </c>
      <c r="AQ288" s="96" t="str">
        <f aca="false">IF($AE288&lt;&gt;Constants!$B$7,$AE288,AK288+AO288+AP288)</f>
        <v/>
      </c>
      <c r="AR288" s="96" t="str">
        <f aca="false">IF(ISBLANK($C288),"",IF($AE288=Constants!$B$7,RANK(AQ288,$AQ$8:$AQ$507),$AE288))</f>
        <v/>
      </c>
      <c r="AS288" s="96" t="str">
        <f aca="false">IF(ISBLANK($C288), "",AK288)</f>
        <v/>
      </c>
      <c r="AT288" s="96" t="str">
        <f aca="false">IF(ISBLANK($C288),"",IF($AE288=Constants!$B$7,RANK(AS288,AS$8:AS$507),$AE288))</f>
        <v/>
      </c>
      <c r="AU288" s="96" t="str">
        <f aca="false">IF(ISBLANK($C288), "",AP288)</f>
        <v/>
      </c>
      <c r="AV288" s="96" t="str">
        <f aca="false">IF(ISBLANK($C288),"",IF($AE288=Constants!$B$7,RANK(AU288,AU$8:AU$507),$AE288))</f>
        <v/>
      </c>
      <c r="AW288" s="96" t="str">
        <f aca="false">IF(ISBLANK($C288), "",AC288)</f>
        <v/>
      </c>
      <c r="AX288" s="96" t="str">
        <f aca="false">IF(ISBLANK($C288),"",
IF($AE288=Constants!$B$7,
  COUNTIFS($AR$8:$AR$507,"&lt;"&amp;$AR288)
  + COUNTIFS($AR$8:$AR$507,$AR288,$AT$8:$AT$507,"&lt;"&amp;$AT288)
  + COUNTIFS($AR$8:$AR$507,$AR288,$AT$8:$AT$507,$AT288,$AV$8:$AV$507,"&lt;"&amp;$AV288)
  + COUNTIFS($AR$8:$AR$507,$AR288,$AT$8:$AT$507,$AT288,$AV$8:$AV$507,$AV288,$AW$8:$AW$507,"&lt;"&amp;$AW288)
  + 1,
$AE288))</f>
        <v/>
      </c>
      <c r="AY288" s="96" t="str">
        <f aca="false">IF(ISBLANK(C288),"",IF($AE288=Constants!$B$7, AR288-AX288,$AE288))</f>
        <v/>
      </c>
      <c r="AZ288" s="100"/>
      <c r="BA288" s="101" t="str">
        <f aca="false">IF(ISBLANK($C288),"",TRIM(AI288&amp;" "&amp;AM288))</f>
        <v/>
      </c>
      <c r="BB288" s="102" t="str">
        <f aca="false">IF(ISBLANK($C288),"",IF($AE288&lt;&gt;Constants!$B$7, $AE288 ,AQ288))</f>
        <v/>
      </c>
      <c r="BC288" s="103" t="str">
        <f aca="false">IF(ISBLANK($C288),"",IF($AE288&lt;&gt;Constants!$B$7, $AE288 ,AF288))</f>
        <v/>
      </c>
      <c r="BD288" s="104" t="str">
        <f aca="false">IF(ISBLANK(C288),"",AY288)</f>
        <v/>
      </c>
      <c r="BE288" s="104" t="str">
        <f aca="false">IF(ISBLANK(C288),"",AX288)</f>
        <v/>
      </c>
      <c r="BF288" s="105" t="str">
        <f aca="false">IF(ISBLANK(C288),"",IFERROR(_xlfn.SWITCH(BE288, Constants!$B$4, COUNTA($C$8:$C787)+2, Constants!$B$5, COUNTA($C$8:$C787)+1, Constants!$B$6, COUNTA($C$8:$C787)),BE288))</f>
        <v/>
      </c>
      <c r="BG288" s="5"/>
      <c r="BH288" s="106" t="n">
        <f aca="false">IF(OR(ISNUMBER(BE288),BE288="DQ",BE288="P",BE288="NS"),
    1,
    0
)</f>
        <v>0</v>
      </c>
      <c r="BI288" s="106" t="n">
        <v>281</v>
      </c>
      <c r="BJ288" s="106" t="str">
        <f aca="false">IF(ISBLANK($C288),
    "",
   BF288+ROW($B288)/1000
)</f>
        <v/>
      </c>
      <c r="BK288" s="106" t="str">
        <f aca="false">IF(ISNUMBER(BJ288), RANK(BJ288,BJ$8:BJ$507,1), "")</f>
        <v/>
      </c>
      <c r="BL288" s="106" t="str">
        <f aca="false">IF(ISBLANK($C288),
    "",
    $B288
)</f>
        <v/>
      </c>
      <c r="BM288" s="106" t="str">
        <f aca="false">IF(ISBLANK($C288),
    "",
    $C288
)</f>
        <v/>
      </c>
      <c r="BN288" s="106" t="str">
        <f aca="false">IF(ISBLANK($C288),
    "",
    $D288
)</f>
        <v/>
      </c>
      <c r="BO288" s="107" t="str">
        <f aca="false">BC288</f>
        <v/>
      </c>
      <c r="BP288" s="108" t="str">
        <f aca="false">BB288</f>
        <v/>
      </c>
      <c r="BQ288" s="106" t="str">
        <f aca="false">IF(ISBLANK($C288),
    "",
    BE288
)</f>
        <v/>
      </c>
      <c r="BR288" s="109" t="str">
        <f aca="false">IF(BI288&gt;BH$7,
    "",
    VLOOKUP(BI288,BK$8:BQ787,7,FALSE())
)</f>
        <v/>
      </c>
      <c r="BS288" s="110" t="str">
        <f aca="false">IF(BI288&gt;BH$7,
    "",
    VLOOKUP(BI288,BK$8:BQ787,2,FALSE())
)</f>
        <v/>
      </c>
      <c r="BT288" s="110" t="str">
        <f aca="false">IF(BI288&gt;BH$7,
    "",
    VLOOKUP(BI288,BK$8:BQ787,3,FALSE())
)</f>
        <v/>
      </c>
      <c r="BU288" s="110" t="str">
        <f aca="false">IF(BI288&gt;BH$7,
    "",
    VLOOKUP(BI288,BK$8:BQ787,4,FALSE())
)</f>
        <v/>
      </c>
      <c r="BV288" s="110" t="str">
        <f aca="false">IF(BI288&gt;BH$7,
    "",
    VLOOKUP(BI288,BK$8:BQ787,5,FALSE())
)</f>
        <v/>
      </c>
      <c r="BW288" s="111" t="str">
        <f aca="false">IF(BI288&gt;BH$7,
    "",
    VLOOKUP(BI288,BK$8:BQ787,6,FALSE())
)</f>
        <v/>
      </c>
      <c r="BX288" s="50"/>
    </row>
    <row r="289" customFormat="false" ht="15.75" hidden="false" customHeight="false" outlineLevel="0" collapsed="false">
      <c r="A289" s="5"/>
      <c r="B289" s="122"/>
      <c r="C289" s="123"/>
      <c r="D289" s="112"/>
      <c r="E289" s="116"/>
      <c r="F289" s="116"/>
      <c r="G289" s="88"/>
      <c r="H289" s="89"/>
      <c r="I289" s="125"/>
      <c r="J289" s="125"/>
      <c r="K289" s="125"/>
      <c r="L289" s="91"/>
      <c r="M289" s="91"/>
      <c r="N289" s="91"/>
      <c r="O289" s="92"/>
      <c r="P289" s="93"/>
      <c r="Q289" s="125"/>
      <c r="R289" s="95"/>
      <c r="S289" s="96"/>
      <c r="T289" s="96" t="str">
        <f aca="false">IF(ISBLANK($C289),"",IF(G289=Constants!$B$2, TRUE(), IF(G289=Constants!$B$3, FALSE(), TRUE())))</f>
        <v/>
      </c>
      <c r="U289" s="96" t="str">
        <f aca="false">IF(ISBLANK($C289),"",IF(H289=Constants!$B$2, TRUE(), IF(H289=Constants!$B$3, FALSE(), TRUE())))</f>
        <v/>
      </c>
      <c r="V289" s="96" t="str">
        <f aca="false">IF(ISBLANK($C289),"",IF(I289=Constants!$B$2, TRUE(), IF(I289=Constants!$B$3, FALSE(), TRUE())))</f>
        <v/>
      </c>
      <c r="W289" s="96" t="str">
        <f aca="false">IF(ISBLANK($C289),"",IF(J289=Constants!$B$2, TRUE(), IF(J289=Constants!$B$3, FALSE(), TRUE())))</f>
        <v/>
      </c>
      <c r="X289" s="97" t="str">
        <f aca="false">IF(ISBLANK($C289),"",IF(K289=Constants!$B$2, TRUE(), IF(K289=Constants!$B$3, FALSE(), TRUE())))</f>
        <v/>
      </c>
      <c r="Y289" s="98" t="str">
        <f aca="false">IF(ISBLANK($C289),"",IF(ISNUMBER(L289), L289, ""))</f>
        <v/>
      </c>
      <c r="Z289" s="98" t="str">
        <f aca="false">IF(ISBLANK($C289),"",IF(ISNUMBER(M289), M289, ""))</f>
        <v/>
      </c>
      <c r="AA289" s="98" t="str">
        <f aca="false">IF(ISBLANK($C289),"",IF(ISNUMBER(N289), N289, ""))</f>
        <v/>
      </c>
      <c r="AB289" s="99" t="str">
        <f aca="false">IF(ISBLANK($C289),"",IF(ISNUMBER(O289), O289, ""))</f>
        <v/>
      </c>
      <c r="AC289" s="99" t="str">
        <f aca="false">IF(ISBLANK($C289),"",IF(ISNUMBER(P289), P289, Constants!$B$13))</f>
        <v/>
      </c>
      <c r="AD289" s="96" t="str">
        <f aca="false">IF(ISBLANK($C289),"",IF(Q289=Constants!$B$2, TRUE(), IF(Q289=Constants!$B$3, FALSE(), FALSE())))</f>
        <v/>
      </c>
      <c r="AE289" s="96" t="str">
        <f aca="false">IF(ISBLANK(C289), "", IF(AD289, Constants!$B$4,IF(COUNTA(G289:O289)=0, Constants!$B$5, Constants!$B$7)))</f>
        <v/>
      </c>
      <c r="AF289" s="96" t="str">
        <f aca="false">IF(ISBLANK($C289), "",IF($AE289=Constants!$B$7,1,$AE289))</f>
        <v/>
      </c>
      <c r="AG289" s="96" t="str">
        <f aca="false">IF($AE289=Constants!$B$7,IF(V289, 1, Constants!$B$11) * IF(X289, 1, Constants!$B$12),"")</f>
        <v/>
      </c>
      <c r="AH289" s="96" t="str">
        <f aca="false">IF(AND($AE289=Constants!$B$7, T289, U289) ,MAX(0, $AA289-$Y289),"")</f>
        <v/>
      </c>
      <c r="AI289" s="96" t="str">
        <f aca="false">IF(ISERROR(AH289),$AI$6,"")</f>
        <v/>
      </c>
      <c r="AJ289" s="96" t="str">
        <f aca="false">IF($AE289=Constants!$B$7,IF(AND(T289,U289,W289),IF($AH$6=0,Constants!$B$9,Constants!$B$9*AH289/$AH$6), 0),"")</f>
        <v/>
      </c>
      <c r="AK289" s="96" t="str">
        <f aca="false">IF(AJ289&lt;&gt;"", AJ289*AG289,"")</f>
        <v/>
      </c>
      <c r="AL289" s="96" t="str">
        <f aca="false">IF(AND($AE289=Constants!$B$7, T289, U289) ,IF($Z289="", "", MAX(0,1-ABS($AA289-$Z289)/$AA289)),"")</f>
        <v/>
      </c>
      <c r="AM289" s="96" t="str">
        <f aca="false">IF(AND(NOT(ISERROR(AH289)),ISERROR(AL289)),$AM$6,"")</f>
        <v/>
      </c>
      <c r="AN289" s="96" t="str">
        <f aca="false">IF($AE289=Constants!$B$7 ,IF(AND(T289,U289,W289,ISNUMBER(Z289)),IF($AL$6=0,Constants!$B$10,Constants!$B$10*AL289/$AL$6), 0),"")</f>
        <v/>
      </c>
      <c r="AO289" s="96" t="str">
        <f aca="false">IF(AN289&lt;&gt;"", AN289*AG289,"")</f>
        <v/>
      </c>
      <c r="AP289" s="96" t="str">
        <f aca="false">IF($AE289=Constants!$B$7,IF($AP$6=0,Constants!$B$8,Constants!$B$8*AB289/$AP$6),"")</f>
        <v/>
      </c>
      <c r="AQ289" s="96" t="str">
        <f aca="false">IF($AE289&lt;&gt;Constants!$B$7,$AE289,AK289+AO289+AP289)</f>
        <v/>
      </c>
      <c r="AR289" s="96" t="str">
        <f aca="false">IF(ISBLANK($C289),"",IF($AE289=Constants!$B$7,RANK(AQ289,$AQ$8:$AQ$507),$AE289))</f>
        <v/>
      </c>
      <c r="AS289" s="96" t="str">
        <f aca="false">IF(ISBLANK($C289), "",AK289)</f>
        <v/>
      </c>
      <c r="AT289" s="96" t="str">
        <f aca="false">IF(ISBLANK($C289),"",IF($AE289=Constants!$B$7,RANK(AS289,AS$8:AS$507),$AE289))</f>
        <v/>
      </c>
      <c r="AU289" s="96" t="str">
        <f aca="false">IF(ISBLANK($C289), "",AP289)</f>
        <v/>
      </c>
      <c r="AV289" s="96" t="str">
        <f aca="false">IF(ISBLANK($C289),"",IF($AE289=Constants!$B$7,RANK(AU289,AU$8:AU$507),$AE289))</f>
        <v/>
      </c>
      <c r="AW289" s="96" t="str">
        <f aca="false">IF(ISBLANK($C289), "",AC289)</f>
        <v/>
      </c>
      <c r="AX289" s="96" t="str">
        <f aca="false">IF(ISBLANK($C289),"",
IF($AE289=Constants!$B$7,
  COUNTIFS($AR$8:$AR$507,"&lt;"&amp;$AR289)
  + COUNTIFS($AR$8:$AR$507,$AR289,$AT$8:$AT$507,"&lt;"&amp;$AT289)
  + COUNTIFS($AR$8:$AR$507,$AR289,$AT$8:$AT$507,$AT289,$AV$8:$AV$507,"&lt;"&amp;$AV289)
  + COUNTIFS($AR$8:$AR$507,$AR289,$AT$8:$AT$507,$AT289,$AV$8:$AV$507,$AV289,$AW$8:$AW$507,"&lt;"&amp;$AW289)
  + 1,
$AE289))</f>
        <v/>
      </c>
      <c r="AY289" s="96" t="str">
        <f aca="false">IF(ISBLANK(C289),"",IF($AE289=Constants!$B$7, AR289-AX289,$AE289))</f>
        <v/>
      </c>
      <c r="AZ289" s="100"/>
      <c r="BA289" s="101" t="str">
        <f aca="false">IF(ISBLANK($C289),"",TRIM(AI289&amp;" "&amp;AM289))</f>
        <v/>
      </c>
      <c r="BB289" s="102" t="str">
        <f aca="false">IF(ISBLANK($C289),"",IF($AE289&lt;&gt;Constants!$B$7, $AE289 ,AQ289))</f>
        <v/>
      </c>
      <c r="BC289" s="103" t="str">
        <f aca="false">IF(ISBLANK($C289),"",IF($AE289&lt;&gt;Constants!$B$7, $AE289 ,AF289))</f>
        <v/>
      </c>
      <c r="BD289" s="104" t="str">
        <f aca="false">IF(ISBLANK(C289),"",AY289)</f>
        <v/>
      </c>
      <c r="BE289" s="104" t="str">
        <f aca="false">IF(ISBLANK(C289),"",AX289)</f>
        <v/>
      </c>
      <c r="BF289" s="105" t="str">
        <f aca="false">IF(ISBLANK(C289),"",IFERROR(_xlfn.SWITCH(BE289, Constants!$B$4, COUNTA($C$8:$C788)+2, Constants!$B$5, COUNTA($C$8:$C788)+1, Constants!$B$6, COUNTA($C$8:$C788)),BE289))</f>
        <v/>
      </c>
      <c r="BG289" s="5"/>
      <c r="BH289" s="106" t="n">
        <f aca="false">IF(OR(ISNUMBER(BE289),BE289="DQ",BE289="P",BE289="NS"),
    1,
    0
)</f>
        <v>0</v>
      </c>
      <c r="BI289" s="106" t="n">
        <v>282</v>
      </c>
      <c r="BJ289" s="106" t="str">
        <f aca="false">IF(ISBLANK($C289),
    "",
   BF289+ROW($B289)/1000
)</f>
        <v/>
      </c>
      <c r="BK289" s="106" t="str">
        <f aca="false">IF(ISNUMBER(BJ289), RANK(BJ289,BJ$8:BJ$507,1), "")</f>
        <v/>
      </c>
      <c r="BL289" s="106" t="str">
        <f aca="false">IF(ISBLANK($C289),
    "",
    $B289
)</f>
        <v/>
      </c>
      <c r="BM289" s="106" t="str">
        <f aca="false">IF(ISBLANK($C289),
    "",
    $C289
)</f>
        <v/>
      </c>
      <c r="BN289" s="106" t="str">
        <f aca="false">IF(ISBLANK($C289),
    "",
    $D289
)</f>
        <v/>
      </c>
      <c r="BO289" s="107" t="str">
        <f aca="false">BC289</f>
        <v/>
      </c>
      <c r="BP289" s="108" t="str">
        <f aca="false">BB289</f>
        <v/>
      </c>
      <c r="BQ289" s="106" t="str">
        <f aca="false">IF(ISBLANK($C289),
    "",
    BE289
)</f>
        <v/>
      </c>
      <c r="BR289" s="109" t="str">
        <f aca="false">IF(BI289&gt;BH$7,
    "",
    VLOOKUP(BI289,BK$8:BQ788,7,FALSE())
)</f>
        <v/>
      </c>
      <c r="BS289" s="110" t="str">
        <f aca="false">IF(BI289&gt;BH$7,
    "",
    VLOOKUP(BI289,BK$8:BQ788,2,FALSE())
)</f>
        <v/>
      </c>
      <c r="BT289" s="110" t="str">
        <f aca="false">IF(BI289&gt;BH$7,
    "",
    VLOOKUP(BI289,BK$8:BQ788,3,FALSE())
)</f>
        <v/>
      </c>
      <c r="BU289" s="110" t="str">
        <f aca="false">IF(BI289&gt;BH$7,
    "",
    VLOOKUP(BI289,BK$8:BQ788,4,FALSE())
)</f>
        <v/>
      </c>
      <c r="BV289" s="110" t="str">
        <f aca="false">IF(BI289&gt;BH$7,
    "",
    VLOOKUP(BI289,BK$8:BQ788,5,FALSE())
)</f>
        <v/>
      </c>
      <c r="BW289" s="111" t="str">
        <f aca="false">IF(BI289&gt;BH$7,
    "",
    VLOOKUP(BI289,BK$8:BQ788,6,FALSE())
)</f>
        <v/>
      </c>
      <c r="BX289" s="50"/>
    </row>
    <row r="290" customFormat="false" ht="15.75" hidden="false" customHeight="false" outlineLevel="0" collapsed="false">
      <c r="A290" s="5"/>
      <c r="B290" s="126"/>
      <c r="C290" s="52"/>
      <c r="D290" s="53"/>
      <c r="E290" s="120"/>
      <c r="F290" s="120"/>
      <c r="G290" s="55"/>
      <c r="H290" s="56"/>
      <c r="I290" s="80"/>
      <c r="J290" s="80"/>
      <c r="K290" s="80"/>
      <c r="L290" s="58"/>
      <c r="M290" s="58"/>
      <c r="N290" s="58"/>
      <c r="O290" s="59"/>
      <c r="P290" s="60"/>
      <c r="Q290" s="80"/>
      <c r="R290" s="62"/>
      <c r="S290" s="63"/>
      <c r="T290" s="63" t="str">
        <f aca="false">IF(ISBLANK($C290),"",IF(G290=Constants!$B$2, TRUE(), IF(G290=Constants!$B$3, FALSE(), TRUE())))</f>
        <v/>
      </c>
      <c r="U290" s="63" t="str">
        <f aca="false">IF(ISBLANK($C290),"",IF(H290=Constants!$B$2, TRUE(), IF(H290=Constants!$B$3, FALSE(), TRUE())))</f>
        <v/>
      </c>
      <c r="V290" s="63" t="str">
        <f aca="false">IF(ISBLANK($C290),"",IF(I290=Constants!$B$2, TRUE(), IF(I290=Constants!$B$3, FALSE(), TRUE())))</f>
        <v/>
      </c>
      <c r="W290" s="63" t="str">
        <f aca="false">IF(ISBLANK($C290),"",IF(J290=Constants!$B$2, TRUE(), IF(J290=Constants!$B$3, FALSE(), TRUE())))</f>
        <v/>
      </c>
      <c r="X290" s="63" t="str">
        <f aca="false">IF(ISBLANK($C290),"",IF(K290=Constants!$B$2, TRUE(), IF(K290=Constants!$B$3, FALSE(), TRUE())))</f>
        <v/>
      </c>
      <c r="Y290" s="65" t="str">
        <f aca="false">IF(ISBLANK($C290),"",IF(ISNUMBER(L290), L290, ""))</f>
        <v/>
      </c>
      <c r="Z290" s="65" t="str">
        <f aca="false">IF(ISBLANK($C290),"",IF(ISNUMBER(M290), M290, ""))</f>
        <v/>
      </c>
      <c r="AA290" s="65" t="str">
        <f aca="false">IF(ISBLANK($C290),"",IF(ISNUMBER(N290), N290, ""))</f>
        <v/>
      </c>
      <c r="AB290" s="66" t="str">
        <f aca="false">IF(ISBLANK($C290),"",IF(ISNUMBER(O290), O290, ""))</f>
        <v/>
      </c>
      <c r="AC290" s="66" t="str">
        <f aca="false">IF(ISBLANK($C290),"",IF(ISNUMBER(P290), P290, Constants!$B$13))</f>
        <v/>
      </c>
      <c r="AD290" s="63" t="str">
        <f aca="false">IF(ISBLANK($C290),"",IF(Q290=Constants!$B$2, TRUE(), IF(Q290=Constants!$B$3, FALSE(), FALSE())))</f>
        <v/>
      </c>
      <c r="AE290" s="63" t="str">
        <f aca="false">IF(ISBLANK(C290), "", IF(AD290, Constants!$B$4,IF(COUNTA(G290:O290)=0, Constants!$B$5, Constants!$B$7)))</f>
        <v/>
      </c>
      <c r="AF290" s="63" t="str">
        <f aca="false">IF(ISBLANK($C290), "",IF($AE290=Constants!$B$7,1,$AE290))</f>
        <v/>
      </c>
      <c r="AG290" s="63" t="str">
        <f aca="false">IF($AE290=Constants!$B$7,IF(V290, 1, Constants!$B$11) * IF(X290, 1, Constants!$B$12),"")</f>
        <v/>
      </c>
      <c r="AH290" s="63" t="str">
        <f aca="false">IF(AND($AE290=Constants!$B$7, T290, U290) ,MAX(0, $AA290-$Y290),"")</f>
        <v/>
      </c>
      <c r="AI290" s="63" t="str">
        <f aca="false">IF(ISERROR(AH290),$AI$6,"")</f>
        <v/>
      </c>
      <c r="AJ290" s="63" t="str">
        <f aca="false">IF($AE290=Constants!$B$7,IF(AND(T290,U290,W290),IF($AH$6=0,Constants!$B$9,Constants!$B$9*AH290/$AH$6), 0),"")</f>
        <v/>
      </c>
      <c r="AK290" s="63" t="str">
        <f aca="false">IF(AJ290&lt;&gt;"", AJ290*AG290,"")</f>
        <v/>
      </c>
      <c r="AL290" s="63" t="str">
        <f aca="false">IF(AND($AE290=Constants!$B$7, T290, U290) ,IF($Z290="", "", MAX(0,1-ABS($AA290-$Z290)/$AA290)),"")</f>
        <v/>
      </c>
      <c r="AM290" s="63" t="str">
        <f aca="false">IF(AND(NOT(ISERROR(AH290)),ISERROR(AL290)),$AM$6,"")</f>
        <v/>
      </c>
      <c r="AN290" s="63" t="str">
        <f aca="false">IF($AE290=Constants!$B$7 ,IF(AND(T290,U290,W290,ISNUMBER(Z290)),IF($AL$6=0,Constants!$B$10,Constants!$B$10*AL290/$AL$6), 0),"")</f>
        <v/>
      </c>
      <c r="AO290" s="63" t="str">
        <f aca="false">IF(AN290&lt;&gt;"", AN290*AG290,"")</f>
        <v/>
      </c>
      <c r="AP290" s="63" t="str">
        <f aca="false">IF($AE290=Constants!$B$7,IF($AP$6=0,Constants!$B$8,Constants!$B$8*AB290/$AP$6),"")</f>
        <v/>
      </c>
      <c r="AQ290" s="63" t="str">
        <f aca="false">IF($AE290&lt;&gt;Constants!$B$7,$AE290,AK290+AO290+AP290)</f>
        <v/>
      </c>
      <c r="AR290" s="63" t="str">
        <f aca="false">IF(ISBLANK($C290),"",IF($AE290=Constants!$B$7,RANK(AQ290,$AQ$8:$AQ$507),$AE290))</f>
        <v/>
      </c>
      <c r="AS290" s="63" t="str">
        <f aca="false">IF(ISBLANK($C290), "",AK290)</f>
        <v/>
      </c>
      <c r="AT290" s="63" t="str">
        <f aca="false">IF(ISBLANK($C290),"",IF($AE290=Constants!$B$7,RANK(AS290,AS$8:AS$507),$AE290))</f>
        <v/>
      </c>
      <c r="AU290" s="63" t="str">
        <f aca="false">IF(ISBLANK($C290), "",AP290)</f>
        <v/>
      </c>
      <c r="AV290" s="63" t="str">
        <f aca="false">IF(ISBLANK($C290),"",IF($AE290=Constants!$B$7,RANK(AU290,AU$8:AU$507),$AE290))</f>
        <v/>
      </c>
      <c r="AW290" s="63" t="str">
        <f aca="false">IF(ISBLANK($C290), "",AC290)</f>
        <v/>
      </c>
      <c r="AX290" s="63" t="str">
        <f aca="false">IF(ISBLANK($C290),"",
IF($AE290=Constants!$B$7,
  COUNTIFS($AR$8:$AR$507,"&lt;"&amp;$AR290)
  + COUNTIFS($AR$8:$AR$507,$AR290,$AT$8:$AT$507,"&lt;"&amp;$AT290)
  + COUNTIFS($AR$8:$AR$507,$AR290,$AT$8:$AT$507,$AT290,$AV$8:$AV$507,"&lt;"&amp;$AV290)
  + COUNTIFS($AR$8:$AR$507,$AR290,$AT$8:$AT$507,$AT290,$AV$8:$AV$507,$AV290,$AW$8:$AW$507,"&lt;"&amp;$AW290)
  + 1,
$AE290))</f>
        <v/>
      </c>
      <c r="AY290" s="63" t="str">
        <f aca="false">IF(ISBLANK(C290),"",IF($AE290=Constants!$B$7, AR290-AX290,$AE290))</f>
        <v/>
      </c>
      <c r="AZ290" s="67"/>
      <c r="BA290" s="81" t="str">
        <f aca="false">IF(ISBLANK($C290),"",TRIM(AI290&amp;" "&amp;AM290))</f>
        <v/>
      </c>
      <c r="BB290" s="69" t="str">
        <f aca="false">IF(ISBLANK($C290),"",IF($AE290&lt;&gt;Constants!$B$7, $AE290 ,AQ290))</f>
        <v/>
      </c>
      <c r="BC290" s="70" t="str">
        <f aca="false">IF(ISBLANK($C290),"",IF($AE290&lt;&gt;Constants!$B$7, $AE290 ,AF290))</f>
        <v/>
      </c>
      <c r="BD290" s="71" t="str">
        <f aca="false">IF(ISBLANK(C290),"",AY290)</f>
        <v/>
      </c>
      <c r="BE290" s="71" t="str">
        <f aca="false">IF(ISBLANK(C290),"",AX290)</f>
        <v/>
      </c>
      <c r="BF290" s="72" t="str">
        <f aca="false">IF(ISBLANK(C290),"",IFERROR(_xlfn.SWITCH(BE290, Constants!$B$4, COUNTA($C$8:$C789)+2, Constants!$B$5, COUNTA($C$8:$C789)+1, Constants!$B$6, COUNTA($C$8:$C789)),BE290))</f>
        <v/>
      </c>
      <c r="BG290" s="5"/>
      <c r="BH290" s="73" t="n">
        <f aca="false">IF(OR(ISNUMBER(BE290),BE290="DQ",BE290="P",BE290="NS"),
    1,
    0
)</f>
        <v>0</v>
      </c>
      <c r="BI290" s="73" t="n">
        <v>283</v>
      </c>
      <c r="BJ290" s="73" t="str">
        <f aca="false">IF(ISBLANK($C290),
    "",
   BF290+ROW($B290)/1000
)</f>
        <v/>
      </c>
      <c r="BK290" s="73" t="str">
        <f aca="false">IF(ISNUMBER(BJ290), RANK(BJ290,BJ$8:BJ$507,1), "")</f>
        <v/>
      </c>
      <c r="BL290" s="73" t="str">
        <f aca="false">IF(ISBLANK($C290),
    "",
    $B290
)</f>
        <v/>
      </c>
      <c r="BM290" s="73" t="str">
        <f aca="false">IF(ISBLANK($C290),
    "",
    $C290
)</f>
        <v/>
      </c>
      <c r="BN290" s="73" t="str">
        <f aca="false">IF(ISBLANK($C290),
    "",
    $D290
)</f>
        <v/>
      </c>
      <c r="BO290" s="74" t="str">
        <f aca="false">BC290</f>
        <v/>
      </c>
      <c r="BP290" s="75" t="str">
        <f aca="false">BB290</f>
        <v/>
      </c>
      <c r="BQ290" s="73" t="str">
        <f aca="false">IF(ISBLANK($C290),
    "",
    BE290
)</f>
        <v/>
      </c>
      <c r="BR290" s="76" t="str">
        <f aca="false">IF(BI290&gt;BH$7,
    "",
    VLOOKUP(BI290,BK$8:BQ789,7,FALSE())
)</f>
        <v/>
      </c>
      <c r="BS290" s="77" t="str">
        <f aca="false">IF(BI290&gt;BH$7,
    "",
    VLOOKUP(BI290,BK$8:BQ789,2,FALSE())
)</f>
        <v/>
      </c>
      <c r="BT290" s="77" t="str">
        <f aca="false">IF(BI290&gt;BH$7,
    "",
    VLOOKUP(BI290,BK$8:BQ789,3,FALSE())
)</f>
        <v/>
      </c>
      <c r="BU290" s="77" t="str">
        <f aca="false">IF(BI290&gt;BH$7,
    "",
    VLOOKUP(BI290,BK$8:BQ789,4,FALSE())
)</f>
        <v/>
      </c>
      <c r="BV290" s="77" t="str">
        <f aca="false">IF(BI290&gt;BH$7,
    "",
    VLOOKUP(BI290,BK$8:BQ789,5,FALSE())
)</f>
        <v/>
      </c>
      <c r="BW290" s="78" t="str">
        <f aca="false">IF(BI290&gt;BH$7,
    "",
    VLOOKUP(BI290,BK$8:BQ789,6,FALSE())
)</f>
        <v/>
      </c>
      <c r="BX290" s="50"/>
    </row>
    <row r="291" customFormat="false" ht="15.75" hidden="false" customHeight="false" outlineLevel="0" collapsed="false">
      <c r="A291" s="5"/>
      <c r="B291" s="126"/>
      <c r="C291" s="52"/>
      <c r="D291" s="53"/>
      <c r="E291" s="120"/>
      <c r="F291" s="120"/>
      <c r="G291" s="55"/>
      <c r="H291" s="56"/>
      <c r="I291" s="80"/>
      <c r="J291" s="80"/>
      <c r="K291" s="80"/>
      <c r="L291" s="58"/>
      <c r="M291" s="58"/>
      <c r="N291" s="58"/>
      <c r="O291" s="59"/>
      <c r="P291" s="60"/>
      <c r="Q291" s="80"/>
      <c r="R291" s="62"/>
      <c r="S291" s="63"/>
      <c r="T291" s="63" t="str">
        <f aca="false">IF(ISBLANK($C291),"",IF(G291=Constants!$B$2, TRUE(), IF(G291=Constants!$B$3, FALSE(), TRUE())))</f>
        <v/>
      </c>
      <c r="U291" s="63" t="str">
        <f aca="false">IF(ISBLANK($C291),"",IF(H291=Constants!$B$2, TRUE(), IF(H291=Constants!$B$3, FALSE(), TRUE())))</f>
        <v/>
      </c>
      <c r="V291" s="63" t="str">
        <f aca="false">IF(ISBLANK($C291),"",IF(I291=Constants!$B$2, TRUE(), IF(I291=Constants!$B$3, FALSE(), TRUE())))</f>
        <v/>
      </c>
      <c r="W291" s="63" t="str">
        <f aca="false">IF(ISBLANK($C291),"",IF(J291=Constants!$B$2, TRUE(), IF(J291=Constants!$B$3, FALSE(), TRUE())))</f>
        <v/>
      </c>
      <c r="X291" s="63" t="str">
        <f aca="false">IF(ISBLANK($C291),"",IF(K291=Constants!$B$2, TRUE(), IF(K291=Constants!$B$3, FALSE(), TRUE())))</f>
        <v/>
      </c>
      <c r="Y291" s="65" t="str">
        <f aca="false">IF(ISBLANK($C291),"",IF(ISNUMBER(L291), L291, ""))</f>
        <v/>
      </c>
      <c r="Z291" s="65" t="str">
        <f aca="false">IF(ISBLANK($C291),"",IF(ISNUMBER(M291), M291, ""))</f>
        <v/>
      </c>
      <c r="AA291" s="65" t="str">
        <f aca="false">IF(ISBLANK($C291),"",IF(ISNUMBER(N291), N291, ""))</f>
        <v/>
      </c>
      <c r="AB291" s="66" t="str">
        <f aca="false">IF(ISBLANK($C291),"",IF(ISNUMBER(O291), O291, ""))</f>
        <v/>
      </c>
      <c r="AC291" s="66" t="str">
        <f aca="false">IF(ISBLANK($C291),"",IF(ISNUMBER(P291), P291, Constants!$B$13))</f>
        <v/>
      </c>
      <c r="AD291" s="63" t="str">
        <f aca="false">IF(ISBLANK($C291),"",IF(Q291=Constants!$B$2, TRUE(), IF(Q291=Constants!$B$3, FALSE(), FALSE())))</f>
        <v/>
      </c>
      <c r="AE291" s="63" t="str">
        <f aca="false">IF(ISBLANK(C291), "", IF(AD291, Constants!$B$4,IF(COUNTA(G291:O291)=0, Constants!$B$5, Constants!$B$7)))</f>
        <v/>
      </c>
      <c r="AF291" s="63" t="str">
        <f aca="false">IF(ISBLANK($C291), "",IF($AE291=Constants!$B$7,1,$AE291))</f>
        <v/>
      </c>
      <c r="AG291" s="63" t="str">
        <f aca="false">IF($AE291=Constants!$B$7,IF(V291, 1, Constants!$B$11) * IF(X291, 1, Constants!$B$12),"")</f>
        <v/>
      </c>
      <c r="AH291" s="63" t="str">
        <f aca="false">IF(AND($AE291=Constants!$B$7, T291, U291) ,MAX(0, $AA291-$Y291),"")</f>
        <v/>
      </c>
      <c r="AI291" s="63" t="str">
        <f aca="false">IF(ISERROR(AH291),$AI$6,"")</f>
        <v/>
      </c>
      <c r="AJ291" s="63" t="str">
        <f aca="false">IF($AE291=Constants!$B$7,IF(AND(T291,U291,W291),IF($AH$6=0,Constants!$B$9,Constants!$B$9*AH291/$AH$6), 0),"")</f>
        <v/>
      </c>
      <c r="AK291" s="63" t="str">
        <f aca="false">IF(AJ291&lt;&gt;"", AJ291*AG291,"")</f>
        <v/>
      </c>
      <c r="AL291" s="63" t="str">
        <f aca="false">IF(AND($AE291=Constants!$B$7, T291, U291) ,IF($Z291="", "", MAX(0,1-ABS($AA291-$Z291)/$AA291)),"")</f>
        <v/>
      </c>
      <c r="AM291" s="63" t="str">
        <f aca="false">IF(AND(NOT(ISERROR(AH291)),ISERROR(AL291)),$AM$6,"")</f>
        <v/>
      </c>
      <c r="AN291" s="63" t="str">
        <f aca="false">IF($AE291=Constants!$B$7 ,IF(AND(T291,U291,W291,ISNUMBER(Z291)),IF($AL$6=0,Constants!$B$10,Constants!$B$10*AL291/$AL$6), 0),"")</f>
        <v/>
      </c>
      <c r="AO291" s="63" t="str">
        <f aca="false">IF(AN291&lt;&gt;"", AN291*AG291,"")</f>
        <v/>
      </c>
      <c r="AP291" s="63" t="str">
        <f aca="false">IF($AE291=Constants!$B$7,IF($AP$6=0,Constants!$B$8,Constants!$B$8*AB291/$AP$6),"")</f>
        <v/>
      </c>
      <c r="AQ291" s="63" t="str">
        <f aca="false">IF($AE291&lt;&gt;Constants!$B$7,$AE291,AK291+AO291+AP291)</f>
        <v/>
      </c>
      <c r="AR291" s="63" t="str">
        <f aca="false">IF(ISBLANK($C291),"",IF($AE291=Constants!$B$7,RANK(AQ291,$AQ$8:$AQ$507),$AE291))</f>
        <v/>
      </c>
      <c r="AS291" s="63" t="str">
        <f aca="false">IF(ISBLANK($C291), "",AK291)</f>
        <v/>
      </c>
      <c r="AT291" s="63" t="str">
        <f aca="false">IF(ISBLANK($C291),"",IF($AE291=Constants!$B$7,RANK(AS291,AS$8:AS$507),$AE291))</f>
        <v/>
      </c>
      <c r="AU291" s="63" t="str">
        <f aca="false">IF(ISBLANK($C291), "",AP291)</f>
        <v/>
      </c>
      <c r="AV291" s="63" t="str">
        <f aca="false">IF(ISBLANK($C291),"",IF($AE291=Constants!$B$7,RANK(AU291,AU$8:AU$507),$AE291))</f>
        <v/>
      </c>
      <c r="AW291" s="63" t="str">
        <f aca="false">IF(ISBLANK($C291), "",AC291)</f>
        <v/>
      </c>
      <c r="AX291" s="63" t="str">
        <f aca="false">IF(ISBLANK($C291),"",
IF($AE291=Constants!$B$7,
  COUNTIFS($AR$8:$AR$507,"&lt;"&amp;$AR291)
  + COUNTIFS($AR$8:$AR$507,$AR291,$AT$8:$AT$507,"&lt;"&amp;$AT291)
  + COUNTIFS($AR$8:$AR$507,$AR291,$AT$8:$AT$507,$AT291,$AV$8:$AV$507,"&lt;"&amp;$AV291)
  + COUNTIFS($AR$8:$AR$507,$AR291,$AT$8:$AT$507,$AT291,$AV$8:$AV$507,$AV291,$AW$8:$AW$507,"&lt;"&amp;$AW291)
  + 1,
$AE291))</f>
        <v/>
      </c>
      <c r="AY291" s="63" t="str">
        <f aca="false">IF(ISBLANK(C291),"",IF($AE291=Constants!$B$7, AR291-AX291,$AE291))</f>
        <v/>
      </c>
      <c r="AZ291" s="67"/>
      <c r="BA291" s="81" t="str">
        <f aca="false">IF(ISBLANK($C291),"",TRIM(AI291&amp;" "&amp;AM291))</f>
        <v/>
      </c>
      <c r="BB291" s="69" t="str">
        <f aca="false">IF(ISBLANK($C291),"",IF($AE291&lt;&gt;Constants!$B$7, $AE291 ,AQ291))</f>
        <v/>
      </c>
      <c r="BC291" s="70" t="str">
        <f aca="false">IF(ISBLANK($C291),"",IF($AE291&lt;&gt;Constants!$B$7, $AE291 ,AF291))</f>
        <v/>
      </c>
      <c r="BD291" s="71" t="str">
        <f aca="false">IF(ISBLANK(C291),"",AY291)</f>
        <v/>
      </c>
      <c r="BE291" s="71" t="str">
        <f aca="false">IF(ISBLANK(C291),"",AX291)</f>
        <v/>
      </c>
      <c r="BF291" s="72" t="str">
        <f aca="false">IF(ISBLANK(C291),"",IFERROR(_xlfn.SWITCH(BE291, Constants!$B$4, COUNTA($C$8:$C790)+2, Constants!$B$5, COUNTA($C$8:$C790)+1, Constants!$B$6, COUNTA($C$8:$C790)),BE291))</f>
        <v/>
      </c>
      <c r="BG291" s="5"/>
      <c r="BH291" s="73" t="n">
        <f aca="false">IF(OR(ISNUMBER(BE291),BE291="DQ",BE291="P",BE291="NS"),
    1,
    0
)</f>
        <v>0</v>
      </c>
      <c r="BI291" s="73" t="n">
        <v>284</v>
      </c>
      <c r="BJ291" s="73" t="str">
        <f aca="false">IF(ISBLANK($C291),
    "",
   BF291+ROW($B291)/1000
)</f>
        <v/>
      </c>
      <c r="BK291" s="73" t="str">
        <f aca="false">IF(ISNUMBER(BJ291), RANK(BJ291,BJ$8:BJ$507,1), "")</f>
        <v/>
      </c>
      <c r="BL291" s="73" t="str">
        <f aca="false">IF(ISBLANK($C291),
    "",
    $B291
)</f>
        <v/>
      </c>
      <c r="BM291" s="73" t="str">
        <f aca="false">IF(ISBLANK($C291),
    "",
    $C291
)</f>
        <v/>
      </c>
      <c r="BN291" s="73" t="str">
        <f aca="false">IF(ISBLANK($C291),
    "",
    $D291
)</f>
        <v/>
      </c>
      <c r="BO291" s="74" t="str">
        <f aca="false">BC291</f>
        <v/>
      </c>
      <c r="BP291" s="75" t="str">
        <f aca="false">BB291</f>
        <v/>
      </c>
      <c r="BQ291" s="73" t="str">
        <f aca="false">IF(ISBLANK($C291),
    "",
    BE291
)</f>
        <v/>
      </c>
      <c r="BR291" s="76" t="str">
        <f aca="false">IF(BI291&gt;BH$7,
    "",
    VLOOKUP(BI291,BK$8:BQ790,7,FALSE())
)</f>
        <v/>
      </c>
      <c r="BS291" s="77" t="str">
        <f aca="false">IF(BI291&gt;BH$7,
    "",
    VLOOKUP(BI291,BK$8:BQ790,2,FALSE())
)</f>
        <v/>
      </c>
      <c r="BT291" s="77" t="str">
        <f aca="false">IF(BI291&gt;BH$7,
    "",
    VLOOKUP(BI291,BK$8:BQ790,3,FALSE())
)</f>
        <v/>
      </c>
      <c r="BU291" s="77" t="str">
        <f aca="false">IF(BI291&gt;BH$7,
    "",
    VLOOKUP(BI291,BK$8:BQ790,4,FALSE())
)</f>
        <v/>
      </c>
      <c r="BV291" s="77" t="str">
        <f aca="false">IF(BI291&gt;BH$7,
    "",
    VLOOKUP(BI291,BK$8:BQ790,5,FALSE())
)</f>
        <v/>
      </c>
      <c r="BW291" s="78" t="str">
        <f aca="false">IF(BI291&gt;BH$7,
    "",
    VLOOKUP(BI291,BK$8:BQ790,6,FALSE())
)</f>
        <v/>
      </c>
      <c r="BX291" s="50"/>
    </row>
    <row r="292" customFormat="false" ht="15.75" hidden="false" customHeight="false" outlineLevel="0" collapsed="false">
      <c r="A292" s="5"/>
      <c r="B292" s="126"/>
      <c r="C292" s="52"/>
      <c r="D292" s="53"/>
      <c r="E292" s="120"/>
      <c r="F292" s="120"/>
      <c r="G292" s="55"/>
      <c r="H292" s="56"/>
      <c r="I292" s="80"/>
      <c r="J292" s="80"/>
      <c r="K292" s="80"/>
      <c r="L292" s="58"/>
      <c r="M292" s="58"/>
      <c r="N292" s="58"/>
      <c r="O292" s="59"/>
      <c r="P292" s="60"/>
      <c r="Q292" s="80"/>
      <c r="R292" s="62"/>
      <c r="S292" s="63"/>
      <c r="T292" s="63" t="str">
        <f aca="false">IF(ISBLANK($C292),"",IF(G292=Constants!$B$2, TRUE(), IF(G292=Constants!$B$3, FALSE(), TRUE())))</f>
        <v/>
      </c>
      <c r="U292" s="63" t="str">
        <f aca="false">IF(ISBLANK($C292),"",IF(H292=Constants!$B$2, TRUE(), IF(H292=Constants!$B$3, FALSE(), TRUE())))</f>
        <v/>
      </c>
      <c r="V292" s="63" t="str">
        <f aca="false">IF(ISBLANK($C292),"",IF(I292=Constants!$B$2, TRUE(), IF(I292=Constants!$B$3, FALSE(), TRUE())))</f>
        <v/>
      </c>
      <c r="W292" s="63" t="str">
        <f aca="false">IF(ISBLANK($C292),"",IF(J292=Constants!$B$2, TRUE(), IF(J292=Constants!$B$3, FALSE(), TRUE())))</f>
        <v/>
      </c>
      <c r="X292" s="63" t="str">
        <f aca="false">IF(ISBLANK($C292),"",IF(K292=Constants!$B$2, TRUE(), IF(K292=Constants!$B$3, FALSE(), TRUE())))</f>
        <v/>
      </c>
      <c r="Y292" s="65" t="str">
        <f aca="false">IF(ISBLANK($C292),"",IF(ISNUMBER(L292), L292, ""))</f>
        <v/>
      </c>
      <c r="Z292" s="65" t="str">
        <f aca="false">IF(ISBLANK($C292),"",IF(ISNUMBER(M292), M292, ""))</f>
        <v/>
      </c>
      <c r="AA292" s="65" t="str">
        <f aca="false">IF(ISBLANK($C292),"",IF(ISNUMBER(N292), N292, ""))</f>
        <v/>
      </c>
      <c r="AB292" s="66" t="str">
        <f aca="false">IF(ISBLANK($C292),"",IF(ISNUMBER(O292), O292, ""))</f>
        <v/>
      </c>
      <c r="AC292" s="66" t="str">
        <f aca="false">IF(ISBLANK($C292),"",IF(ISNUMBER(P292), P292, Constants!$B$13))</f>
        <v/>
      </c>
      <c r="AD292" s="63" t="str">
        <f aca="false">IF(ISBLANK($C292),"",IF(Q292=Constants!$B$2, TRUE(), IF(Q292=Constants!$B$3, FALSE(), FALSE())))</f>
        <v/>
      </c>
      <c r="AE292" s="63" t="str">
        <f aca="false">IF(ISBLANK(C292), "", IF(AD292, Constants!$B$4,IF(COUNTA(G292:O292)=0, Constants!$B$5, Constants!$B$7)))</f>
        <v/>
      </c>
      <c r="AF292" s="63" t="str">
        <f aca="false">IF(ISBLANK($C292), "",IF($AE292=Constants!$B$7,1,$AE292))</f>
        <v/>
      </c>
      <c r="AG292" s="63" t="str">
        <f aca="false">IF($AE292=Constants!$B$7,IF(V292, 1, Constants!$B$11) * IF(X292, 1, Constants!$B$12),"")</f>
        <v/>
      </c>
      <c r="AH292" s="63" t="str">
        <f aca="false">IF(AND($AE292=Constants!$B$7, T292, U292) ,MAX(0, $AA292-$Y292),"")</f>
        <v/>
      </c>
      <c r="AI292" s="63" t="str">
        <f aca="false">IF(ISERROR(AH292),$AI$6,"")</f>
        <v/>
      </c>
      <c r="AJ292" s="63" t="str">
        <f aca="false">IF($AE292=Constants!$B$7,IF(AND(T292,U292,W292),IF($AH$6=0,Constants!$B$9,Constants!$B$9*AH292/$AH$6), 0),"")</f>
        <v/>
      </c>
      <c r="AK292" s="63" t="str">
        <f aca="false">IF(AJ292&lt;&gt;"", AJ292*AG292,"")</f>
        <v/>
      </c>
      <c r="AL292" s="63" t="str">
        <f aca="false">IF(AND($AE292=Constants!$B$7, T292, U292) ,IF($Z292="", "", MAX(0,1-ABS($AA292-$Z292)/$AA292)),"")</f>
        <v/>
      </c>
      <c r="AM292" s="63" t="str">
        <f aca="false">IF(AND(NOT(ISERROR(AH292)),ISERROR(AL292)),$AM$6,"")</f>
        <v/>
      </c>
      <c r="AN292" s="63" t="str">
        <f aca="false">IF($AE292=Constants!$B$7 ,IF(AND(T292,U292,W292,ISNUMBER(Z292)),IF($AL$6=0,Constants!$B$10,Constants!$B$10*AL292/$AL$6), 0),"")</f>
        <v/>
      </c>
      <c r="AO292" s="63" t="str">
        <f aca="false">IF(AN292&lt;&gt;"", AN292*AG292,"")</f>
        <v/>
      </c>
      <c r="AP292" s="63" t="str">
        <f aca="false">IF($AE292=Constants!$B$7,IF($AP$6=0,Constants!$B$8,Constants!$B$8*AB292/$AP$6),"")</f>
        <v/>
      </c>
      <c r="AQ292" s="63" t="str">
        <f aca="false">IF($AE292&lt;&gt;Constants!$B$7,$AE292,AK292+AO292+AP292)</f>
        <v/>
      </c>
      <c r="AR292" s="63" t="str">
        <f aca="false">IF(ISBLANK($C292),"",IF($AE292=Constants!$B$7,RANK(AQ292,$AQ$8:$AQ$507),$AE292))</f>
        <v/>
      </c>
      <c r="AS292" s="63" t="str">
        <f aca="false">IF(ISBLANK($C292), "",AK292)</f>
        <v/>
      </c>
      <c r="AT292" s="63" t="str">
        <f aca="false">IF(ISBLANK($C292),"",IF($AE292=Constants!$B$7,RANK(AS292,AS$8:AS$507),$AE292))</f>
        <v/>
      </c>
      <c r="AU292" s="63" t="str">
        <f aca="false">IF(ISBLANK($C292), "",AP292)</f>
        <v/>
      </c>
      <c r="AV292" s="63" t="str">
        <f aca="false">IF(ISBLANK($C292),"",IF($AE292=Constants!$B$7,RANK(AU292,AU$8:AU$507),$AE292))</f>
        <v/>
      </c>
      <c r="AW292" s="63" t="str">
        <f aca="false">IF(ISBLANK($C292), "",AC292)</f>
        <v/>
      </c>
      <c r="AX292" s="63" t="str">
        <f aca="false">IF(ISBLANK($C292),"",
IF($AE292=Constants!$B$7,
  COUNTIFS($AR$8:$AR$507,"&lt;"&amp;$AR292)
  + COUNTIFS($AR$8:$AR$507,$AR292,$AT$8:$AT$507,"&lt;"&amp;$AT292)
  + COUNTIFS($AR$8:$AR$507,$AR292,$AT$8:$AT$507,$AT292,$AV$8:$AV$507,"&lt;"&amp;$AV292)
  + COUNTIFS($AR$8:$AR$507,$AR292,$AT$8:$AT$507,$AT292,$AV$8:$AV$507,$AV292,$AW$8:$AW$507,"&lt;"&amp;$AW292)
  + 1,
$AE292))</f>
        <v/>
      </c>
      <c r="AY292" s="63" t="str">
        <f aca="false">IF(ISBLANK(C292),"",IF($AE292=Constants!$B$7, AR292-AX292,$AE292))</f>
        <v/>
      </c>
      <c r="AZ292" s="67"/>
      <c r="BA292" s="81" t="str">
        <f aca="false">IF(ISBLANK($C292),"",TRIM(AI292&amp;" "&amp;AM292))</f>
        <v/>
      </c>
      <c r="BB292" s="69" t="str">
        <f aca="false">IF(ISBLANK($C292),"",IF($AE292&lt;&gt;Constants!$B$7, $AE292 ,AQ292))</f>
        <v/>
      </c>
      <c r="BC292" s="70" t="str">
        <f aca="false">IF(ISBLANK($C292),"",IF($AE292&lt;&gt;Constants!$B$7, $AE292 ,AF292))</f>
        <v/>
      </c>
      <c r="BD292" s="71" t="str">
        <f aca="false">IF(ISBLANK(C292),"",AY292)</f>
        <v/>
      </c>
      <c r="BE292" s="71" t="str">
        <f aca="false">IF(ISBLANK(C292),"",AX292)</f>
        <v/>
      </c>
      <c r="BF292" s="72" t="str">
        <f aca="false">IF(ISBLANK(C292),"",IFERROR(_xlfn.SWITCH(BE292, Constants!$B$4, COUNTA($C$8:$C791)+2, Constants!$B$5, COUNTA($C$8:$C791)+1, Constants!$B$6, COUNTA($C$8:$C791)),BE292))</f>
        <v/>
      </c>
      <c r="BG292" s="5"/>
      <c r="BH292" s="73" t="n">
        <f aca="false">IF(OR(ISNUMBER(BE292),BE292="DQ",BE292="P",BE292="NS"),
    1,
    0
)</f>
        <v>0</v>
      </c>
      <c r="BI292" s="73" t="n">
        <v>285</v>
      </c>
      <c r="BJ292" s="73" t="str">
        <f aca="false">IF(ISBLANK($C292),
    "",
   BF292+ROW($B292)/1000
)</f>
        <v/>
      </c>
      <c r="BK292" s="73" t="str">
        <f aca="false">IF(ISNUMBER(BJ292), RANK(BJ292,BJ$8:BJ$507,1), "")</f>
        <v/>
      </c>
      <c r="BL292" s="73" t="str">
        <f aca="false">IF(ISBLANK($C292),
    "",
    $B292
)</f>
        <v/>
      </c>
      <c r="BM292" s="73" t="str">
        <f aca="false">IF(ISBLANK($C292),
    "",
    $C292
)</f>
        <v/>
      </c>
      <c r="BN292" s="73" t="str">
        <f aca="false">IF(ISBLANK($C292),
    "",
    $D292
)</f>
        <v/>
      </c>
      <c r="BO292" s="74" t="str">
        <f aca="false">BC292</f>
        <v/>
      </c>
      <c r="BP292" s="75" t="str">
        <f aca="false">BB292</f>
        <v/>
      </c>
      <c r="BQ292" s="73" t="str">
        <f aca="false">IF(ISBLANK($C292),
    "",
    BE292
)</f>
        <v/>
      </c>
      <c r="BR292" s="76" t="str">
        <f aca="false">IF(BI292&gt;BH$7,
    "",
    VLOOKUP(BI292,BK$8:BQ791,7,FALSE())
)</f>
        <v/>
      </c>
      <c r="BS292" s="77" t="str">
        <f aca="false">IF(BI292&gt;BH$7,
    "",
    VLOOKUP(BI292,BK$8:BQ791,2,FALSE())
)</f>
        <v/>
      </c>
      <c r="BT292" s="77" t="str">
        <f aca="false">IF(BI292&gt;BH$7,
    "",
    VLOOKUP(BI292,BK$8:BQ791,3,FALSE())
)</f>
        <v/>
      </c>
      <c r="BU292" s="77" t="str">
        <f aca="false">IF(BI292&gt;BH$7,
    "",
    VLOOKUP(BI292,BK$8:BQ791,4,FALSE())
)</f>
        <v/>
      </c>
      <c r="BV292" s="77" t="str">
        <f aca="false">IF(BI292&gt;BH$7,
    "",
    VLOOKUP(BI292,BK$8:BQ791,5,FALSE())
)</f>
        <v/>
      </c>
      <c r="BW292" s="78" t="str">
        <f aca="false">IF(BI292&gt;BH$7,
    "",
    VLOOKUP(BI292,BK$8:BQ791,6,FALSE())
)</f>
        <v/>
      </c>
      <c r="BX292" s="50"/>
    </row>
    <row r="293" customFormat="false" ht="15.75" hidden="false" customHeight="false" outlineLevel="0" collapsed="false">
      <c r="A293" s="5"/>
      <c r="B293" s="122"/>
      <c r="C293" s="123"/>
      <c r="D293" s="112"/>
      <c r="E293" s="116"/>
      <c r="F293" s="116"/>
      <c r="G293" s="88"/>
      <c r="H293" s="89"/>
      <c r="I293" s="125"/>
      <c r="J293" s="125"/>
      <c r="K293" s="125"/>
      <c r="L293" s="91"/>
      <c r="M293" s="91"/>
      <c r="N293" s="91"/>
      <c r="O293" s="92"/>
      <c r="P293" s="93"/>
      <c r="Q293" s="125"/>
      <c r="R293" s="95"/>
      <c r="S293" s="96"/>
      <c r="T293" s="96" t="str">
        <f aca="false">IF(ISBLANK($C293),"",IF(G293=Constants!$B$2, TRUE(), IF(G293=Constants!$B$3, FALSE(), TRUE())))</f>
        <v/>
      </c>
      <c r="U293" s="96" t="str">
        <f aca="false">IF(ISBLANK($C293),"",IF(H293=Constants!$B$2, TRUE(), IF(H293=Constants!$B$3, FALSE(), TRUE())))</f>
        <v/>
      </c>
      <c r="V293" s="96" t="str">
        <f aca="false">IF(ISBLANK($C293),"",IF(I293=Constants!$B$2, TRUE(), IF(I293=Constants!$B$3, FALSE(), TRUE())))</f>
        <v/>
      </c>
      <c r="W293" s="96" t="str">
        <f aca="false">IF(ISBLANK($C293),"",IF(J293=Constants!$B$2, TRUE(), IF(J293=Constants!$B$3, FALSE(), TRUE())))</f>
        <v/>
      </c>
      <c r="X293" s="97" t="str">
        <f aca="false">IF(ISBLANK($C293),"",IF(K293=Constants!$B$2, TRUE(), IF(K293=Constants!$B$3, FALSE(), TRUE())))</f>
        <v/>
      </c>
      <c r="Y293" s="98" t="str">
        <f aca="false">IF(ISBLANK($C293),"",IF(ISNUMBER(L293), L293, ""))</f>
        <v/>
      </c>
      <c r="Z293" s="98" t="str">
        <f aca="false">IF(ISBLANK($C293),"",IF(ISNUMBER(M293), M293, ""))</f>
        <v/>
      </c>
      <c r="AA293" s="98" t="str">
        <f aca="false">IF(ISBLANK($C293),"",IF(ISNUMBER(N293), N293, ""))</f>
        <v/>
      </c>
      <c r="AB293" s="99" t="str">
        <f aca="false">IF(ISBLANK($C293),"",IF(ISNUMBER(O293), O293, ""))</f>
        <v/>
      </c>
      <c r="AC293" s="99" t="str">
        <f aca="false">IF(ISBLANK($C293),"",IF(ISNUMBER(P293), P293, Constants!$B$13))</f>
        <v/>
      </c>
      <c r="AD293" s="96" t="str">
        <f aca="false">IF(ISBLANK($C293),"",IF(Q293=Constants!$B$2, TRUE(), IF(Q293=Constants!$B$3, FALSE(), FALSE())))</f>
        <v/>
      </c>
      <c r="AE293" s="96" t="str">
        <f aca="false">IF(ISBLANK(C293), "", IF(AD293, Constants!$B$4,IF(COUNTA(G293:O293)=0, Constants!$B$5, Constants!$B$7)))</f>
        <v/>
      </c>
      <c r="AF293" s="96" t="str">
        <f aca="false">IF(ISBLANK($C293), "",IF($AE293=Constants!$B$7,1,$AE293))</f>
        <v/>
      </c>
      <c r="AG293" s="96" t="str">
        <f aca="false">IF($AE293=Constants!$B$7,IF(V293, 1, Constants!$B$11) * IF(X293, 1, Constants!$B$12),"")</f>
        <v/>
      </c>
      <c r="AH293" s="96" t="str">
        <f aca="false">IF(AND($AE293=Constants!$B$7, T293, U293) ,MAX(0, $AA293-$Y293),"")</f>
        <v/>
      </c>
      <c r="AI293" s="96" t="str">
        <f aca="false">IF(ISERROR(AH293),$AI$6,"")</f>
        <v/>
      </c>
      <c r="AJ293" s="96" t="str">
        <f aca="false">IF($AE293=Constants!$B$7,IF(AND(T293,U293,W293),IF($AH$6=0,Constants!$B$9,Constants!$B$9*AH293/$AH$6), 0),"")</f>
        <v/>
      </c>
      <c r="AK293" s="96" t="str">
        <f aca="false">IF(AJ293&lt;&gt;"", AJ293*AG293,"")</f>
        <v/>
      </c>
      <c r="AL293" s="96" t="str">
        <f aca="false">IF(AND($AE293=Constants!$B$7, T293, U293) ,IF($Z293="", "", MAX(0,1-ABS($AA293-$Z293)/$AA293)),"")</f>
        <v/>
      </c>
      <c r="AM293" s="96" t="str">
        <f aca="false">IF(AND(NOT(ISERROR(AH293)),ISERROR(AL293)),$AM$6,"")</f>
        <v/>
      </c>
      <c r="AN293" s="96" t="str">
        <f aca="false">IF($AE293=Constants!$B$7 ,IF(AND(T293,U293,W293,ISNUMBER(Z293)),IF($AL$6=0,Constants!$B$10,Constants!$B$10*AL293/$AL$6), 0),"")</f>
        <v/>
      </c>
      <c r="AO293" s="96" t="str">
        <f aca="false">IF(AN293&lt;&gt;"", AN293*AG293,"")</f>
        <v/>
      </c>
      <c r="AP293" s="96" t="str">
        <f aca="false">IF($AE293=Constants!$B$7,IF($AP$6=0,Constants!$B$8,Constants!$B$8*AB293/$AP$6),"")</f>
        <v/>
      </c>
      <c r="AQ293" s="96" t="str">
        <f aca="false">IF($AE293&lt;&gt;Constants!$B$7,$AE293,AK293+AO293+AP293)</f>
        <v/>
      </c>
      <c r="AR293" s="96" t="str">
        <f aca="false">IF(ISBLANK($C293),"",IF($AE293=Constants!$B$7,RANK(AQ293,$AQ$8:$AQ$507),$AE293))</f>
        <v/>
      </c>
      <c r="AS293" s="96" t="str">
        <f aca="false">IF(ISBLANK($C293), "",AK293)</f>
        <v/>
      </c>
      <c r="AT293" s="96" t="str">
        <f aca="false">IF(ISBLANK($C293),"",IF($AE293=Constants!$B$7,RANK(AS293,AS$8:AS$507),$AE293))</f>
        <v/>
      </c>
      <c r="AU293" s="96" t="str">
        <f aca="false">IF(ISBLANK($C293), "",AP293)</f>
        <v/>
      </c>
      <c r="AV293" s="96" t="str">
        <f aca="false">IF(ISBLANK($C293),"",IF($AE293=Constants!$B$7,RANK(AU293,AU$8:AU$507),$AE293))</f>
        <v/>
      </c>
      <c r="AW293" s="96" t="str">
        <f aca="false">IF(ISBLANK($C293), "",AC293)</f>
        <v/>
      </c>
      <c r="AX293" s="96" t="str">
        <f aca="false">IF(ISBLANK($C293),"",
IF($AE293=Constants!$B$7,
  COUNTIFS($AR$8:$AR$507,"&lt;"&amp;$AR293)
  + COUNTIFS($AR$8:$AR$507,$AR293,$AT$8:$AT$507,"&lt;"&amp;$AT293)
  + COUNTIFS($AR$8:$AR$507,$AR293,$AT$8:$AT$507,$AT293,$AV$8:$AV$507,"&lt;"&amp;$AV293)
  + COUNTIFS($AR$8:$AR$507,$AR293,$AT$8:$AT$507,$AT293,$AV$8:$AV$507,$AV293,$AW$8:$AW$507,"&lt;"&amp;$AW293)
  + 1,
$AE293))</f>
        <v/>
      </c>
      <c r="AY293" s="96" t="str">
        <f aca="false">IF(ISBLANK(C293),"",IF($AE293=Constants!$B$7, AR293-AX293,$AE293))</f>
        <v/>
      </c>
      <c r="AZ293" s="100"/>
      <c r="BA293" s="101" t="str">
        <f aca="false">IF(ISBLANK($C293),"",TRIM(AI293&amp;" "&amp;AM293))</f>
        <v/>
      </c>
      <c r="BB293" s="102" t="str">
        <f aca="false">IF(ISBLANK($C293),"",IF($AE293&lt;&gt;Constants!$B$7, $AE293 ,AQ293))</f>
        <v/>
      </c>
      <c r="BC293" s="103" t="str">
        <f aca="false">IF(ISBLANK($C293),"",IF($AE293&lt;&gt;Constants!$B$7, $AE293 ,AF293))</f>
        <v/>
      </c>
      <c r="BD293" s="104" t="str">
        <f aca="false">IF(ISBLANK(C293),"",AY293)</f>
        <v/>
      </c>
      <c r="BE293" s="104" t="str">
        <f aca="false">IF(ISBLANK(C293),"",AX293)</f>
        <v/>
      </c>
      <c r="BF293" s="105" t="str">
        <f aca="false">IF(ISBLANK(C293),"",IFERROR(_xlfn.SWITCH(BE293, Constants!$B$4, COUNTA($C$8:$C792)+2, Constants!$B$5, COUNTA($C$8:$C792)+1, Constants!$B$6, COUNTA($C$8:$C792)),BE293))</f>
        <v/>
      </c>
      <c r="BG293" s="5"/>
      <c r="BH293" s="106" t="n">
        <f aca="false">IF(OR(ISNUMBER(BE293),BE293="DQ",BE293="P",BE293="NS"),
    1,
    0
)</f>
        <v>0</v>
      </c>
      <c r="BI293" s="106" t="n">
        <v>286</v>
      </c>
      <c r="BJ293" s="106" t="str">
        <f aca="false">IF(ISBLANK($C293),
    "",
   BF293+ROW($B293)/1000
)</f>
        <v/>
      </c>
      <c r="BK293" s="106" t="str">
        <f aca="false">IF(ISNUMBER(BJ293), RANK(BJ293,BJ$8:BJ$507,1), "")</f>
        <v/>
      </c>
      <c r="BL293" s="106" t="str">
        <f aca="false">IF(ISBLANK($C293),
    "",
    $B293
)</f>
        <v/>
      </c>
      <c r="BM293" s="106" t="str">
        <f aca="false">IF(ISBLANK($C293),
    "",
    $C293
)</f>
        <v/>
      </c>
      <c r="BN293" s="106" t="str">
        <f aca="false">IF(ISBLANK($C293),
    "",
    $D293
)</f>
        <v/>
      </c>
      <c r="BO293" s="107" t="str">
        <f aca="false">BC293</f>
        <v/>
      </c>
      <c r="BP293" s="108" t="str">
        <f aca="false">BB293</f>
        <v/>
      </c>
      <c r="BQ293" s="106" t="str">
        <f aca="false">IF(ISBLANK($C293),
    "",
    BE293
)</f>
        <v/>
      </c>
      <c r="BR293" s="109" t="str">
        <f aca="false">IF(BI293&gt;BH$7,
    "",
    VLOOKUP(BI293,BK$8:BQ792,7,FALSE())
)</f>
        <v/>
      </c>
      <c r="BS293" s="110" t="str">
        <f aca="false">IF(BI293&gt;BH$7,
    "",
    VLOOKUP(BI293,BK$8:BQ792,2,FALSE())
)</f>
        <v/>
      </c>
      <c r="BT293" s="110" t="str">
        <f aca="false">IF(BI293&gt;BH$7,
    "",
    VLOOKUP(BI293,BK$8:BQ792,3,FALSE())
)</f>
        <v/>
      </c>
      <c r="BU293" s="110" t="str">
        <f aca="false">IF(BI293&gt;BH$7,
    "",
    VLOOKUP(BI293,BK$8:BQ792,4,FALSE())
)</f>
        <v/>
      </c>
      <c r="BV293" s="110" t="str">
        <f aca="false">IF(BI293&gt;BH$7,
    "",
    VLOOKUP(BI293,BK$8:BQ792,5,FALSE())
)</f>
        <v/>
      </c>
      <c r="BW293" s="111" t="str">
        <f aca="false">IF(BI293&gt;BH$7,
    "",
    VLOOKUP(BI293,BK$8:BQ792,6,FALSE())
)</f>
        <v/>
      </c>
      <c r="BX293" s="50"/>
    </row>
    <row r="294" customFormat="false" ht="15.75" hidden="false" customHeight="false" outlineLevel="0" collapsed="false">
      <c r="A294" s="5"/>
      <c r="B294" s="122"/>
      <c r="C294" s="123"/>
      <c r="D294" s="112"/>
      <c r="E294" s="116"/>
      <c r="F294" s="116"/>
      <c r="G294" s="88"/>
      <c r="H294" s="89"/>
      <c r="I294" s="125"/>
      <c r="J294" s="125"/>
      <c r="K294" s="125"/>
      <c r="L294" s="91"/>
      <c r="M294" s="91"/>
      <c r="N294" s="91"/>
      <c r="O294" s="92"/>
      <c r="P294" s="93"/>
      <c r="Q294" s="125"/>
      <c r="R294" s="95"/>
      <c r="S294" s="96"/>
      <c r="T294" s="96" t="str">
        <f aca="false">IF(ISBLANK($C294),"",IF(G294=Constants!$B$2, TRUE(), IF(G294=Constants!$B$3, FALSE(), TRUE())))</f>
        <v/>
      </c>
      <c r="U294" s="96" t="str">
        <f aca="false">IF(ISBLANK($C294),"",IF(H294=Constants!$B$2, TRUE(), IF(H294=Constants!$B$3, FALSE(), TRUE())))</f>
        <v/>
      </c>
      <c r="V294" s="96" t="str">
        <f aca="false">IF(ISBLANK($C294),"",IF(I294=Constants!$B$2, TRUE(), IF(I294=Constants!$B$3, FALSE(), TRUE())))</f>
        <v/>
      </c>
      <c r="W294" s="96" t="str">
        <f aca="false">IF(ISBLANK($C294),"",IF(J294=Constants!$B$2, TRUE(), IF(J294=Constants!$B$3, FALSE(), TRUE())))</f>
        <v/>
      </c>
      <c r="X294" s="97" t="str">
        <f aca="false">IF(ISBLANK($C294),"",IF(K294=Constants!$B$2, TRUE(), IF(K294=Constants!$B$3, FALSE(), TRUE())))</f>
        <v/>
      </c>
      <c r="Y294" s="98" t="str">
        <f aca="false">IF(ISBLANK($C294),"",IF(ISNUMBER(L294), L294, ""))</f>
        <v/>
      </c>
      <c r="Z294" s="98" t="str">
        <f aca="false">IF(ISBLANK($C294),"",IF(ISNUMBER(M294), M294, ""))</f>
        <v/>
      </c>
      <c r="AA294" s="98" t="str">
        <f aca="false">IF(ISBLANK($C294),"",IF(ISNUMBER(N294), N294, ""))</f>
        <v/>
      </c>
      <c r="AB294" s="99" t="str">
        <f aca="false">IF(ISBLANK($C294),"",IF(ISNUMBER(O294), O294, ""))</f>
        <v/>
      </c>
      <c r="AC294" s="99" t="str">
        <f aca="false">IF(ISBLANK($C294),"",IF(ISNUMBER(P294), P294, Constants!$B$13))</f>
        <v/>
      </c>
      <c r="AD294" s="96" t="str">
        <f aca="false">IF(ISBLANK($C294),"",IF(Q294=Constants!$B$2, TRUE(), IF(Q294=Constants!$B$3, FALSE(), FALSE())))</f>
        <v/>
      </c>
      <c r="AE294" s="96" t="str">
        <f aca="false">IF(ISBLANK(C294), "", IF(AD294, Constants!$B$4,IF(COUNTA(G294:O294)=0, Constants!$B$5, Constants!$B$7)))</f>
        <v/>
      </c>
      <c r="AF294" s="96" t="str">
        <f aca="false">IF(ISBLANK($C294), "",IF($AE294=Constants!$B$7,1,$AE294))</f>
        <v/>
      </c>
      <c r="AG294" s="96" t="str">
        <f aca="false">IF($AE294=Constants!$B$7,IF(V294, 1, Constants!$B$11) * IF(X294, 1, Constants!$B$12),"")</f>
        <v/>
      </c>
      <c r="AH294" s="96" t="str">
        <f aca="false">IF(AND($AE294=Constants!$B$7, T294, U294) ,MAX(0, $AA294-$Y294),"")</f>
        <v/>
      </c>
      <c r="AI294" s="96" t="str">
        <f aca="false">IF(ISERROR(AH294),$AI$6,"")</f>
        <v/>
      </c>
      <c r="AJ294" s="96" t="str">
        <f aca="false">IF($AE294=Constants!$B$7,IF(AND(T294,U294,W294),IF($AH$6=0,Constants!$B$9,Constants!$B$9*AH294/$AH$6), 0),"")</f>
        <v/>
      </c>
      <c r="AK294" s="96" t="str">
        <f aca="false">IF(AJ294&lt;&gt;"", AJ294*AG294,"")</f>
        <v/>
      </c>
      <c r="AL294" s="96" t="str">
        <f aca="false">IF(AND($AE294=Constants!$B$7, T294, U294) ,IF($Z294="", "", MAX(0,1-ABS($AA294-$Z294)/$AA294)),"")</f>
        <v/>
      </c>
      <c r="AM294" s="96" t="str">
        <f aca="false">IF(AND(NOT(ISERROR(AH294)),ISERROR(AL294)),$AM$6,"")</f>
        <v/>
      </c>
      <c r="AN294" s="96" t="str">
        <f aca="false">IF($AE294=Constants!$B$7 ,IF(AND(T294,U294,W294,ISNUMBER(Z294)),IF($AL$6=0,Constants!$B$10,Constants!$B$10*AL294/$AL$6), 0),"")</f>
        <v/>
      </c>
      <c r="AO294" s="96" t="str">
        <f aca="false">IF(AN294&lt;&gt;"", AN294*AG294,"")</f>
        <v/>
      </c>
      <c r="AP294" s="96" t="str">
        <f aca="false">IF($AE294=Constants!$B$7,IF($AP$6=0,Constants!$B$8,Constants!$B$8*AB294/$AP$6),"")</f>
        <v/>
      </c>
      <c r="AQ294" s="96" t="str">
        <f aca="false">IF($AE294&lt;&gt;Constants!$B$7,$AE294,AK294+AO294+AP294)</f>
        <v/>
      </c>
      <c r="AR294" s="96" t="str">
        <f aca="false">IF(ISBLANK($C294),"",IF($AE294=Constants!$B$7,RANK(AQ294,$AQ$8:$AQ$507),$AE294))</f>
        <v/>
      </c>
      <c r="AS294" s="96" t="str">
        <f aca="false">IF(ISBLANK($C294), "",AK294)</f>
        <v/>
      </c>
      <c r="AT294" s="96" t="str">
        <f aca="false">IF(ISBLANK($C294),"",IF($AE294=Constants!$B$7,RANK(AS294,AS$8:AS$507),$AE294))</f>
        <v/>
      </c>
      <c r="AU294" s="96" t="str">
        <f aca="false">IF(ISBLANK($C294), "",AP294)</f>
        <v/>
      </c>
      <c r="AV294" s="96" t="str">
        <f aca="false">IF(ISBLANK($C294),"",IF($AE294=Constants!$B$7,RANK(AU294,AU$8:AU$507),$AE294))</f>
        <v/>
      </c>
      <c r="AW294" s="96" t="str">
        <f aca="false">IF(ISBLANK($C294), "",AC294)</f>
        <v/>
      </c>
      <c r="AX294" s="96" t="str">
        <f aca="false">IF(ISBLANK($C294),"",
IF($AE294=Constants!$B$7,
  COUNTIFS($AR$8:$AR$507,"&lt;"&amp;$AR294)
  + COUNTIFS($AR$8:$AR$507,$AR294,$AT$8:$AT$507,"&lt;"&amp;$AT294)
  + COUNTIFS($AR$8:$AR$507,$AR294,$AT$8:$AT$507,$AT294,$AV$8:$AV$507,"&lt;"&amp;$AV294)
  + COUNTIFS($AR$8:$AR$507,$AR294,$AT$8:$AT$507,$AT294,$AV$8:$AV$507,$AV294,$AW$8:$AW$507,"&lt;"&amp;$AW294)
  + 1,
$AE294))</f>
        <v/>
      </c>
      <c r="AY294" s="96" t="str">
        <f aca="false">IF(ISBLANK(C294),"",IF($AE294=Constants!$B$7, AR294-AX294,$AE294))</f>
        <v/>
      </c>
      <c r="AZ294" s="100"/>
      <c r="BA294" s="101" t="str">
        <f aca="false">IF(ISBLANK($C294),"",TRIM(AI294&amp;" "&amp;AM294))</f>
        <v/>
      </c>
      <c r="BB294" s="102" t="str">
        <f aca="false">IF(ISBLANK($C294),"",IF($AE294&lt;&gt;Constants!$B$7, $AE294 ,AQ294))</f>
        <v/>
      </c>
      <c r="BC294" s="103" t="str">
        <f aca="false">IF(ISBLANK($C294),"",IF($AE294&lt;&gt;Constants!$B$7, $AE294 ,AF294))</f>
        <v/>
      </c>
      <c r="BD294" s="104" t="str">
        <f aca="false">IF(ISBLANK(C294),"",AY294)</f>
        <v/>
      </c>
      <c r="BE294" s="104" t="str">
        <f aca="false">IF(ISBLANK(C294),"",AX294)</f>
        <v/>
      </c>
      <c r="BF294" s="105" t="str">
        <f aca="false">IF(ISBLANK(C294),"",IFERROR(_xlfn.SWITCH(BE294, Constants!$B$4, COUNTA($C$8:$C793)+2, Constants!$B$5, COUNTA($C$8:$C793)+1, Constants!$B$6, COUNTA($C$8:$C793)),BE294))</f>
        <v/>
      </c>
      <c r="BG294" s="5"/>
      <c r="BH294" s="106" t="n">
        <f aca="false">IF(OR(ISNUMBER(BE294),BE294="DQ",BE294="P",BE294="NS"),
    1,
    0
)</f>
        <v>0</v>
      </c>
      <c r="BI294" s="106" t="n">
        <v>287</v>
      </c>
      <c r="BJ294" s="106" t="str">
        <f aca="false">IF(ISBLANK($C294),
    "",
   BF294+ROW($B294)/1000
)</f>
        <v/>
      </c>
      <c r="BK294" s="106" t="str">
        <f aca="false">IF(ISNUMBER(BJ294), RANK(BJ294,BJ$8:BJ$507,1), "")</f>
        <v/>
      </c>
      <c r="BL294" s="106" t="str">
        <f aca="false">IF(ISBLANK($C294),
    "",
    $B294
)</f>
        <v/>
      </c>
      <c r="BM294" s="106" t="str">
        <f aca="false">IF(ISBLANK($C294),
    "",
    $C294
)</f>
        <v/>
      </c>
      <c r="BN294" s="106" t="str">
        <f aca="false">IF(ISBLANK($C294),
    "",
    $D294
)</f>
        <v/>
      </c>
      <c r="BO294" s="107" t="str">
        <f aca="false">BC294</f>
        <v/>
      </c>
      <c r="BP294" s="108" t="str">
        <f aca="false">BB294</f>
        <v/>
      </c>
      <c r="BQ294" s="106" t="str">
        <f aca="false">IF(ISBLANK($C294),
    "",
    BE294
)</f>
        <v/>
      </c>
      <c r="BR294" s="109" t="str">
        <f aca="false">IF(BI294&gt;BH$7,
    "",
    VLOOKUP(BI294,BK$8:BQ793,7,FALSE())
)</f>
        <v/>
      </c>
      <c r="BS294" s="110" t="str">
        <f aca="false">IF(BI294&gt;BH$7,
    "",
    VLOOKUP(BI294,BK$8:BQ793,2,FALSE())
)</f>
        <v/>
      </c>
      <c r="BT294" s="110" t="str">
        <f aca="false">IF(BI294&gt;BH$7,
    "",
    VLOOKUP(BI294,BK$8:BQ793,3,FALSE())
)</f>
        <v/>
      </c>
      <c r="BU294" s="110" t="str">
        <f aca="false">IF(BI294&gt;BH$7,
    "",
    VLOOKUP(BI294,BK$8:BQ793,4,FALSE())
)</f>
        <v/>
      </c>
      <c r="BV294" s="110" t="str">
        <f aca="false">IF(BI294&gt;BH$7,
    "",
    VLOOKUP(BI294,BK$8:BQ793,5,FALSE())
)</f>
        <v/>
      </c>
      <c r="BW294" s="111" t="str">
        <f aca="false">IF(BI294&gt;BH$7,
    "",
    VLOOKUP(BI294,BK$8:BQ793,6,FALSE())
)</f>
        <v/>
      </c>
      <c r="BX294" s="50"/>
    </row>
    <row r="295" customFormat="false" ht="15.75" hidden="false" customHeight="false" outlineLevel="0" collapsed="false">
      <c r="A295" s="5"/>
      <c r="B295" s="122"/>
      <c r="C295" s="123"/>
      <c r="D295" s="112"/>
      <c r="E295" s="116"/>
      <c r="F295" s="116"/>
      <c r="G295" s="88"/>
      <c r="H295" s="89"/>
      <c r="I295" s="125"/>
      <c r="J295" s="125"/>
      <c r="K295" s="125"/>
      <c r="L295" s="91"/>
      <c r="M295" s="91"/>
      <c r="N295" s="91"/>
      <c r="O295" s="92"/>
      <c r="P295" s="93"/>
      <c r="Q295" s="125"/>
      <c r="R295" s="95"/>
      <c r="S295" s="96"/>
      <c r="T295" s="96" t="str">
        <f aca="false">IF(ISBLANK($C295),"",IF(G295=Constants!$B$2, TRUE(), IF(G295=Constants!$B$3, FALSE(), TRUE())))</f>
        <v/>
      </c>
      <c r="U295" s="96" t="str">
        <f aca="false">IF(ISBLANK($C295),"",IF(H295=Constants!$B$2, TRUE(), IF(H295=Constants!$B$3, FALSE(), TRUE())))</f>
        <v/>
      </c>
      <c r="V295" s="96" t="str">
        <f aca="false">IF(ISBLANK($C295),"",IF(I295=Constants!$B$2, TRUE(), IF(I295=Constants!$B$3, FALSE(), TRUE())))</f>
        <v/>
      </c>
      <c r="W295" s="96" t="str">
        <f aca="false">IF(ISBLANK($C295),"",IF(J295=Constants!$B$2, TRUE(), IF(J295=Constants!$B$3, FALSE(), TRUE())))</f>
        <v/>
      </c>
      <c r="X295" s="97" t="str">
        <f aca="false">IF(ISBLANK($C295),"",IF(K295=Constants!$B$2, TRUE(), IF(K295=Constants!$B$3, FALSE(), TRUE())))</f>
        <v/>
      </c>
      <c r="Y295" s="98" t="str">
        <f aca="false">IF(ISBLANK($C295),"",IF(ISNUMBER(L295), L295, ""))</f>
        <v/>
      </c>
      <c r="Z295" s="98" t="str">
        <f aca="false">IF(ISBLANK($C295),"",IF(ISNUMBER(M295), M295, ""))</f>
        <v/>
      </c>
      <c r="AA295" s="98" t="str">
        <f aca="false">IF(ISBLANK($C295),"",IF(ISNUMBER(N295), N295, ""))</f>
        <v/>
      </c>
      <c r="AB295" s="99" t="str">
        <f aca="false">IF(ISBLANK($C295),"",IF(ISNUMBER(O295), O295, ""))</f>
        <v/>
      </c>
      <c r="AC295" s="99" t="str">
        <f aca="false">IF(ISBLANK($C295),"",IF(ISNUMBER(P295), P295, Constants!$B$13))</f>
        <v/>
      </c>
      <c r="AD295" s="96" t="str">
        <f aca="false">IF(ISBLANK($C295),"",IF(Q295=Constants!$B$2, TRUE(), IF(Q295=Constants!$B$3, FALSE(), FALSE())))</f>
        <v/>
      </c>
      <c r="AE295" s="96" t="str">
        <f aca="false">IF(ISBLANK(C295), "", IF(AD295, Constants!$B$4,IF(COUNTA(G295:O295)=0, Constants!$B$5, Constants!$B$7)))</f>
        <v/>
      </c>
      <c r="AF295" s="96" t="str">
        <f aca="false">IF(ISBLANK($C295), "",IF($AE295=Constants!$B$7,1,$AE295))</f>
        <v/>
      </c>
      <c r="AG295" s="96" t="str">
        <f aca="false">IF($AE295=Constants!$B$7,IF(V295, 1, Constants!$B$11) * IF(X295, 1, Constants!$B$12),"")</f>
        <v/>
      </c>
      <c r="AH295" s="96" t="str">
        <f aca="false">IF(AND($AE295=Constants!$B$7, T295, U295) ,MAX(0, $AA295-$Y295),"")</f>
        <v/>
      </c>
      <c r="AI295" s="96" t="str">
        <f aca="false">IF(ISERROR(AH295),$AI$6,"")</f>
        <v/>
      </c>
      <c r="AJ295" s="96" t="str">
        <f aca="false">IF($AE295=Constants!$B$7,IF(AND(T295,U295,W295),IF($AH$6=0,Constants!$B$9,Constants!$B$9*AH295/$AH$6), 0),"")</f>
        <v/>
      </c>
      <c r="AK295" s="96" t="str">
        <f aca="false">IF(AJ295&lt;&gt;"", AJ295*AG295,"")</f>
        <v/>
      </c>
      <c r="AL295" s="96" t="str">
        <f aca="false">IF(AND($AE295=Constants!$B$7, T295, U295) ,IF($Z295="", "", MAX(0,1-ABS($AA295-$Z295)/$AA295)),"")</f>
        <v/>
      </c>
      <c r="AM295" s="96" t="str">
        <f aca="false">IF(AND(NOT(ISERROR(AH295)),ISERROR(AL295)),$AM$6,"")</f>
        <v/>
      </c>
      <c r="AN295" s="96" t="str">
        <f aca="false">IF($AE295=Constants!$B$7 ,IF(AND(T295,U295,W295,ISNUMBER(Z295)),IF($AL$6=0,Constants!$B$10,Constants!$B$10*AL295/$AL$6), 0),"")</f>
        <v/>
      </c>
      <c r="AO295" s="96" t="str">
        <f aca="false">IF(AN295&lt;&gt;"", AN295*AG295,"")</f>
        <v/>
      </c>
      <c r="AP295" s="96" t="str">
        <f aca="false">IF($AE295=Constants!$B$7,IF($AP$6=0,Constants!$B$8,Constants!$B$8*AB295/$AP$6),"")</f>
        <v/>
      </c>
      <c r="AQ295" s="96" t="str">
        <f aca="false">IF($AE295&lt;&gt;Constants!$B$7,$AE295,AK295+AO295+AP295)</f>
        <v/>
      </c>
      <c r="AR295" s="96" t="str">
        <f aca="false">IF(ISBLANK($C295),"",IF($AE295=Constants!$B$7,RANK(AQ295,$AQ$8:$AQ$507),$AE295))</f>
        <v/>
      </c>
      <c r="AS295" s="96" t="str">
        <f aca="false">IF(ISBLANK($C295), "",AK295)</f>
        <v/>
      </c>
      <c r="AT295" s="96" t="str">
        <f aca="false">IF(ISBLANK($C295),"",IF($AE295=Constants!$B$7,RANK(AS295,AS$8:AS$507),$AE295))</f>
        <v/>
      </c>
      <c r="AU295" s="96" t="str">
        <f aca="false">IF(ISBLANK($C295), "",AP295)</f>
        <v/>
      </c>
      <c r="AV295" s="96" t="str">
        <f aca="false">IF(ISBLANK($C295),"",IF($AE295=Constants!$B$7,RANK(AU295,AU$8:AU$507),$AE295))</f>
        <v/>
      </c>
      <c r="AW295" s="96" t="str">
        <f aca="false">IF(ISBLANK($C295), "",AC295)</f>
        <v/>
      </c>
      <c r="AX295" s="96" t="str">
        <f aca="false">IF(ISBLANK($C295),"",
IF($AE295=Constants!$B$7,
  COUNTIFS($AR$8:$AR$507,"&lt;"&amp;$AR295)
  + COUNTIFS($AR$8:$AR$507,$AR295,$AT$8:$AT$507,"&lt;"&amp;$AT295)
  + COUNTIFS($AR$8:$AR$507,$AR295,$AT$8:$AT$507,$AT295,$AV$8:$AV$507,"&lt;"&amp;$AV295)
  + COUNTIFS($AR$8:$AR$507,$AR295,$AT$8:$AT$507,$AT295,$AV$8:$AV$507,$AV295,$AW$8:$AW$507,"&lt;"&amp;$AW295)
  + 1,
$AE295))</f>
        <v/>
      </c>
      <c r="AY295" s="96" t="str">
        <f aca="false">IF(ISBLANK(C295),"",IF($AE295=Constants!$B$7, AR295-AX295,$AE295))</f>
        <v/>
      </c>
      <c r="AZ295" s="100"/>
      <c r="BA295" s="101" t="str">
        <f aca="false">IF(ISBLANK($C295),"",TRIM(AI295&amp;" "&amp;AM295))</f>
        <v/>
      </c>
      <c r="BB295" s="102" t="str">
        <f aca="false">IF(ISBLANK($C295),"",IF($AE295&lt;&gt;Constants!$B$7, $AE295 ,AQ295))</f>
        <v/>
      </c>
      <c r="BC295" s="103" t="str">
        <f aca="false">IF(ISBLANK($C295),"",IF($AE295&lt;&gt;Constants!$B$7, $AE295 ,AF295))</f>
        <v/>
      </c>
      <c r="BD295" s="104" t="str">
        <f aca="false">IF(ISBLANK(C295),"",AY295)</f>
        <v/>
      </c>
      <c r="BE295" s="104" t="str">
        <f aca="false">IF(ISBLANK(C295),"",AX295)</f>
        <v/>
      </c>
      <c r="BF295" s="105" t="str">
        <f aca="false">IF(ISBLANK(C295),"",IFERROR(_xlfn.SWITCH(BE295, Constants!$B$4, COUNTA($C$8:$C794)+2, Constants!$B$5, COUNTA($C$8:$C794)+1, Constants!$B$6, COUNTA($C$8:$C794)),BE295))</f>
        <v/>
      </c>
      <c r="BG295" s="5"/>
      <c r="BH295" s="106" t="n">
        <f aca="false">IF(OR(ISNUMBER(BE295),BE295="DQ",BE295="P",BE295="NS"),
    1,
    0
)</f>
        <v>0</v>
      </c>
      <c r="BI295" s="106" t="n">
        <v>288</v>
      </c>
      <c r="BJ295" s="106" t="str">
        <f aca="false">IF(ISBLANK($C295),
    "",
   BF295+ROW($B295)/1000
)</f>
        <v/>
      </c>
      <c r="BK295" s="106" t="str">
        <f aca="false">IF(ISNUMBER(BJ295), RANK(BJ295,BJ$8:BJ$507,1), "")</f>
        <v/>
      </c>
      <c r="BL295" s="106" t="str">
        <f aca="false">IF(ISBLANK($C295),
    "",
    $B295
)</f>
        <v/>
      </c>
      <c r="BM295" s="106" t="str">
        <f aca="false">IF(ISBLANK($C295),
    "",
    $C295
)</f>
        <v/>
      </c>
      <c r="BN295" s="106" t="str">
        <f aca="false">IF(ISBLANK($C295),
    "",
    $D295
)</f>
        <v/>
      </c>
      <c r="BO295" s="107" t="str">
        <f aca="false">BC295</f>
        <v/>
      </c>
      <c r="BP295" s="108" t="str">
        <f aca="false">BB295</f>
        <v/>
      </c>
      <c r="BQ295" s="106" t="str">
        <f aca="false">IF(ISBLANK($C295),
    "",
    BE295
)</f>
        <v/>
      </c>
      <c r="BR295" s="109" t="str">
        <f aca="false">IF(BI295&gt;BH$7,
    "",
    VLOOKUP(BI295,BK$8:BQ794,7,FALSE())
)</f>
        <v/>
      </c>
      <c r="BS295" s="110" t="str">
        <f aca="false">IF(BI295&gt;BH$7,
    "",
    VLOOKUP(BI295,BK$8:BQ794,2,FALSE())
)</f>
        <v/>
      </c>
      <c r="BT295" s="110" t="str">
        <f aca="false">IF(BI295&gt;BH$7,
    "",
    VLOOKUP(BI295,BK$8:BQ794,3,FALSE())
)</f>
        <v/>
      </c>
      <c r="BU295" s="110" t="str">
        <f aca="false">IF(BI295&gt;BH$7,
    "",
    VLOOKUP(BI295,BK$8:BQ794,4,FALSE())
)</f>
        <v/>
      </c>
      <c r="BV295" s="110" t="str">
        <f aca="false">IF(BI295&gt;BH$7,
    "",
    VLOOKUP(BI295,BK$8:BQ794,5,FALSE())
)</f>
        <v/>
      </c>
      <c r="BW295" s="111" t="str">
        <f aca="false">IF(BI295&gt;BH$7,
    "",
    VLOOKUP(BI295,BK$8:BQ794,6,FALSE())
)</f>
        <v/>
      </c>
      <c r="BX295" s="50"/>
    </row>
    <row r="296" customFormat="false" ht="15.75" hidden="false" customHeight="false" outlineLevel="0" collapsed="false">
      <c r="A296" s="5"/>
      <c r="B296" s="126"/>
      <c r="C296" s="52"/>
      <c r="D296" s="53"/>
      <c r="E296" s="120"/>
      <c r="F296" s="120"/>
      <c r="G296" s="55"/>
      <c r="H296" s="56"/>
      <c r="I296" s="80"/>
      <c r="J296" s="80"/>
      <c r="K296" s="80"/>
      <c r="L296" s="58"/>
      <c r="M296" s="58"/>
      <c r="N296" s="58"/>
      <c r="O296" s="59"/>
      <c r="P296" s="60"/>
      <c r="Q296" s="80"/>
      <c r="R296" s="62"/>
      <c r="S296" s="63"/>
      <c r="T296" s="63" t="str">
        <f aca="false">IF(ISBLANK($C296),"",IF(G296=Constants!$B$2, TRUE(), IF(G296=Constants!$B$3, FALSE(), TRUE())))</f>
        <v/>
      </c>
      <c r="U296" s="63" t="str">
        <f aca="false">IF(ISBLANK($C296),"",IF(H296=Constants!$B$2, TRUE(), IF(H296=Constants!$B$3, FALSE(), TRUE())))</f>
        <v/>
      </c>
      <c r="V296" s="63" t="str">
        <f aca="false">IF(ISBLANK($C296),"",IF(I296=Constants!$B$2, TRUE(), IF(I296=Constants!$B$3, FALSE(), TRUE())))</f>
        <v/>
      </c>
      <c r="W296" s="63" t="str">
        <f aca="false">IF(ISBLANK($C296),"",IF(J296=Constants!$B$2, TRUE(), IF(J296=Constants!$B$3, FALSE(), TRUE())))</f>
        <v/>
      </c>
      <c r="X296" s="63" t="str">
        <f aca="false">IF(ISBLANK($C296),"",IF(K296=Constants!$B$2, TRUE(), IF(K296=Constants!$B$3, FALSE(), TRUE())))</f>
        <v/>
      </c>
      <c r="Y296" s="65" t="str">
        <f aca="false">IF(ISBLANK($C296),"",IF(ISNUMBER(L296), L296, ""))</f>
        <v/>
      </c>
      <c r="Z296" s="65" t="str">
        <f aca="false">IF(ISBLANK($C296),"",IF(ISNUMBER(M296), M296, ""))</f>
        <v/>
      </c>
      <c r="AA296" s="65" t="str">
        <f aca="false">IF(ISBLANK($C296),"",IF(ISNUMBER(N296), N296, ""))</f>
        <v/>
      </c>
      <c r="AB296" s="66" t="str">
        <f aca="false">IF(ISBLANK($C296),"",IF(ISNUMBER(O296), O296, ""))</f>
        <v/>
      </c>
      <c r="AC296" s="66" t="str">
        <f aca="false">IF(ISBLANK($C296),"",IF(ISNUMBER(P296), P296, Constants!$B$13))</f>
        <v/>
      </c>
      <c r="AD296" s="63" t="str">
        <f aca="false">IF(ISBLANK($C296),"",IF(Q296=Constants!$B$2, TRUE(), IF(Q296=Constants!$B$3, FALSE(), FALSE())))</f>
        <v/>
      </c>
      <c r="AE296" s="63" t="str">
        <f aca="false">IF(ISBLANK(C296), "", IF(AD296, Constants!$B$4,IF(COUNTA(G296:O296)=0, Constants!$B$5, Constants!$B$7)))</f>
        <v/>
      </c>
      <c r="AF296" s="63" t="str">
        <f aca="false">IF(ISBLANK($C296), "",IF($AE296=Constants!$B$7,1,$AE296))</f>
        <v/>
      </c>
      <c r="AG296" s="63" t="str">
        <f aca="false">IF($AE296=Constants!$B$7,IF(V296, 1, Constants!$B$11) * IF(X296, 1, Constants!$B$12),"")</f>
        <v/>
      </c>
      <c r="AH296" s="63" t="str">
        <f aca="false">IF(AND($AE296=Constants!$B$7, T296, U296) ,MAX(0, $AA296-$Y296),"")</f>
        <v/>
      </c>
      <c r="AI296" s="63" t="str">
        <f aca="false">IF(ISERROR(AH296),$AI$6,"")</f>
        <v/>
      </c>
      <c r="AJ296" s="63" t="str">
        <f aca="false">IF($AE296=Constants!$B$7,IF(AND(T296,U296,W296),IF($AH$6=0,Constants!$B$9,Constants!$B$9*AH296/$AH$6), 0),"")</f>
        <v/>
      </c>
      <c r="AK296" s="63" t="str">
        <f aca="false">IF(AJ296&lt;&gt;"", AJ296*AG296,"")</f>
        <v/>
      </c>
      <c r="AL296" s="63" t="str">
        <f aca="false">IF(AND($AE296=Constants!$B$7, T296, U296) ,IF($Z296="", "", MAX(0,1-ABS($AA296-$Z296)/$AA296)),"")</f>
        <v/>
      </c>
      <c r="AM296" s="63" t="str">
        <f aca="false">IF(AND(NOT(ISERROR(AH296)),ISERROR(AL296)),$AM$6,"")</f>
        <v/>
      </c>
      <c r="AN296" s="63" t="str">
        <f aca="false">IF($AE296=Constants!$B$7 ,IF(AND(T296,U296,W296,ISNUMBER(Z296)),IF($AL$6=0,Constants!$B$10,Constants!$B$10*AL296/$AL$6), 0),"")</f>
        <v/>
      </c>
      <c r="AO296" s="63" t="str">
        <f aca="false">IF(AN296&lt;&gt;"", AN296*AG296,"")</f>
        <v/>
      </c>
      <c r="AP296" s="63" t="str">
        <f aca="false">IF($AE296=Constants!$B$7,IF($AP$6=0,Constants!$B$8,Constants!$B$8*AB296/$AP$6),"")</f>
        <v/>
      </c>
      <c r="AQ296" s="63" t="str">
        <f aca="false">IF($AE296&lt;&gt;Constants!$B$7,$AE296,AK296+AO296+AP296)</f>
        <v/>
      </c>
      <c r="AR296" s="63" t="str">
        <f aca="false">IF(ISBLANK($C296),"",IF($AE296=Constants!$B$7,RANK(AQ296,$AQ$8:$AQ$507),$AE296))</f>
        <v/>
      </c>
      <c r="AS296" s="63" t="str">
        <f aca="false">IF(ISBLANK($C296), "",AK296)</f>
        <v/>
      </c>
      <c r="AT296" s="63" t="str">
        <f aca="false">IF(ISBLANK($C296),"",IF($AE296=Constants!$B$7,RANK(AS296,AS$8:AS$507),$AE296))</f>
        <v/>
      </c>
      <c r="AU296" s="63" t="str">
        <f aca="false">IF(ISBLANK($C296), "",AP296)</f>
        <v/>
      </c>
      <c r="AV296" s="63" t="str">
        <f aca="false">IF(ISBLANK($C296),"",IF($AE296=Constants!$B$7,RANK(AU296,AU$8:AU$507),$AE296))</f>
        <v/>
      </c>
      <c r="AW296" s="63" t="str">
        <f aca="false">IF(ISBLANK($C296), "",AC296)</f>
        <v/>
      </c>
      <c r="AX296" s="63" t="str">
        <f aca="false">IF(ISBLANK($C296),"",
IF($AE296=Constants!$B$7,
  COUNTIFS($AR$8:$AR$507,"&lt;"&amp;$AR296)
  + COUNTIFS($AR$8:$AR$507,$AR296,$AT$8:$AT$507,"&lt;"&amp;$AT296)
  + COUNTIFS($AR$8:$AR$507,$AR296,$AT$8:$AT$507,$AT296,$AV$8:$AV$507,"&lt;"&amp;$AV296)
  + COUNTIFS($AR$8:$AR$507,$AR296,$AT$8:$AT$507,$AT296,$AV$8:$AV$507,$AV296,$AW$8:$AW$507,"&lt;"&amp;$AW296)
  + 1,
$AE296))</f>
        <v/>
      </c>
      <c r="AY296" s="63" t="str">
        <f aca="false">IF(ISBLANK(C296),"",IF($AE296=Constants!$B$7, AR296-AX296,$AE296))</f>
        <v/>
      </c>
      <c r="AZ296" s="67"/>
      <c r="BA296" s="81" t="str">
        <f aca="false">IF(ISBLANK($C296),"",TRIM(AI296&amp;" "&amp;AM296))</f>
        <v/>
      </c>
      <c r="BB296" s="69" t="str">
        <f aca="false">IF(ISBLANK($C296),"",IF($AE296&lt;&gt;Constants!$B$7, $AE296 ,AQ296))</f>
        <v/>
      </c>
      <c r="BC296" s="70" t="str">
        <f aca="false">IF(ISBLANK($C296),"",IF($AE296&lt;&gt;Constants!$B$7, $AE296 ,AF296))</f>
        <v/>
      </c>
      <c r="BD296" s="71" t="str">
        <f aca="false">IF(ISBLANK(C296),"",AY296)</f>
        <v/>
      </c>
      <c r="BE296" s="71" t="str">
        <f aca="false">IF(ISBLANK(C296),"",AX296)</f>
        <v/>
      </c>
      <c r="BF296" s="72" t="str">
        <f aca="false">IF(ISBLANK(C296),"",IFERROR(_xlfn.SWITCH(BE296, Constants!$B$4, COUNTA($C$8:$C795)+2, Constants!$B$5, COUNTA($C$8:$C795)+1, Constants!$B$6, COUNTA($C$8:$C795)),BE296))</f>
        <v/>
      </c>
      <c r="BG296" s="5"/>
      <c r="BH296" s="73" t="n">
        <f aca="false">IF(OR(ISNUMBER(BE296),BE296="DQ",BE296="P",BE296="NS"),
    1,
    0
)</f>
        <v>0</v>
      </c>
      <c r="BI296" s="73" t="n">
        <v>289</v>
      </c>
      <c r="BJ296" s="73" t="str">
        <f aca="false">IF(ISBLANK($C296),
    "",
   BF296+ROW($B296)/1000
)</f>
        <v/>
      </c>
      <c r="BK296" s="73" t="str">
        <f aca="false">IF(ISNUMBER(BJ296), RANK(BJ296,BJ$8:BJ$507,1), "")</f>
        <v/>
      </c>
      <c r="BL296" s="73" t="str">
        <f aca="false">IF(ISBLANK($C296),
    "",
    $B296
)</f>
        <v/>
      </c>
      <c r="BM296" s="73" t="str">
        <f aca="false">IF(ISBLANK($C296),
    "",
    $C296
)</f>
        <v/>
      </c>
      <c r="BN296" s="73" t="str">
        <f aca="false">IF(ISBLANK($C296),
    "",
    $D296
)</f>
        <v/>
      </c>
      <c r="BO296" s="74" t="str">
        <f aca="false">BC296</f>
        <v/>
      </c>
      <c r="BP296" s="75" t="str">
        <f aca="false">BB296</f>
        <v/>
      </c>
      <c r="BQ296" s="73" t="str">
        <f aca="false">IF(ISBLANK($C296),
    "",
    BE296
)</f>
        <v/>
      </c>
      <c r="BR296" s="76" t="str">
        <f aca="false">IF(BI296&gt;BH$7,
    "",
    VLOOKUP(BI296,BK$8:BQ795,7,FALSE())
)</f>
        <v/>
      </c>
      <c r="BS296" s="77" t="str">
        <f aca="false">IF(BI296&gt;BH$7,
    "",
    VLOOKUP(BI296,BK$8:BQ795,2,FALSE())
)</f>
        <v/>
      </c>
      <c r="BT296" s="77" t="str">
        <f aca="false">IF(BI296&gt;BH$7,
    "",
    VLOOKUP(BI296,BK$8:BQ795,3,FALSE())
)</f>
        <v/>
      </c>
      <c r="BU296" s="77" t="str">
        <f aca="false">IF(BI296&gt;BH$7,
    "",
    VLOOKUP(BI296,BK$8:BQ795,4,FALSE())
)</f>
        <v/>
      </c>
      <c r="BV296" s="77" t="str">
        <f aca="false">IF(BI296&gt;BH$7,
    "",
    VLOOKUP(BI296,BK$8:BQ795,5,FALSE())
)</f>
        <v/>
      </c>
      <c r="BW296" s="78" t="str">
        <f aca="false">IF(BI296&gt;BH$7,
    "",
    VLOOKUP(BI296,BK$8:BQ795,6,FALSE())
)</f>
        <v/>
      </c>
      <c r="BX296" s="50"/>
    </row>
    <row r="297" customFormat="false" ht="15.75" hidden="false" customHeight="false" outlineLevel="0" collapsed="false">
      <c r="A297" s="5"/>
      <c r="B297" s="126"/>
      <c r="C297" s="52"/>
      <c r="D297" s="53"/>
      <c r="E297" s="120"/>
      <c r="F297" s="120"/>
      <c r="G297" s="55"/>
      <c r="H297" s="56"/>
      <c r="I297" s="80"/>
      <c r="J297" s="80"/>
      <c r="K297" s="80"/>
      <c r="L297" s="58"/>
      <c r="M297" s="58"/>
      <c r="N297" s="58"/>
      <c r="O297" s="59"/>
      <c r="P297" s="60"/>
      <c r="Q297" s="80"/>
      <c r="R297" s="62"/>
      <c r="S297" s="63"/>
      <c r="T297" s="63" t="str">
        <f aca="false">IF(ISBLANK($C297),"",IF(G297=Constants!$B$2, TRUE(), IF(G297=Constants!$B$3, FALSE(), TRUE())))</f>
        <v/>
      </c>
      <c r="U297" s="63" t="str">
        <f aca="false">IF(ISBLANK($C297),"",IF(H297=Constants!$B$2, TRUE(), IF(H297=Constants!$B$3, FALSE(), TRUE())))</f>
        <v/>
      </c>
      <c r="V297" s="63" t="str">
        <f aca="false">IF(ISBLANK($C297),"",IF(I297=Constants!$B$2, TRUE(), IF(I297=Constants!$B$3, FALSE(), TRUE())))</f>
        <v/>
      </c>
      <c r="W297" s="63" t="str">
        <f aca="false">IF(ISBLANK($C297),"",IF(J297=Constants!$B$2, TRUE(), IF(J297=Constants!$B$3, FALSE(), TRUE())))</f>
        <v/>
      </c>
      <c r="X297" s="63" t="str">
        <f aca="false">IF(ISBLANK($C297),"",IF(K297=Constants!$B$2, TRUE(), IF(K297=Constants!$B$3, FALSE(), TRUE())))</f>
        <v/>
      </c>
      <c r="Y297" s="65" t="str">
        <f aca="false">IF(ISBLANK($C297),"",IF(ISNUMBER(L297), L297, ""))</f>
        <v/>
      </c>
      <c r="Z297" s="65" t="str">
        <f aca="false">IF(ISBLANK($C297),"",IF(ISNUMBER(M297), M297, ""))</f>
        <v/>
      </c>
      <c r="AA297" s="65" t="str">
        <f aca="false">IF(ISBLANK($C297),"",IF(ISNUMBER(N297), N297, ""))</f>
        <v/>
      </c>
      <c r="AB297" s="66" t="str">
        <f aca="false">IF(ISBLANK($C297),"",IF(ISNUMBER(O297), O297, ""))</f>
        <v/>
      </c>
      <c r="AC297" s="66" t="str">
        <f aca="false">IF(ISBLANK($C297),"",IF(ISNUMBER(P297), P297, Constants!$B$13))</f>
        <v/>
      </c>
      <c r="AD297" s="63" t="str">
        <f aca="false">IF(ISBLANK($C297),"",IF(Q297=Constants!$B$2, TRUE(), IF(Q297=Constants!$B$3, FALSE(), FALSE())))</f>
        <v/>
      </c>
      <c r="AE297" s="63" t="str">
        <f aca="false">IF(ISBLANK(C297), "", IF(AD297, Constants!$B$4,IF(COUNTA(G297:O297)=0, Constants!$B$5, Constants!$B$7)))</f>
        <v/>
      </c>
      <c r="AF297" s="63" t="str">
        <f aca="false">IF(ISBLANK($C297), "",IF($AE297=Constants!$B$7,1,$AE297))</f>
        <v/>
      </c>
      <c r="AG297" s="63" t="str">
        <f aca="false">IF($AE297=Constants!$B$7,IF(V297, 1, Constants!$B$11) * IF(X297, 1, Constants!$B$12),"")</f>
        <v/>
      </c>
      <c r="AH297" s="63" t="str">
        <f aca="false">IF(AND($AE297=Constants!$B$7, T297, U297) ,MAX(0, $AA297-$Y297),"")</f>
        <v/>
      </c>
      <c r="AI297" s="63" t="str">
        <f aca="false">IF(ISERROR(AH297),$AI$6,"")</f>
        <v/>
      </c>
      <c r="AJ297" s="63" t="str">
        <f aca="false">IF($AE297=Constants!$B$7,IF(AND(T297,U297,W297),IF($AH$6=0,Constants!$B$9,Constants!$B$9*AH297/$AH$6), 0),"")</f>
        <v/>
      </c>
      <c r="AK297" s="63" t="str">
        <f aca="false">IF(AJ297&lt;&gt;"", AJ297*AG297,"")</f>
        <v/>
      </c>
      <c r="AL297" s="63" t="str">
        <f aca="false">IF(AND($AE297=Constants!$B$7, T297, U297) ,IF($Z297="", "", MAX(0,1-ABS($AA297-$Z297)/$AA297)),"")</f>
        <v/>
      </c>
      <c r="AM297" s="63" t="str">
        <f aca="false">IF(AND(NOT(ISERROR(AH297)),ISERROR(AL297)),$AM$6,"")</f>
        <v/>
      </c>
      <c r="AN297" s="63" t="str">
        <f aca="false">IF($AE297=Constants!$B$7 ,IF(AND(T297,U297,W297,ISNUMBER(Z297)),IF($AL$6=0,Constants!$B$10,Constants!$B$10*AL297/$AL$6), 0),"")</f>
        <v/>
      </c>
      <c r="AO297" s="63" t="str">
        <f aca="false">IF(AN297&lt;&gt;"", AN297*AG297,"")</f>
        <v/>
      </c>
      <c r="AP297" s="63" t="str">
        <f aca="false">IF($AE297=Constants!$B$7,IF($AP$6=0,Constants!$B$8,Constants!$B$8*AB297/$AP$6),"")</f>
        <v/>
      </c>
      <c r="AQ297" s="63" t="str">
        <f aca="false">IF($AE297&lt;&gt;Constants!$B$7,$AE297,AK297+AO297+AP297)</f>
        <v/>
      </c>
      <c r="AR297" s="63" t="str">
        <f aca="false">IF(ISBLANK($C297),"",IF($AE297=Constants!$B$7,RANK(AQ297,$AQ$8:$AQ$507),$AE297))</f>
        <v/>
      </c>
      <c r="AS297" s="63" t="str">
        <f aca="false">IF(ISBLANK($C297), "",AK297)</f>
        <v/>
      </c>
      <c r="AT297" s="63" t="str">
        <f aca="false">IF(ISBLANK($C297),"",IF($AE297=Constants!$B$7,RANK(AS297,AS$8:AS$507),$AE297))</f>
        <v/>
      </c>
      <c r="AU297" s="63" t="str">
        <f aca="false">IF(ISBLANK($C297), "",AP297)</f>
        <v/>
      </c>
      <c r="AV297" s="63" t="str">
        <f aca="false">IF(ISBLANK($C297),"",IF($AE297=Constants!$B$7,RANK(AU297,AU$8:AU$507),$AE297))</f>
        <v/>
      </c>
      <c r="AW297" s="63" t="str">
        <f aca="false">IF(ISBLANK($C297), "",AC297)</f>
        <v/>
      </c>
      <c r="AX297" s="63" t="str">
        <f aca="false">IF(ISBLANK($C297),"",
IF($AE297=Constants!$B$7,
  COUNTIFS($AR$8:$AR$507,"&lt;"&amp;$AR297)
  + COUNTIFS($AR$8:$AR$507,$AR297,$AT$8:$AT$507,"&lt;"&amp;$AT297)
  + COUNTIFS($AR$8:$AR$507,$AR297,$AT$8:$AT$507,$AT297,$AV$8:$AV$507,"&lt;"&amp;$AV297)
  + COUNTIFS($AR$8:$AR$507,$AR297,$AT$8:$AT$507,$AT297,$AV$8:$AV$507,$AV297,$AW$8:$AW$507,"&lt;"&amp;$AW297)
  + 1,
$AE297))</f>
        <v/>
      </c>
      <c r="AY297" s="63" t="str">
        <f aca="false">IF(ISBLANK(C297),"",IF($AE297=Constants!$B$7, AR297-AX297,$AE297))</f>
        <v/>
      </c>
      <c r="AZ297" s="67"/>
      <c r="BA297" s="81" t="str">
        <f aca="false">IF(ISBLANK($C297),"",TRIM(AI297&amp;" "&amp;AM297))</f>
        <v/>
      </c>
      <c r="BB297" s="69" t="str">
        <f aca="false">IF(ISBLANK($C297),"",IF($AE297&lt;&gt;Constants!$B$7, $AE297 ,AQ297))</f>
        <v/>
      </c>
      <c r="BC297" s="70" t="str">
        <f aca="false">IF(ISBLANK($C297),"",IF($AE297&lt;&gt;Constants!$B$7, $AE297 ,AF297))</f>
        <v/>
      </c>
      <c r="BD297" s="71" t="str">
        <f aca="false">IF(ISBLANK(C297),"",AY297)</f>
        <v/>
      </c>
      <c r="BE297" s="71" t="str">
        <f aca="false">IF(ISBLANK(C297),"",AX297)</f>
        <v/>
      </c>
      <c r="BF297" s="72" t="str">
        <f aca="false">IF(ISBLANK(C297),"",IFERROR(_xlfn.SWITCH(BE297, Constants!$B$4, COUNTA($C$8:$C796)+2, Constants!$B$5, COUNTA($C$8:$C796)+1, Constants!$B$6, COUNTA($C$8:$C796)),BE297))</f>
        <v/>
      </c>
      <c r="BG297" s="5"/>
      <c r="BH297" s="73" t="n">
        <f aca="false">IF(OR(ISNUMBER(BE297),BE297="DQ",BE297="P",BE297="NS"),
    1,
    0
)</f>
        <v>0</v>
      </c>
      <c r="BI297" s="73" t="n">
        <v>290</v>
      </c>
      <c r="BJ297" s="73" t="str">
        <f aca="false">IF(ISBLANK($C297),
    "",
   BF297+ROW($B297)/1000
)</f>
        <v/>
      </c>
      <c r="BK297" s="73" t="str">
        <f aca="false">IF(ISNUMBER(BJ297), RANK(BJ297,BJ$8:BJ$507,1), "")</f>
        <v/>
      </c>
      <c r="BL297" s="73" t="str">
        <f aca="false">IF(ISBLANK($C297),
    "",
    $B297
)</f>
        <v/>
      </c>
      <c r="BM297" s="73" t="str">
        <f aca="false">IF(ISBLANK($C297),
    "",
    $C297
)</f>
        <v/>
      </c>
      <c r="BN297" s="73" t="str">
        <f aca="false">IF(ISBLANK($C297),
    "",
    $D297
)</f>
        <v/>
      </c>
      <c r="BO297" s="74" t="str">
        <f aca="false">BC297</f>
        <v/>
      </c>
      <c r="BP297" s="75" t="str">
        <f aca="false">BB297</f>
        <v/>
      </c>
      <c r="BQ297" s="73" t="str">
        <f aca="false">IF(ISBLANK($C297),
    "",
    BE297
)</f>
        <v/>
      </c>
      <c r="BR297" s="76" t="str">
        <f aca="false">IF(BI297&gt;BH$7,
    "",
    VLOOKUP(BI297,BK$8:BQ796,7,FALSE())
)</f>
        <v/>
      </c>
      <c r="BS297" s="77" t="str">
        <f aca="false">IF(BI297&gt;BH$7,
    "",
    VLOOKUP(BI297,BK$8:BQ796,2,FALSE())
)</f>
        <v/>
      </c>
      <c r="BT297" s="77" t="str">
        <f aca="false">IF(BI297&gt;BH$7,
    "",
    VLOOKUP(BI297,BK$8:BQ796,3,FALSE())
)</f>
        <v/>
      </c>
      <c r="BU297" s="77" t="str">
        <f aca="false">IF(BI297&gt;BH$7,
    "",
    VLOOKUP(BI297,BK$8:BQ796,4,FALSE())
)</f>
        <v/>
      </c>
      <c r="BV297" s="77" t="str">
        <f aca="false">IF(BI297&gt;BH$7,
    "",
    VLOOKUP(BI297,BK$8:BQ796,5,FALSE())
)</f>
        <v/>
      </c>
      <c r="BW297" s="78" t="str">
        <f aca="false">IF(BI297&gt;BH$7,
    "",
    VLOOKUP(BI297,BK$8:BQ796,6,FALSE())
)</f>
        <v/>
      </c>
      <c r="BX297" s="50"/>
    </row>
    <row r="298" customFormat="false" ht="15.75" hidden="false" customHeight="false" outlineLevel="0" collapsed="false">
      <c r="A298" s="5"/>
      <c r="B298" s="126"/>
      <c r="C298" s="52"/>
      <c r="D298" s="53"/>
      <c r="E298" s="120"/>
      <c r="F298" s="120"/>
      <c r="G298" s="55"/>
      <c r="H298" s="56"/>
      <c r="I298" s="80"/>
      <c r="J298" s="80"/>
      <c r="K298" s="80"/>
      <c r="L298" s="58"/>
      <c r="M298" s="58"/>
      <c r="N298" s="58"/>
      <c r="O298" s="59"/>
      <c r="P298" s="60"/>
      <c r="Q298" s="80"/>
      <c r="R298" s="62"/>
      <c r="S298" s="63"/>
      <c r="T298" s="63" t="str">
        <f aca="false">IF(ISBLANK($C298),"",IF(G298=Constants!$B$2, TRUE(), IF(G298=Constants!$B$3, FALSE(), TRUE())))</f>
        <v/>
      </c>
      <c r="U298" s="63" t="str">
        <f aca="false">IF(ISBLANK($C298),"",IF(H298=Constants!$B$2, TRUE(), IF(H298=Constants!$B$3, FALSE(), TRUE())))</f>
        <v/>
      </c>
      <c r="V298" s="63" t="str">
        <f aca="false">IF(ISBLANK($C298),"",IF(I298=Constants!$B$2, TRUE(), IF(I298=Constants!$B$3, FALSE(), TRUE())))</f>
        <v/>
      </c>
      <c r="W298" s="63" t="str">
        <f aca="false">IF(ISBLANK($C298),"",IF(J298=Constants!$B$2, TRUE(), IF(J298=Constants!$B$3, FALSE(), TRUE())))</f>
        <v/>
      </c>
      <c r="X298" s="63" t="str">
        <f aca="false">IF(ISBLANK($C298),"",IF(K298=Constants!$B$2, TRUE(), IF(K298=Constants!$B$3, FALSE(), TRUE())))</f>
        <v/>
      </c>
      <c r="Y298" s="65" t="str">
        <f aca="false">IF(ISBLANK($C298),"",IF(ISNUMBER(L298), L298, ""))</f>
        <v/>
      </c>
      <c r="Z298" s="65" t="str">
        <f aca="false">IF(ISBLANK($C298),"",IF(ISNUMBER(M298), M298, ""))</f>
        <v/>
      </c>
      <c r="AA298" s="65" t="str">
        <f aca="false">IF(ISBLANK($C298),"",IF(ISNUMBER(N298), N298, ""))</f>
        <v/>
      </c>
      <c r="AB298" s="66" t="str">
        <f aca="false">IF(ISBLANK($C298),"",IF(ISNUMBER(O298), O298, ""))</f>
        <v/>
      </c>
      <c r="AC298" s="66" t="str">
        <f aca="false">IF(ISBLANK($C298),"",IF(ISNUMBER(P298), P298, Constants!$B$13))</f>
        <v/>
      </c>
      <c r="AD298" s="63" t="str">
        <f aca="false">IF(ISBLANK($C298),"",IF(Q298=Constants!$B$2, TRUE(), IF(Q298=Constants!$B$3, FALSE(), FALSE())))</f>
        <v/>
      </c>
      <c r="AE298" s="63" t="str">
        <f aca="false">IF(ISBLANK(C298), "", IF(AD298, Constants!$B$4,IF(COUNTA(G298:O298)=0, Constants!$B$5, Constants!$B$7)))</f>
        <v/>
      </c>
      <c r="AF298" s="63" t="str">
        <f aca="false">IF(ISBLANK($C298), "",IF($AE298=Constants!$B$7,1,$AE298))</f>
        <v/>
      </c>
      <c r="AG298" s="63" t="str">
        <f aca="false">IF($AE298=Constants!$B$7,IF(V298, 1, Constants!$B$11) * IF(X298, 1, Constants!$B$12),"")</f>
        <v/>
      </c>
      <c r="AH298" s="63" t="str">
        <f aca="false">IF(AND($AE298=Constants!$B$7, T298, U298) ,MAX(0, $AA298-$Y298),"")</f>
        <v/>
      </c>
      <c r="AI298" s="63" t="str">
        <f aca="false">IF(ISERROR(AH298),$AI$6,"")</f>
        <v/>
      </c>
      <c r="AJ298" s="63" t="str">
        <f aca="false">IF($AE298=Constants!$B$7,IF(AND(T298,U298,W298),IF($AH$6=0,Constants!$B$9,Constants!$B$9*AH298/$AH$6), 0),"")</f>
        <v/>
      </c>
      <c r="AK298" s="63" t="str">
        <f aca="false">IF(AJ298&lt;&gt;"", AJ298*AG298,"")</f>
        <v/>
      </c>
      <c r="AL298" s="63" t="str">
        <f aca="false">IF(AND($AE298=Constants!$B$7, T298, U298) ,IF($Z298="", "", MAX(0,1-ABS($AA298-$Z298)/$AA298)),"")</f>
        <v/>
      </c>
      <c r="AM298" s="63" t="str">
        <f aca="false">IF(AND(NOT(ISERROR(AH298)),ISERROR(AL298)),$AM$6,"")</f>
        <v/>
      </c>
      <c r="AN298" s="63" t="str">
        <f aca="false">IF($AE298=Constants!$B$7 ,IF(AND(T298,U298,W298,ISNUMBER(Z298)),IF($AL$6=0,Constants!$B$10,Constants!$B$10*AL298/$AL$6), 0),"")</f>
        <v/>
      </c>
      <c r="AO298" s="63" t="str">
        <f aca="false">IF(AN298&lt;&gt;"", AN298*AG298,"")</f>
        <v/>
      </c>
      <c r="AP298" s="63" t="str">
        <f aca="false">IF($AE298=Constants!$B$7,IF($AP$6=0,Constants!$B$8,Constants!$B$8*AB298/$AP$6),"")</f>
        <v/>
      </c>
      <c r="AQ298" s="63" t="str">
        <f aca="false">IF($AE298&lt;&gt;Constants!$B$7,$AE298,AK298+AO298+AP298)</f>
        <v/>
      </c>
      <c r="AR298" s="63" t="str">
        <f aca="false">IF(ISBLANK($C298),"",IF($AE298=Constants!$B$7,RANK(AQ298,$AQ$8:$AQ$507),$AE298))</f>
        <v/>
      </c>
      <c r="AS298" s="63" t="str">
        <f aca="false">IF(ISBLANK($C298), "",AK298)</f>
        <v/>
      </c>
      <c r="AT298" s="63" t="str">
        <f aca="false">IF(ISBLANK($C298),"",IF($AE298=Constants!$B$7,RANK(AS298,AS$8:AS$507),$AE298))</f>
        <v/>
      </c>
      <c r="AU298" s="63" t="str">
        <f aca="false">IF(ISBLANK($C298), "",AP298)</f>
        <v/>
      </c>
      <c r="AV298" s="63" t="str">
        <f aca="false">IF(ISBLANK($C298),"",IF($AE298=Constants!$B$7,RANK(AU298,AU$8:AU$507),$AE298))</f>
        <v/>
      </c>
      <c r="AW298" s="63" t="str">
        <f aca="false">IF(ISBLANK($C298), "",AC298)</f>
        <v/>
      </c>
      <c r="AX298" s="63" t="str">
        <f aca="false">IF(ISBLANK($C298),"",
IF($AE298=Constants!$B$7,
  COUNTIFS($AR$8:$AR$507,"&lt;"&amp;$AR298)
  + COUNTIFS($AR$8:$AR$507,$AR298,$AT$8:$AT$507,"&lt;"&amp;$AT298)
  + COUNTIFS($AR$8:$AR$507,$AR298,$AT$8:$AT$507,$AT298,$AV$8:$AV$507,"&lt;"&amp;$AV298)
  + COUNTIFS($AR$8:$AR$507,$AR298,$AT$8:$AT$507,$AT298,$AV$8:$AV$507,$AV298,$AW$8:$AW$507,"&lt;"&amp;$AW298)
  + 1,
$AE298))</f>
        <v/>
      </c>
      <c r="AY298" s="63" t="str">
        <f aca="false">IF(ISBLANK(C298),"",IF($AE298=Constants!$B$7, AR298-AX298,$AE298))</f>
        <v/>
      </c>
      <c r="AZ298" s="67"/>
      <c r="BA298" s="81" t="str">
        <f aca="false">IF(ISBLANK($C298),"",TRIM(AI298&amp;" "&amp;AM298))</f>
        <v/>
      </c>
      <c r="BB298" s="69" t="str">
        <f aca="false">IF(ISBLANK($C298),"",IF($AE298&lt;&gt;Constants!$B$7, $AE298 ,AQ298))</f>
        <v/>
      </c>
      <c r="BC298" s="70" t="str">
        <f aca="false">IF(ISBLANK($C298),"",IF($AE298&lt;&gt;Constants!$B$7, $AE298 ,AF298))</f>
        <v/>
      </c>
      <c r="BD298" s="71" t="str">
        <f aca="false">IF(ISBLANK(C298),"",AY298)</f>
        <v/>
      </c>
      <c r="BE298" s="71" t="str">
        <f aca="false">IF(ISBLANK(C298),"",AX298)</f>
        <v/>
      </c>
      <c r="BF298" s="72" t="str">
        <f aca="false">IF(ISBLANK(C298),"",IFERROR(_xlfn.SWITCH(BE298, Constants!$B$4, COUNTA($C$8:$C797)+2, Constants!$B$5, COUNTA($C$8:$C797)+1, Constants!$B$6, COUNTA($C$8:$C797)),BE298))</f>
        <v/>
      </c>
      <c r="BG298" s="5"/>
      <c r="BH298" s="73" t="n">
        <f aca="false">IF(OR(ISNUMBER(BE298),BE298="DQ",BE298="P",BE298="NS"),
    1,
    0
)</f>
        <v>0</v>
      </c>
      <c r="BI298" s="73" t="n">
        <v>291</v>
      </c>
      <c r="BJ298" s="73" t="str">
        <f aca="false">IF(ISBLANK($C298),
    "",
   BF298+ROW($B298)/1000
)</f>
        <v/>
      </c>
      <c r="BK298" s="73" t="str">
        <f aca="false">IF(ISNUMBER(BJ298), RANK(BJ298,BJ$8:BJ$507,1), "")</f>
        <v/>
      </c>
      <c r="BL298" s="73" t="str">
        <f aca="false">IF(ISBLANK($C298),
    "",
    $B298
)</f>
        <v/>
      </c>
      <c r="BM298" s="73" t="str">
        <f aca="false">IF(ISBLANK($C298),
    "",
    $C298
)</f>
        <v/>
      </c>
      <c r="BN298" s="73" t="str">
        <f aca="false">IF(ISBLANK($C298),
    "",
    $D298
)</f>
        <v/>
      </c>
      <c r="BO298" s="74" t="str">
        <f aca="false">BC298</f>
        <v/>
      </c>
      <c r="BP298" s="75" t="str">
        <f aca="false">BB298</f>
        <v/>
      </c>
      <c r="BQ298" s="73" t="str">
        <f aca="false">IF(ISBLANK($C298),
    "",
    BE298
)</f>
        <v/>
      </c>
      <c r="BR298" s="76" t="str">
        <f aca="false">IF(BI298&gt;BH$7,
    "",
    VLOOKUP(BI298,BK$8:BQ797,7,FALSE())
)</f>
        <v/>
      </c>
      <c r="BS298" s="77" t="str">
        <f aca="false">IF(BI298&gt;BH$7,
    "",
    VLOOKUP(BI298,BK$8:BQ797,2,FALSE())
)</f>
        <v/>
      </c>
      <c r="BT298" s="77" t="str">
        <f aca="false">IF(BI298&gt;BH$7,
    "",
    VLOOKUP(BI298,BK$8:BQ797,3,FALSE())
)</f>
        <v/>
      </c>
      <c r="BU298" s="77" t="str">
        <f aca="false">IF(BI298&gt;BH$7,
    "",
    VLOOKUP(BI298,BK$8:BQ797,4,FALSE())
)</f>
        <v/>
      </c>
      <c r="BV298" s="77" t="str">
        <f aca="false">IF(BI298&gt;BH$7,
    "",
    VLOOKUP(BI298,BK$8:BQ797,5,FALSE())
)</f>
        <v/>
      </c>
      <c r="BW298" s="78" t="str">
        <f aca="false">IF(BI298&gt;BH$7,
    "",
    VLOOKUP(BI298,BK$8:BQ797,6,FALSE())
)</f>
        <v/>
      </c>
      <c r="BX298" s="50"/>
    </row>
    <row r="299" customFormat="false" ht="15.75" hidden="false" customHeight="false" outlineLevel="0" collapsed="false">
      <c r="A299" s="5"/>
      <c r="B299" s="122"/>
      <c r="C299" s="123"/>
      <c r="D299" s="112"/>
      <c r="E299" s="116"/>
      <c r="F299" s="116"/>
      <c r="G299" s="88"/>
      <c r="H299" s="89"/>
      <c r="I299" s="125"/>
      <c r="J299" s="125"/>
      <c r="K299" s="125"/>
      <c r="L299" s="91"/>
      <c r="M299" s="91"/>
      <c r="N299" s="91"/>
      <c r="O299" s="92"/>
      <c r="P299" s="93"/>
      <c r="Q299" s="125"/>
      <c r="R299" s="95"/>
      <c r="S299" s="96"/>
      <c r="T299" s="96" t="str">
        <f aca="false">IF(ISBLANK($C299),"",IF(G299=Constants!$B$2, TRUE(), IF(G299=Constants!$B$3, FALSE(), TRUE())))</f>
        <v/>
      </c>
      <c r="U299" s="96" t="str">
        <f aca="false">IF(ISBLANK($C299),"",IF(H299=Constants!$B$2, TRUE(), IF(H299=Constants!$B$3, FALSE(), TRUE())))</f>
        <v/>
      </c>
      <c r="V299" s="96" t="str">
        <f aca="false">IF(ISBLANK($C299),"",IF(I299=Constants!$B$2, TRUE(), IF(I299=Constants!$B$3, FALSE(), TRUE())))</f>
        <v/>
      </c>
      <c r="W299" s="96" t="str">
        <f aca="false">IF(ISBLANK($C299),"",IF(J299=Constants!$B$2, TRUE(), IF(J299=Constants!$B$3, FALSE(), TRUE())))</f>
        <v/>
      </c>
      <c r="X299" s="97" t="str">
        <f aca="false">IF(ISBLANK($C299),"",IF(K299=Constants!$B$2, TRUE(), IF(K299=Constants!$B$3, FALSE(), TRUE())))</f>
        <v/>
      </c>
      <c r="Y299" s="98" t="str">
        <f aca="false">IF(ISBLANK($C299),"",IF(ISNUMBER(L299), L299, ""))</f>
        <v/>
      </c>
      <c r="Z299" s="98" t="str">
        <f aca="false">IF(ISBLANK($C299),"",IF(ISNUMBER(M299), M299, ""))</f>
        <v/>
      </c>
      <c r="AA299" s="98" t="str">
        <f aca="false">IF(ISBLANK($C299),"",IF(ISNUMBER(N299), N299, ""))</f>
        <v/>
      </c>
      <c r="AB299" s="99" t="str">
        <f aca="false">IF(ISBLANK($C299),"",IF(ISNUMBER(O299), O299, ""))</f>
        <v/>
      </c>
      <c r="AC299" s="99" t="str">
        <f aca="false">IF(ISBLANK($C299),"",IF(ISNUMBER(P299), P299, Constants!$B$13))</f>
        <v/>
      </c>
      <c r="AD299" s="96" t="str">
        <f aca="false">IF(ISBLANK($C299),"",IF(Q299=Constants!$B$2, TRUE(), IF(Q299=Constants!$B$3, FALSE(), FALSE())))</f>
        <v/>
      </c>
      <c r="AE299" s="96" t="str">
        <f aca="false">IF(ISBLANK(C299), "", IF(AD299, Constants!$B$4,IF(COUNTA(G299:O299)=0, Constants!$B$5, Constants!$B$7)))</f>
        <v/>
      </c>
      <c r="AF299" s="96" t="str">
        <f aca="false">IF(ISBLANK($C299), "",IF($AE299=Constants!$B$7,1,$AE299))</f>
        <v/>
      </c>
      <c r="AG299" s="96" t="str">
        <f aca="false">IF($AE299=Constants!$B$7,IF(V299, 1, Constants!$B$11) * IF(X299, 1, Constants!$B$12),"")</f>
        <v/>
      </c>
      <c r="AH299" s="96" t="str">
        <f aca="false">IF(AND($AE299=Constants!$B$7, T299, U299) ,MAX(0, $AA299-$Y299),"")</f>
        <v/>
      </c>
      <c r="AI299" s="96" t="str">
        <f aca="false">IF(ISERROR(AH299),$AI$6,"")</f>
        <v/>
      </c>
      <c r="AJ299" s="96" t="str">
        <f aca="false">IF($AE299=Constants!$B$7,IF(AND(T299,U299,W299),IF($AH$6=0,Constants!$B$9,Constants!$B$9*AH299/$AH$6), 0),"")</f>
        <v/>
      </c>
      <c r="AK299" s="96" t="str">
        <f aca="false">IF(AJ299&lt;&gt;"", AJ299*AG299,"")</f>
        <v/>
      </c>
      <c r="AL299" s="96" t="str">
        <f aca="false">IF(AND($AE299=Constants!$B$7, T299, U299) ,IF($Z299="", "", MAX(0,1-ABS($AA299-$Z299)/$AA299)),"")</f>
        <v/>
      </c>
      <c r="AM299" s="96" t="str">
        <f aca="false">IF(AND(NOT(ISERROR(AH299)),ISERROR(AL299)),$AM$6,"")</f>
        <v/>
      </c>
      <c r="AN299" s="96" t="str">
        <f aca="false">IF($AE299=Constants!$B$7 ,IF(AND(T299,U299,W299,ISNUMBER(Z299)),IF($AL$6=0,Constants!$B$10,Constants!$B$10*AL299/$AL$6), 0),"")</f>
        <v/>
      </c>
      <c r="AO299" s="96" t="str">
        <f aca="false">IF(AN299&lt;&gt;"", AN299*AG299,"")</f>
        <v/>
      </c>
      <c r="AP299" s="96" t="str">
        <f aca="false">IF($AE299=Constants!$B$7,IF($AP$6=0,Constants!$B$8,Constants!$B$8*AB299/$AP$6),"")</f>
        <v/>
      </c>
      <c r="AQ299" s="96" t="str">
        <f aca="false">IF($AE299&lt;&gt;Constants!$B$7,$AE299,AK299+AO299+AP299)</f>
        <v/>
      </c>
      <c r="AR299" s="96" t="str">
        <f aca="false">IF(ISBLANK($C299),"",IF($AE299=Constants!$B$7,RANK(AQ299,$AQ$8:$AQ$507),$AE299))</f>
        <v/>
      </c>
      <c r="AS299" s="96" t="str">
        <f aca="false">IF(ISBLANK($C299), "",AK299)</f>
        <v/>
      </c>
      <c r="AT299" s="96" t="str">
        <f aca="false">IF(ISBLANK($C299),"",IF($AE299=Constants!$B$7,RANK(AS299,AS$8:AS$507),$AE299))</f>
        <v/>
      </c>
      <c r="AU299" s="96" t="str">
        <f aca="false">IF(ISBLANK($C299), "",AP299)</f>
        <v/>
      </c>
      <c r="AV299" s="96" t="str">
        <f aca="false">IF(ISBLANK($C299),"",IF($AE299=Constants!$B$7,RANK(AU299,AU$8:AU$507),$AE299))</f>
        <v/>
      </c>
      <c r="AW299" s="96" t="str">
        <f aca="false">IF(ISBLANK($C299), "",AC299)</f>
        <v/>
      </c>
      <c r="AX299" s="96" t="str">
        <f aca="false">IF(ISBLANK($C299),"",
IF($AE299=Constants!$B$7,
  COUNTIFS($AR$8:$AR$507,"&lt;"&amp;$AR299)
  + COUNTIFS($AR$8:$AR$507,$AR299,$AT$8:$AT$507,"&lt;"&amp;$AT299)
  + COUNTIFS($AR$8:$AR$507,$AR299,$AT$8:$AT$507,$AT299,$AV$8:$AV$507,"&lt;"&amp;$AV299)
  + COUNTIFS($AR$8:$AR$507,$AR299,$AT$8:$AT$507,$AT299,$AV$8:$AV$507,$AV299,$AW$8:$AW$507,"&lt;"&amp;$AW299)
  + 1,
$AE299))</f>
        <v/>
      </c>
      <c r="AY299" s="96" t="str">
        <f aca="false">IF(ISBLANK(C299),"",IF($AE299=Constants!$B$7, AR299-AX299,$AE299))</f>
        <v/>
      </c>
      <c r="AZ299" s="100"/>
      <c r="BA299" s="101" t="str">
        <f aca="false">IF(ISBLANK($C299),"",TRIM(AI299&amp;" "&amp;AM299))</f>
        <v/>
      </c>
      <c r="BB299" s="102" t="str">
        <f aca="false">IF(ISBLANK($C299),"",IF($AE299&lt;&gt;Constants!$B$7, $AE299 ,AQ299))</f>
        <v/>
      </c>
      <c r="BC299" s="103" t="str">
        <f aca="false">IF(ISBLANK($C299),"",IF($AE299&lt;&gt;Constants!$B$7, $AE299 ,AF299))</f>
        <v/>
      </c>
      <c r="BD299" s="104" t="str">
        <f aca="false">IF(ISBLANK(C299),"",AY299)</f>
        <v/>
      </c>
      <c r="BE299" s="104" t="str">
        <f aca="false">IF(ISBLANK(C299),"",AX299)</f>
        <v/>
      </c>
      <c r="BF299" s="105" t="str">
        <f aca="false">IF(ISBLANK(C299),"",IFERROR(_xlfn.SWITCH(BE299, Constants!$B$4, COUNTA($C$8:$C798)+2, Constants!$B$5, COUNTA($C$8:$C798)+1, Constants!$B$6, COUNTA($C$8:$C798)),BE299))</f>
        <v/>
      </c>
      <c r="BG299" s="5"/>
      <c r="BH299" s="106" t="n">
        <f aca="false">IF(OR(ISNUMBER(BE299),BE299="DQ",BE299="P",BE299="NS"),
    1,
    0
)</f>
        <v>0</v>
      </c>
      <c r="BI299" s="106" t="n">
        <v>292</v>
      </c>
      <c r="BJ299" s="106" t="str">
        <f aca="false">IF(ISBLANK($C299),
    "",
   BF299+ROW($B299)/1000
)</f>
        <v/>
      </c>
      <c r="BK299" s="106" t="str">
        <f aca="false">IF(ISNUMBER(BJ299), RANK(BJ299,BJ$8:BJ$507,1), "")</f>
        <v/>
      </c>
      <c r="BL299" s="106" t="str">
        <f aca="false">IF(ISBLANK($C299),
    "",
    $B299
)</f>
        <v/>
      </c>
      <c r="BM299" s="106" t="str">
        <f aca="false">IF(ISBLANK($C299),
    "",
    $C299
)</f>
        <v/>
      </c>
      <c r="BN299" s="106" t="str">
        <f aca="false">IF(ISBLANK($C299),
    "",
    $D299
)</f>
        <v/>
      </c>
      <c r="BO299" s="107" t="str">
        <f aca="false">BC299</f>
        <v/>
      </c>
      <c r="BP299" s="108" t="str">
        <f aca="false">BB299</f>
        <v/>
      </c>
      <c r="BQ299" s="106" t="str">
        <f aca="false">IF(ISBLANK($C299),
    "",
    BE299
)</f>
        <v/>
      </c>
      <c r="BR299" s="109" t="str">
        <f aca="false">IF(BI299&gt;BH$7,
    "",
    VLOOKUP(BI299,BK$8:BQ798,7,FALSE())
)</f>
        <v/>
      </c>
      <c r="BS299" s="110" t="str">
        <f aca="false">IF(BI299&gt;BH$7,
    "",
    VLOOKUP(BI299,BK$8:BQ798,2,FALSE())
)</f>
        <v/>
      </c>
      <c r="BT299" s="110" t="str">
        <f aca="false">IF(BI299&gt;BH$7,
    "",
    VLOOKUP(BI299,BK$8:BQ798,3,FALSE())
)</f>
        <v/>
      </c>
      <c r="BU299" s="110" t="str">
        <f aca="false">IF(BI299&gt;BH$7,
    "",
    VLOOKUP(BI299,BK$8:BQ798,4,FALSE())
)</f>
        <v/>
      </c>
      <c r="BV299" s="110" t="str">
        <f aca="false">IF(BI299&gt;BH$7,
    "",
    VLOOKUP(BI299,BK$8:BQ798,5,FALSE())
)</f>
        <v/>
      </c>
      <c r="BW299" s="111" t="str">
        <f aca="false">IF(BI299&gt;BH$7,
    "",
    VLOOKUP(BI299,BK$8:BQ798,6,FALSE())
)</f>
        <v/>
      </c>
      <c r="BX299" s="50"/>
    </row>
    <row r="300" customFormat="false" ht="15.75" hidden="false" customHeight="false" outlineLevel="0" collapsed="false">
      <c r="A300" s="5"/>
      <c r="B300" s="122"/>
      <c r="C300" s="123"/>
      <c r="D300" s="112"/>
      <c r="E300" s="116"/>
      <c r="F300" s="116"/>
      <c r="G300" s="88"/>
      <c r="H300" s="89"/>
      <c r="I300" s="125"/>
      <c r="J300" s="125"/>
      <c r="K300" s="125"/>
      <c r="L300" s="91"/>
      <c r="M300" s="91"/>
      <c r="N300" s="91"/>
      <c r="O300" s="92"/>
      <c r="P300" s="93"/>
      <c r="Q300" s="125"/>
      <c r="R300" s="95"/>
      <c r="S300" s="96"/>
      <c r="T300" s="96" t="str">
        <f aca="false">IF(ISBLANK($C300),"",IF(G300=Constants!$B$2, TRUE(), IF(G300=Constants!$B$3, FALSE(), TRUE())))</f>
        <v/>
      </c>
      <c r="U300" s="96" t="str">
        <f aca="false">IF(ISBLANK($C300),"",IF(H300=Constants!$B$2, TRUE(), IF(H300=Constants!$B$3, FALSE(), TRUE())))</f>
        <v/>
      </c>
      <c r="V300" s="96" t="str">
        <f aca="false">IF(ISBLANK($C300),"",IF(I300=Constants!$B$2, TRUE(), IF(I300=Constants!$B$3, FALSE(), TRUE())))</f>
        <v/>
      </c>
      <c r="W300" s="96" t="str">
        <f aca="false">IF(ISBLANK($C300),"",IF(J300=Constants!$B$2, TRUE(), IF(J300=Constants!$B$3, FALSE(), TRUE())))</f>
        <v/>
      </c>
      <c r="X300" s="97" t="str">
        <f aca="false">IF(ISBLANK($C300),"",IF(K300=Constants!$B$2, TRUE(), IF(K300=Constants!$B$3, FALSE(), TRUE())))</f>
        <v/>
      </c>
      <c r="Y300" s="98" t="str">
        <f aca="false">IF(ISBLANK($C300),"",IF(ISNUMBER(L300), L300, ""))</f>
        <v/>
      </c>
      <c r="Z300" s="98" t="str">
        <f aca="false">IF(ISBLANK($C300),"",IF(ISNUMBER(M300), M300, ""))</f>
        <v/>
      </c>
      <c r="AA300" s="98" t="str">
        <f aca="false">IF(ISBLANK($C300),"",IF(ISNUMBER(N300), N300, ""))</f>
        <v/>
      </c>
      <c r="AB300" s="99" t="str">
        <f aca="false">IF(ISBLANK($C300),"",IF(ISNUMBER(O300), O300, ""))</f>
        <v/>
      </c>
      <c r="AC300" s="99" t="str">
        <f aca="false">IF(ISBLANK($C300),"",IF(ISNUMBER(P300), P300, Constants!$B$13))</f>
        <v/>
      </c>
      <c r="AD300" s="96" t="str">
        <f aca="false">IF(ISBLANK($C300),"",IF(Q300=Constants!$B$2, TRUE(), IF(Q300=Constants!$B$3, FALSE(), FALSE())))</f>
        <v/>
      </c>
      <c r="AE300" s="96" t="str">
        <f aca="false">IF(ISBLANK(C300), "", IF(AD300, Constants!$B$4,IF(COUNTA(G300:O300)=0, Constants!$B$5, Constants!$B$7)))</f>
        <v/>
      </c>
      <c r="AF300" s="96" t="str">
        <f aca="false">IF(ISBLANK($C300), "",IF($AE300=Constants!$B$7,1,$AE300))</f>
        <v/>
      </c>
      <c r="AG300" s="96" t="str">
        <f aca="false">IF($AE300=Constants!$B$7,IF(V300, 1, Constants!$B$11) * IF(X300, 1, Constants!$B$12),"")</f>
        <v/>
      </c>
      <c r="AH300" s="96" t="str">
        <f aca="false">IF(AND($AE300=Constants!$B$7, T300, U300) ,MAX(0, $AA300-$Y300),"")</f>
        <v/>
      </c>
      <c r="AI300" s="96" t="str">
        <f aca="false">IF(ISERROR(AH300),$AI$6,"")</f>
        <v/>
      </c>
      <c r="AJ300" s="96" t="str">
        <f aca="false">IF($AE300=Constants!$B$7,IF(AND(T300,U300,W300),IF($AH$6=0,Constants!$B$9,Constants!$B$9*AH300/$AH$6), 0),"")</f>
        <v/>
      </c>
      <c r="AK300" s="96" t="str">
        <f aca="false">IF(AJ300&lt;&gt;"", AJ300*AG300,"")</f>
        <v/>
      </c>
      <c r="AL300" s="96" t="str">
        <f aca="false">IF(AND($AE300=Constants!$B$7, T300, U300) ,IF($Z300="", "", MAX(0,1-ABS($AA300-$Z300)/$AA300)),"")</f>
        <v/>
      </c>
      <c r="AM300" s="96" t="str">
        <f aca="false">IF(AND(NOT(ISERROR(AH300)),ISERROR(AL300)),$AM$6,"")</f>
        <v/>
      </c>
      <c r="AN300" s="96" t="str">
        <f aca="false">IF($AE300=Constants!$B$7 ,IF(AND(T300,U300,W300,ISNUMBER(Z300)),IF($AL$6=0,Constants!$B$10,Constants!$B$10*AL300/$AL$6), 0),"")</f>
        <v/>
      </c>
      <c r="AO300" s="96" t="str">
        <f aca="false">IF(AN300&lt;&gt;"", AN300*AG300,"")</f>
        <v/>
      </c>
      <c r="AP300" s="96" t="str">
        <f aca="false">IF($AE300=Constants!$B$7,IF($AP$6=0,Constants!$B$8,Constants!$B$8*AB300/$AP$6),"")</f>
        <v/>
      </c>
      <c r="AQ300" s="96" t="str">
        <f aca="false">IF($AE300&lt;&gt;Constants!$B$7,$AE300,AK300+AO300+AP300)</f>
        <v/>
      </c>
      <c r="AR300" s="96" t="str">
        <f aca="false">IF(ISBLANK($C300),"",IF($AE300=Constants!$B$7,RANK(AQ300,$AQ$8:$AQ$507),$AE300))</f>
        <v/>
      </c>
      <c r="AS300" s="96" t="str">
        <f aca="false">IF(ISBLANK($C300), "",AK300)</f>
        <v/>
      </c>
      <c r="AT300" s="96" t="str">
        <f aca="false">IF(ISBLANK($C300),"",IF($AE300=Constants!$B$7,RANK(AS300,AS$8:AS$507),$AE300))</f>
        <v/>
      </c>
      <c r="AU300" s="96" t="str">
        <f aca="false">IF(ISBLANK($C300), "",AP300)</f>
        <v/>
      </c>
      <c r="AV300" s="96" t="str">
        <f aca="false">IF(ISBLANK($C300),"",IF($AE300=Constants!$B$7,RANK(AU300,AU$8:AU$507),$AE300))</f>
        <v/>
      </c>
      <c r="AW300" s="96" t="str">
        <f aca="false">IF(ISBLANK($C300), "",AC300)</f>
        <v/>
      </c>
      <c r="AX300" s="96" t="str">
        <f aca="false">IF(ISBLANK($C300),"",
IF($AE300=Constants!$B$7,
  COUNTIFS($AR$8:$AR$507,"&lt;"&amp;$AR300)
  + COUNTIFS($AR$8:$AR$507,$AR300,$AT$8:$AT$507,"&lt;"&amp;$AT300)
  + COUNTIFS($AR$8:$AR$507,$AR300,$AT$8:$AT$507,$AT300,$AV$8:$AV$507,"&lt;"&amp;$AV300)
  + COUNTIFS($AR$8:$AR$507,$AR300,$AT$8:$AT$507,$AT300,$AV$8:$AV$507,$AV300,$AW$8:$AW$507,"&lt;"&amp;$AW300)
  + 1,
$AE300))</f>
        <v/>
      </c>
      <c r="AY300" s="96" t="str">
        <f aca="false">IF(ISBLANK(C300),"",IF($AE300=Constants!$B$7, AR300-AX300,$AE300))</f>
        <v/>
      </c>
      <c r="AZ300" s="100"/>
      <c r="BA300" s="101" t="str">
        <f aca="false">IF(ISBLANK($C300),"",TRIM(AI300&amp;" "&amp;AM300))</f>
        <v/>
      </c>
      <c r="BB300" s="102" t="str">
        <f aca="false">IF(ISBLANK($C300),"",IF($AE300&lt;&gt;Constants!$B$7, $AE300 ,AQ300))</f>
        <v/>
      </c>
      <c r="BC300" s="103" t="str">
        <f aca="false">IF(ISBLANK($C300),"",IF($AE300&lt;&gt;Constants!$B$7, $AE300 ,AF300))</f>
        <v/>
      </c>
      <c r="BD300" s="104" t="str">
        <f aca="false">IF(ISBLANK(C300),"",AY300)</f>
        <v/>
      </c>
      <c r="BE300" s="104" t="str">
        <f aca="false">IF(ISBLANK(C300),"",AX300)</f>
        <v/>
      </c>
      <c r="BF300" s="105" t="str">
        <f aca="false">IF(ISBLANK(C300),"",IFERROR(_xlfn.SWITCH(BE300, Constants!$B$4, COUNTA($C$8:$C799)+2, Constants!$B$5, COUNTA($C$8:$C799)+1, Constants!$B$6, COUNTA($C$8:$C799)),BE300))</f>
        <v/>
      </c>
      <c r="BG300" s="5"/>
      <c r="BH300" s="106" t="n">
        <f aca="false">IF(OR(ISNUMBER(BE300),BE300="DQ",BE300="P",BE300="NS"),
    1,
    0
)</f>
        <v>0</v>
      </c>
      <c r="BI300" s="106" t="n">
        <v>293</v>
      </c>
      <c r="BJ300" s="106" t="str">
        <f aca="false">IF(ISBLANK($C300),
    "",
   BF300+ROW($B300)/1000
)</f>
        <v/>
      </c>
      <c r="BK300" s="106" t="str">
        <f aca="false">IF(ISNUMBER(BJ300), RANK(BJ300,BJ$8:BJ$507,1), "")</f>
        <v/>
      </c>
      <c r="BL300" s="106" t="str">
        <f aca="false">IF(ISBLANK($C300),
    "",
    $B300
)</f>
        <v/>
      </c>
      <c r="BM300" s="106" t="str">
        <f aca="false">IF(ISBLANK($C300),
    "",
    $C300
)</f>
        <v/>
      </c>
      <c r="BN300" s="106" t="str">
        <f aca="false">IF(ISBLANK($C300),
    "",
    $D300
)</f>
        <v/>
      </c>
      <c r="BO300" s="107" t="str">
        <f aca="false">BC300</f>
        <v/>
      </c>
      <c r="BP300" s="108" t="str">
        <f aca="false">BB300</f>
        <v/>
      </c>
      <c r="BQ300" s="106" t="str">
        <f aca="false">IF(ISBLANK($C300),
    "",
    BE300
)</f>
        <v/>
      </c>
      <c r="BR300" s="109" t="str">
        <f aca="false">IF(BI300&gt;BH$7,
    "",
    VLOOKUP(BI300,BK$8:BQ799,7,FALSE())
)</f>
        <v/>
      </c>
      <c r="BS300" s="110" t="str">
        <f aca="false">IF(BI300&gt;BH$7,
    "",
    VLOOKUP(BI300,BK$8:BQ799,2,FALSE())
)</f>
        <v/>
      </c>
      <c r="BT300" s="110" t="str">
        <f aca="false">IF(BI300&gt;BH$7,
    "",
    VLOOKUP(BI300,BK$8:BQ799,3,FALSE())
)</f>
        <v/>
      </c>
      <c r="BU300" s="110" t="str">
        <f aca="false">IF(BI300&gt;BH$7,
    "",
    VLOOKUP(BI300,BK$8:BQ799,4,FALSE())
)</f>
        <v/>
      </c>
      <c r="BV300" s="110" t="str">
        <f aca="false">IF(BI300&gt;BH$7,
    "",
    VLOOKUP(BI300,BK$8:BQ799,5,FALSE())
)</f>
        <v/>
      </c>
      <c r="BW300" s="111" t="str">
        <f aca="false">IF(BI300&gt;BH$7,
    "",
    VLOOKUP(BI300,BK$8:BQ799,6,FALSE())
)</f>
        <v/>
      </c>
      <c r="BX300" s="50"/>
    </row>
    <row r="301" customFormat="false" ht="15.75" hidden="false" customHeight="false" outlineLevel="0" collapsed="false">
      <c r="A301" s="5"/>
      <c r="B301" s="122"/>
      <c r="C301" s="123"/>
      <c r="D301" s="112"/>
      <c r="E301" s="116"/>
      <c r="F301" s="116"/>
      <c r="G301" s="88"/>
      <c r="H301" s="89"/>
      <c r="I301" s="125"/>
      <c r="J301" s="125"/>
      <c r="K301" s="125"/>
      <c r="L301" s="91"/>
      <c r="M301" s="91"/>
      <c r="N301" s="91"/>
      <c r="O301" s="92"/>
      <c r="P301" s="93"/>
      <c r="Q301" s="125"/>
      <c r="R301" s="95"/>
      <c r="S301" s="96"/>
      <c r="T301" s="96" t="str">
        <f aca="false">IF(ISBLANK($C301),"",IF(G301=Constants!$B$2, TRUE(), IF(G301=Constants!$B$3, FALSE(), TRUE())))</f>
        <v/>
      </c>
      <c r="U301" s="96" t="str">
        <f aca="false">IF(ISBLANK($C301),"",IF(H301=Constants!$B$2, TRUE(), IF(H301=Constants!$B$3, FALSE(), TRUE())))</f>
        <v/>
      </c>
      <c r="V301" s="96" t="str">
        <f aca="false">IF(ISBLANK($C301),"",IF(I301=Constants!$B$2, TRUE(), IF(I301=Constants!$B$3, FALSE(), TRUE())))</f>
        <v/>
      </c>
      <c r="W301" s="96" t="str">
        <f aca="false">IF(ISBLANK($C301),"",IF(J301=Constants!$B$2, TRUE(), IF(J301=Constants!$B$3, FALSE(), TRUE())))</f>
        <v/>
      </c>
      <c r="X301" s="97" t="str">
        <f aca="false">IF(ISBLANK($C301),"",IF(K301=Constants!$B$2, TRUE(), IF(K301=Constants!$B$3, FALSE(), TRUE())))</f>
        <v/>
      </c>
      <c r="Y301" s="98" t="str">
        <f aca="false">IF(ISBLANK($C301),"",IF(ISNUMBER(L301), L301, ""))</f>
        <v/>
      </c>
      <c r="Z301" s="98" t="str">
        <f aca="false">IF(ISBLANK($C301),"",IF(ISNUMBER(M301), M301, ""))</f>
        <v/>
      </c>
      <c r="AA301" s="98" t="str">
        <f aca="false">IF(ISBLANK($C301),"",IF(ISNUMBER(N301), N301, ""))</f>
        <v/>
      </c>
      <c r="AB301" s="99" t="str">
        <f aca="false">IF(ISBLANK($C301),"",IF(ISNUMBER(O301), O301, ""))</f>
        <v/>
      </c>
      <c r="AC301" s="99" t="str">
        <f aca="false">IF(ISBLANK($C301),"",IF(ISNUMBER(P301), P301, Constants!$B$13))</f>
        <v/>
      </c>
      <c r="AD301" s="96" t="str">
        <f aca="false">IF(ISBLANK($C301),"",IF(Q301=Constants!$B$2, TRUE(), IF(Q301=Constants!$B$3, FALSE(), FALSE())))</f>
        <v/>
      </c>
      <c r="AE301" s="96" t="str">
        <f aca="false">IF(ISBLANK(C301), "", IF(AD301, Constants!$B$4,IF(COUNTA(G301:O301)=0, Constants!$B$5, Constants!$B$7)))</f>
        <v/>
      </c>
      <c r="AF301" s="96" t="str">
        <f aca="false">IF(ISBLANK($C301), "",IF($AE301=Constants!$B$7,1,$AE301))</f>
        <v/>
      </c>
      <c r="AG301" s="96" t="str">
        <f aca="false">IF($AE301=Constants!$B$7,IF(V301, 1, Constants!$B$11) * IF(X301, 1, Constants!$B$12),"")</f>
        <v/>
      </c>
      <c r="AH301" s="96" t="str">
        <f aca="false">IF(AND($AE301=Constants!$B$7, T301, U301) ,MAX(0, $AA301-$Y301),"")</f>
        <v/>
      </c>
      <c r="AI301" s="96" t="str">
        <f aca="false">IF(ISERROR(AH301),$AI$6,"")</f>
        <v/>
      </c>
      <c r="AJ301" s="96" t="str">
        <f aca="false">IF($AE301=Constants!$B$7,IF(AND(T301,U301,W301),IF($AH$6=0,Constants!$B$9,Constants!$B$9*AH301/$AH$6), 0),"")</f>
        <v/>
      </c>
      <c r="AK301" s="96" t="str">
        <f aca="false">IF(AJ301&lt;&gt;"", AJ301*AG301,"")</f>
        <v/>
      </c>
      <c r="AL301" s="96" t="str">
        <f aca="false">IF(AND($AE301=Constants!$B$7, T301, U301) ,IF($Z301="", "", MAX(0,1-ABS($AA301-$Z301)/$AA301)),"")</f>
        <v/>
      </c>
      <c r="AM301" s="96" t="str">
        <f aca="false">IF(AND(NOT(ISERROR(AH301)),ISERROR(AL301)),$AM$6,"")</f>
        <v/>
      </c>
      <c r="AN301" s="96" t="str">
        <f aca="false">IF($AE301=Constants!$B$7 ,IF(AND(T301,U301,W301,ISNUMBER(Z301)),IF($AL$6=0,Constants!$B$10,Constants!$B$10*AL301/$AL$6), 0),"")</f>
        <v/>
      </c>
      <c r="AO301" s="96" t="str">
        <f aca="false">IF(AN301&lt;&gt;"", AN301*AG301,"")</f>
        <v/>
      </c>
      <c r="AP301" s="96" t="str">
        <f aca="false">IF($AE301=Constants!$B$7,IF($AP$6=0,Constants!$B$8,Constants!$B$8*AB301/$AP$6),"")</f>
        <v/>
      </c>
      <c r="AQ301" s="96" t="str">
        <f aca="false">IF($AE301&lt;&gt;Constants!$B$7,$AE301,AK301+AO301+AP301)</f>
        <v/>
      </c>
      <c r="AR301" s="96" t="str">
        <f aca="false">IF(ISBLANK($C301),"",IF($AE301=Constants!$B$7,RANK(AQ301,$AQ$8:$AQ$507),$AE301))</f>
        <v/>
      </c>
      <c r="AS301" s="96" t="str">
        <f aca="false">IF(ISBLANK($C301), "",AK301)</f>
        <v/>
      </c>
      <c r="AT301" s="96" t="str">
        <f aca="false">IF(ISBLANK($C301),"",IF($AE301=Constants!$B$7,RANK(AS301,AS$8:AS$507),$AE301))</f>
        <v/>
      </c>
      <c r="AU301" s="96" t="str">
        <f aca="false">IF(ISBLANK($C301), "",AP301)</f>
        <v/>
      </c>
      <c r="AV301" s="96" t="str">
        <f aca="false">IF(ISBLANK($C301),"",IF($AE301=Constants!$B$7,RANK(AU301,AU$8:AU$507),$AE301))</f>
        <v/>
      </c>
      <c r="AW301" s="96" t="str">
        <f aca="false">IF(ISBLANK($C301), "",AC301)</f>
        <v/>
      </c>
      <c r="AX301" s="96" t="str">
        <f aca="false">IF(ISBLANK($C301),"",
IF($AE301=Constants!$B$7,
  COUNTIFS($AR$8:$AR$507,"&lt;"&amp;$AR301)
  + COUNTIFS($AR$8:$AR$507,$AR301,$AT$8:$AT$507,"&lt;"&amp;$AT301)
  + COUNTIFS($AR$8:$AR$507,$AR301,$AT$8:$AT$507,$AT301,$AV$8:$AV$507,"&lt;"&amp;$AV301)
  + COUNTIFS($AR$8:$AR$507,$AR301,$AT$8:$AT$507,$AT301,$AV$8:$AV$507,$AV301,$AW$8:$AW$507,"&lt;"&amp;$AW301)
  + 1,
$AE301))</f>
        <v/>
      </c>
      <c r="AY301" s="96" t="str">
        <f aca="false">IF(ISBLANK(C301),"",IF($AE301=Constants!$B$7, AR301-AX301,$AE301))</f>
        <v/>
      </c>
      <c r="AZ301" s="100"/>
      <c r="BA301" s="101" t="str">
        <f aca="false">IF(ISBLANK($C301),"",TRIM(AI301&amp;" "&amp;AM301))</f>
        <v/>
      </c>
      <c r="BB301" s="102" t="str">
        <f aca="false">IF(ISBLANK($C301),"",IF($AE301&lt;&gt;Constants!$B$7, $AE301 ,AQ301))</f>
        <v/>
      </c>
      <c r="BC301" s="103" t="str">
        <f aca="false">IF(ISBLANK($C301),"",IF($AE301&lt;&gt;Constants!$B$7, $AE301 ,AF301))</f>
        <v/>
      </c>
      <c r="BD301" s="104" t="str">
        <f aca="false">IF(ISBLANK(C301),"",AY301)</f>
        <v/>
      </c>
      <c r="BE301" s="104" t="str">
        <f aca="false">IF(ISBLANK(C301),"",AX301)</f>
        <v/>
      </c>
      <c r="BF301" s="105" t="str">
        <f aca="false">IF(ISBLANK(C301),"",IFERROR(_xlfn.SWITCH(BE301, Constants!$B$4, COUNTA($C$8:$C800)+2, Constants!$B$5, COUNTA($C$8:$C800)+1, Constants!$B$6, COUNTA($C$8:$C800)),BE301))</f>
        <v/>
      </c>
      <c r="BG301" s="5"/>
      <c r="BH301" s="106" t="n">
        <f aca="false">IF(OR(ISNUMBER(BE301),BE301="DQ",BE301="P",BE301="NS"),
    1,
    0
)</f>
        <v>0</v>
      </c>
      <c r="BI301" s="106" t="n">
        <v>294</v>
      </c>
      <c r="BJ301" s="106" t="str">
        <f aca="false">IF(ISBLANK($C301),
    "",
   BF301+ROW($B301)/1000
)</f>
        <v/>
      </c>
      <c r="BK301" s="106" t="str">
        <f aca="false">IF(ISNUMBER(BJ301), RANK(BJ301,BJ$8:BJ$507,1), "")</f>
        <v/>
      </c>
      <c r="BL301" s="106" t="str">
        <f aca="false">IF(ISBLANK($C301),
    "",
    $B301
)</f>
        <v/>
      </c>
      <c r="BM301" s="106" t="str">
        <f aca="false">IF(ISBLANK($C301),
    "",
    $C301
)</f>
        <v/>
      </c>
      <c r="BN301" s="106" t="str">
        <f aca="false">IF(ISBLANK($C301),
    "",
    $D301
)</f>
        <v/>
      </c>
      <c r="BO301" s="107" t="str">
        <f aca="false">BC301</f>
        <v/>
      </c>
      <c r="BP301" s="108" t="str">
        <f aca="false">BB301</f>
        <v/>
      </c>
      <c r="BQ301" s="106" t="str">
        <f aca="false">IF(ISBLANK($C301),
    "",
    BE301
)</f>
        <v/>
      </c>
      <c r="BR301" s="109" t="str">
        <f aca="false">IF(BI301&gt;BH$7,
    "",
    VLOOKUP(BI301,BK$8:BQ800,7,FALSE())
)</f>
        <v/>
      </c>
      <c r="BS301" s="110" t="str">
        <f aca="false">IF(BI301&gt;BH$7,
    "",
    VLOOKUP(BI301,BK$8:BQ800,2,FALSE())
)</f>
        <v/>
      </c>
      <c r="BT301" s="110" t="str">
        <f aca="false">IF(BI301&gt;BH$7,
    "",
    VLOOKUP(BI301,BK$8:BQ800,3,FALSE())
)</f>
        <v/>
      </c>
      <c r="BU301" s="110" t="str">
        <f aca="false">IF(BI301&gt;BH$7,
    "",
    VLOOKUP(BI301,BK$8:BQ800,4,FALSE())
)</f>
        <v/>
      </c>
      <c r="BV301" s="110" t="str">
        <f aca="false">IF(BI301&gt;BH$7,
    "",
    VLOOKUP(BI301,BK$8:BQ800,5,FALSE())
)</f>
        <v/>
      </c>
      <c r="BW301" s="111" t="str">
        <f aca="false">IF(BI301&gt;BH$7,
    "",
    VLOOKUP(BI301,BK$8:BQ800,6,FALSE())
)</f>
        <v/>
      </c>
      <c r="BX301" s="50"/>
    </row>
    <row r="302" customFormat="false" ht="15.75" hidden="false" customHeight="false" outlineLevel="0" collapsed="false">
      <c r="A302" s="5"/>
      <c r="B302" s="126"/>
      <c r="C302" s="52"/>
      <c r="D302" s="53"/>
      <c r="E302" s="120"/>
      <c r="F302" s="120"/>
      <c r="G302" s="55"/>
      <c r="H302" s="56"/>
      <c r="I302" s="80"/>
      <c r="J302" s="80"/>
      <c r="K302" s="80"/>
      <c r="L302" s="58"/>
      <c r="M302" s="58"/>
      <c r="N302" s="58"/>
      <c r="O302" s="59"/>
      <c r="P302" s="60"/>
      <c r="Q302" s="80"/>
      <c r="R302" s="62"/>
      <c r="S302" s="63"/>
      <c r="T302" s="63" t="str">
        <f aca="false">IF(ISBLANK($C302),"",IF(G302=Constants!$B$2, TRUE(), IF(G302=Constants!$B$3, FALSE(), TRUE())))</f>
        <v/>
      </c>
      <c r="U302" s="63" t="str">
        <f aca="false">IF(ISBLANK($C302),"",IF(H302=Constants!$B$2, TRUE(), IF(H302=Constants!$B$3, FALSE(), TRUE())))</f>
        <v/>
      </c>
      <c r="V302" s="63" t="str">
        <f aca="false">IF(ISBLANK($C302),"",IF(I302=Constants!$B$2, TRUE(), IF(I302=Constants!$B$3, FALSE(), TRUE())))</f>
        <v/>
      </c>
      <c r="W302" s="63" t="str">
        <f aca="false">IF(ISBLANK($C302),"",IF(J302=Constants!$B$2, TRUE(), IF(J302=Constants!$B$3, FALSE(), TRUE())))</f>
        <v/>
      </c>
      <c r="X302" s="63" t="str">
        <f aca="false">IF(ISBLANK($C302),"",IF(K302=Constants!$B$2, TRUE(), IF(K302=Constants!$B$3, FALSE(), TRUE())))</f>
        <v/>
      </c>
      <c r="Y302" s="65" t="str">
        <f aca="false">IF(ISBLANK($C302),"",IF(ISNUMBER(L302), L302, ""))</f>
        <v/>
      </c>
      <c r="Z302" s="65" t="str">
        <f aca="false">IF(ISBLANK($C302),"",IF(ISNUMBER(M302), M302, ""))</f>
        <v/>
      </c>
      <c r="AA302" s="65" t="str">
        <f aca="false">IF(ISBLANK($C302),"",IF(ISNUMBER(N302), N302, ""))</f>
        <v/>
      </c>
      <c r="AB302" s="66" t="str">
        <f aca="false">IF(ISBLANK($C302),"",IF(ISNUMBER(O302), O302, ""))</f>
        <v/>
      </c>
      <c r="AC302" s="66" t="str">
        <f aca="false">IF(ISBLANK($C302),"",IF(ISNUMBER(P302), P302, Constants!$B$13))</f>
        <v/>
      </c>
      <c r="AD302" s="63" t="str">
        <f aca="false">IF(ISBLANK($C302),"",IF(Q302=Constants!$B$2, TRUE(), IF(Q302=Constants!$B$3, FALSE(), FALSE())))</f>
        <v/>
      </c>
      <c r="AE302" s="63" t="str">
        <f aca="false">IF(ISBLANK(C302), "", IF(AD302, Constants!$B$4,IF(COUNTA(G302:O302)=0, Constants!$B$5, Constants!$B$7)))</f>
        <v/>
      </c>
      <c r="AF302" s="63" t="str">
        <f aca="false">IF(ISBLANK($C302), "",IF($AE302=Constants!$B$7,1,$AE302))</f>
        <v/>
      </c>
      <c r="AG302" s="63" t="str">
        <f aca="false">IF($AE302=Constants!$B$7,IF(V302, 1, Constants!$B$11) * IF(X302, 1, Constants!$B$12),"")</f>
        <v/>
      </c>
      <c r="AH302" s="63" t="str">
        <f aca="false">IF(AND($AE302=Constants!$B$7, T302, U302) ,MAX(0, $AA302-$Y302),"")</f>
        <v/>
      </c>
      <c r="AI302" s="63" t="str">
        <f aca="false">IF(ISERROR(AH302),$AI$6,"")</f>
        <v/>
      </c>
      <c r="AJ302" s="63" t="str">
        <f aca="false">IF($AE302=Constants!$B$7,IF(AND(T302,U302,W302),IF($AH$6=0,Constants!$B$9,Constants!$B$9*AH302/$AH$6), 0),"")</f>
        <v/>
      </c>
      <c r="AK302" s="63" t="str">
        <f aca="false">IF(AJ302&lt;&gt;"", AJ302*AG302,"")</f>
        <v/>
      </c>
      <c r="AL302" s="63" t="str">
        <f aca="false">IF(AND($AE302=Constants!$B$7, T302, U302) ,IF($Z302="", "", MAX(0,1-ABS($AA302-$Z302)/$AA302)),"")</f>
        <v/>
      </c>
      <c r="AM302" s="63" t="str">
        <f aca="false">IF(AND(NOT(ISERROR(AH302)),ISERROR(AL302)),$AM$6,"")</f>
        <v/>
      </c>
      <c r="AN302" s="63" t="str">
        <f aca="false">IF($AE302=Constants!$B$7 ,IF(AND(T302,U302,W302,ISNUMBER(Z302)),IF($AL$6=0,Constants!$B$10,Constants!$B$10*AL302/$AL$6), 0),"")</f>
        <v/>
      </c>
      <c r="AO302" s="63" t="str">
        <f aca="false">IF(AN302&lt;&gt;"", AN302*AG302,"")</f>
        <v/>
      </c>
      <c r="AP302" s="63" t="str">
        <f aca="false">IF($AE302=Constants!$B$7,IF($AP$6=0,Constants!$B$8,Constants!$B$8*AB302/$AP$6),"")</f>
        <v/>
      </c>
      <c r="AQ302" s="63" t="str">
        <f aca="false">IF($AE302&lt;&gt;Constants!$B$7,$AE302,AK302+AO302+AP302)</f>
        <v/>
      </c>
      <c r="AR302" s="63" t="str">
        <f aca="false">IF(ISBLANK($C302),"",IF($AE302=Constants!$B$7,RANK(AQ302,$AQ$8:$AQ$507),$AE302))</f>
        <v/>
      </c>
      <c r="AS302" s="63" t="str">
        <f aca="false">IF(ISBLANK($C302), "",AK302)</f>
        <v/>
      </c>
      <c r="AT302" s="63" t="str">
        <f aca="false">IF(ISBLANK($C302),"",IF($AE302=Constants!$B$7,RANK(AS302,AS$8:AS$507),$AE302))</f>
        <v/>
      </c>
      <c r="AU302" s="63" t="str">
        <f aca="false">IF(ISBLANK($C302), "",AP302)</f>
        <v/>
      </c>
      <c r="AV302" s="63" t="str">
        <f aca="false">IF(ISBLANK($C302),"",IF($AE302=Constants!$B$7,RANK(AU302,AU$8:AU$507),$AE302))</f>
        <v/>
      </c>
      <c r="AW302" s="63" t="str">
        <f aca="false">IF(ISBLANK($C302), "",AC302)</f>
        <v/>
      </c>
      <c r="AX302" s="63" t="str">
        <f aca="false">IF(ISBLANK($C302),"",
IF($AE302=Constants!$B$7,
  COUNTIFS($AR$8:$AR$507,"&lt;"&amp;$AR302)
  + COUNTIFS($AR$8:$AR$507,$AR302,$AT$8:$AT$507,"&lt;"&amp;$AT302)
  + COUNTIFS($AR$8:$AR$507,$AR302,$AT$8:$AT$507,$AT302,$AV$8:$AV$507,"&lt;"&amp;$AV302)
  + COUNTIFS($AR$8:$AR$507,$AR302,$AT$8:$AT$507,$AT302,$AV$8:$AV$507,$AV302,$AW$8:$AW$507,"&lt;"&amp;$AW302)
  + 1,
$AE302))</f>
        <v/>
      </c>
      <c r="AY302" s="63" t="str">
        <f aca="false">IF(ISBLANK(C302),"",IF($AE302=Constants!$B$7, AR302-AX302,$AE302))</f>
        <v/>
      </c>
      <c r="AZ302" s="67"/>
      <c r="BA302" s="81" t="str">
        <f aca="false">IF(ISBLANK($C302),"",TRIM(AI302&amp;" "&amp;AM302))</f>
        <v/>
      </c>
      <c r="BB302" s="69" t="str">
        <f aca="false">IF(ISBLANK($C302),"",IF($AE302&lt;&gt;Constants!$B$7, $AE302 ,AQ302))</f>
        <v/>
      </c>
      <c r="BC302" s="70" t="str">
        <f aca="false">IF(ISBLANK($C302),"",IF($AE302&lt;&gt;Constants!$B$7, $AE302 ,AF302))</f>
        <v/>
      </c>
      <c r="BD302" s="71" t="str">
        <f aca="false">IF(ISBLANK(C302),"",AY302)</f>
        <v/>
      </c>
      <c r="BE302" s="71" t="str">
        <f aca="false">IF(ISBLANK(C302),"",AX302)</f>
        <v/>
      </c>
      <c r="BF302" s="72" t="str">
        <f aca="false">IF(ISBLANK(C302),"",IFERROR(_xlfn.SWITCH(BE302, Constants!$B$4, COUNTA($C$8:$C801)+2, Constants!$B$5, COUNTA($C$8:$C801)+1, Constants!$B$6, COUNTA($C$8:$C801)),BE302))</f>
        <v/>
      </c>
      <c r="BG302" s="5"/>
      <c r="BH302" s="73" t="n">
        <f aca="false">IF(OR(ISNUMBER(BE302),BE302="DQ",BE302="P",BE302="NS"),
    1,
    0
)</f>
        <v>0</v>
      </c>
      <c r="BI302" s="73" t="n">
        <v>295</v>
      </c>
      <c r="BJ302" s="73" t="str">
        <f aca="false">IF(ISBLANK($C302),
    "",
   BF302+ROW($B302)/1000
)</f>
        <v/>
      </c>
      <c r="BK302" s="73" t="str">
        <f aca="false">IF(ISNUMBER(BJ302), RANK(BJ302,BJ$8:BJ$507,1), "")</f>
        <v/>
      </c>
      <c r="BL302" s="73" t="str">
        <f aca="false">IF(ISBLANK($C302),
    "",
    $B302
)</f>
        <v/>
      </c>
      <c r="BM302" s="73" t="str">
        <f aca="false">IF(ISBLANK($C302),
    "",
    $C302
)</f>
        <v/>
      </c>
      <c r="BN302" s="73" t="str">
        <f aca="false">IF(ISBLANK($C302),
    "",
    $D302
)</f>
        <v/>
      </c>
      <c r="BO302" s="74" t="str">
        <f aca="false">BC302</f>
        <v/>
      </c>
      <c r="BP302" s="75" t="str">
        <f aca="false">BB302</f>
        <v/>
      </c>
      <c r="BQ302" s="73" t="str">
        <f aca="false">IF(ISBLANK($C302),
    "",
    BE302
)</f>
        <v/>
      </c>
      <c r="BR302" s="76" t="str">
        <f aca="false">IF(BI302&gt;BH$7,
    "",
    VLOOKUP(BI302,BK$8:BQ801,7,FALSE())
)</f>
        <v/>
      </c>
      <c r="BS302" s="77" t="str">
        <f aca="false">IF(BI302&gt;BH$7,
    "",
    VLOOKUP(BI302,BK$8:BQ801,2,FALSE())
)</f>
        <v/>
      </c>
      <c r="BT302" s="77" t="str">
        <f aca="false">IF(BI302&gt;BH$7,
    "",
    VLOOKUP(BI302,BK$8:BQ801,3,FALSE())
)</f>
        <v/>
      </c>
      <c r="BU302" s="77" t="str">
        <f aca="false">IF(BI302&gt;BH$7,
    "",
    VLOOKUP(BI302,BK$8:BQ801,4,FALSE())
)</f>
        <v/>
      </c>
      <c r="BV302" s="77" t="str">
        <f aca="false">IF(BI302&gt;BH$7,
    "",
    VLOOKUP(BI302,BK$8:BQ801,5,FALSE())
)</f>
        <v/>
      </c>
      <c r="BW302" s="78" t="str">
        <f aca="false">IF(BI302&gt;BH$7,
    "",
    VLOOKUP(BI302,BK$8:BQ801,6,FALSE())
)</f>
        <v/>
      </c>
      <c r="BX302" s="50"/>
    </row>
    <row r="303" customFormat="false" ht="15.75" hidden="false" customHeight="false" outlineLevel="0" collapsed="false">
      <c r="A303" s="5"/>
      <c r="B303" s="126"/>
      <c r="C303" s="52"/>
      <c r="D303" s="53"/>
      <c r="E303" s="120"/>
      <c r="F303" s="120"/>
      <c r="G303" s="55"/>
      <c r="H303" s="56"/>
      <c r="I303" s="80"/>
      <c r="J303" s="80"/>
      <c r="K303" s="80"/>
      <c r="L303" s="58"/>
      <c r="M303" s="58"/>
      <c r="N303" s="58"/>
      <c r="O303" s="59"/>
      <c r="P303" s="60"/>
      <c r="Q303" s="80"/>
      <c r="R303" s="62"/>
      <c r="S303" s="63"/>
      <c r="T303" s="63" t="str">
        <f aca="false">IF(ISBLANK($C303),"",IF(G303=Constants!$B$2, TRUE(), IF(G303=Constants!$B$3, FALSE(), TRUE())))</f>
        <v/>
      </c>
      <c r="U303" s="63" t="str">
        <f aca="false">IF(ISBLANK($C303),"",IF(H303=Constants!$B$2, TRUE(), IF(H303=Constants!$B$3, FALSE(), TRUE())))</f>
        <v/>
      </c>
      <c r="V303" s="63" t="str">
        <f aca="false">IF(ISBLANK($C303),"",IF(I303=Constants!$B$2, TRUE(), IF(I303=Constants!$B$3, FALSE(), TRUE())))</f>
        <v/>
      </c>
      <c r="W303" s="63" t="str">
        <f aca="false">IF(ISBLANK($C303),"",IF(J303=Constants!$B$2, TRUE(), IF(J303=Constants!$B$3, FALSE(), TRUE())))</f>
        <v/>
      </c>
      <c r="X303" s="63" t="str">
        <f aca="false">IF(ISBLANK($C303),"",IF(K303=Constants!$B$2, TRUE(), IF(K303=Constants!$B$3, FALSE(), TRUE())))</f>
        <v/>
      </c>
      <c r="Y303" s="65" t="str">
        <f aca="false">IF(ISBLANK($C303),"",IF(ISNUMBER(L303), L303, ""))</f>
        <v/>
      </c>
      <c r="Z303" s="65" t="str">
        <f aca="false">IF(ISBLANK($C303),"",IF(ISNUMBER(M303), M303, ""))</f>
        <v/>
      </c>
      <c r="AA303" s="65" t="str">
        <f aca="false">IF(ISBLANK($C303),"",IF(ISNUMBER(N303), N303, ""))</f>
        <v/>
      </c>
      <c r="AB303" s="66" t="str">
        <f aca="false">IF(ISBLANK($C303),"",IF(ISNUMBER(O303), O303, ""))</f>
        <v/>
      </c>
      <c r="AC303" s="66" t="str">
        <f aca="false">IF(ISBLANK($C303),"",IF(ISNUMBER(P303), P303, Constants!$B$13))</f>
        <v/>
      </c>
      <c r="AD303" s="63" t="str">
        <f aca="false">IF(ISBLANK($C303),"",IF(Q303=Constants!$B$2, TRUE(), IF(Q303=Constants!$B$3, FALSE(), FALSE())))</f>
        <v/>
      </c>
      <c r="AE303" s="63" t="str">
        <f aca="false">IF(ISBLANK(C303), "", IF(AD303, Constants!$B$4,IF(COUNTA(G303:O303)=0, Constants!$B$5, Constants!$B$7)))</f>
        <v/>
      </c>
      <c r="AF303" s="63" t="str">
        <f aca="false">IF(ISBLANK($C303), "",IF($AE303=Constants!$B$7,1,$AE303))</f>
        <v/>
      </c>
      <c r="AG303" s="63" t="str">
        <f aca="false">IF($AE303=Constants!$B$7,IF(V303, 1, Constants!$B$11) * IF(X303, 1, Constants!$B$12),"")</f>
        <v/>
      </c>
      <c r="AH303" s="63" t="str">
        <f aca="false">IF(AND($AE303=Constants!$B$7, T303, U303) ,MAX(0, $AA303-$Y303),"")</f>
        <v/>
      </c>
      <c r="AI303" s="63" t="str">
        <f aca="false">IF(ISERROR(AH303),$AI$6,"")</f>
        <v/>
      </c>
      <c r="AJ303" s="63" t="str">
        <f aca="false">IF($AE303=Constants!$B$7,IF(AND(T303,U303,W303),IF($AH$6=0,Constants!$B$9,Constants!$B$9*AH303/$AH$6), 0),"")</f>
        <v/>
      </c>
      <c r="AK303" s="63" t="str">
        <f aca="false">IF(AJ303&lt;&gt;"", AJ303*AG303,"")</f>
        <v/>
      </c>
      <c r="AL303" s="63" t="str">
        <f aca="false">IF(AND($AE303=Constants!$B$7, T303, U303) ,IF($Z303="", "", MAX(0,1-ABS($AA303-$Z303)/$AA303)),"")</f>
        <v/>
      </c>
      <c r="AM303" s="63" t="str">
        <f aca="false">IF(AND(NOT(ISERROR(AH303)),ISERROR(AL303)),$AM$6,"")</f>
        <v/>
      </c>
      <c r="AN303" s="63" t="str">
        <f aca="false">IF($AE303=Constants!$B$7 ,IF(AND(T303,U303,W303,ISNUMBER(Z303)),IF($AL$6=0,Constants!$B$10,Constants!$B$10*AL303/$AL$6), 0),"")</f>
        <v/>
      </c>
      <c r="AO303" s="63" t="str">
        <f aca="false">IF(AN303&lt;&gt;"", AN303*AG303,"")</f>
        <v/>
      </c>
      <c r="AP303" s="63" t="str">
        <f aca="false">IF($AE303=Constants!$B$7,IF($AP$6=0,Constants!$B$8,Constants!$B$8*AB303/$AP$6),"")</f>
        <v/>
      </c>
      <c r="AQ303" s="63" t="str">
        <f aca="false">IF($AE303&lt;&gt;Constants!$B$7,$AE303,AK303+AO303+AP303)</f>
        <v/>
      </c>
      <c r="AR303" s="63" t="str">
        <f aca="false">IF(ISBLANK($C303),"",IF($AE303=Constants!$B$7,RANK(AQ303,$AQ$8:$AQ$507),$AE303))</f>
        <v/>
      </c>
      <c r="AS303" s="63" t="str">
        <f aca="false">IF(ISBLANK($C303), "",AK303)</f>
        <v/>
      </c>
      <c r="AT303" s="63" t="str">
        <f aca="false">IF(ISBLANK($C303),"",IF($AE303=Constants!$B$7,RANK(AS303,AS$8:AS$507),$AE303))</f>
        <v/>
      </c>
      <c r="AU303" s="63" t="str">
        <f aca="false">IF(ISBLANK($C303), "",AP303)</f>
        <v/>
      </c>
      <c r="AV303" s="63" t="str">
        <f aca="false">IF(ISBLANK($C303),"",IF($AE303=Constants!$B$7,RANK(AU303,AU$8:AU$507),$AE303))</f>
        <v/>
      </c>
      <c r="AW303" s="63" t="str">
        <f aca="false">IF(ISBLANK($C303), "",AC303)</f>
        <v/>
      </c>
      <c r="AX303" s="63" t="str">
        <f aca="false">IF(ISBLANK($C303),"",
IF($AE303=Constants!$B$7,
  COUNTIFS($AR$8:$AR$507,"&lt;"&amp;$AR303)
  + COUNTIFS($AR$8:$AR$507,$AR303,$AT$8:$AT$507,"&lt;"&amp;$AT303)
  + COUNTIFS($AR$8:$AR$507,$AR303,$AT$8:$AT$507,$AT303,$AV$8:$AV$507,"&lt;"&amp;$AV303)
  + COUNTIFS($AR$8:$AR$507,$AR303,$AT$8:$AT$507,$AT303,$AV$8:$AV$507,$AV303,$AW$8:$AW$507,"&lt;"&amp;$AW303)
  + 1,
$AE303))</f>
        <v/>
      </c>
      <c r="AY303" s="63" t="str">
        <f aca="false">IF(ISBLANK(C303),"",IF($AE303=Constants!$B$7, AR303-AX303,$AE303))</f>
        <v/>
      </c>
      <c r="AZ303" s="67"/>
      <c r="BA303" s="81" t="str">
        <f aca="false">IF(ISBLANK($C303),"",TRIM(AI303&amp;" "&amp;AM303))</f>
        <v/>
      </c>
      <c r="BB303" s="69" t="str">
        <f aca="false">IF(ISBLANK($C303),"",IF($AE303&lt;&gt;Constants!$B$7, $AE303 ,AQ303))</f>
        <v/>
      </c>
      <c r="BC303" s="70" t="str">
        <f aca="false">IF(ISBLANK($C303),"",IF($AE303&lt;&gt;Constants!$B$7, $AE303 ,AF303))</f>
        <v/>
      </c>
      <c r="BD303" s="71" t="str">
        <f aca="false">IF(ISBLANK(C303),"",AY303)</f>
        <v/>
      </c>
      <c r="BE303" s="71" t="str">
        <f aca="false">IF(ISBLANK(C303),"",AX303)</f>
        <v/>
      </c>
      <c r="BF303" s="72" t="str">
        <f aca="false">IF(ISBLANK(C303),"",IFERROR(_xlfn.SWITCH(BE303, Constants!$B$4, COUNTA($C$8:$C802)+2, Constants!$B$5, COUNTA($C$8:$C802)+1, Constants!$B$6, COUNTA($C$8:$C802)),BE303))</f>
        <v/>
      </c>
      <c r="BG303" s="5"/>
      <c r="BH303" s="73" t="n">
        <f aca="false">IF(OR(ISNUMBER(BE303),BE303="DQ",BE303="P",BE303="NS"),
    1,
    0
)</f>
        <v>0</v>
      </c>
      <c r="BI303" s="73" t="n">
        <v>296</v>
      </c>
      <c r="BJ303" s="73" t="str">
        <f aca="false">IF(ISBLANK($C303),
    "",
   BF303+ROW($B303)/1000
)</f>
        <v/>
      </c>
      <c r="BK303" s="73" t="str">
        <f aca="false">IF(ISNUMBER(BJ303), RANK(BJ303,BJ$8:BJ$507,1), "")</f>
        <v/>
      </c>
      <c r="BL303" s="73" t="str">
        <f aca="false">IF(ISBLANK($C303),
    "",
    $B303
)</f>
        <v/>
      </c>
      <c r="BM303" s="73" t="str">
        <f aca="false">IF(ISBLANK($C303),
    "",
    $C303
)</f>
        <v/>
      </c>
      <c r="BN303" s="73" t="str">
        <f aca="false">IF(ISBLANK($C303),
    "",
    $D303
)</f>
        <v/>
      </c>
      <c r="BO303" s="74" t="str">
        <f aca="false">BC303</f>
        <v/>
      </c>
      <c r="BP303" s="75" t="str">
        <f aca="false">BB303</f>
        <v/>
      </c>
      <c r="BQ303" s="73" t="str">
        <f aca="false">IF(ISBLANK($C303),
    "",
    BE303
)</f>
        <v/>
      </c>
      <c r="BR303" s="76" t="str">
        <f aca="false">IF(BI303&gt;BH$7,
    "",
    VLOOKUP(BI303,BK$8:BQ802,7,FALSE())
)</f>
        <v/>
      </c>
      <c r="BS303" s="77" t="str">
        <f aca="false">IF(BI303&gt;BH$7,
    "",
    VLOOKUP(BI303,BK$8:BQ802,2,FALSE())
)</f>
        <v/>
      </c>
      <c r="BT303" s="77" t="str">
        <f aca="false">IF(BI303&gt;BH$7,
    "",
    VLOOKUP(BI303,BK$8:BQ802,3,FALSE())
)</f>
        <v/>
      </c>
      <c r="BU303" s="77" t="str">
        <f aca="false">IF(BI303&gt;BH$7,
    "",
    VLOOKUP(BI303,BK$8:BQ802,4,FALSE())
)</f>
        <v/>
      </c>
      <c r="BV303" s="77" t="str">
        <f aca="false">IF(BI303&gt;BH$7,
    "",
    VLOOKUP(BI303,BK$8:BQ802,5,FALSE())
)</f>
        <v/>
      </c>
      <c r="BW303" s="78" t="str">
        <f aca="false">IF(BI303&gt;BH$7,
    "",
    VLOOKUP(BI303,BK$8:BQ802,6,FALSE())
)</f>
        <v/>
      </c>
      <c r="BX303" s="50"/>
    </row>
    <row r="304" customFormat="false" ht="15.75" hidden="false" customHeight="false" outlineLevel="0" collapsed="false">
      <c r="A304" s="5"/>
      <c r="B304" s="126"/>
      <c r="C304" s="52"/>
      <c r="D304" s="53"/>
      <c r="E304" s="120"/>
      <c r="F304" s="120"/>
      <c r="G304" s="55"/>
      <c r="H304" s="56"/>
      <c r="I304" s="80"/>
      <c r="J304" s="80"/>
      <c r="K304" s="80"/>
      <c r="L304" s="58"/>
      <c r="M304" s="58"/>
      <c r="N304" s="58"/>
      <c r="O304" s="59"/>
      <c r="P304" s="60"/>
      <c r="Q304" s="80"/>
      <c r="R304" s="62"/>
      <c r="S304" s="63"/>
      <c r="T304" s="63" t="str">
        <f aca="false">IF(ISBLANK($C304),"",IF(G304=Constants!$B$2, TRUE(), IF(G304=Constants!$B$3, FALSE(), TRUE())))</f>
        <v/>
      </c>
      <c r="U304" s="63" t="str">
        <f aca="false">IF(ISBLANK($C304),"",IF(H304=Constants!$B$2, TRUE(), IF(H304=Constants!$B$3, FALSE(), TRUE())))</f>
        <v/>
      </c>
      <c r="V304" s="63" t="str">
        <f aca="false">IF(ISBLANK($C304),"",IF(I304=Constants!$B$2, TRUE(), IF(I304=Constants!$B$3, FALSE(), TRUE())))</f>
        <v/>
      </c>
      <c r="W304" s="63" t="str">
        <f aca="false">IF(ISBLANK($C304),"",IF(J304=Constants!$B$2, TRUE(), IF(J304=Constants!$B$3, FALSE(), TRUE())))</f>
        <v/>
      </c>
      <c r="X304" s="63" t="str">
        <f aca="false">IF(ISBLANK($C304),"",IF(K304=Constants!$B$2, TRUE(), IF(K304=Constants!$B$3, FALSE(), TRUE())))</f>
        <v/>
      </c>
      <c r="Y304" s="65" t="str">
        <f aca="false">IF(ISBLANK($C304),"",IF(ISNUMBER(L304), L304, ""))</f>
        <v/>
      </c>
      <c r="Z304" s="65" t="str">
        <f aca="false">IF(ISBLANK($C304),"",IF(ISNUMBER(M304), M304, ""))</f>
        <v/>
      </c>
      <c r="AA304" s="65" t="str">
        <f aca="false">IF(ISBLANK($C304),"",IF(ISNUMBER(N304), N304, ""))</f>
        <v/>
      </c>
      <c r="AB304" s="66" t="str">
        <f aca="false">IF(ISBLANK($C304),"",IF(ISNUMBER(O304), O304, ""))</f>
        <v/>
      </c>
      <c r="AC304" s="66" t="str">
        <f aca="false">IF(ISBLANK($C304),"",IF(ISNUMBER(P304), P304, Constants!$B$13))</f>
        <v/>
      </c>
      <c r="AD304" s="63" t="str">
        <f aca="false">IF(ISBLANK($C304),"",IF(Q304=Constants!$B$2, TRUE(), IF(Q304=Constants!$B$3, FALSE(), FALSE())))</f>
        <v/>
      </c>
      <c r="AE304" s="63" t="str">
        <f aca="false">IF(ISBLANK(C304), "", IF(AD304, Constants!$B$4,IF(COUNTA(G304:O304)=0, Constants!$B$5, Constants!$B$7)))</f>
        <v/>
      </c>
      <c r="AF304" s="63" t="str">
        <f aca="false">IF(ISBLANK($C304), "",IF($AE304=Constants!$B$7,1,$AE304))</f>
        <v/>
      </c>
      <c r="AG304" s="63" t="str">
        <f aca="false">IF($AE304=Constants!$B$7,IF(V304, 1, Constants!$B$11) * IF(X304, 1, Constants!$B$12),"")</f>
        <v/>
      </c>
      <c r="AH304" s="63" t="str">
        <f aca="false">IF(AND($AE304=Constants!$B$7, T304, U304) ,MAX(0, $AA304-$Y304),"")</f>
        <v/>
      </c>
      <c r="AI304" s="63" t="str">
        <f aca="false">IF(ISERROR(AH304),$AI$6,"")</f>
        <v/>
      </c>
      <c r="AJ304" s="63" t="str">
        <f aca="false">IF($AE304=Constants!$B$7,IF(AND(T304,U304,W304),IF($AH$6=0,Constants!$B$9,Constants!$B$9*AH304/$AH$6), 0),"")</f>
        <v/>
      </c>
      <c r="AK304" s="63" t="str">
        <f aca="false">IF(AJ304&lt;&gt;"", AJ304*AG304,"")</f>
        <v/>
      </c>
      <c r="AL304" s="63" t="str">
        <f aca="false">IF(AND($AE304=Constants!$B$7, T304, U304) ,IF($Z304="", "", MAX(0,1-ABS($AA304-$Z304)/$AA304)),"")</f>
        <v/>
      </c>
      <c r="AM304" s="63" t="str">
        <f aca="false">IF(AND(NOT(ISERROR(AH304)),ISERROR(AL304)),$AM$6,"")</f>
        <v/>
      </c>
      <c r="AN304" s="63" t="str">
        <f aca="false">IF($AE304=Constants!$B$7 ,IF(AND(T304,U304,W304,ISNUMBER(Z304)),IF($AL$6=0,Constants!$B$10,Constants!$B$10*AL304/$AL$6), 0),"")</f>
        <v/>
      </c>
      <c r="AO304" s="63" t="str">
        <f aca="false">IF(AN304&lt;&gt;"", AN304*AG304,"")</f>
        <v/>
      </c>
      <c r="AP304" s="63" t="str">
        <f aca="false">IF($AE304=Constants!$B$7,IF($AP$6=0,Constants!$B$8,Constants!$B$8*AB304/$AP$6),"")</f>
        <v/>
      </c>
      <c r="AQ304" s="63" t="str">
        <f aca="false">IF($AE304&lt;&gt;Constants!$B$7,$AE304,AK304+AO304+AP304)</f>
        <v/>
      </c>
      <c r="AR304" s="63" t="str">
        <f aca="false">IF(ISBLANK($C304),"",IF($AE304=Constants!$B$7,RANK(AQ304,$AQ$8:$AQ$507),$AE304))</f>
        <v/>
      </c>
      <c r="AS304" s="63" t="str">
        <f aca="false">IF(ISBLANK($C304), "",AK304)</f>
        <v/>
      </c>
      <c r="AT304" s="63" t="str">
        <f aca="false">IF(ISBLANK($C304),"",IF($AE304=Constants!$B$7,RANK(AS304,AS$8:AS$507),$AE304))</f>
        <v/>
      </c>
      <c r="AU304" s="63" t="str">
        <f aca="false">IF(ISBLANK($C304), "",AP304)</f>
        <v/>
      </c>
      <c r="AV304" s="63" t="str">
        <f aca="false">IF(ISBLANK($C304),"",IF($AE304=Constants!$B$7,RANK(AU304,AU$8:AU$507),$AE304))</f>
        <v/>
      </c>
      <c r="AW304" s="63" t="str">
        <f aca="false">IF(ISBLANK($C304), "",AC304)</f>
        <v/>
      </c>
      <c r="AX304" s="63" t="str">
        <f aca="false">IF(ISBLANK($C304),"",
IF($AE304=Constants!$B$7,
  COUNTIFS($AR$8:$AR$507,"&lt;"&amp;$AR304)
  + COUNTIFS($AR$8:$AR$507,$AR304,$AT$8:$AT$507,"&lt;"&amp;$AT304)
  + COUNTIFS($AR$8:$AR$507,$AR304,$AT$8:$AT$507,$AT304,$AV$8:$AV$507,"&lt;"&amp;$AV304)
  + COUNTIFS($AR$8:$AR$507,$AR304,$AT$8:$AT$507,$AT304,$AV$8:$AV$507,$AV304,$AW$8:$AW$507,"&lt;"&amp;$AW304)
  + 1,
$AE304))</f>
        <v/>
      </c>
      <c r="AY304" s="63" t="str">
        <f aca="false">IF(ISBLANK(C304),"",IF($AE304=Constants!$B$7, AR304-AX304,$AE304))</f>
        <v/>
      </c>
      <c r="AZ304" s="67"/>
      <c r="BA304" s="81" t="str">
        <f aca="false">IF(ISBLANK($C304),"",TRIM(AI304&amp;" "&amp;AM304))</f>
        <v/>
      </c>
      <c r="BB304" s="69" t="str">
        <f aca="false">IF(ISBLANK($C304),"",IF($AE304&lt;&gt;Constants!$B$7, $AE304 ,AQ304))</f>
        <v/>
      </c>
      <c r="BC304" s="70" t="str">
        <f aca="false">IF(ISBLANK($C304),"",IF($AE304&lt;&gt;Constants!$B$7, $AE304 ,AF304))</f>
        <v/>
      </c>
      <c r="BD304" s="71" t="str">
        <f aca="false">IF(ISBLANK(C304),"",AY304)</f>
        <v/>
      </c>
      <c r="BE304" s="71" t="str">
        <f aca="false">IF(ISBLANK(C304),"",AX304)</f>
        <v/>
      </c>
      <c r="BF304" s="72" t="str">
        <f aca="false">IF(ISBLANK(C304),"",IFERROR(_xlfn.SWITCH(BE304, Constants!$B$4, COUNTA($C$8:$C803)+2, Constants!$B$5, COUNTA($C$8:$C803)+1, Constants!$B$6, COUNTA($C$8:$C803)),BE304))</f>
        <v/>
      </c>
      <c r="BG304" s="5"/>
      <c r="BH304" s="73" t="n">
        <f aca="false">IF(OR(ISNUMBER(BE304),BE304="DQ",BE304="P",BE304="NS"),
    1,
    0
)</f>
        <v>0</v>
      </c>
      <c r="BI304" s="73" t="n">
        <v>297</v>
      </c>
      <c r="BJ304" s="73" t="str">
        <f aca="false">IF(ISBLANK($C304),
    "",
   BF304+ROW($B304)/1000
)</f>
        <v/>
      </c>
      <c r="BK304" s="73" t="str">
        <f aca="false">IF(ISNUMBER(BJ304), RANK(BJ304,BJ$8:BJ$507,1), "")</f>
        <v/>
      </c>
      <c r="BL304" s="73" t="str">
        <f aca="false">IF(ISBLANK($C304),
    "",
    $B304
)</f>
        <v/>
      </c>
      <c r="BM304" s="73" t="str">
        <f aca="false">IF(ISBLANK($C304),
    "",
    $C304
)</f>
        <v/>
      </c>
      <c r="BN304" s="73" t="str">
        <f aca="false">IF(ISBLANK($C304),
    "",
    $D304
)</f>
        <v/>
      </c>
      <c r="BO304" s="74" t="str">
        <f aca="false">BC304</f>
        <v/>
      </c>
      <c r="BP304" s="75" t="str">
        <f aca="false">BB304</f>
        <v/>
      </c>
      <c r="BQ304" s="73" t="str">
        <f aca="false">IF(ISBLANK($C304),
    "",
    BE304
)</f>
        <v/>
      </c>
      <c r="BR304" s="76" t="str">
        <f aca="false">IF(BI304&gt;BH$7,
    "",
    VLOOKUP(BI304,BK$8:BQ803,7,FALSE())
)</f>
        <v/>
      </c>
      <c r="BS304" s="77" t="str">
        <f aca="false">IF(BI304&gt;BH$7,
    "",
    VLOOKUP(BI304,BK$8:BQ803,2,FALSE())
)</f>
        <v/>
      </c>
      <c r="BT304" s="77" t="str">
        <f aca="false">IF(BI304&gt;BH$7,
    "",
    VLOOKUP(BI304,BK$8:BQ803,3,FALSE())
)</f>
        <v/>
      </c>
      <c r="BU304" s="77" t="str">
        <f aca="false">IF(BI304&gt;BH$7,
    "",
    VLOOKUP(BI304,BK$8:BQ803,4,FALSE())
)</f>
        <v/>
      </c>
      <c r="BV304" s="77" t="str">
        <f aca="false">IF(BI304&gt;BH$7,
    "",
    VLOOKUP(BI304,BK$8:BQ803,5,FALSE())
)</f>
        <v/>
      </c>
      <c r="BW304" s="78" t="str">
        <f aca="false">IF(BI304&gt;BH$7,
    "",
    VLOOKUP(BI304,BK$8:BQ803,6,FALSE())
)</f>
        <v/>
      </c>
      <c r="BX304" s="50"/>
    </row>
    <row r="305" customFormat="false" ht="15.75" hidden="false" customHeight="false" outlineLevel="0" collapsed="false">
      <c r="A305" s="5"/>
      <c r="B305" s="122"/>
      <c r="C305" s="123"/>
      <c r="D305" s="112"/>
      <c r="E305" s="116"/>
      <c r="F305" s="116"/>
      <c r="G305" s="88"/>
      <c r="H305" s="89"/>
      <c r="I305" s="125"/>
      <c r="J305" s="125"/>
      <c r="K305" s="125"/>
      <c r="L305" s="91"/>
      <c r="M305" s="91"/>
      <c r="N305" s="91"/>
      <c r="O305" s="92"/>
      <c r="P305" s="93"/>
      <c r="Q305" s="125"/>
      <c r="R305" s="95"/>
      <c r="S305" s="96"/>
      <c r="T305" s="96" t="str">
        <f aca="false">IF(ISBLANK($C305),"",IF(G305=Constants!$B$2, TRUE(), IF(G305=Constants!$B$3, FALSE(), TRUE())))</f>
        <v/>
      </c>
      <c r="U305" s="96" t="str">
        <f aca="false">IF(ISBLANK($C305),"",IF(H305=Constants!$B$2, TRUE(), IF(H305=Constants!$B$3, FALSE(), TRUE())))</f>
        <v/>
      </c>
      <c r="V305" s="96" t="str">
        <f aca="false">IF(ISBLANK($C305),"",IF(I305=Constants!$B$2, TRUE(), IF(I305=Constants!$B$3, FALSE(), TRUE())))</f>
        <v/>
      </c>
      <c r="W305" s="96" t="str">
        <f aca="false">IF(ISBLANK($C305),"",IF(J305=Constants!$B$2, TRUE(), IF(J305=Constants!$B$3, FALSE(), TRUE())))</f>
        <v/>
      </c>
      <c r="X305" s="97" t="str">
        <f aca="false">IF(ISBLANK($C305),"",IF(K305=Constants!$B$2, TRUE(), IF(K305=Constants!$B$3, FALSE(), TRUE())))</f>
        <v/>
      </c>
      <c r="Y305" s="98" t="str">
        <f aca="false">IF(ISBLANK($C305),"",IF(ISNUMBER(L305), L305, ""))</f>
        <v/>
      </c>
      <c r="Z305" s="98" t="str">
        <f aca="false">IF(ISBLANK($C305),"",IF(ISNUMBER(M305), M305, ""))</f>
        <v/>
      </c>
      <c r="AA305" s="98" t="str">
        <f aca="false">IF(ISBLANK($C305),"",IF(ISNUMBER(N305), N305, ""))</f>
        <v/>
      </c>
      <c r="AB305" s="99" t="str">
        <f aca="false">IF(ISBLANK($C305),"",IF(ISNUMBER(O305), O305, ""))</f>
        <v/>
      </c>
      <c r="AC305" s="99" t="str">
        <f aca="false">IF(ISBLANK($C305),"",IF(ISNUMBER(P305), P305, Constants!$B$13))</f>
        <v/>
      </c>
      <c r="AD305" s="96" t="str">
        <f aca="false">IF(ISBLANK($C305),"",IF(Q305=Constants!$B$2, TRUE(), IF(Q305=Constants!$B$3, FALSE(), FALSE())))</f>
        <v/>
      </c>
      <c r="AE305" s="96" t="str">
        <f aca="false">IF(ISBLANK(C305), "", IF(AD305, Constants!$B$4,IF(COUNTA(G305:O305)=0, Constants!$B$5, Constants!$B$7)))</f>
        <v/>
      </c>
      <c r="AF305" s="96" t="str">
        <f aca="false">IF(ISBLANK($C305), "",IF($AE305=Constants!$B$7,1,$AE305))</f>
        <v/>
      </c>
      <c r="AG305" s="96" t="str">
        <f aca="false">IF($AE305=Constants!$B$7,IF(V305, 1, Constants!$B$11) * IF(X305, 1, Constants!$B$12),"")</f>
        <v/>
      </c>
      <c r="AH305" s="96" t="str">
        <f aca="false">IF(AND($AE305=Constants!$B$7, T305, U305) ,MAX(0, $AA305-$Y305),"")</f>
        <v/>
      </c>
      <c r="AI305" s="96" t="str">
        <f aca="false">IF(ISERROR(AH305),$AI$6,"")</f>
        <v/>
      </c>
      <c r="AJ305" s="96" t="str">
        <f aca="false">IF($AE305=Constants!$B$7,IF(AND(T305,U305,W305),IF($AH$6=0,Constants!$B$9,Constants!$B$9*AH305/$AH$6), 0),"")</f>
        <v/>
      </c>
      <c r="AK305" s="96" t="str">
        <f aca="false">IF(AJ305&lt;&gt;"", AJ305*AG305,"")</f>
        <v/>
      </c>
      <c r="AL305" s="96" t="str">
        <f aca="false">IF(AND($AE305=Constants!$B$7, T305, U305) ,IF($Z305="", "", MAX(0,1-ABS($AA305-$Z305)/$AA305)),"")</f>
        <v/>
      </c>
      <c r="AM305" s="96" t="str">
        <f aca="false">IF(AND(NOT(ISERROR(AH305)),ISERROR(AL305)),$AM$6,"")</f>
        <v/>
      </c>
      <c r="AN305" s="96" t="str">
        <f aca="false">IF($AE305=Constants!$B$7 ,IF(AND(T305,U305,W305,ISNUMBER(Z305)),IF($AL$6=0,Constants!$B$10,Constants!$B$10*AL305/$AL$6), 0),"")</f>
        <v/>
      </c>
      <c r="AO305" s="96" t="str">
        <f aca="false">IF(AN305&lt;&gt;"", AN305*AG305,"")</f>
        <v/>
      </c>
      <c r="AP305" s="96" t="str">
        <f aca="false">IF($AE305=Constants!$B$7,IF($AP$6=0,Constants!$B$8,Constants!$B$8*AB305/$AP$6),"")</f>
        <v/>
      </c>
      <c r="AQ305" s="96" t="str">
        <f aca="false">IF($AE305&lt;&gt;Constants!$B$7,$AE305,AK305+AO305+AP305)</f>
        <v/>
      </c>
      <c r="AR305" s="96" t="str">
        <f aca="false">IF(ISBLANK($C305),"",IF($AE305=Constants!$B$7,RANK(AQ305,$AQ$8:$AQ$507),$AE305))</f>
        <v/>
      </c>
      <c r="AS305" s="96" t="str">
        <f aca="false">IF(ISBLANK($C305), "",AK305)</f>
        <v/>
      </c>
      <c r="AT305" s="96" t="str">
        <f aca="false">IF(ISBLANK($C305),"",IF($AE305=Constants!$B$7,RANK(AS305,AS$8:AS$507),$AE305))</f>
        <v/>
      </c>
      <c r="AU305" s="96" t="str">
        <f aca="false">IF(ISBLANK($C305), "",AP305)</f>
        <v/>
      </c>
      <c r="AV305" s="96" t="str">
        <f aca="false">IF(ISBLANK($C305),"",IF($AE305=Constants!$B$7,RANK(AU305,AU$8:AU$507),$AE305))</f>
        <v/>
      </c>
      <c r="AW305" s="96" t="str">
        <f aca="false">IF(ISBLANK($C305), "",AC305)</f>
        <v/>
      </c>
      <c r="AX305" s="96" t="str">
        <f aca="false">IF(ISBLANK($C305),"",
IF($AE305=Constants!$B$7,
  COUNTIFS($AR$8:$AR$507,"&lt;"&amp;$AR305)
  + COUNTIFS($AR$8:$AR$507,$AR305,$AT$8:$AT$507,"&lt;"&amp;$AT305)
  + COUNTIFS($AR$8:$AR$507,$AR305,$AT$8:$AT$507,$AT305,$AV$8:$AV$507,"&lt;"&amp;$AV305)
  + COUNTIFS($AR$8:$AR$507,$AR305,$AT$8:$AT$507,$AT305,$AV$8:$AV$507,$AV305,$AW$8:$AW$507,"&lt;"&amp;$AW305)
  + 1,
$AE305))</f>
        <v/>
      </c>
      <c r="AY305" s="96" t="str">
        <f aca="false">IF(ISBLANK(C305),"",IF($AE305=Constants!$B$7, AR305-AX305,$AE305))</f>
        <v/>
      </c>
      <c r="AZ305" s="100"/>
      <c r="BA305" s="101" t="str">
        <f aca="false">IF(ISBLANK($C305),"",TRIM(AI305&amp;" "&amp;AM305))</f>
        <v/>
      </c>
      <c r="BB305" s="102" t="str">
        <f aca="false">IF(ISBLANK($C305),"",IF($AE305&lt;&gt;Constants!$B$7, $AE305 ,AQ305))</f>
        <v/>
      </c>
      <c r="BC305" s="103" t="str">
        <f aca="false">IF(ISBLANK($C305),"",IF($AE305&lt;&gt;Constants!$B$7, $AE305 ,AF305))</f>
        <v/>
      </c>
      <c r="BD305" s="104" t="str">
        <f aca="false">IF(ISBLANK(C305),"",AY305)</f>
        <v/>
      </c>
      <c r="BE305" s="104" t="str">
        <f aca="false">IF(ISBLANK(C305),"",AX305)</f>
        <v/>
      </c>
      <c r="BF305" s="105" t="str">
        <f aca="false">IF(ISBLANK(C305),"",IFERROR(_xlfn.SWITCH(BE305, Constants!$B$4, COUNTA($C$8:$C804)+2, Constants!$B$5, COUNTA($C$8:$C804)+1, Constants!$B$6, COUNTA($C$8:$C804)),BE305))</f>
        <v/>
      </c>
      <c r="BG305" s="5"/>
      <c r="BH305" s="106" t="n">
        <f aca="false">IF(OR(ISNUMBER(BE305),BE305="DQ",BE305="P",BE305="NS"),
    1,
    0
)</f>
        <v>0</v>
      </c>
      <c r="BI305" s="106" t="n">
        <v>298</v>
      </c>
      <c r="BJ305" s="106" t="str">
        <f aca="false">IF(ISBLANK($C305),
    "",
   BF305+ROW($B305)/1000
)</f>
        <v/>
      </c>
      <c r="BK305" s="106" t="str">
        <f aca="false">IF(ISNUMBER(BJ305), RANK(BJ305,BJ$8:BJ$507,1), "")</f>
        <v/>
      </c>
      <c r="BL305" s="106" t="str">
        <f aca="false">IF(ISBLANK($C305),
    "",
    $B305
)</f>
        <v/>
      </c>
      <c r="BM305" s="106" t="str">
        <f aca="false">IF(ISBLANK($C305),
    "",
    $C305
)</f>
        <v/>
      </c>
      <c r="BN305" s="106" t="str">
        <f aca="false">IF(ISBLANK($C305),
    "",
    $D305
)</f>
        <v/>
      </c>
      <c r="BO305" s="107" t="str">
        <f aca="false">BC305</f>
        <v/>
      </c>
      <c r="BP305" s="108" t="str">
        <f aca="false">BB305</f>
        <v/>
      </c>
      <c r="BQ305" s="106" t="str">
        <f aca="false">IF(ISBLANK($C305),
    "",
    BE305
)</f>
        <v/>
      </c>
      <c r="BR305" s="109" t="str">
        <f aca="false">IF(BI305&gt;BH$7,
    "",
    VLOOKUP(BI305,BK$8:BQ804,7,FALSE())
)</f>
        <v/>
      </c>
      <c r="BS305" s="110" t="str">
        <f aca="false">IF(BI305&gt;BH$7,
    "",
    VLOOKUP(BI305,BK$8:BQ804,2,FALSE())
)</f>
        <v/>
      </c>
      <c r="BT305" s="110" t="str">
        <f aca="false">IF(BI305&gt;BH$7,
    "",
    VLOOKUP(BI305,BK$8:BQ804,3,FALSE())
)</f>
        <v/>
      </c>
      <c r="BU305" s="110" t="str">
        <f aca="false">IF(BI305&gt;BH$7,
    "",
    VLOOKUP(BI305,BK$8:BQ804,4,FALSE())
)</f>
        <v/>
      </c>
      <c r="BV305" s="110" t="str">
        <f aca="false">IF(BI305&gt;BH$7,
    "",
    VLOOKUP(BI305,BK$8:BQ804,5,FALSE())
)</f>
        <v/>
      </c>
      <c r="BW305" s="111" t="str">
        <f aca="false">IF(BI305&gt;BH$7,
    "",
    VLOOKUP(BI305,BK$8:BQ804,6,FALSE())
)</f>
        <v/>
      </c>
      <c r="BX305" s="50"/>
    </row>
    <row r="306" customFormat="false" ht="15.75" hidden="false" customHeight="false" outlineLevel="0" collapsed="false">
      <c r="A306" s="5"/>
      <c r="B306" s="122"/>
      <c r="C306" s="123"/>
      <c r="D306" s="112"/>
      <c r="E306" s="116"/>
      <c r="F306" s="116"/>
      <c r="G306" s="88"/>
      <c r="H306" s="89"/>
      <c r="I306" s="125"/>
      <c r="J306" s="125"/>
      <c r="K306" s="125"/>
      <c r="L306" s="91"/>
      <c r="M306" s="91"/>
      <c r="N306" s="91"/>
      <c r="O306" s="92"/>
      <c r="P306" s="93"/>
      <c r="Q306" s="125"/>
      <c r="R306" s="95"/>
      <c r="S306" s="96"/>
      <c r="T306" s="96" t="str">
        <f aca="false">IF(ISBLANK($C306),"",IF(G306=Constants!$B$2, TRUE(), IF(G306=Constants!$B$3, FALSE(), TRUE())))</f>
        <v/>
      </c>
      <c r="U306" s="96" t="str">
        <f aca="false">IF(ISBLANK($C306),"",IF(H306=Constants!$B$2, TRUE(), IF(H306=Constants!$B$3, FALSE(), TRUE())))</f>
        <v/>
      </c>
      <c r="V306" s="96" t="str">
        <f aca="false">IF(ISBLANK($C306),"",IF(I306=Constants!$B$2, TRUE(), IF(I306=Constants!$B$3, FALSE(), TRUE())))</f>
        <v/>
      </c>
      <c r="W306" s="96" t="str">
        <f aca="false">IF(ISBLANK($C306),"",IF(J306=Constants!$B$2, TRUE(), IF(J306=Constants!$B$3, FALSE(), TRUE())))</f>
        <v/>
      </c>
      <c r="X306" s="97" t="str">
        <f aca="false">IF(ISBLANK($C306),"",IF(K306=Constants!$B$2, TRUE(), IF(K306=Constants!$B$3, FALSE(), TRUE())))</f>
        <v/>
      </c>
      <c r="Y306" s="98" t="str">
        <f aca="false">IF(ISBLANK($C306),"",IF(ISNUMBER(L306), L306, ""))</f>
        <v/>
      </c>
      <c r="Z306" s="98" t="str">
        <f aca="false">IF(ISBLANK($C306),"",IF(ISNUMBER(M306), M306, ""))</f>
        <v/>
      </c>
      <c r="AA306" s="98" t="str">
        <f aca="false">IF(ISBLANK($C306),"",IF(ISNUMBER(N306), N306, ""))</f>
        <v/>
      </c>
      <c r="AB306" s="99" t="str">
        <f aca="false">IF(ISBLANK($C306),"",IF(ISNUMBER(O306), O306, ""))</f>
        <v/>
      </c>
      <c r="AC306" s="99" t="str">
        <f aca="false">IF(ISBLANK($C306),"",IF(ISNUMBER(P306), P306, Constants!$B$13))</f>
        <v/>
      </c>
      <c r="AD306" s="96" t="str">
        <f aca="false">IF(ISBLANK($C306),"",IF(Q306=Constants!$B$2, TRUE(), IF(Q306=Constants!$B$3, FALSE(), FALSE())))</f>
        <v/>
      </c>
      <c r="AE306" s="96" t="str">
        <f aca="false">IF(ISBLANK(C306), "", IF(AD306, Constants!$B$4,IF(COUNTA(G306:O306)=0, Constants!$B$5, Constants!$B$7)))</f>
        <v/>
      </c>
      <c r="AF306" s="96" t="str">
        <f aca="false">IF(ISBLANK($C306), "",IF($AE306=Constants!$B$7,1,$AE306))</f>
        <v/>
      </c>
      <c r="AG306" s="96" t="str">
        <f aca="false">IF($AE306=Constants!$B$7,IF(V306, 1, Constants!$B$11) * IF(X306, 1, Constants!$B$12),"")</f>
        <v/>
      </c>
      <c r="AH306" s="96" t="str">
        <f aca="false">IF(AND($AE306=Constants!$B$7, T306, U306) ,MAX(0, $AA306-$Y306),"")</f>
        <v/>
      </c>
      <c r="AI306" s="96" t="str">
        <f aca="false">IF(ISERROR(AH306),$AI$6,"")</f>
        <v/>
      </c>
      <c r="AJ306" s="96" t="str">
        <f aca="false">IF($AE306=Constants!$B$7,IF(AND(T306,U306,W306),IF($AH$6=0,Constants!$B$9,Constants!$B$9*AH306/$AH$6), 0),"")</f>
        <v/>
      </c>
      <c r="AK306" s="96" t="str">
        <f aca="false">IF(AJ306&lt;&gt;"", AJ306*AG306,"")</f>
        <v/>
      </c>
      <c r="AL306" s="96" t="str">
        <f aca="false">IF(AND($AE306=Constants!$B$7, T306, U306) ,IF($Z306="", "", MAX(0,1-ABS($AA306-$Z306)/$AA306)),"")</f>
        <v/>
      </c>
      <c r="AM306" s="96" t="str">
        <f aca="false">IF(AND(NOT(ISERROR(AH306)),ISERROR(AL306)),$AM$6,"")</f>
        <v/>
      </c>
      <c r="AN306" s="96" t="str">
        <f aca="false">IF($AE306=Constants!$B$7 ,IF(AND(T306,U306,W306,ISNUMBER(Z306)),IF($AL$6=0,Constants!$B$10,Constants!$B$10*AL306/$AL$6), 0),"")</f>
        <v/>
      </c>
      <c r="AO306" s="96" t="str">
        <f aca="false">IF(AN306&lt;&gt;"", AN306*AG306,"")</f>
        <v/>
      </c>
      <c r="AP306" s="96" t="str">
        <f aca="false">IF($AE306=Constants!$B$7,IF($AP$6=0,Constants!$B$8,Constants!$B$8*AB306/$AP$6),"")</f>
        <v/>
      </c>
      <c r="AQ306" s="96" t="str">
        <f aca="false">IF($AE306&lt;&gt;Constants!$B$7,$AE306,AK306+AO306+AP306)</f>
        <v/>
      </c>
      <c r="AR306" s="96" t="str">
        <f aca="false">IF(ISBLANK($C306),"",IF($AE306=Constants!$B$7,RANK(AQ306,$AQ$8:$AQ$507),$AE306))</f>
        <v/>
      </c>
      <c r="AS306" s="96" t="str">
        <f aca="false">IF(ISBLANK($C306), "",AK306)</f>
        <v/>
      </c>
      <c r="AT306" s="96" t="str">
        <f aca="false">IF(ISBLANK($C306),"",IF($AE306=Constants!$B$7,RANK(AS306,AS$8:AS$507),$AE306))</f>
        <v/>
      </c>
      <c r="AU306" s="96" t="str">
        <f aca="false">IF(ISBLANK($C306), "",AP306)</f>
        <v/>
      </c>
      <c r="AV306" s="96" t="str">
        <f aca="false">IF(ISBLANK($C306),"",IF($AE306=Constants!$B$7,RANK(AU306,AU$8:AU$507),$AE306))</f>
        <v/>
      </c>
      <c r="AW306" s="96" t="str">
        <f aca="false">IF(ISBLANK($C306), "",AC306)</f>
        <v/>
      </c>
      <c r="AX306" s="96" t="str">
        <f aca="false">IF(ISBLANK($C306),"",
IF($AE306=Constants!$B$7,
  COUNTIFS($AR$8:$AR$507,"&lt;"&amp;$AR306)
  + COUNTIFS($AR$8:$AR$507,$AR306,$AT$8:$AT$507,"&lt;"&amp;$AT306)
  + COUNTIFS($AR$8:$AR$507,$AR306,$AT$8:$AT$507,$AT306,$AV$8:$AV$507,"&lt;"&amp;$AV306)
  + COUNTIFS($AR$8:$AR$507,$AR306,$AT$8:$AT$507,$AT306,$AV$8:$AV$507,$AV306,$AW$8:$AW$507,"&lt;"&amp;$AW306)
  + 1,
$AE306))</f>
        <v/>
      </c>
      <c r="AY306" s="96" t="str">
        <f aca="false">IF(ISBLANK(C306),"",IF($AE306=Constants!$B$7, AR306-AX306,$AE306))</f>
        <v/>
      </c>
      <c r="AZ306" s="100"/>
      <c r="BA306" s="101" t="str">
        <f aca="false">IF(ISBLANK($C306),"",TRIM(AI306&amp;" "&amp;AM306))</f>
        <v/>
      </c>
      <c r="BB306" s="102" t="str">
        <f aca="false">IF(ISBLANK($C306),"",IF($AE306&lt;&gt;Constants!$B$7, $AE306 ,AQ306))</f>
        <v/>
      </c>
      <c r="BC306" s="103" t="str">
        <f aca="false">IF(ISBLANK($C306),"",IF($AE306&lt;&gt;Constants!$B$7, $AE306 ,AF306))</f>
        <v/>
      </c>
      <c r="BD306" s="104" t="str">
        <f aca="false">IF(ISBLANK(C306),"",AY306)</f>
        <v/>
      </c>
      <c r="BE306" s="104" t="str">
        <f aca="false">IF(ISBLANK(C306),"",AX306)</f>
        <v/>
      </c>
      <c r="BF306" s="105" t="str">
        <f aca="false">IF(ISBLANK(C306),"",IFERROR(_xlfn.SWITCH(BE306, Constants!$B$4, COUNTA($C$8:$C805)+2, Constants!$B$5, COUNTA($C$8:$C805)+1, Constants!$B$6, COUNTA($C$8:$C805)),BE306))</f>
        <v/>
      </c>
      <c r="BG306" s="5"/>
      <c r="BH306" s="106" t="n">
        <f aca="false">IF(OR(ISNUMBER(BE306),BE306="DQ",BE306="P",BE306="NS"),
    1,
    0
)</f>
        <v>0</v>
      </c>
      <c r="BI306" s="106" t="n">
        <v>299</v>
      </c>
      <c r="BJ306" s="106" t="str">
        <f aca="false">IF(ISBLANK($C306),
    "",
   BF306+ROW($B306)/1000
)</f>
        <v/>
      </c>
      <c r="BK306" s="106" t="str">
        <f aca="false">IF(ISNUMBER(BJ306), RANK(BJ306,BJ$8:BJ$507,1), "")</f>
        <v/>
      </c>
      <c r="BL306" s="106" t="str">
        <f aca="false">IF(ISBLANK($C306),
    "",
    $B306
)</f>
        <v/>
      </c>
      <c r="BM306" s="106" t="str">
        <f aca="false">IF(ISBLANK($C306),
    "",
    $C306
)</f>
        <v/>
      </c>
      <c r="BN306" s="106" t="str">
        <f aca="false">IF(ISBLANK($C306),
    "",
    $D306
)</f>
        <v/>
      </c>
      <c r="BO306" s="107" t="str">
        <f aca="false">BC306</f>
        <v/>
      </c>
      <c r="BP306" s="108" t="str">
        <f aca="false">BB306</f>
        <v/>
      </c>
      <c r="BQ306" s="106" t="str">
        <f aca="false">IF(ISBLANK($C306),
    "",
    BE306
)</f>
        <v/>
      </c>
      <c r="BR306" s="109" t="str">
        <f aca="false">IF(BI306&gt;BH$7,
    "",
    VLOOKUP(BI306,BK$8:BQ805,7,FALSE())
)</f>
        <v/>
      </c>
      <c r="BS306" s="110" t="str">
        <f aca="false">IF(BI306&gt;BH$7,
    "",
    VLOOKUP(BI306,BK$8:BQ805,2,FALSE())
)</f>
        <v/>
      </c>
      <c r="BT306" s="110" t="str">
        <f aca="false">IF(BI306&gt;BH$7,
    "",
    VLOOKUP(BI306,BK$8:BQ805,3,FALSE())
)</f>
        <v/>
      </c>
      <c r="BU306" s="110" t="str">
        <f aca="false">IF(BI306&gt;BH$7,
    "",
    VLOOKUP(BI306,BK$8:BQ805,4,FALSE())
)</f>
        <v/>
      </c>
      <c r="BV306" s="110" t="str">
        <f aca="false">IF(BI306&gt;BH$7,
    "",
    VLOOKUP(BI306,BK$8:BQ805,5,FALSE())
)</f>
        <v/>
      </c>
      <c r="BW306" s="111" t="str">
        <f aca="false">IF(BI306&gt;BH$7,
    "",
    VLOOKUP(BI306,BK$8:BQ805,6,FALSE())
)</f>
        <v/>
      </c>
      <c r="BX306" s="50"/>
    </row>
    <row r="307" customFormat="false" ht="15.75" hidden="false" customHeight="false" outlineLevel="0" collapsed="false">
      <c r="A307" s="5"/>
      <c r="B307" s="122"/>
      <c r="C307" s="123"/>
      <c r="D307" s="112"/>
      <c r="E307" s="116"/>
      <c r="F307" s="116"/>
      <c r="G307" s="88"/>
      <c r="H307" s="89"/>
      <c r="I307" s="125"/>
      <c r="J307" s="125"/>
      <c r="K307" s="125"/>
      <c r="L307" s="91"/>
      <c r="M307" s="91"/>
      <c r="N307" s="91"/>
      <c r="O307" s="92"/>
      <c r="P307" s="93"/>
      <c r="Q307" s="125"/>
      <c r="R307" s="95"/>
      <c r="S307" s="96"/>
      <c r="T307" s="96" t="str">
        <f aca="false">IF(ISBLANK($C307),"",IF(G307=Constants!$B$2, TRUE(), IF(G307=Constants!$B$3, FALSE(), TRUE())))</f>
        <v/>
      </c>
      <c r="U307" s="96" t="str">
        <f aca="false">IF(ISBLANK($C307),"",IF(H307=Constants!$B$2, TRUE(), IF(H307=Constants!$B$3, FALSE(), TRUE())))</f>
        <v/>
      </c>
      <c r="V307" s="96" t="str">
        <f aca="false">IF(ISBLANK($C307),"",IF(I307=Constants!$B$2, TRUE(), IF(I307=Constants!$B$3, FALSE(), TRUE())))</f>
        <v/>
      </c>
      <c r="W307" s="96" t="str">
        <f aca="false">IF(ISBLANK($C307),"",IF(J307=Constants!$B$2, TRUE(), IF(J307=Constants!$B$3, FALSE(), TRUE())))</f>
        <v/>
      </c>
      <c r="X307" s="97" t="str">
        <f aca="false">IF(ISBLANK($C307),"",IF(K307=Constants!$B$2, TRUE(), IF(K307=Constants!$B$3, FALSE(), TRUE())))</f>
        <v/>
      </c>
      <c r="Y307" s="98" t="str">
        <f aca="false">IF(ISBLANK($C307),"",IF(ISNUMBER(L307), L307, ""))</f>
        <v/>
      </c>
      <c r="Z307" s="98" t="str">
        <f aca="false">IF(ISBLANK($C307),"",IF(ISNUMBER(M307), M307, ""))</f>
        <v/>
      </c>
      <c r="AA307" s="98" t="str">
        <f aca="false">IF(ISBLANK($C307),"",IF(ISNUMBER(N307), N307, ""))</f>
        <v/>
      </c>
      <c r="AB307" s="99" t="str">
        <f aca="false">IF(ISBLANK($C307),"",IF(ISNUMBER(O307), O307, ""))</f>
        <v/>
      </c>
      <c r="AC307" s="99" t="str">
        <f aca="false">IF(ISBLANK($C307),"",IF(ISNUMBER(P307), P307, Constants!$B$13))</f>
        <v/>
      </c>
      <c r="AD307" s="96" t="str">
        <f aca="false">IF(ISBLANK($C307),"",IF(Q307=Constants!$B$2, TRUE(), IF(Q307=Constants!$B$3, FALSE(), FALSE())))</f>
        <v/>
      </c>
      <c r="AE307" s="96" t="str">
        <f aca="false">IF(ISBLANK(C307), "", IF(AD307, Constants!$B$4,IF(COUNTA(G307:O307)=0, Constants!$B$5, Constants!$B$7)))</f>
        <v/>
      </c>
      <c r="AF307" s="96" t="str">
        <f aca="false">IF(ISBLANK($C307), "",IF($AE307=Constants!$B$7,1,$AE307))</f>
        <v/>
      </c>
      <c r="AG307" s="96" t="str">
        <f aca="false">IF($AE307=Constants!$B$7,IF(V307, 1, Constants!$B$11) * IF(X307, 1, Constants!$B$12),"")</f>
        <v/>
      </c>
      <c r="AH307" s="96" t="str">
        <f aca="false">IF(AND($AE307=Constants!$B$7, T307, U307) ,MAX(0, $AA307-$Y307),"")</f>
        <v/>
      </c>
      <c r="AI307" s="96" t="str">
        <f aca="false">IF(ISERROR(AH307),$AI$6,"")</f>
        <v/>
      </c>
      <c r="AJ307" s="96" t="str">
        <f aca="false">IF($AE307=Constants!$B$7,IF(AND(T307,U307,W307),IF($AH$6=0,Constants!$B$9,Constants!$B$9*AH307/$AH$6), 0),"")</f>
        <v/>
      </c>
      <c r="AK307" s="96" t="str">
        <f aca="false">IF(AJ307&lt;&gt;"", AJ307*AG307,"")</f>
        <v/>
      </c>
      <c r="AL307" s="96" t="str">
        <f aca="false">IF(AND($AE307=Constants!$B$7, T307, U307) ,IF($Z307="", "", MAX(0,1-ABS($AA307-$Z307)/$AA307)),"")</f>
        <v/>
      </c>
      <c r="AM307" s="96" t="str">
        <f aca="false">IF(AND(NOT(ISERROR(AH307)),ISERROR(AL307)),$AM$6,"")</f>
        <v/>
      </c>
      <c r="AN307" s="96" t="str">
        <f aca="false">IF($AE307=Constants!$B$7 ,IF(AND(T307,U307,W307,ISNUMBER(Z307)),IF($AL$6=0,Constants!$B$10,Constants!$B$10*AL307/$AL$6), 0),"")</f>
        <v/>
      </c>
      <c r="AO307" s="96" t="str">
        <f aca="false">IF(AN307&lt;&gt;"", AN307*AG307,"")</f>
        <v/>
      </c>
      <c r="AP307" s="96" t="str">
        <f aca="false">IF($AE307=Constants!$B$7,IF($AP$6=0,Constants!$B$8,Constants!$B$8*AB307/$AP$6),"")</f>
        <v/>
      </c>
      <c r="AQ307" s="96" t="str">
        <f aca="false">IF($AE307&lt;&gt;Constants!$B$7,$AE307,AK307+AO307+AP307)</f>
        <v/>
      </c>
      <c r="AR307" s="96" t="str">
        <f aca="false">IF(ISBLANK($C307),"",IF($AE307=Constants!$B$7,RANK(AQ307,$AQ$8:$AQ$507),$AE307))</f>
        <v/>
      </c>
      <c r="AS307" s="96" t="str">
        <f aca="false">IF(ISBLANK($C307), "",AK307)</f>
        <v/>
      </c>
      <c r="AT307" s="96" t="str">
        <f aca="false">IF(ISBLANK($C307),"",IF($AE307=Constants!$B$7,RANK(AS307,AS$8:AS$507),$AE307))</f>
        <v/>
      </c>
      <c r="AU307" s="96" t="str">
        <f aca="false">IF(ISBLANK($C307), "",AP307)</f>
        <v/>
      </c>
      <c r="AV307" s="96" t="str">
        <f aca="false">IF(ISBLANK($C307),"",IF($AE307=Constants!$B$7,RANK(AU307,AU$8:AU$507),$AE307))</f>
        <v/>
      </c>
      <c r="AW307" s="96" t="str">
        <f aca="false">IF(ISBLANK($C307), "",AC307)</f>
        <v/>
      </c>
      <c r="AX307" s="96" t="str">
        <f aca="false">IF(ISBLANK($C307),"",
IF($AE307=Constants!$B$7,
  COUNTIFS($AR$8:$AR$507,"&lt;"&amp;$AR307)
  + COUNTIFS($AR$8:$AR$507,$AR307,$AT$8:$AT$507,"&lt;"&amp;$AT307)
  + COUNTIFS($AR$8:$AR$507,$AR307,$AT$8:$AT$507,$AT307,$AV$8:$AV$507,"&lt;"&amp;$AV307)
  + COUNTIFS($AR$8:$AR$507,$AR307,$AT$8:$AT$507,$AT307,$AV$8:$AV$507,$AV307,$AW$8:$AW$507,"&lt;"&amp;$AW307)
  + 1,
$AE307))</f>
        <v/>
      </c>
      <c r="AY307" s="96" t="str">
        <f aca="false">IF(ISBLANK(C307),"",IF($AE307=Constants!$B$7, AR307-AX307,$AE307))</f>
        <v/>
      </c>
      <c r="AZ307" s="100"/>
      <c r="BA307" s="101" t="str">
        <f aca="false">IF(ISBLANK($C307),"",TRIM(AI307&amp;" "&amp;AM307))</f>
        <v/>
      </c>
      <c r="BB307" s="102" t="str">
        <f aca="false">IF(ISBLANK($C307),"",IF($AE307&lt;&gt;Constants!$B$7, $AE307 ,AQ307))</f>
        <v/>
      </c>
      <c r="BC307" s="103" t="str">
        <f aca="false">IF(ISBLANK($C307),"",IF($AE307&lt;&gt;Constants!$B$7, $AE307 ,AF307))</f>
        <v/>
      </c>
      <c r="BD307" s="104" t="str">
        <f aca="false">IF(ISBLANK(C307),"",AY307)</f>
        <v/>
      </c>
      <c r="BE307" s="104" t="str">
        <f aca="false">IF(ISBLANK(C307),"",AX307)</f>
        <v/>
      </c>
      <c r="BF307" s="105" t="str">
        <f aca="false">IF(ISBLANK(C307),"",IFERROR(_xlfn.SWITCH(BE307, Constants!$B$4, COUNTA($C$8:$C806)+2, Constants!$B$5, COUNTA($C$8:$C806)+1, Constants!$B$6, COUNTA($C$8:$C806)),BE307))</f>
        <v/>
      </c>
      <c r="BG307" s="5"/>
      <c r="BH307" s="106" t="n">
        <f aca="false">IF(OR(ISNUMBER(BE307),BE307="DQ",BE307="P",BE307="NS"),
    1,
    0
)</f>
        <v>0</v>
      </c>
      <c r="BI307" s="106" t="n">
        <v>300</v>
      </c>
      <c r="BJ307" s="106" t="str">
        <f aca="false">IF(ISBLANK($C307),
    "",
   BF307+ROW($B307)/1000
)</f>
        <v/>
      </c>
      <c r="BK307" s="106" t="str">
        <f aca="false">IF(ISNUMBER(BJ307), RANK(BJ307,BJ$8:BJ$507,1), "")</f>
        <v/>
      </c>
      <c r="BL307" s="106" t="str">
        <f aca="false">IF(ISBLANK($C307),
    "",
    $B307
)</f>
        <v/>
      </c>
      <c r="BM307" s="106" t="str">
        <f aca="false">IF(ISBLANK($C307),
    "",
    $C307
)</f>
        <v/>
      </c>
      <c r="BN307" s="106" t="str">
        <f aca="false">IF(ISBLANK($C307),
    "",
    $D307
)</f>
        <v/>
      </c>
      <c r="BO307" s="107" t="str">
        <f aca="false">BC307</f>
        <v/>
      </c>
      <c r="BP307" s="108" t="str">
        <f aca="false">BB307</f>
        <v/>
      </c>
      <c r="BQ307" s="106" t="str">
        <f aca="false">IF(ISBLANK($C307),
    "",
    BE307
)</f>
        <v/>
      </c>
      <c r="BR307" s="109" t="str">
        <f aca="false">IF(BI307&gt;BH$7,
    "",
    VLOOKUP(BI307,BK$8:BQ806,7,FALSE())
)</f>
        <v/>
      </c>
      <c r="BS307" s="110" t="str">
        <f aca="false">IF(BI307&gt;BH$7,
    "",
    VLOOKUP(BI307,BK$8:BQ806,2,FALSE())
)</f>
        <v/>
      </c>
      <c r="BT307" s="110" t="str">
        <f aca="false">IF(BI307&gt;BH$7,
    "",
    VLOOKUP(BI307,BK$8:BQ806,3,FALSE())
)</f>
        <v/>
      </c>
      <c r="BU307" s="110" t="str">
        <f aca="false">IF(BI307&gt;BH$7,
    "",
    VLOOKUP(BI307,BK$8:BQ806,4,FALSE())
)</f>
        <v/>
      </c>
      <c r="BV307" s="110" t="str">
        <f aca="false">IF(BI307&gt;BH$7,
    "",
    VLOOKUP(BI307,BK$8:BQ806,5,FALSE())
)</f>
        <v/>
      </c>
      <c r="BW307" s="111" t="str">
        <f aca="false">IF(BI307&gt;BH$7,
    "",
    VLOOKUP(BI307,BK$8:BQ806,6,FALSE())
)</f>
        <v/>
      </c>
      <c r="BX307" s="50"/>
    </row>
    <row r="308" customFormat="false" ht="15.75" hidden="false" customHeight="false" outlineLevel="0" collapsed="false">
      <c r="A308" s="5"/>
      <c r="B308" s="126"/>
      <c r="C308" s="52"/>
      <c r="D308" s="53"/>
      <c r="E308" s="120"/>
      <c r="F308" s="120"/>
      <c r="G308" s="55"/>
      <c r="H308" s="56"/>
      <c r="I308" s="80"/>
      <c r="J308" s="80"/>
      <c r="K308" s="80"/>
      <c r="L308" s="58"/>
      <c r="M308" s="58"/>
      <c r="N308" s="58"/>
      <c r="O308" s="59"/>
      <c r="P308" s="60"/>
      <c r="Q308" s="80"/>
      <c r="R308" s="62"/>
      <c r="S308" s="63"/>
      <c r="T308" s="63" t="str">
        <f aca="false">IF(ISBLANK($C308),"",IF(G308=Constants!$B$2, TRUE(), IF(G308=Constants!$B$3, FALSE(), TRUE())))</f>
        <v/>
      </c>
      <c r="U308" s="63" t="str">
        <f aca="false">IF(ISBLANK($C308),"",IF(H308=Constants!$B$2, TRUE(), IF(H308=Constants!$B$3, FALSE(), TRUE())))</f>
        <v/>
      </c>
      <c r="V308" s="63" t="str">
        <f aca="false">IF(ISBLANK($C308),"",IF(I308=Constants!$B$2, TRUE(), IF(I308=Constants!$B$3, FALSE(), TRUE())))</f>
        <v/>
      </c>
      <c r="W308" s="63" t="str">
        <f aca="false">IF(ISBLANK($C308),"",IF(J308=Constants!$B$2, TRUE(), IF(J308=Constants!$B$3, FALSE(), TRUE())))</f>
        <v/>
      </c>
      <c r="X308" s="63" t="str">
        <f aca="false">IF(ISBLANK($C308),"",IF(K308=Constants!$B$2, TRUE(), IF(K308=Constants!$B$3, FALSE(), TRUE())))</f>
        <v/>
      </c>
      <c r="Y308" s="65" t="str">
        <f aca="false">IF(ISBLANK($C308),"",IF(ISNUMBER(L308), L308, ""))</f>
        <v/>
      </c>
      <c r="Z308" s="65" t="str">
        <f aca="false">IF(ISBLANK($C308),"",IF(ISNUMBER(M308), M308, ""))</f>
        <v/>
      </c>
      <c r="AA308" s="65" t="str">
        <f aca="false">IF(ISBLANK($C308),"",IF(ISNUMBER(N308), N308, ""))</f>
        <v/>
      </c>
      <c r="AB308" s="66" t="str">
        <f aca="false">IF(ISBLANK($C308),"",IF(ISNUMBER(O308), O308, ""))</f>
        <v/>
      </c>
      <c r="AC308" s="66" t="str">
        <f aca="false">IF(ISBLANK($C308),"",IF(ISNUMBER(P308), P308, Constants!$B$13))</f>
        <v/>
      </c>
      <c r="AD308" s="63" t="str">
        <f aca="false">IF(ISBLANK($C308),"",IF(Q308=Constants!$B$2, TRUE(), IF(Q308=Constants!$B$3, FALSE(), FALSE())))</f>
        <v/>
      </c>
      <c r="AE308" s="63" t="str">
        <f aca="false">IF(ISBLANK(C308), "", IF(AD308, Constants!$B$4,IF(COUNTA(G308:O308)=0, Constants!$B$5, Constants!$B$7)))</f>
        <v/>
      </c>
      <c r="AF308" s="63" t="str">
        <f aca="false">IF(ISBLANK($C308), "",IF($AE308=Constants!$B$7,1,$AE308))</f>
        <v/>
      </c>
      <c r="AG308" s="63" t="str">
        <f aca="false">IF($AE308=Constants!$B$7,IF(V308, 1, Constants!$B$11) * IF(X308, 1, Constants!$B$12),"")</f>
        <v/>
      </c>
      <c r="AH308" s="63" t="str">
        <f aca="false">IF(AND($AE308=Constants!$B$7, T308, U308) ,MAX(0, $AA308-$Y308),"")</f>
        <v/>
      </c>
      <c r="AI308" s="63" t="str">
        <f aca="false">IF(ISERROR(AH308),$AI$6,"")</f>
        <v/>
      </c>
      <c r="AJ308" s="63" t="str">
        <f aca="false">IF($AE308=Constants!$B$7,IF(AND(T308,U308,W308),IF($AH$6=0,Constants!$B$9,Constants!$B$9*AH308/$AH$6), 0),"")</f>
        <v/>
      </c>
      <c r="AK308" s="63" t="str">
        <f aca="false">IF(AJ308&lt;&gt;"", AJ308*AG308,"")</f>
        <v/>
      </c>
      <c r="AL308" s="63" t="str">
        <f aca="false">IF(AND($AE308=Constants!$B$7, T308, U308) ,IF($Z308="", "", MAX(0,1-ABS($AA308-$Z308)/$AA308)),"")</f>
        <v/>
      </c>
      <c r="AM308" s="63" t="str">
        <f aca="false">IF(AND(NOT(ISERROR(AH308)),ISERROR(AL308)),$AM$6,"")</f>
        <v/>
      </c>
      <c r="AN308" s="63" t="str">
        <f aca="false">IF($AE308=Constants!$B$7 ,IF(AND(T308,U308,W308,ISNUMBER(Z308)),IF($AL$6=0,Constants!$B$10,Constants!$B$10*AL308/$AL$6), 0),"")</f>
        <v/>
      </c>
      <c r="AO308" s="63" t="str">
        <f aca="false">IF(AN308&lt;&gt;"", AN308*AG308,"")</f>
        <v/>
      </c>
      <c r="AP308" s="63" t="str">
        <f aca="false">IF($AE308=Constants!$B$7,IF($AP$6=0,Constants!$B$8,Constants!$B$8*AB308/$AP$6),"")</f>
        <v/>
      </c>
      <c r="AQ308" s="63" t="str">
        <f aca="false">IF($AE308&lt;&gt;Constants!$B$7,$AE308,AK308+AO308+AP308)</f>
        <v/>
      </c>
      <c r="AR308" s="63" t="str">
        <f aca="false">IF(ISBLANK($C308),"",IF($AE308=Constants!$B$7,RANK(AQ308,$AQ$8:$AQ$507),$AE308))</f>
        <v/>
      </c>
      <c r="AS308" s="63" t="str">
        <f aca="false">IF(ISBLANK($C308), "",AK308)</f>
        <v/>
      </c>
      <c r="AT308" s="63" t="str">
        <f aca="false">IF(ISBLANK($C308),"",IF($AE308=Constants!$B$7,RANK(AS308,AS$8:AS$507),$AE308))</f>
        <v/>
      </c>
      <c r="AU308" s="63" t="str">
        <f aca="false">IF(ISBLANK($C308), "",AP308)</f>
        <v/>
      </c>
      <c r="AV308" s="63" t="str">
        <f aca="false">IF(ISBLANK($C308),"",IF($AE308=Constants!$B$7,RANK(AU308,AU$8:AU$507),$AE308))</f>
        <v/>
      </c>
      <c r="AW308" s="63" t="str">
        <f aca="false">IF(ISBLANK($C308), "",AC308)</f>
        <v/>
      </c>
      <c r="AX308" s="63" t="str">
        <f aca="false">IF(ISBLANK($C308),"",
IF($AE308=Constants!$B$7,
  COUNTIFS($AR$8:$AR$507,"&lt;"&amp;$AR308)
  + COUNTIFS($AR$8:$AR$507,$AR308,$AT$8:$AT$507,"&lt;"&amp;$AT308)
  + COUNTIFS($AR$8:$AR$507,$AR308,$AT$8:$AT$507,$AT308,$AV$8:$AV$507,"&lt;"&amp;$AV308)
  + COUNTIFS($AR$8:$AR$507,$AR308,$AT$8:$AT$507,$AT308,$AV$8:$AV$507,$AV308,$AW$8:$AW$507,"&lt;"&amp;$AW308)
  + 1,
$AE308))</f>
        <v/>
      </c>
      <c r="AY308" s="63" t="str">
        <f aca="false">IF(ISBLANK(C308),"",IF($AE308=Constants!$B$7, AR308-AX308,$AE308))</f>
        <v/>
      </c>
      <c r="AZ308" s="67"/>
      <c r="BA308" s="81" t="str">
        <f aca="false">IF(ISBLANK($C308),"",TRIM(AI308&amp;" "&amp;AM308))</f>
        <v/>
      </c>
      <c r="BB308" s="69" t="str">
        <f aca="false">IF(ISBLANK($C308),"",IF($AE308&lt;&gt;Constants!$B$7, $AE308 ,AQ308))</f>
        <v/>
      </c>
      <c r="BC308" s="70" t="str">
        <f aca="false">IF(ISBLANK($C308),"",IF($AE308&lt;&gt;Constants!$B$7, $AE308 ,AF308))</f>
        <v/>
      </c>
      <c r="BD308" s="71" t="str">
        <f aca="false">IF(ISBLANK(C308),"",AY308)</f>
        <v/>
      </c>
      <c r="BE308" s="71" t="str">
        <f aca="false">IF(ISBLANK(C308),"",AX308)</f>
        <v/>
      </c>
      <c r="BF308" s="72" t="str">
        <f aca="false">IF(ISBLANK(C308),"",IFERROR(_xlfn.SWITCH(BE308, Constants!$B$4, COUNTA($C$8:$C807)+2, Constants!$B$5, COUNTA($C$8:$C807)+1, Constants!$B$6, COUNTA($C$8:$C807)),BE308))</f>
        <v/>
      </c>
      <c r="BG308" s="5"/>
      <c r="BH308" s="73" t="n">
        <f aca="false">IF(OR(ISNUMBER(BE308),BE308="DQ",BE308="P",BE308="NS"),
    1,
    0
)</f>
        <v>0</v>
      </c>
      <c r="BI308" s="73" t="n">
        <v>301</v>
      </c>
      <c r="BJ308" s="73" t="str">
        <f aca="false">IF(ISBLANK($C308),
    "",
   BF308+ROW($B308)/1000
)</f>
        <v/>
      </c>
      <c r="BK308" s="73" t="str">
        <f aca="false">IF(ISNUMBER(BJ308), RANK(BJ308,BJ$8:BJ$507,1), "")</f>
        <v/>
      </c>
      <c r="BL308" s="73" t="str">
        <f aca="false">IF(ISBLANK($C308),
    "",
    $B308
)</f>
        <v/>
      </c>
      <c r="BM308" s="73" t="str">
        <f aca="false">IF(ISBLANK($C308),
    "",
    $C308
)</f>
        <v/>
      </c>
      <c r="BN308" s="73" t="str">
        <f aca="false">IF(ISBLANK($C308),
    "",
    $D308
)</f>
        <v/>
      </c>
      <c r="BO308" s="74" t="str">
        <f aca="false">BC308</f>
        <v/>
      </c>
      <c r="BP308" s="75" t="str">
        <f aca="false">BB308</f>
        <v/>
      </c>
      <c r="BQ308" s="73" t="str">
        <f aca="false">IF(ISBLANK($C308),
    "",
    BE308
)</f>
        <v/>
      </c>
      <c r="BR308" s="76" t="str">
        <f aca="false">IF(BI308&gt;BH$7,
    "",
    VLOOKUP(BI308,BK$8:BQ807,7,FALSE())
)</f>
        <v/>
      </c>
      <c r="BS308" s="77" t="str">
        <f aca="false">IF(BI308&gt;BH$7,
    "",
    VLOOKUP(BI308,BK$8:BQ807,2,FALSE())
)</f>
        <v/>
      </c>
      <c r="BT308" s="77" t="str">
        <f aca="false">IF(BI308&gt;BH$7,
    "",
    VLOOKUP(BI308,BK$8:BQ807,3,FALSE())
)</f>
        <v/>
      </c>
      <c r="BU308" s="77" t="str">
        <f aca="false">IF(BI308&gt;BH$7,
    "",
    VLOOKUP(BI308,BK$8:BQ807,4,FALSE())
)</f>
        <v/>
      </c>
      <c r="BV308" s="77" t="str">
        <f aca="false">IF(BI308&gt;BH$7,
    "",
    VLOOKUP(BI308,BK$8:BQ807,5,FALSE())
)</f>
        <v/>
      </c>
      <c r="BW308" s="78" t="str">
        <f aca="false">IF(BI308&gt;BH$7,
    "",
    VLOOKUP(BI308,BK$8:BQ807,6,FALSE())
)</f>
        <v/>
      </c>
      <c r="BX308" s="50"/>
    </row>
    <row r="309" customFormat="false" ht="15.75" hidden="false" customHeight="false" outlineLevel="0" collapsed="false">
      <c r="A309" s="5"/>
      <c r="B309" s="126"/>
      <c r="C309" s="52"/>
      <c r="D309" s="53"/>
      <c r="E309" s="120"/>
      <c r="F309" s="120"/>
      <c r="G309" s="55"/>
      <c r="H309" s="56"/>
      <c r="I309" s="80"/>
      <c r="J309" s="80"/>
      <c r="K309" s="80"/>
      <c r="L309" s="58"/>
      <c r="M309" s="58"/>
      <c r="N309" s="58"/>
      <c r="O309" s="59"/>
      <c r="P309" s="60"/>
      <c r="Q309" s="80"/>
      <c r="R309" s="62"/>
      <c r="S309" s="63"/>
      <c r="T309" s="63" t="str">
        <f aca="false">IF(ISBLANK($C309),"",IF(G309=Constants!$B$2, TRUE(), IF(G309=Constants!$B$3, FALSE(), TRUE())))</f>
        <v/>
      </c>
      <c r="U309" s="63" t="str">
        <f aca="false">IF(ISBLANK($C309),"",IF(H309=Constants!$B$2, TRUE(), IF(H309=Constants!$B$3, FALSE(), TRUE())))</f>
        <v/>
      </c>
      <c r="V309" s="63" t="str">
        <f aca="false">IF(ISBLANK($C309),"",IF(I309=Constants!$B$2, TRUE(), IF(I309=Constants!$B$3, FALSE(), TRUE())))</f>
        <v/>
      </c>
      <c r="W309" s="63" t="str">
        <f aca="false">IF(ISBLANK($C309),"",IF(J309=Constants!$B$2, TRUE(), IF(J309=Constants!$B$3, FALSE(), TRUE())))</f>
        <v/>
      </c>
      <c r="X309" s="63" t="str">
        <f aca="false">IF(ISBLANK($C309),"",IF(K309=Constants!$B$2, TRUE(), IF(K309=Constants!$B$3, FALSE(), TRUE())))</f>
        <v/>
      </c>
      <c r="Y309" s="65" t="str">
        <f aca="false">IF(ISBLANK($C309),"",IF(ISNUMBER(L309), L309, ""))</f>
        <v/>
      </c>
      <c r="Z309" s="65" t="str">
        <f aca="false">IF(ISBLANK($C309),"",IF(ISNUMBER(M309), M309, ""))</f>
        <v/>
      </c>
      <c r="AA309" s="65" t="str">
        <f aca="false">IF(ISBLANK($C309),"",IF(ISNUMBER(N309), N309, ""))</f>
        <v/>
      </c>
      <c r="AB309" s="66" t="str">
        <f aca="false">IF(ISBLANK($C309),"",IF(ISNUMBER(O309), O309, ""))</f>
        <v/>
      </c>
      <c r="AC309" s="66" t="str">
        <f aca="false">IF(ISBLANK($C309),"",IF(ISNUMBER(P309), P309, Constants!$B$13))</f>
        <v/>
      </c>
      <c r="AD309" s="63" t="str">
        <f aca="false">IF(ISBLANK($C309),"",IF(Q309=Constants!$B$2, TRUE(), IF(Q309=Constants!$B$3, FALSE(), FALSE())))</f>
        <v/>
      </c>
      <c r="AE309" s="63" t="str">
        <f aca="false">IF(ISBLANK(C309), "", IF(AD309, Constants!$B$4,IF(COUNTA(G309:O309)=0, Constants!$B$5, Constants!$B$7)))</f>
        <v/>
      </c>
      <c r="AF309" s="63" t="str">
        <f aca="false">IF(ISBLANK($C309), "",IF($AE309=Constants!$B$7,1,$AE309))</f>
        <v/>
      </c>
      <c r="AG309" s="63" t="str">
        <f aca="false">IF($AE309=Constants!$B$7,IF(V309, 1, Constants!$B$11) * IF(X309, 1, Constants!$B$12),"")</f>
        <v/>
      </c>
      <c r="AH309" s="63" t="str">
        <f aca="false">IF(AND($AE309=Constants!$B$7, T309, U309) ,MAX(0, $AA309-$Y309),"")</f>
        <v/>
      </c>
      <c r="AI309" s="63" t="str">
        <f aca="false">IF(ISERROR(AH309),$AI$6,"")</f>
        <v/>
      </c>
      <c r="AJ309" s="63" t="str">
        <f aca="false">IF($AE309=Constants!$B$7,IF(AND(T309,U309,W309),IF($AH$6=0,Constants!$B$9,Constants!$B$9*AH309/$AH$6), 0),"")</f>
        <v/>
      </c>
      <c r="AK309" s="63" t="str">
        <f aca="false">IF(AJ309&lt;&gt;"", AJ309*AG309,"")</f>
        <v/>
      </c>
      <c r="AL309" s="63" t="str">
        <f aca="false">IF(AND($AE309=Constants!$B$7, T309, U309) ,IF($Z309="", "", MAX(0,1-ABS($AA309-$Z309)/$AA309)),"")</f>
        <v/>
      </c>
      <c r="AM309" s="63" t="str">
        <f aca="false">IF(AND(NOT(ISERROR(AH309)),ISERROR(AL309)),$AM$6,"")</f>
        <v/>
      </c>
      <c r="AN309" s="63" t="str">
        <f aca="false">IF($AE309=Constants!$B$7 ,IF(AND(T309,U309,W309,ISNUMBER(Z309)),IF($AL$6=0,Constants!$B$10,Constants!$B$10*AL309/$AL$6), 0),"")</f>
        <v/>
      </c>
      <c r="AO309" s="63" t="str">
        <f aca="false">IF(AN309&lt;&gt;"", AN309*AG309,"")</f>
        <v/>
      </c>
      <c r="AP309" s="63" t="str">
        <f aca="false">IF($AE309=Constants!$B$7,IF($AP$6=0,Constants!$B$8,Constants!$B$8*AB309/$AP$6),"")</f>
        <v/>
      </c>
      <c r="AQ309" s="63" t="str">
        <f aca="false">IF($AE309&lt;&gt;Constants!$B$7,$AE309,AK309+AO309+AP309)</f>
        <v/>
      </c>
      <c r="AR309" s="63" t="str">
        <f aca="false">IF(ISBLANK($C309),"",IF($AE309=Constants!$B$7,RANK(AQ309,$AQ$8:$AQ$507),$AE309))</f>
        <v/>
      </c>
      <c r="AS309" s="63" t="str">
        <f aca="false">IF(ISBLANK($C309), "",AK309)</f>
        <v/>
      </c>
      <c r="AT309" s="63" t="str">
        <f aca="false">IF(ISBLANK($C309),"",IF($AE309=Constants!$B$7,RANK(AS309,AS$8:AS$507),$AE309))</f>
        <v/>
      </c>
      <c r="AU309" s="63" t="str">
        <f aca="false">IF(ISBLANK($C309), "",AP309)</f>
        <v/>
      </c>
      <c r="AV309" s="63" t="str">
        <f aca="false">IF(ISBLANK($C309),"",IF($AE309=Constants!$B$7,RANK(AU309,AU$8:AU$507),$AE309))</f>
        <v/>
      </c>
      <c r="AW309" s="63" t="str">
        <f aca="false">IF(ISBLANK($C309), "",AC309)</f>
        <v/>
      </c>
      <c r="AX309" s="63" t="str">
        <f aca="false">IF(ISBLANK($C309),"",
IF($AE309=Constants!$B$7,
  COUNTIFS($AR$8:$AR$507,"&lt;"&amp;$AR309)
  + COUNTIFS($AR$8:$AR$507,$AR309,$AT$8:$AT$507,"&lt;"&amp;$AT309)
  + COUNTIFS($AR$8:$AR$507,$AR309,$AT$8:$AT$507,$AT309,$AV$8:$AV$507,"&lt;"&amp;$AV309)
  + COUNTIFS($AR$8:$AR$507,$AR309,$AT$8:$AT$507,$AT309,$AV$8:$AV$507,$AV309,$AW$8:$AW$507,"&lt;"&amp;$AW309)
  + 1,
$AE309))</f>
        <v/>
      </c>
      <c r="AY309" s="63" t="str">
        <f aca="false">IF(ISBLANK(C309),"",IF($AE309=Constants!$B$7, AR309-AX309,$AE309))</f>
        <v/>
      </c>
      <c r="AZ309" s="67"/>
      <c r="BA309" s="81" t="str">
        <f aca="false">IF(ISBLANK($C309),"",TRIM(AI309&amp;" "&amp;AM309))</f>
        <v/>
      </c>
      <c r="BB309" s="69" t="str">
        <f aca="false">IF(ISBLANK($C309),"",IF($AE309&lt;&gt;Constants!$B$7, $AE309 ,AQ309))</f>
        <v/>
      </c>
      <c r="BC309" s="70" t="str">
        <f aca="false">IF(ISBLANK($C309),"",IF($AE309&lt;&gt;Constants!$B$7, $AE309 ,AF309))</f>
        <v/>
      </c>
      <c r="BD309" s="71" t="str">
        <f aca="false">IF(ISBLANK(C309),"",AY309)</f>
        <v/>
      </c>
      <c r="BE309" s="71" t="str">
        <f aca="false">IF(ISBLANK(C309),"",AX309)</f>
        <v/>
      </c>
      <c r="BF309" s="72" t="str">
        <f aca="false">IF(ISBLANK(C309),"",IFERROR(_xlfn.SWITCH(BE309, Constants!$B$4, COUNTA($C$8:$C808)+2, Constants!$B$5, COUNTA($C$8:$C808)+1, Constants!$B$6, COUNTA($C$8:$C808)),BE309))</f>
        <v/>
      </c>
      <c r="BG309" s="5"/>
      <c r="BH309" s="73" t="n">
        <f aca="false">IF(OR(ISNUMBER(BE309),BE309="DQ",BE309="P",BE309="NS"),
    1,
    0
)</f>
        <v>0</v>
      </c>
      <c r="BI309" s="73" t="n">
        <v>302</v>
      </c>
      <c r="BJ309" s="73" t="str">
        <f aca="false">IF(ISBLANK($C309),
    "",
   BF309+ROW($B309)/1000
)</f>
        <v/>
      </c>
      <c r="BK309" s="73" t="str">
        <f aca="false">IF(ISNUMBER(BJ309), RANK(BJ309,BJ$8:BJ$507,1), "")</f>
        <v/>
      </c>
      <c r="BL309" s="73" t="str">
        <f aca="false">IF(ISBLANK($C309),
    "",
    $B309
)</f>
        <v/>
      </c>
      <c r="BM309" s="73" t="str">
        <f aca="false">IF(ISBLANK($C309),
    "",
    $C309
)</f>
        <v/>
      </c>
      <c r="BN309" s="73" t="str">
        <f aca="false">IF(ISBLANK($C309),
    "",
    $D309
)</f>
        <v/>
      </c>
      <c r="BO309" s="74" t="str">
        <f aca="false">BC309</f>
        <v/>
      </c>
      <c r="BP309" s="75" t="str">
        <f aca="false">BB309</f>
        <v/>
      </c>
      <c r="BQ309" s="73" t="str">
        <f aca="false">IF(ISBLANK($C309),
    "",
    BE309
)</f>
        <v/>
      </c>
      <c r="BR309" s="76" t="str">
        <f aca="false">IF(BI309&gt;BH$7,
    "",
    VLOOKUP(BI309,BK$8:BQ808,7,FALSE())
)</f>
        <v/>
      </c>
      <c r="BS309" s="77" t="str">
        <f aca="false">IF(BI309&gt;BH$7,
    "",
    VLOOKUP(BI309,BK$8:BQ808,2,FALSE())
)</f>
        <v/>
      </c>
      <c r="BT309" s="77" t="str">
        <f aca="false">IF(BI309&gt;BH$7,
    "",
    VLOOKUP(BI309,BK$8:BQ808,3,FALSE())
)</f>
        <v/>
      </c>
      <c r="BU309" s="77" t="str">
        <f aca="false">IF(BI309&gt;BH$7,
    "",
    VLOOKUP(BI309,BK$8:BQ808,4,FALSE())
)</f>
        <v/>
      </c>
      <c r="BV309" s="77" t="str">
        <f aca="false">IF(BI309&gt;BH$7,
    "",
    VLOOKUP(BI309,BK$8:BQ808,5,FALSE())
)</f>
        <v/>
      </c>
      <c r="BW309" s="78" t="str">
        <f aca="false">IF(BI309&gt;BH$7,
    "",
    VLOOKUP(BI309,BK$8:BQ808,6,FALSE())
)</f>
        <v/>
      </c>
      <c r="BX309" s="50"/>
    </row>
    <row r="310" customFormat="false" ht="15.75" hidden="false" customHeight="false" outlineLevel="0" collapsed="false">
      <c r="A310" s="5"/>
      <c r="B310" s="126"/>
      <c r="C310" s="52"/>
      <c r="D310" s="53"/>
      <c r="E310" s="120"/>
      <c r="F310" s="120"/>
      <c r="G310" s="55"/>
      <c r="H310" s="56"/>
      <c r="I310" s="80"/>
      <c r="J310" s="80"/>
      <c r="K310" s="80"/>
      <c r="L310" s="58"/>
      <c r="M310" s="58"/>
      <c r="N310" s="58"/>
      <c r="O310" s="59"/>
      <c r="P310" s="60"/>
      <c r="Q310" s="80"/>
      <c r="R310" s="62"/>
      <c r="S310" s="63"/>
      <c r="T310" s="63" t="str">
        <f aca="false">IF(ISBLANK($C310),"",IF(G310=Constants!$B$2, TRUE(), IF(G310=Constants!$B$3, FALSE(), TRUE())))</f>
        <v/>
      </c>
      <c r="U310" s="63" t="str">
        <f aca="false">IF(ISBLANK($C310),"",IF(H310=Constants!$B$2, TRUE(), IF(H310=Constants!$B$3, FALSE(), TRUE())))</f>
        <v/>
      </c>
      <c r="V310" s="63" t="str">
        <f aca="false">IF(ISBLANK($C310),"",IF(I310=Constants!$B$2, TRUE(), IF(I310=Constants!$B$3, FALSE(), TRUE())))</f>
        <v/>
      </c>
      <c r="W310" s="63" t="str">
        <f aca="false">IF(ISBLANK($C310),"",IF(J310=Constants!$B$2, TRUE(), IF(J310=Constants!$B$3, FALSE(), TRUE())))</f>
        <v/>
      </c>
      <c r="X310" s="63" t="str">
        <f aca="false">IF(ISBLANK($C310),"",IF(K310=Constants!$B$2, TRUE(), IF(K310=Constants!$B$3, FALSE(), TRUE())))</f>
        <v/>
      </c>
      <c r="Y310" s="65" t="str">
        <f aca="false">IF(ISBLANK($C310),"",IF(ISNUMBER(L310), L310, ""))</f>
        <v/>
      </c>
      <c r="Z310" s="65" t="str">
        <f aca="false">IF(ISBLANK($C310),"",IF(ISNUMBER(M310), M310, ""))</f>
        <v/>
      </c>
      <c r="AA310" s="65" t="str">
        <f aca="false">IF(ISBLANK($C310),"",IF(ISNUMBER(N310), N310, ""))</f>
        <v/>
      </c>
      <c r="AB310" s="66" t="str">
        <f aca="false">IF(ISBLANK($C310),"",IF(ISNUMBER(O310), O310, ""))</f>
        <v/>
      </c>
      <c r="AC310" s="66" t="str">
        <f aca="false">IF(ISBLANK($C310),"",IF(ISNUMBER(P310), P310, Constants!$B$13))</f>
        <v/>
      </c>
      <c r="AD310" s="63" t="str">
        <f aca="false">IF(ISBLANK($C310),"",IF(Q310=Constants!$B$2, TRUE(), IF(Q310=Constants!$B$3, FALSE(), FALSE())))</f>
        <v/>
      </c>
      <c r="AE310" s="63" t="str">
        <f aca="false">IF(ISBLANK(C310), "", IF(AD310, Constants!$B$4,IF(COUNTA(G310:O310)=0, Constants!$B$5, Constants!$B$7)))</f>
        <v/>
      </c>
      <c r="AF310" s="63" t="str">
        <f aca="false">IF(ISBLANK($C310), "",IF($AE310=Constants!$B$7,1,$AE310))</f>
        <v/>
      </c>
      <c r="AG310" s="63" t="str">
        <f aca="false">IF($AE310=Constants!$B$7,IF(V310, 1, Constants!$B$11) * IF(X310, 1, Constants!$B$12),"")</f>
        <v/>
      </c>
      <c r="AH310" s="63" t="str">
        <f aca="false">IF(AND($AE310=Constants!$B$7, T310, U310) ,MAX(0, $AA310-$Y310),"")</f>
        <v/>
      </c>
      <c r="AI310" s="63" t="str">
        <f aca="false">IF(ISERROR(AH310),$AI$6,"")</f>
        <v/>
      </c>
      <c r="AJ310" s="63" t="str">
        <f aca="false">IF($AE310=Constants!$B$7,IF(AND(T310,U310,W310),IF($AH$6=0,Constants!$B$9,Constants!$B$9*AH310/$AH$6), 0),"")</f>
        <v/>
      </c>
      <c r="AK310" s="63" t="str">
        <f aca="false">IF(AJ310&lt;&gt;"", AJ310*AG310,"")</f>
        <v/>
      </c>
      <c r="AL310" s="63" t="str">
        <f aca="false">IF(AND($AE310=Constants!$B$7, T310, U310) ,IF($Z310="", "", MAX(0,1-ABS($AA310-$Z310)/$AA310)),"")</f>
        <v/>
      </c>
      <c r="AM310" s="63" t="str">
        <f aca="false">IF(AND(NOT(ISERROR(AH310)),ISERROR(AL310)),$AM$6,"")</f>
        <v/>
      </c>
      <c r="AN310" s="63" t="str">
        <f aca="false">IF($AE310=Constants!$B$7 ,IF(AND(T310,U310,W310,ISNUMBER(Z310)),IF($AL$6=0,Constants!$B$10,Constants!$B$10*AL310/$AL$6), 0),"")</f>
        <v/>
      </c>
      <c r="AO310" s="63" t="str">
        <f aca="false">IF(AN310&lt;&gt;"", AN310*AG310,"")</f>
        <v/>
      </c>
      <c r="AP310" s="63" t="str">
        <f aca="false">IF($AE310=Constants!$B$7,IF($AP$6=0,Constants!$B$8,Constants!$B$8*AB310/$AP$6),"")</f>
        <v/>
      </c>
      <c r="AQ310" s="63" t="str">
        <f aca="false">IF($AE310&lt;&gt;Constants!$B$7,$AE310,AK310+AO310+AP310)</f>
        <v/>
      </c>
      <c r="AR310" s="63" t="str">
        <f aca="false">IF(ISBLANK($C310),"",IF($AE310=Constants!$B$7,RANK(AQ310,$AQ$8:$AQ$507),$AE310))</f>
        <v/>
      </c>
      <c r="AS310" s="63" t="str">
        <f aca="false">IF(ISBLANK($C310), "",AK310)</f>
        <v/>
      </c>
      <c r="AT310" s="63" t="str">
        <f aca="false">IF(ISBLANK($C310),"",IF($AE310=Constants!$B$7,RANK(AS310,AS$8:AS$507),$AE310))</f>
        <v/>
      </c>
      <c r="AU310" s="63" t="str">
        <f aca="false">IF(ISBLANK($C310), "",AP310)</f>
        <v/>
      </c>
      <c r="AV310" s="63" t="str">
        <f aca="false">IF(ISBLANK($C310),"",IF($AE310=Constants!$B$7,RANK(AU310,AU$8:AU$507),$AE310))</f>
        <v/>
      </c>
      <c r="AW310" s="63" t="str">
        <f aca="false">IF(ISBLANK($C310), "",AC310)</f>
        <v/>
      </c>
      <c r="AX310" s="63" t="str">
        <f aca="false">IF(ISBLANK($C310),"",
IF($AE310=Constants!$B$7,
  COUNTIFS($AR$8:$AR$507,"&lt;"&amp;$AR310)
  + COUNTIFS($AR$8:$AR$507,$AR310,$AT$8:$AT$507,"&lt;"&amp;$AT310)
  + COUNTIFS($AR$8:$AR$507,$AR310,$AT$8:$AT$507,$AT310,$AV$8:$AV$507,"&lt;"&amp;$AV310)
  + COUNTIFS($AR$8:$AR$507,$AR310,$AT$8:$AT$507,$AT310,$AV$8:$AV$507,$AV310,$AW$8:$AW$507,"&lt;"&amp;$AW310)
  + 1,
$AE310))</f>
        <v/>
      </c>
      <c r="AY310" s="63" t="str">
        <f aca="false">IF(ISBLANK(C310),"",IF($AE310=Constants!$B$7, AR310-AX310,$AE310))</f>
        <v/>
      </c>
      <c r="AZ310" s="67"/>
      <c r="BA310" s="81" t="str">
        <f aca="false">IF(ISBLANK($C310),"",TRIM(AI310&amp;" "&amp;AM310))</f>
        <v/>
      </c>
      <c r="BB310" s="69" t="str">
        <f aca="false">IF(ISBLANK($C310),"",IF($AE310&lt;&gt;Constants!$B$7, $AE310 ,AQ310))</f>
        <v/>
      </c>
      <c r="BC310" s="70" t="str">
        <f aca="false">IF(ISBLANK($C310),"",IF($AE310&lt;&gt;Constants!$B$7, $AE310 ,AF310))</f>
        <v/>
      </c>
      <c r="BD310" s="71" t="str">
        <f aca="false">IF(ISBLANK(C310),"",AY310)</f>
        <v/>
      </c>
      <c r="BE310" s="71" t="str">
        <f aca="false">IF(ISBLANK(C310),"",AX310)</f>
        <v/>
      </c>
      <c r="BF310" s="72" t="str">
        <f aca="false">IF(ISBLANK(C310),"",IFERROR(_xlfn.SWITCH(BE310, Constants!$B$4, COUNTA($C$8:$C809)+2, Constants!$B$5, COUNTA($C$8:$C809)+1, Constants!$B$6, COUNTA($C$8:$C809)),BE310))</f>
        <v/>
      </c>
      <c r="BG310" s="5"/>
      <c r="BH310" s="73" t="n">
        <f aca="false">IF(OR(ISNUMBER(BE310),BE310="DQ",BE310="P",BE310="NS"),
    1,
    0
)</f>
        <v>0</v>
      </c>
      <c r="BI310" s="73" t="n">
        <v>303</v>
      </c>
      <c r="BJ310" s="73" t="str">
        <f aca="false">IF(ISBLANK($C310),
    "",
   BF310+ROW($B310)/1000
)</f>
        <v/>
      </c>
      <c r="BK310" s="73" t="str">
        <f aca="false">IF(ISNUMBER(BJ310), RANK(BJ310,BJ$8:BJ$507,1), "")</f>
        <v/>
      </c>
      <c r="BL310" s="73" t="str">
        <f aca="false">IF(ISBLANK($C310),
    "",
    $B310
)</f>
        <v/>
      </c>
      <c r="BM310" s="73" t="str">
        <f aca="false">IF(ISBLANK($C310),
    "",
    $C310
)</f>
        <v/>
      </c>
      <c r="BN310" s="73" t="str">
        <f aca="false">IF(ISBLANK($C310),
    "",
    $D310
)</f>
        <v/>
      </c>
      <c r="BO310" s="74" t="str">
        <f aca="false">BC310</f>
        <v/>
      </c>
      <c r="BP310" s="75" t="str">
        <f aca="false">BB310</f>
        <v/>
      </c>
      <c r="BQ310" s="73" t="str">
        <f aca="false">IF(ISBLANK($C310),
    "",
    BE310
)</f>
        <v/>
      </c>
      <c r="BR310" s="76" t="str">
        <f aca="false">IF(BI310&gt;BH$7,
    "",
    VLOOKUP(BI310,BK$8:BQ809,7,FALSE())
)</f>
        <v/>
      </c>
      <c r="BS310" s="77" t="str">
        <f aca="false">IF(BI310&gt;BH$7,
    "",
    VLOOKUP(BI310,BK$8:BQ809,2,FALSE())
)</f>
        <v/>
      </c>
      <c r="BT310" s="77" t="str">
        <f aca="false">IF(BI310&gt;BH$7,
    "",
    VLOOKUP(BI310,BK$8:BQ809,3,FALSE())
)</f>
        <v/>
      </c>
      <c r="BU310" s="77" t="str">
        <f aca="false">IF(BI310&gt;BH$7,
    "",
    VLOOKUP(BI310,BK$8:BQ809,4,FALSE())
)</f>
        <v/>
      </c>
      <c r="BV310" s="77" t="str">
        <f aca="false">IF(BI310&gt;BH$7,
    "",
    VLOOKUP(BI310,BK$8:BQ809,5,FALSE())
)</f>
        <v/>
      </c>
      <c r="BW310" s="78" t="str">
        <f aca="false">IF(BI310&gt;BH$7,
    "",
    VLOOKUP(BI310,BK$8:BQ809,6,FALSE())
)</f>
        <v/>
      </c>
      <c r="BX310" s="50"/>
    </row>
    <row r="311" customFormat="false" ht="15.75" hidden="false" customHeight="false" outlineLevel="0" collapsed="false">
      <c r="A311" s="5"/>
      <c r="B311" s="122"/>
      <c r="C311" s="123"/>
      <c r="D311" s="112"/>
      <c r="E311" s="116"/>
      <c r="F311" s="116"/>
      <c r="G311" s="88"/>
      <c r="H311" s="89"/>
      <c r="I311" s="125"/>
      <c r="J311" s="125"/>
      <c r="K311" s="125"/>
      <c r="L311" s="91"/>
      <c r="M311" s="91"/>
      <c r="N311" s="91"/>
      <c r="O311" s="92"/>
      <c r="P311" s="93"/>
      <c r="Q311" s="125"/>
      <c r="R311" s="95"/>
      <c r="S311" s="96"/>
      <c r="T311" s="96" t="str">
        <f aca="false">IF(ISBLANK($C311),"",IF(G311=Constants!$B$2, TRUE(), IF(G311=Constants!$B$3, FALSE(), TRUE())))</f>
        <v/>
      </c>
      <c r="U311" s="96" t="str">
        <f aca="false">IF(ISBLANK($C311),"",IF(H311=Constants!$B$2, TRUE(), IF(H311=Constants!$B$3, FALSE(), TRUE())))</f>
        <v/>
      </c>
      <c r="V311" s="96" t="str">
        <f aca="false">IF(ISBLANK($C311),"",IF(I311=Constants!$B$2, TRUE(), IF(I311=Constants!$B$3, FALSE(), TRUE())))</f>
        <v/>
      </c>
      <c r="W311" s="96" t="str">
        <f aca="false">IF(ISBLANK($C311),"",IF(J311=Constants!$B$2, TRUE(), IF(J311=Constants!$B$3, FALSE(), TRUE())))</f>
        <v/>
      </c>
      <c r="X311" s="97" t="str">
        <f aca="false">IF(ISBLANK($C311),"",IF(K311=Constants!$B$2, TRUE(), IF(K311=Constants!$B$3, FALSE(), TRUE())))</f>
        <v/>
      </c>
      <c r="Y311" s="98" t="str">
        <f aca="false">IF(ISBLANK($C311),"",IF(ISNUMBER(L311), L311, ""))</f>
        <v/>
      </c>
      <c r="Z311" s="98" t="str">
        <f aca="false">IF(ISBLANK($C311),"",IF(ISNUMBER(M311), M311, ""))</f>
        <v/>
      </c>
      <c r="AA311" s="98" t="str">
        <f aca="false">IF(ISBLANK($C311),"",IF(ISNUMBER(N311), N311, ""))</f>
        <v/>
      </c>
      <c r="AB311" s="99" t="str">
        <f aca="false">IF(ISBLANK($C311),"",IF(ISNUMBER(O311), O311, ""))</f>
        <v/>
      </c>
      <c r="AC311" s="99" t="str">
        <f aca="false">IF(ISBLANK($C311),"",IF(ISNUMBER(P311), P311, Constants!$B$13))</f>
        <v/>
      </c>
      <c r="AD311" s="96" t="str">
        <f aca="false">IF(ISBLANK($C311),"",IF(Q311=Constants!$B$2, TRUE(), IF(Q311=Constants!$B$3, FALSE(), FALSE())))</f>
        <v/>
      </c>
      <c r="AE311" s="96" t="str">
        <f aca="false">IF(ISBLANK(C311), "", IF(AD311, Constants!$B$4,IF(COUNTA(G311:O311)=0, Constants!$B$5, Constants!$B$7)))</f>
        <v/>
      </c>
      <c r="AF311" s="96" t="str">
        <f aca="false">IF(ISBLANK($C311), "",IF($AE311=Constants!$B$7,1,$AE311))</f>
        <v/>
      </c>
      <c r="AG311" s="96" t="str">
        <f aca="false">IF($AE311=Constants!$B$7,IF(V311, 1, Constants!$B$11) * IF(X311, 1, Constants!$B$12),"")</f>
        <v/>
      </c>
      <c r="AH311" s="96" t="str">
        <f aca="false">IF(AND($AE311=Constants!$B$7, T311, U311) ,MAX(0, $AA311-$Y311),"")</f>
        <v/>
      </c>
      <c r="AI311" s="96" t="str">
        <f aca="false">IF(ISERROR(AH311),$AI$6,"")</f>
        <v/>
      </c>
      <c r="AJ311" s="96" t="str">
        <f aca="false">IF($AE311=Constants!$B$7,IF(AND(T311,U311,W311),IF($AH$6=0,Constants!$B$9,Constants!$B$9*AH311/$AH$6), 0),"")</f>
        <v/>
      </c>
      <c r="AK311" s="96" t="str">
        <f aca="false">IF(AJ311&lt;&gt;"", AJ311*AG311,"")</f>
        <v/>
      </c>
      <c r="AL311" s="96" t="str">
        <f aca="false">IF(AND($AE311=Constants!$B$7, T311, U311) ,IF($Z311="", "", MAX(0,1-ABS($AA311-$Z311)/$AA311)),"")</f>
        <v/>
      </c>
      <c r="AM311" s="96" t="str">
        <f aca="false">IF(AND(NOT(ISERROR(AH311)),ISERROR(AL311)),$AM$6,"")</f>
        <v/>
      </c>
      <c r="AN311" s="96" t="str">
        <f aca="false">IF($AE311=Constants!$B$7 ,IF(AND(T311,U311,W311,ISNUMBER(Z311)),IF($AL$6=0,Constants!$B$10,Constants!$B$10*AL311/$AL$6), 0),"")</f>
        <v/>
      </c>
      <c r="AO311" s="96" t="str">
        <f aca="false">IF(AN311&lt;&gt;"", AN311*AG311,"")</f>
        <v/>
      </c>
      <c r="AP311" s="96" t="str">
        <f aca="false">IF($AE311=Constants!$B$7,IF($AP$6=0,Constants!$B$8,Constants!$B$8*AB311/$AP$6),"")</f>
        <v/>
      </c>
      <c r="AQ311" s="96" t="str">
        <f aca="false">IF($AE311&lt;&gt;Constants!$B$7,$AE311,AK311+AO311+AP311)</f>
        <v/>
      </c>
      <c r="AR311" s="96" t="str">
        <f aca="false">IF(ISBLANK($C311),"",IF($AE311=Constants!$B$7,RANK(AQ311,$AQ$8:$AQ$507),$AE311))</f>
        <v/>
      </c>
      <c r="AS311" s="96" t="str">
        <f aca="false">IF(ISBLANK($C311), "",AK311)</f>
        <v/>
      </c>
      <c r="AT311" s="96" t="str">
        <f aca="false">IF(ISBLANK($C311),"",IF($AE311=Constants!$B$7,RANK(AS311,AS$8:AS$507),$AE311))</f>
        <v/>
      </c>
      <c r="AU311" s="96" t="str">
        <f aca="false">IF(ISBLANK($C311), "",AP311)</f>
        <v/>
      </c>
      <c r="AV311" s="96" t="str">
        <f aca="false">IF(ISBLANK($C311),"",IF($AE311=Constants!$B$7,RANK(AU311,AU$8:AU$507),$AE311))</f>
        <v/>
      </c>
      <c r="AW311" s="96" t="str">
        <f aca="false">IF(ISBLANK($C311), "",AC311)</f>
        <v/>
      </c>
      <c r="AX311" s="96" t="str">
        <f aca="false">IF(ISBLANK($C311),"",
IF($AE311=Constants!$B$7,
  COUNTIFS($AR$8:$AR$507,"&lt;"&amp;$AR311)
  + COUNTIFS($AR$8:$AR$507,$AR311,$AT$8:$AT$507,"&lt;"&amp;$AT311)
  + COUNTIFS($AR$8:$AR$507,$AR311,$AT$8:$AT$507,$AT311,$AV$8:$AV$507,"&lt;"&amp;$AV311)
  + COUNTIFS($AR$8:$AR$507,$AR311,$AT$8:$AT$507,$AT311,$AV$8:$AV$507,$AV311,$AW$8:$AW$507,"&lt;"&amp;$AW311)
  + 1,
$AE311))</f>
        <v/>
      </c>
      <c r="AY311" s="96" t="str">
        <f aca="false">IF(ISBLANK(C311),"",IF($AE311=Constants!$B$7, AR311-AX311,$AE311))</f>
        <v/>
      </c>
      <c r="AZ311" s="100"/>
      <c r="BA311" s="101" t="str">
        <f aca="false">IF(ISBLANK($C311),"",TRIM(AI311&amp;" "&amp;AM311))</f>
        <v/>
      </c>
      <c r="BB311" s="102" t="str">
        <f aca="false">IF(ISBLANK($C311),"",IF($AE311&lt;&gt;Constants!$B$7, $AE311 ,AQ311))</f>
        <v/>
      </c>
      <c r="BC311" s="103" t="str">
        <f aca="false">IF(ISBLANK($C311),"",IF($AE311&lt;&gt;Constants!$B$7, $AE311 ,AF311))</f>
        <v/>
      </c>
      <c r="BD311" s="104" t="str">
        <f aca="false">IF(ISBLANK(C311),"",AY311)</f>
        <v/>
      </c>
      <c r="BE311" s="104" t="str">
        <f aca="false">IF(ISBLANK(C311),"",AX311)</f>
        <v/>
      </c>
      <c r="BF311" s="105" t="str">
        <f aca="false">IF(ISBLANK(C311),"",IFERROR(_xlfn.SWITCH(BE311, Constants!$B$4, COUNTA($C$8:$C810)+2, Constants!$B$5, COUNTA($C$8:$C810)+1, Constants!$B$6, COUNTA($C$8:$C810)),BE311))</f>
        <v/>
      </c>
      <c r="BG311" s="5"/>
      <c r="BH311" s="106" t="n">
        <f aca="false">IF(OR(ISNUMBER(BE311),BE311="DQ",BE311="P",BE311="NS"),
    1,
    0
)</f>
        <v>0</v>
      </c>
      <c r="BI311" s="106" t="n">
        <v>304</v>
      </c>
      <c r="BJ311" s="106" t="str">
        <f aca="false">IF(ISBLANK($C311),
    "",
   BF311+ROW($B311)/1000
)</f>
        <v/>
      </c>
      <c r="BK311" s="106" t="str">
        <f aca="false">IF(ISNUMBER(BJ311), RANK(BJ311,BJ$8:BJ$507,1), "")</f>
        <v/>
      </c>
      <c r="BL311" s="106" t="str">
        <f aca="false">IF(ISBLANK($C311),
    "",
    $B311
)</f>
        <v/>
      </c>
      <c r="BM311" s="106" t="str">
        <f aca="false">IF(ISBLANK($C311),
    "",
    $C311
)</f>
        <v/>
      </c>
      <c r="BN311" s="106" t="str">
        <f aca="false">IF(ISBLANK($C311),
    "",
    $D311
)</f>
        <v/>
      </c>
      <c r="BO311" s="107" t="str">
        <f aca="false">BC311</f>
        <v/>
      </c>
      <c r="BP311" s="108" t="str">
        <f aca="false">BB311</f>
        <v/>
      </c>
      <c r="BQ311" s="106" t="str">
        <f aca="false">IF(ISBLANK($C311),
    "",
    BE311
)</f>
        <v/>
      </c>
      <c r="BR311" s="109" t="str">
        <f aca="false">IF(BI311&gt;BH$7,
    "",
    VLOOKUP(BI311,BK$8:BQ810,7,FALSE())
)</f>
        <v/>
      </c>
      <c r="BS311" s="110" t="str">
        <f aca="false">IF(BI311&gt;BH$7,
    "",
    VLOOKUP(BI311,BK$8:BQ810,2,FALSE())
)</f>
        <v/>
      </c>
      <c r="BT311" s="110" t="str">
        <f aca="false">IF(BI311&gt;BH$7,
    "",
    VLOOKUP(BI311,BK$8:BQ810,3,FALSE())
)</f>
        <v/>
      </c>
      <c r="BU311" s="110" t="str">
        <f aca="false">IF(BI311&gt;BH$7,
    "",
    VLOOKUP(BI311,BK$8:BQ810,4,FALSE())
)</f>
        <v/>
      </c>
      <c r="BV311" s="110" t="str">
        <f aca="false">IF(BI311&gt;BH$7,
    "",
    VLOOKUP(BI311,BK$8:BQ810,5,FALSE())
)</f>
        <v/>
      </c>
      <c r="BW311" s="111" t="str">
        <f aca="false">IF(BI311&gt;BH$7,
    "",
    VLOOKUP(BI311,BK$8:BQ810,6,FALSE())
)</f>
        <v/>
      </c>
      <c r="BX311" s="50"/>
    </row>
    <row r="312" customFormat="false" ht="15.75" hidden="false" customHeight="false" outlineLevel="0" collapsed="false">
      <c r="A312" s="5"/>
      <c r="B312" s="122"/>
      <c r="C312" s="123"/>
      <c r="D312" s="112"/>
      <c r="E312" s="116"/>
      <c r="F312" s="116"/>
      <c r="G312" s="88"/>
      <c r="H312" s="89"/>
      <c r="I312" s="125"/>
      <c r="J312" s="125"/>
      <c r="K312" s="125"/>
      <c r="L312" s="91"/>
      <c r="M312" s="91"/>
      <c r="N312" s="91"/>
      <c r="O312" s="92"/>
      <c r="P312" s="93"/>
      <c r="Q312" s="125"/>
      <c r="R312" s="95"/>
      <c r="S312" s="96"/>
      <c r="T312" s="96" t="str">
        <f aca="false">IF(ISBLANK($C312),"",IF(G312=Constants!$B$2, TRUE(), IF(G312=Constants!$B$3, FALSE(), TRUE())))</f>
        <v/>
      </c>
      <c r="U312" s="96" t="str">
        <f aca="false">IF(ISBLANK($C312),"",IF(H312=Constants!$B$2, TRUE(), IF(H312=Constants!$B$3, FALSE(), TRUE())))</f>
        <v/>
      </c>
      <c r="V312" s="96" t="str">
        <f aca="false">IF(ISBLANK($C312),"",IF(I312=Constants!$B$2, TRUE(), IF(I312=Constants!$B$3, FALSE(), TRUE())))</f>
        <v/>
      </c>
      <c r="W312" s="96" t="str">
        <f aca="false">IF(ISBLANK($C312),"",IF(J312=Constants!$B$2, TRUE(), IF(J312=Constants!$B$3, FALSE(), TRUE())))</f>
        <v/>
      </c>
      <c r="X312" s="97" t="str">
        <f aca="false">IF(ISBLANK($C312),"",IF(K312=Constants!$B$2, TRUE(), IF(K312=Constants!$B$3, FALSE(), TRUE())))</f>
        <v/>
      </c>
      <c r="Y312" s="98" t="str">
        <f aca="false">IF(ISBLANK($C312),"",IF(ISNUMBER(L312), L312, ""))</f>
        <v/>
      </c>
      <c r="Z312" s="98" t="str">
        <f aca="false">IF(ISBLANK($C312),"",IF(ISNUMBER(M312), M312, ""))</f>
        <v/>
      </c>
      <c r="AA312" s="98" t="str">
        <f aca="false">IF(ISBLANK($C312),"",IF(ISNUMBER(N312), N312, ""))</f>
        <v/>
      </c>
      <c r="AB312" s="99" t="str">
        <f aca="false">IF(ISBLANK($C312),"",IF(ISNUMBER(O312), O312, ""))</f>
        <v/>
      </c>
      <c r="AC312" s="99" t="str">
        <f aca="false">IF(ISBLANK($C312),"",IF(ISNUMBER(P312), P312, Constants!$B$13))</f>
        <v/>
      </c>
      <c r="AD312" s="96" t="str">
        <f aca="false">IF(ISBLANK($C312),"",IF(Q312=Constants!$B$2, TRUE(), IF(Q312=Constants!$B$3, FALSE(), FALSE())))</f>
        <v/>
      </c>
      <c r="AE312" s="96" t="str">
        <f aca="false">IF(ISBLANK(C312), "", IF(AD312, Constants!$B$4,IF(COUNTA(G312:O312)=0, Constants!$B$5, Constants!$B$7)))</f>
        <v/>
      </c>
      <c r="AF312" s="96" t="str">
        <f aca="false">IF(ISBLANK($C312), "",IF($AE312=Constants!$B$7,1,$AE312))</f>
        <v/>
      </c>
      <c r="AG312" s="96" t="str">
        <f aca="false">IF($AE312=Constants!$B$7,IF(V312, 1, Constants!$B$11) * IF(X312, 1, Constants!$B$12),"")</f>
        <v/>
      </c>
      <c r="AH312" s="96" t="str">
        <f aca="false">IF(AND($AE312=Constants!$B$7, T312, U312) ,MAX(0, $AA312-$Y312),"")</f>
        <v/>
      </c>
      <c r="AI312" s="96" t="str">
        <f aca="false">IF(ISERROR(AH312),$AI$6,"")</f>
        <v/>
      </c>
      <c r="AJ312" s="96" t="str">
        <f aca="false">IF($AE312=Constants!$B$7,IF(AND(T312,U312,W312),IF($AH$6=0,Constants!$B$9,Constants!$B$9*AH312/$AH$6), 0),"")</f>
        <v/>
      </c>
      <c r="AK312" s="96" t="str">
        <f aca="false">IF(AJ312&lt;&gt;"", AJ312*AG312,"")</f>
        <v/>
      </c>
      <c r="AL312" s="96" t="str">
        <f aca="false">IF(AND($AE312=Constants!$B$7, T312, U312) ,IF($Z312="", "", MAX(0,1-ABS($AA312-$Z312)/$AA312)),"")</f>
        <v/>
      </c>
      <c r="AM312" s="96" t="str">
        <f aca="false">IF(AND(NOT(ISERROR(AH312)),ISERROR(AL312)),$AM$6,"")</f>
        <v/>
      </c>
      <c r="AN312" s="96" t="str">
        <f aca="false">IF($AE312=Constants!$B$7 ,IF(AND(T312,U312,W312,ISNUMBER(Z312)),IF($AL$6=0,Constants!$B$10,Constants!$B$10*AL312/$AL$6), 0),"")</f>
        <v/>
      </c>
      <c r="AO312" s="96" t="str">
        <f aca="false">IF(AN312&lt;&gt;"", AN312*AG312,"")</f>
        <v/>
      </c>
      <c r="AP312" s="96" t="str">
        <f aca="false">IF($AE312=Constants!$B$7,IF($AP$6=0,Constants!$B$8,Constants!$B$8*AB312/$AP$6),"")</f>
        <v/>
      </c>
      <c r="AQ312" s="96" t="str">
        <f aca="false">IF($AE312&lt;&gt;Constants!$B$7,$AE312,AK312+AO312+AP312)</f>
        <v/>
      </c>
      <c r="AR312" s="96" t="str">
        <f aca="false">IF(ISBLANK($C312),"",IF($AE312=Constants!$B$7,RANK(AQ312,$AQ$8:$AQ$507),$AE312))</f>
        <v/>
      </c>
      <c r="AS312" s="96" t="str">
        <f aca="false">IF(ISBLANK($C312), "",AK312)</f>
        <v/>
      </c>
      <c r="AT312" s="96" t="str">
        <f aca="false">IF(ISBLANK($C312),"",IF($AE312=Constants!$B$7,RANK(AS312,AS$8:AS$507),$AE312))</f>
        <v/>
      </c>
      <c r="AU312" s="96" t="str">
        <f aca="false">IF(ISBLANK($C312), "",AP312)</f>
        <v/>
      </c>
      <c r="AV312" s="96" t="str">
        <f aca="false">IF(ISBLANK($C312),"",IF($AE312=Constants!$B$7,RANK(AU312,AU$8:AU$507),$AE312))</f>
        <v/>
      </c>
      <c r="AW312" s="96" t="str">
        <f aca="false">IF(ISBLANK($C312), "",AC312)</f>
        <v/>
      </c>
      <c r="AX312" s="96" t="str">
        <f aca="false">IF(ISBLANK($C312),"",
IF($AE312=Constants!$B$7,
  COUNTIFS($AR$8:$AR$507,"&lt;"&amp;$AR312)
  + COUNTIFS($AR$8:$AR$507,$AR312,$AT$8:$AT$507,"&lt;"&amp;$AT312)
  + COUNTIFS($AR$8:$AR$507,$AR312,$AT$8:$AT$507,$AT312,$AV$8:$AV$507,"&lt;"&amp;$AV312)
  + COUNTIFS($AR$8:$AR$507,$AR312,$AT$8:$AT$507,$AT312,$AV$8:$AV$507,$AV312,$AW$8:$AW$507,"&lt;"&amp;$AW312)
  + 1,
$AE312))</f>
        <v/>
      </c>
      <c r="AY312" s="96" t="str">
        <f aca="false">IF(ISBLANK(C312),"",IF($AE312=Constants!$B$7, AR312-AX312,$AE312))</f>
        <v/>
      </c>
      <c r="AZ312" s="100"/>
      <c r="BA312" s="101" t="str">
        <f aca="false">IF(ISBLANK($C312),"",TRIM(AI312&amp;" "&amp;AM312))</f>
        <v/>
      </c>
      <c r="BB312" s="102" t="str">
        <f aca="false">IF(ISBLANK($C312),"",IF($AE312&lt;&gt;Constants!$B$7, $AE312 ,AQ312))</f>
        <v/>
      </c>
      <c r="BC312" s="103" t="str">
        <f aca="false">IF(ISBLANK($C312),"",IF($AE312&lt;&gt;Constants!$B$7, $AE312 ,AF312))</f>
        <v/>
      </c>
      <c r="BD312" s="104" t="str">
        <f aca="false">IF(ISBLANK(C312),"",AY312)</f>
        <v/>
      </c>
      <c r="BE312" s="104" t="str">
        <f aca="false">IF(ISBLANK(C312),"",AX312)</f>
        <v/>
      </c>
      <c r="BF312" s="105" t="str">
        <f aca="false">IF(ISBLANK(C312),"",IFERROR(_xlfn.SWITCH(BE312, Constants!$B$4, COUNTA($C$8:$C811)+2, Constants!$B$5, COUNTA($C$8:$C811)+1, Constants!$B$6, COUNTA($C$8:$C811)),BE312))</f>
        <v/>
      </c>
      <c r="BG312" s="5"/>
      <c r="BH312" s="106" t="n">
        <f aca="false">IF(OR(ISNUMBER(BE312),BE312="DQ",BE312="P",BE312="NS"),
    1,
    0
)</f>
        <v>0</v>
      </c>
      <c r="BI312" s="106" t="n">
        <v>305</v>
      </c>
      <c r="BJ312" s="106" t="str">
        <f aca="false">IF(ISBLANK($C312),
    "",
   BF312+ROW($B312)/1000
)</f>
        <v/>
      </c>
      <c r="BK312" s="106" t="str">
        <f aca="false">IF(ISNUMBER(BJ312), RANK(BJ312,BJ$8:BJ$507,1), "")</f>
        <v/>
      </c>
      <c r="BL312" s="106" t="str">
        <f aca="false">IF(ISBLANK($C312),
    "",
    $B312
)</f>
        <v/>
      </c>
      <c r="BM312" s="106" t="str">
        <f aca="false">IF(ISBLANK($C312),
    "",
    $C312
)</f>
        <v/>
      </c>
      <c r="BN312" s="106" t="str">
        <f aca="false">IF(ISBLANK($C312),
    "",
    $D312
)</f>
        <v/>
      </c>
      <c r="BO312" s="107" t="str">
        <f aca="false">BC312</f>
        <v/>
      </c>
      <c r="BP312" s="108" t="str">
        <f aca="false">BB312</f>
        <v/>
      </c>
      <c r="BQ312" s="106" t="str">
        <f aca="false">IF(ISBLANK($C312),
    "",
    BE312
)</f>
        <v/>
      </c>
      <c r="BR312" s="109" t="str">
        <f aca="false">IF(BI312&gt;BH$7,
    "",
    VLOOKUP(BI312,BK$8:BQ811,7,FALSE())
)</f>
        <v/>
      </c>
      <c r="BS312" s="110" t="str">
        <f aca="false">IF(BI312&gt;BH$7,
    "",
    VLOOKUP(BI312,BK$8:BQ811,2,FALSE())
)</f>
        <v/>
      </c>
      <c r="BT312" s="110" t="str">
        <f aca="false">IF(BI312&gt;BH$7,
    "",
    VLOOKUP(BI312,BK$8:BQ811,3,FALSE())
)</f>
        <v/>
      </c>
      <c r="BU312" s="110" t="str">
        <f aca="false">IF(BI312&gt;BH$7,
    "",
    VLOOKUP(BI312,BK$8:BQ811,4,FALSE())
)</f>
        <v/>
      </c>
      <c r="BV312" s="110" t="str">
        <f aca="false">IF(BI312&gt;BH$7,
    "",
    VLOOKUP(BI312,BK$8:BQ811,5,FALSE())
)</f>
        <v/>
      </c>
      <c r="BW312" s="111" t="str">
        <f aca="false">IF(BI312&gt;BH$7,
    "",
    VLOOKUP(BI312,BK$8:BQ811,6,FALSE())
)</f>
        <v/>
      </c>
      <c r="BX312" s="50"/>
    </row>
    <row r="313" customFormat="false" ht="15.75" hidden="false" customHeight="false" outlineLevel="0" collapsed="false">
      <c r="A313" s="5"/>
      <c r="B313" s="122"/>
      <c r="C313" s="123"/>
      <c r="D313" s="112"/>
      <c r="E313" s="116"/>
      <c r="F313" s="116"/>
      <c r="G313" s="88"/>
      <c r="H313" s="89"/>
      <c r="I313" s="125"/>
      <c r="J313" s="125"/>
      <c r="K313" s="125"/>
      <c r="L313" s="91"/>
      <c r="M313" s="91"/>
      <c r="N313" s="91"/>
      <c r="O313" s="92"/>
      <c r="P313" s="93"/>
      <c r="Q313" s="125"/>
      <c r="R313" s="95"/>
      <c r="S313" s="96"/>
      <c r="T313" s="96" t="str">
        <f aca="false">IF(ISBLANK($C313),"",IF(G313=Constants!$B$2, TRUE(), IF(G313=Constants!$B$3, FALSE(), TRUE())))</f>
        <v/>
      </c>
      <c r="U313" s="96" t="str">
        <f aca="false">IF(ISBLANK($C313),"",IF(H313=Constants!$B$2, TRUE(), IF(H313=Constants!$B$3, FALSE(), TRUE())))</f>
        <v/>
      </c>
      <c r="V313" s="96" t="str">
        <f aca="false">IF(ISBLANK($C313),"",IF(I313=Constants!$B$2, TRUE(), IF(I313=Constants!$B$3, FALSE(), TRUE())))</f>
        <v/>
      </c>
      <c r="W313" s="96" t="str">
        <f aca="false">IF(ISBLANK($C313),"",IF(J313=Constants!$B$2, TRUE(), IF(J313=Constants!$B$3, FALSE(), TRUE())))</f>
        <v/>
      </c>
      <c r="X313" s="97" t="str">
        <f aca="false">IF(ISBLANK($C313),"",IF(K313=Constants!$B$2, TRUE(), IF(K313=Constants!$B$3, FALSE(), TRUE())))</f>
        <v/>
      </c>
      <c r="Y313" s="98" t="str">
        <f aca="false">IF(ISBLANK($C313),"",IF(ISNUMBER(L313), L313, ""))</f>
        <v/>
      </c>
      <c r="Z313" s="98" t="str">
        <f aca="false">IF(ISBLANK($C313),"",IF(ISNUMBER(M313), M313, ""))</f>
        <v/>
      </c>
      <c r="AA313" s="98" t="str">
        <f aca="false">IF(ISBLANK($C313),"",IF(ISNUMBER(N313), N313, ""))</f>
        <v/>
      </c>
      <c r="AB313" s="99" t="str">
        <f aca="false">IF(ISBLANK($C313),"",IF(ISNUMBER(O313), O313, ""))</f>
        <v/>
      </c>
      <c r="AC313" s="99" t="str">
        <f aca="false">IF(ISBLANK($C313),"",IF(ISNUMBER(P313), P313, Constants!$B$13))</f>
        <v/>
      </c>
      <c r="AD313" s="96" t="str">
        <f aca="false">IF(ISBLANK($C313),"",IF(Q313=Constants!$B$2, TRUE(), IF(Q313=Constants!$B$3, FALSE(), FALSE())))</f>
        <v/>
      </c>
      <c r="AE313" s="96" t="str">
        <f aca="false">IF(ISBLANK(C313), "", IF(AD313, Constants!$B$4,IF(COUNTA(G313:O313)=0, Constants!$B$5, Constants!$B$7)))</f>
        <v/>
      </c>
      <c r="AF313" s="96" t="str">
        <f aca="false">IF(ISBLANK($C313), "",IF($AE313=Constants!$B$7,1,$AE313))</f>
        <v/>
      </c>
      <c r="AG313" s="96" t="str">
        <f aca="false">IF($AE313=Constants!$B$7,IF(V313, 1, Constants!$B$11) * IF(X313, 1, Constants!$B$12),"")</f>
        <v/>
      </c>
      <c r="AH313" s="96" t="str">
        <f aca="false">IF(AND($AE313=Constants!$B$7, T313, U313) ,MAX(0, $AA313-$Y313),"")</f>
        <v/>
      </c>
      <c r="AI313" s="96" t="str">
        <f aca="false">IF(ISERROR(AH313),$AI$6,"")</f>
        <v/>
      </c>
      <c r="AJ313" s="96" t="str">
        <f aca="false">IF($AE313=Constants!$B$7,IF(AND(T313,U313,W313),IF($AH$6=0,Constants!$B$9,Constants!$B$9*AH313/$AH$6), 0),"")</f>
        <v/>
      </c>
      <c r="AK313" s="96" t="str">
        <f aca="false">IF(AJ313&lt;&gt;"", AJ313*AG313,"")</f>
        <v/>
      </c>
      <c r="AL313" s="96" t="str">
        <f aca="false">IF(AND($AE313=Constants!$B$7, T313, U313) ,IF($Z313="", "", MAX(0,1-ABS($AA313-$Z313)/$AA313)),"")</f>
        <v/>
      </c>
      <c r="AM313" s="96" t="str">
        <f aca="false">IF(AND(NOT(ISERROR(AH313)),ISERROR(AL313)),$AM$6,"")</f>
        <v/>
      </c>
      <c r="AN313" s="96" t="str">
        <f aca="false">IF($AE313=Constants!$B$7 ,IF(AND(T313,U313,W313,ISNUMBER(Z313)),IF($AL$6=0,Constants!$B$10,Constants!$B$10*AL313/$AL$6), 0),"")</f>
        <v/>
      </c>
      <c r="AO313" s="96" t="str">
        <f aca="false">IF(AN313&lt;&gt;"", AN313*AG313,"")</f>
        <v/>
      </c>
      <c r="AP313" s="96" t="str">
        <f aca="false">IF($AE313=Constants!$B$7,IF($AP$6=0,Constants!$B$8,Constants!$B$8*AB313/$AP$6),"")</f>
        <v/>
      </c>
      <c r="AQ313" s="96" t="str">
        <f aca="false">IF($AE313&lt;&gt;Constants!$B$7,$AE313,AK313+AO313+AP313)</f>
        <v/>
      </c>
      <c r="AR313" s="96" t="str">
        <f aca="false">IF(ISBLANK($C313),"",IF($AE313=Constants!$B$7,RANK(AQ313,$AQ$8:$AQ$507),$AE313))</f>
        <v/>
      </c>
      <c r="AS313" s="96" t="str">
        <f aca="false">IF(ISBLANK($C313), "",AK313)</f>
        <v/>
      </c>
      <c r="AT313" s="96" t="str">
        <f aca="false">IF(ISBLANK($C313),"",IF($AE313=Constants!$B$7,RANK(AS313,AS$8:AS$507),$AE313))</f>
        <v/>
      </c>
      <c r="AU313" s="96" t="str">
        <f aca="false">IF(ISBLANK($C313), "",AP313)</f>
        <v/>
      </c>
      <c r="AV313" s="96" t="str">
        <f aca="false">IF(ISBLANK($C313),"",IF($AE313=Constants!$B$7,RANK(AU313,AU$8:AU$507),$AE313))</f>
        <v/>
      </c>
      <c r="AW313" s="96" t="str">
        <f aca="false">IF(ISBLANK($C313), "",AC313)</f>
        <v/>
      </c>
      <c r="AX313" s="96" t="str">
        <f aca="false">IF(ISBLANK($C313),"",
IF($AE313=Constants!$B$7,
  COUNTIFS($AR$8:$AR$507,"&lt;"&amp;$AR313)
  + COUNTIFS($AR$8:$AR$507,$AR313,$AT$8:$AT$507,"&lt;"&amp;$AT313)
  + COUNTIFS($AR$8:$AR$507,$AR313,$AT$8:$AT$507,$AT313,$AV$8:$AV$507,"&lt;"&amp;$AV313)
  + COUNTIFS($AR$8:$AR$507,$AR313,$AT$8:$AT$507,$AT313,$AV$8:$AV$507,$AV313,$AW$8:$AW$507,"&lt;"&amp;$AW313)
  + 1,
$AE313))</f>
        <v/>
      </c>
      <c r="AY313" s="96" t="str">
        <f aca="false">IF(ISBLANK(C313),"",IF($AE313=Constants!$B$7, AR313-AX313,$AE313))</f>
        <v/>
      </c>
      <c r="AZ313" s="100"/>
      <c r="BA313" s="101" t="str">
        <f aca="false">IF(ISBLANK($C313),"",TRIM(AI313&amp;" "&amp;AM313))</f>
        <v/>
      </c>
      <c r="BB313" s="102" t="str">
        <f aca="false">IF(ISBLANK($C313),"",IF($AE313&lt;&gt;Constants!$B$7, $AE313 ,AQ313))</f>
        <v/>
      </c>
      <c r="BC313" s="103" t="str">
        <f aca="false">IF(ISBLANK($C313),"",IF($AE313&lt;&gt;Constants!$B$7, $AE313 ,AF313))</f>
        <v/>
      </c>
      <c r="BD313" s="104" t="str">
        <f aca="false">IF(ISBLANK(C313),"",AY313)</f>
        <v/>
      </c>
      <c r="BE313" s="104" t="str">
        <f aca="false">IF(ISBLANK(C313),"",AX313)</f>
        <v/>
      </c>
      <c r="BF313" s="105" t="str">
        <f aca="false">IF(ISBLANK(C313),"",IFERROR(_xlfn.SWITCH(BE313, Constants!$B$4, COUNTA($C$8:$C812)+2, Constants!$B$5, COUNTA($C$8:$C812)+1, Constants!$B$6, COUNTA($C$8:$C812)),BE313))</f>
        <v/>
      </c>
      <c r="BG313" s="5"/>
      <c r="BH313" s="106" t="n">
        <f aca="false">IF(OR(ISNUMBER(BE313),BE313="DQ",BE313="P",BE313="NS"),
    1,
    0
)</f>
        <v>0</v>
      </c>
      <c r="BI313" s="106" t="n">
        <v>306</v>
      </c>
      <c r="BJ313" s="106" t="str">
        <f aca="false">IF(ISBLANK($C313),
    "",
   BF313+ROW($B313)/1000
)</f>
        <v/>
      </c>
      <c r="BK313" s="106" t="str">
        <f aca="false">IF(ISNUMBER(BJ313), RANK(BJ313,BJ$8:BJ$507,1), "")</f>
        <v/>
      </c>
      <c r="BL313" s="106" t="str">
        <f aca="false">IF(ISBLANK($C313),
    "",
    $B313
)</f>
        <v/>
      </c>
      <c r="BM313" s="106" t="str">
        <f aca="false">IF(ISBLANK($C313),
    "",
    $C313
)</f>
        <v/>
      </c>
      <c r="BN313" s="106" t="str">
        <f aca="false">IF(ISBLANK($C313),
    "",
    $D313
)</f>
        <v/>
      </c>
      <c r="BO313" s="107" t="str">
        <f aca="false">BC313</f>
        <v/>
      </c>
      <c r="BP313" s="108" t="str">
        <f aca="false">BB313</f>
        <v/>
      </c>
      <c r="BQ313" s="106" t="str">
        <f aca="false">IF(ISBLANK($C313),
    "",
    BE313
)</f>
        <v/>
      </c>
      <c r="BR313" s="109" t="str">
        <f aca="false">IF(BI313&gt;BH$7,
    "",
    VLOOKUP(BI313,BK$8:BQ812,7,FALSE())
)</f>
        <v/>
      </c>
      <c r="BS313" s="110" t="str">
        <f aca="false">IF(BI313&gt;BH$7,
    "",
    VLOOKUP(BI313,BK$8:BQ812,2,FALSE())
)</f>
        <v/>
      </c>
      <c r="BT313" s="110" t="str">
        <f aca="false">IF(BI313&gt;BH$7,
    "",
    VLOOKUP(BI313,BK$8:BQ812,3,FALSE())
)</f>
        <v/>
      </c>
      <c r="BU313" s="110" t="str">
        <f aca="false">IF(BI313&gt;BH$7,
    "",
    VLOOKUP(BI313,BK$8:BQ812,4,FALSE())
)</f>
        <v/>
      </c>
      <c r="BV313" s="110" t="str">
        <f aca="false">IF(BI313&gt;BH$7,
    "",
    VLOOKUP(BI313,BK$8:BQ812,5,FALSE())
)</f>
        <v/>
      </c>
      <c r="BW313" s="111" t="str">
        <f aca="false">IF(BI313&gt;BH$7,
    "",
    VLOOKUP(BI313,BK$8:BQ812,6,FALSE())
)</f>
        <v/>
      </c>
      <c r="BX313" s="50"/>
    </row>
    <row r="314" customFormat="false" ht="15.75" hidden="false" customHeight="false" outlineLevel="0" collapsed="false">
      <c r="A314" s="5"/>
      <c r="B314" s="126"/>
      <c r="C314" s="52"/>
      <c r="D314" s="53"/>
      <c r="E314" s="120"/>
      <c r="F314" s="120"/>
      <c r="G314" s="55"/>
      <c r="H314" s="56"/>
      <c r="I314" s="80"/>
      <c r="J314" s="80"/>
      <c r="K314" s="80"/>
      <c r="L314" s="58"/>
      <c r="M314" s="58"/>
      <c r="N314" s="58"/>
      <c r="O314" s="59"/>
      <c r="P314" s="60"/>
      <c r="Q314" s="80"/>
      <c r="R314" s="62"/>
      <c r="S314" s="63"/>
      <c r="T314" s="63" t="str">
        <f aca="false">IF(ISBLANK($C314),"",IF(G314=Constants!$B$2, TRUE(), IF(G314=Constants!$B$3, FALSE(), TRUE())))</f>
        <v/>
      </c>
      <c r="U314" s="63" t="str">
        <f aca="false">IF(ISBLANK($C314),"",IF(H314=Constants!$B$2, TRUE(), IF(H314=Constants!$B$3, FALSE(), TRUE())))</f>
        <v/>
      </c>
      <c r="V314" s="63" t="str">
        <f aca="false">IF(ISBLANK($C314),"",IF(I314=Constants!$B$2, TRUE(), IF(I314=Constants!$B$3, FALSE(), TRUE())))</f>
        <v/>
      </c>
      <c r="W314" s="63" t="str">
        <f aca="false">IF(ISBLANK($C314),"",IF(J314=Constants!$B$2, TRUE(), IF(J314=Constants!$B$3, FALSE(), TRUE())))</f>
        <v/>
      </c>
      <c r="X314" s="63" t="str">
        <f aca="false">IF(ISBLANK($C314),"",IF(K314=Constants!$B$2, TRUE(), IF(K314=Constants!$B$3, FALSE(), TRUE())))</f>
        <v/>
      </c>
      <c r="Y314" s="65" t="str">
        <f aca="false">IF(ISBLANK($C314),"",IF(ISNUMBER(L314), L314, ""))</f>
        <v/>
      </c>
      <c r="Z314" s="65" t="str">
        <f aca="false">IF(ISBLANK($C314),"",IF(ISNUMBER(M314), M314, ""))</f>
        <v/>
      </c>
      <c r="AA314" s="65" t="str">
        <f aca="false">IF(ISBLANK($C314),"",IF(ISNUMBER(N314), N314, ""))</f>
        <v/>
      </c>
      <c r="AB314" s="66" t="str">
        <f aca="false">IF(ISBLANK($C314),"",IF(ISNUMBER(O314), O314, ""))</f>
        <v/>
      </c>
      <c r="AC314" s="66" t="str">
        <f aca="false">IF(ISBLANK($C314),"",IF(ISNUMBER(P314), P314, Constants!$B$13))</f>
        <v/>
      </c>
      <c r="AD314" s="63" t="str">
        <f aca="false">IF(ISBLANK($C314),"",IF(Q314=Constants!$B$2, TRUE(), IF(Q314=Constants!$B$3, FALSE(), FALSE())))</f>
        <v/>
      </c>
      <c r="AE314" s="63" t="str">
        <f aca="false">IF(ISBLANK(C314), "", IF(AD314, Constants!$B$4,IF(COUNTA(G314:O314)=0, Constants!$B$5, Constants!$B$7)))</f>
        <v/>
      </c>
      <c r="AF314" s="63" t="str">
        <f aca="false">IF(ISBLANK($C314), "",IF($AE314=Constants!$B$7,1,$AE314))</f>
        <v/>
      </c>
      <c r="AG314" s="63" t="str">
        <f aca="false">IF($AE314=Constants!$B$7,IF(V314, 1, Constants!$B$11) * IF(X314, 1, Constants!$B$12),"")</f>
        <v/>
      </c>
      <c r="AH314" s="63" t="str">
        <f aca="false">IF(AND($AE314=Constants!$B$7, T314, U314) ,MAX(0, $AA314-$Y314),"")</f>
        <v/>
      </c>
      <c r="AI314" s="63" t="str">
        <f aca="false">IF(ISERROR(AH314),$AI$6,"")</f>
        <v/>
      </c>
      <c r="AJ314" s="63" t="str">
        <f aca="false">IF($AE314=Constants!$B$7,IF(AND(T314,U314,W314),IF($AH$6=0,Constants!$B$9,Constants!$B$9*AH314/$AH$6), 0),"")</f>
        <v/>
      </c>
      <c r="AK314" s="63" t="str">
        <f aca="false">IF(AJ314&lt;&gt;"", AJ314*AG314,"")</f>
        <v/>
      </c>
      <c r="AL314" s="63" t="str">
        <f aca="false">IF(AND($AE314=Constants!$B$7, T314, U314) ,IF($Z314="", "", MAX(0,1-ABS($AA314-$Z314)/$AA314)),"")</f>
        <v/>
      </c>
      <c r="AM314" s="63" t="str">
        <f aca="false">IF(AND(NOT(ISERROR(AH314)),ISERROR(AL314)),$AM$6,"")</f>
        <v/>
      </c>
      <c r="AN314" s="63" t="str">
        <f aca="false">IF($AE314=Constants!$B$7 ,IF(AND(T314,U314,W314,ISNUMBER(Z314)),IF($AL$6=0,Constants!$B$10,Constants!$B$10*AL314/$AL$6), 0),"")</f>
        <v/>
      </c>
      <c r="AO314" s="63" t="str">
        <f aca="false">IF(AN314&lt;&gt;"", AN314*AG314,"")</f>
        <v/>
      </c>
      <c r="AP314" s="63" t="str">
        <f aca="false">IF($AE314=Constants!$B$7,IF($AP$6=0,Constants!$B$8,Constants!$B$8*AB314/$AP$6),"")</f>
        <v/>
      </c>
      <c r="AQ314" s="63" t="str">
        <f aca="false">IF($AE314&lt;&gt;Constants!$B$7,$AE314,AK314+AO314+AP314)</f>
        <v/>
      </c>
      <c r="AR314" s="63" t="str">
        <f aca="false">IF(ISBLANK($C314),"",IF($AE314=Constants!$B$7,RANK(AQ314,$AQ$8:$AQ$507),$AE314))</f>
        <v/>
      </c>
      <c r="AS314" s="63" t="str">
        <f aca="false">IF(ISBLANK($C314), "",AK314)</f>
        <v/>
      </c>
      <c r="AT314" s="63" t="str">
        <f aca="false">IF(ISBLANK($C314),"",IF($AE314=Constants!$B$7,RANK(AS314,AS$8:AS$507),$AE314))</f>
        <v/>
      </c>
      <c r="AU314" s="63" t="str">
        <f aca="false">IF(ISBLANK($C314), "",AP314)</f>
        <v/>
      </c>
      <c r="AV314" s="63" t="str">
        <f aca="false">IF(ISBLANK($C314),"",IF($AE314=Constants!$B$7,RANK(AU314,AU$8:AU$507),$AE314))</f>
        <v/>
      </c>
      <c r="AW314" s="63" t="str">
        <f aca="false">IF(ISBLANK($C314), "",AC314)</f>
        <v/>
      </c>
      <c r="AX314" s="63" t="str">
        <f aca="false">IF(ISBLANK($C314),"",
IF($AE314=Constants!$B$7,
  COUNTIFS($AR$8:$AR$507,"&lt;"&amp;$AR314)
  + COUNTIFS($AR$8:$AR$507,$AR314,$AT$8:$AT$507,"&lt;"&amp;$AT314)
  + COUNTIFS($AR$8:$AR$507,$AR314,$AT$8:$AT$507,$AT314,$AV$8:$AV$507,"&lt;"&amp;$AV314)
  + COUNTIFS($AR$8:$AR$507,$AR314,$AT$8:$AT$507,$AT314,$AV$8:$AV$507,$AV314,$AW$8:$AW$507,"&lt;"&amp;$AW314)
  + 1,
$AE314))</f>
        <v/>
      </c>
      <c r="AY314" s="63" t="str">
        <f aca="false">IF(ISBLANK(C314),"",IF($AE314=Constants!$B$7, AR314-AX314,$AE314))</f>
        <v/>
      </c>
      <c r="AZ314" s="67"/>
      <c r="BA314" s="81" t="str">
        <f aca="false">IF(ISBLANK($C314),"",TRIM(AI314&amp;" "&amp;AM314))</f>
        <v/>
      </c>
      <c r="BB314" s="69" t="str">
        <f aca="false">IF(ISBLANK($C314),"",IF($AE314&lt;&gt;Constants!$B$7, $AE314 ,AQ314))</f>
        <v/>
      </c>
      <c r="BC314" s="70" t="str">
        <f aca="false">IF(ISBLANK($C314),"",IF($AE314&lt;&gt;Constants!$B$7, $AE314 ,AF314))</f>
        <v/>
      </c>
      <c r="BD314" s="71" t="str">
        <f aca="false">IF(ISBLANK(C314),"",AY314)</f>
        <v/>
      </c>
      <c r="BE314" s="71" t="str">
        <f aca="false">IF(ISBLANK(C314),"",AX314)</f>
        <v/>
      </c>
      <c r="BF314" s="72" t="str">
        <f aca="false">IF(ISBLANK(C314),"",IFERROR(_xlfn.SWITCH(BE314, Constants!$B$4, COUNTA($C$8:$C813)+2, Constants!$B$5, COUNTA($C$8:$C813)+1, Constants!$B$6, COUNTA($C$8:$C813)),BE314))</f>
        <v/>
      </c>
      <c r="BG314" s="5"/>
      <c r="BH314" s="73" t="n">
        <f aca="false">IF(OR(ISNUMBER(BE314),BE314="DQ",BE314="P",BE314="NS"),
    1,
    0
)</f>
        <v>0</v>
      </c>
      <c r="BI314" s="73" t="n">
        <v>307</v>
      </c>
      <c r="BJ314" s="73" t="str">
        <f aca="false">IF(ISBLANK($C314),
    "",
   BF314+ROW($B314)/1000
)</f>
        <v/>
      </c>
      <c r="BK314" s="73" t="str">
        <f aca="false">IF(ISNUMBER(BJ314), RANK(BJ314,BJ$8:BJ$507,1), "")</f>
        <v/>
      </c>
      <c r="BL314" s="73" t="str">
        <f aca="false">IF(ISBLANK($C314),
    "",
    $B314
)</f>
        <v/>
      </c>
      <c r="BM314" s="73" t="str">
        <f aca="false">IF(ISBLANK($C314),
    "",
    $C314
)</f>
        <v/>
      </c>
      <c r="BN314" s="73" t="str">
        <f aca="false">IF(ISBLANK($C314),
    "",
    $D314
)</f>
        <v/>
      </c>
      <c r="BO314" s="74" t="str">
        <f aca="false">BC314</f>
        <v/>
      </c>
      <c r="BP314" s="75" t="str">
        <f aca="false">BB314</f>
        <v/>
      </c>
      <c r="BQ314" s="73" t="str">
        <f aca="false">IF(ISBLANK($C314),
    "",
    BE314
)</f>
        <v/>
      </c>
      <c r="BR314" s="76" t="str">
        <f aca="false">IF(BI314&gt;BH$7,
    "",
    VLOOKUP(BI314,BK$8:BQ813,7,FALSE())
)</f>
        <v/>
      </c>
      <c r="BS314" s="77" t="str">
        <f aca="false">IF(BI314&gt;BH$7,
    "",
    VLOOKUP(BI314,BK$8:BQ813,2,FALSE())
)</f>
        <v/>
      </c>
      <c r="BT314" s="77" t="str">
        <f aca="false">IF(BI314&gt;BH$7,
    "",
    VLOOKUP(BI314,BK$8:BQ813,3,FALSE())
)</f>
        <v/>
      </c>
      <c r="BU314" s="77" t="str">
        <f aca="false">IF(BI314&gt;BH$7,
    "",
    VLOOKUP(BI314,BK$8:BQ813,4,FALSE())
)</f>
        <v/>
      </c>
      <c r="BV314" s="77" t="str">
        <f aca="false">IF(BI314&gt;BH$7,
    "",
    VLOOKUP(BI314,BK$8:BQ813,5,FALSE())
)</f>
        <v/>
      </c>
      <c r="BW314" s="78" t="str">
        <f aca="false">IF(BI314&gt;BH$7,
    "",
    VLOOKUP(BI314,BK$8:BQ813,6,FALSE())
)</f>
        <v/>
      </c>
      <c r="BX314" s="50"/>
    </row>
    <row r="315" customFormat="false" ht="15.75" hidden="false" customHeight="false" outlineLevel="0" collapsed="false">
      <c r="A315" s="5"/>
      <c r="B315" s="126"/>
      <c r="C315" s="52"/>
      <c r="D315" s="53"/>
      <c r="E315" s="120"/>
      <c r="F315" s="120"/>
      <c r="G315" s="55"/>
      <c r="H315" s="56"/>
      <c r="I315" s="80"/>
      <c r="J315" s="80"/>
      <c r="K315" s="80"/>
      <c r="L315" s="58"/>
      <c r="M315" s="58"/>
      <c r="N315" s="58"/>
      <c r="O315" s="59"/>
      <c r="P315" s="60"/>
      <c r="Q315" s="80"/>
      <c r="R315" s="62"/>
      <c r="S315" s="63"/>
      <c r="T315" s="63" t="str">
        <f aca="false">IF(ISBLANK($C315),"",IF(G315=Constants!$B$2, TRUE(), IF(G315=Constants!$B$3, FALSE(), TRUE())))</f>
        <v/>
      </c>
      <c r="U315" s="63" t="str">
        <f aca="false">IF(ISBLANK($C315),"",IF(H315=Constants!$B$2, TRUE(), IF(H315=Constants!$B$3, FALSE(), TRUE())))</f>
        <v/>
      </c>
      <c r="V315" s="63" t="str">
        <f aca="false">IF(ISBLANK($C315),"",IF(I315=Constants!$B$2, TRUE(), IF(I315=Constants!$B$3, FALSE(), TRUE())))</f>
        <v/>
      </c>
      <c r="W315" s="63" t="str">
        <f aca="false">IF(ISBLANK($C315),"",IF(J315=Constants!$B$2, TRUE(), IF(J315=Constants!$B$3, FALSE(), TRUE())))</f>
        <v/>
      </c>
      <c r="X315" s="63" t="str">
        <f aca="false">IF(ISBLANK($C315),"",IF(K315=Constants!$B$2, TRUE(), IF(K315=Constants!$B$3, FALSE(), TRUE())))</f>
        <v/>
      </c>
      <c r="Y315" s="65" t="str">
        <f aca="false">IF(ISBLANK($C315),"",IF(ISNUMBER(L315), L315, ""))</f>
        <v/>
      </c>
      <c r="Z315" s="65" t="str">
        <f aca="false">IF(ISBLANK($C315),"",IF(ISNUMBER(M315), M315, ""))</f>
        <v/>
      </c>
      <c r="AA315" s="65" t="str">
        <f aca="false">IF(ISBLANK($C315),"",IF(ISNUMBER(N315), N315, ""))</f>
        <v/>
      </c>
      <c r="AB315" s="66" t="str">
        <f aca="false">IF(ISBLANK($C315),"",IF(ISNUMBER(O315), O315, ""))</f>
        <v/>
      </c>
      <c r="AC315" s="66" t="str">
        <f aca="false">IF(ISBLANK($C315),"",IF(ISNUMBER(P315), P315, Constants!$B$13))</f>
        <v/>
      </c>
      <c r="AD315" s="63" t="str">
        <f aca="false">IF(ISBLANK($C315),"",IF(Q315=Constants!$B$2, TRUE(), IF(Q315=Constants!$B$3, FALSE(), FALSE())))</f>
        <v/>
      </c>
      <c r="AE315" s="63" t="str">
        <f aca="false">IF(ISBLANK(C315), "", IF(AD315, Constants!$B$4,IF(COUNTA(G315:O315)=0, Constants!$B$5, Constants!$B$7)))</f>
        <v/>
      </c>
      <c r="AF315" s="63" t="str">
        <f aca="false">IF(ISBLANK($C315), "",IF($AE315=Constants!$B$7,1,$AE315))</f>
        <v/>
      </c>
      <c r="AG315" s="63" t="str">
        <f aca="false">IF($AE315=Constants!$B$7,IF(V315, 1, Constants!$B$11) * IF(X315, 1, Constants!$B$12),"")</f>
        <v/>
      </c>
      <c r="AH315" s="63" t="str">
        <f aca="false">IF(AND($AE315=Constants!$B$7, T315, U315) ,MAX(0, $AA315-$Y315),"")</f>
        <v/>
      </c>
      <c r="AI315" s="63" t="str">
        <f aca="false">IF(ISERROR(AH315),$AI$6,"")</f>
        <v/>
      </c>
      <c r="AJ315" s="63" t="str">
        <f aca="false">IF($AE315=Constants!$B$7,IF(AND(T315,U315,W315),IF($AH$6=0,Constants!$B$9,Constants!$B$9*AH315/$AH$6), 0),"")</f>
        <v/>
      </c>
      <c r="AK315" s="63" t="str">
        <f aca="false">IF(AJ315&lt;&gt;"", AJ315*AG315,"")</f>
        <v/>
      </c>
      <c r="AL315" s="63" t="str">
        <f aca="false">IF(AND($AE315=Constants!$B$7, T315, U315) ,IF($Z315="", "", MAX(0,1-ABS($AA315-$Z315)/$AA315)),"")</f>
        <v/>
      </c>
      <c r="AM315" s="63" t="str">
        <f aca="false">IF(AND(NOT(ISERROR(AH315)),ISERROR(AL315)),$AM$6,"")</f>
        <v/>
      </c>
      <c r="AN315" s="63" t="str">
        <f aca="false">IF($AE315=Constants!$B$7 ,IF(AND(T315,U315,W315,ISNUMBER(Z315)),IF($AL$6=0,Constants!$B$10,Constants!$B$10*AL315/$AL$6), 0),"")</f>
        <v/>
      </c>
      <c r="AO315" s="63" t="str">
        <f aca="false">IF(AN315&lt;&gt;"", AN315*AG315,"")</f>
        <v/>
      </c>
      <c r="AP315" s="63" t="str">
        <f aca="false">IF($AE315=Constants!$B$7,IF($AP$6=0,Constants!$B$8,Constants!$B$8*AB315/$AP$6),"")</f>
        <v/>
      </c>
      <c r="AQ315" s="63" t="str">
        <f aca="false">IF($AE315&lt;&gt;Constants!$B$7,$AE315,AK315+AO315+AP315)</f>
        <v/>
      </c>
      <c r="AR315" s="63" t="str">
        <f aca="false">IF(ISBLANK($C315),"",IF($AE315=Constants!$B$7,RANK(AQ315,$AQ$8:$AQ$507),$AE315))</f>
        <v/>
      </c>
      <c r="AS315" s="63" t="str">
        <f aca="false">IF(ISBLANK($C315), "",AK315)</f>
        <v/>
      </c>
      <c r="AT315" s="63" t="str">
        <f aca="false">IF(ISBLANK($C315),"",IF($AE315=Constants!$B$7,RANK(AS315,AS$8:AS$507),$AE315))</f>
        <v/>
      </c>
      <c r="AU315" s="63" t="str">
        <f aca="false">IF(ISBLANK($C315), "",AP315)</f>
        <v/>
      </c>
      <c r="AV315" s="63" t="str">
        <f aca="false">IF(ISBLANK($C315),"",IF($AE315=Constants!$B$7,RANK(AU315,AU$8:AU$507),$AE315))</f>
        <v/>
      </c>
      <c r="AW315" s="63" t="str">
        <f aca="false">IF(ISBLANK($C315), "",AC315)</f>
        <v/>
      </c>
      <c r="AX315" s="63" t="str">
        <f aca="false">IF(ISBLANK($C315),"",
IF($AE315=Constants!$B$7,
  COUNTIFS($AR$8:$AR$507,"&lt;"&amp;$AR315)
  + COUNTIFS($AR$8:$AR$507,$AR315,$AT$8:$AT$507,"&lt;"&amp;$AT315)
  + COUNTIFS($AR$8:$AR$507,$AR315,$AT$8:$AT$507,$AT315,$AV$8:$AV$507,"&lt;"&amp;$AV315)
  + COUNTIFS($AR$8:$AR$507,$AR315,$AT$8:$AT$507,$AT315,$AV$8:$AV$507,$AV315,$AW$8:$AW$507,"&lt;"&amp;$AW315)
  + 1,
$AE315))</f>
        <v/>
      </c>
      <c r="AY315" s="63" t="str">
        <f aca="false">IF(ISBLANK(C315),"",IF($AE315=Constants!$B$7, AR315-AX315,$AE315))</f>
        <v/>
      </c>
      <c r="AZ315" s="67"/>
      <c r="BA315" s="81" t="str">
        <f aca="false">IF(ISBLANK($C315),"",TRIM(AI315&amp;" "&amp;AM315))</f>
        <v/>
      </c>
      <c r="BB315" s="69" t="str">
        <f aca="false">IF(ISBLANK($C315),"",IF($AE315&lt;&gt;Constants!$B$7, $AE315 ,AQ315))</f>
        <v/>
      </c>
      <c r="BC315" s="70" t="str">
        <f aca="false">IF(ISBLANK($C315),"",IF($AE315&lt;&gt;Constants!$B$7, $AE315 ,AF315))</f>
        <v/>
      </c>
      <c r="BD315" s="71" t="str">
        <f aca="false">IF(ISBLANK(C315),"",AY315)</f>
        <v/>
      </c>
      <c r="BE315" s="71" t="str">
        <f aca="false">IF(ISBLANK(C315),"",AX315)</f>
        <v/>
      </c>
      <c r="BF315" s="72" t="str">
        <f aca="false">IF(ISBLANK(C315),"",IFERROR(_xlfn.SWITCH(BE315, Constants!$B$4, COUNTA($C$8:$C814)+2, Constants!$B$5, COUNTA($C$8:$C814)+1, Constants!$B$6, COUNTA($C$8:$C814)),BE315))</f>
        <v/>
      </c>
      <c r="BG315" s="5"/>
      <c r="BH315" s="73" t="n">
        <f aca="false">IF(OR(ISNUMBER(BE315),BE315="DQ",BE315="P",BE315="NS"),
    1,
    0
)</f>
        <v>0</v>
      </c>
      <c r="BI315" s="73" t="n">
        <v>308</v>
      </c>
      <c r="BJ315" s="73" t="str">
        <f aca="false">IF(ISBLANK($C315),
    "",
   BF315+ROW($B315)/1000
)</f>
        <v/>
      </c>
      <c r="BK315" s="73" t="str">
        <f aca="false">IF(ISNUMBER(BJ315), RANK(BJ315,BJ$8:BJ$507,1), "")</f>
        <v/>
      </c>
      <c r="BL315" s="73" t="str">
        <f aca="false">IF(ISBLANK($C315),
    "",
    $B315
)</f>
        <v/>
      </c>
      <c r="BM315" s="73" t="str">
        <f aca="false">IF(ISBLANK($C315),
    "",
    $C315
)</f>
        <v/>
      </c>
      <c r="BN315" s="73" t="str">
        <f aca="false">IF(ISBLANK($C315),
    "",
    $D315
)</f>
        <v/>
      </c>
      <c r="BO315" s="74" t="str">
        <f aca="false">BC315</f>
        <v/>
      </c>
      <c r="BP315" s="75" t="str">
        <f aca="false">BB315</f>
        <v/>
      </c>
      <c r="BQ315" s="73" t="str">
        <f aca="false">IF(ISBLANK($C315),
    "",
    BE315
)</f>
        <v/>
      </c>
      <c r="BR315" s="76" t="str">
        <f aca="false">IF(BI315&gt;BH$7,
    "",
    VLOOKUP(BI315,BK$8:BQ814,7,FALSE())
)</f>
        <v/>
      </c>
      <c r="BS315" s="77" t="str">
        <f aca="false">IF(BI315&gt;BH$7,
    "",
    VLOOKUP(BI315,BK$8:BQ814,2,FALSE())
)</f>
        <v/>
      </c>
      <c r="BT315" s="77" t="str">
        <f aca="false">IF(BI315&gt;BH$7,
    "",
    VLOOKUP(BI315,BK$8:BQ814,3,FALSE())
)</f>
        <v/>
      </c>
      <c r="BU315" s="77" t="str">
        <f aca="false">IF(BI315&gt;BH$7,
    "",
    VLOOKUP(BI315,BK$8:BQ814,4,FALSE())
)</f>
        <v/>
      </c>
      <c r="BV315" s="77" t="str">
        <f aca="false">IF(BI315&gt;BH$7,
    "",
    VLOOKUP(BI315,BK$8:BQ814,5,FALSE())
)</f>
        <v/>
      </c>
      <c r="BW315" s="78" t="str">
        <f aca="false">IF(BI315&gt;BH$7,
    "",
    VLOOKUP(BI315,BK$8:BQ814,6,FALSE())
)</f>
        <v/>
      </c>
      <c r="BX315" s="50"/>
    </row>
    <row r="316" customFormat="false" ht="15.75" hidden="false" customHeight="false" outlineLevel="0" collapsed="false">
      <c r="A316" s="5"/>
      <c r="B316" s="126"/>
      <c r="C316" s="52"/>
      <c r="D316" s="53"/>
      <c r="E316" s="120"/>
      <c r="F316" s="120"/>
      <c r="G316" s="55"/>
      <c r="H316" s="56"/>
      <c r="I316" s="80"/>
      <c r="J316" s="80"/>
      <c r="K316" s="80"/>
      <c r="L316" s="58"/>
      <c r="M316" s="58"/>
      <c r="N316" s="58"/>
      <c r="O316" s="59"/>
      <c r="P316" s="60"/>
      <c r="Q316" s="80"/>
      <c r="R316" s="62"/>
      <c r="S316" s="63"/>
      <c r="T316" s="63" t="str">
        <f aca="false">IF(ISBLANK($C316),"",IF(G316=Constants!$B$2, TRUE(), IF(G316=Constants!$B$3, FALSE(), TRUE())))</f>
        <v/>
      </c>
      <c r="U316" s="63" t="str">
        <f aca="false">IF(ISBLANK($C316),"",IF(H316=Constants!$B$2, TRUE(), IF(H316=Constants!$B$3, FALSE(), TRUE())))</f>
        <v/>
      </c>
      <c r="V316" s="63" t="str">
        <f aca="false">IF(ISBLANK($C316),"",IF(I316=Constants!$B$2, TRUE(), IF(I316=Constants!$B$3, FALSE(), TRUE())))</f>
        <v/>
      </c>
      <c r="W316" s="63" t="str">
        <f aca="false">IF(ISBLANK($C316),"",IF(J316=Constants!$B$2, TRUE(), IF(J316=Constants!$B$3, FALSE(), TRUE())))</f>
        <v/>
      </c>
      <c r="X316" s="63" t="str">
        <f aca="false">IF(ISBLANK($C316),"",IF(K316=Constants!$B$2, TRUE(), IF(K316=Constants!$B$3, FALSE(), TRUE())))</f>
        <v/>
      </c>
      <c r="Y316" s="65" t="str">
        <f aca="false">IF(ISBLANK($C316),"",IF(ISNUMBER(L316), L316, ""))</f>
        <v/>
      </c>
      <c r="Z316" s="65" t="str">
        <f aca="false">IF(ISBLANK($C316),"",IF(ISNUMBER(M316), M316, ""))</f>
        <v/>
      </c>
      <c r="AA316" s="65" t="str">
        <f aca="false">IF(ISBLANK($C316),"",IF(ISNUMBER(N316), N316, ""))</f>
        <v/>
      </c>
      <c r="AB316" s="66" t="str">
        <f aca="false">IF(ISBLANK($C316),"",IF(ISNUMBER(O316), O316, ""))</f>
        <v/>
      </c>
      <c r="AC316" s="66" t="str">
        <f aca="false">IF(ISBLANK($C316),"",IF(ISNUMBER(P316), P316, Constants!$B$13))</f>
        <v/>
      </c>
      <c r="AD316" s="63" t="str">
        <f aca="false">IF(ISBLANK($C316),"",IF(Q316=Constants!$B$2, TRUE(), IF(Q316=Constants!$B$3, FALSE(), FALSE())))</f>
        <v/>
      </c>
      <c r="AE316" s="63" t="str">
        <f aca="false">IF(ISBLANK(C316), "", IF(AD316, Constants!$B$4,IF(COUNTA(G316:O316)=0, Constants!$B$5, Constants!$B$7)))</f>
        <v/>
      </c>
      <c r="AF316" s="63" t="str">
        <f aca="false">IF(ISBLANK($C316), "",IF($AE316=Constants!$B$7,1,$AE316))</f>
        <v/>
      </c>
      <c r="AG316" s="63" t="str">
        <f aca="false">IF($AE316=Constants!$B$7,IF(V316, 1, Constants!$B$11) * IF(X316, 1, Constants!$B$12),"")</f>
        <v/>
      </c>
      <c r="AH316" s="63" t="str">
        <f aca="false">IF(AND($AE316=Constants!$B$7, T316, U316) ,MAX(0, $AA316-$Y316),"")</f>
        <v/>
      </c>
      <c r="AI316" s="63" t="str">
        <f aca="false">IF(ISERROR(AH316),$AI$6,"")</f>
        <v/>
      </c>
      <c r="AJ316" s="63" t="str">
        <f aca="false">IF($AE316=Constants!$B$7,IF(AND(T316,U316,W316),IF($AH$6=0,Constants!$B$9,Constants!$B$9*AH316/$AH$6), 0),"")</f>
        <v/>
      </c>
      <c r="AK316" s="63" t="str">
        <f aca="false">IF(AJ316&lt;&gt;"", AJ316*AG316,"")</f>
        <v/>
      </c>
      <c r="AL316" s="63" t="str">
        <f aca="false">IF(AND($AE316=Constants!$B$7, T316, U316) ,IF($Z316="", "", MAX(0,1-ABS($AA316-$Z316)/$AA316)),"")</f>
        <v/>
      </c>
      <c r="AM316" s="63" t="str">
        <f aca="false">IF(AND(NOT(ISERROR(AH316)),ISERROR(AL316)),$AM$6,"")</f>
        <v/>
      </c>
      <c r="AN316" s="63" t="str">
        <f aca="false">IF($AE316=Constants!$B$7 ,IF(AND(T316,U316,W316,ISNUMBER(Z316)),IF($AL$6=0,Constants!$B$10,Constants!$B$10*AL316/$AL$6), 0),"")</f>
        <v/>
      </c>
      <c r="AO316" s="63" t="str">
        <f aca="false">IF(AN316&lt;&gt;"", AN316*AG316,"")</f>
        <v/>
      </c>
      <c r="AP316" s="63" t="str">
        <f aca="false">IF($AE316=Constants!$B$7,IF($AP$6=0,Constants!$B$8,Constants!$B$8*AB316/$AP$6),"")</f>
        <v/>
      </c>
      <c r="AQ316" s="63" t="str">
        <f aca="false">IF($AE316&lt;&gt;Constants!$B$7,$AE316,AK316+AO316+AP316)</f>
        <v/>
      </c>
      <c r="AR316" s="63" t="str">
        <f aca="false">IF(ISBLANK($C316),"",IF($AE316=Constants!$B$7,RANK(AQ316,$AQ$8:$AQ$507),$AE316))</f>
        <v/>
      </c>
      <c r="AS316" s="63" t="str">
        <f aca="false">IF(ISBLANK($C316), "",AK316)</f>
        <v/>
      </c>
      <c r="AT316" s="63" t="str">
        <f aca="false">IF(ISBLANK($C316),"",IF($AE316=Constants!$B$7,RANK(AS316,AS$8:AS$507),$AE316))</f>
        <v/>
      </c>
      <c r="AU316" s="63" t="str">
        <f aca="false">IF(ISBLANK($C316), "",AP316)</f>
        <v/>
      </c>
      <c r="AV316" s="63" t="str">
        <f aca="false">IF(ISBLANK($C316),"",IF($AE316=Constants!$B$7,RANK(AU316,AU$8:AU$507),$AE316))</f>
        <v/>
      </c>
      <c r="AW316" s="63" t="str">
        <f aca="false">IF(ISBLANK($C316), "",AC316)</f>
        <v/>
      </c>
      <c r="AX316" s="63" t="str">
        <f aca="false">IF(ISBLANK($C316),"",
IF($AE316=Constants!$B$7,
  COUNTIFS($AR$8:$AR$507,"&lt;"&amp;$AR316)
  + COUNTIFS($AR$8:$AR$507,$AR316,$AT$8:$AT$507,"&lt;"&amp;$AT316)
  + COUNTIFS($AR$8:$AR$507,$AR316,$AT$8:$AT$507,$AT316,$AV$8:$AV$507,"&lt;"&amp;$AV316)
  + COUNTIFS($AR$8:$AR$507,$AR316,$AT$8:$AT$507,$AT316,$AV$8:$AV$507,$AV316,$AW$8:$AW$507,"&lt;"&amp;$AW316)
  + 1,
$AE316))</f>
        <v/>
      </c>
      <c r="AY316" s="63" t="str">
        <f aca="false">IF(ISBLANK(C316),"",IF($AE316=Constants!$B$7, AR316-AX316,$AE316))</f>
        <v/>
      </c>
      <c r="AZ316" s="67"/>
      <c r="BA316" s="81" t="str">
        <f aca="false">IF(ISBLANK($C316),"",TRIM(AI316&amp;" "&amp;AM316))</f>
        <v/>
      </c>
      <c r="BB316" s="69" t="str">
        <f aca="false">IF(ISBLANK($C316),"",IF($AE316&lt;&gt;Constants!$B$7, $AE316 ,AQ316))</f>
        <v/>
      </c>
      <c r="BC316" s="70" t="str">
        <f aca="false">IF(ISBLANK($C316),"",IF($AE316&lt;&gt;Constants!$B$7, $AE316 ,AF316))</f>
        <v/>
      </c>
      <c r="BD316" s="71" t="str">
        <f aca="false">IF(ISBLANK(C316),"",AY316)</f>
        <v/>
      </c>
      <c r="BE316" s="71" t="str">
        <f aca="false">IF(ISBLANK(C316),"",AX316)</f>
        <v/>
      </c>
      <c r="BF316" s="72" t="str">
        <f aca="false">IF(ISBLANK(C316),"",IFERROR(_xlfn.SWITCH(BE316, Constants!$B$4, COUNTA($C$8:$C815)+2, Constants!$B$5, COUNTA($C$8:$C815)+1, Constants!$B$6, COUNTA($C$8:$C815)),BE316))</f>
        <v/>
      </c>
      <c r="BG316" s="5"/>
      <c r="BH316" s="73" t="n">
        <f aca="false">IF(OR(ISNUMBER(BE316),BE316="DQ",BE316="P",BE316="NS"),
    1,
    0
)</f>
        <v>0</v>
      </c>
      <c r="BI316" s="73" t="n">
        <v>309</v>
      </c>
      <c r="BJ316" s="73" t="str">
        <f aca="false">IF(ISBLANK($C316),
    "",
   BF316+ROW($B316)/1000
)</f>
        <v/>
      </c>
      <c r="BK316" s="73" t="str">
        <f aca="false">IF(ISNUMBER(BJ316), RANK(BJ316,BJ$8:BJ$507,1), "")</f>
        <v/>
      </c>
      <c r="BL316" s="73" t="str">
        <f aca="false">IF(ISBLANK($C316),
    "",
    $B316
)</f>
        <v/>
      </c>
      <c r="BM316" s="73" t="str">
        <f aca="false">IF(ISBLANK($C316),
    "",
    $C316
)</f>
        <v/>
      </c>
      <c r="BN316" s="73" t="str">
        <f aca="false">IF(ISBLANK($C316),
    "",
    $D316
)</f>
        <v/>
      </c>
      <c r="BO316" s="74" t="str">
        <f aca="false">BC316</f>
        <v/>
      </c>
      <c r="BP316" s="75" t="str">
        <f aca="false">BB316</f>
        <v/>
      </c>
      <c r="BQ316" s="73" t="str">
        <f aca="false">IF(ISBLANK($C316),
    "",
    BE316
)</f>
        <v/>
      </c>
      <c r="BR316" s="76" t="str">
        <f aca="false">IF(BI316&gt;BH$7,
    "",
    VLOOKUP(BI316,BK$8:BQ815,7,FALSE())
)</f>
        <v/>
      </c>
      <c r="BS316" s="77" t="str">
        <f aca="false">IF(BI316&gt;BH$7,
    "",
    VLOOKUP(BI316,BK$8:BQ815,2,FALSE())
)</f>
        <v/>
      </c>
      <c r="BT316" s="77" t="str">
        <f aca="false">IF(BI316&gt;BH$7,
    "",
    VLOOKUP(BI316,BK$8:BQ815,3,FALSE())
)</f>
        <v/>
      </c>
      <c r="BU316" s="77" t="str">
        <f aca="false">IF(BI316&gt;BH$7,
    "",
    VLOOKUP(BI316,BK$8:BQ815,4,FALSE())
)</f>
        <v/>
      </c>
      <c r="BV316" s="77" t="str">
        <f aca="false">IF(BI316&gt;BH$7,
    "",
    VLOOKUP(BI316,BK$8:BQ815,5,FALSE())
)</f>
        <v/>
      </c>
      <c r="BW316" s="78" t="str">
        <f aca="false">IF(BI316&gt;BH$7,
    "",
    VLOOKUP(BI316,BK$8:BQ815,6,FALSE())
)</f>
        <v/>
      </c>
      <c r="BX316" s="50"/>
    </row>
    <row r="317" customFormat="false" ht="15.75" hidden="false" customHeight="false" outlineLevel="0" collapsed="false">
      <c r="A317" s="5"/>
      <c r="B317" s="122"/>
      <c r="C317" s="123"/>
      <c r="D317" s="112"/>
      <c r="E317" s="116"/>
      <c r="F317" s="116"/>
      <c r="G317" s="88"/>
      <c r="H317" s="89"/>
      <c r="I317" s="125"/>
      <c r="J317" s="125"/>
      <c r="K317" s="125"/>
      <c r="L317" s="91"/>
      <c r="M317" s="91"/>
      <c r="N317" s="91"/>
      <c r="O317" s="92"/>
      <c r="P317" s="93"/>
      <c r="Q317" s="125"/>
      <c r="R317" s="95"/>
      <c r="S317" s="96"/>
      <c r="T317" s="96" t="str">
        <f aca="false">IF(ISBLANK($C317),"",IF(G317=Constants!$B$2, TRUE(), IF(G317=Constants!$B$3, FALSE(), TRUE())))</f>
        <v/>
      </c>
      <c r="U317" s="96" t="str">
        <f aca="false">IF(ISBLANK($C317),"",IF(H317=Constants!$B$2, TRUE(), IF(H317=Constants!$B$3, FALSE(), TRUE())))</f>
        <v/>
      </c>
      <c r="V317" s="96" t="str">
        <f aca="false">IF(ISBLANK($C317),"",IF(I317=Constants!$B$2, TRUE(), IF(I317=Constants!$B$3, FALSE(), TRUE())))</f>
        <v/>
      </c>
      <c r="W317" s="96" t="str">
        <f aca="false">IF(ISBLANK($C317),"",IF(J317=Constants!$B$2, TRUE(), IF(J317=Constants!$B$3, FALSE(), TRUE())))</f>
        <v/>
      </c>
      <c r="X317" s="97" t="str">
        <f aca="false">IF(ISBLANK($C317),"",IF(K317=Constants!$B$2, TRUE(), IF(K317=Constants!$B$3, FALSE(), TRUE())))</f>
        <v/>
      </c>
      <c r="Y317" s="98" t="str">
        <f aca="false">IF(ISBLANK($C317),"",IF(ISNUMBER(L317), L317, ""))</f>
        <v/>
      </c>
      <c r="Z317" s="98" t="str">
        <f aca="false">IF(ISBLANK($C317),"",IF(ISNUMBER(M317), M317, ""))</f>
        <v/>
      </c>
      <c r="AA317" s="98" t="str">
        <f aca="false">IF(ISBLANK($C317),"",IF(ISNUMBER(N317), N317, ""))</f>
        <v/>
      </c>
      <c r="AB317" s="99" t="str">
        <f aca="false">IF(ISBLANK($C317),"",IF(ISNUMBER(O317), O317, ""))</f>
        <v/>
      </c>
      <c r="AC317" s="99" t="str">
        <f aca="false">IF(ISBLANK($C317),"",IF(ISNUMBER(P317), P317, Constants!$B$13))</f>
        <v/>
      </c>
      <c r="AD317" s="96" t="str">
        <f aca="false">IF(ISBLANK($C317),"",IF(Q317=Constants!$B$2, TRUE(), IF(Q317=Constants!$B$3, FALSE(), FALSE())))</f>
        <v/>
      </c>
      <c r="AE317" s="96" t="str">
        <f aca="false">IF(ISBLANK(C317), "", IF(AD317, Constants!$B$4,IF(COUNTA(G317:O317)=0, Constants!$B$5, Constants!$B$7)))</f>
        <v/>
      </c>
      <c r="AF317" s="96" t="str">
        <f aca="false">IF(ISBLANK($C317), "",IF($AE317=Constants!$B$7,1,$AE317))</f>
        <v/>
      </c>
      <c r="AG317" s="96" t="str">
        <f aca="false">IF($AE317=Constants!$B$7,IF(V317, 1, Constants!$B$11) * IF(X317, 1, Constants!$B$12),"")</f>
        <v/>
      </c>
      <c r="AH317" s="96" t="str">
        <f aca="false">IF(AND($AE317=Constants!$B$7, T317, U317) ,MAX(0, $AA317-$Y317),"")</f>
        <v/>
      </c>
      <c r="AI317" s="96" t="str">
        <f aca="false">IF(ISERROR(AH317),$AI$6,"")</f>
        <v/>
      </c>
      <c r="AJ317" s="96" t="str">
        <f aca="false">IF($AE317=Constants!$B$7,IF(AND(T317,U317,W317),IF($AH$6=0,Constants!$B$9,Constants!$B$9*AH317/$AH$6), 0),"")</f>
        <v/>
      </c>
      <c r="AK317" s="96" t="str">
        <f aca="false">IF(AJ317&lt;&gt;"", AJ317*AG317,"")</f>
        <v/>
      </c>
      <c r="AL317" s="96" t="str">
        <f aca="false">IF(AND($AE317=Constants!$B$7, T317, U317) ,IF($Z317="", "", MAX(0,1-ABS($AA317-$Z317)/$AA317)),"")</f>
        <v/>
      </c>
      <c r="AM317" s="96" t="str">
        <f aca="false">IF(AND(NOT(ISERROR(AH317)),ISERROR(AL317)),$AM$6,"")</f>
        <v/>
      </c>
      <c r="AN317" s="96" t="str">
        <f aca="false">IF($AE317=Constants!$B$7 ,IF(AND(T317,U317,W317,ISNUMBER(Z317)),IF($AL$6=0,Constants!$B$10,Constants!$B$10*AL317/$AL$6), 0),"")</f>
        <v/>
      </c>
      <c r="AO317" s="96" t="str">
        <f aca="false">IF(AN317&lt;&gt;"", AN317*AG317,"")</f>
        <v/>
      </c>
      <c r="AP317" s="96" t="str">
        <f aca="false">IF($AE317=Constants!$B$7,IF($AP$6=0,Constants!$B$8,Constants!$B$8*AB317/$AP$6),"")</f>
        <v/>
      </c>
      <c r="AQ317" s="96" t="str">
        <f aca="false">IF($AE317&lt;&gt;Constants!$B$7,$AE317,AK317+AO317+AP317)</f>
        <v/>
      </c>
      <c r="AR317" s="96" t="str">
        <f aca="false">IF(ISBLANK($C317),"",IF($AE317=Constants!$B$7,RANK(AQ317,$AQ$8:$AQ$507),$AE317))</f>
        <v/>
      </c>
      <c r="AS317" s="96" t="str">
        <f aca="false">IF(ISBLANK($C317), "",AK317)</f>
        <v/>
      </c>
      <c r="AT317" s="96" t="str">
        <f aca="false">IF(ISBLANK($C317),"",IF($AE317=Constants!$B$7,RANK(AS317,AS$8:AS$507),$AE317))</f>
        <v/>
      </c>
      <c r="AU317" s="96" t="str">
        <f aca="false">IF(ISBLANK($C317), "",AP317)</f>
        <v/>
      </c>
      <c r="AV317" s="96" t="str">
        <f aca="false">IF(ISBLANK($C317),"",IF($AE317=Constants!$B$7,RANK(AU317,AU$8:AU$507),$AE317))</f>
        <v/>
      </c>
      <c r="AW317" s="96" t="str">
        <f aca="false">IF(ISBLANK($C317), "",AC317)</f>
        <v/>
      </c>
      <c r="AX317" s="96" t="str">
        <f aca="false">IF(ISBLANK($C317),"",
IF($AE317=Constants!$B$7,
  COUNTIFS($AR$8:$AR$507,"&lt;"&amp;$AR317)
  + COUNTIFS($AR$8:$AR$507,$AR317,$AT$8:$AT$507,"&lt;"&amp;$AT317)
  + COUNTIFS($AR$8:$AR$507,$AR317,$AT$8:$AT$507,$AT317,$AV$8:$AV$507,"&lt;"&amp;$AV317)
  + COUNTIFS($AR$8:$AR$507,$AR317,$AT$8:$AT$507,$AT317,$AV$8:$AV$507,$AV317,$AW$8:$AW$507,"&lt;"&amp;$AW317)
  + 1,
$AE317))</f>
        <v/>
      </c>
      <c r="AY317" s="96" t="str">
        <f aca="false">IF(ISBLANK(C317),"",IF($AE317=Constants!$B$7, AR317-AX317,$AE317))</f>
        <v/>
      </c>
      <c r="AZ317" s="100"/>
      <c r="BA317" s="101" t="str">
        <f aca="false">IF(ISBLANK($C317),"",TRIM(AI317&amp;" "&amp;AM317))</f>
        <v/>
      </c>
      <c r="BB317" s="102" t="str">
        <f aca="false">IF(ISBLANK($C317),"",IF($AE317&lt;&gt;Constants!$B$7, $AE317 ,AQ317))</f>
        <v/>
      </c>
      <c r="BC317" s="103" t="str">
        <f aca="false">IF(ISBLANK($C317),"",IF($AE317&lt;&gt;Constants!$B$7, $AE317 ,AF317))</f>
        <v/>
      </c>
      <c r="BD317" s="104" t="str">
        <f aca="false">IF(ISBLANK(C317),"",AY317)</f>
        <v/>
      </c>
      <c r="BE317" s="104" t="str">
        <f aca="false">IF(ISBLANK(C317),"",AX317)</f>
        <v/>
      </c>
      <c r="BF317" s="105" t="str">
        <f aca="false">IF(ISBLANK(C317),"",IFERROR(_xlfn.SWITCH(BE317, Constants!$B$4, COUNTA($C$8:$C816)+2, Constants!$B$5, COUNTA($C$8:$C816)+1, Constants!$B$6, COUNTA($C$8:$C816)),BE317))</f>
        <v/>
      </c>
      <c r="BG317" s="5"/>
      <c r="BH317" s="106" t="n">
        <f aca="false">IF(OR(ISNUMBER(BE317),BE317="DQ",BE317="P",BE317="NS"),
    1,
    0
)</f>
        <v>0</v>
      </c>
      <c r="BI317" s="106" t="n">
        <v>310</v>
      </c>
      <c r="BJ317" s="106" t="str">
        <f aca="false">IF(ISBLANK($C317),
    "",
   BF317+ROW($B317)/1000
)</f>
        <v/>
      </c>
      <c r="BK317" s="106" t="str">
        <f aca="false">IF(ISNUMBER(BJ317), RANK(BJ317,BJ$8:BJ$507,1), "")</f>
        <v/>
      </c>
      <c r="BL317" s="106" t="str">
        <f aca="false">IF(ISBLANK($C317),
    "",
    $B317
)</f>
        <v/>
      </c>
      <c r="BM317" s="106" t="str">
        <f aca="false">IF(ISBLANK($C317),
    "",
    $C317
)</f>
        <v/>
      </c>
      <c r="BN317" s="106" t="str">
        <f aca="false">IF(ISBLANK($C317),
    "",
    $D317
)</f>
        <v/>
      </c>
      <c r="BO317" s="107" t="str">
        <f aca="false">BC317</f>
        <v/>
      </c>
      <c r="BP317" s="108" t="str">
        <f aca="false">BB317</f>
        <v/>
      </c>
      <c r="BQ317" s="106" t="str">
        <f aca="false">IF(ISBLANK($C317),
    "",
    BE317
)</f>
        <v/>
      </c>
      <c r="BR317" s="109" t="str">
        <f aca="false">IF(BI317&gt;BH$7,
    "",
    VLOOKUP(BI317,BK$8:BQ816,7,FALSE())
)</f>
        <v/>
      </c>
      <c r="BS317" s="110" t="str">
        <f aca="false">IF(BI317&gt;BH$7,
    "",
    VLOOKUP(BI317,BK$8:BQ816,2,FALSE())
)</f>
        <v/>
      </c>
      <c r="BT317" s="110" t="str">
        <f aca="false">IF(BI317&gt;BH$7,
    "",
    VLOOKUP(BI317,BK$8:BQ816,3,FALSE())
)</f>
        <v/>
      </c>
      <c r="BU317" s="110" t="str">
        <f aca="false">IF(BI317&gt;BH$7,
    "",
    VLOOKUP(BI317,BK$8:BQ816,4,FALSE())
)</f>
        <v/>
      </c>
      <c r="BV317" s="110" t="str">
        <f aca="false">IF(BI317&gt;BH$7,
    "",
    VLOOKUP(BI317,BK$8:BQ816,5,FALSE())
)</f>
        <v/>
      </c>
      <c r="BW317" s="111" t="str">
        <f aca="false">IF(BI317&gt;BH$7,
    "",
    VLOOKUP(BI317,BK$8:BQ816,6,FALSE())
)</f>
        <v/>
      </c>
      <c r="BX317" s="50"/>
    </row>
    <row r="318" customFormat="false" ht="15.75" hidden="false" customHeight="false" outlineLevel="0" collapsed="false">
      <c r="A318" s="5"/>
      <c r="B318" s="122"/>
      <c r="C318" s="123"/>
      <c r="D318" s="112"/>
      <c r="E318" s="116"/>
      <c r="F318" s="116"/>
      <c r="G318" s="88"/>
      <c r="H318" s="89"/>
      <c r="I318" s="125"/>
      <c r="J318" s="125"/>
      <c r="K318" s="125"/>
      <c r="L318" s="91"/>
      <c r="M318" s="91"/>
      <c r="N318" s="91"/>
      <c r="O318" s="92"/>
      <c r="P318" s="93"/>
      <c r="Q318" s="125"/>
      <c r="R318" s="95"/>
      <c r="S318" s="96"/>
      <c r="T318" s="96" t="str">
        <f aca="false">IF(ISBLANK($C318),"",IF(G318=Constants!$B$2, TRUE(), IF(G318=Constants!$B$3, FALSE(), TRUE())))</f>
        <v/>
      </c>
      <c r="U318" s="96" t="str">
        <f aca="false">IF(ISBLANK($C318),"",IF(H318=Constants!$B$2, TRUE(), IF(H318=Constants!$B$3, FALSE(), TRUE())))</f>
        <v/>
      </c>
      <c r="V318" s="96" t="str">
        <f aca="false">IF(ISBLANK($C318),"",IF(I318=Constants!$B$2, TRUE(), IF(I318=Constants!$B$3, FALSE(), TRUE())))</f>
        <v/>
      </c>
      <c r="W318" s="96" t="str">
        <f aca="false">IF(ISBLANK($C318),"",IF(J318=Constants!$B$2, TRUE(), IF(J318=Constants!$B$3, FALSE(), TRUE())))</f>
        <v/>
      </c>
      <c r="X318" s="97" t="str">
        <f aca="false">IF(ISBLANK($C318),"",IF(K318=Constants!$B$2, TRUE(), IF(K318=Constants!$B$3, FALSE(), TRUE())))</f>
        <v/>
      </c>
      <c r="Y318" s="98" t="str">
        <f aca="false">IF(ISBLANK($C318),"",IF(ISNUMBER(L318), L318, ""))</f>
        <v/>
      </c>
      <c r="Z318" s="98" t="str">
        <f aca="false">IF(ISBLANK($C318),"",IF(ISNUMBER(M318), M318, ""))</f>
        <v/>
      </c>
      <c r="AA318" s="98" t="str">
        <f aca="false">IF(ISBLANK($C318),"",IF(ISNUMBER(N318), N318, ""))</f>
        <v/>
      </c>
      <c r="AB318" s="99" t="str">
        <f aca="false">IF(ISBLANK($C318),"",IF(ISNUMBER(O318), O318, ""))</f>
        <v/>
      </c>
      <c r="AC318" s="99" t="str">
        <f aca="false">IF(ISBLANK($C318),"",IF(ISNUMBER(P318), P318, Constants!$B$13))</f>
        <v/>
      </c>
      <c r="AD318" s="96" t="str">
        <f aca="false">IF(ISBLANK($C318),"",IF(Q318=Constants!$B$2, TRUE(), IF(Q318=Constants!$B$3, FALSE(), FALSE())))</f>
        <v/>
      </c>
      <c r="AE318" s="96" t="str">
        <f aca="false">IF(ISBLANK(C318), "", IF(AD318, Constants!$B$4,IF(COUNTA(G318:O318)=0, Constants!$B$5, Constants!$B$7)))</f>
        <v/>
      </c>
      <c r="AF318" s="96" t="str">
        <f aca="false">IF(ISBLANK($C318), "",IF($AE318=Constants!$B$7,1,$AE318))</f>
        <v/>
      </c>
      <c r="AG318" s="96" t="str">
        <f aca="false">IF($AE318=Constants!$B$7,IF(V318, 1, Constants!$B$11) * IF(X318, 1, Constants!$B$12),"")</f>
        <v/>
      </c>
      <c r="AH318" s="96" t="str">
        <f aca="false">IF(AND($AE318=Constants!$B$7, T318, U318) ,MAX(0, $AA318-$Y318),"")</f>
        <v/>
      </c>
      <c r="AI318" s="96" t="str">
        <f aca="false">IF(ISERROR(AH318),$AI$6,"")</f>
        <v/>
      </c>
      <c r="AJ318" s="96" t="str">
        <f aca="false">IF($AE318=Constants!$B$7,IF(AND(T318,U318,W318),IF($AH$6=0,Constants!$B$9,Constants!$B$9*AH318/$AH$6), 0),"")</f>
        <v/>
      </c>
      <c r="AK318" s="96" t="str">
        <f aca="false">IF(AJ318&lt;&gt;"", AJ318*AG318,"")</f>
        <v/>
      </c>
      <c r="AL318" s="96" t="str">
        <f aca="false">IF(AND($AE318=Constants!$B$7, T318, U318) ,IF($Z318="", "", MAX(0,1-ABS($AA318-$Z318)/$AA318)),"")</f>
        <v/>
      </c>
      <c r="AM318" s="96" t="str">
        <f aca="false">IF(AND(NOT(ISERROR(AH318)),ISERROR(AL318)),$AM$6,"")</f>
        <v/>
      </c>
      <c r="AN318" s="96" t="str">
        <f aca="false">IF($AE318=Constants!$B$7 ,IF(AND(T318,U318,W318,ISNUMBER(Z318)),IF($AL$6=0,Constants!$B$10,Constants!$B$10*AL318/$AL$6), 0),"")</f>
        <v/>
      </c>
      <c r="AO318" s="96" t="str">
        <f aca="false">IF(AN318&lt;&gt;"", AN318*AG318,"")</f>
        <v/>
      </c>
      <c r="AP318" s="96" t="str">
        <f aca="false">IF($AE318=Constants!$B$7,IF($AP$6=0,Constants!$B$8,Constants!$B$8*AB318/$AP$6),"")</f>
        <v/>
      </c>
      <c r="AQ318" s="96" t="str">
        <f aca="false">IF($AE318&lt;&gt;Constants!$B$7,$AE318,AK318+AO318+AP318)</f>
        <v/>
      </c>
      <c r="AR318" s="96" t="str">
        <f aca="false">IF(ISBLANK($C318),"",IF($AE318=Constants!$B$7,RANK(AQ318,$AQ$8:$AQ$507),$AE318))</f>
        <v/>
      </c>
      <c r="AS318" s="96" t="str">
        <f aca="false">IF(ISBLANK($C318), "",AK318)</f>
        <v/>
      </c>
      <c r="AT318" s="96" t="str">
        <f aca="false">IF(ISBLANK($C318),"",IF($AE318=Constants!$B$7,RANK(AS318,AS$8:AS$507),$AE318))</f>
        <v/>
      </c>
      <c r="AU318" s="96" t="str">
        <f aca="false">IF(ISBLANK($C318), "",AP318)</f>
        <v/>
      </c>
      <c r="AV318" s="96" t="str">
        <f aca="false">IF(ISBLANK($C318),"",IF($AE318=Constants!$B$7,RANK(AU318,AU$8:AU$507),$AE318))</f>
        <v/>
      </c>
      <c r="AW318" s="96" t="str">
        <f aca="false">IF(ISBLANK($C318), "",AC318)</f>
        <v/>
      </c>
      <c r="AX318" s="96" t="str">
        <f aca="false">IF(ISBLANK($C318),"",
IF($AE318=Constants!$B$7,
  COUNTIFS($AR$8:$AR$507,"&lt;"&amp;$AR318)
  + COUNTIFS($AR$8:$AR$507,$AR318,$AT$8:$AT$507,"&lt;"&amp;$AT318)
  + COUNTIFS($AR$8:$AR$507,$AR318,$AT$8:$AT$507,$AT318,$AV$8:$AV$507,"&lt;"&amp;$AV318)
  + COUNTIFS($AR$8:$AR$507,$AR318,$AT$8:$AT$507,$AT318,$AV$8:$AV$507,$AV318,$AW$8:$AW$507,"&lt;"&amp;$AW318)
  + 1,
$AE318))</f>
        <v/>
      </c>
      <c r="AY318" s="96" t="str">
        <f aca="false">IF(ISBLANK(C318),"",IF($AE318=Constants!$B$7, AR318-AX318,$AE318))</f>
        <v/>
      </c>
      <c r="AZ318" s="100"/>
      <c r="BA318" s="101" t="str">
        <f aca="false">IF(ISBLANK($C318),"",TRIM(AI318&amp;" "&amp;AM318))</f>
        <v/>
      </c>
      <c r="BB318" s="102" t="str">
        <f aca="false">IF(ISBLANK($C318),"",IF($AE318&lt;&gt;Constants!$B$7, $AE318 ,AQ318))</f>
        <v/>
      </c>
      <c r="BC318" s="103" t="str">
        <f aca="false">IF(ISBLANK($C318),"",IF($AE318&lt;&gt;Constants!$B$7, $AE318 ,AF318))</f>
        <v/>
      </c>
      <c r="BD318" s="104" t="str">
        <f aca="false">IF(ISBLANK(C318),"",AY318)</f>
        <v/>
      </c>
      <c r="BE318" s="104" t="str">
        <f aca="false">IF(ISBLANK(C318),"",AX318)</f>
        <v/>
      </c>
      <c r="BF318" s="105" t="str">
        <f aca="false">IF(ISBLANK(C318),"",IFERROR(_xlfn.SWITCH(BE318, Constants!$B$4, COUNTA($C$8:$C817)+2, Constants!$B$5, COUNTA($C$8:$C817)+1, Constants!$B$6, COUNTA($C$8:$C817)),BE318))</f>
        <v/>
      </c>
      <c r="BG318" s="5"/>
      <c r="BH318" s="106" t="n">
        <f aca="false">IF(OR(ISNUMBER(BE318),BE318="DQ",BE318="P",BE318="NS"),
    1,
    0
)</f>
        <v>0</v>
      </c>
      <c r="BI318" s="106" t="n">
        <v>311</v>
      </c>
      <c r="BJ318" s="106" t="str">
        <f aca="false">IF(ISBLANK($C318),
    "",
   BF318+ROW($B318)/1000
)</f>
        <v/>
      </c>
      <c r="BK318" s="106" t="str">
        <f aca="false">IF(ISNUMBER(BJ318), RANK(BJ318,BJ$8:BJ$507,1), "")</f>
        <v/>
      </c>
      <c r="BL318" s="106" t="str">
        <f aca="false">IF(ISBLANK($C318),
    "",
    $B318
)</f>
        <v/>
      </c>
      <c r="BM318" s="106" t="str">
        <f aca="false">IF(ISBLANK($C318),
    "",
    $C318
)</f>
        <v/>
      </c>
      <c r="BN318" s="106" t="str">
        <f aca="false">IF(ISBLANK($C318),
    "",
    $D318
)</f>
        <v/>
      </c>
      <c r="BO318" s="107" t="str">
        <f aca="false">BC318</f>
        <v/>
      </c>
      <c r="BP318" s="108" t="str">
        <f aca="false">BB318</f>
        <v/>
      </c>
      <c r="BQ318" s="106" t="str">
        <f aca="false">IF(ISBLANK($C318),
    "",
    BE318
)</f>
        <v/>
      </c>
      <c r="BR318" s="109" t="str">
        <f aca="false">IF(BI318&gt;BH$7,
    "",
    VLOOKUP(BI318,BK$8:BQ817,7,FALSE())
)</f>
        <v/>
      </c>
      <c r="BS318" s="110" t="str">
        <f aca="false">IF(BI318&gt;BH$7,
    "",
    VLOOKUP(BI318,BK$8:BQ817,2,FALSE())
)</f>
        <v/>
      </c>
      <c r="BT318" s="110" t="str">
        <f aca="false">IF(BI318&gt;BH$7,
    "",
    VLOOKUP(BI318,BK$8:BQ817,3,FALSE())
)</f>
        <v/>
      </c>
      <c r="BU318" s="110" t="str">
        <f aca="false">IF(BI318&gt;BH$7,
    "",
    VLOOKUP(BI318,BK$8:BQ817,4,FALSE())
)</f>
        <v/>
      </c>
      <c r="BV318" s="110" t="str">
        <f aca="false">IF(BI318&gt;BH$7,
    "",
    VLOOKUP(BI318,BK$8:BQ817,5,FALSE())
)</f>
        <v/>
      </c>
      <c r="BW318" s="111" t="str">
        <f aca="false">IF(BI318&gt;BH$7,
    "",
    VLOOKUP(BI318,BK$8:BQ817,6,FALSE())
)</f>
        <v/>
      </c>
      <c r="BX318" s="50"/>
    </row>
    <row r="319" customFormat="false" ht="15.75" hidden="false" customHeight="false" outlineLevel="0" collapsed="false">
      <c r="A319" s="5"/>
      <c r="B319" s="122"/>
      <c r="C319" s="123"/>
      <c r="D319" s="112"/>
      <c r="E319" s="116"/>
      <c r="F319" s="116"/>
      <c r="G319" s="88"/>
      <c r="H319" s="89"/>
      <c r="I319" s="125"/>
      <c r="J319" s="125"/>
      <c r="K319" s="125"/>
      <c r="L319" s="91"/>
      <c r="M319" s="91"/>
      <c r="N319" s="91"/>
      <c r="O319" s="92"/>
      <c r="P319" s="93"/>
      <c r="Q319" s="125"/>
      <c r="R319" s="95"/>
      <c r="S319" s="96"/>
      <c r="T319" s="96" t="str">
        <f aca="false">IF(ISBLANK($C319),"",IF(G319=Constants!$B$2, TRUE(), IF(G319=Constants!$B$3, FALSE(), TRUE())))</f>
        <v/>
      </c>
      <c r="U319" s="96" t="str">
        <f aca="false">IF(ISBLANK($C319),"",IF(H319=Constants!$B$2, TRUE(), IF(H319=Constants!$B$3, FALSE(), TRUE())))</f>
        <v/>
      </c>
      <c r="V319" s="96" t="str">
        <f aca="false">IF(ISBLANK($C319),"",IF(I319=Constants!$B$2, TRUE(), IF(I319=Constants!$B$3, FALSE(), TRUE())))</f>
        <v/>
      </c>
      <c r="W319" s="96" t="str">
        <f aca="false">IF(ISBLANK($C319),"",IF(J319=Constants!$B$2, TRUE(), IF(J319=Constants!$B$3, FALSE(), TRUE())))</f>
        <v/>
      </c>
      <c r="X319" s="97" t="str">
        <f aca="false">IF(ISBLANK($C319),"",IF(K319=Constants!$B$2, TRUE(), IF(K319=Constants!$B$3, FALSE(), TRUE())))</f>
        <v/>
      </c>
      <c r="Y319" s="98" t="str">
        <f aca="false">IF(ISBLANK($C319),"",IF(ISNUMBER(L319), L319, ""))</f>
        <v/>
      </c>
      <c r="Z319" s="98" t="str">
        <f aca="false">IF(ISBLANK($C319),"",IF(ISNUMBER(M319), M319, ""))</f>
        <v/>
      </c>
      <c r="AA319" s="98" t="str">
        <f aca="false">IF(ISBLANK($C319),"",IF(ISNUMBER(N319), N319, ""))</f>
        <v/>
      </c>
      <c r="AB319" s="99" t="str">
        <f aca="false">IF(ISBLANK($C319),"",IF(ISNUMBER(O319), O319, ""))</f>
        <v/>
      </c>
      <c r="AC319" s="99" t="str">
        <f aca="false">IF(ISBLANK($C319),"",IF(ISNUMBER(P319), P319, Constants!$B$13))</f>
        <v/>
      </c>
      <c r="AD319" s="96" t="str">
        <f aca="false">IF(ISBLANK($C319),"",IF(Q319=Constants!$B$2, TRUE(), IF(Q319=Constants!$B$3, FALSE(), FALSE())))</f>
        <v/>
      </c>
      <c r="AE319" s="96" t="str">
        <f aca="false">IF(ISBLANK(C319), "", IF(AD319, Constants!$B$4,IF(COUNTA(G319:O319)=0, Constants!$B$5, Constants!$B$7)))</f>
        <v/>
      </c>
      <c r="AF319" s="96" t="str">
        <f aca="false">IF(ISBLANK($C319), "",IF($AE319=Constants!$B$7,1,$AE319))</f>
        <v/>
      </c>
      <c r="AG319" s="96" t="str">
        <f aca="false">IF($AE319=Constants!$B$7,IF(V319, 1, Constants!$B$11) * IF(X319, 1, Constants!$B$12),"")</f>
        <v/>
      </c>
      <c r="AH319" s="96" t="str">
        <f aca="false">IF(AND($AE319=Constants!$B$7, T319, U319) ,MAX(0, $AA319-$Y319),"")</f>
        <v/>
      </c>
      <c r="AI319" s="96" t="str">
        <f aca="false">IF(ISERROR(AH319),$AI$6,"")</f>
        <v/>
      </c>
      <c r="AJ319" s="96" t="str">
        <f aca="false">IF($AE319=Constants!$B$7,IF(AND(T319,U319,W319),IF($AH$6=0,Constants!$B$9,Constants!$B$9*AH319/$AH$6), 0),"")</f>
        <v/>
      </c>
      <c r="AK319" s="96" t="str">
        <f aca="false">IF(AJ319&lt;&gt;"", AJ319*AG319,"")</f>
        <v/>
      </c>
      <c r="AL319" s="96" t="str">
        <f aca="false">IF(AND($AE319=Constants!$B$7, T319, U319) ,IF($Z319="", "", MAX(0,1-ABS($AA319-$Z319)/$AA319)),"")</f>
        <v/>
      </c>
      <c r="AM319" s="96" t="str">
        <f aca="false">IF(AND(NOT(ISERROR(AH319)),ISERROR(AL319)),$AM$6,"")</f>
        <v/>
      </c>
      <c r="AN319" s="96" t="str">
        <f aca="false">IF($AE319=Constants!$B$7 ,IF(AND(T319,U319,W319,ISNUMBER(Z319)),IF($AL$6=0,Constants!$B$10,Constants!$B$10*AL319/$AL$6), 0),"")</f>
        <v/>
      </c>
      <c r="AO319" s="96" t="str">
        <f aca="false">IF(AN319&lt;&gt;"", AN319*AG319,"")</f>
        <v/>
      </c>
      <c r="AP319" s="96" t="str">
        <f aca="false">IF($AE319=Constants!$B$7,IF($AP$6=0,Constants!$B$8,Constants!$B$8*AB319/$AP$6),"")</f>
        <v/>
      </c>
      <c r="AQ319" s="96" t="str">
        <f aca="false">IF($AE319&lt;&gt;Constants!$B$7,$AE319,AK319+AO319+AP319)</f>
        <v/>
      </c>
      <c r="AR319" s="96" t="str">
        <f aca="false">IF(ISBLANK($C319),"",IF($AE319=Constants!$B$7,RANK(AQ319,$AQ$8:$AQ$507),$AE319))</f>
        <v/>
      </c>
      <c r="AS319" s="96" t="str">
        <f aca="false">IF(ISBLANK($C319), "",AK319)</f>
        <v/>
      </c>
      <c r="AT319" s="96" t="str">
        <f aca="false">IF(ISBLANK($C319),"",IF($AE319=Constants!$B$7,RANK(AS319,AS$8:AS$507),$AE319))</f>
        <v/>
      </c>
      <c r="AU319" s="96" t="str">
        <f aca="false">IF(ISBLANK($C319), "",AP319)</f>
        <v/>
      </c>
      <c r="AV319" s="96" t="str">
        <f aca="false">IF(ISBLANK($C319),"",IF($AE319=Constants!$B$7,RANK(AU319,AU$8:AU$507),$AE319))</f>
        <v/>
      </c>
      <c r="AW319" s="96" t="str">
        <f aca="false">IF(ISBLANK($C319), "",AC319)</f>
        <v/>
      </c>
      <c r="AX319" s="96" t="str">
        <f aca="false">IF(ISBLANK($C319),"",
IF($AE319=Constants!$B$7,
  COUNTIFS($AR$8:$AR$507,"&lt;"&amp;$AR319)
  + COUNTIFS($AR$8:$AR$507,$AR319,$AT$8:$AT$507,"&lt;"&amp;$AT319)
  + COUNTIFS($AR$8:$AR$507,$AR319,$AT$8:$AT$507,$AT319,$AV$8:$AV$507,"&lt;"&amp;$AV319)
  + COUNTIFS($AR$8:$AR$507,$AR319,$AT$8:$AT$507,$AT319,$AV$8:$AV$507,$AV319,$AW$8:$AW$507,"&lt;"&amp;$AW319)
  + 1,
$AE319))</f>
        <v/>
      </c>
      <c r="AY319" s="96" t="str">
        <f aca="false">IF(ISBLANK(C319),"",IF($AE319=Constants!$B$7, AR319-AX319,$AE319))</f>
        <v/>
      </c>
      <c r="AZ319" s="100"/>
      <c r="BA319" s="101" t="str">
        <f aca="false">IF(ISBLANK($C319),"",TRIM(AI319&amp;" "&amp;AM319))</f>
        <v/>
      </c>
      <c r="BB319" s="102" t="str">
        <f aca="false">IF(ISBLANK($C319),"",IF($AE319&lt;&gt;Constants!$B$7, $AE319 ,AQ319))</f>
        <v/>
      </c>
      <c r="BC319" s="103" t="str">
        <f aca="false">IF(ISBLANK($C319),"",IF($AE319&lt;&gt;Constants!$B$7, $AE319 ,AF319))</f>
        <v/>
      </c>
      <c r="BD319" s="104" t="str">
        <f aca="false">IF(ISBLANK(C319),"",AY319)</f>
        <v/>
      </c>
      <c r="BE319" s="104" t="str">
        <f aca="false">IF(ISBLANK(C319),"",AX319)</f>
        <v/>
      </c>
      <c r="BF319" s="105" t="str">
        <f aca="false">IF(ISBLANK(C319),"",IFERROR(_xlfn.SWITCH(BE319, Constants!$B$4, COUNTA($C$8:$C818)+2, Constants!$B$5, COUNTA($C$8:$C818)+1, Constants!$B$6, COUNTA($C$8:$C818)),BE319))</f>
        <v/>
      </c>
      <c r="BG319" s="5"/>
      <c r="BH319" s="106" t="n">
        <f aca="false">IF(OR(ISNUMBER(BE319),BE319="DQ",BE319="P",BE319="NS"),
    1,
    0
)</f>
        <v>0</v>
      </c>
      <c r="BI319" s="106" t="n">
        <v>312</v>
      </c>
      <c r="BJ319" s="106" t="str">
        <f aca="false">IF(ISBLANK($C319),
    "",
   BF319+ROW($B319)/1000
)</f>
        <v/>
      </c>
      <c r="BK319" s="106" t="str">
        <f aca="false">IF(ISNUMBER(BJ319), RANK(BJ319,BJ$8:BJ$507,1), "")</f>
        <v/>
      </c>
      <c r="BL319" s="106" t="str">
        <f aca="false">IF(ISBLANK($C319),
    "",
    $B319
)</f>
        <v/>
      </c>
      <c r="BM319" s="106" t="str">
        <f aca="false">IF(ISBLANK($C319),
    "",
    $C319
)</f>
        <v/>
      </c>
      <c r="BN319" s="106" t="str">
        <f aca="false">IF(ISBLANK($C319),
    "",
    $D319
)</f>
        <v/>
      </c>
      <c r="BO319" s="107" t="str">
        <f aca="false">BC319</f>
        <v/>
      </c>
      <c r="BP319" s="108" t="str">
        <f aca="false">BB319</f>
        <v/>
      </c>
      <c r="BQ319" s="106" t="str">
        <f aca="false">IF(ISBLANK($C319),
    "",
    BE319
)</f>
        <v/>
      </c>
      <c r="BR319" s="109" t="str">
        <f aca="false">IF(BI319&gt;BH$7,
    "",
    VLOOKUP(BI319,BK$8:BQ818,7,FALSE())
)</f>
        <v/>
      </c>
      <c r="BS319" s="110" t="str">
        <f aca="false">IF(BI319&gt;BH$7,
    "",
    VLOOKUP(BI319,BK$8:BQ818,2,FALSE())
)</f>
        <v/>
      </c>
      <c r="BT319" s="110" t="str">
        <f aca="false">IF(BI319&gt;BH$7,
    "",
    VLOOKUP(BI319,BK$8:BQ818,3,FALSE())
)</f>
        <v/>
      </c>
      <c r="BU319" s="110" t="str">
        <f aca="false">IF(BI319&gt;BH$7,
    "",
    VLOOKUP(BI319,BK$8:BQ818,4,FALSE())
)</f>
        <v/>
      </c>
      <c r="BV319" s="110" t="str">
        <f aca="false">IF(BI319&gt;BH$7,
    "",
    VLOOKUP(BI319,BK$8:BQ818,5,FALSE())
)</f>
        <v/>
      </c>
      <c r="BW319" s="111" t="str">
        <f aca="false">IF(BI319&gt;BH$7,
    "",
    VLOOKUP(BI319,BK$8:BQ818,6,FALSE())
)</f>
        <v/>
      </c>
      <c r="BX319" s="50"/>
    </row>
    <row r="320" customFormat="false" ht="15.75" hidden="false" customHeight="false" outlineLevel="0" collapsed="false">
      <c r="A320" s="5"/>
      <c r="B320" s="126"/>
      <c r="C320" s="52"/>
      <c r="D320" s="53"/>
      <c r="E320" s="120"/>
      <c r="F320" s="120"/>
      <c r="G320" s="55"/>
      <c r="H320" s="56"/>
      <c r="I320" s="80"/>
      <c r="J320" s="80"/>
      <c r="K320" s="80"/>
      <c r="L320" s="58"/>
      <c r="M320" s="58"/>
      <c r="N320" s="58"/>
      <c r="O320" s="59"/>
      <c r="P320" s="60"/>
      <c r="Q320" s="80"/>
      <c r="R320" s="62"/>
      <c r="S320" s="63"/>
      <c r="T320" s="63" t="str">
        <f aca="false">IF(ISBLANK($C320),"",IF(G320=Constants!$B$2, TRUE(), IF(G320=Constants!$B$3, FALSE(), TRUE())))</f>
        <v/>
      </c>
      <c r="U320" s="63" t="str">
        <f aca="false">IF(ISBLANK($C320),"",IF(H320=Constants!$B$2, TRUE(), IF(H320=Constants!$B$3, FALSE(), TRUE())))</f>
        <v/>
      </c>
      <c r="V320" s="63" t="str">
        <f aca="false">IF(ISBLANK($C320),"",IF(I320=Constants!$B$2, TRUE(), IF(I320=Constants!$B$3, FALSE(), TRUE())))</f>
        <v/>
      </c>
      <c r="W320" s="63" t="str">
        <f aca="false">IF(ISBLANK($C320),"",IF(J320=Constants!$B$2, TRUE(), IF(J320=Constants!$B$3, FALSE(), TRUE())))</f>
        <v/>
      </c>
      <c r="X320" s="63" t="str">
        <f aca="false">IF(ISBLANK($C320),"",IF(K320=Constants!$B$2, TRUE(), IF(K320=Constants!$B$3, FALSE(), TRUE())))</f>
        <v/>
      </c>
      <c r="Y320" s="65" t="str">
        <f aca="false">IF(ISBLANK($C320),"",IF(ISNUMBER(L320), L320, ""))</f>
        <v/>
      </c>
      <c r="Z320" s="65" t="str">
        <f aca="false">IF(ISBLANK($C320),"",IF(ISNUMBER(M320), M320, ""))</f>
        <v/>
      </c>
      <c r="AA320" s="65" t="str">
        <f aca="false">IF(ISBLANK($C320),"",IF(ISNUMBER(N320), N320, ""))</f>
        <v/>
      </c>
      <c r="AB320" s="66" t="str">
        <f aca="false">IF(ISBLANK($C320),"",IF(ISNUMBER(O320), O320, ""))</f>
        <v/>
      </c>
      <c r="AC320" s="66" t="str">
        <f aca="false">IF(ISBLANK($C320),"",IF(ISNUMBER(P320), P320, Constants!$B$13))</f>
        <v/>
      </c>
      <c r="AD320" s="63" t="str">
        <f aca="false">IF(ISBLANK($C320),"",IF(Q320=Constants!$B$2, TRUE(), IF(Q320=Constants!$B$3, FALSE(), FALSE())))</f>
        <v/>
      </c>
      <c r="AE320" s="63" t="str">
        <f aca="false">IF(ISBLANK(C320), "", IF(AD320, Constants!$B$4,IF(COUNTA(G320:O320)=0, Constants!$B$5, Constants!$B$7)))</f>
        <v/>
      </c>
      <c r="AF320" s="63" t="str">
        <f aca="false">IF(ISBLANK($C320), "",IF($AE320=Constants!$B$7,1,$AE320))</f>
        <v/>
      </c>
      <c r="AG320" s="63" t="str">
        <f aca="false">IF($AE320=Constants!$B$7,IF(V320, 1, Constants!$B$11) * IF(X320, 1, Constants!$B$12),"")</f>
        <v/>
      </c>
      <c r="AH320" s="63" t="str">
        <f aca="false">IF(AND($AE320=Constants!$B$7, T320, U320) ,MAX(0, $AA320-$Y320),"")</f>
        <v/>
      </c>
      <c r="AI320" s="63" t="str">
        <f aca="false">IF(ISERROR(AH320),$AI$6,"")</f>
        <v/>
      </c>
      <c r="AJ320" s="63" t="str">
        <f aca="false">IF($AE320=Constants!$B$7,IF(AND(T320,U320,W320),IF($AH$6=0,Constants!$B$9,Constants!$B$9*AH320/$AH$6), 0),"")</f>
        <v/>
      </c>
      <c r="AK320" s="63" t="str">
        <f aca="false">IF(AJ320&lt;&gt;"", AJ320*AG320,"")</f>
        <v/>
      </c>
      <c r="AL320" s="63" t="str">
        <f aca="false">IF(AND($AE320=Constants!$B$7, T320, U320) ,IF($Z320="", "", MAX(0,1-ABS($AA320-$Z320)/$AA320)),"")</f>
        <v/>
      </c>
      <c r="AM320" s="63" t="str">
        <f aca="false">IF(AND(NOT(ISERROR(AH320)),ISERROR(AL320)),$AM$6,"")</f>
        <v/>
      </c>
      <c r="AN320" s="63" t="str">
        <f aca="false">IF($AE320=Constants!$B$7 ,IF(AND(T320,U320,W320,ISNUMBER(Z320)),IF($AL$6=0,Constants!$B$10,Constants!$B$10*AL320/$AL$6), 0),"")</f>
        <v/>
      </c>
      <c r="AO320" s="63" t="str">
        <f aca="false">IF(AN320&lt;&gt;"", AN320*AG320,"")</f>
        <v/>
      </c>
      <c r="AP320" s="63" t="str">
        <f aca="false">IF($AE320=Constants!$B$7,IF($AP$6=0,Constants!$B$8,Constants!$B$8*AB320/$AP$6),"")</f>
        <v/>
      </c>
      <c r="AQ320" s="63" t="str">
        <f aca="false">IF($AE320&lt;&gt;Constants!$B$7,$AE320,AK320+AO320+AP320)</f>
        <v/>
      </c>
      <c r="AR320" s="63" t="str">
        <f aca="false">IF(ISBLANK($C320),"",IF($AE320=Constants!$B$7,RANK(AQ320,$AQ$8:$AQ$507),$AE320))</f>
        <v/>
      </c>
      <c r="AS320" s="63" t="str">
        <f aca="false">IF(ISBLANK($C320), "",AK320)</f>
        <v/>
      </c>
      <c r="AT320" s="63" t="str">
        <f aca="false">IF(ISBLANK($C320),"",IF($AE320=Constants!$B$7,RANK(AS320,AS$8:AS$507),$AE320))</f>
        <v/>
      </c>
      <c r="AU320" s="63" t="str">
        <f aca="false">IF(ISBLANK($C320), "",AP320)</f>
        <v/>
      </c>
      <c r="AV320" s="63" t="str">
        <f aca="false">IF(ISBLANK($C320),"",IF($AE320=Constants!$B$7,RANK(AU320,AU$8:AU$507),$AE320))</f>
        <v/>
      </c>
      <c r="AW320" s="63" t="str">
        <f aca="false">IF(ISBLANK($C320), "",AC320)</f>
        <v/>
      </c>
      <c r="AX320" s="63" t="str">
        <f aca="false">IF(ISBLANK($C320),"",
IF($AE320=Constants!$B$7,
  COUNTIFS($AR$8:$AR$507,"&lt;"&amp;$AR320)
  + COUNTIFS($AR$8:$AR$507,$AR320,$AT$8:$AT$507,"&lt;"&amp;$AT320)
  + COUNTIFS($AR$8:$AR$507,$AR320,$AT$8:$AT$507,$AT320,$AV$8:$AV$507,"&lt;"&amp;$AV320)
  + COUNTIFS($AR$8:$AR$507,$AR320,$AT$8:$AT$507,$AT320,$AV$8:$AV$507,$AV320,$AW$8:$AW$507,"&lt;"&amp;$AW320)
  + 1,
$AE320))</f>
        <v/>
      </c>
      <c r="AY320" s="63" t="str">
        <f aca="false">IF(ISBLANK(C320),"",IF($AE320=Constants!$B$7, AR320-AX320,$AE320))</f>
        <v/>
      </c>
      <c r="AZ320" s="67"/>
      <c r="BA320" s="81" t="str">
        <f aca="false">IF(ISBLANK($C320),"",TRIM(AI320&amp;" "&amp;AM320))</f>
        <v/>
      </c>
      <c r="BB320" s="69" t="str">
        <f aca="false">IF(ISBLANK($C320),"",IF($AE320&lt;&gt;Constants!$B$7, $AE320 ,AQ320))</f>
        <v/>
      </c>
      <c r="BC320" s="70" t="str">
        <f aca="false">IF(ISBLANK($C320),"",IF($AE320&lt;&gt;Constants!$B$7, $AE320 ,AF320))</f>
        <v/>
      </c>
      <c r="BD320" s="71" t="str">
        <f aca="false">IF(ISBLANK(C320),"",AY320)</f>
        <v/>
      </c>
      <c r="BE320" s="71" t="str">
        <f aca="false">IF(ISBLANK(C320),"",AX320)</f>
        <v/>
      </c>
      <c r="BF320" s="72" t="str">
        <f aca="false">IF(ISBLANK(C320),"",IFERROR(_xlfn.SWITCH(BE320, Constants!$B$4, COUNTA($C$8:$C819)+2, Constants!$B$5, COUNTA($C$8:$C819)+1, Constants!$B$6, COUNTA($C$8:$C819)),BE320))</f>
        <v/>
      </c>
      <c r="BG320" s="5"/>
      <c r="BH320" s="73" t="n">
        <f aca="false">IF(OR(ISNUMBER(BE320),BE320="DQ",BE320="P",BE320="NS"),
    1,
    0
)</f>
        <v>0</v>
      </c>
      <c r="BI320" s="73" t="n">
        <v>313</v>
      </c>
      <c r="BJ320" s="73" t="str">
        <f aca="false">IF(ISBLANK($C320),
    "",
   BF320+ROW($B320)/1000
)</f>
        <v/>
      </c>
      <c r="BK320" s="73" t="str">
        <f aca="false">IF(ISNUMBER(BJ320), RANK(BJ320,BJ$8:BJ$507,1), "")</f>
        <v/>
      </c>
      <c r="BL320" s="73" t="str">
        <f aca="false">IF(ISBLANK($C320),
    "",
    $B320
)</f>
        <v/>
      </c>
      <c r="BM320" s="73" t="str">
        <f aca="false">IF(ISBLANK($C320),
    "",
    $C320
)</f>
        <v/>
      </c>
      <c r="BN320" s="73" t="str">
        <f aca="false">IF(ISBLANK($C320),
    "",
    $D320
)</f>
        <v/>
      </c>
      <c r="BO320" s="74" t="str">
        <f aca="false">BC320</f>
        <v/>
      </c>
      <c r="BP320" s="75" t="str">
        <f aca="false">BB320</f>
        <v/>
      </c>
      <c r="BQ320" s="73" t="str">
        <f aca="false">IF(ISBLANK($C320),
    "",
    BE320
)</f>
        <v/>
      </c>
      <c r="BR320" s="76" t="str">
        <f aca="false">IF(BI320&gt;BH$7,
    "",
    VLOOKUP(BI320,BK$8:BQ819,7,FALSE())
)</f>
        <v/>
      </c>
      <c r="BS320" s="77" t="str">
        <f aca="false">IF(BI320&gt;BH$7,
    "",
    VLOOKUP(BI320,BK$8:BQ819,2,FALSE())
)</f>
        <v/>
      </c>
      <c r="BT320" s="77" t="str">
        <f aca="false">IF(BI320&gt;BH$7,
    "",
    VLOOKUP(BI320,BK$8:BQ819,3,FALSE())
)</f>
        <v/>
      </c>
      <c r="BU320" s="77" t="str">
        <f aca="false">IF(BI320&gt;BH$7,
    "",
    VLOOKUP(BI320,BK$8:BQ819,4,FALSE())
)</f>
        <v/>
      </c>
      <c r="BV320" s="77" t="str">
        <f aca="false">IF(BI320&gt;BH$7,
    "",
    VLOOKUP(BI320,BK$8:BQ819,5,FALSE())
)</f>
        <v/>
      </c>
      <c r="BW320" s="78" t="str">
        <f aca="false">IF(BI320&gt;BH$7,
    "",
    VLOOKUP(BI320,BK$8:BQ819,6,FALSE())
)</f>
        <v/>
      </c>
      <c r="BX320" s="50"/>
    </row>
    <row r="321" customFormat="false" ht="15.75" hidden="false" customHeight="false" outlineLevel="0" collapsed="false">
      <c r="A321" s="5"/>
      <c r="B321" s="126"/>
      <c r="C321" s="52"/>
      <c r="D321" s="53"/>
      <c r="E321" s="120"/>
      <c r="F321" s="120"/>
      <c r="G321" s="55"/>
      <c r="H321" s="56"/>
      <c r="I321" s="80"/>
      <c r="J321" s="80"/>
      <c r="K321" s="80"/>
      <c r="L321" s="58"/>
      <c r="M321" s="58"/>
      <c r="N321" s="58"/>
      <c r="O321" s="59"/>
      <c r="P321" s="60"/>
      <c r="Q321" s="80"/>
      <c r="R321" s="62"/>
      <c r="S321" s="63"/>
      <c r="T321" s="63" t="str">
        <f aca="false">IF(ISBLANK($C321),"",IF(G321=Constants!$B$2, TRUE(), IF(G321=Constants!$B$3, FALSE(), TRUE())))</f>
        <v/>
      </c>
      <c r="U321" s="63" t="str">
        <f aca="false">IF(ISBLANK($C321),"",IF(H321=Constants!$B$2, TRUE(), IF(H321=Constants!$B$3, FALSE(), TRUE())))</f>
        <v/>
      </c>
      <c r="V321" s="63" t="str">
        <f aca="false">IF(ISBLANK($C321),"",IF(I321=Constants!$B$2, TRUE(), IF(I321=Constants!$B$3, FALSE(), TRUE())))</f>
        <v/>
      </c>
      <c r="W321" s="63" t="str">
        <f aca="false">IF(ISBLANK($C321),"",IF(J321=Constants!$B$2, TRUE(), IF(J321=Constants!$B$3, FALSE(), TRUE())))</f>
        <v/>
      </c>
      <c r="X321" s="63" t="str">
        <f aca="false">IF(ISBLANK($C321),"",IF(K321=Constants!$B$2, TRUE(), IF(K321=Constants!$B$3, FALSE(), TRUE())))</f>
        <v/>
      </c>
      <c r="Y321" s="65" t="str">
        <f aca="false">IF(ISBLANK($C321),"",IF(ISNUMBER(L321), L321, ""))</f>
        <v/>
      </c>
      <c r="Z321" s="65" t="str">
        <f aca="false">IF(ISBLANK($C321),"",IF(ISNUMBER(M321), M321, ""))</f>
        <v/>
      </c>
      <c r="AA321" s="65" t="str">
        <f aca="false">IF(ISBLANK($C321),"",IF(ISNUMBER(N321), N321, ""))</f>
        <v/>
      </c>
      <c r="AB321" s="66" t="str">
        <f aca="false">IF(ISBLANK($C321),"",IF(ISNUMBER(O321), O321, ""))</f>
        <v/>
      </c>
      <c r="AC321" s="66" t="str">
        <f aca="false">IF(ISBLANK($C321),"",IF(ISNUMBER(P321), P321, Constants!$B$13))</f>
        <v/>
      </c>
      <c r="AD321" s="63" t="str">
        <f aca="false">IF(ISBLANK($C321),"",IF(Q321=Constants!$B$2, TRUE(), IF(Q321=Constants!$B$3, FALSE(), FALSE())))</f>
        <v/>
      </c>
      <c r="AE321" s="63" t="str">
        <f aca="false">IF(ISBLANK(C321), "", IF(AD321, Constants!$B$4,IF(COUNTA(G321:O321)=0, Constants!$B$5, Constants!$B$7)))</f>
        <v/>
      </c>
      <c r="AF321" s="63" t="str">
        <f aca="false">IF(ISBLANK($C321), "",IF($AE321=Constants!$B$7,1,$AE321))</f>
        <v/>
      </c>
      <c r="AG321" s="63" t="str">
        <f aca="false">IF($AE321=Constants!$B$7,IF(V321, 1, Constants!$B$11) * IF(X321, 1, Constants!$B$12),"")</f>
        <v/>
      </c>
      <c r="AH321" s="63" t="str">
        <f aca="false">IF(AND($AE321=Constants!$B$7, T321, U321) ,MAX(0, $AA321-$Y321),"")</f>
        <v/>
      </c>
      <c r="AI321" s="63" t="str">
        <f aca="false">IF(ISERROR(AH321),$AI$6,"")</f>
        <v/>
      </c>
      <c r="AJ321" s="63" t="str">
        <f aca="false">IF($AE321=Constants!$B$7,IF(AND(T321,U321,W321),IF($AH$6=0,Constants!$B$9,Constants!$B$9*AH321/$AH$6), 0),"")</f>
        <v/>
      </c>
      <c r="AK321" s="63" t="str">
        <f aca="false">IF(AJ321&lt;&gt;"", AJ321*AG321,"")</f>
        <v/>
      </c>
      <c r="AL321" s="63" t="str">
        <f aca="false">IF(AND($AE321=Constants!$B$7, T321, U321) ,IF($Z321="", "", MAX(0,1-ABS($AA321-$Z321)/$AA321)),"")</f>
        <v/>
      </c>
      <c r="AM321" s="63" t="str">
        <f aca="false">IF(AND(NOT(ISERROR(AH321)),ISERROR(AL321)),$AM$6,"")</f>
        <v/>
      </c>
      <c r="AN321" s="63" t="str">
        <f aca="false">IF($AE321=Constants!$B$7 ,IF(AND(T321,U321,W321,ISNUMBER(Z321)),IF($AL$6=0,Constants!$B$10,Constants!$B$10*AL321/$AL$6), 0),"")</f>
        <v/>
      </c>
      <c r="AO321" s="63" t="str">
        <f aca="false">IF(AN321&lt;&gt;"", AN321*AG321,"")</f>
        <v/>
      </c>
      <c r="AP321" s="63" t="str">
        <f aca="false">IF($AE321=Constants!$B$7,IF($AP$6=0,Constants!$B$8,Constants!$B$8*AB321/$AP$6),"")</f>
        <v/>
      </c>
      <c r="AQ321" s="63" t="str">
        <f aca="false">IF($AE321&lt;&gt;Constants!$B$7,$AE321,AK321+AO321+AP321)</f>
        <v/>
      </c>
      <c r="AR321" s="63" t="str">
        <f aca="false">IF(ISBLANK($C321),"",IF($AE321=Constants!$B$7,RANK(AQ321,$AQ$8:$AQ$507),$AE321))</f>
        <v/>
      </c>
      <c r="AS321" s="63" t="str">
        <f aca="false">IF(ISBLANK($C321), "",AK321)</f>
        <v/>
      </c>
      <c r="AT321" s="63" t="str">
        <f aca="false">IF(ISBLANK($C321),"",IF($AE321=Constants!$B$7,RANK(AS321,AS$8:AS$507),$AE321))</f>
        <v/>
      </c>
      <c r="AU321" s="63" t="str">
        <f aca="false">IF(ISBLANK($C321), "",AP321)</f>
        <v/>
      </c>
      <c r="AV321" s="63" t="str">
        <f aca="false">IF(ISBLANK($C321),"",IF($AE321=Constants!$B$7,RANK(AU321,AU$8:AU$507),$AE321))</f>
        <v/>
      </c>
      <c r="AW321" s="63" t="str">
        <f aca="false">IF(ISBLANK($C321), "",AC321)</f>
        <v/>
      </c>
      <c r="AX321" s="63" t="str">
        <f aca="false">IF(ISBLANK($C321),"",
IF($AE321=Constants!$B$7,
  COUNTIFS($AR$8:$AR$507,"&lt;"&amp;$AR321)
  + COUNTIFS($AR$8:$AR$507,$AR321,$AT$8:$AT$507,"&lt;"&amp;$AT321)
  + COUNTIFS($AR$8:$AR$507,$AR321,$AT$8:$AT$507,$AT321,$AV$8:$AV$507,"&lt;"&amp;$AV321)
  + COUNTIFS($AR$8:$AR$507,$AR321,$AT$8:$AT$507,$AT321,$AV$8:$AV$507,$AV321,$AW$8:$AW$507,"&lt;"&amp;$AW321)
  + 1,
$AE321))</f>
        <v/>
      </c>
      <c r="AY321" s="63" t="str">
        <f aca="false">IF(ISBLANK(C321),"",IF($AE321=Constants!$B$7, AR321-AX321,$AE321))</f>
        <v/>
      </c>
      <c r="AZ321" s="67"/>
      <c r="BA321" s="81" t="str">
        <f aca="false">IF(ISBLANK($C321),"",TRIM(AI321&amp;" "&amp;AM321))</f>
        <v/>
      </c>
      <c r="BB321" s="69" t="str">
        <f aca="false">IF(ISBLANK($C321),"",IF($AE321&lt;&gt;Constants!$B$7, $AE321 ,AQ321))</f>
        <v/>
      </c>
      <c r="BC321" s="70" t="str">
        <f aca="false">IF(ISBLANK($C321),"",IF($AE321&lt;&gt;Constants!$B$7, $AE321 ,AF321))</f>
        <v/>
      </c>
      <c r="BD321" s="71" t="str">
        <f aca="false">IF(ISBLANK(C321),"",AY321)</f>
        <v/>
      </c>
      <c r="BE321" s="71" t="str">
        <f aca="false">IF(ISBLANK(C321),"",AX321)</f>
        <v/>
      </c>
      <c r="BF321" s="72" t="str">
        <f aca="false">IF(ISBLANK(C321),"",IFERROR(_xlfn.SWITCH(BE321, Constants!$B$4, COUNTA($C$8:$C820)+2, Constants!$B$5, COUNTA($C$8:$C820)+1, Constants!$B$6, COUNTA($C$8:$C820)),BE321))</f>
        <v/>
      </c>
      <c r="BG321" s="5"/>
      <c r="BH321" s="73" t="n">
        <f aca="false">IF(OR(ISNUMBER(BE321),BE321="DQ",BE321="P",BE321="NS"),
    1,
    0
)</f>
        <v>0</v>
      </c>
      <c r="BI321" s="73" t="n">
        <v>314</v>
      </c>
      <c r="BJ321" s="73" t="str">
        <f aca="false">IF(ISBLANK($C321),
    "",
   BF321+ROW($B321)/1000
)</f>
        <v/>
      </c>
      <c r="BK321" s="73" t="str">
        <f aca="false">IF(ISNUMBER(BJ321), RANK(BJ321,BJ$8:BJ$507,1), "")</f>
        <v/>
      </c>
      <c r="BL321" s="73" t="str">
        <f aca="false">IF(ISBLANK($C321),
    "",
    $B321
)</f>
        <v/>
      </c>
      <c r="BM321" s="73" t="str">
        <f aca="false">IF(ISBLANK($C321),
    "",
    $C321
)</f>
        <v/>
      </c>
      <c r="BN321" s="73" t="str">
        <f aca="false">IF(ISBLANK($C321),
    "",
    $D321
)</f>
        <v/>
      </c>
      <c r="BO321" s="74" t="str">
        <f aca="false">BC321</f>
        <v/>
      </c>
      <c r="BP321" s="75" t="str">
        <f aca="false">BB321</f>
        <v/>
      </c>
      <c r="BQ321" s="73" t="str">
        <f aca="false">IF(ISBLANK($C321),
    "",
    BE321
)</f>
        <v/>
      </c>
      <c r="BR321" s="76" t="str">
        <f aca="false">IF(BI321&gt;BH$7,
    "",
    VLOOKUP(BI321,BK$8:BQ820,7,FALSE())
)</f>
        <v/>
      </c>
      <c r="BS321" s="77" t="str">
        <f aca="false">IF(BI321&gt;BH$7,
    "",
    VLOOKUP(BI321,BK$8:BQ820,2,FALSE())
)</f>
        <v/>
      </c>
      <c r="BT321" s="77" t="str">
        <f aca="false">IF(BI321&gt;BH$7,
    "",
    VLOOKUP(BI321,BK$8:BQ820,3,FALSE())
)</f>
        <v/>
      </c>
      <c r="BU321" s="77" t="str">
        <f aca="false">IF(BI321&gt;BH$7,
    "",
    VLOOKUP(BI321,BK$8:BQ820,4,FALSE())
)</f>
        <v/>
      </c>
      <c r="BV321" s="77" t="str">
        <f aca="false">IF(BI321&gt;BH$7,
    "",
    VLOOKUP(BI321,BK$8:BQ820,5,FALSE())
)</f>
        <v/>
      </c>
      <c r="BW321" s="78" t="str">
        <f aca="false">IF(BI321&gt;BH$7,
    "",
    VLOOKUP(BI321,BK$8:BQ820,6,FALSE())
)</f>
        <v/>
      </c>
      <c r="BX321" s="50"/>
    </row>
    <row r="322" customFormat="false" ht="15.75" hidden="false" customHeight="false" outlineLevel="0" collapsed="false">
      <c r="A322" s="5"/>
      <c r="B322" s="126"/>
      <c r="C322" s="52"/>
      <c r="D322" s="53"/>
      <c r="E322" s="120"/>
      <c r="F322" s="120"/>
      <c r="G322" s="55"/>
      <c r="H322" s="56"/>
      <c r="I322" s="80"/>
      <c r="J322" s="80"/>
      <c r="K322" s="80"/>
      <c r="L322" s="58"/>
      <c r="M322" s="58"/>
      <c r="N322" s="58"/>
      <c r="O322" s="59"/>
      <c r="P322" s="60"/>
      <c r="Q322" s="80"/>
      <c r="R322" s="62"/>
      <c r="S322" s="63"/>
      <c r="T322" s="63" t="str">
        <f aca="false">IF(ISBLANK($C322),"",IF(G322=Constants!$B$2, TRUE(), IF(G322=Constants!$B$3, FALSE(), TRUE())))</f>
        <v/>
      </c>
      <c r="U322" s="63" t="str">
        <f aca="false">IF(ISBLANK($C322),"",IF(H322=Constants!$B$2, TRUE(), IF(H322=Constants!$B$3, FALSE(), TRUE())))</f>
        <v/>
      </c>
      <c r="V322" s="63" t="str">
        <f aca="false">IF(ISBLANK($C322),"",IF(I322=Constants!$B$2, TRUE(), IF(I322=Constants!$B$3, FALSE(), TRUE())))</f>
        <v/>
      </c>
      <c r="W322" s="63" t="str">
        <f aca="false">IF(ISBLANK($C322),"",IF(J322=Constants!$B$2, TRUE(), IF(J322=Constants!$B$3, FALSE(), TRUE())))</f>
        <v/>
      </c>
      <c r="X322" s="63" t="str">
        <f aca="false">IF(ISBLANK($C322),"",IF(K322=Constants!$B$2, TRUE(), IF(K322=Constants!$B$3, FALSE(), TRUE())))</f>
        <v/>
      </c>
      <c r="Y322" s="65" t="str">
        <f aca="false">IF(ISBLANK($C322),"",IF(ISNUMBER(L322), L322, ""))</f>
        <v/>
      </c>
      <c r="Z322" s="65" t="str">
        <f aca="false">IF(ISBLANK($C322),"",IF(ISNUMBER(M322), M322, ""))</f>
        <v/>
      </c>
      <c r="AA322" s="65" t="str">
        <f aca="false">IF(ISBLANK($C322),"",IF(ISNUMBER(N322), N322, ""))</f>
        <v/>
      </c>
      <c r="AB322" s="66" t="str">
        <f aca="false">IF(ISBLANK($C322),"",IF(ISNUMBER(O322), O322, ""))</f>
        <v/>
      </c>
      <c r="AC322" s="66" t="str">
        <f aca="false">IF(ISBLANK($C322),"",IF(ISNUMBER(P322), P322, Constants!$B$13))</f>
        <v/>
      </c>
      <c r="AD322" s="63" t="str">
        <f aca="false">IF(ISBLANK($C322),"",IF(Q322=Constants!$B$2, TRUE(), IF(Q322=Constants!$B$3, FALSE(), FALSE())))</f>
        <v/>
      </c>
      <c r="AE322" s="63" t="str">
        <f aca="false">IF(ISBLANK(C322), "", IF(AD322, Constants!$B$4,IF(COUNTA(G322:O322)=0, Constants!$B$5, Constants!$B$7)))</f>
        <v/>
      </c>
      <c r="AF322" s="63" t="str">
        <f aca="false">IF(ISBLANK($C322), "",IF($AE322=Constants!$B$7,1,$AE322))</f>
        <v/>
      </c>
      <c r="AG322" s="63" t="str">
        <f aca="false">IF($AE322=Constants!$B$7,IF(V322, 1, Constants!$B$11) * IF(X322, 1, Constants!$B$12),"")</f>
        <v/>
      </c>
      <c r="AH322" s="63" t="str">
        <f aca="false">IF(AND($AE322=Constants!$B$7, T322, U322) ,MAX(0, $AA322-$Y322),"")</f>
        <v/>
      </c>
      <c r="AI322" s="63" t="str">
        <f aca="false">IF(ISERROR(AH322),$AI$6,"")</f>
        <v/>
      </c>
      <c r="AJ322" s="63" t="str">
        <f aca="false">IF($AE322=Constants!$B$7,IF(AND(T322,U322,W322),IF($AH$6=0,Constants!$B$9,Constants!$B$9*AH322/$AH$6), 0),"")</f>
        <v/>
      </c>
      <c r="AK322" s="63" t="str">
        <f aca="false">IF(AJ322&lt;&gt;"", AJ322*AG322,"")</f>
        <v/>
      </c>
      <c r="AL322" s="63" t="str">
        <f aca="false">IF(AND($AE322=Constants!$B$7, T322, U322) ,IF($Z322="", "", MAX(0,1-ABS($AA322-$Z322)/$AA322)),"")</f>
        <v/>
      </c>
      <c r="AM322" s="63" t="str">
        <f aca="false">IF(AND(NOT(ISERROR(AH322)),ISERROR(AL322)),$AM$6,"")</f>
        <v/>
      </c>
      <c r="AN322" s="63" t="str">
        <f aca="false">IF($AE322=Constants!$B$7 ,IF(AND(T322,U322,W322,ISNUMBER(Z322)),IF($AL$6=0,Constants!$B$10,Constants!$B$10*AL322/$AL$6), 0),"")</f>
        <v/>
      </c>
      <c r="AO322" s="63" t="str">
        <f aca="false">IF(AN322&lt;&gt;"", AN322*AG322,"")</f>
        <v/>
      </c>
      <c r="AP322" s="63" t="str">
        <f aca="false">IF($AE322=Constants!$B$7,IF($AP$6=0,Constants!$B$8,Constants!$B$8*AB322/$AP$6),"")</f>
        <v/>
      </c>
      <c r="AQ322" s="63" t="str">
        <f aca="false">IF($AE322&lt;&gt;Constants!$B$7,$AE322,AK322+AO322+AP322)</f>
        <v/>
      </c>
      <c r="AR322" s="63" t="str">
        <f aca="false">IF(ISBLANK($C322),"",IF($AE322=Constants!$B$7,RANK(AQ322,$AQ$8:$AQ$507),$AE322))</f>
        <v/>
      </c>
      <c r="AS322" s="63" t="str">
        <f aca="false">IF(ISBLANK($C322), "",AK322)</f>
        <v/>
      </c>
      <c r="AT322" s="63" t="str">
        <f aca="false">IF(ISBLANK($C322),"",IF($AE322=Constants!$B$7,RANK(AS322,AS$8:AS$507),$AE322))</f>
        <v/>
      </c>
      <c r="AU322" s="63" t="str">
        <f aca="false">IF(ISBLANK($C322), "",AP322)</f>
        <v/>
      </c>
      <c r="AV322" s="63" t="str">
        <f aca="false">IF(ISBLANK($C322),"",IF($AE322=Constants!$B$7,RANK(AU322,AU$8:AU$507),$AE322))</f>
        <v/>
      </c>
      <c r="AW322" s="63" t="str">
        <f aca="false">IF(ISBLANK($C322), "",AC322)</f>
        <v/>
      </c>
      <c r="AX322" s="63" t="str">
        <f aca="false">IF(ISBLANK($C322),"",
IF($AE322=Constants!$B$7,
  COUNTIFS($AR$8:$AR$507,"&lt;"&amp;$AR322)
  + COUNTIFS($AR$8:$AR$507,$AR322,$AT$8:$AT$507,"&lt;"&amp;$AT322)
  + COUNTIFS($AR$8:$AR$507,$AR322,$AT$8:$AT$507,$AT322,$AV$8:$AV$507,"&lt;"&amp;$AV322)
  + COUNTIFS($AR$8:$AR$507,$AR322,$AT$8:$AT$507,$AT322,$AV$8:$AV$507,$AV322,$AW$8:$AW$507,"&lt;"&amp;$AW322)
  + 1,
$AE322))</f>
        <v/>
      </c>
      <c r="AY322" s="63" t="str">
        <f aca="false">IF(ISBLANK(C322),"",IF($AE322=Constants!$B$7, AR322-AX322,$AE322))</f>
        <v/>
      </c>
      <c r="AZ322" s="67"/>
      <c r="BA322" s="81" t="str">
        <f aca="false">IF(ISBLANK($C322),"",TRIM(AI322&amp;" "&amp;AM322))</f>
        <v/>
      </c>
      <c r="BB322" s="69" t="str">
        <f aca="false">IF(ISBLANK($C322),"",IF($AE322&lt;&gt;Constants!$B$7, $AE322 ,AQ322))</f>
        <v/>
      </c>
      <c r="BC322" s="70" t="str">
        <f aca="false">IF(ISBLANK($C322),"",IF($AE322&lt;&gt;Constants!$B$7, $AE322 ,AF322))</f>
        <v/>
      </c>
      <c r="BD322" s="71" t="str">
        <f aca="false">IF(ISBLANK(C322),"",AY322)</f>
        <v/>
      </c>
      <c r="BE322" s="71" t="str">
        <f aca="false">IF(ISBLANK(C322),"",AX322)</f>
        <v/>
      </c>
      <c r="BF322" s="72" t="str">
        <f aca="false">IF(ISBLANK(C322),"",IFERROR(_xlfn.SWITCH(BE322, Constants!$B$4, COUNTA($C$8:$C821)+2, Constants!$B$5, COUNTA($C$8:$C821)+1, Constants!$B$6, COUNTA($C$8:$C821)),BE322))</f>
        <v/>
      </c>
      <c r="BG322" s="5"/>
      <c r="BH322" s="73" t="n">
        <f aca="false">IF(OR(ISNUMBER(BE322),BE322="DQ",BE322="P",BE322="NS"),
    1,
    0
)</f>
        <v>0</v>
      </c>
      <c r="BI322" s="73" t="n">
        <v>315</v>
      </c>
      <c r="BJ322" s="73" t="str">
        <f aca="false">IF(ISBLANK($C322),
    "",
   BF322+ROW($B322)/1000
)</f>
        <v/>
      </c>
      <c r="BK322" s="73" t="str">
        <f aca="false">IF(ISNUMBER(BJ322), RANK(BJ322,BJ$8:BJ$507,1), "")</f>
        <v/>
      </c>
      <c r="BL322" s="73" t="str">
        <f aca="false">IF(ISBLANK($C322),
    "",
    $B322
)</f>
        <v/>
      </c>
      <c r="BM322" s="73" t="str">
        <f aca="false">IF(ISBLANK($C322),
    "",
    $C322
)</f>
        <v/>
      </c>
      <c r="BN322" s="73" t="str">
        <f aca="false">IF(ISBLANK($C322),
    "",
    $D322
)</f>
        <v/>
      </c>
      <c r="BO322" s="74" t="str">
        <f aca="false">BC322</f>
        <v/>
      </c>
      <c r="BP322" s="75" t="str">
        <f aca="false">BB322</f>
        <v/>
      </c>
      <c r="BQ322" s="73" t="str">
        <f aca="false">IF(ISBLANK($C322),
    "",
    BE322
)</f>
        <v/>
      </c>
      <c r="BR322" s="76" t="str">
        <f aca="false">IF(BI322&gt;BH$7,
    "",
    VLOOKUP(BI322,BK$8:BQ821,7,FALSE())
)</f>
        <v/>
      </c>
      <c r="BS322" s="77" t="str">
        <f aca="false">IF(BI322&gt;BH$7,
    "",
    VLOOKUP(BI322,BK$8:BQ821,2,FALSE())
)</f>
        <v/>
      </c>
      <c r="BT322" s="77" t="str">
        <f aca="false">IF(BI322&gt;BH$7,
    "",
    VLOOKUP(BI322,BK$8:BQ821,3,FALSE())
)</f>
        <v/>
      </c>
      <c r="BU322" s="77" t="str">
        <f aca="false">IF(BI322&gt;BH$7,
    "",
    VLOOKUP(BI322,BK$8:BQ821,4,FALSE())
)</f>
        <v/>
      </c>
      <c r="BV322" s="77" t="str">
        <f aca="false">IF(BI322&gt;BH$7,
    "",
    VLOOKUP(BI322,BK$8:BQ821,5,FALSE())
)</f>
        <v/>
      </c>
      <c r="BW322" s="78" t="str">
        <f aca="false">IF(BI322&gt;BH$7,
    "",
    VLOOKUP(BI322,BK$8:BQ821,6,FALSE())
)</f>
        <v/>
      </c>
      <c r="BX322" s="50"/>
    </row>
    <row r="323" customFormat="false" ht="15.75" hidden="false" customHeight="false" outlineLevel="0" collapsed="false">
      <c r="A323" s="5"/>
      <c r="B323" s="122"/>
      <c r="C323" s="123"/>
      <c r="D323" s="112"/>
      <c r="E323" s="116"/>
      <c r="F323" s="116"/>
      <c r="G323" s="88"/>
      <c r="H323" s="89"/>
      <c r="I323" s="125"/>
      <c r="J323" s="125"/>
      <c r="K323" s="125"/>
      <c r="L323" s="91"/>
      <c r="M323" s="91"/>
      <c r="N323" s="91"/>
      <c r="O323" s="92"/>
      <c r="P323" s="93"/>
      <c r="Q323" s="125"/>
      <c r="R323" s="95"/>
      <c r="S323" s="96"/>
      <c r="T323" s="96" t="str">
        <f aca="false">IF(ISBLANK($C323),"",IF(G323=Constants!$B$2, TRUE(), IF(G323=Constants!$B$3, FALSE(), TRUE())))</f>
        <v/>
      </c>
      <c r="U323" s="96" t="str">
        <f aca="false">IF(ISBLANK($C323),"",IF(H323=Constants!$B$2, TRUE(), IF(H323=Constants!$B$3, FALSE(), TRUE())))</f>
        <v/>
      </c>
      <c r="V323" s="96" t="str">
        <f aca="false">IF(ISBLANK($C323),"",IF(I323=Constants!$B$2, TRUE(), IF(I323=Constants!$B$3, FALSE(), TRUE())))</f>
        <v/>
      </c>
      <c r="W323" s="96" t="str">
        <f aca="false">IF(ISBLANK($C323),"",IF(J323=Constants!$B$2, TRUE(), IF(J323=Constants!$B$3, FALSE(), TRUE())))</f>
        <v/>
      </c>
      <c r="X323" s="97" t="str">
        <f aca="false">IF(ISBLANK($C323),"",IF(K323=Constants!$B$2, TRUE(), IF(K323=Constants!$B$3, FALSE(), TRUE())))</f>
        <v/>
      </c>
      <c r="Y323" s="98" t="str">
        <f aca="false">IF(ISBLANK($C323),"",IF(ISNUMBER(L323), L323, ""))</f>
        <v/>
      </c>
      <c r="Z323" s="98" t="str">
        <f aca="false">IF(ISBLANK($C323),"",IF(ISNUMBER(M323), M323, ""))</f>
        <v/>
      </c>
      <c r="AA323" s="98" t="str">
        <f aca="false">IF(ISBLANK($C323),"",IF(ISNUMBER(N323), N323, ""))</f>
        <v/>
      </c>
      <c r="AB323" s="99" t="str">
        <f aca="false">IF(ISBLANK($C323),"",IF(ISNUMBER(O323), O323, ""))</f>
        <v/>
      </c>
      <c r="AC323" s="99" t="str">
        <f aca="false">IF(ISBLANK($C323),"",IF(ISNUMBER(P323), P323, Constants!$B$13))</f>
        <v/>
      </c>
      <c r="AD323" s="96" t="str">
        <f aca="false">IF(ISBLANK($C323),"",IF(Q323=Constants!$B$2, TRUE(), IF(Q323=Constants!$B$3, FALSE(), FALSE())))</f>
        <v/>
      </c>
      <c r="AE323" s="96" t="str">
        <f aca="false">IF(ISBLANK(C323), "", IF(AD323, Constants!$B$4,IF(COUNTA(G323:O323)=0, Constants!$B$5, Constants!$B$7)))</f>
        <v/>
      </c>
      <c r="AF323" s="96" t="str">
        <f aca="false">IF(ISBLANK($C323), "",IF($AE323=Constants!$B$7,1,$AE323))</f>
        <v/>
      </c>
      <c r="AG323" s="96" t="str">
        <f aca="false">IF($AE323=Constants!$B$7,IF(V323, 1, Constants!$B$11) * IF(X323, 1, Constants!$B$12),"")</f>
        <v/>
      </c>
      <c r="AH323" s="96" t="str">
        <f aca="false">IF(AND($AE323=Constants!$B$7, T323, U323) ,MAX(0, $AA323-$Y323),"")</f>
        <v/>
      </c>
      <c r="AI323" s="96" t="str">
        <f aca="false">IF(ISERROR(AH323),$AI$6,"")</f>
        <v/>
      </c>
      <c r="AJ323" s="96" t="str">
        <f aca="false">IF($AE323=Constants!$B$7,IF(AND(T323,U323,W323),IF($AH$6=0,Constants!$B$9,Constants!$B$9*AH323/$AH$6), 0),"")</f>
        <v/>
      </c>
      <c r="AK323" s="96" t="str">
        <f aca="false">IF(AJ323&lt;&gt;"", AJ323*AG323,"")</f>
        <v/>
      </c>
      <c r="AL323" s="96" t="str">
        <f aca="false">IF(AND($AE323=Constants!$B$7, T323, U323) ,IF($Z323="", "", MAX(0,1-ABS($AA323-$Z323)/$AA323)),"")</f>
        <v/>
      </c>
      <c r="AM323" s="96" t="str">
        <f aca="false">IF(AND(NOT(ISERROR(AH323)),ISERROR(AL323)),$AM$6,"")</f>
        <v/>
      </c>
      <c r="AN323" s="96" t="str">
        <f aca="false">IF($AE323=Constants!$B$7 ,IF(AND(T323,U323,W323,ISNUMBER(Z323)),IF($AL$6=0,Constants!$B$10,Constants!$B$10*AL323/$AL$6), 0),"")</f>
        <v/>
      </c>
      <c r="AO323" s="96" t="str">
        <f aca="false">IF(AN323&lt;&gt;"", AN323*AG323,"")</f>
        <v/>
      </c>
      <c r="AP323" s="96" t="str">
        <f aca="false">IF($AE323=Constants!$B$7,IF($AP$6=0,Constants!$B$8,Constants!$B$8*AB323/$AP$6),"")</f>
        <v/>
      </c>
      <c r="AQ323" s="96" t="str">
        <f aca="false">IF($AE323&lt;&gt;Constants!$B$7,$AE323,AK323+AO323+AP323)</f>
        <v/>
      </c>
      <c r="AR323" s="96" t="str">
        <f aca="false">IF(ISBLANK($C323),"",IF($AE323=Constants!$B$7,RANK(AQ323,$AQ$8:$AQ$507),$AE323))</f>
        <v/>
      </c>
      <c r="AS323" s="96" t="str">
        <f aca="false">IF(ISBLANK($C323), "",AK323)</f>
        <v/>
      </c>
      <c r="AT323" s="96" t="str">
        <f aca="false">IF(ISBLANK($C323),"",IF($AE323=Constants!$B$7,RANK(AS323,AS$8:AS$507),$AE323))</f>
        <v/>
      </c>
      <c r="AU323" s="96" t="str">
        <f aca="false">IF(ISBLANK($C323), "",AP323)</f>
        <v/>
      </c>
      <c r="AV323" s="96" t="str">
        <f aca="false">IF(ISBLANK($C323),"",IF($AE323=Constants!$B$7,RANK(AU323,AU$8:AU$507),$AE323))</f>
        <v/>
      </c>
      <c r="AW323" s="96" t="str">
        <f aca="false">IF(ISBLANK($C323), "",AC323)</f>
        <v/>
      </c>
      <c r="AX323" s="96" t="str">
        <f aca="false">IF(ISBLANK($C323),"",
IF($AE323=Constants!$B$7,
  COUNTIFS($AR$8:$AR$507,"&lt;"&amp;$AR323)
  + COUNTIFS($AR$8:$AR$507,$AR323,$AT$8:$AT$507,"&lt;"&amp;$AT323)
  + COUNTIFS($AR$8:$AR$507,$AR323,$AT$8:$AT$507,$AT323,$AV$8:$AV$507,"&lt;"&amp;$AV323)
  + COUNTIFS($AR$8:$AR$507,$AR323,$AT$8:$AT$507,$AT323,$AV$8:$AV$507,$AV323,$AW$8:$AW$507,"&lt;"&amp;$AW323)
  + 1,
$AE323))</f>
        <v/>
      </c>
      <c r="AY323" s="96" t="str">
        <f aca="false">IF(ISBLANK(C323),"",IF($AE323=Constants!$B$7, AR323-AX323,$AE323))</f>
        <v/>
      </c>
      <c r="AZ323" s="100"/>
      <c r="BA323" s="101" t="str">
        <f aca="false">IF(ISBLANK($C323),"",TRIM(AI323&amp;" "&amp;AM323))</f>
        <v/>
      </c>
      <c r="BB323" s="102" t="str">
        <f aca="false">IF(ISBLANK($C323),"",IF($AE323&lt;&gt;Constants!$B$7, $AE323 ,AQ323))</f>
        <v/>
      </c>
      <c r="BC323" s="103" t="str">
        <f aca="false">IF(ISBLANK($C323),"",IF($AE323&lt;&gt;Constants!$B$7, $AE323 ,AF323))</f>
        <v/>
      </c>
      <c r="BD323" s="104" t="str">
        <f aca="false">IF(ISBLANK(C323),"",AY323)</f>
        <v/>
      </c>
      <c r="BE323" s="104" t="str">
        <f aca="false">IF(ISBLANK(C323),"",AX323)</f>
        <v/>
      </c>
      <c r="BF323" s="105" t="str">
        <f aca="false">IF(ISBLANK(C323),"",IFERROR(_xlfn.SWITCH(BE323, Constants!$B$4, COUNTA($C$8:$C822)+2, Constants!$B$5, COUNTA($C$8:$C822)+1, Constants!$B$6, COUNTA($C$8:$C822)),BE323))</f>
        <v/>
      </c>
      <c r="BG323" s="5"/>
      <c r="BH323" s="106" t="n">
        <f aca="false">IF(OR(ISNUMBER(BE323),BE323="DQ",BE323="P",BE323="NS"),
    1,
    0
)</f>
        <v>0</v>
      </c>
      <c r="BI323" s="106" t="n">
        <v>316</v>
      </c>
      <c r="BJ323" s="106" t="str">
        <f aca="false">IF(ISBLANK($C323),
    "",
   BF323+ROW($B323)/1000
)</f>
        <v/>
      </c>
      <c r="BK323" s="106" t="str">
        <f aca="false">IF(ISNUMBER(BJ323), RANK(BJ323,BJ$8:BJ$507,1), "")</f>
        <v/>
      </c>
      <c r="BL323" s="106" t="str">
        <f aca="false">IF(ISBLANK($C323),
    "",
    $B323
)</f>
        <v/>
      </c>
      <c r="BM323" s="106" t="str">
        <f aca="false">IF(ISBLANK($C323),
    "",
    $C323
)</f>
        <v/>
      </c>
      <c r="BN323" s="106" t="str">
        <f aca="false">IF(ISBLANK($C323),
    "",
    $D323
)</f>
        <v/>
      </c>
      <c r="BO323" s="107" t="str">
        <f aca="false">BC323</f>
        <v/>
      </c>
      <c r="BP323" s="108" t="str">
        <f aca="false">BB323</f>
        <v/>
      </c>
      <c r="BQ323" s="106" t="str">
        <f aca="false">IF(ISBLANK($C323),
    "",
    BE323
)</f>
        <v/>
      </c>
      <c r="BR323" s="109" t="str">
        <f aca="false">IF(BI323&gt;BH$7,
    "",
    VLOOKUP(BI323,BK$8:BQ822,7,FALSE())
)</f>
        <v/>
      </c>
      <c r="BS323" s="110" t="str">
        <f aca="false">IF(BI323&gt;BH$7,
    "",
    VLOOKUP(BI323,BK$8:BQ822,2,FALSE())
)</f>
        <v/>
      </c>
      <c r="BT323" s="110" t="str">
        <f aca="false">IF(BI323&gt;BH$7,
    "",
    VLOOKUP(BI323,BK$8:BQ822,3,FALSE())
)</f>
        <v/>
      </c>
      <c r="BU323" s="110" t="str">
        <f aca="false">IF(BI323&gt;BH$7,
    "",
    VLOOKUP(BI323,BK$8:BQ822,4,FALSE())
)</f>
        <v/>
      </c>
      <c r="BV323" s="110" t="str">
        <f aca="false">IF(BI323&gt;BH$7,
    "",
    VLOOKUP(BI323,BK$8:BQ822,5,FALSE())
)</f>
        <v/>
      </c>
      <c r="BW323" s="111" t="str">
        <f aca="false">IF(BI323&gt;BH$7,
    "",
    VLOOKUP(BI323,BK$8:BQ822,6,FALSE())
)</f>
        <v/>
      </c>
      <c r="BX323" s="50"/>
    </row>
    <row r="324" customFormat="false" ht="15.75" hidden="false" customHeight="false" outlineLevel="0" collapsed="false">
      <c r="A324" s="5"/>
      <c r="B324" s="122"/>
      <c r="C324" s="123"/>
      <c r="D324" s="112"/>
      <c r="E324" s="116"/>
      <c r="F324" s="116"/>
      <c r="G324" s="88"/>
      <c r="H324" s="89"/>
      <c r="I324" s="125"/>
      <c r="J324" s="125"/>
      <c r="K324" s="125"/>
      <c r="L324" s="91"/>
      <c r="M324" s="91"/>
      <c r="N324" s="91"/>
      <c r="O324" s="92"/>
      <c r="P324" s="93"/>
      <c r="Q324" s="125"/>
      <c r="R324" s="95"/>
      <c r="S324" s="96"/>
      <c r="T324" s="96" t="str">
        <f aca="false">IF(ISBLANK($C324),"",IF(G324=Constants!$B$2, TRUE(), IF(G324=Constants!$B$3, FALSE(), TRUE())))</f>
        <v/>
      </c>
      <c r="U324" s="96" t="str">
        <f aca="false">IF(ISBLANK($C324),"",IF(H324=Constants!$B$2, TRUE(), IF(H324=Constants!$B$3, FALSE(), TRUE())))</f>
        <v/>
      </c>
      <c r="V324" s="96" t="str">
        <f aca="false">IF(ISBLANK($C324),"",IF(I324=Constants!$B$2, TRUE(), IF(I324=Constants!$B$3, FALSE(), TRUE())))</f>
        <v/>
      </c>
      <c r="W324" s="96" t="str">
        <f aca="false">IF(ISBLANK($C324),"",IF(J324=Constants!$B$2, TRUE(), IF(J324=Constants!$B$3, FALSE(), TRUE())))</f>
        <v/>
      </c>
      <c r="X324" s="97" t="str">
        <f aca="false">IF(ISBLANK($C324),"",IF(K324=Constants!$B$2, TRUE(), IF(K324=Constants!$B$3, FALSE(), TRUE())))</f>
        <v/>
      </c>
      <c r="Y324" s="98" t="str">
        <f aca="false">IF(ISBLANK($C324),"",IF(ISNUMBER(L324), L324, ""))</f>
        <v/>
      </c>
      <c r="Z324" s="98" t="str">
        <f aca="false">IF(ISBLANK($C324),"",IF(ISNUMBER(M324), M324, ""))</f>
        <v/>
      </c>
      <c r="AA324" s="98" t="str">
        <f aca="false">IF(ISBLANK($C324),"",IF(ISNUMBER(N324), N324, ""))</f>
        <v/>
      </c>
      <c r="AB324" s="99" t="str">
        <f aca="false">IF(ISBLANK($C324),"",IF(ISNUMBER(O324), O324, ""))</f>
        <v/>
      </c>
      <c r="AC324" s="99" t="str">
        <f aca="false">IF(ISBLANK($C324),"",IF(ISNUMBER(P324), P324, Constants!$B$13))</f>
        <v/>
      </c>
      <c r="AD324" s="96" t="str">
        <f aca="false">IF(ISBLANK($C324),"",IF(Q324=Constants!$B$2, TRUE(), IF(Q324=Constants!$B$3, FALSE(), FALSE())))</f>
        <v/>
      </c>
      <c r="AE324" s="96" t="str">
        <f aca="false">IF(ISBLANK(C324), "", IF(AD324, Constants!$B$4,IF(COUNTA(G324:O324)=0, Constants!$B$5, Constants!$B$7)))</f>
        <v/>
      </c>
      <c r="AF324" s="96" t="str">
        <f aca="false">IF(ISBLANK($C324), "",IF($AE324=Constants!$B$7,1,$AE324))</f>
        <v/>
      </c>
      <c r="AG324" s="96" t="str">
        <f aca="false">IF($AE324=Constants!$B$7,IF(V324, 1, Constants!$B$11) * IF(X324, 1, Constants!$B$12),"")</f>
        <v/>
      </c>
      <c r="AH324" s="96" t="str">
        <f aca="false">IF(AND($AE324=Constants!$B$7, T324, U324) ,MAX(0, $AA324-$Y324),"")</f>
        <v/>
      </c>
      <c r="AI324" s="96" t="str">
        <f aca="false">IF(ISERROR(AH324),$AI$6,"")</f>
        <v/>
      </c>
      <c r="AJ324" s="96" t="str">
        <f aca="false">IF($AE324=Constants!$B$7,IF(AND(T324,U324,W324),IF($AH$6=0,Constants!$B$9,Constants!$B$9*AH324/$AH$6), 0),"")</f>
        <v/>
      </c>
      <c r="AK324" s="96" t="str">
        <f aca="false">IF(AJ324&lt;&gt;"", AJ324*AG324,"")</f>
        <v/>
      </c>
      <c r="AL324" s="96" t="str">
        <f aca="false">IF(AND($AE324=Constants!$B$7, T324, U324) ,IF($Z324="", "", MAX(0,1-ABS($AA324-$Z324)/$AA324)),"")</f>
        <v/>
      </c>
      <c r="AM324" s="96" t="str">
        <f aca="false">IF(AND(NOT(ISERROR(AH324)),ISERROR(AL324)),$AM$6,"")</f>
        <v/>
      </c>
      <c r="AN324" s="96" t="str">
        <f aca="false">IF($AE324=Constants!$B$7 ,IF(AND(T324,U324,W324,ISNUMBER(Z324)),IF($AL$6=0,Constants!$B$10,Constants!$B$10*AL324/$AL$6), 0),"")</f>
        <v/>
      </c>
      <c r="AO324" s="96" t="str">
        <f aca="false">IF(AN324&lt;&gt;"", AN324*AG324,"")</f>
        <v/>
      </c>
      <c r="AP324" s="96" t="str">
        <f aca="false">IF($AE324=Constants!$B$7,IF($AP$6=0,Constants!$B$8,Constants!$B$8*AB324/$AP$6),"")</f>
        <v/>
      </c>
      <c r="AQ324" s="96" t="str">
        <f aca="false">IF($AE324&lt;&gt;Constants!$B$7,$AE324,AK324+AO324+AP324)</f>
        <v/>
      </c>
      <c r="AR324" s="96" t="str">
        <f aca="false">IF(ISBLANK($C324),"",IF($AE324=Constants!$B$7,RANK(AQ324,$AQ$8:$AQ$507),$AE324))</f>
        <v/>
      </c>
      <c r="AS324" s="96" t="str">
        <f aca="false">IF(ISBLANK($C324), "",AK324)</f>
        <v/>
      </c>
      <c r="AT324" s="96" t="str">
        <f aca="false">IF(ISBLANK($C324),"",IF($AE324=Constants!$B$7,RANK(AS324,AS$8:AS$507),$AE324))</f>
        <v/>
      </c>
      <c r="AU324" s="96" t="str">
        <f aca="false">IF(ISBLANK($C324), "",AP324)</f>
        <v/>
      </c>
      <c r="AV324" s="96" t="str">
        <f aca="false">IF(ISBLANK($C324),"",IF($AE324=Constants!$B$7,RANK(AU324,AU$8:AU$507),$AE324))</f>
        <v/>
      </c>
      <c r="AW324" s="96" t="str">
        <f aca="false">IF(ISBLANK($C324), "",AC324)</f>
        <v/>
      </c>
      <c r="AX324" s="96" t="str">
        <f aca="false">IF(ISBLANK($C324),"",
IF($AE324=Constants!$B$7,
  COUNTIFS($AR$8:$AR$507,"&lt;"&amp;$AR324)
  + COUNTIFS($AR$8:$AR$507,$AR324,$AT$8:$AT$507,"&lt;"&amp;$AT324)
  + COUNTIFS($AR$8:$AR$507,$AR324,$AT$8:$AT$507,$AT324,$AV$8:$AV$507,"&lt;"&amp;$AV324)
  + COUNTIFS($AR$8:$AR$507,$AR324,$AT$8:$AT$507,$AT324,$AV$8:$AV$507,$AV324,$AW$8:$AW$507,"&lt;"&amp;$AW324)
  + 1,
$AE324))</f>
        <v/>
      </c>
      <c r="AY324" s="96" t="str">
        <f aca="false">IF(ISBLANK(C324),"",IF($AE324=Constants!$B$7, AR324-AX324,$AE324))</f>
        <v/>
      </c>
      <c r="AZ324" s="100"/>
      <c r="BA324" s="101" t="str">
        <f aca="false">IF(ISBLANK($C324),"",TRIM(AI324&amp;" "&amp;AM324))</f>
        <v/>
      </c>
      <c r="BB324" s="102" t="str">
        <f aca="false">IF(ISBLANK($C324),"",IF($AE324&lt;&gt;Constants!$B$7, $AE324 ,AQ324))</f>
        <v/>
      </c>
      <c r="BC324" s="103" t="str">
        <f aca="false">IF(ISBLANK($C324),"",IF($AE324&lt;&gt;Constants!$B$7, $AE324 ,AF324))</f>
        <v/>
      </c>
      <c r="BD324" s="104" t="str">
        <f aca="false">IF(ISBLANK(C324),"",AY324)</f>
        <v/>
      </c>
      <c r="BE324" s="104" t="str">
        <f aca="false">IF(ISBLANK(C324),"",AX324)</f>
        <v/>
      </c>
      <c r="BF324" s="105" t="str">
        <f aca="false">IF(ISBLANK(C324),"",IFERROR(_xlfn.SWITCH(BE324, Constants!$B$4, COUNTA($C$8:$C823)+2, Constants!$B$5, COUNTA($C$8:$C823)+1, Constants!$B$6, COUNTA($C$8:$C823)),BE324))</f>
        <v/>
      </c>
      <c r="BG324" s="5"/>
      <c r="BH324" s="106" t="n">
        <f aca="false">IF(OR(ISNUMBER(BE324),BE324="DQ",BE324="P",BE324="NS"),
    1,
    0
)</f>
        <v>0</v>
      </c>
      <c r="BI324" s="106" t="n">
        <v>317</v>
      </c>
      <c r="BJ324" s="106" t="str">
        <f aca="false">IF(ISBLANK($C324),
    "",
   BF324+ROW($B324)/1000
)</f>
        <v/>
      </c>
      <c r="BK324" s="106" t="str">
        <f aca="false">IF(ISNUMBER(BJ324), RANK(BJ324,BJ$8:BJ$507,1), "")</f>
        <v/>
      </c>
      <c r="BL324" s="106" t="str">
        <f aca="false">IF(ISBLANK($C324),
    "",
    $B324
)</f>
        <v/>
      </c>
      <c r="BM324" s="106" t="str">
        <f aca="false">IF(ISBLANK($C324),
    "",
    $C324
)</f>
        <v/>
      </c>
      <c r="BN324" s="106" t="str">
        <f aca="false">IF(ISBLANK($C324),
    "",
    $D324
)</f>
        <v/>
      </c>
      <c r="BO324" s="107" t="str">
        <f aca="false">BC324</f>
        <v/>
      </c>
      <c r="BP324" s="108" t="str">
        <f aca="false">BB324</f>
        <v/>
      </c>
      <c r="BQ324" s="106" t="str">
        <f aca="false">IF(ISBLANK($C324),
    "",
    BE324
)</f>
        <v/>
      </c>
      <c r="BR324" s="109" t="str">
        <f aca="false">IF(BI324&gt;BH$7,
    "",
    VLOOKUP(BI324,BK$8:BQ823,7,FALSE())
)</f>
        <v/>
      </c>
      <c r="BS324" s="110" t="str">
        <f aca="false">IF(BI324&gt;BH$7,
    "",
    VLOOKUP(BI324,BK$8:BQ823,2,FALSE())
)</f>
        <v/>
      </c>
      <c r="BT324" s="110" t="str">
        <f aca="false">IF(BI324&gt;BH$7,
    "",
    VLOOKUP(BI324,BK$8:BQ823,3,FALSE())
)</f>
        <v/>
      </c>
      <c r="BU324" s="110" t="str">
        <f aca="false">IF(BI324&gt;BH$7,
    "",
    VLOOKUP(BI324,BK$8:BQ823,4,FALSE())
)</f>
        <v/>
      </c>
      <c r="BV324" s="110" t="str">
        <f aca="false">IF(BI324&gt;BH$7,
    "",
    VLOOKUP(BI324,BK$8:BQ823,5,FALSE())
)</f>
        <v/>
      </c>
      <c r="BW324" s="111" t="str">
        <f aca="false">IF(BI324&gt;BH$7,
    "",
    VLOOKUP(BI324,BK$8:BQ823,6,FALSE())
)</f>
        <v/>
      </c>
      <c r="BX324" s="50"/>
    </row>
    <row r="325" customFormat="false" ht="15.75" hidden="false" customHeight="false" outlineLevel="0" collapsed="false">
      <c r="A325" s="5"/>
      <c r="B325" s="122"/>
      <c r="C325" s="123"/>
      <c r="D325" s="112"/>
      <c r="E325" s="116"/>
      <c r="F325" s="116"/>
      <c r="G325" s="88"/>
      <c r="H325" s="89"/>
      <c r="I325" s="125"/>
      <c r="J325" s="125"/>
      <c r="K325" s="125"/>
      <c r="L325" s="91"/>
      <c r="M325" s="91"/>
      <c r="N325" s="91"/>
      <c r="O325" s="92"/>
      <c r="P325" s="93"/>
      <c r="Q325" s="125"/>
      <c r="R325" s="95"/>
      <c r="S325" s="96"/>
      <c r="T325" s="96" t="str">
        <f aca="false">IF(ISBLANK($C325),"",IF(G325=Constants!$B$2, TRUE(), IF(G325=Constants!$B$3, FALSE(), TRUE())))</f>
        <v/>
      </c>
      <c r="U325" s="96" t="str">
        <f aca="false">IF(ISBLANK($C325),"",IF(H325=Constants!$B$2, TRUE(), IF(H325=Constants!$B$3, FALSE(), TRUE())))</f>
        <v/>
      </c>
      <c r="V325" s="96" t="str">
        <f aca="false">IF(ISBLANK($C325),"",IF(I325=Constants!$B$2, TRUE(), IF(I325=Constants!$B$3, FALSE(), TRUE())))</f>
        <v/>
      </c>
      <c r="W325" s="96" t="str">
        <f aca="false">IF(ISBLANK($C325),"",IF(J325=Constants!$B$2, TRUE(), IF(J325=Constants!$B$3, FALSE(), TRUE())))</f>
        <v/>
      </c>
      <c r="X325" s="97" t="str">
        <f aca="false">IF(ISBLANK($C325),"",IF(K325=Constants!$B$2, TRUE(), IF(K325=Constants!$B$3, FALSE(), TRUE())))</f>
        <v/>
      </c>
      <c r="Y325" s="98" t="str">
        <f aca="false">IF(ISBLANK($C325),"",IF(ISNUMBER(L325), L325, ""))</f>
        <v/>
      </c>
      <c r="Z325" s="98" t="str">
        <f aca="false">IF(ISBLANK($C325),"",IF(ISNUMBER(M325), M325, ""))</f>
        <v/>
      </c>
      <c r="AA325" s="98" t="str">
        <f aca="false">IF(ISBLANK($C325),"",IF(ISNUMBER(N325), N325, ""))</f>
        <v/>
      </c>
      <c r="AB325" s="99" t="str">
        <f aca="false">IF(ISBLANK($C325),"",IF(ISNUMBER(O325), O325, ""))</f>
        <v/>
      </c>
      <c r="AC325" s="99" t="str">
        <f aca="false">IF(ISBLANK($C325),"",IF(ISNUMBER(P325), P325, Constants!$B$13))</f>
        <v/>
      </c>
      <c r="AD325" s="96" t="str">
        <f aca="false">IF(ISBLANK($C325),"",IF(Q325=Constants!$B$2, TRUE(), IF(Q325=Constants!$B$3, FALSE(), FALSE())))</f>
        <v/>
      </c>
      <c r="AE325" s="96" t="str">
        <f aca="false">IF(ISBLANK(C325), "", IF(AD325, Constants!$B$4,IF(COUNTA(G325:O325)=0, Constants!$B$5, Constants!$B$7)))</f>
        <v/>
      </c>
      <c r="AF325" s="96" t="str">
        <f aca="false">IF(ISBLANK($C325), "",IF($AE325=Constants!$B$7,1,$AE325))</f>
        <v/>
      </c>
      <c r="AG325" s="96" t="str">
        <f aca="false">IF($AE325=Constants!$B$7,IF(V325, 1, Constants!$B$11) * IF(X325, 1, Constants!$B$12),"")</f>
        <v/>
      </c>
      <c r="AH325" s="96" t="str">
        <f aca="false">IF(AND($AE325=Constants!$B$7, T325, U325) ,MAX(0, $AA325-$Y325),"")</f>
        <v/>
      </c>
      <c r="AI325" s="96" t="str">
        <f aca="false">IF(ISERROR(AH325),$AI$6,"")</f>
        <v/>
      </c>
      <c r="AJ325" s="96" t="str">
        <f aca="false">IF($AE325=Constants!$B$7,IF(AND(T325,U325,W325),IF($AH$6=0,Constants!$B$9,Constants!$B$9*AH325/$AH$6), 0),"")</f>
        <v/>
      </c>
      <c r="AK325" s="96" t="str">
        <f aca="false">IF(AJ325&lt;&gt;"", AJ325*AG325,"")</f>
        <v/>
      </c>
      <c r="AL325" s="96" t="str">
        <f aca="false">IF(AND($AE325=Constants!$B$7, T325, U325) ,IF($Z325="", "", MAX(0,1-ABS($AA325-$Z325)/$AA325)),"")</f>
        <v/>
      </c>
      <c r="AM325" s="96" t="str">
        <f aca="false">IF(AND(NOT(ISERROR(AH325)),ISERROR(AL325)),$AM$6,"")</f>
        <v/>
      </c>
      <c r="AN325" s="96" t="str">
        <f aca="false">IF($AE325=Constants!$B$7 ,IF(AND(T325,U325,W325,ISNUMBER(Z325)),IF($AL$6=0,Constants!$B$10,Constants!$B$10*AL325/$AL$6), 0),"")</f>
        <v/>
      </c>
      <c r="AO325" s="96" t="str">
        <f aca="false">IF(AN325&lt;&gt;"", AN325*AG325,"")</f>
        <v/>
      </c>
      <c r="AP325" s="96" t="str">
        <f aca="false">IF($AE325=Constants!$B$7,IF($AP$6=0,Constants!$B$8,Constants!$B$8*AB325/$AP$6),"")</f>
        <v/>
      </c>
      <c r="AQ325" s="96" t="str">
        <f aca="false">IF($AE325&lt;&gt;Constants!$B$7,$AE325,AK325+AO325+AP325)</f>
        <v/>
      </c>
      <c r="AR325" s="96" t="str">
        <f aca="false">IF(ISBLANK($C325),"",IF($AE325=Constants!$B$7,RANK(AQ325,$AQ$8:$AQ$507),$AE325))</f>
        <v/>
      </c>
      <c r="AS325" s="96" t="str">
        <f aca="false">IF(ISBLANK($C325), "",AK325)</f>
        <v/>
      </c>
      <c r="AT325" s="96" t="str">
        <f aca="false">IF(ISBLANK($C325),"",IF($AE325=Constants!$B$7,RANK(AS325,AS$8:AS$507),$AE325))</f>
        <v/>
      </c>
      <c r="AU325" s="96" t="str">
        <f aca="false">IF(ISBLANK($C325), "",AP325)</f>
        <v/>
      </c>
      <c r="AV325" s="96" t="str">
        <f aca="false">IF(ISBLANK($C325),"",IF($AE325=Constants!$B$7,RANK(AU325,AU$8:AU$507),$AE325))</f>
        <v/>
      </c>
      <c r="AW325" s="96" t="str">
        <f aca="false">IF(ISBLANK($C325), "",AC325)</f>
        <v/>
      </c>
      <c r="AX325" s="96" t="str">
        <f aca="false">IF(ISBLANK($C325),"",
IF($AE325=Constants!$B$7,
  COUNTIFS($AR$8:$AR$507,"&lt;"&amp;$AR325)
  + COUNTIFS($AR$8:$AR$507,$AR325,$AT$8:$AT$507,"&lt;"&amp;$AT325)
  + COUNTIFS($AR$8:$AR$507,$AR325,$AT$8:$AT$507,$AT325,$AV$8:$AV$507,"&lt;"&amp;$AV325)
  + COUNTIFS($AR$8:$AR$507,$AR325,$AT$8:$AT$507,$AT325,$AV$8:$AV$507,$AV325,$AW$8:$AW$507,"&lt;"&amp;$AW325)
  + 1,
$AE325))</f>
        <v/>
      </c>
      <c r="AY325" s="96" t="str">
        <f aca="false">IF(ISBLANK(C325),"",IF($AE325=Constants!$B$7, AR325-AX325,$AE325))</f>
        <v/>
      </c>
      <c r="AZ325" s="100"/>
      <c r="BA325" s="101" t="str">
        <f aca="false">IF(ISBLANK($C325),"",TRIM(AI325&amp;" "&amp;AM325))</f>
        <v/>
      </c>
      <c r="BB325" s="102" t="str">
        <f aca="false">IF(ISBLANK($C325),"",IF($AE325&lt;&gt;Constants!$B$7, $AE325 ,AQ325))</f>
        <v/>
      </c>
      <c r="BC325" s="103" t="str">
        <f aca="false">IF(ISBLANK($C325),"",IF($AE325&lt;&gt;Constants!$B$7, $AE325 ,AF325))</f>
        <v/>
      </c>
      <c r="BD325" s="104" t="str">
        <f aca="false">IF(ISBLANK(C325),"",AY325)</f>
        <v/>
      </c>
      <c r="BE325" s="104" t="str">
        <f aca="false">IF(ISBLANK(C325),"",AX325)</f>
        <v/>
      </c>
      <c r="BF325" s="105" t="str">
        <f aca="false">IF(ISBLANK(C325),"",IFERROR(_xlfn.SWITCH(BE325, Constants!$B$4, COUNTA($C$8:$C824)+2, Constants!$B$5, COUNTA($C$8:$C824)+1, Constants!$B$6, COUNTA($C$8:$C824)),BE325))</f>
        <v/>
      </c>
      <c r="BG325" s="5"/>
      <c r="BH325" s="106" t="n">
        <f aca="false">IF(OR(ISNUMBER(BE325),BE325="DQ",BE325="P",BE325="NS"),
    1,
    0
)</f>
        <v>0</v>
      </c>
      <c r="BI325" s="106" t="n">
        <v>318</v>
      </c>
      <c r="BJ325" s="106" t="str">
        <f aca="false">IF(ISBLANK($C325),
    "",
   BF325+ROW($B325)/1000
)</f>
        <v/>
      </c>
      <c r="BK325" s="106" t="str">
        <f aca="false">IF(ISNUMBER(BJ325), RANK(BJ325,BJ$8:BJ$507,1), "")</f>
        <v/>
      </c>
      <c r="BL325" s="106" t="str">
        <f aca="false">IF(ISBLANK($C325),
    "",
    $B325
)</f>
        <v/>
      </c>
      <c r="BM325" s="106" t="str">
        <f aca="false">IF(ISBLANK($C325),
    "",
    $C325
)</f>
        <v/>
      </c>
      <c r="BN325" s="106" t="str">
        <f aca="false">IF(ISBLANK($C325),
    "",
    $D325
)</f>
        <v/>
      </c>
      <c r="BO325" s="107" t="str">
        <f aca="false">BC325</f>
        <v/>
      </c>
      <c r="BP325" s="108" t="str">
        <f aca="false">BB325</f>
        <v/>
      </c>
      <c r="BQ325" s="106" t="str">
        <f aca="false">IF(ISBLANK($C325),
    "",
    BE325
)</f>
        <v/>
      </c>
      <c r="BR325" s="109" t="str">
        <f aca="false">IF(BI325&gt;BH$7,
    "",
    VLOOKUP(BI325,BK$8:BQ824,7,FALSE())
)</f>
        <v/>
      </c>
      <c r="BS325" s="110" t="str">
        <f aca="false">IF(BI325&gt;BH$7,
    "",
    VLOOKUP(BI325,BK$8:BQ824,2,FALSE())
)</f>
        <v/>
      </c>
      <c r="BT325" s="110" t="str">
        <f aca="false">IF(BI325&gt;BH$7,
    "",
    VLOOKUP(BI325,BK$8:BQ824,3,FALSE())
)</f>
        <v/>
      </c>
      <c r="BU325" s="110" t="str">
        <f aca="false">IF(BI325&gt;BH$7,
    "",
    VLOOKUP(BI325,BK$8:BQ824,4,FALSE())
)</f>
        <v/>
      </c>
      <c r="BV325" s="110" t="str">
        <f aca="false">IF(BI325&gt;BH$7,
    "",
    VLOOKUP(BI325,BK$8:BQ824,5,FALSE())
)</f>
        <v/>
      </c>
      <c r="BW325" s="111" t="str">
        <f aca="false">IF(BI325&gt;BH$7,
    "",
    VLOOKUP(BI325,BK$8:BQ824,6,FALSE())
)</f>
        <v/>
      </c>
      <c r="BX325" s="50"/>
    </row>
    <row r="326" customFormat="false" ht="15.75" hidden="false" customHeight="false" outlineLevel="0" collapsed="false">
      <c r="A326" s="5"/>
      <c r="B326" s="126"/>
      <c r="C326" s="52"/>
      <c r="D326" s="53"/>
      <c r="E326" s="120"/>
      <c r="F326" s="120"/>
      <c r="G326" s="55"/>
      <c r="H326" s="56"/>
      <c r="I326" s="80"/>
      <c r="J326" s="80"/>
      <c r="K326" s="80"/>
      <c r="L326" s="58"/>
      <c r="M326" s="58"/>
      <c r="N326" s="58"/>
      <c r="O326" s="59"/>
      <c r="P326" s="60"/>
      <c r="Q326" s="80"/>
      <c r="R326" s="62"/>
      <c r="S326" s="63"/>
      <c r="T326" s="63" t="str">
        <f aca="false">IF(ISBLANK($C326),"",IF(G326=Constants!$B$2, TRUE(), IF(G326=Constants!$B$3, FALSE(), TRUE())))</f>
        <v/>
      </c>
      <c r="U326" s="63" t="str">
        <f aca="false">IF(ISBLANK($C326),"",IF(H326=Constants!$B$2, TRUE(), IF(H326=Constants!$B$3, FALSE(), TRUE())))</f>
        <v/>
      </c>
      <c r="V326" s="63" t="str">
        <f aca="false">IF(ISBLANK($C326),"",IF(I326=Constants!$B$2, TRUE(), IF(I326=Constants!$B$3, FALSE(), TRUE())))</f>
        <v/>
      </c>
      <c r="W326" s="63" t="str">
        <f aca="false">IF(ISBLANK($C326),"",IF(J326=Constants!$B$2, TRUE(), IF(J326=Constants!$B$3, FALSE(), TRUE())))</f>
        <v/>
      </c>
      <c r="X326" s="63" t="str">
        <f aca="false">IF(ISBLANK($C326),"",IF(K326=Constants!$B$2, TRUE(), IF(K326=Constants!$B$3, FALSE(), TRUE())))</f>
        <v/>
      </c>
      <c r="Y326" s="65" t="str">
        <f aca="false">IF(ISBLANK($C326),"",IF(ISNUMBER(L326), L326, ""))</f>
        <v/>
      </c>
      <c r="Z326" s="65" t="str">
        <f aca="false">IF(ISBLANK($C326),"",IF(ISNUMBER(M326), M326, ""))</f>
        <v/>
      </c>
      <c r="AA326" s="65" t="str">
        <f aca="false">IF(ISBLANK($C326),"",IF(ISNUMBER(N326), N326, ""))</f>
        <v/>
      </c>
      <c r="AB326" s="66" t="str">
        <f aca="false">IF(ISBLANK($C326),"",IF(ISNUMBER(O326), O326, ""))</f>
        <v/>
      </c>
      <c r="AC326" s="66" t="str">
        <f aca="false">IF(ISBLANK($C326),"",IF(ISNUMBER(P326), P326, Constants!$B$13))</f>
        <v/>
      </c>
      <c r="AD326" s="63" t="str">
        <f aca="false">IF(ISBLANK($C326),"",IF(Q326=Constants!$B$2, TRUE(), IF(Q326=Constants!$B$3, FALSE(), FALSE())))</f>
        <v/>
      </c>
      <c r="AE326" s="63" t="str">
        <f aca="false">IF(ISBLANK(C326), "", IF(AD326, Constants!$B$4,IF(COUNTA(G326:O326)=0, Constants!$B$5, Constants!$B$7)))</f>
        <v/>
      </c>
      <c r="AF326" s="63" t="str">
        <f aca="false">IF(ISBLANK($C326), "",IF($AE326=Constants!$B$7,1,$AE326))</f>
        <v/>
      </c>
      <c r="AG326" s="63" t="str">
        <f aca="false">IF($AE326=Constants!$B$7,IF(V326, 1, Constants!$B$11) * IF(X326, 1, Constants!$B$12),"")</f>
        <v/>
      </c>
      <c r="AH326" s="63" t="str">
        <f aca="false">IF(AND($AE326=Constants!$B$7, T326, U326) ,MAX(0, $AA326-$Y326),"")</f>
        <v/>
      </c>
      <c r="AI326" s="63" t="str">
        <f aca="false">IF(ISERROR(AH326),$AI$6,"")</f>
        <v/>
      </c>
      <c r="AJ326" s="63" t="str">
        <f aca="false">IF($AE326=Constants!$B$7,IF(AND(T326,U326,W326),IF($AH$6=0,Constants!$B$9,Constants!$B$9*AH326/$AH$6), 0),"")</f>
        <v/>
      </c>
      <c r="AK326" s="63" t="str">
        <f aca="false">IF(AJ326&lt;&gt;"", AJ326*AG326,"")</f>
        <v/>
      </c>
      <c r="AL326" s="63" t="str">
        <f aca="false">IF(AND($AE326=Constants!$B$7, T326, U326) ,IF($Z326="", "", MAX(0,1-ABS($AA326-$Z326)/$AA326)),"")</f>
        <v/>
      </c>
      <c r="AM326" s="63" t="str">
        <f aca="false">IF(AND(NOT(ISERROR(AH326)),ISERROR(AL326)),$AM$6,"")</f>
        <v/>
      </c>
      <c r="AN326" s="63" t="str">
        <f aca="false">IF($AE326=Constants!$B$7 ,IF(AND(T326,U326,W326,ISNUMBER(Z326)),IF($AL$6=0,Constants!$B$10,Constants!$B$10*AL326/$AL$6), 0),"")</f>
        <v/>
      </c>
      <c r="AO326" s="63" t="str">
        <f aca="false">IF(AN326&lt;&gt;"", AN326*AG326,"")</f>
        <v/>
      </c>
      <c r="AP326" s="63" t="str">
        <f aca="false">IF($AE326=Constants!$B$7,IF($AP$6=0,Constants!$B$8,Constants!$B$8*AB326/$AP$6),"")</f>
        <v/>
      </c>
      <c r="AQ326" s="63" t="str">
        <f aca="false">IF($AE326&lt;&gt;Constants!$B$7,$AE326,AK326+AO326+AP326)</f>
        <v/>
      </c>
      <c r="AR326" s="63" t="str">
        <f aca="false">IF(ISBLANK($C326),"",IF($AE326=Constants!$B$7,RANK(AQ326,$AQ$8:$AQ$507),$AE326))</f>
        <v/>
      </c>
      <c r="AS326" s="63" t="str">
        <f aca="false">IF(ISBLANK($C326), "",AK326)</f>
        <v/>
      </c>
      <c r="AT326" s="63" t="str">
        <f aca="false">IF(ISBLANK($C326),"",IF($AE326=Constants!$B$7,RANK(AS326,AS$8:AS$507),$AE326))</f>
        <v/>
      </c>
      <c r="AU326" s="63" t="str">
        <f aca="false">IF(ISBLANK($C326), "",AP326)</f>
        <v/>
      </c>
      <c r="AV326" s="63" t="str">
        <f aca="false">IF(ISBLANK($C326),"",IF($AE326=Constants!$B$7,RANK(AU326,AU$8:AU$507),$AE326))</f>
        <v/>
      </c>
      <c r="AW326" s="63" t="str">
        <f aca="false">IF(ISBLANK($C326), "",AC326)</f>
        <v/>
      </c>
      <c r="AX326" s="63" t="str">
        <f aca="false">IF(ISBLANK($C326),"",
IF($AE326=Constants!$B$7,
  COUNTIFS($AR$8:$AR$507,"&lt;"&amp;$AR326)
  + COUNTIFS($AR$8:$AR$507,$AR326,$AT$8:$AT$507,"&lt;"&amp;$AT326)
  + COUNTIFS($AR$8:$AR$507,$AR326,$AT$8:$AT$507,$AT326,$AV$8:$AV$507,"&lt;"&amp;$AV326)
  + COUNTIFS($AR$8:$AR$507,$AR326,$AT$8:$AT$507,$AT326,$AV$8:$AV$507,$AV326,$AW$8:$AW$507,"&lt;"&amp;$AW326)
  + 1,
$AE326))</f>
        <v/>
      </c>
      <c r="AY326" s="63" t="str">
        <f aca="false">IF(ISBLANK(C326),"",IF($AE326=Constants!$B$7, AR326-AX326,$AE326))</f>
        <v/>
      </c>
      <c r="AZ326" s="67"/>
      <c r="BA326" s="81" t="str">
        <f aca="false">IF(ISBLANK($C326),"",TRIM(AI326&amp;" "&amp;AM326))</f>
        <v/>
      </c>
      <c r="BB326" s="69" t="str">
        <f aca="false">IF(ISBLANK($C326),"",IF($AE326&lt;&gt;Constants!$B$7, $AE326 ,AQ326))</f>
        <v/>
      </c>
      <c r="BC326" s="70" t="str">
        <f aca="false">IF(ISBLANK($C326),"",IF($AE326&lt;&gt;Constants!$B$7, $AE326 ,AF326))</f>
        <v/>
      </c>
      <c r="BD326" s="71" t="str">
        <f aca="false">IF(ISBLANK(C326),"",AY326)</f>
        <v/>
      </c>
      <c r="BE326" s="71" t="str">
        <f aca="false">IF(ISBLANK(C326),"",AX326)</f>
        <v/>
      </c>
      <c r="BF326" s="72" t="str">
        <f aca="false">IF(ISBLANK(C326),"",IFERROR(_xlfn.SWITCH(BE326, Constants!$B$4, COUNTA($C$8:$C825)+2, Constants!$B$5, COUNTA($C$8:$C825)+1, Constants!$B$6, COUNTA($C$8:$C825)),BE326))</f>
        <v/>
      </c>
      <c r="BG326" s="5"/>
      <c r="BH326" s="73" t="n">
        <f aca="false">IF(OR(ISNUMBER(BE326),BE326="DQ",BE326="P",BE326="NS"),
    1,
    0
)</f>
        <v>0</v>
      </c>
      <c r="BI326" s="73" t="n">
        <v>319</v>
      </c>
      <c r="BJ326" s="73" t="str">
        <f aca="false">IF(ISBLANK($C326),
    "",
   BF326+ROW($B326)/1000
)</f>
        <v/>
      </c>
      <c r="BK326" s="73" t="str">
        <f aca="false">IF(ISNUMBER(BJ326), RANK(BJ326,BJ$8:BJ$507,1), "")</f>
        <v/>
      </c>
      <c r="BL326" s="73" t="str">
        <f aca="false">IF(ISBLANK($C326),
    "",
    $B326
)</f>
        <v/>
      </c>
      <c r="BM326" s="73" t="str">
        <f aca="false">IF(ISBLANK($C326),
    "",
    $C326
)</f>
        <v/>
      </c>
      <c r="BN326" s="73" t="str">
        <f aca="false">IF(ISBLANK($C326),
    "",
    $D326
)</f>
        <v/>
      </c>
      <c r="BO326" s="74" t="str">
        <f aca="false">BC326</f>
        <v/>
      </c>
      <c r="BP326" s="75" t="str">
        <f aca="false">BB326</f>
        <v/>
      </c>
      <c r="BQ326" s="73" t="str">
        <f aca="false">IF(ISBLANK($C326),
    "",
    BE326
)</f>
        <v/>
      </c>
      <c r="BR326" s="76" t="str">
        <f aca="false">IF(BI326&gt;BH$7,
    "",
    VLOOKUP(BI326,BK$8:BQ825,7,FALSE())
)</f>
        <v/>
      </c>
      <c r="BS326" s="77" t="str">
        <f aca="false">IF(BI326&gt;BH$7,
    "",
    VLOOKUP(BI326,BK$8:BQ825,2,FALSE())
)</f>
        <v/>
      </c>
      <c r="BT326" s="77" t="str">
        <f aca="false">IF(BI326&gt;BH$7,
    "",
    VLOOKUP(BI326,BK$8:BQ825,3,FALSE())
)</f>
        <v/>
      </c>
      <c r="BU326" s="77" t="str">
        <f aca="false">IF(BI326&gt;BH$7,
    "",
    VLOOKUP(BI326,BK$8:BQ825,4,FALSE())
)</f>
        <v/>
      </c>
      <c r="BV326" s="77" t="str">
        <f aca="false">IF(BI326&gt;BH$7,
    "",
    VLOOKUP(BI326,BK$8:BQ825,5,FALSE())
)</f>
        <v/>
      </c>
      <c r="BW326" s="78" t="str">
        <f aca="false">IF(BI326&gt;BH$7,
    "",
    VLOOKUP(BI326,BK$8:BQ825,6,FALSE())
)</f>
        <v/>
      </c>
      <c r="BX326" s="50"/>
    </row>
    <row r="327" customFormat="false" ht="15.75" hidden="false" customHeight="false" outlineLevel="0" collapsed="false">
      <c r="A327" s="5"/>
      <c r="B327" s="126"/>
      <c r="C327" s="52"/>
      <c r="D327" s="53"/>
      <c r="E327" s="120"/>
      <c r="F327" s="120"/>
      <c r="G327" s="55"/>
      <c r="H327" s="56"/>
      <c r="I327" s="80"/>
      <c r="J327" s="80"/>
      <c r="K327" s="80"/>
      <c r="L327" s="58"/>
      <c r="M327" s="58"/>
      <c r="N327" s="58"/>
      <c r="O327" s="59"/>
      <c r="P327" s="60"/>
      <c r="Q327" s="80"/>
      <c r="R327" s="62"/>
      <c r="S327" s="63"/>
      <c r="T327" s="63" t="str">
        <f aca="false">IF(ISBLANK($C327),"",IF(G327=Constants!$B$2, TRUE(), IF(G327=Constants!$B$3, FALSE(), TRUE())))</f>
        <v/>
      </c>
      <c r="U327" s="63" t="str">
        <f aca="false">IF(ISBLANK($C327),"",IF(H327=Constants!$B$2, TRUE(), IF(H327=Constants!$B$3, FALSE(), TRUE())))</f>
        <v/>
      </c>
      <c r="V327" s="63" t="str">
        <f aca="false">IF(ISBLANK($C327),"",IF(I327=Constants!$B$2, TRUE(), IF(I327=Constants!$B$3, FALSE(), TRUE())))</f>
        <v/>
      </c>
      <c r="W327" s="63" t="str">
        <f aca="false">IF(ISBLANK($C327),"",IF(J327=Constants!$B$2, TRUE(), IF(J327=Constants!$B$3, FALSE(), TRUE())))</f>
        <v/>
      </c>
      <c r="X327" s="63" t="str">
        <f aca="false">IF(ISBLANK($C327),"",IF(K327=Constants!$B$2, TRUE(), IF(K327=Constants!$B$3, FALSE(), TRUE())))</f>
        <v/>
      </c>
      <c r="Y327" s="65" t="str">
        <f aca="false">IF(ISBLANK($C327),"",IF(ISNUMBER(L327), L327, ""))</f>
        <v/>
      </c>
      <c r="Z327" s="65" t="str">
        <f aca="false">IF(ISBLANK($C327),"",IF(ISNUMBER(M327), M327, ""))</f>
        <v/>
      </c>
      <c r="AA327" s="65" t="str">
        <f aca="false">IF(ISBLANK($C327),"",IF(ISNUMBER(N327), N327, ""))</f>
        <v/>
      </c>
      <c r="AB327" s="66" t="str">
        <f aca="false">IF(ISBLANK($C327),"",IF(ISNUMBER(O327), O327, ""))</f>
        <v/>
      </c>
      <c r="AC327" s="66" t="str">
        <f aca="false">IF(ISBLANK($C327),"",IF(ISNUMBER(P327), P327, Constants!$B$13))</f>
        <v/>
      </c>
      <c r="AD327" s="63" t="str">
        <f aca="false">IF(ISBLANK($C327),"",IF(Q327=Constants!$B$2, TRUE(), IF(Q327=Constants!$B$3, FALSE(), FALSE())))</f>
        <v/>
      </c>
      <c r="AE327" s="63" t="str">
        <f aca="false">IF(ISBLANK(C327), "", IF(AD327, Constants!$B$4,IF(COUNTA(G327:O327)=0, Constants!$B$5, Constants!$B$7)))</f>
        <v/>
      </c>
      <c r="AF327" s="63" t="str">
        <f aca="false">IF(ISBLANK($C327), "",IF($AE327=Constants!$B$7,1,$AE327))</f>
        <v/>
      </c>
      <c r="AG327" s="63" t="str">
        <f aca="false">IF($AE327=Constants!$B$7,IF(V327, 1, Constants!$B$11) * IF(X327, 1, Constants!$B$12),"")</f>
        <v/>
      </c>
      <c r="AH327" s="63" t="str">
        <f aca="false">IF(AND($AE327=Constants!$B$7, T327, U327) ,MAX(0, $AA327-$Y327),"")</f>
        <v/>
      </c>
      <c r="AI327" s="63" t="str">
        <f aca="false">IF(ISERROR(AH327),$AI$6,"")</f>
        <v/>
      </c>
      <c r="AJ327" s="63" t="str">
        <f aca="false">IF($AE327=Constants!$B$7,IF(AND(T327,U327,W327),IF($AH$6=0,Constants!$B$9,Constants!$B$9*AH327/$AH$6), 0),"")</f>
        <v/>
      </c>
      <c r="AK327" s="63" t="str">
        <f aca="false">IF(AJ327&lt;&gt;"", AJ327*AG327,"")</f>
        <v/>
      </c>
      <c r="AL327" s="63" t="str">
        <f aca="false">IF(AND($AE327=Constants!$B$7, T327, U327) ,IF($Z327="", "", MAX(0,1-ABS($AA327-$Z327)/$AA327)),"")</f>
        <v/>
      </c>
      <c r="AM327" s="63" t="str">
        <f aca="false">IF(AND(NOT(ISERROR(AH327)),ISERROR(AL327)),$AM$6,"")</f>
        <v/>
      </c>
      <c r="AN327" s="63" t="str">
        <f aca="false">IF($AE327=Constants!$B$7 ,IF(AND(T327,U327,W327,ISNUMBER(Z327)),IF($AL$6=0,Constants!$B$10,Constants!$B$10*AL327/$AL$6), 0),"")</f>
        <v/>
      </c>
      <c r="AO327" s="63" t="str">
        <f aca="false">IF(AN327&lt;&gt;"", AN327*AG327,"")</f>
        <v/>
      </c>
      <c r="AP327" s="63" t="str">
        <f aca="false">IF($AE327=Constants!$B$7,IF($AP$6=0,Constants!$B$8,Constants!$B$8*AB327/$AP$6),"")</f>
        <v/>
      </c>
      <c r="AQ327" s="63" t="str">
        <f aca="false">IF($AE327&lt;&gt;Constants!$B$7,$AE327,AK327+AO327+AP327)</f>
        <v/>
      </c>
      <c r="AR327" s="63" t="str">
        <f aca="false">IF(ISBLANK($C327),"",IF($AE327=Constants!$B$7,RANK(AQ327,$AQ$8:$AQ$507),$AE327))</f>
        <v/>
      </c>
      <c r="AS327" s="63" t="str">
        <f aca="false">IF(ISBLANK($C327), "",AK327)</f>
        <v/>
      </c>
      <c r="AT327" s="63" t="str">
        <f aca="false">IF(ISBLANK($C327),"",IF($AE327=Constants!$B$7,RANK(AS327,AS$8:AS$507),$AE327))</f>
        <v/>
      </c>
      <c r="AU327" s="63" t="str">
        <f aca="false">IF(ISBLANK($C327), "",AP327)</f>
        <v/>
      </c>
      <c r="AV327" s="63" t="str">
        <f aca="false">IF(ISBLANK($C327),"",IF($AE327=Constants!$B$7,RANK(AU327,AU$8:AU$507),$AE327))</f>
        <v/>
      </c>
      <c r="AW327" s="63" t="str">
        <f aca="false">IF(ISBLANK($C327), "",AC327)</f>
        <v/>
      </c>
      <c r="AX327" s="63" t="str">
        <f aca="false">IF(ISBLANK($C327),"",
IF($AE327=Constants!$B$7,
  COUNTIFS($AR$8:$AR$507,"&lt;"&amp;$AR327)
  + COUNTIFS($AR$8:$AR$507,$AR327,$AT$8:$AT$507,"&lt;"&amp;$AT327)
  + COUNTIFS($AR$8:$AR$507,$AR327,$AT$8:$AT$507,$AT327,$AV$8:$AV$507,"&lt;"&amp;$AV327)
  + COUNTIFS($AR$8:$AR$507,$AR327,$AT$8:$AT$507,$AT327,$AV$8:$AV$507,$AV327,$AW$8:$AW$507,"&lt;"&amp;$AW327)
  + 1,
$AE327))</f>
        <v/>
      </c>
      <c r="AY327" s="63" t="str">
        <f aca="false">IF(ISBLANK(C327),"",IF($AE327=Constants!$B$7, AR327-AX327,$AE327))</f>
        <v/>
      </c>
      <c r="AZ327" s="67"/>
      <c r="BA327" s="81" t="str">
        <f aca="false">IF(ISBLANK($C327),"",TRIM(AI327&amp;" "&amp;AM327))</f>
        <v/>
      </c>
      <c r="BB327" s="69" t="str">
        <f aca="false">IF(ISBLANK($C327),"",IF($AE327&lt;&gt;Constants!$B$7, $AE327 ,AQ327))</f>
        <v/>
      </c>
      <c r="BC327" s="70" t="str">
        <f aca="false">IF(ISBLANK($C327),"",IF($AE327&lt;&gt;Constants!$B$7, $AE327 ,AF327))</f>
        <v/>
      </c>
      <c r="BD327" s="71" t="str">
        <f aca="false">IF(ISBLANK(C327),"",AY327)</f>
        <v/>
      </c>
      <c r="BE327" s="71" t="str">
        <f aca="false">IF(ISBLANK(C327),"",AX327)</f>
        <v/>
      </c>
      <c r="BF327" s="72" t="str">
        <f aca="false">IF(ISBLANK(C327),"",IFERROR(_xlfn.SWITCH(BE327, Constants!$B$4, COUNTA($C$8:$C826)+2, Constants!$B$5, COUNTA($C$8:$C826)+1, Constants!$B$6, COUNTA($C$8:$C826)),BE327))</f>
        <v/>
      </c>
      <c r="BG327" s="5"/>
      <c r="BH327" s="73" t="n">
        <f aca="false">IF(OR(ISNUMBER(BE327),BE327="DQ",BE327="P",BE327="NS"),
    1,
    0
)</f>
        <v>0</v>
      </c>
      <c r="BI327" s="73" t="n">
        <v>320</v>
      </c>
      <c r="BJ327" s="73" t="str">
        <f aca="false">IF(ISBLANK($C327),
    "",
   BF327+ROW($B327)/1000
)</f>
        <v/>
      </c>
      <c r="BK327" s="73" t="str">
        <f aca="false">IF(ISNUMBER(BJ327), RANK(BJ327,BJ$8:BJ$507,1), "")</f>
        <v/>
      </c>
      <c r="BL327" s="73" t="str">
        <f aca="false">IF(ISBLANK($C327),
    "",
    $B327
)</f>
        <v/>
      </c>
      <c r="BM327" s="73" t="str">
        <f aca="false">IF(ISBLANK($C327),
    "",
    $C327
)</f>
        <v/>
      </c>
      <c r="BN327" s="73" t="str">
        <f aca="false">IF(ISBLANK($C327),
    "",
    $D327
)</f>
        <v/>
      </c>
      <c r="BO327" s="74" t="str">
        <f aca="false">BC327</f>
        <v/>
      </c>
      <c r="BP327" s="75" t="str">
        <f aca="false">BB327</f>
        <v/>
      </c>
      <c r="BQ327" s="73" t="str">
        <f aca="false">IF(ISBLANK($C327),
    "",
    BE327
)</f>
        <v/>
      </c>
      <c r="BR327" s="76" t="str">
        <f aca="false">IF(BI327&gt;BH$7,
    "",
    VLOOKUP(BI327,BK$8:BQ826,7,FALSE())
)</f>
        <v/>
      </c>
      <c r="BS327" s="77" t="str">
        <f aca="false">IF(BI327&gt;BH$7,
    "",
    VLOOKUP(BI327,BK$8:BQ826,2,FALSE())
)</f>
        <v/>
      </c>
      <c r="BT327" s="77" t="str">
        <f aca="false">IF(BI327&gt;BH$7,
    "",
    VLOOKUP(BI327,BK$8:BQ826,3,FALSE())
)</f>
        <v/>
      </c>
      <c r="BU327" s="77" t="str">
        <f aca="false">IF(BI327&gt;BH$7,
    "",
    VLOOKUP(BI327,BK$8:BQ826,4,FALSE())
)</f>
        <v/>
      </c>
      <c r="BV327" s="77" t="str">
        <f aca="false">IF(BI327&gt;BH$7,
    "",
    VLOOKUP(BI327,BK$8:BQ826,5,FALSE())
)</f>
        <v/>
      </c>
      <c r="BW327" s="78" t="str">
        <f aca="false">IF(BI327&gt;BH$7,
    "",
    VLOOKUP(BI327,BK$8:BQ826,6,FALSE())
)</f>
        <v/>
      </c>
      <c r="BX327" s="50"/>
    </row>
    <row r="328" customFormat="false" ht="15.75" hidden="false" customHeight="false" outlineLevel="0" collapsed="false">
      <c r="A328" s="5"/>
      <c r="B328" s="126"/>
      <c r="C328" s="52"/>
      <c r="D328" s="53"/>
      <c r="E328" s="120"/>
      <c r="F328" s="120"/>
      <c r="G328" s="55"/>
      <c r="H328" s="56"/>
      <c r="I328" s="80"/>
      <c r="J328" s="80"/>
      <c r="K328" s="80"/>
      <c r="L328" s="58"/>
      <c r="M328" s="58"/>
      <c r="N328" s="58"/>
      <c r="O328" s="59"/>
      <c r="P328" s="60"/>
      <c r="Q328" s="80"/>
      <c r="R328" s="62"/>
      <c r="S328" s="63"/>
      <c r="T328" s="63" t="str">
        <f aca="false">IF(ISBLANK($C328),"",IF(G328=Constants!$B$2, TRUE(), IF(G328=Constants!$B$3, FALSE(), TRUE())))</f>
        <v/>
      </c>
      <c r="U328" s="63" t="str">
        <f aca="false">IF(ISBLANK($C328),"",IF(H328=Constants!$B$2, TRUE(), IF(H328=Constants!$B$3, FALSE(), TRUE())))</f>
        <v/>
      </c>
      <c r="V328" s="63" t="str">
        <f aca="false">IF(ISBLANK($C328),"",IF(I328=Constants!$B$2, TRUE(), IF(I328=Constants!$B$3, FALSE(), TRUE())))</f>
        <v/>
      </c>
      <c r="W328" s="63" t="str">
        <f aca="false">IF(ISBLANK($C328),"",IF(J328=Constants!$B$2, TRUE(), IF(J328=Constants!$B$3, FALSE(), TRUE())))</f>
        <v/>
      </c>
      <c r="X328" s="63" t="str">
        <f aca="false">IF(ISBLANK($C328),"",IF(K328=Constants!$B$2, TRUE(), IF(K328=Constants!$B$3, FALSE(), TRUE())))</f>
        <v/>
      </c>
      <c r="Y328" s="65" t="str">
        <f aca="false">IF(ISBLANK($C328),"",IF(ISNUMBER(L328), L328, ""))</f>
        <v/>
      </c>
      <c r="Z328" s="65" t="str">
        <f aca="false">IF(ISBLANK($C328),"",IF(ISNUMBER(M328), M328, ""))</f>
        <v/>
      </c>
      <c r="AA328" s="65" t="str">
        <f aca="false">IF(ISBLANK($C328),"",IF(ISNUMBER(N328), N328, ""))</f>
        <v/>
      </c>
      <c r="AB328" s="66" t="str">
        <f aca="false">IF(ISBLANK($C328),"",IF(ISNUMBER(O328), O328, ""))</f>
        <v/>
      </c>
      <c r="AC328" s="66" t="str">
        <f aca="false">IF(ISBLANK($C328),"",IF(ISNUMBER(P328), P328, Constants!$B$13))</f>
        <v/>
      </c>
      <c r="AD328" s="63" t="str">
        <f aca="false">IF(ISBLANK($C328),"",IF(Q328=Constants!$B$2, TRUE(), IF(Q328=Constants!$B$3, FALSE(), FALSE())))</f>
        <v/>
      </c>
      <c r="AE328" s="63" t="str">
        <f aca="false">IF(ISBLANK(C328), "", IF(AD328, Constants!$B$4,IF(COUNTA(G328:O328)=0, Constants!$B$5, Constants!$B$7)))</f>
        <v/>
      </c>
      <c r="AF328" s="63" t="str">
        <f aca="false">IF(ISBLANK($C328), "",IF($AE328=Constants!$B$7,1,$AE328))</f>
        <v/>
      </c>
      <c r="AG328" s="63" t="str">
        <f aca="false">IF($AE328=Constants!$B$7,IF(V328, 1, Constants!$B$11) * IF(X328, 1, Constants!$B$12),"")</f>
        <v/>
      </c>
      <c r="AH328" s="63" t="str">
        <f aca="false">IF(AND($AE328=Constants!$B$7, T328, U328) ,MAX(0, $AA328-$Y328),"")</f>
        <v/>
      </c>
      <c r="AI328" s="63" t="str">
        <f aca="false">IF(ISERROR(AH328),$AI$6,"")</f>
        <v/>
      </c>
      <c r="AJ328" s="63" t="str">
        <f aca="false">IF($AE328=Constants!$B$7,IF(AND(T328,U328,W328),IF($AH$6=0,Constants!$B$9,Constants!$B$9*AH328/$AH$6), 0),"")</f>
        <v/>
      </c>
      <c r="AK328" s="63" t="str">
        <f aca="false">IF(AJ328&lt;&gt;"", AJ328*AG328,"")</f>
        <v/>
      </c>
      <c r="AL328" s="63" t="str">
        <f aca="false">IF(AND($AE328=Constants!$B$7, T328, U328) ,IF($Z328="", "", MAX(0,1-ABS($AA328-$Z328)/$AA328)),"")</f>
        <v/>
      </c>
      <c r="AM328" s="63" t="str">
        <f aca="false">IF(AND(NOT(ISERROR(AH328)),ISERROR(AL328)),$AM$6,"")</f>
        <v/>
      </c>
      <c r="AN328" s="63" t="str">
        <f aca="false">IF($AE328=Constants!$B$7 ,IF(AND(T328,U328,W328,ISNUMBER(Z328)),IF($AL$6=0,Constants!$B$10,Constants!$B$10*AL328/$AL$6), 0),"")</f>
        <v/>
      </c>
      <c r="AO328" s="63" t="str">
        <f aca="false">IF(AN328&lt;&gt;"", AN328*AG328,"")</f>
        <v/>
      </c>
      <c r="AP328" s="63" t="str">
        <f aca="false">IF($AE328=Constants!$B$7,IF($AP$6=0,Constants!$B$8,Constants!$B$8*AB328/$AP$6),"")</f>
        <v/>
      </c>
      <c r="AQ328" s="63" t="str">
        <f aca="false">IF($AE328&lt;&gt;Constants!$B$7,$AE328,AK328+AO328+AP328)</f>
        <v/>
      </c>
      <c r="AR328" s="63" t="str">
        <f aca="false">IF(ISBLANK($C328),"",IF($AE328=Constants!$B$7,RANK(AQ328,$AQ$8:$AQ$507),$AE328))</f>
        <v/>
      </c>
      <c r="AS328" s="63" t="str">
        <f aca="false">IF(ISBLANK($C328), "",AK328)</f>
        <v/>
      </c>
      <c r="AT328" s="63" t="str">
        <f aca="false">IF(ISBLANK($C328),"",IF($AE328=Constants!$B$7,RANK(AS328,AS$8:AS$507),$AE328))</f>
        <v/>
      </c>
      <c r="AU328" s="63" t="str">
        <f aca="false">IF(ISBLANK($C328), "",AP328)</f>
        <v/>
      </c>
      <c r="AV328" s="63" t="str">
        <f aca="false">IF(ISBLANK($C328),"",IF($AE328=Constants!$B$7,RANK(AU328,AU$8:AU$507),$AE328))</f>
        <v/>
      </c>
      <c r="AW328" s="63" t="str">
        <f aca="false">IF(ISBLANK($C328), "",AC328)</f>
        <v/>
      </c>
      <c r="AX328" s="63" t="str">
        <f aca="false">IF(ISBLANK($C328),"",
IF($AE328=Constants!$B$7,
  COUNTIFS($AR$8:$AR$507,"&lt;"&amp;$AR328)
  + COUNTIFS($AR$8:$AR$507,$AR328,$AT$8:$AT$507,"&lt;"&amp;$AT328)
  + COUNTIFS($AR$8:$AR$507,$AR328,$AT$8:$AT$507,$AT328,$AV$8:$AV$507,"&lt;"&amp;$AV328)
  + COUNTIFS($AR$8:$AR$507,$AR328,$AT$8:$AT$507,$AT328,$AV$8:$AV$507,$AV328,$AW$8:$AW$507,"&lt;"&amp;$AW328)
  + 1,
$AE328))</f>
        <v/>
      </c>
      <c r="AY328" s="63" t="str">
        <f aca="false">IF(ISBLANK(C328),"",IF($AE328=Constants!$B$7, AR328-AX328,$AE328))</f>
        <v/>
      </c>
      <c r="AZ328" s="67"/>
      <c r="BA328" s="81" t="str">
        <f aca="false">IF(ISBLANK($C328),"",TRIM(AI328&amp;" "&amp;AM328))</f>
        <v/>
      </c>
      <c r="BB328" s="69" t="str">
        <f aca="false">IF(ISBLANK($C328),"",IF($AE328&lt;&gt;Constants!$B$7, $AE328 ,AQ328))</f>
        <v/>
      </c>
      <c r="BC328" s="70" t="str">
        <f aca="false">IF(ISBLANK($C328),"",IF($AE328&lt;&gt;Constants!$B$7, $AE328 ,AF328))</f>
        <v/>
      </c>
      <c r="BD328" s="71" t="str">
        <f aca="false">IF(ISBLANK(C328),"",AY328)</f>
        <v/>
      </c>
      <c r="BE328" s="71" t="str">
        <f aca="false">IF(ISBLANK(C328),"",AX328)</f>
        <v/>
      </c>
      <c r="BF328" s="72" t="str">
        <f aca="false">IF(ISBLANK(C328),"",IFERROR(_xlfn.SWITCH(BE328, Constants!$B$4, COUNTA($C$8:$C827)+2, Constants!$B$5, COUNTA($C$8:$C827)+1, Constants!$B$6, COUNTA($C$8:$C827)),BE328))</f>
        <v/>
      </c>
      <c r="BG328" s="5"/>
      <c r="BH328" s="73" t="n">
        <f aca="false">IF(OR(ISNUMBER(BE328),BE328="DQ",BE328="P",BE328="NS"),
    1,
    0
)</f>
        <v>0</v>
      </c>
      <c r="BI328" s="73" t="n">
        <v>321</v>
      </c>
      <c r="BJ328" s="73" t="str">
        <f aca="false">IF(ISBLANK($C328),
    "",
   BF328+ROW($B328)/1000
)</f>
        <v/>
      </c>
      <c r="BK328" s="73" t="str">
        <f aca="false">IF(ISNUMBER(BJ328), RANK(BJ328,BJ$8:BJ$507,1), "")</f>
        <v/>
      </c>
      <c r="BL328" s="73" t="str">
        <f aca="false">IF(ISBLANK($C328),
    "",
    $B328
)</f>
        <v/>
      </c>
      <c r="BM328" s="73" t="str">
        <f aca="false">IF(ISBLANK($C328),
    "",
    $C328
)</f>
        <v/>
      </c>
      <c r="BN328" s="73" t="str">
        <f aca="false">IF(ISBLANK($C328),
    "",
    $D328
)</f>
        <v/>
      </c>
      <c r="BO328" s="74" t="str">
        <f aca="false">BC328</f>
        <v/>
      </c>
      <c r="BP328" s="75" t="str">
        <f aca="false">BB328</f>
        <v/>
      </c>
      <c r="BQ328" s="73" t="str">
        <f aca="false">IF(ISBLANK($C328),
    "",
    BE328
)</f>
        <v/>
      </c>
      <c r="BR328" s="76" t="str">
        <f aca="false">IF(BI328&gt;BH$7,
    "",
    VLOOKUP(BI328,BK$8:BQ827,7,FALSE())
)</f>
        <v/>
      </c>
      <c r="BS328" s="77" t="str">
        <f aca="false">IF(BI328&gt;BH$7,
    "",
    VLOOKUP(BI328,BK$8:BQ827,2,FALSE())
)</f>
        <v/>
      </c>
      <c r="BT328" s="77" t="str">
        <f aca="false">IF(BI328&gt;BH$7,
    "",
    VLOOKUP(BI328,BK$8:BQ827,3,FALSE())
)</f>
        <v/>
      </c>
      <c r="BU328" s="77" t="str">
        <f aca="false">IF(BI328&gt;BH$7,
    "",
    VLOOKUP(BI328,BK$8:BQ827,4,FALSE())
)</f>
        <v/>
      </c>
      <c r="BV328" s="77" t="str">
        <f aca="false">IF(BI328&gt;BH$7,
    "",
    VLOOKUP(BI328,BK$8:BQ827,5,FALSE())
)</f>
        <v/>
      </c>
      <c r="BW328" s="78" t="str">
        <f aca="false">IF(BI328&gt;BH$7,
    "",
    VLOOKUP(BI328,BK$8:BQ827,6,FALSE())
)</f>
        <v/>
      </c>
      <c r="BX328" s="50"/>
    </row>
    <row r="329" customFormat="false" ht="15.75" hidden="false" customHeight="false" outlineLevel="0" collapsed="false">
      <c r="A329" s="5"/>
      <c r="B329" s="122"/>
      <c r="C329" s="123"/>
      <c r="D329" s="112"/>
      <c r="E329" s="116"/>
      <c r="F329" s="116"/>
      <c r="G329" s="88"/>
      <c r="H329" s="89"/>
      <c r="I329" s="125"/>
      <c r="J329" s="125"/>
      <c r="K329" s="125"/>
      <c r="L329" s="91"/>
      <c r="M329" s="91"/>
      <c r="N329" s="91"/>
      <c r="O329" s="92"/>
      <c r="P329" s="93"/>
      <c r="Q329" s="125"/>
      <c r="R329" s="95"/>
      <c r="S329" s="96"/>
      <c r="T329" s="96" t="str">
        <f aca="false">IF(ISBLANK($C329),"",IF(G329=Constants!$B$2, TRUE(), IF(G329=Constants!$B$3, FALSE(), TRUE())))</f>
        <v/>
      </c>
      <c r="U329" s="96" t="str">
        <f aca="false">IF(ISBLANK($C329),"",IF(H329=Constants!$B$2, TRUE(), IF(H329=Constants!$B$3, FALSE(), TRUE())))</f>
        <v/>
      </c>
      <c r="V329" s="96" t="str">
        <f aca="false">IF(ISBLANK($C329),"",IF(I329=Constants!$B$2, TRUE(), IF(I329=Constants!$B$3, FALSE(), TRUE())))</f>
        <v/>
      </c>
      <c r="W329" s="96" t="str">
        <f aca="false">IF(ISBLANK($C329),"",IF(J329=Constants!$B$2, TRUE(), IF(J329=Constants!$B$3, FALSE(), TRUE())))</f>
        <v/>
      </c>
      <c r="X329" s="97" t="str">
        <f aca="false">IF(ISBLANK($C329),"",IF(K329=Constants!$B$2, TRUE(), IF(K329=Constants!$B$3, FALSE(), TRUE())))</f>
        <v/>
      </c>
      <c r="Y329" s="98" t="str">
        <f aca="false">IF(ISBLANK($C329),"",IF(ISNUMBER(L329), L329, ""))</f>
        <v/>
      </c>
      <c r="Z329" s="98" t="str">
        <f aca="false">IF(ISBLANK($C329),"",IF(ISNUMBER(M329), M329, ""))</f>
        <v/>
      </c>
      <c r="AA329" s="98" t="str">
        <f aca="false">IF(ISBLANK($C329),"",IF(ISNUMBER(N329), N329, ""))</f>
        <v/>
      </c>
      <c r="AB329" s="99" t="str">
        <f aca="false">IF(ISBLANK($C329),"",IF(ISNUMBER(O329), O329, ""))</f>
        <v/>
      </c>
      <c r="AC329" s="99" t="str">
        <f aca="false">IF(ISBLANK($C329),"",IF(ISNUMBER(P329), P329, Constants!$B$13))</f>
        <v/>
      </c>
      <c r="AD329" s="96" t="str">
        <f aca="false">IF(ISBLANK($C329),"",IF(Q329=Constants!$B$2, TRUE(), IF(Q329=Constants!$B$3, FALSE(), FALSE())))</f>
        <v/>
      </c>
      <c r="AE329" s="96" t="str">
        <f aca="false">IF(ISBLANK(C329), "", IF(AD329, Constants!$B$4,IF(COUNTA(G329:O329)=0, Constants!$B$5, Constants!$B$7)))</f>
        <v/>
      </c>
      <c r="AF329" s="96" t="str">
        <f aca="false">IF(ISBLANK($C329), "",IF($AE329=Constants!$B$7,1,$AE329))</f>
        <v/>
      </c>
      <c r="AG329" s="96" t="str">
        <f aca="false">IF($AE329=Constants!$B$7,IF(V329, 1, Constants!$B$11) * IF(X329, 1, Constants!$B$12),"")</f>
        <v/>
      </c>
      <c r="AH329" s="96" t="str">
        <f aca="false">IF(AND($AE329=Constants!$B$7, T329, U329) ,MAX(0, $AA329-$Y329),"")</f>
        <v/>
      </c>
      <c r="AI329" s="96" t="str">
        <f aca="false">IF(ISERROR(AH329),$AI$6,"")</f>
        <v/>
      </c>
      <c r="AJ329" s="96" t="str">
        <f aca="false">IF($AE329=Constants!$B$7,IF(AND(T329,U329,W329),IF($AH$6=0,Constants!$B$9,Constants!$B$9*AH329/$AH$6), 0),"")</f>
        <v/>
      </c>
      <c r="AK329" s="96" t="str">
        <f aca="false">IF(AJ329&lt;&gt;"", AJ329*AG329,"")</f>
        <v/>
      </c>
      <c r="AL329" s="96" t="str">
        <f aca="false">IF(AND($AE329=Constants!$B$7, T329, U329) ,IF($Z329="", "", MAX(0,1-ABS($AA329-$Z329)/$AA329)),"")</f>
        <v/>
      </c>
      <c r="AM329" s="96" t="str">
        <f aca="false">IF(AND(NOT(ISERROR(AH329)),ISERROR(AL329)),$AM$6,"")</f>
        <v/>
      </c>
      <c r="AN329" s="96" t="str">
        <f aca="false">IF($AE329=Constants!$B$7 ,IF(AND(T329,U329,W329,ISNUMBER(Z329)),IF($AL$6=0,Constants!$B$10,Constants!$B$10*AL329/$AL$6), 0),"")</f>
        <v/>
      </c>
      <c r="AO329" s="96" t="str">
        <f aca="false">IF(AN329&lt;&gt;"", AN329*AG329,"")</f>
        <v/>
      </c>
      <c r="AP329" s="96" t="str">
        <f aca="false">IF($AE329=Constants!$B$7,IF($AP$6=0,Constants!$B$8,Constants!$B$8*AB329/$AP$6),"")</f>
        <v/>
      </c>
      <c r="AQ329" s="96" t="str">
        <f aca="false">IF($AE329&lt;&gt;Constants!$B$7,$AE329,AK329+AO329+AP329)</f>
        <v/>
      </c>
      <c r="AR329" s="96" t="str">
        <f aca="false">IF(ISBLANK($C329),"",IF($AE329=Constants!$B$7,RANK(AQ329,$AQ$8:$AQ$507),$AE329))</f>
        <v/>
      </c>
      <c r="AS329" s="96" t="str">
        <f aca="false">IF(ISBLANK($C329), "",AK329)</f>
        <v/>
      </c>
      <c r="AT329" s="96" t="str">
        <f aca="false">IF(ISBLANK($C329),"",IF($AE329=Constants!$B$7,RANK(AS329,AS$8:AS$507),$AE329))</f>
        <v/>
      </c>
      <c r="AU329" s="96" t="str">
        <f aca="false">IF(ISBLANK($C329), "",AP329)</f>
        <v/>
      </c>
      <c r="AV329" s="96" t="str">
        <f aca="false">IF(ISBLANK($C329),"",IF($AE329=Constants!$B$7,RANK(AU329,AU$8:AU$507),$AE329))</f>
        <v/>
      </c>
      <c r="AW329" s="96" t="str">
        <f aca="false">IF(ISBLANK($C329), "",AC329)</f>
        <v/>
      </c>
      <c r="AX329" s="96" t="str">
        <f aca="false">IF(ISBLANK($C329),"",
IF($AE329=Constants!$B$7,
  COUNTIFS($AR$8:$AR$507,"&lt;"&amp;$AR329)
  + COUNTIFS($AR$8:$AR$507,$AR329,$AT$8:$AT$507,"&lt;"&amp;$AT329)
  + COUNTIFS($AR$8:$AR$507,$AR329,$AT$8:$AT$507,$AT329,$AV$8:$AV$507,"&lt;"&amp;$AV329)
  + COUNTIFS($AR$8:$AR$507,$AR329,$AT$8:$AT$507,$AT329,$AV$8:$AV$507,$AV329,$AW$8:$AW$507,"&lt;"&amp;$AW329)
  + 1,
$AE329))</f>
        <v/>
      </c>
      <c r="AY329" s="96" t="str">
        <f aca="false">IF(ISBLANK(C329),"",IF($AE329=Constants!$B$7, AR329-AX329,$AE329))</f>
        <v/>
      </c>
      <c r="AZ329" s="100"/>
      <c r="BA329" s="101" t="str">
        <f aca="false">IF(ISBLANK($C329),"",TRIM(AI329&amp;" "&amp;AM329))</f>
        <v/>
      </c>
      <c r="BB329" s="102" t="str">
        <f aca="false">IF(ISBLANK($C329),"",IF($AE329&lt;&gt;Constants!$B$7, $AE329 ,AQ329))</f>
        <v/>
      </c>
      <c r="BC329" s="103" t="str">
        <f aca="false">IF(ISBLANK($C329),"",IF($AE329&lt;&gt;Constants!$B$7, $AE329 ,AF329))</f>
        <v/>
      </c>
      <c r="BD329" s="104" t="str">
        <f aca="false">IF(ISBLANK(C329),"",AY329)</f>
        <v/>
      </c>
      <c r="BE329" s="104" t="str">
        <f aca="false">IF(ISBLANK(C329),"",AX329)</f>
        <v/>
      </c>
      <c r="BF329" s="105" t="str">
        <f aca="false">IF(ISBLANK(C329),"",IFERROR(_xlfn.SWITCH(BE329, Constants!$B$4, COUNTA($C$8:$C828)+2, Constants!$B$5, COUNTA($C$8:$C828)+1, Constants!$B$6, COUNTA($C$8:$C828)),BE329))</f>
        <v/>
      </c>
      <c r="BG329" s="5"/>
      <c r="BH329" s="106" t="n">
        <f aca="false">IF(OR(ISNUMBER(BE329),BE329="DQ",BE329="P",BE329="NS"),
    1,
    0
)</f>
        <v>0</v>
      </c>
      <c r="BI329" s="106" t="n">
        <v>322</v>
      </c>
      <c r="BJ329" s="106" t="str">
        <f aca="false">IF(ISBLANK($C329),
    "",
   BF329+ROW($B329)/1000
)</f>
        <v/>
      </c>
      <c r="BK329" s="106" t="str">
        <f aca="false">IF(ISNUMBER(BJ329), RANK(BJ329,BJ$8:BJ$507,1), "")</f>
        <v/>
      </c>
      <c r="BL329" s="106" t="str">
        <f aca="false">IF(ISBLANK($C329),
    "",
    $B329
)</f>
        <v/>
      </c>
      <c r="BM329" s="106" t="str">
        <f aca="false">IF(ISBLANK($C329),
    "",
    $C329
)</f>
        <v/>
      </c>
      <c r="BN329" s="106" t="str">
        <f aca="false">IF(ISBLANK($C329),
    "",
    $D329
)</f>
        <v/>
      </c>
      <c r="BO329" s="107" t="str">
        <f aca="false">BC329</f>
        <v/>
      </c>
      <c r="BP329" s="108" t="str">
        <f aca="false">BB329</f>
        <v/>
      </c>
      <c r="BQ329" s="106" t="str">
        <f aca="false">IF(ISBLANK($C329),
    "",
    BE329
)</f>
        <v/>
      </c>
      <c r="BR329" s="109" t="str">
        <f aca="false">IF(BI329&gt;BH$7,
    "",
    VLOOKUP(BI329,BK$8:BQ828,7,FALSE())
)</f>
        <v/>
      </c>
      <c r="BS329" s="110" t="str">
        <f aca="false">IF(BI329&gt;BH$7,
    "",
    VLOOKUP(BI329,BK$8:BQ828,2,FALSE())
)</f>
        <v/>
      </c>
      <c r="BT329" s="110" t="str">
        <f aca="false">IF(BI329&gt;BH$7,
    "",
    VLOOKUP(BI329,BK$8:BQ828,3,FALSE())
)</f>
        <v/>
      </c>
      <c r="BU329" s="110" t="str">
        <f aca="false">IF(BI329&gt;BH$7,
    "",
    VLOOKUP(BI329,BK$8:BQ828,4,FALSE())
)</f>
        <v/>
      </c>
      <c r="BV329" s="110" t="str">
        <f aca="false">IF(BI329&gt;BH$7,
    "",
    VLOOKUP(BI329,BK$8:BQ828,5,FALSE())
)</f>
        <v/>
      </c>
      <c r="BW329" s="111" t="str">
        <f aca="false">IF(BI329&gt;BH$7,
    "",
    VLOOKUP(BI329,BK$8:BQ828,6,FALSE())
)</f>
        <v/>
      </c>
      <c r="BX329" s="50"/>
    </row>
    <row r="330" customFormat="false" ht="15.75" hidden="false" customHeight="false" outlineLevel="0" collapsed="false">
      <c r="A330" s="5"/>
      <c r="B330" s="122"/>
      <c r="C330" s="123"/>
      <c r="D330" s="112"/>
      <c r="E330" s="116"/>
      <c r="F330" s="116"/>
      <c r="G330" s="88"/>
      <c r="H330" s="89"/>
      <c r="I330" s="125"/>
      <c r="J330" s="125"/>
      <c r="K330" s="125"/>
      <c r="L330" s="91"/>
      <c r="M330" s="91"/>
      <c r="N330" s="91"/>
      <c r="O330" s="92"/>
      <c r="P330" s="93"/>
      <c r="Q330" s="125"/>
      <c r="R330" s="95"/>
      <c r="S330" s="96"/>
      <c r="T330" s="96" t="str">
        <f aca="false">IF(ISBLANK($C330),"",IF(G330=Constants!$B$2, TRUE(), IF(G330=Constants!$B$3, FALSE(), TRUE())))</f>
        <v/>
      </c>
      <c r="U330" s="96" t="str">
        <f aca="false">IF(ISBLANK($C330),"",IF(H330=Constants!$B$2, TRUE(), IF(H330=Constants!$B$3, FALSE(), TRUE())))</f>
        <v/>
      </c>
      <c r="V330" s="96" t="str">
        <f aca="false">IF(ISBLANK($C330),"",IF(I330=Constants!$B$2, TRUE(), IF(I330=Constants!$B$3, FALSE(), TRUE())))</f>
        <v/>
      </c>
      <c r="W330" s="96" t="str">
        <f aca="false">IF(ISBLANK($C330),"",IF(J330=Constants!$B$2, TRUE(), IF(J330=Constants!$B$3, FALSE(), TRUE())))</f>
        <v/>
      </c>
      <c r="X330" s="97" t="str">
        <f aca="false">IF(ISBLANK($C330),"",IF(K330=Constants!$B$2, TRUE(), IF(K330=Constants!$B$3, FALSE(), TRUE())))</f>
        <v/>
      </c>
      <c r="Y330" s="98" t="str">
        <f aca="false">IF(ISBLANK($C330),"",IF(ISNUMBER(L330), L330, ""))</f>
        <v/>
      </c>
      <c r="Z330" s="98" t="str">
        <f aca="false">IF(ISBLANK($C330),"",IF(ISNUMBER(M330), M330, ""))</f>
        <v/>
      </c>
      <c r="AA330" s="98" t="str">
        <f aca="false">IF(ISBLANK($C330),"",IF(ISNUMBER(N330), N330, ""))</f>
        <v/>
      </c>
      <c r="AB330" s="99" t="str">
        <f aca="false">IF(ISBLANK($C330),"",IF(ISNUMBER(O330), O330, ""))</f>
        <v/>
      </c>
      <c r="AC330" s="99" t="str">
        <f aca="false">IF(ISBLANK($C330),"",IF(ISNUMBER(P330), P330, Constants!$B$13))</f>
        <v/>
      </c>
      <c r="AD330" s="96" t="str">
        <f aca="false">IF(ISBLANK($C330),"",IF(Q330=Constants!$B$2, TRUE(), IF(Q330=Constants!$B$3, FALSE(), FALSE())))</f>
        <v/>
      </c>
      <c r="AE330" s="96" t="str">
        <f aca="false">IF(ISBLANK(C330), "", IF(AD330, Constants!$B$4,IF(COUNTA(G330:O330)=0, Constants!$B$5, Constants!$B$7)))</f>
        <v/>
      </c>
      <c r="AF330" s="96" t="str">
        <f aca="false">IF(ISBLANK($C330), "",IF($AE330=Constants!$B$7,1,$AE330))</f>
        <v/>
      </c>
      <c r="AG330" s="96" t="str">
        <f aca="false">IF($AE330=Constants!$B$7,IF(V330, 1, Constants!$B$11) * IF(X330, 1, Constants!$B$12),"")</f>
        <v/>
      </c>
      <c r="AH330" s="96" t="str">
        <f aca="false">IF(AND($AE330=Constants!$B$7, T330, U330) ,MAX(0, $AA330-$Y330),"")</f>
        <v/>
      </c>
      <c r="AI330" s="96" t="str">
        <f aca="false">IF(ISERROR(AH330),$AI$6,"")</f>
        <v/>
      </c>
      <c r="AJ330" s="96" t="str">
        <f aca="false">IF($AE330=Constants!$B$7,IF(AND(T330,U330,W330),IF($AH$6=0,Constants!$B$9,Constants!$B$9*AH330/$AH$6), 0),"")</f>
        <v/>
      </c>
      <c r="AK330" s="96" t="str">
        <f aca="false">IF(AJ330&lt;&gt;"", AJ330*AG330,"")</f>
        <v/>
      </c>
      <c r="AL330" s="96" t="str">
        <f aca="false">IF(AND($AE330=Constants!$B$7, T330, U330) ,IF($Z330="", "", MAX(0,1-ABS($AA330-$Z330)/$AA330)),"")</f>
        <v/>
      </c>
      <c r="AM330" s="96" t="str">
        <f aca="false">IF(AND(NOT(ISERROR(AH330)),ISERROR(AL330)),$AM$6,"")</f>
        <v/>
      </c>
      <c r="AN330" s="96" t="str">
        <f aca="false">IF($AE330=Constants!$B$7 ,IF(AND(T330,U330,W330,ISNUMBER(Z330)),IF($AL$6=0,Constants!$B$10,Constants!$B$10*AL330/$AL$6), 0),"")</f>
        <v/>
      </c>
      <c r="AO330" s="96" t="str">
        <f aca="false">IF(AN330&lt;&gt;"", AN330*AG330,"")</f>
        <v/>
      </c>
      <c r="AP330" s="96" t="str">
        <f aca="false">IF($AE330=Constants!$B$7,IF($AP$6=0,Constants!$B$8,Constants!$B$8*AB330/$AP$6),"")</f>
        <v/>
      </c>
      <c r="AQ330" s="96" t="str">
        <f aca="false">IF($AE330&lt;&gt;Constants!$B$7,$AE330,AK330+AO330+AP330)</f>
        <v/>
      </c>
      <c r="AR330" s="96" t="str">
        <f aca="false">IF(ISBLANK($C330),"",IF($AE330=Constants!$B$7,RANK(AQ330,$AQ$8:$AQ$507),$AE330))</f>
        <v/>
      </c>
      <c r="AS330" s="96" t="str">
        <f aca="false">IF(ISBLANK($C330), "",AK330)</f>
        <v/>
      </c>
      <c r="AT330" s="96" t="str">
        <f aca="false">IF(ISBLANK($C330),"",IF($AE330=Constants!$B$7,RANK(AS330,AS$8:AS$507),$AE330))</f>
        <v/>
      </c>
      <c r="AU330" s="96" t="str">
        <f aca="false">IF(ISBLANK($C330), "",AP330)</f>
        <v/>
      </c>
      <c r="AV330" s="96" t="str">
        <f aca="false">IF(ISBLANK($C330),"",IF($AE330=Constants!$B$7,RANK(AU330,AU$8:AU$507),$AE330))</f>
        <v/>
      </c>
      <c r="AW330" s="96" t="str">
        <f aca="false">IF(ISBLANK($C330), "",AC330)</f>
        <v/>
      </c>
      <c r="AX330" s="96" t="str">
        <f aca="false">IF(ISBLANK($C330),"",
IF($AE330=Constants!$B$7,
  COUNTIFS($AR$8:$AR$507,"&lt;"&amp;$AR330)
  + COUNTIFS($AR$8:$AR$507,$AR330,$AT$8:$AT$507,"&lt;"&amp;$AT330)
  + COUNTIFS($AR$8:$AR$507,$AR330,$AT$8:$AT$507,$AT330,$AV$8:$AV$507,"&lt;"&amp;$AV330)
  + COUNTIFS($AR$8:$AR$507,$AR330,$AT$8:$AT$507,$AT330,$AV$8:$AV$507,$AV330,$AW$8:$AW$507,"&lt;"&amp;$AW330)
  + 1,
$AE330))</f>
        <v/>
      </c>
      <c r="AY330" s="96" t="str">
        <f aca="false">IF(ISBLANK(C330),"",IF($AE330=Constants!$B$7, AR330-AX330,$AE330))</f>
        <v/>
      </c>
      <c r="AZ330" s="100"/>
      <c r="BA330" s="101" t="str">
        <f aca="false">IF(ISBLANK($C330),"",TRIM(AI330&amp;" "&amp;AM330))</f>
        <v/>
      </c>
      <c r="BB330" s="102" t="str">
        <f aca="false">IF(ISBLANK($C330),"",IF($AE330&lt;&gt;Constants!$B$7, $AE330 ,AQ330))</f>
        <v/>
      </c>
      <c r="BC330" s="103" t="str">
        <f aca="false">IF(ISBLANK($C330),"",IF($AE330&lt;&gt;Constants!$B$7, $AE330 ,AF330))</f>
        <v/>
      </c>
      <c r="BD330" s="104" t="str">
        <f aca="false">IF(ISBLANK(C330),"",AY330)</f>
        <v/>
      </c>
      <c r="BE330" s="104" t="str">
        <f aca="false">IF(ISBLANK(C330),"",AX330)</f>
        <v/>
      </c>
      <c r="BF330" s="105" t="str">
        <f aca="false">IF(ISBLANK(C330),"",IFERROR(_xlfn.SWITCH(BE330, Constants!$B$4, COUNTA($C$8:$C829)+2, Constants!$B$5, COUNTA($C$8:$C829)+1, Constants!$B$6, COUNTA($C$8:$C829)),BE330))</f>
        <v/>
      </c>
      <c r="BG330" s="5"/>
      <c r="BH330" s="106" t="n">
        <f aca="false">IF(OR(ISNUMBER(BE330),BE330="DQ",BE330="P",BE330="NS"),
    1,
    0
)</f>
        <v>0</v>
      </c>
      <c r="BI330" s="106" t="n">
        <v>323</v>
      </c>
      <c r="BJ330" s="106" t="str">
        <f aca="false">IF(ISBLANK($C330),
    "",
   BF330+ROW($B330)/1000
)</f>
        <v/>
      </c>
      <c r="BK330" s="106" t="str">
        <f aca="false">IF(ISNUMBER(BJ330), RANK(BJ330,BJ$8:BJ$507,1), "")</f>
        <v/>
      </c>
      <c r="BL330" s="106" t="str">
        <f aca="false">IF(ISBLANK($C330),
    "",
    $B330
)</f>
        <v/>
      </c>
      <c r="BM330" s="106" t="str">
        <f aca="false">IF(ISBLANK($C330),
    "",
    $C330
)</f>
        <v/>
      </c>
      <c r="BN330" s="106" t="str">
        <f aca="false">IF(ISBLANK($C330),
    "",
    $D330
)</f>
        <v/>
      </c>
      <c r="BO330" s="107" t="str">
        <f aca="false">BC330</f>
        <v/>
      </c>
      <c r="BP330" s="108" t="str">
        <f aca="false">BB330</f>
        <v/>
      </c>
      <c r="BQ330" s="106" t="str">
        <f aca="false">IF(ISBLANK($C330),
    "",
    BE330
)</f>
        <v/>
      </c>
      <c r="BR330" s="109" t="str">
        <f aca="false">IF(BI330&gt;BH$7,
    "",
    VLOOKUP(BI330,BK$8:BQ829,7,FALSE())
)</f>
        <v/>
      </c>
      <c r="BS330" s="110" t="str">
        <f aca="false">IF(BI330&gt;BH$7,
    "",
    VLOOKUP(BI330,BK$8:BQ829,2,FALSE())
)</f>
        <v/>
      </c>
      <c r="BT330" s="110" t="str">
        <f aca="false">IF(BI330&gt;BH$7,
    "",
    VLOOKUP(BI330,BK$8:BQ829,3,FALSE())
)</f>
        <v/>
      </c>
      <c r="BU330" s="110" t="str">
        <f aca="false">IF(BI330&gt;BH$7,
    "",
    VLOOKUP(BI330,BK$8:BQ829,4,FALSE())
)</f>
        <v/>
      </c>
      <c r="BV330" s="110" t="str">
        <f aca="false">IF(BI330&gt;BH$7,
    "",
    VLOOKUP(BI330,BK$8:BQ829,5,FALSE())
)</f>
        <v/>
      </c>
      <c r="BW330" s="111" t="str">
        <f aca="false">IF(BI330&gt;BH$7,
    "",
    VLOOKUP(BI330,BK$8:BQ829,6,FALSE())
)</f>
        <v/>
      </c>
      <c r="BX330" s="50"/>
    </row>
    <row r="331" customFormat="false" ht="15.75" hidden="false" customHeight="false" outlineLevel="0" collapsed="false">
      <c r="A331" s="5"/>
      <c r="B331" s="122"/>
      <c r="C331" s="123"/>
      <c r="D331" s="112"/>
      <c r="E331" s="116"/>
      <c r="F331" s="116"/>
      <c r="G331" s="88"/>
      <c r="H331" s="89"/>
      <c r="I331" s="125"/>
      <c r="J331" s="125"/>
      <c r="K331" s="125"/>
      <c r="L331" s="91"/>
      <c r="M331" s="91"/>
      <c r="N331" s="91"/>
      <c r="O331" s="92"/>
      <c r="P331" s="93"/>
      <c r="Q331" s="125"/>
      <c r="R331" s="95"/>
      <c r="S331" s="96"/>
      <c r="T331" s="96" t="str">
        <f aca="false">IF(ISBLANK($C331),"",IF(G331=Constants!$B$2, TRUE(), IF(G331=Constants!$B$3, FALSE(), TRUE())))</f>
        <v/>
      </c>
      <c r="U331" s="96" t="str">
        <f aca="false">IF(ISBLANK($C331),"",IF(H331=Constants!$B$2, TRUE(), IF(H331=Constants!$B$3, FALSE(), TRUE())))</f>
        <v/>
      </c>
      <c r="V331" s="96" t="str">
        <f aca="false">IF(ISBLANK($C331),"",IF(I331=Constants!$B$2, TRUE(), IF(I331=Constants!$B$3, FALSE(), TRUE())))</f>
        <v/>
      </c>
      <c r="W331" s="96" t="str">
        <f aca="false">IF(ISBLANK($C331),"",IF(J331=Constants!$B$2, TRUE(), IF(J331=Constants!$B$3, FALSE(), TRUE())))</f>
        <v/>
      </c>
      <c r="X331" s="97" t="str">
        <f aca="false">IF(ISBLANK($C331),"",IF(K331=Constants!$B$2, TRUE(), IF(K331=Constants!$B$3, FALSE(), TRUE())))</f>
        <v/>
      </c>
      <c r="Y331" s="98" t="str">
        <f aca="false">IF(ISBLANK($C331),"",IF(ISNUMBER(L331), L331, ""))</f>
        <v/>
      </c>
      <c r="Z331" s="98" t="str">
        <f aca="false">IF(ISBLANK($C331),"",IF(ISNUMBER(M331), M331, ""))</f>
        <v/>
      </c>
      <c r="AA331" s="98" t="str">
        <f aca="false">IF(ISBLANK($C331),"",IF(ISNUMBER(N331), N331, ""))</f>
        <v/>
      </c>
      <c r="AB331" s="99" t="str">
        <f aca="false">IF(ISBLANK($C331),"",IF(ISNUMBER(O331), O331, ""))</f>
        <v/>
      </c>
      <c r="AC331" s="99" t="str">
        <f aca="false">IF(ISBLANK($C331),"",IF(ISNUMBER(P331), P331, Constants!$B$13))</f>
        <v/>
      </c>
      <c r="AD331" s="96" t="str">
        <f aca="false">IF(ISBLANK($C331),"",IF(Q331=Constants!$B$2, TRUE(), IF(Q331=Constants!$B$3, FALSE(), FALSE())))</f>
        <v/>
      </c>
      <c r="AE331" s="96" t="str">
        <f aca="false">IF(ISBLANK(C331), "", IF(AD331, Constants!$B$4,IF(COUNTA(G331:O331)=0, Constants!$B$5, Constants!$B$7)))</f>
        <v/>
      </c>
      <c r="AF331" s="96" t="str">
        <f aca="false">IF(ISBLANK($C331), "",IF($AE331=Constants!$B$7,1,$AE331))</f>
        <v/>
      </c>
      <c r="AG331" s="96" t="str">
        <f aca="false">IF($AE331=Constants!$B$7,IF(V331, 1, Constants!$B$11) * IF(X331, 1, Constants!$B$12),"")</f>
        <v/>
      </c>
      <c r="AH331" s="96" t="str">
        <f aca="false">IF(AND($AE331=Constants!$B$7, T331, U331) ,MAX(0, $AA331-$Y331),"")</f>
        <v/>
      </c>
      <c r="AI331" s="96" t="str">
        <f aca="false">IF(ISERROR(AH331),$AI$6,"")</f>
        <v/>
      </c>
      <c r="AJ331" s="96" t="str">
        <f aca="false">IF($AE331=Constants!$B$7,IF(AND(T331,U331,W331),IF($AH$6=0,Constants!$B$9,Constants!$B$9*AH331/$AH$6), 0),"")</f>
        <v/>
      </c>
      <c r="AK331" s="96" t="str">
        <f aca="false">IF(AJ331&lt;&gt;"", AJ331*AG331,"")</f>
        <v/>
      </c>
      <c r="AL331" s="96" t="str">
        <f aca="false">IF(AND($AE331=Constants!$B$7, T331, U331) ,IF($Z331="", "", MAX(0,1-ABS($AA331-$Z331)/$AA331)),"")</f>
        <v/>
      </c>
      <c r="AM331" s="96" t="str">
        <f aca="false">IF(AND(NOT(ISERROR(AH331)),ISERROR(AL331)),$AM$6,"")</f>
        <v/>
      </c>
      <c r="AN331" s="96" t="str">
        <f aca="false">IF($AE331=Constants!$B$7 ,IF(AND(T331,U331,W331,ISNUMBER(Z331)),IF($AL$6=0,Constants!$B$10,Constants!$B$10*AL331/$AL$6), 0),"")</f>
        <v/>
      </c>
      <c r="AO331" s="96" t="str">
        <f aca="false">IF(AN331&lt;&gt;"", AN331*AG331,"")</f>
        <v/>
      </c>
      <c r="AP331" s="96" t="str">
        <f aca="false">IF($AE331=Constants!$B$7,IF($AP$6=0,Constants!$B$8,Constants!$B$8*AB331/$AP$6),"")</f>
        <v/>
      </c>
      <c r="AQ331" s="96" t="str">
        <f aca="false">IF($AE331&lt;&gt;Constants!$B$7,$AE331,AK331+AO331+AP331)</f>
        <v/>
      </c>
      <c r="AR331" s="96" t="str">
        <f aca="false">IF(ISBLANK($C331),"",IF($AE331=Constants!$B$7,RANK(AQ331,$AQ$8:$AQ$507),$AE331))</f>
        <v/>
      </c>
      <c r="AS331" s="96" t="str">
        <f aca="false">IF(ISBLANK($C331), "",AK331)</f>
        <v/>
      </c>
      <c r="AT331" s="96" t="str">
        <f aca="false">IF(ISBLANK($C331),"",IF($AE331=Constants!$B$7,RANK(AS331,AS$8:AS$507),$AE331))</f>
        <v/>
      </c>
      <c r="AU331" s="96" t="str">
        <f aca="false">IF(ISBLANK($C331), "",AP331)</f>
        <v/>
      </c>
      <c r="AV331" s="96" t="str">
        <f aca="false">IF(ISBLANK($C331),"",IF($AE331=Constants!$B$7,RANK(AU331,AU$8:AU$507),$AE331))</f>
        <v/>
      </c>
      <c r="AW331" s="96" t="str">
        <f aca="false">IF(ISBLANK($C331), "",AC331)</f>
        <v/>
      </c>
      <c r="AX331" s="96" t="str">
        <f aca="false">IF(ISBLANK($C331),"",
IF($AE331=Constants!$B$7,
  COUNTIFS($AR$8:$AR$507,"&lt;"&amp;$AR331)
  + COUNTIFS($AR$8:$AR$507,$AR331,$AT$8:$AT$507,"&lt;"&amp;$AT331)
  + COUNTIFS($AR$8:$AR$507,$AR331,$AT$8:$AT$507,$AT331,$AV$8:$AV$507,"&lt;"&amp;$AV331)
  + COUNTIFS($AR$8:$AR$507,$AR331,$AT$8:$AT$507,$AT331,$AV$8:$AV$507,$AV331,$AW$8:$AW$507,"&lt;"&amp;$AW331)
  + 1,
$AE331))</f>
        <v/>
      </c>
      <c r="AY331" s="96" t="str">
        <f aca="false">IF(ISBLANK(C331),"",IF($AE331=Constants!$B$7, AR331-AX331,$AE331))</f>
        <v/>
      </c>
      <c r="AZ331" s="100"/>
      <c r="BA331" s="101" t="str">
        <f aca="false">IF(ISBLANK($C331),"",TRIM(AI331&amp;" "&amp;AM331))</f>
        <v/>
      </c>
      <c r="BB331" s="102" t="str">
        <f aca="false">IF(ISBLANK($C331),"",IF($AE331&lt;&gt;Constants!$B$7, $AE331 ,AQ331))</f>
        <v/>
      </c>
      <c r="BC331" s="103" t="str">
        <f aca="false">IF(ISBLANK($C331),"",IF($AE331&lt;&gt;Constants!$B$7, $AE331 ,AF331))</f>
        <v/>
      </c>
      <c r="BD331" s="104" t="str">
        <f aca="false">IF(ISBLANK(C331),"",AY331)</f>
        <v/>
      </c>
      <c r="BE331" s="104" t="str">
        <f aca="false">IF(ISBLANK(C331),"",AX331)</f>
        <v/>
      </c>
      <c r="BF331" s="105" t="str">
        <f aca="false">IF(ISBLANK(C331),"",IFERROR(_xlfn.SWITCH(BE331, Constants!$B$4, COUNTA($C$8:$C830)+2, Constants!$B$5, COUNTA($C$8:$C830)+1, Constants!$B$6, COUNTA($C$8:$C830)),BE331))</f>
        <v/>
      </c>
      <c r="BG331" s="5"/>
      <c r="BH331" s="106" t="n">
        <f aca="false">IF(OR(ISNUMBER(BE331),BE331="DQ",BE331="P",BE331="NS"),
    1,
    0
)</f>
        <v>0</v>
      </c>
      <c r="BI331" s="106" t="n">
        <v>324</v>
      </c>
      <c r="BJ331" s="106" t="str">
        <f aca="false">IF(ISBLANK($C331),
    "",
   BF331+ROW($B331)/1000
)</f>
        <v/>
      </c>
      <c r="BK331" s="106" t="str">
        <f aca="false">IF(ISNUMBER(BJ331), RANK(BJ331,BJ$8:BJ$507,1), "")</f>
        <v/>
      </c>
      <c r="BL331" s="106" t="str">
        <f aca="false">IF(ISBLANK($C331),
    "",
    $B331
)</f>
        <v/>
      </c>
      <c r="BM331" s="106" t="str">
        <f aca="false">IF(ISBLANK($C331),
    "",
    $C331
)</f>
        <v/>
      </c>
      <c r="BN331" s="106" t="str">
        <f aca="false">IF(ISBLANK($C331),
    "",
    $D331
)</f>
        <v/>
      </c>
      <c r="BO331" s="107" t="str">
        <f aca="false">BC331</f>
        <v/>
      </c>
      <c r="BP331" s="108" t="str">
        <f aca="false">BB331</f>
        <v/>
      </c>
      <c r="BQ331" s="106" t="str">
        <f aca="false">IF(ISBLANK($C331),
    "",
    BE331
)</f>
        <v/>
      </c>
      <c r="BR331" s="109" t="str">
        <f aca="false">IF(BI331&gt;BH$7,
    "",
    VLOOKUP(BI331,BK$8:BQ830,7,FALSE())
)</f>
        <v/>
      </c>
      <c r="BS331" s="110" t="str">
        <f aca="false">IF(BI331&gt;BH$7,
    "",
    VLOOKUP(BI331,BK$8:BQ830,2,FALSE())
)</f>
        <v/>
      </c>
      <c r="BT331" s="110" t="str">
        <f aca="false">IF(BI331&gt;BH$7,
    "",
    VLOOKUP(BI331,BK$8:BQ830,3,FALSE())
)</f>
        <v/>
      </c>
      <c r="BU331" s="110" t="str">
        <f aca="false">IF(BI331&gt;BH$7,
    "",
    VLOOKUP(BI331,BK$8:BQ830,4,FALSE())
)</f>
        <v/>
      </c>
      <c r="BV331" s="110" t="str">
        <f aca="false">IF(BI331&gt;BH$7,
    "",
    VLOOKUP(BI331,BK$8:BQ830,5,FALSE())
)</f>
        <v/>
      </c>
      <c r="BW331" s="111" t="str">
        <f aca="false">IF(BI331&gt;BH$7,
    "",
    VLOOKUP(BI331,BK$8:BQ830,6,FALSE())
)</f>
        <v/>
      </c>
      <c r="BX331" s="50"/>
    </row>
    <row r="332" customFormat="false" ht="15.75" hidden="false" customHeight="false" outlineLevel="0" collapsed="false">
      <c r="A332" s="5"/>
      <c r="B332" s="126"/>
      <c r="C332" s="52"/>
      <c r="D332" s="53"/>
      <c r="E332" s="120"/>
      <c r="F332" s="120"/>
      <c r="G332" s="55"/>
      <c r="H332" s="56"/>
      <c r="I332" s="80"/>
      <c r="J332" s="80"/>
      <c r="K332" s="80"/>
      <c r="L332" s="58"/>
      <c r="M332" s="58"/>
      <c r="N332" s="58"/>
      <c r="O332" s="59"/>
      <c r="P332" s="60"/>
      <c r="Q332" s="80"/>
      <c r="R332" s="62"/>
      <c r="S332" s="63"/>
      <c r="T332" s="63" t="str">
        <f aca="false">IF(ISBLANK($C332),"",IF(G332=Constants!$B$2, TRUE(), IF(G332=Constants!$B$3, FALSE(), TRUE())))</f>
        <v/>
      </c>
      <c r="U332" s="63" t="str">
        <f aca="false">IF(ISBLANK($C332),"",IF(H332=Constants!$B$2, TRUE(), IF(H332=Constants!$B$3, FALSE(), TRUE())))</f>
        <v/>
      </c>
      <c r="V332" s="63" t="str">
        <f aca="false">IF(ISBLANK($C332),"",IF(I332=Constants!$B$2, TRUE(), IF(I332=Constants!$B$3, FALSE(), TRUE())))</f>
        <v/>
      </c>
      <c r="W332" s="63" t="str">
        <f aca="false">IF(ISBLANK($C332),"",IF(J332=Constants!$B$2, TRUE(), IF(J332=Constants!$B$3, FALSE(), TRUE())))</f>
        <v/>
      </c>
      <c r="X332" s="63" t="str">
        <f aca="false">IF(ISBLANK($C332),"",IF(K332=Constants!$B$2, TRUE(), IF(K332=Constants!$B$3, FALSE(), TRUE())))</f>
        <v/>
      </c>
      <c r="Y332" s="65" t="str">
        <f aca="false">IF(ISBLANK($C332),"",IF(ISNUMBER(L332), L332, ""))</f>
        <v/>
      </c>
      <c r="Z332" s="65" t="str">
        <f aca="false">IF(ISBLANK($C332),"",IF(ISNUMBER(M332), M332, ""))</f>
        <v/>
      </c>
      <c r="AA332" s="65" t="str">
        <f aca="false">IF(ISBLANK($C332),"",IF(ISNUMBER(N332), N332, ""))</f>
        <v/>
      </c>
      <c r="AB332" s="66" t="str">
        <f aca="false">IF(ISBLANK($C332),"",IF(ISNUMBER(O332), O332, ""))</f>
        <v/>
      </c>
      <c r="AC332" s="66" t="str">
        <f aca="false">IF(ISBLANK($C332),"",IF(ISNUMBER(P332), P332, Constants!$B$13))</f>
        <v/>
      </c>
      <c r="AD332" s="63" t="str">
        <f aca="false">IF(ISBLANK($C332),"",IF(Q332=Constants!$B$2, TRUE(), IF(Q332=Constants!$B$3, FALSE(), FALSE())))</f>
        <v/>
      </c>
      <c r="AE332" s="63" t="str">
        <f aca="false">IF(ISBLANK(C332), "", IF(AD332, Constants!$B$4,IF(COUNTA(G332:O332)=0, Constants!$B$5, Constants!$B$7)))</f>
        <v/>
      </c>
      <c r="AF332" s="63" t="str">
        <f aca="false">IF(ISBLANK($C332), "",IF($AE332=Constants!$B$7,1,$AE332))</f>
        <v/>
      </c>
      <c r="AG332" s="63" t="str">
        <f aca="false">IF($AE332=Constants!$B$7,IF(V332, 1, Constants!$B$11) * IF(X332, 1, Constants!$B$12),"")</f>
        <v/>
      </c>
      <c r="AH332" s="63" t="str">
        <f aca="false">IF(AND($AE332=Constants!$B$7, T332, U332) ,MAX(0, $AA332-$Y332),"")</f>
        <v/>
      </c>
      <c r="AI332" s="63" t="str">
        <f aca="false">IF(ISERROR(AH332),$AI$6,"")</f>
        <v/>
      </c>
      <c r="AJ332" s="63" t="str">
        <f aca="false">IF($AE332=Constants!$B$7,IF(AND(T332,U332,W332),IF($AH$6=0,Constants!$B$9,Constants!$B$9*AH332/$AH$6), 0),"")</f>
        <v/>
      </c>
      <c r="AK332" s="63" t="str">
        <f aca="false">IF(AJ332&lt;&gt;"", AJ332*AG332,"")</f>
        <v/>
      </c>
      <c r="AL332" s="63" t="str">
        <f aca="false">IF(AND($AE332=Constants!$B$7, T332, U332) ,IF($Z332="", "", MAX(0,1-ABS($AA332-$Z332)/$AA332)),"")</f>
        <v/>
      </c>
      <c r="AM332" s="63" t="str">
        <f aca="false">IF(AND(NOT(ISERROR(AH332)),ISERROR(AL332)),$AM$6,"")</f>
        <v/>
      </c>
      <c r="AN332" s="63" t="str">
        <f aca="false">IF($AE332=Constants!$B$7 ,IF(AND(T332,U332,W332,ISNUMBER(Z332)),IF($AL$6=0,Constants!$B$10,Constants!$B$10*AL332/$AL$6), 0),"")</f>
        <v/>
      </c>
      <c r="AO332" s="63" t="str">
        <f aca="false">IF(AN332&lt;&gt;"", AN332*AG332,"")</f>
        <v/>
      </c>
      <c r="AP332" s="63" t="str">
        <f aca="false">IF($AE332=Constants!$B$7,IF($AP$6=0,Constants!$B$8,Constants!$B$8*AB332/$AP$6),"")</f>
        <v/>
      </c>
      <c r="AQ332" s="63" t="str">
        <f aca="false">IF($AE332&lt;&gt;Constants!$B$7,$AE332,AK332+AO332+AP332)</f>
        <v/>
      </c>
      <c r="AR332" s="63" t="str">
        <f aca="false">IF(ISBLANK($C332),"",IF($AE332=Constants!$B$7,RANK(AQ332,$AQ$8:$AQ$507),$AE332))</f>
        <v/>
      </c>
      <c r="AS332" s="63" t="str">
        <f aca="false">IF(ISBLANK($C332), "",AK332)</f>
        <v/>
      </c>
      <c r="AT332" s="63" t="str">
        <f aca="false">IF(ISBLANK($C332),"",IF($AE332=Constants!$B$7,RANK(AS332,AS$8:AS$507),$AE332))</f>
        <v/>
      </c>
      <c r="AU332" s="63" t="str">
        <f aca="false">IF(ISBLANK($C332), "",AP332)</f>
        <v/>
      </c>
      <c r="AV332" s="63" t="str">
        <f aca="false">IF(ISBLANK($C332),"",IF($AE332=Constants!$B$7,RANK(AU332,AU$8:AU$507),$AE332))</f>
        <v/>
      </c>
      <c r="AW332" s="63" t="str">
        <f aca="false">IF(ISBLANK($C332), "",AC332)</f>
        <v/>
      </c>
      <c r="AX332" s="63" t="str">
        <f aca="false">IF(ISBLANK($C332),"",
IF($AE332=Constants!$B$7,
  COUNTIFS($AR$8:$AR$507,"&lt;"&amp;$AR332)
  + COUNTIFS($AR$8:$AR$507,$AR332,$AT$8:$AT$507,"&lt;"&amp;$AT332)
  + COUNTIFS($AR$8:$AR$507,$AR332,$AT$8:$AT$507,$AT332,$AV$8:$AV$507,"&lt;"&amp;$AV332)
  + COUNTIFS($AR$8:$AR$507,$AR332,$AT$8:$AT$507,$AT332,$AV$8:$AV$507,$AV332,$AW$8:$AW$507,"&lt;"&amp;$AW332)
  + 1,
$AE332))</f>
        <v/>
      </c>
      <c r="AY332" s="63" t="str">
        <f aca="false">IF(ISBLANK(C332),"",IF($AE332=Constants!$B$7, AR332-AX332,$AE332))</f>
        <v/>
      </c>
      <c r="AZ332" s="67"/>
      <c r="BA332" s="81" t="str">
        <f aca="false">IF(ISBLANK($C332),"",TRIM(AI332&amp;" "&amp;AM332))</f>
        <v/>
      </c>
      <c r="BB332" s="69" t="str">
        <f aca="false">IF(ISBLANK($C332),"",IF($AE332&lt;&gt;Constants!$B$7, $AE332 ,AQ332))</f>
        <v/>
      </c>
      <c r="BC332" s="70" t="str">
        <f aca="false">IF(ISBLANK($C332),"",IF($AE332&lt;&gt;Constants!$B$7, $AE332 ,AF332))</f>
        <v/>
      </c>
      <c r="BD332" s="71" t="str">
        <f aca="false">IF(ISBLANK(C332),"",AY332)</f>
        <v/>
      </c>
      <c r="BE332" s="71" t="str">
        <f aca="false">IF(ISBLANK(C332),"",AX332)</f>
        <v/>
      </c>
      <c r="BF332" s="72" t="str">
        <f aca="false">IF(ISBLANK(C332),"",IFERROR(_xlfn.SWITCH(BE332, Constants!$B$4, COUNTA($C$8:$C831)+2, Constants!$B$5, COUNTA($C$8:$C831)+1, Constants!$B$6, COUNTA($C$8:$C831)),BE332))</f>
        <v/>
      </c>
      <c r="BG332" s="5"/>
      <c r="BH332" s="73" t="n">
        <f aca="false">IF(OR(ISNUMBER(BE332),BE332="DQ",BE332="P",BE332="NS"),
    1,
    0
)</f>
        <v>0</v>
      </c>
      <c r="BI332" s="73" t="n">
        <v>325</v>
      </c>
      <c r="BJ332" s="73" t="str">
        <f aca="false">IF(ISBLANK($C332),
    "",
   BF332+ROW($B332)/1000
)</f>
        <v/>
      </c>
      <c r="BK332" s="73" t="str">
        <f aca="false">IF(ISNUMBER(BJ332), RANK(BJ332,BJ$8:BJ$507,1), "")</f>
        <v/>
      </c>
      <c r="BL332" s="73" t="str">
        <f aca="false">IF(ISBLANK($C332),
    "",
    $B332
)</f>
        <v/>
      </c>
      <c r="BM332" s="73" t="str">
        <f aca="false">IF(ISBLANK($C332),
    "",
    $C332
)</f>
        <v/>
      </c>
      <c r="BN332" s="73" t="str">
        <f aca="false">IF(ISBLANK($C332),
    "",
    $D332
)</f>
        <v/>
      </c>
      <c r="BO332" s="74" t="str">
        <f aca="false">BC332</f>
        <v/>
      </c>
      <c r="BP332" s="75" t="str">
        <f aca="false">BB332</f>
        <v/>
      </c>
      <c r="BQ332" s="73" t="str">
        <f aca="false">IF(ISBLANK($C332),
    "",
    BE332
)</f>
        <v/>
      </c>
      <c r="BR332" s="76" t="str">
        <f aca="false">IF(BI332&gt;BH$7,
    "",
    VLOOKUP(BI332,BK$8:BQ831,7,FALSE())
)</f>
        <v/>
      </c>
      <c r="BS332" s="77" t="str">
        <f aca="false">IF(BI332&gt;BH$7,
    "",
    VLOOKUP(BI332,BK$8:BQ831,2,FALSE())
)</f>
        <v/>
      </c>
      <c r="BT332" s="77" t="str">
        <f aca="false">IF(BI332&gt;BH$7,
    "",
    VLOOKUP(BI332,BK$8:BQ831,3,FALSE())
)</f>
        <v/>
      </c>
      <c r="BU332" s="77" t="str">
        <f aca="false">IF(BI332&gt;BH$7,
    "",
    VLOOKUP(BI332,BK$8:BQ831,4,FALSE())
)</f>
        <v/>
      </c>
      <c r="BV332" s="77" t="str">
        <f aca="false">IF(BI332&gt;BH$7,
    "",
    VLOOKUP(BI332,BK$8:BQ831,5,FALSE())
)</f>
        <v/>
      </c>
      <c r="BW332" s="78" t="str">
        <f aca="false">IF(BI332&gt;BH$7,
    "",
    VLOOKUP(BI332,BK$8:BQ831,6,FALSE())
)</f>
        <v/>
      </c>
      <c r="BX332" s="50"/>
    </row>
    <row r="333" customFormat="false" ht="15.75" hidden="false" customHeight="false" outlineLevel="0" collapsed="false">
      <c r="A333" s="5"/>
      <c r="B333" s="126"/>
      <c r="C333" s="52"/>
      <c r="D333" s="53"/>
      <c r="E333" s="120"/>
      <c r="F333" s="120"/>
      <c r="G333" s="55"/>
      <c r="H333" s="56"/>
      <c r="I333" s="80"/>
      <c r="J333" s="80"/>
      <c r="K333" s="80"/>
      <c r="L333" s="58"/>
      <c r="M333" s="58"/>
      <c r="N333" s="58"/>
      <c r="O333" s="59"/>
      <c r="P333" s="60"/>
      <c r="Q333" s="80"/>
      <c r="R333" s="62"/>
      <c r="S333" s="63"/>
      <c r="T333" s="63" t="str">
        <f aca="false">IF(ISBLANK($C333),"",IF(G333=Constants!$B$2, TRUE(), IF(G333=Constants!$B$3, FALSE(), TRUE())))</f>
        <v/>
      </c>
      <c r="U333" s="63" t="str">
        <f aca="false">IF(ISBLANK($C333),"",IF(H333=Constants!$B$2, TRUE(), IF(H333=Constants!$B$3, FALSE(), TRUE())))</f>
        <v/>
      </c>
      <c r="V333" s="63" t="str">
        <f aca="false">IF(ISBLANK($C333),"",IF(I333=Constants!$B$2, TRUE(), IF(I333=Constants!$B$3, FALSE(), TRUE())))</f>
        <v/>
      </c>
      <c r="W333" s="63" t="str">
        <f aca="false">IF(ISBLANK($C333),"",IF(J333=Constants!$B$2, TRUE(), IF(J333=Constants!$B$3, FALSE(), TRUE())))</f>
        <v/>
      </c>
      <c r="X333" s="63" t="str">
        <f aca="false">IF(ISBLANK($C333),"",IF(K333=Constants!$B$2, TRUE(), IF(K333=Constants!$B$3, FALSE(), TRUE())))</f>
        <v/>
      </c>
      <c r="Y333" s="65" t="str">
        <f aca="false">IF(ISBLANK($C333),"",IF(ISNUMBER(L333), L333, ""))</f>
        <v/>
      </c>
      <c r="Z333" s="65" t="str">
        <f aca="false">IF(ISBLANK($C333),"",IF(ISNUMBER(M333), M333, ""))</f>
        <v/>
      </c>
      <c r="AA333" s="65" t="str">
        <f aca="false">IF(ISBLANK($C333),"",IF(ISNUMBER(N333), N333, ""))</f>
        <v/>
      </c>
      <c r="AB333" s="66" t="str">
        <f aca="false">IF(ISBLANK($C333),"",IF(ISNUMBER(O333), O333, ""))</f>
        <v/>
      </c>
      <c r="AC333" s="66" t="str">
        <f aca="false">IF(ISBLANK($C333),"",IF(ISNUMBER(P333), P333, Constants!$B$13))</f>
        <v/>
      </c>
      <c r="AD333" s="63" t="str">
        <f aca="false">IF(ISBLANK($C333),"",IF(Q333=Constants!$B$2, TRUE(), IF(Q333=Constants!$B$3, FALSE(), FALSE())))</f>
        <v/>
      </c>
      <c r="AE333" s="63" t="str">
        <f aca="false">IF(ISBLANK(C333), "", IF(AD333, Constants!$B$4,IF(COUNTA(G333:O333)=0, Constants!$B$5, Constants!$B$7)))</f>
        <v/>
      </c>
      <c r="AF333" s="63" t="str">
        <f aca="false">IF(ISBLANK($C333), "",IF($AE333=Constants!$B$7,1,$AE333))</f>
        <v/>
      </c>
      <c r="AG333" s="63" t="str">
        <f aca="false">IF($AE333=Constants!$B$7,IF(V333, 1, Constants!$B$11) * IF(X333, 1, Constants!$B$12),"")</f>
        <v/>
      </c>
      <c r="AH333" s="63" t="str">
        <f aca="false">IF(AND($AE333=Constants!$B$7, T333, U333) ,MAX(0, $AA333-$Y333),"")</f>
        <v/>
      </c>
      <c r="AI333" s="63" t="str">
        <f aca="false">IF(ISERROR(AH333),$AI$6,"")</f>
        <v/>
      </c>
      <c r="AJ333" s="63" t="str">
        <f aca="false">IF($AE333=Constants!$B$7,IF(AND(T333,U333,W333),IF($AH$6=0,Constants!$B$9,Constants!$B$9*AH333/$AH$6), 0),"")</f>
        <v/>
      </c>
      <c r="AK333" s="63" t="str">
        <f aca="false">IF(AJ333&lt;&gt;"", AJ333*AG333,"")</f>
        <v/>
      </c>
      <c r="AL333" s="63" t="str">
        <f aca="false">IF(AND($AE333=Constants!$B$7, T333, U333) ,IF($Z333="", "", MAX(0,1-ABS($AA333-$Z333)/$AA333)),"")</f>
        <v/>
      </c>
      <c r="AM333" s="63" t="str">
        <f aca="false">IF(AND(NOT(ISERROR(AH333)),ISERROR(AL333)),$AM$6,"")</f>
        <v/>
      </c>
      <c r="AN333" s="63" t="str">
        <f aca="false">IF($AE333=Constants!$B$7 ,IF(AND(T333,U333,W333,ISNUMBER(Z333)),IF($AL$6=0,Constants!$B$10,Constants!$B$10*AL333/$AL$6), 0),"")</f>
        <v/>
      </c>
      <c r="AO333" s="63" t="str">
        <f aca="false">IF(AN333&lt;&gt;"", AN333*AG333,"")</f>
        <v/>
      </c>
      <c r="AP333" s="63" t="str">
        <f aca="false">IF($AE333=Constants!$B$7,IF($AP$6=0,Constants!$B$8,Constants!$B$8*AB333/$AP$6),"")</f>
        <v/>
      </c>
      <c r="AQ333" s="63" t="str">
        <f aca="false">IF($AE333&lt;&gt;Constants!$B$7,$AE333,AK333+AO333+AP333)</f>
        <v/>
      </c>
      <c r="AR333" s="63" t="str">
        <f aca="false">IF(ISBLANK($C333),"",IF($AE333=Constants!$B$7,RANK(AQ333,$AQ$8:$AQ$507),$AE333))</f>
        <v/>
      </c>
      <c r="AS333" s="63" t="str">
        <f aca="false">IF(ISBLANK($C333), "",AK333)</f>
        <v/>
      </c>
      <c r="AT333" s="63" t="str">
        <f aca="false">IF(ISBLANK($C333),"",IF($AE333=Constants!$B$7,RANK(AS333,AS$8:AS$507),$AE333))</f>
        <v/>
      </c>
      <c r="AU333" s="63" t="str">
        <f aca="false">IF(ISBLANK($C333), "",AP333)</f>
        <v/>
      </c>
      <c r="AV333" s="63" t="str">
        <f aca="false">IF(ISBLANK($C333),"",IF($AE333=Constants!$B$7,RANK(AU333,AU$8:AU$507),$AE333))</f>
        <v/>
      </c>
      <c r="AW333" s="63" t="str">
        <f aca="false">IF(ISBLANK($C333), "",AC333)</f>
        <v/>
      </c>
      <c r="AX333" s="63" t="str">
        <f aca="false">IF(ISBLANK($C333),"",
IF($AE333=Constants!$B$7,
  COUNTIFS($AR$8:$AR$507,"&lt;"&amp;$AR333)
  + COUNTIFS($AR$8:$AR$507,$AR333,$AT$8:$AT$507,"&lt;"&amp;$AT333)
  + COUNTIFS($AR$8:$AR$507,$AR333,$AT$8:$AT$507,$AT333,$AV$8:$AV$507,"&lt;"&amp;$AV333)
  + COUNTIFS($AR$8:$AR$507,$AR333,$AT$8:$AT$507,$AT333,$AV$8:$AV$507,$AV333,$AW$8:$AW$507,"&lt;"&amp;$AW333)
  + 1,
$AE333))</f>
        <v/>
      </c>
      <c r="AY333" s="63" t="str">
        <f aca="false">IF(ISBLANK(C333),"",IF($AE333=Constants!$B$7, AR333-AX333,$AE333))</f>
        <v/>
      </c>
      <c r="AZ333" s="67"/>
      <c r="BA333" s="81" t="str">
        <f aca="false">IF(ISBLANK($C333),"",TRIM(AI333&amp;" "&amp;AM333))</f>
        <v/>
      </c>
      <c r="BB333" s="69" t="str">
        <f aca="false">IF(ISBLANK($C333),"",IF($AE333&lt;&gt;Constants!$B$7, $AE333 ,AQ333))</f>
        <v/>
      </c>
      <c r="BC333" s="70" t="str">
        <f aca="false">IF(ISBLANK($C333),"",IF($AE333&lt;&gt;Constants!$B$7, $AE333 ,AF333))</f>
        <v/>
      </c>
      <c r="BD333" s="71" t="str">
        <f aca="false">IF(ISBLANK(C333),"",AY333)</f>
        <v/>
      </c>
      <c r="BE333" s="71" t="str">
        <f aca="false">IF(ISBLANK(C333),"",AX333)</f>
        <v/>
      </c>
      <c r="BF333" s="72" t="str">
        <f aca="false">IF(ISBLANK(C333),"",IFERROR(_xlfn.SWITCH(BE333, Constants!$B$4, COUNTA($C$8:$C832)+2, Constants!$B$5, COUNTA($C$8:$C832)+1, Constants!$B$6, COUNTA($C$8:$C832)),BE333))</f>
        <v/>
      </c>
      <c r="BG333" s="5"/>
      <c r="BH333" s="73" t="n">
        <f aca="false">IF(OR(ISNUMBER(BE333),BE333="DQ",BE333="P",BE333="NS"),
    1,
    0
)</f>
        <v>0</v>
      </c>
      <c r="BI333" s="73" t="n">
        <v>326</v>
      </c>
      <c r="BJ333" s="73" t="str">
        <f aca="false">IF(ISBLANK($C333),
    "",
   BF333+ROW($B333)/1000
)</f>
        <v/>
      </c>
      <c r="BK333" s="73" t="str">
        <f aca="false">IF(ISNUMBER(BJ333), RANK(BJ333,BJ$8:BJ$507,1), "")</f>
        <v/>
      </c>
      <c r="BL333" s="73" t="str">
        <f aca="false">IF(ISBLANK($C333),
    "",
    $B333
)</f>
        <v/>
      </c>
      <c r="BM333" s="73" t="str">
        <f aca="false">IF(ISBLANK($C333),
    "",
    $C333
)</f>
        <v/>
      </c>
      <c r="BN333" s="73" t="str">
        <f aca="false">IF(ISBLANK($C333),
    "",
    $D333
)</f>
        <v/>
      </c>
      <c r="BO333" s="74" t="str">
        <f aca="false">BC333</f>
        <v/>
      </c>
      <c r="BP333" s="75" t="str">
        <f aca="false">BB333</f>
        <v/>
      </c>
      <c r="BQ333" s="73" t="str">
        <f aca="false">IF(ISBLANK($C333),
    "",
    BE333
)</f>
        <v/>
      </c>
      <c r="BR333" s="76" t="str">
        <f aca="false">IF(BI333&gt;BH$7,
    "",
    VLOOKUP(BI333,BK$8:BQ832,7,FALSE())
)</f>
        <v/>
      </c>
      <c r="BS333" s="77" t="str">
        <f aca="false">IF(BI333&gt;BH$7,
    "",
    VLOOKUP(BI333,BK$8:BQ832,2,FALSE())
)</f>
        <v/>
      </c>
      <c r="BT333" s="77" t="str">
        <f aca="false">IF(BI333&gt;BH$7,
    "",
    VLOOKUP(BI333,BK$8:BQ832,3,FALSE())
)</f>
        <v/>
      </c>
      <c r="BU333" s="77" t="str">
        <f aca="false">IF(BI333&gt;BH$7,
    "",
    VLOOKUP(BI333,BK$8:BQ832,4,FALSE())
)</f>
        <v/>
      </c>
      <c r="BV333" s="77" t="str">
        <f aca="false">IF(BI333&gt;BH$7,
    "",
    VLOOKUP(BI333,BK$8:BQ832,5,FALSE())
)</f>
        <v/>
      </c>
      <c r="BW333" s="78" t="str">
        <f aca="false">IF(BI333&gt;BH$7,
    "",
    VLOOKUP(BI333,BK$8:BQ832,6,FALSE())
)</f>
        <v/>
      </c>
      <c r="BX333" s="50"/>
    </row>
    <row r="334" customFormat="false" ht="15.75" hidden="false" customHeight="false" outlineLevel="0" collapsed="false">
      <c r="A334" s="5"/>
      <c r="B334" s="126"/>
      <c r="C334" s="52"/>
      <c r="D334" s="53"/>
      <c r="E334" s="120"/>
      <c r="F334" s="120"/>
      <c r="G334" s="55"/>
      <c r="H334" s="56"/>
      <c r="I334" s="80"/>
      <c r="J334" s="80"/>
      <c r="K334" s="80"/>
      <c r="L334" s="58"/>
      <c r="M334" s="58"/>
      <c r="N334" s="58"/>
      <c r="O334" s="59"/>
      <c r="P334" s="60"/>
      <c r="Q334" s="80"/>
      <c r="R334" s="62"/>
      <c r="S334" s="63"/>
      <c r="T334" s="63" t="str">
        <f aca="false">IF(ISBLANK($C334),"",IF(G334=Constants!$B$2, TRUE(), IF(G334=Constants!$B$3, FALSE(), TRUE())))</f>
        <v/>
      </c>
      <c r="U334" s="63" t="str">
        <f aca="false">IF(ISBLANK($C334),"",IF(H334=Constants!$B$2, TRUE(), IF(H334=Constants!$B$3, FALSE(), TRUE())))</f>
        <v/>
      </c>
      <c r="V334" s="63" t="str">
        <f aca="false">IF(ISBLANK($C334),"",IF(I334=Constants!$B$2, TRUE(), IF(I334=Constants!$B$3, FALSE(), TRUE())))</f>
        <v/>
      </c>
      <c r="W334" s="63" t="str">
        <f aca="false">IF(ISBLANK($C334),"",IF(J334=Constants!$B$2, TRUE(), IF(J334=Constants!$B$3, FALSE(), TRUE())))</f>
        <v/>
      </c>
      <c r="X334" s="63" t="str">
        <f aca="false">IF(ISBLANK($C334),"",IF(K334=Constants!$B$2, TRUE(), IF(K334=Constants!$B$3, FALSE(), TRUE())))</f>
        <v/>
      </c>
      <c r="Y334" s="65" t="str">
        <f aca="false">IF(ISBLANK($C334),"",IF(ISNUMBER(L334), L334, ""))</f>
        <v/>
      </c>
      <c r="Z334" s="65" t="str">
        <f aca="false">IF(ISBLANK($C334),"",IF(ISNUMBER(M334), M334, ""))</f>
        <v/>
      </c>
      <c r="AA334" s="65" t="str">
        <f aca="false">IF(ISBLANK($C334),"",IF(ISNUMBER(N334), N334, ""))</f>
        <v/>
      </c>
      <c r="AB334" s="66" t="str">
        <f aca="false">IF(ISBLANK($C334),"",IF(ISNUMBER(O334), O334, ""))</f>
        <v/>
      </c>
      <c r="AC334" s="66" t="str">
        <f aca="false">IF(ISBLANK($C334),"",IF(ISNUMBER(P334), P334, Constants!$B$13))</f>
        <v/>
      </c>
      <c r="AD334" s="63" t="str">
        <f aca="false">IF(ISBLANK($C334),"",IF(Q334=Constants!$B$2, TRUE(), IF(Q334=Constants!$B$3, FALSE(), FALSE())))</f>
        <v/>
      </c>
      <c r="AE334" s="63" t="str">
        <f aca="false">IF(ISBLANK(C334), "", IF(AD334, Constants!$B$4,IF(COUNTA(G334:O334)=0, Constants!$B$5, Constants!$B$7)))</f>
        <v/>
      </c>
      <c r="AF334" s="63" t="str">
        <f aca="false">IF(ISBLANK($C334), "",IF($AE334=Constants!$B$7,1,$AE334))</f>
        <v/>
      </c>
      <c r="AG334" s="63" t="str">
        <f aca="false">IF($AE334=Constants!$B$7,IF(V334, 1, Constants!$B$11) * IF(X334, 1, Constants!$B$12),"")</f>
        <v/>
      </c>
      <c r="AH334" s="63" t="str">
        <f aca="false">IF(AND($AE334=Constants!$B$7, T334, U334) ,MAX(0, $AA334-$Y334),"")</f>
        <v/>
      </c>
      <c r="AI334" s="63" t="str">
        <f aca="false">IF(ISERROR(AH334),$AI$6,"")</f>
        <v/>
      </c>
      <c r="AJ334" s="63" t="str">
        <f aca="false">IF($AE334=Constants!$B$7,IF(AND(T334,U334,W334),IF($AH$6=0,Constants!$B$9,Constants!$B$9*AH334/$AH$6), 0),"")</f>
        <v/>
      </c>
      <c r="AK334" s="63" t="str">
        <f aca="false">IF(AJ334&lt;&gt;"", AJ334*AG334,"")</f>
        <v/>
      </c>
      <c r="AL334" s="63" t="str">
        <f aca="false">IF(AND($AE334=Constants!$B$7, T334, U334) ,IF($Z334="", "", MAX(0,1-ABS($AA334-$Z334)/$AA334)),"")</f>
        <v/>
      </c>
      <c r="AM334" s="63" t="str">
        <f aca="false">IF(AND(NOT(ISERROR(AH334)),ISERROR(AL334)),$AM$6,"")</f>
        <v/>
      </c>
      <c r="AN334" s="63" t="str">
        <f aca="false">IF($AE334=Constants!$B$7 ,IF(AND(T334,U334,W334,ISNUMBER(Z334)),IF($AL$6=0,Constants!$B$10,Constants!$B$10*AL334/$AL$6), 0),"")</f>
        <v/>
      </c>
      <c r="AO334" s="63" t="str">
        <f aca="false">IF(AN334&lt;&gt;"", AN334*AG334,"")</f>
        <v/>
      </c>
      <c r="AP334" s="63" t="str">
        <f aca="false">IF($AE334=Constants!$B$7,IF($AP$6=0,Constants!$B$8,Constants!$B$8*AB334/$AP$6),"")</f>
        <v/>
      </c>
      <c r="AQ334" s="63" t="str">
        <f aca="false">IF($AE334&lt;&gt;Constants!$B$7,$AE334,AK334+AO334+AP334)</f>
        <v/>
      </c>
      <c r="AR334" s="63" t="str">
        <f aca="false">IF(ISBLANK($C334),"",IF($AE334=Constants!$B$7,RANK(AQ334,$AQ$8:$AQ$507),$AE334))</f>
        <v/>
      </c>
      <c r="AS334" s="63" t="str">
        <f aca="false">IF(ISBLANK($C334), "",AK334)</f>
        <v/>
      </c>
      <c r="AT334" s="63" t="str">
        <f aca="false">IF(ISBLANK($C334),"",IF($AE334=Constants!$B$7,RANK(AS334,AS$8:AS$507),$AE334))</f>
        <v/>
      </c>
      <c r="AU334" s="63" t="str">
        <f aca="false">IF(ISBLANK($C334), "",AP334)</f>
        <v/>
      </c>
      <c r="AV334" s="63" t="str">
        <f aca="false">IF(ISBLANK($C334),"",IF($AE334=Constants!$B$7,RANK(AU334,AU$8:AU$507),$AE334))</f>
        <v/>
      </c>
      <c r="AW334" s="63" t="str">
        <f aca="false">IF(ISBLANK($C334), "",AC334)</f>
        <v/>
      </c>
      <c r="AX334" s="63" t="str">
        <f aca="false">IF(ISBLANK($C334),"",
IF($AE334=Constants!$B$7,
  COUNTIFS($AR$8:$AR$507,"&lt;"&amp;$AR334)
  + COUNTIFS($AR$8:$AR$507,$AR334,$AT$8:$AT$507,"&lt;"&amp;$AT334)
  + COUNTIFS($AR$8:$AR$507,$AR334,$AT$8:$AT$507,$AT334,$AV$8:$AV$507,"&lt;"&amp;$AV334)
  + COUNTIFS($AR$8:$AR$507,$AR334,$AT$8:$AT$507,$AT334,$AV$8:$AV$507,$AV334,$AW$8:$AW$507,"&lt;"&amp;$AW334)
  + 1,
$AE334))</f>
        <v/>
      </c>
      <c r="AY334" s="63" t="str">
        <f aca="false">IF(ISBLANK(C334),"",IF($AE334=Constants!$B$7, AR334-AX334,$AE334))</f>
        <v/>
      </c>
      <c r="AZ334" s="67"/>
      <c r="BA334" s="81" t="str">
        <f aca="false">IF(ISBLANK($C334),"",TRIM(AI334&amp;" "&amp;AM334))</f>
        <v/>
      </c>
      <c r="BB334" s="69" t="str">
        <f aca="false">IF(ISBLANK($C334),"",IF($AE334&lt;&gt;Constants!$B$7, $AE334 ,AQ334))</f>
        <v/>
      </c>
      <c r="BC334" s="70" t="str">
        <f aca="false">IF(ISBLANK($C334),"",IF($AE334&lt;&gt;Constants!$B$7, $AE334 ,AF334))</f>
        <v/>
      </c>
      <c r="BD334" s="71" t="str">
        <f aca="false">IF(ISBLANK(C334),"",AY334)</f>
        <v/>
      </c>
      <c r="BE334" s="71" t="str">
        <f aca="false">IF(ISBLANK(C334),"",AX334)</f>
        <v/>
      </c>
      <c r="BF334" s="72" t="str">
        <f aca="false">IF(ISBLANK(C334),"",IFERROR(_xlfn.SWITCH(BE334, Constants!$B$4, COUNTA($C$8:$C833)+2, Constants!$B$5, COUNTA($C$8:$C833)+1, Constants!$B$6, COUNTA($C$8:$C833)),BE334))</f>
        <v/>
      </c>
      <c r="BG334" s="5"/>
      <c r="BH334" s="73" t="n">
        <f aca="false">IF(OR(ISNUMBER(BE334),BE334="DQ",BE334="P",BE334="NS"),
    1,
    0
)</f>
        <v>0</v>
      </c>
      <c r="BI334" s="73" t="n">
        <v>327</v>
      </c>
      <c r="BJ334" s="73" t="str">
        <f aca="false">IF(ISBLANK($C334),
    "",
   BF334+ROW($B334)/1000
)</f>
        <v/>
      </c>
      <c r="BK334" s="73" t="str">
        <f aca="false">IF(ISNUMBER(BJ334), RANK(BJ334,BJ$8:BJ$507,1), "")</f>
        <v/>
      </c>
      <c r="BL334" s="73" t="str">
        <f aca="false">IF(ISBLANK($C334),
    "",
    $B334
)</f>
        <v/>
      </c>
      <c r="BM334" s="73" t="str">
        <f aca="false">IF(ISBLANK($C334),
    "",
    $C334
)</f>
        <v/>
      </c>
      <c r="BN334" s="73" t="str">
        <f aca="false">IF(ISBLANK($C334),
    "",
    $D334
)</f>
        <v/>
      </c>
      <c r="BO334" s="74" t="str">
        <f aca="false">BC334</f>
        <v/>
      </c>
      <c r="BP334" s="75" t="str">
        <f aca="false">BB334</f>
        <v/>
      </c>
      <c r="BQ334" s="73" t="str">
        <f aca="false">IF(ISBLANK($C334),
    "",
    BE334
)</f>
        <v/>
      </c>
      <c r="BR334" s="76" t="str">
        <f aca="false">IF(BI334&gt;BH$7,
    "",
    VLOOKUP(BI334,BK$8:BQ833,7,FALSE())
)</f>
        <v/>
      </c>
      <c r="BS334" s="77" t="str">
        <f aca="false">IF(BI334&gt;BH$7,
    "",
    VLOOKUP(BI334,BK$8:BQ833,2,FALSE())
)</f>
        <v/>
      </c>
      <c r="BT334" s="77" t="str">
        <f aca="false">IF(BI334&gt;BH$7,
    "",
    VLOOKUP(BI334,BK$8:BQ833,3,FALSE())
)</f>
        <v/>
      </c>
      <c r="BU334" s="77" t="str">
        <f aca="false">IF(BI334&gt;BH$7,
    "",
    VLOOKUP(BI334,BK$8:BQ833,4,FALSE())
)</f>
        <v/>
      </c>
      <c r="BV334" s="77" t="str">
        <f aca="false">IF(BI334&gt;BH$7,
    "",
    VLOOKUP(BI334,BK$8:BQ833,5,FALSE())
)</f>
        <v/>
      </c>
      <c r="BW334" s="78" t="str">
        <f aca="false">IF(BI334&gt;BH$7,
    "",
    VLOOKUP(BI334,BK$8:BQ833,6,FALSE())
)</f>
        <v/>
      </c>
      <c r="BX334" s="50"/>
    </row>
    <row r="335" customFormat="false" ht="15.75" hidden="false" customHeight="false" outlineLevel="0" collapsed="false">
      <c r="A335" s="5"/>
      <c r="B335" s="122"/>
      <c r="C335" s="123"/>
      <c r="D335" s="112"/>
      <c r="E335" s="116"/>
      <c r="F335" s="116"/>
      <c r="G335" s="88"/>
      <c r="H335" s="89"/>
      <c r="I335" s="125"/>
      <c r="J335" s="125"/>
      <c r="K335" s="125"/>
      <c r="L335" s="91"/>
      <c r="M335" s="91"/>
      <c r="N335" s="91"/>
      <c r="O335" s="92"/>
      <c r="P335" s="93"/>
      <c r="Q335" s="125"/>
      <c r="R335" s="95"/>
      <c r="S335" s="96"/>
      <c r="T335" s="96" t="str">
        <f aca="false">IF(ISBLANK($C335),"",IF(G335=Constants!$B$2, TRUE(), IF(G335=Constants!$B$3, FALSE(), TRUE())))</f>
        <v/>
      </c>
      <c r="U335" s="96" t="str">
        <f aca="false">IF(ISBLANK($C335),"",IF(H335=Constants!$B$2, TRUE(), IF(H335=Constants!$B$3, FALSE(), TRUE())))</f>
        <v/>
      </c>
      <c r="V335" s="96" t="str">
        <f aca="false">IF(ISBLANK($C335),"",IF(I335=Constants!$B$2, TRUE(), IF(I335=Constants!$B$3, FALSE(), TRUE())))</f>
        <v/>
      </c>
      <c r="W335" s="96" t="str">
        <f aca="false">IF(ISBLANK($C335),"",IF(J335=Constants!$B$2, TRUE(), IF(J335=Constants!$B$3, FALSE(), TRUE())))</f>
        <v/>
      </c>
      <c r="X335" s="97" t="str">
        <f aca="false">IF(ISBLANK($C335),"",IF(K335=Constants!$B$2, TRUE(), IF(K335=Constants!$B$3, FALSE(), TRUE())))</f>
        <v/>
      </c>
      <c r="Y335" s="98" t="str">
        <f aca="false">IF(ISBLANK($C335),"",IF(ISNUMBER(L335), L335, ""))</f>
        <v/>
      </c>
      <c r="Z335" s="98" t="str">
        <f aca="false">IF(ISBLANK($C335),"",IF(ISNUMBER(M335), M335, ""))</f>
        <v/>
      </c>
      <c r="AA335" s="98" t="str">
        <f aca="false">IF(ISBLANK($C335),"",IF(ISNUMBER(N335), N335, ""))</f>
        <v/>
      </c>
      <c r="AB335" s="99" t="str">
        <f aca="false">IF(ISBLANK($C335),"",IF(ISNUMBER(O335), O335, ""))</f>
        <v/>
      </c>
      <c r="AC335" s="99" t="str">
        <f aca="false">IF(ISBLANK($C335),"",IF(ISNUMBER(P335), P335, Constants!$B$13))</f>
        <v/>
      </c>
      <c r="AD335" s="96" t="str">
        <f aca="false">IF(ISBLANK($C335),"",IF(Q335=Constants!$B$2, TRUE(), IF(Q335=Constants!$B$3, FALSE(), FALSE())))</f>
        <v/>
      </c>
      <c r="AE335" s="96" t="str">
        <f aca="false">IF(ISBLANK(C335), "", IF(AD335, Constants!$B$4,IF(COUNTA(G335:O335)=0, Constants!$B$5, Constants!$B$7)))</f>
        <v/>
      </c>
      <c r="AF335" s="96" t="str">
        <f aca="false">IF(ISBLANK($C335), "",IF($AE335=Constants!$B$7,1,$AE335))</f>
        <v/>
      </c>
      <c r="AG335" s="96" t="str">
        <f aca="false">IF($AE335=Constants!$B$7,IF(V335, 1, Constants!$B$11) * IF(X335, 1, Constants!$B$12),"")</f>
        <v/>
      </c>
      <c r="AH335" s="96" t="str">
        <f aca="false">IF(AND($AE335=Constants!$B$7, T335, U335) ,MAX(0, $AA335-$Y335),"")</f>
        <v/>
      </c>
      <c r="AI335" s="96" t="str">
        <f aca="false">IF(ISERROR(AH335),$AI$6,"")</f>
        <v/>
      </c>
      <c r="AJ335" s="96" t="str">
        <f aca="false">IF($AE335=Constants!$B$7,IF(AND(T335,U335,W335),IF($AH$6=0,Constants!$B$9,Constants!$B$9*AH335/$AH$6), 0),"")</f>
        <v/>
      </c>
      <c r="AK335" s="96" t="str">
        <f aca="false">IF(AJ335&lt;&gt;"", AJ335*AG335,"")</f>
        <v/>
      </c>
      <c r="AL335" s="96" t="str">
        <f aca="false">IF(AND($AE335=Constants!$B$7, T335, U335) ,IF($Z335="", "", MAX(0,1-ABS($AA335-$Z335)/$AA335)),"")</f>
        <v/>
      </c>
      <c r="AM335" s="96" t="str">
        <f aca="false">IF(AND(NOT(ISERROR(AH335)),ISERROR(AL335)),$AM$6,"")</f>
        <v/>
      </c>
      <c r="AN335" s="96" t="str">
        <f aca="false">IF($AE335=Constants!$B$7 ,IF(AND(T335,U335,W335,ISNUMBER(Z335)),IF($AL$6=0,Constants!$B$10,Constants!$B$10*AL335/$AL$6), 0),"")</f>
        <v/>
      </c>
      <c r="AO335" s="96" t="str">
        <f aca="false">IF(AN335&lt;&gt;"", AN335*AG335,"")</f>
        <v/>
      </c>
      <c r="AP335" s="96" t="str">
        <f aca="false">IF($AE335=Constants!$B$7,IF($AP$6=0,Constants!$B$8,Constants!$B$8*AB335/$AP$6),"")</f>
        <v/>
      </c>
      <c r="AQ335" s="96" t="str">
        <f aca="false">IF($AE335&lt;&gt;Constants!$B$7,$AE335,AK335+AO335+AP335)</f>
        <v/>
      </c>
      <c r="AR335" s="96" t="str">
        <f aca="false">IF(ISBLANK($C335),"",IF($AE335=Constants!$B$7,RANK(AQ335,$AQ$8:$AQ$507),$AE335))</f>
        <v/>
      </c>
      <c r="AS335" s="96" t="str">
        <f aca="false">IF(ISBLANK($C335), "",AK335)</f>
        <v/>
      </c>
      <c r="AT335" s="96" t="str">
        <f aca="false">IF(ISBLANK($C335),"",IF($AE335=Constants!$B$7,RANK(AS335,AS$8:AS$507),$AE335))</f>
        <v/>
      </c>
      <c r="AU335" s="96" t="str">
        <f aca="false">IF(ISBLANK($C335), "",AP335)</f>
        <v/>
      </c>
      <c r="AV335" s="96" t="str">
        <f aca="false">IF(ISBLANK($C335),"",IF($AE335=Constants!$B$7,RANK(AU335,AU$8:AU$507),$AE335))</f>
        <v/>
      </c>
      <c r="AW335" s="96" t="str">
        <f aca="false">IF(ISBLANK($C335), "",AC335)</f>
        <v/>
      </c>
      <c r="AX335" s="96" t="str">
        <f aca="false">IF(ISBLANK($C335),"",
IF($AE335=Constants!$B$7,
  COUNTIFS($AR$8:$AR$507,"&lt;"&amp;$AR335)
  + COUNTIFS($AR$8:$AR$507,$AR335,$AT$8:$AT$507,"&lt;"&amp;$AT335)
  + COUNTIFS($AR$8:$AR$507,$AR335,$AT$8:$AT$507,$AT335,$AV$8:$AV$507,"&lt;"&amp;$AV335)
  + COUNTIFS($AR$8:$AR$507,$AR335,$AT$8:$AT$507,$AT335,$AV$8:$AV$507,$AV335,$AW$8:$AW$507,"&lt;"&amp;$AW335)
  + 1,
$AE335))</f>
        <v/>
      </c>
      <c r="AY335" s="96" t="str">
        <f aca="false">IF(ISBLANK(C335),"",IF($AE335=Constants!$B$7, AR335-AX335,$AE335))</f>
        <v/>
      </c>
      <c r="AZ335" s="100"/>
      <c r="BA335" s="101" t="str">
        <f aca="false">IF(ISBLANK($C335),"",TRIM(AI335&amp;" "&amp;AM335))</f>
        <v/>
      </c>
      <c r="BB335" s="102" t="str">
        <f aca="false">IF(ISBLANK($C335),"",IF($AE335&lt;&gt;Constants!$B$7, $AE335 ,AQ335))</f>
        <v/>
      </c>
      <c r="BC335" s="103" t="str">
        <f aca="false">IF(ISBLANK($C335),"",IF($AE335&lt;&gt;Constants!$B$7, $AE335 ,AF335))</f>
        <v/>
      </c>
      <c r="BD335" s="104" t="str">
        <f aca="false">IF(ISBLANK(C335),"",AY335)</f>
        <v/>
      </c>
      <c r="BE335" s="104" t="str">
        <f aca="false">IF(ISBLANK(C335),"",AX335)</f>
        <v/>
      </c>
      <c r="BF335" s="105" t="str">
        <f aca="false">IF(ISBLANK(C335),"",IFERROR(_xlfn.SWITCH(BE335, Constants!$B$4, COUNTA($C$8:$C834)+2, Constants!$B$5, COUNTA($C$8:$C834)+1, Constants!$B$6, COUNTA($C$8:$C834)),BE335))</f>
        <v/>
      </c>
      <c r="BG335" s="5"/>
      <c r="BH335" s="106" t="n">
        <f aca="false">IF(OR(ISNUMBER(BE335),BE335="DQ",BE335="P",BE335="NS"),
    1,
    0
)</f>
        <v>0</v>
      </c>
      <c r="BI335" s="106" t="n">
        <v>328</v>
      </c>
      <c r="BJ335" s="106" t="str">
        <f aca="false">IF(ISBLANK($C335),
    "",
   BF335+ROW($B335)/1000
)</f>
        <v/>
      </c>
      <c r="BK335" s="106" t="str">
        <f aca="false">IF(ISNUMBER(BJ335), RANK(BJ335,BJ$8:BJ$507,1), "")</f>
        <v/>
      </c>
      <c r="BL335" s="106" t="str">
        <f aca="false">IF(ISBLANK($C335),
    "",
    $B335
)</f>
        <v/>
      </c>
      <c r="BM335" s="106" t="str">
        <f aca="false">IF(ISBLANK($C335),
    "",
    $C335
)</f>
        <v/>
      </c>
      <c r="BN335" s="106" t="str">
        <f aca="false">IF(ISBLANK($C335),
    "",
    $D335
)</f>
        <v/>
      </c>
      <c r="BO335" s="107" t="str">
        <f aca="false">BC335</f>
        <v/>
      </c>
      <c r="BP335" s="108" t="str">
        <f aca="false">BB335</f>
        <v/>
      </c>
      <c r="BQ335" s="106" t="str">
        <f aca="false">IF(ISBLANK($C335),
    "",
    BE335
)</f>
        <v/>
      </c>
      <c r="BR335" s="109" t="str">
        <f aca="false">IF(BI335&gt;BH$7,
    "",
    VLOOKUP(BI335,BK$8:BQ834,7,FALSE())
)</f>
        <v/>
      </c>
      <c r="BS335" s="110" t="str">
        <f aca="false">IF(BI335&gt;BH$7,
    "",
    VLOOKUP(BI335,BK$8:BQ834,2,FALSE())
)</f>
        <v/>
      </c>
      <c r="BT335" s="110" t="str">
        <f aca="false">IF(BI335&gt;BH$7,
    "",
    VLOOKUP(BI335,BK$8:BQ834,3,FALSE())
)</f>
        <v/>
      </c>
      <c r="BU335" s="110" t="str">
        <f aca="false">IF(BI335&gt;BH$7,
    "",
    VLOOKUP(BI335,BK$8:BQ834,4,FALSE())
)</f>
        <v/>
      </c>
      <c r="BV335" s="110" t="str">
        <f aca="false">IF(BI335&gt;BH$7,
    "",
    VLOOKUP(BI335,BK$8:BQ834,5,FALSE())
)</f>
        <v/>
      </c>
      <c r="BW335" s="111" t="str">
        <f aca="false">IF(BI335&gt;BH$7,
    "",
    VLOOKUP(BI335,BK$8:BQ834,6,FALSE())
)</f>
        <v/>
      </c>
      <c r="BX335" s="50"/>
    </row>
    <row r="336" customFormat="false" ht="15.75" hidden="false" customHeight="false" outlineLevel="0" collapsed="false">
      <c r="A336" s="5"/>
      <c r="B336" s="122"/>
      <c r="C336" s="123"/>
      <c r="D336" s="112"/>
      <c r="E336" s="116"/>
      <c r="F336" s="116"/>
      <c r="G336" s="88"/>
      <c r="H336" s="89"/>
      <c r="I336" s="125"/>
      <c r="J336" s="125"/>
      <c r="K336" s="125"/>
      <c r="L336" s="91"/>
      <c r="M336" s="91"/>
      <c r="N336" s="91"/>
      <c r="O336" s="92"/>
      <c r="P336" s="93"/>
      <c r="Q336" s="125"/>
      <c r="R336" s="95"/>
      <c r="S336" s="96"/>
      <c r="T336" s="96" t="str">
        <f aca="false">IF(ISBLANK($C336),"",IF(G336=Constants!$B$2, TRUE(), IF(G336=Constants!$B$3, FALSE(), TRUE())))</f>
        <v/>
      </c>
      <c r="U336" s="96" t="str">
        <f aca="false">IF(ISBLANK($C336),"",IF(H336=Constants!$B$2, TRUE(), IF(H336=Constants!$B$3, FALSE(), TRUE())))</f>
        <v/>
      </c>
      <c r="V336" s="96" t="str">
        <f aca="false">IF(ISBLANK($C336),"",IF(I336=Constants!$B$2, TRUE(), IF(I336=Constants!$B$3, FALSE(), TRUE())))</f>
        <v/>
      </c>
      <c r="W336" s="96" t="str">
        <f aca="false">IF(ISBLANK($C336),"",IF(J336=Constants!$B$2, TRUE(), IF(J336=Constants!$B$3, FALSE(), TRUE())))</f>
        <v/>
      </c>
      <c r="X336" s="97" t="str">
        <f aca="false">IF(ISBLANK($C336),"",IF(K336=Constants!$B$2, TRUE(), IF(K336=Constants!$B$3, FALSE(), TRUE())))</f>
        <v/>
      </c>
      <c r="Y336" s="98" t="str">
        <f aca="false">IF(ISBLANK($C336),"",IF(ISNUMBER(L336), L336, ""))</f>
        <v/>
      </c>
      <c r="Z336" s="98" t="str">
        <f aca="false">IF(ISBLANK($C336),"",IF(ISNUMBER(M336), M336, ""))</f>
        <v/>
      </c>
      <c r="AA336" s="98" t="str">
        <f aca="false">IF(ISBLANK($C336),"",IF(ISNUMBER(N336), N336, ""))</f>
        <v/>
      </c>
      <c r="AB336" s="99" t="str">
        <f aca="false">IF(ISBLANK($C336),"",IF(ISNUMBER(O336), O336, ""))</f>
        <v/>
      </c>
      <c r="AC336" s="99" t="str">
        <f aca="false">IF(ISBLANK($C336),"",IF(ISNUMBER(P336), P336, Constants!$B$13))</f>
        <v/>
      </c>
      <c r="AD336" s="96" t="str">
        <f aca="false">IF(ISBLANK($C336),"",IF(Q336=Constants!$B$2, TRUE(), IF(Q336=Constants!$B$3, FALSE(), FALSE())))</f>
        <v/>
      </c>
      <c r="AE336" s="96" t="str">
        <f aca="false">IF(ISBLANK(C336), "", IF(AD336, Constants!$B$4,IF(COUNTA(G336:O336)=0, Constants!$B$5, Constants!$B$7)))</f>
        <v/>
      </c>
      <c r="AF336" s="96" t="str">
        <f aca="false">IF(ISBLANK($C336), "",IF($AE336=Constants!$B$7,1,$AE336))</f>
        <v/>
      </c>
      <c r="AG336" s="96" t="str">
        <f aca="false">IF($AE336=Constants!$B$7,IF(V336, 1, Constants!$B$11) * IF(X336, 1, Constants!$B$12),"")</f>
        <v/>
      </c>
      <c r="AH336" s="96" t="str">
        <f aca="false">IF(AND($AE336=Constants!$B$7, T336, U336) ,MAX(0, $AA336-$Y336),"")</f>
        <v/>
      </c>
      <c r="AI336" s="96" t="str">
        <f aca="false">IF(ISERROR(AH336),$AI$6,"")</f>
        <v/>
      </c>
      <c r="AJ336" s="96" t="str">
        <f aca="false">IF($AE336=Constants!$B$7,IF(AND(T336,U336,W336),IF($AH$6=0,Constants!$B$9,Constants!$B$9*AH336/$AH$6), 0),"")</f>
        <v/>
      </c>
      <c r="AK336" s="96" t="str">
        <f aca="false">IF(AJ336&lt;&gt;"", AJ336*AG336,"")</f>
        <v/>
      </c>
      <c r="AL336" s="96" t="str">
        <f aca="false">IF(AND($AE336=Constants!$B$7, T336, U336) ,IF($Z336="", "", MAX(0,1-ABS($AA336-$Z336)/$AA336)),"")</f>
        <v/>
      </c>
      <c r="AM336" s="96" t="str">
        <f aca="false">IF(AND(NOT(ISERROR(AH336)),ISERROR(AL336)),$AM$6,"")</f>
        <v/>
      </c>
      <c r="AN336" s="96" t="str">
        <f aca="false">IF($AE336=Constants!$B$7 ,IF(AND(T336,U336,W336,ISNUMBER(Z336)),IF($AL$6=0,Constants!$B$10,Constants!$B$10*AL336/$AL$6), 0),"")</f>
        <v/>
      </c>
      <c r="AO336" s="96" t="str">
        <f aca="false">IF(AN336&lt;&gt;"", AN336*AG336,"")</f>
        <v/>
      </c>
      <c r="AP336" s="96" t="str">
        <f aca="false">IF($AE336=Constants!$B$7,IF($AP$6=0,Constants!$B$8,Constants!$B$8*AB336/$AP$6),"")</f>
        <v/>
      </c>
      <c r="AQ336" s="96" t="str">
        <f aca="false">IF($AE336&lt;&gt;Constants!$B$7,$AE336,AK336+AO336+AP336)</f>
        <v/>
      </c>
      <c r="AR336" s="96" t="str">
        <f aca="false">IF(ISBLANK($C336),"",IF($AE336=Constants!$B$7,RANK(AQ336,$AQ$8:$AQ$507),$AE336))</f>
        <v/>
      </c>
      <c r="AS336" s="96" t="str">
        <f aca="false">IF(ISBLANK($C336), "",AK336)</f>
        <v/>
      </c>
      <c r="AT336" s="96" t="str">
        <f aca="false">IF(ISBLANK($C336),"",IF($AE336=Constants!$B$7,RANK(AS336,AS$8:AS$507),$AE336))</f>
        <v/>
      </c>
      <c r="AU336" s="96" t="str">
        <f aca="false">IF(ISBLANK($C336), "",AP336)</f>
        <v/>
      </c>
      <c r="AV336" s="96" t="str">
        <f aca="false">IF(ISBLANK($C336),"",IF($AE336=Constants!$B$7,RANK(AU336,AU$8:AU$507),$AE336))</f>
        <v/>
      </c>
      <c r="AW336" s="96" t="str">
        <f aca="false">IF(ISBLANK($C336), "",AC336)</f>
        <v/>
      </c>
      <c r="AX336" s="96" t="str">
        <f aca="false">IF(ISBLANK($C336),"",
IF($AE336=Constants!$B$7,
  COUNTIFS($AR$8:$AR$507,"&lt;"&amp;$AR336)
  + COUNTIFS($AR$8:$AR$507,$AR336,$AT$8:$AT$507,"&lt;"&amp;$AT336)
  + COUNTIFS($AR$8:$AR$507,$AR336,$AT$8:$AT$507,$AT336,$AV$8:$AV$507,"&lt;"&amp;$AV336)
  + COUNTIFS($AR$8:$AR$507,$AR336,$AT$8:$AT$507,$AT336,$AV$8:$AV$507,$AV336,$AW$8:$AW$507,"&lt;"&amp;$AW336)
  + 1,
$AE336))</f>
        <v/>
      </c>
      <c r="AY336" s="96" t="str">
        <f aca="false">IF(ISBLANK(C336),"",IF($AE336=Constants!$B$7, AR336-AX336,$AE336))</f>
        <v/>
      </c>
      <c r="AZ336" s="100"/>
      <c r="BA336" s="101" t="str">
        <f aca="false">IF(ISBLANK($C336),"",TRIM(AI336&amp;" "&amp;AM336))</f>
        <v/>
      </c>
      <c r="BB336" s="102" t="str">
        <f aca="false">IF(ISBLANK($C336),"",IF($AE336&lt;&gt;Constants!$B$7, $AE336 ,AQ336))</f>
        <v/>
      </c>
      <c r="BC336" s="103" t="str">
        <f aca="false">IF(ISBLANK($C336),"",IF($AE336&lt;&gt;Constants!$B$7, $AE336 ,AF336))</f>
        <v/>
      </c>
      <c r="BD336" s="104" t="str">
        <f aca="false">IF(ISBLANK(C336),"",AY336)</f>
        <v/>
      </c>
      <c r="BE336" s="104" t="str">
        <f aca="false">IF(ISBLANK(C336),"",AX336)</f>
        <v/>
      </c>
      <c r="BF336" s="105" t="str">
        <f aca="false">IF(ISBLANK(C336),"",IFERROR(_xlfn.SWITCH(BE336, Constants!$B$4, COUNTA($C$8:$C835)+2, Constants!$B$5, COUNTA($C$8:$C835)+1, Constants!$B$6, COUNTA($C$8:$C835)),BE336))</f>
        <v/>
      </c>
      <c r="BG336" s="5"/>
      <c r="BH336" s="106" t="n">
        <f aca="false">IF(OR(ISNUMBER(BE336),BE336="DQ",BE336="P",BE336="NS"),
    1,
    0
)</f>
        <v>0</v>
      </c>
      <c r="BI336" s="106" t="n">
        <v>329</v>
      </c>
      <c r="BJ336" s="106" t="str">
        <f aca="false">IF(ISBLANK($C336),
    "",
   BF336+ROW($B336)/1000
)</f>
        <v/>
      </c>
      <c r="BK336" s="106" t="str">
        <f aca="false">IF(ISNUMBER(BJ336), RANK(BJ336,BJ$8:BJ$507,1), "")</f>
        <v/>
      </c>
      <c r="BL336" s="106" t="str">
        <f aca="false">IF(ISBLANK($C336),
    "",
    $B336
)</f>
        <v/>
      </c>
      <c r="BM336" s="106" t="str">
        <f aca="false">IF(ISBLANK($C336),
    "",
    $C336
)</f>
        <v/>
      </c>
      <c r="BN336" s="106" t="str">
        <f aca="false">IF(ISBLANK($C336),
    "",
    $D336
)</f>
        <v/>
      </c>
      <c r="BO336" s="107" t="str">
        <f aca="false">BC336</f>
        <v/>
      </c>
      <c r="BP336" s="108" t="str">
        <f aca="false">BB336</f>
        <v/>
      </c>
      <c r="BQ336" s="106" t="str">
        <f aca="false">IF(ISBLANK($C336),
    "",
    BE336
)</f>
        <v/>
      </c>
      <c r="BR336" s="109" t="str">
        <f aca="false">IF(BI336&gt;BH$7,
    "",
    VLOOKUP(BI336,BK$8:BQ835,7,FALSE())
)</f>
        <v/>
      </c>
      <c r="BS336" s="110" t="str">
        <f aca="false">IF(BI336&gt;BH$7,
    "",
    VLOOKUP(BI336,BK$8:BQ835,2,FALSE())
)</f>
        <v/>
      </c>
      <c r="BT336" s="110" t="str">
        <f aca="false">IF(BI336&gt;BH$7,
    "",
    VLOOKUP(BI336,BK$8:BQ835,3,FALSE())
)</f>
        <v/>
      </c>
      <c r="BU336" s="110" t="str">
        <f aca="false">IF(BI336&gt;BH$7,
    "",
    VLOOKUP(BI336,BK$8:BQ835,4,FALSE())
)</f>
        <v/>
      </c>
      <c r="BV336" s="110" t="str">
        <f aca="false">IF(BI336&gt;BH$7,
    "",
    VLOOKUP(BI336,BK$8:BQ835,5,FALSE())
)</f>
        <v/>
      </c>
      <c r="BW336" s="111" t="str">
        <f aca="false">IF(BI336&gt;BH$7,
    "",
    VLOOKUP(BI336,BK$8:BQ835,6,FALSE())
)</f>
        <v/>
      </c>
      <c r="BX336" s="50"/>
    </row>
    <row r="337" customFormat="false" ht="15.75" hidden="false" customHeight="false" outlineLevel="0" collapsed="false">
      <c r="A337" s="5"/>
      <c r="B337" s="122"/>
      <c r="C337" s="123"/>
      <c r="D337" s="112"/>
      <c r="E337" s="116"/>
      <c r="F337" s="116"/>
      <c r="G337" s="88"/>
      <c r="H337" s="89"/>
      <c r="I337" s="125"/>
      <c r="J337" s="125"/>
      <c r="K337" s="125"/>
      <c r="L337" s="91"/>
      <c r="M337" s="91"/>
      <c r="N337" s="91"/>
      <c r="O337" s="92"/>
      <c r="P337" s="93"/>
      <c r="Q337" s="125"/>
      <c r="R337" s="95"/>
      <c r="S337" s="96"/>
      <c r="T337" s="96" t="str">
        <f aca="false">IF(ISBLANK($C337),"",IF(G337=Constants!$B$2, TRUE(), IF(G337=Constants!$B$3, FALSE(), TRUE())))</f>
        <v/>
      </c>
      <c r="U337" s="96" t="str">
        <f aca="false">IF(ISBLANK($C337),"",IF(H337=Constants!$B$2, TRUE(), IF(H337=Constants!$B$3, FALSE(), TRUE())))</f>
        <v/>
      </c>
      <c r="V337" s="96" t="str">
        <f aca="false">IF(ISBLANK($C337),"",IF(I337=Constants!$B$2, TRUE(), IF(I337=Constants!$B$3, FALSE(), TRUE())))</f>
        <v/>
      </c>
      <c r="W337" s="96" t="str">
        <f aca="false">IF(ISBLANK($C337),"",IF(J337=Constants!$B$2, TRUE(), IF(J337=Constants!$B$3, FALSE(), TRUE())))</f>
        <v/>
      </c>
      <c r="X337" s="97" t="str">
        <f aca="false">IF(ISBLANK($C337),"",IF(K337=Constants!$B$2, TRUE(), IF(K337=Constants!$B$3, FALSE(), TRUE())))</f>
        <v/>
      </c>
      <c r="Y337" s="98" t="str">
        <f aca="false">IF(ISBLANK($C337),"",IF(ISNUMBER(L337), L337, ""))</f>
        <v/>
      </c>
      <c r="Z337" s="98" t="str">
        <f aca="false">IF(ISBLANK($C337),"",IF(ISNUMBER(M337), M337, ""))</f>
        <v/>
      </c>
      <c r="AA337" s="98" t="str">
        <f aca="false">IF(ISBLANK($C337),"",IF(ISNUMBER(N337), N337, ""))</f>
        <v/>
      </c>
      <c r="AB337" s="99" t="str">
        <f aca="false">IF(ISBLANK($C337),"",IF(ISNUMBER(O337), O337, ""))</f>
        <v/>
      </c>
      <c r="AC337" s="99" t="str">
        <f aca="false">IF(ISBLANK($C337),"",IF(ISNUMBER(P337), P337, Constants!$B$13))</f>
        <v/>
      </c>
      <c r="AD337" s="96" t="str">
        <f aca="false">IF(ISBLANK($C337),"",IF(Q337=Constants!$B$2, TRUE(), IF(Q337=Constants!$B$3, FALSE(), FALSE())))</f>
        <v/>
      </c>
      <c r="AE337" s="96" t="str">
        <f aca="false">IF(ISBLANK(C337), "", IF(AD337, Constants!$B$4,IF(COUNTA(G337:O337)=0, Constants!$B$5, Constants!$B$7)))</f>
        <v/>
      </c>
      <c r="AF337" s="96" t="str">
        <f aca="false">IF(ISBLANK($C337), "",IF($AE337=Constants!$B$7,1,$AE337))</f>
        <v/>
      </c>
      <c r="AG337" s="96" t="str">
        <f aca="false">IF($AE337=Constants!$B$7,IF(V337, 1, Constants!$B$11) * IF(X337, 1, Constants!$B$12),"")</f>
        <v/>
      </c>
      <c r="AH337" s="96" t="str">
        <f aca="false">IF(AND($AE337=Constants!$B$7, T337, U337) ,MAX(0, $AA337-$Y337),"")</f>
        <v/>
      </c>
      <c r="AI337" s="96" t="str">
        <f aca="false">IF(ISERROR(AH337),$AI$6,"")</f>
        <v/>
      </c>
      <c r="AJ337" s="96" t="str">
        <f aca="false">IF($AE337=Constants!$B$7,IF(AND(T337,U337,W337),IF($AH$6=0,Constants!$B$9,Constants!$B$9*AH337/$AH$6), 0),"")</f>
        <v/>
      </c>
      <c r="AK337" s="96" t="str">
        <f aca="false">IF(AJ337&lt;&gt;"", AJ337*AG337,"")</f>
        <v/>
      </c>
      <c r="AL337" s="96" t="str">
        <f aca="false">IF(AND($AE337=Constants!$B$7, T337, U337) ,IF($Z337="", "", MAX(0,1-ABS($AA337-$Z337)/$AA337)),"")</f>
        <v/>
      </c>
      <c r="AM337" s="96" t="str">
        <f aca="false">IF(AND(NOT(ISERROR(AH337)),ISERROR(AL337)),$AM$6,"")</f>
        <v/>
      </c>
      <c r="AN337" s="96" t="str">
        <f aca="false">IF($AE337=Constants!$B$7 ,IF(AND(T337,U337,W337,ISNUMBER(Z337)),IF($AL$6=0,Constants!$B$10,Constants!$B$10*AL337/$AL$6), 0),"")</f>
        <v/>
      </c>
      <c r="AO337" s="96" t="str">
        <f aca="false">IF(AN337&lt;&gt;"", AN337*AG337,"")</f>
        <v/>
      </c>
      <c r="AP337" s="96" t="str">
        <f aca="false">IF($AE337=Constants!$B$7,IF($AP$6=0,Constants!$B$8,Constants!$B$8*AB337/$AP$6),"")</f>
        <v/>
      </c>
      <c r="AQ337" s="96" t="str">
        <f aca="false">IF($AE337&lt;&gt;Constants!$B$7,$AE337,AK337+AO337+AP337)</f>
        <v/>
      </c>
      <c r="AR337" s="96" t="str">
        <f aca="false">IF(ISBLANK($C337),"",IF($AE337=Constants!$B$7,RANK(AQ337,$AQ$8:$AQ$507),$AE337))</f>
        <v/>
      </c>
      <c r="AS337" s="96" t="str">
        <f aca="false">IF(ISBLANK($C337), "",AK337)</f>
        <v/>
      </c>
      <c r="AT337" s="96" t="str">
        <f aca="false">IF(ISBLANK($C337),"",IF($AE337=Constants!$B$7,RANK(AS337,AS$8:AS$507),$AE337))</f>
        <v/>
      </c>
      <c r="AU337" s="96" t="str">
        <f aca="false">IF(ISBLANK($C337), "",AP337)</f>
        <v/>
      </c>
      <c r="AV337" s="96" t="str">
        <f aca="false">IF(ISBLANK($C337),"",IF($AE337=Constants!$B$7,RANK(AU337,AU$8:AU$507),$AE337))</f>
        <v/>
      </c>
      <c r="AW337" s="96" t="str">
        <f aca="false">IF(ISBLANK($C337), "",AC337)</f>
        <v/>
      </c>
      <c r="AX337" s="96" t="str">
        <f aca="false">IF(ISBLANK($C337),"",
IF($AE337=Constants!$B$7,
  COUNTIFS($AR$8:$AR$507,"&lt;"&amp;$AR337)
  + COUNTIFS($AR$8:$AR$507,$AR337,$AT$8:$AT$507,"&lt;"&amp;$AT337)
  + COUNTIFS($AR$8:$AR$507,$AR337,$AT$8:$AT$507,$AT337,$AV$8:$AV$507,"&lt;"&amp;$AV337)
  + COUNTIFS($AR$8:$AR$507,$AR337,$AT$8:$AT$507,$AT337,$AV$8:$AV$507,$AV337,$AW$8:$AW$507,"&lt;"&amp;$AW337)
  + 1,
$AE337))</f>
        <v/>
      </c>
      <c r="AY337" s="96" t="str">
        <f aca="false">IF(ISBLANK(C337),"",IF($AE337=Constants!$B$7, AR337-AX337,$AE337))</f>
        <v/>
      </c>
      <c r="AZ337" s="100"/>
      <c r="BA337" s="101" t="str">
        <f aca="false">IF(ISBLANK($C337),"",TRIM(AI337&amp;" "&amp;AM337))</f>
        <v/>
      </c>
      <c r="BB337" s="102" t="str">
        <f aca="false">IF(ISBLANK($C337),"",IF($AE337&lt;&gt;Constants!$B$7, $AE337 ,AQ337))</f>
        <v/>
      </c>
      <c r="BC337" s="103" t="str">
        <f aca="false">IF(ISBLANK($C337),"",IF($AE337&lt;&gt;Constants!$B$7, $AE337 ,AF337))</f>
        <v/>
      </c>
      <c r="BD337" s="104" t="str">
        <f aca="false">IF(ISBLANK(C337),"",AY337)</f>
        <v/>
      </c>
      <c r="BE337" s="104" t="str">
        <f aca="false">IF(ISBLANK(C337),"",AX337)</f>
        <v/>
      </c>
      <c r="BF337" s="105" t="str">
        <f aca="false">IF(ISBLANK(C337),"",IFERROR(_xlfn.SWITCH(BE337, Constants!$B$4, COUNTA($C$8:$C836)+2, Constants!$B$5, COUNTA($C$8:$C836)+1, Constants!$B$6, COUNTA($C$8:$C836)),BE337))</f>
        <v/>
      </c>
      <c r="BG337" s="5"/>
      <c r="BH337" s="106" t="n">
        <f aca="false">IF(OR(ISNUMBER(BE337),BE337="DQ",BE337="P",BE337="NS"),
    1,
    0
)</f>
        <v>0</v>
      </c>
      <c r="BI337" s="106" t="n">
        <v>330</v>
      </c>
      <c r="BJ337" s="106" t="str">
        <f aca="false">IF(ISBLANK($C337),
    "",
   BF337+ROW($B337)/1000
)</f>
        <v/>
      </c>
      <c r="BK337" s="106" t="str">
        <f aca="false">IF(ISNUMBER(BJ337), RANK(BJ337,BJ$8:BJ$507,1), "")</f>
        <v/>
      </c>
      <c r="BL337" s="106" t="str">
        <f aca="false">IF(ISBLANK($C337),
    "",
    $B337
)</f>
        <v/>
      </c>
      <c r="BM337" s="106" t="str">
        <f aca="false">IF(ISBLANK($C337),
    "",
    $C337
)</f>
        <v/>
      </c>
      <c r="BN337" s="106" t="str">
        <f aca="false">IF(ISBLANK($C337),
    "",
    $D337
)</f>
        <v/>
      </c>
      <c r="BO337" s="107" t="str">
        <f aca="false">BC337</f>
        <v/>
      </c>
      <c r="BP337" s="108" t="str">
        <f aca="false">BB337</f>
        <v/>
      </c>
      <c r="BQ337" s="106" t="str">
        <f aca="false">IF(ISBLANK($C337),
    "",
    BE337
)</f>
        <v/>
      </c>
      <c r="BR337" s="109" t="str">
        <f aca="false">IF(BI337&gt;BH$7,
    "",
    VLOOKUP(BI337,BK$8:BQ836,7,FALSE())
)</f>
        <v/>
      </c>
      <c r="BS337" s="110" t="str">
        <f aca="false">IF(BI337&gt;BH$7,
    "",
    VLOOKUP(BI337,BK$8:BQ836,2,FALSE())
)</f>
        <v/>
      </c>
      <c r="BT337" s="110" t="str">
        <f aca="false">IF(BI337&gt;BH$7,
    "",
    VLOOKUP(BI337,BK$8:BQ836,3,FALSE())
)</f>
        <v/>
      </c>
      <c r="BU337" s="110" t="str">
        <f aca="false">IF(BI337&gt;BH$7,
    "",
    VLOOKUP(BI337,BK$8:BQ836,4,FALSE())
)</f>
        <v/>
      </c>
      <c r="BV337" s="110" t="str">
        <f aca="false">IF(BI337&gt;BH$7,
    "",
    VLOOKUP(BI337,BK$8:BQ836,5,FALSE())
)</f>
        <v/>
      </c>
      <c r="BW337" s="111" t="str">
        <f aca="false">IF(BI337&gt;BH$7,
    "",
    VLOOKUP(BI337,BK$8:BQ836,6,FALSE())
)</f>
        <v/>
      </c>
      <c r="BX337" s="50"/>
    </row>
    <row r="338" customFormat="false" ht="15.75" hidden="false" customHeight="false" outlineLevel="0" collapsed="false">
      <c r="A338" s="5"/>
      <c r="B338" s="126"/>
      <c r="C338" s="52"/>
      <c r="D338" s="53"/>
      <c r="E338" s="120"/>
      <c r="F338" s="120"/>
      <c r="G338" s="55"/>
      <c r="H338" s="56"/>
      <c r="I338" s="80"/>
      <c r="J338" s="80"/>
      <c r="K338" s="80"/>
      <c r="L338" s="58"/>
      <c r="M338" s="58"/>
      <c r="N338" s="58"/>
      <c r="O338" s="59"/>
      <c r="P338" s="60"/>
      <c r="Q338" s="80"/>
      <c r="R338" s="62"/>
      <c r="S338" s="63"/>
      <c r="T338" s="63" t="str">
        <f aca="false">IF(ISBLANK($C338),"",IF(G338=Constants!$B$2, TRUE(), IF(G338=Constants!$B$3, FALSE(), TRUE())))</f>
        <v/>
      </c>
      <c r="U338" s="63" t="str">
        <f aca="false">IF(ISBLANK($C338),"",IF(H338=Constants!$B$2, TRUE(), IF(H338=Constants!$B$3, FALSE(), TRUE())))</f>
        <v/>
      </c>
      <c r="V338" s="63" t="str">
        <f aca="false">IF(ISBLANK($C338),"",IF(I338=Constants!$B$2, TRUE(), IF(I338=Constants!$B$3, FALSE(), TRUE())))</f>
        <v/>
      </c>
      <c r="W338" s="63" t="str">
        <f aca="false">IF(ISBLANK($C338),"",IF(J338=Constants!$B$2, TRUE(), IF(J338=Constants!$B$3, FALSE(), TRUE())))</f>
        <v/>
      </c>
      <c r="X338" s="63" t="str">
        <f aca="false">IF(ISBLANK($C338),"",IF(K338=Constants!$B$2, TRUE(), IF(K338=Constants!$B$3, FALSE(), TRUE())))</f>
        <v/>
      </c>
      <c r="Y338" s="65" t="str">
        <f aca="false">IF(ISBLANK($C338),"",IF(ISNUMBER(L338), L338, ""))</f>
        <v/>
      </c>
      <c r="Z338" s="65" t="str">
        <f aca="false">IF(ISBLANK($C338),"",IF(ISNUMBER(M338), M338, ""))</f>
        <v/>
      </c>
      <c r="AA338" s="65" t="str">
        <f aca="false">IF(ISBLANK($C338),"",IF(ISNUMBER(N338), N338, ""))</f>
        <v/>
      </c>
      <c r="AB338" s="66" t="str">
        <f aca="false">IF(ISBLANK($C338),"",IF(ISNUMBER(O338), O338, ""))</f>
        <v/>
      </c>
      <c r="AC338" s="66" t="str">
        <f aca="false">IF(ISBLANK($C338),"",IF(ISNUMBER(P338), P338, Constants!$B$13))</f>
        <v/>
      </c>
      <c r="AD338" s="63" t="str">
        <f aca="false">IF(ISBLANK($C338),"",IF(Q338=Constants!$B$2, TRUE(), IF(Q338=Constants!$B$3, FALSE(), FALSE())))</f>
        <v/>
      </c>
      <c r="AE338" s="63" t="str">
        <f aca="false">IF(ISBLANK(C338), "", IF(AD338, Constants!$B$4,IF(COUNTA(G338:O338)=0, Constants!$B$5, Constants!$B$7)))</f>
        <v/>
      </c>
      <c r="AF338" s="63" t="str">
        <f aca="false">IF(ISBLANK($C338), "",IF($AE338=Constants!$B$7,1,$AE338))</f>
        <v/>
      </c>
      <c r="AG338" s="63" t="str">
        <f aca="false">IF($AE338=Constants!$B$7,IF(V338, 1, Constants!$B$11) * IF(X338, 1, Constants!$B$12),"")</f>
        <v/>
      </c>
      <c r="AH338" s="63" t="str">
        <f aca="false">IF(AND($AE338=Constants!$B$7, T338, U338) ,MAX(0, $AA338-$Y338),"")</f>
        <v/>
      </c>
      <c r="AI338" s="63" t="str">
        <f aca="false">IF(ISERROR(AH338),$AI$6,"")</f>
        <v/>
      </c>
      <c r="AJ338" s="63" t="str">
        <f aca="false">IF($AE338=Constants!$B$7,IF(AND(T338,U338,W338),IF($AH$6=0,Constants!$B$9,Constants!$B$9*AH338/$AH$6), 0),"")</f>
        <v/>
      </c>
      <c r="AK338" s="63" t="str">
        <f aca="false">IF(AJ338&lt;&gt;"", AJ338*AG338,"")</f>
        <v/>
      </c>
      <c r="AL338" s="63" t="str">
        <f aca="false">IF(AND($AE338=Constants!$B$7, T338, U338) ,IF($Z338="", "", MAX(0,1-ABS($AA338-$Z338)/$AA338)),"")</f>
        <v/>
      </c>
      <c r="AM338" s="63" t="str">
        <f aca="false">IF(AND(NOT(ISERROR(AH338)),ISERROR(AL338)),$AM$6,"")</f>
        <v/>
      </c>
      <c r="AN338" s="63" t="str">
        <f aca="false">IF($AE338=Constants!$B$7 ,IF(AND(T338,U338,W338,ISNUMBER(Z338)),IF($AL$6=0,Constants!$B$10,Constants!$B$10*AL338/$AL$6), 0),"")</f>
        <v/>
      </c>
      <c r="AO338" s="63" t="str">
        <f aca="false">IF(AN338&lt;&gt;"", AN338*AG338,"")</f>
        <v/>
      </c>
      <c r="AP338" s="63" t="str">
        <f aca="false">IF($AE338=Constants!$B$7,IF($AP$6=0,Constants!$B$8,Constants!$B$8*AB338/$AP$6),"")</f>
        <v/>
      </c>
      <c r="AQ338" s="63" t="str">
        <f aca="false">IF($AE338&lt;&gt;Constants!$B$7,$AE338,AK338+AO338+AP338)</f>
        <v/>
      </c>
      <c r="AR338" s="63" t="str">
        <f aca="false">IF(ISBLANK($C338),"",IF($AE338=Constants!$B$7,RANK(AQ338,$AQ$8:$AQ$507),$AE338))</f>
        <v/>
      </c>
      <c r="AS338" s="63" t="str">
        <f aca="false">IF(ISBLANK($C338), "",AK338)</f>
        <v/>
      </c>
      <c r="AT338" s="63" t="str">
        <f aca="false">IF(ISBLANK($C338),"",IF($AE338=Constants!$B$7,RANK(AS338,AS$8:AS$507),$AE338))</f>
        <v/>
      </c>
      <c r="AU338" s="63" t="str">
        <f aca="false">IF(ISBLANK($C338), "",AP338)</f>
        <v/>
      </c>
      <c r="AV338" s="63" t="str">
        <f aca="false">IF(ISBLANK($C338),"",IF($AE338=Constants!$B$7,RANK(AU338,AU$8:AU$507),$AE338))</f>
        <v/>
      </c>
      <c r="AW338" s="63" t="str">
        <f aca="false">IF(ISBLANK($C338), "",AC338)</f>
        <v/>
      </c>
      <c r="AX338" s="63" t="str">
        <f aca="false">IF(ISBLANK($C338),"",
IF($AE338=Constants!$B$7,
  COUNTIFS($AR$8:$AR$507,"&lt;"&amp;$AR338)
  + COUNTIFS($AR$8:$AR$507,$AR338,$AT$8:$AT$507,"&lt;"&amp;$AT338)
  + COUNTIFS($AR$8:$AR$507,$AR338,$AT$8:$AT$507,$AT338,$AV$8:$AV$507,"&lt;"&amp;$AV338)
  + COUNTIFS($AR$8:$AR$507,$AR338,$AT$8:$AT$507,$AT338,$AV$8:$AV$507,$AV338,$AW$8:$AW$507,"&lt;"&amp;$AW338)
  + 1,
$AE338))</f>
        <v/>
      </c>
      <c r="AY338" s="63" t="str">
        <f aca="false">IF(ISBLANK(C338),"",IF($AE338=Constants!$B$7, AR338-AX338,$AE338))</f>
        <v/>
      </c>
      <c r="AZ338" s="67"/>
      <c r="BA338" s="81" t="str">
        <f aca="false">IF(ISBLANK($C338),"",TRIM(AI338&amp;" "&amp;AM338))</f>
        <v/>
      </c>
      <c r="BB338" s="69" t="str">
        <f aca="false">IF(ISBLANK($C338),"",IF($AE338&lt;&gt;Constants!$B$7, $AE338 ,AQ338))</f>
        <v/>
      </c>
      <c r="BC338" s="70" t="str">
        <f aca="false">IF(ISBLANK($C338),"",IF($AE338&lt;&gt;Constants!$B$7, $AE338 ,AF338))</f>
        <v/>
      </c>
      <c r="BD338" s="71" t="str">
        <f aca="false">IF(ISBLANK(C338),"",AY338)</f>
        <v/>
      </c>
      <c r="BE338" s="71" t="str">
        <f aca="false">IF(ISBLANK(C338),"",AX338)</f>
        <v/>
      </c>
      <c r="BF338" s="72" t="str">
        <f aca="false">IF(ISBLANK(C338),"",IFERROR(_xlfn.SWITCH(BE338, Constants!$B$4, COUNTA($C$8:$C837)+2, Constants!$B$5, COUNTA($C$8:$C837)+1, Constants!$B$6, COUNTA($C$8:$C837)),BE338))</f>
        <v/>
      </c>
      <c r="BG338" s="5"/>
      <c r="BH338" s="73" t="n">
        <f aca="false">IF(OR(ISNUMBER(BE338),BE338="DQ",BE338="P",BE338="NS"),
    1,
    0
)</f>
        <v>0</v>
      </c>
      <c r="BI338" s="73" t="n">
        <v>331</v>
      </c>
      <c r="BJ338" s="73" t="str">
        <f aca="false">IF(ISBLANK($C338),
    "",
   BF338+ROW($B338)/1000
)</f>
        <v/>
      </c>
      <c r="BK338" s="73" t="str">
        <f aca="false">IF(ISNUMBER(BJ338), RANK(BJ338,BJ$8:BJ$507,1), "")</f>
        <v/>
      </c>
      <c r="BL338" s="73" t="str">
        <f aca="false">IF(ISBLANK($C338),
    "",
    $B338
)</f>
        <v/>
      </c>
      <c r="BM338" s="73" t="str">
        <f aca="false">IF(ISBLANK($C338),
    "",
    $C338
)</f>
        <v/>
      </c>
      <c r="BN338" s="73" t="str">
        <f aca="false">IF(ISBLANK($C338),
    "",
    $D338
)</f>
        <v/>
      </c>
      <c r="BO338" s="74" t="str">
        <f aca="false">BC338</f>
        <v/>
      </c>
      <c r="BP338" s="75" t="str">
        <f aca="false">BB338</f>
        <v/>
      </c>
      <c r="BQ338" s="73" t="str">
        <f aca="false">IF(ISBLANK($C338),
    "",
    BE338
)</f>
        <v/>
      </c>
      <c r="BR338" s="76" t="str">
        <f aca="false">IF(BI338&gt;BH$7,
    "",
    VLOOKUP(BI338,BK$8:BQ837,7,FALSE())
)</f>
        <v/>
      </c>
      <c r="BS338" s="77" t="str">
        <f aca="false">IF(BI338&gt;BH$7,
    "",
    VLOOKUP(BI338,BK$8:BQ837,2,FALSE())
)</f>
        <v/>
      </c>
      <c r="BT338" s="77" t="str">
        <f aca="false">IF(BI338&gt;BH$7,
    "",
    VLOOKUP(BI338,BK$8:BQ837,3,FALSE())
)</f>
        <v/>
      </c>
      <c r="BU338" s="77" t="str">
        <f aca="false">IF(BI338&gt;BH$7,
    "",
    VLOOKUP(BI338,BK$8:BQ837,4,FALSE())
)</f>
        <v/>
      </c>
      <c r="BV338" s="77" t="str">
        <f aca="false">IF(BI338&gt;BH$7,
    "",
    VLOOKUP(BI338,BK$8:BQ837,5,FALSE())
)</f>
        <v/>
      </c>
      <c r="BW338" s="78" t="str">
        <f aca="false">IF(BI338&gt;BH$7,
    "",
    VLOOKUP(BI338,BK$8:BQ837,6,FALSE())
)</f>
        <v/>
      </c>
      <c r="BX338" s="50"/>
    </row>
    <row r="339" customFormat="false" ht="15.75" hidden="false" customHeight="false" outlineLevel="0" collapsed="false">
      <c r="A339" s="5"/>
      <c r="B339" s="126"/>
      <c r="C339" s="52"/>
      <c r="D339" s="53"/>
      <c r="E339" s="120"/>
      <c r="F339" s="120"/>
      <c r="G339" s="55"/>
      <c r="H339" s="56"/>
      <c r="I339" s="80"/>
      <c r="J339" s="80"/>
      <c r="K339" s="80"/>
      <c r="L339" s="58"/>
      <c r="M339" s="58"/>
      <c r="N339" s="58"/>
      <c r="O339" s="59"/>
      <c r="P339" s="60"/>
      <c r="Q339" s="80"/>
      <c r="R339" s="62"/>
      <c r="S339" s="63"/>
      <c r="T339" s="63" t="str">
        <f aca="false">IF(ISBLANK($C339),"",IF(G339=Constants!$B$2, TRUE(), IF(G339=Constants!$B$3, FALSE(), TRUE())))</f>
        <v/>
      </c>
      <c r="U339" s="63" t="str">
        <f aca="false">IF(ISBLANK($C339),"",IF(H339=Constants!$B$2, TRUE(), IF(H339=Constants!$B$3, FALSE(), TRUE())))</f>
        <v/>
      </c>
      <c r="V339" s="63" t="str">
        <f aca="false">IF(ISBLANK($C339),"",IF(I339=Constants!$B$2, TRUE(), IF(I339=Constants!$B$3, FALSE(), TRUE())))</f>
        <v/>
      </c>
      <c r="W339" s="63" t="str">
        <f aca="false">IF(ISBLANK($C339),"",IF(J339=Constants!$B$2, TRUE(), IF(J339=Constants!$B$3, FALSE(), TRUE())))</f>
        <v/>
      </c>
      <c r="X339" s="63" t="str">
        <f aca="false">IF(ISBLANK($C339),"",IF(K339=Constants!$B$2, TRUE(), IF(K339=Constants!$B$3, FALSE(), TRUE())))</f>
        <v/>
      </c>
      <c r="Y339" s="65" t="str">
        <f aca="false">IF(ISBLANK($C339),"",IF(ISNUMBER(L339), L339, ""))</f>
        <v/>
      </c>
      <c r="Z339" s="65" t="str">
        <f aca="false">IF(ISBLANK($C339),"",IF(ISNUMBER(M339), M339, ""))</f>
        <v/>
      </c>
      <c r="AA339" s="65" t="str">
        <f aca="false">IF(ISBLANK($C339),"",IF(ISNUMBER(N339), N339, ""))</f>
        <v/>
      </c>
      <c r="AB339" s="66" t="str">
        <f aca="false">IF(ISBLANK($C339),"",IF(ISNUMBER(O339), O339, ""))</f>
        <v/>
      </c>
      <c r="AC339" s="66" t="str">
        <f aca="false">IF(ISBLANK($C339),"",IF(ISNUMBER(P339), P339, Constants!$B$13))</f>
        <v/>
      </c>
      <c r="AD339" s="63" t="str">
        <f aca="false">IF(ISBLANK($C339),"",IF(Q339=Constants!$B$2, TRUE(), IF(Q339=Constants!$B$3, FALSE(), FALSE())))</f>
        <v/>
      </c>
      <c r="AE339" s="63" t="str">
        <f aca="false">IF(ISBLANK(C339), "", IF(AD339, Constants!$B$4,IF(COUNTA(G339:O339)=0, Constants!$B$5, Constants!$B$7)))</f>
        <v/>
      </c>
      <c r="AF339" s="63" t="str">
        <f aca="false">IF(ISBLANK($C339), "",IF($AE339=Constants!$B$7,1,$AE339))</f>
        <v/>
      </c>
      <c r="AG339" s="63" t="str">
        <f aca="false">IF($AE339=Constants!$B$7,IF(V339, 1, Constants!$B$11) * IF(X339, 1, Constants!$B$12),"")</f>
        <v/>
      </c>
      <c r="AH339" s="63" t="str">
        <f aca="false">IF(AND($AE339=Constants!$B$7, T339, U339) ,MAX(0, $AA339-$Y339),"")</f>
        <v/>
      </c>
      <c r="AI339" s="63" t="str">
        <f aca="false">IF(ISERROR(AH339),$AI$6,"")</f>
        <v/>
      </c>
      <c r="AJ339" s="63" t="str">
        <f aca="false">IF($AE339=Constants!$B$7,IF(AND(T339,U339,W339),IF($AH$6=0,Constants!$B$9,Constants!$B$9*AH339/$AH$6), 0),"")</f>
        <v/>
      </c>
      <c r="AK339" s="63" t="str">
        <f aca="false">IF(AJ339&lt;&gt;"", AJ339*AG339,"")</f>
        <v/>
      </c>
      <c r="AL339" s="63" t="str">
        <f aca="false">IF(AND($AE339=Constants!$B$7, T339, U339) ,IF($Z339="", "", MAX(0,1-ABS($AA339-$Z339)/$AA339)),"")</f>
        <v/>
      </c>
      <c r="AM339" s="63" t="str">
        <f aca="false">IF(AND(NOT(ISERROR(AH339)),ISERROR(AL339)),$AM$6,"")</f>
        <v/>
      </c>
      <c r="AN339" s="63" t="str">
        <f aca="false">IF($AE339=Constants!$B$7 ,IF(AND(T339,U339,W339,ISNUMBER(Z339)),IF($AL$6=0,Constants!$B$10,Constants!$B$10*AL339/$AL$6), 0),"")</f>
        <v/>
      </c>
      <c r="AO339" s="63" t="str">
        <f aca="false">IF(AN339&lt;&gt;"", AN339*AG339,"")</f>
        <v/>
      </c>
      <c r="AP339" s="63" t="str">
        <f aca="false">IF($AE339=Constants!$B$7,IF($AP$6=0,Constants!$B$8,Constants!$B$8*AB339/$AP$6),"")</f>
        <v/>
      </c>
      <c r="AQ339" s="63" t="str">
        <f aca="false">IF($AE339&lt;&gt;Constants!$B$7,$AE339,AK339+AO339+AP339)</f>
        <v/>
      </c>
      <c r="AR339" s="63" t="str">
        <f aca="false">IF(ISBLANK($C339),"",IF($AE339=Constants!$B$7,RANK(AQ339,$AQ$8:$AQ$507),$AE339))</f>
        <v/>
      </c>
      <c r="AS339" s="63" t="str">
        <f aca="false">IF(ISBLANK($C339), "",AK339)</f>
        <v/>
      </c>
      <c r="AT339" s="63" t="str">
        <f aca="false">IF(ISBLANK($C339),"",IF($AE339=Constants!$B$7,RANK(AS339,AS$8:AS$507),$AE339))</f>
        <v/>
      </c>
      <c r="AU339" s="63" t="str">
        <f aca="false">IF(ISBLANK($C339), "",AP339)</f>
        <v/>
      </c>
      <c r="AV339" s="63" t="str">
        <f aca="false">IF(ISBLANK($C339),"",IF($AE339=Constants!$B$7,RANK(AU339,AU$8:AU$507),$AE339))</f>
        <v/>
      </c>
      <c r="AW339" s="63" t="str">
        <f aca="false">IF(ISBLANK($C339), "",AC339)</f>
        <v/>
      </c>
      <c r="AX339" s="63" t="str">
        <f aca="false">IF(ISBLANK($C339),"",
IF($AE339=Constants!$B$7,
  COUNTIFS($AR$8:$AR$507,"&lt;"&amp;$AR339)
  + COUNTIFS($AR$8:$AR$507,$AR339,$AT$8:$AT$507,"&lt;"&amp;$AT339)
  + COUNTIFS($AR$8:$AR$507,$AR339,$AT$8:$AT$507,$AT339,$AV$8:$AV$507,"&lt;"&amp;$AV339)
  + COUNTIFS($AR$8:$AR$507,$AR339,$AT$8:$AT$507,$AT339,$AV$8:$AV$507,$AV339,$AW$8:$AW$507,"&lt;"&amp;$AW339)
  + 1,
$AE339))</f>
        <v/>
      </c>
      <c r="AY339" s="63" t="str">
        <f aca="false">IF(ISBLANK(C339),"",IF($AE339=Constants!$B$7, AR339-AX339,$AE339))</f>
        <v/>
      </c>
      <c r="AZ339" s="67"/>
      <c r="BA339" s="81" t="str">
        <f aca="false">IF(ISBLANK($C339),"",TRIM(AI339&amp;" "&amp;AM339))</f>
        <v/>
      </c>
      <c r="BB339" s="69" t="str">
        <f aca="false">IF(ISBLANK($C339),"",IF($AE339&lt;&gt;Constants!$B$7, $AE339 ,AQ339))</f>
        <v/>
      </c>
      <c r="BC339" s="70" t="str">
        <f aca="false">IF(ISBLANK($C339),"",IF($AE339&lt;&gt;Constants!$B$7, $AE339 ,AF339))</f>
        <v/>
      </c>
      <c r="BD339" s="71" t="str">
        <f aca="false">IF(ISBLANK(C339),"",AY339)</f>
        <v/>
      </c>
      <c r="BE339" s="71" t="str">
        <f aca="false">IF(ISBLANK(C339),"",AX339)</f>
        <v/>
      </c>
      <c r="BF339" s="72" t="str">
        <f aca="false">IF(ISBLANK(C339),"",IFERROR(_xlfn.SWITCH(BE339, Constants!$B$4, COUNTA($C$8:$C838)+2, Constants!$B$5, COUNTA($C$8:$C838)+1, Constants!$B$6, COUNTA($C$8:$C838)),BE339))</f>
        <v/>
      </c>
      <c r="BG339" s="5"/>
      <c r="BH339" s="73" t="n">
        <f aca="false">IF(OR(ISNUMBER(BE339),BE339="DQ",BE339="P",BE339="NS"),
    1,
    0
)</f>
        <v>0</v>
      </c>
      <c r="BI339" s="73" t="n">
        <v>332</v>
      </c>
      <c r="BJ339" s="73" t="str">
        <f aca="false">IF(ISBLANK($C339),
    "",
   BF339+ROW($B339)/1000
)</f>
        <v/>
      </c>
      <c r="BK339" s="73" t="str">
        <f aca="false">IF(ISNUMBER(BJ339), RANK(BJ339,BJ$8:BJ$507,1), "")</f>
        <v/>
      </c>
      <c r="BL339" s="73" t="str">
        <f aca="false">IF(ISBLANK($C339),
    "",
    $B339
)</f>
        <v/>
      </c>
      <c r="BM339" s="73" t="str">
        <f aca="false">IF(ISBLANK($C339),
    "",
    $C339
)</f>
        <v/>
      </c>
      <c r="BN339" s="73" t="str">
        <f aca="false">IF(ISBLANK($C339),
    "",
    $D339
)</f>
        <v/>
      </c>
      <c r="BO339" s="74" t="str">
        <f aca="false">BC339</f>
        <v/>
      </c>
      <c r="BP339" s="75" t="str">
        <f aca="false">BB339</f>
        <v/>
      </c>
      <c r="BQ339" s="73" t="str">
        <f aca="false">IF(ISBLANK($C339),
    "",
    BE339
)</f>
        <v/>
      </c>
      <c r="BR339" s="76" t="str">
        <f aca="false">IF(BI339&gt;BH$7,
    "",
    VLOOKUP(BI339,BK$8:BQ838,7,FALSE())
)</f>
        <v/>
      </c>
      <c r="BS339" s="77" t="str">
        <f aca="false">IF(BI339&gt;BH$7,
    "",
    VLOOKUP(BI339,BK$8:BQ838,2,FALSE())
)</f>
        <v/>
      </c>
      <c r="BT339" s="77" t="str">
        <f aca="false">IF(BI339&gt;BH$7,
    "",
    VLOOKUP(BI339,BK$8:BQ838,3,FALSE())
)</f>
        <v/>
      </c>
      <c r="BU339" s="77" t="str">
        <f aca="false">IF(BI339&gt;BH$7,
    "",
    VLOOKUP(BI339,BK$8:BQ838,4,FALSE())
)</f>
        <v/>
      </c>
      <c r="BV339" s="77" t="str">
        <f aca="false">IF(BI339&gt;BH$7,
    "",
    VLOOKUP(BI339,BK$8:BQ838,5,FALSE())
)</f>
        <v/>
      </c>
      <c r="BW339" s="78" t="str">
        <f aca="false">IF(BI339&gt;BH$7,
    "",
    VLOOKUP(BI339,BK$8:BQ838,6,FALSE())
)</f>
        <v/>
      </c>
      <c r="BX339" s="50"/>
    </row>
    <row r="340" customFormat="false" ht="15.75" hidden="false" customHeight="false" outlineLevel="0" collapsed="false">
      <c r="A340" s="5"/>
      <c r="B340" s="126"/>
      <c r="C340" s="52"/>
      <c r="D340" s="53"/>
      <c r="E340" s="120"/>
      <c r="F340" s="120"/>
      <c r="G340" s="55"/>
      <c r="H340" s="56"/>
      <c r="I340" s="80"/>
      <c r="J340" s="80"/>
      <c r="K340" s="80"/>
      <c r="L340" s="58"/>
      <c r="M340" s="58"/>
      <c r="N340" s="58"/>
      <c r="O340" s="59"/>
      <c r="P340" s="60"/>
      <c r="Q340" s="80"/>
      <c r="R340" s="62"/>
      <c r="S340" s="63"/>
      <c r="T340" s="63" t="str">
        <f aca="false">IF(ISBLANK($C340),"",IF(G340=Constants!$B$2, TRUE(), IF(G340=Constants!$B$3, FALSE(), TRUE())))</f>
        <v/>
      </c>
      <c r="U340" s="63" t="str">
        <f aca="false">IF(ISBLANK($C340),"",IF(H340=Constants!$B$2, TRUE(), IF(H340=Constants!$B$3, FALSE(), TRUE())))</f>
        <v/>
      </c>
      <c r="V340" s="63" t="str">
        <f aca="false">IF(ISBLANK($C340),"",IF(I340=Constants!$B$2, TRUE(), IF(I340=Constants!$B$3, FALSE(), TRUE())))</f>
        <v/>
      </c>
      <c r="W340" s="63" t="str">
        <f aca="false">IF(ISBLANK($C340),"",IF(J340=Constants!$B$2, TRUE(), IF(J340=Constants!$B$3, FALSE(), TRUE())))</f>
        <v/>
      </c>
      <c r="X340" s="63" t="str">
        <f aca="false">IF(ISBLANK($C340),"",IF(K340=Constants!$B$2, TRUE(), IF(K340=Constants!$B$3, FALSE(), TRUE())))</f>
        <v/>
      </c>
      <c r="Y340" s="65" t="str">
        <f aca="false">IF(ISBLANK($C340),"",IF(ISNUMBER(L340), L340, ""))</f>
        <v/>
      </c>
      <c r="Z340" s="65" t="str">
        <f aca="false">IF(ISBLANK($C340),"",IF(ISNUMBER(M340), M340, ""))</f>
        <v/>
      </c>
      <c r="AA340" s="65" t="str">
        <f aca="false">IF(ISBLANK($C340),"",IF(ISNUMBER(N340), N340, ""))</f>
        <v/>
      </c>
      <c r="AB340" s="66" t="str">
        <f aca="false">IF(ISBLANK($C340),"",IF(ISNUMBER(O340), O340, ""))</f>
        <v/>
      </c>
      <c r="AC340" s="66" t="str">
        <f aca="false">IF(ISBLANK($C340),"",IF(ISNUMBER(P340), P340, Constants!$B$13))</f>
        <v/>
      </c>
      <c r="AD340" s="63" t="str">
        <f aca="false">IF(ISBLANK($C340),"",IF(Q340=Constants!$B$2, TRUE(), IF(Q340=Constants!$B$3, FALSE(), FALSE())))</f>
        <v/>
      </c>
      <c r="AE340" s="63" t="str">
        <f aca="false">IF(ISBLANK(C340), "", IF(AD340, Constants!$B$4,IF(COUNTA(G340:O340)=0, Constants!$B$5, Constants!$B$7)))</f>
        <v/>
      </c>
      <c r="AF340" s="63" t="str">
        <f aca="false">IF(ISBLANK($C340), "",IF($AE340=Constants!$B$7,1,$AE340))</f>
        <v/>
      </c>
      <c r="AG340" s="63" t="str">
        <f aca="false">IF($AE340=Constants!$B$7,IF(V340, 1, Constants!$B$11) * IF(X340, 1, Constants!$B$12),"")</f>
        <v/>
      </c>
      <c r="AH340" s="63" t="str">
        <f aca="false">IF(AND($AE340=Constants!$B$7, T340, U340) ,MAX(0, $AA340-$Y340),"")</f>
        <v/>
      </c>
      <c r="AI340" s="63" t="str">
        <f aca="false">IF(ISERROR(AH340),$AI$6,"")</f>
        <v/>
      </c>
      <c r="AJ340" s="63" t="str">
        <f aca="false">IF($AE340=Constants!$B$7,IF(AND(T340,U340,W340),IF($AH$6=0,Constants!$B$9,Constants!$B$9*AH340/$AH$6), 0),"")</f>
        <v/>
      </c>
      <c r="AK340" s="63" t="str">
        <f aca="false">IF(AJ340&lt;&gt;"", AJ340*AG340,"")</f>
        <v/>
      </c>
      <c r="AL340" s="63" t="str">
        <f aca="false">IF(AND($AE340=Constants!$B$7, T340, U340) ,IF($Z340="", "", MAX(0,1-ABS($AA340-$Z340)/$AA340)),"")</f>
        <v/>
      </c>
      <c r="AM340" s="63" t="str">
        <f aca="false">IF(AND(NOT(ISERROR(AH340)),ISERROR(AL340)),$AM$6,"")</f>
        <v/>
      </c>
      <c r="AN340" s="63" t="str">
        <f aca="false">IF($AE340=Constants!$B$7 ,IF(AND(T340,U340,W340,ISNUMBER(Z340)),IF($AL$6=0,Constants!$B$10,Constants!$B$10*AL340/$AL$6), 0),"")</f>
        <v/>
      </c>
      <c r="AO340" s="63" t="str">
        <f aca="false">IF(AN340&lt;&gt;"", AN340*AG340,"")</f>
        <v/>
      </c>
      <c r="AP340" s="63" t="str">
        <f aca="false">IF($AE340=Constants!$B$7,IF($AP$6=0,Constants!$B$8,Constants!$B$8*AB340/$AP$6),"")</f>
        <v/>
      </c>
      <c r="AQ340" s="63" t="str">
        <f aca="false">IF($AE340&lt;&gt;Constants!$B$7,$AE340,AK340+AO340+AP340)</f>
        <v/>
      </c>
      <c r="AR340" s="63" t="str">
        <f aca="false">IF(ISBLANK($C340),"",IF($AE340=Constants!$B$7,RANK(AQ340,$AQ$8:$AQ$507),$AE340))</f>
        <v/>
      </c>
      <c r="AS340" s="63" t="str">
        <f aca="false">IF(ISBLANK($C340), "",AK340)</f>
        <v/>
      </c>
      <c r="AT340" s="63" t="str">
        <f aca="false">IF(ISBLANK($C340),"",IF($AE340=Constants!$B$7,RANK(AS340,AS$8:AS$507),$AE340))</f>
        <v/>
      </c>
      <c r="AU340" s="63" t="str">
        <f aca="false">IF(ISBLANK($C340), "",AP340)</f>
        <v/>
      </c>
      <c r="AV340" s="63" t="str">
        <f aca="false">IF(ISBLANK($C340),"",IF($AE340=Constants!$B$7,RANK(AU340,AU$8:AU$507),$AE340))</f>
        <v/>
      </c>
      <c r="AW340" s="63" t="str">
        <f aca="false">IF(ISBLANK($C340), "",AC340)</f>
        <v/>
      </c>
      <c r="AX340" s="63" t="str">
        <f aca="false">IF(ISBLANK($C340),"",
IF($AE340=Constants!$B$7,
  COUNTIFS($AR$8:$AR$507,"&lt;"&amp;$AR340)
  + COUNTIFS($AR$8:$AR$507,$AR340,$AT$8:$AT$507,"&lt;"&amp;$AT340)
  + COUNTIFS($AR$8:$AR$507,$AR340,$AT$8:$AT$507,$AT340,$AV$8:$AV$507,"&lt;"&amp;$AV340)
  + COUNTIFS($AR$8:$AR$507,$AR340,$AT$8:$AT$507,$AT340,$AV$8:$AV$507,$AV340,$AW$8:$AW$507,"&lt;"&amp;$AW340)
  + 1,
$AE340))</f>
        <v/>
      </c>
      <c r="AY340" s="63" t="str">
        <f aca="false">IF(ISBLANK(C340),"",IF($AE340=Constants!$B$7, AR340-AX340,$AE340))</f>
        <v/>
      </c>
      <c r="AZ340" s="67"/>
      <c r="BA340" s="81" t="str">
        <f aca="false">IF(ISBLANK($C340),"",TRIM(AI340&amp;" "&amp;AM340))</f>
        <v/>
      </c>
      <c r="BB340" s="69" t="str">
        <f aca="false">IF(ISBLANK($C340),"",IF($AE340&lt;&gt;Constants!$B$7, $AE340 ,AQ340))</f>
        <v/>
      </c>
      <c r="BC340" s="70" t="str">
        <f aca="false">IF(ISBLANK($C340),"",IF($AE340&lt;&gt;Constants!$B$7, $AE340 ,AF340))</f>
        <v/>
      </c>
      <c r="BD340" s="71" t="str">
        <f aca="false">IF(ISBLANK(C340),"",AY340)</f>
        <v/>
      </c>
      <c r="BE340" s="71" t="str">
        <f aca="false">IF(ISBLANK(C340),"",AX340)</f>
        <v/>
      </c>
      <c r="BF340" s="72" t="str">
        <f aca="false">IF(ISBLANK(C340),"",IFERROR(_xlfn.SWITCH(BE340, Constants!$B$4, COUNTA($C$8:$C839)+2, Constants!$B$5, COUNTA($C$8:$C839)+1, Constants!$B$6, COUNTA($C$8:$C839)),BE340))</f>
        <v/>
      </c>
      <c r="BG340" s="5"/>
      <c r="BH340" s="73" t="n">
        <f aca="false">IF(OR(ISNUMBER(BE340),BE340="DQ",BE340="P",BE340="NS"),
    1,
    0
)</f>
        <v>0</v>
      </c>
      <c r="BI340" s="73" t="n">
        <v>333</v>
      </c>
      <c r="BJ340" s="73" t="str">
        <f aca="false">IF(ISBLANK($C340),
    "",
   BF340+ROW($B340)/1000
)</f>
        <v/>
      </c>
      <c r="BK340" s="73" t="str">
        <f aca="false">IF(ISNUMBER(BJ340), RANK(BJ340,BJ$8:BJ$507,1), "")</f>
        <v/>
      </c>
      <c r="BL340" s="73" t="str">
        <f aca="false">IF(ISBLANK($C340),
    "",
    $B340
)</f>
        <v/>
      </c>
      <c r="BM340" s="73" t="str">
        <f aca="false">IF(ISBLANK($C340),
    "",
    $C340
)</f>
        <v/>
      </c>
      <c r="BN340" s="73" t="str">
        <f aca="false">IF(ISBLANK($C340),
    "",
    $D340
)</f>
        <v/>
      </c>
      <c r="BO340" s="74" t="str">
        <f aca="false">BC340</f>
        <v/>
      </c>
      <c r="BP340" s="75" t="str">
        <f aca="false">BB340</f>
        <v/>
      </c>
      <c r="BQ340" s="73" t="str">
        <f aca="false">IF(ISBLANK($C340),
    "",
    BE340
)</f>
        <v/>
      </c>
      <c r="BR340" s="76" t="str">
        <f aca="false">IF(BI340&gt;BH$7,
    "",
    VLOOKUP(BI340,BK$8:BQ839,7,FALSE())
)</f>
        <v/>
      </c>
      <c r="BS340" s="77" t="str">
        <f aca="false">IF(BI340&gt;BH$7,
    "",
    VLOOKUP(BI340,BK$8:BQ839,2,FALSE())
)</f>
        <v/>
      </c>
      <c r="BT340" s="77" t="str">
        <f aca="false">IF(BI340&gt;BH$7,
    "",
    VLOOKUP(BI340,BK$8:BQ839,3,FALSE())
)</f>
        <v/>
      </c>
      <c r="BU340" s="77" t="str">
        <f aca="false">IF(BI340&gt;BH$7,
    "",
    VLOOKUP(BI340,BK$8:BQ839,4,FALSE())
)</f>
        <v/>
      </c>
      <c r="BV340" s="77" t="str">
        <f aca="false">IF(BI340&gt;BH$7,
    "",
    VLOOKUP(BI340,BK$8:BQ839,5,FALSE())
)</f>
        <v/>
      </c>
      <c r="BW340" s="78" t="str">
        <f aca="false">IF(BI340&gt;BH$7,
    "",
    VLOOKUP(BI340,BK$8:BQ839,6,FALSE())
)</f>
        <v/>
      </c>
      <c r="BX340" s="50"/>
    </row>
    <row r="341" customFormat="false" ht="15.75" hidden="false" customHeight="false" outlineLevel="0" collapsed="false">
      <c r="A341" s="5"/>
      <c r="B341" s="122"/>
      <c r="C341" s="123"/>
      <c r="D341" s="112"/>
      <c r="E341" s="116"/>
      <c r="F341" s="116"/>
      <c r="G341" s="88"/>
      <c r="H341" s="89"/>
      <c r="I341" s="125"/>
      <c r="J341" s="125"/>
      <c r="K341" s="125"/>
      <c r="L341" s="91"/>
      <c r="M341" s="91"/>
      <c r="N341" s="91"/>
      <c r="O341" s="92"/>
      <c r="P341" s="93"/>
      <c r="Q341" s="125"/>
      <c r="R341" s="95"/>
      <c r="S341" s="96"/>
      <c r="T341" s="96" t="str">
        <f aca="false">IF(ISBLANK($C341),"",IF(G341=Constants!$B$2, TRUE(), IF(G341=Constants!$B$3, FALSE(), TRUE())))</f>
        <v/>
      </c>
      <c r="U341" s="96" t="str">
        <f aca="false">IF(ISBLANK($C341),"",IF(H341=Constants!$B$2, TRUE(), IF(H341=Constants!$B$3, FALSE(), TRUE())))</f>
        <v/>
      </c>
      <c r="V341" s="96" t="str">
        <f aca="false">IF(ISBLANK($C341),"",IF(I341=Constants!$B$2, TRUE(), IF(I341=Constants!$B$3, FALSE(), TRUE())))</f>
        <v/>
      </c>
      <c r="W341" s="96" t="str">
        <f aca="false">IF(ISBLANK($C341),"",IF(J341=Constants!$B$2, TRUE(), IF(J341=Constants!$B$3, FALSE(), TRUE())))</f>
        <v/>
      </c>
      <c r="X341" s="97" t="str">
        <f aca="false">IF(ISBLANK($C341),"",IF(K341=Constants!$B$2, TRUE(), IF(K341=Constants!$B$3, FALSE(), TRUE())))</f>
        <v/>
      </c>
      <c r="Y341" s="98" t="str">
        <f aca="false">IF(ISBLANK($C341),"",IF(ISNUMBER(L341), L341, ""))</f>
        <v/>
      </c>
      <c r="Z341" s="98" t="str">
        <f aca="false">IF(ISBLANK($C341),"",IF(ISNUMBER(M341), M341, ""))</f>
        <v/>
      </c>
      <c r="AA341" s="98" t="str">
        <f aca="false">IF(ISBLANK($C341),"",IF(ISNUMBER(N341), N341, ""))</f>
        <v/>
      </c>
      <c r="AB341" s="99" t="str">
        <f aca="false">IF(ISBLANK($C341),"",IF(ISNUMBER(O341), O341, ""))</f>
        <v/>
      </c>
      <c r="AC341" s="99" t="str">
        <f aca="false">IF(ISBLANK($C341),"",IF(ISNUMBER(P341), P341, Constants!$B$13))</f>
        <v/>
      </c>
      <c r="AD341" s="96" t="str">
        <f aca="false">IF(ISBLANK($C341),"",IF(Q341=Constants!$B$2, TRUE(), IF(Q341=Constants!$B$3, FALSE(), FALSE())))</f>
        <v/>
      </c>
      <c r="AE341" s="96" t="str">
        <f aca="false">IF(ISBLANK(C341), "", IF(AD341, Constants!$B$4,IF(COUNTA(G341:O341)=0, Constants!$B$5, Constants!$B$7)))</f>
        <v/>
      </c>
      <c r="AF341" s="96" t="str">
        <f aca="false">IF(ISBLANK($C341), "",IF($AE341=Constants!$B$7,1,$AE341))</f>
        <v/>
      </c>
      <c r="AG341" s="96" t="str">
        <f aca="false">IF($AE341=Constants!$B$7,IF(V341, 1, Constants!$B$11) * IF(X341, 1, Constants!$B$12),"")</f>
        <v/>
      </c>
      <c r="AH341" s="96" t="str">
        <f aca="false">IF(AND($AE341=Constants!$B$7, T341, U341) ,MAX(0, $AA341-$Y341),"")</f>
        <v/>
      </c>
      <c r="AI341" s="96" t="str">
        <f aca="false">IF(ISERROR(AH341),$AI$6,"")</f>
        <v/>
      </c>
      <c r="AJ341" s="96" t="str">
        <f aca="false">IF($AE341=Constants!$B$7,IF(AND(T341,U341,W341),IF($AH$6=0,Constants!$B$9,Constants!$B$9*AH341/$AH$6), 0),"")</f>
        <v/>
      </c>
      <c r="AK341" s="96" t="str">
        <f aca="false">IF(AJ341&lt;&gt;"", AJ341*AG341,"")</f>
        <v/>
      </c>
      <c r="AL341" s="96" t="str">
        <f aca="false">IF(AND($AE341=Constants!$B$7, T341, U341) ,IF($Z341="", "", MAX(0,1-ABS($AA341-$Z341)/$AA341)),"")</f>
        <v/>
      </c>
      <c r="AM341" s="96" t="str">
        <f aca="false">IF(AND(NOT(ISERROR(AH341)),ISERROR(AL341)),$AM$6,"")</f>
        <v/>
      </c>
      <c r="AN341" s="96" t="str">
        <f aca="false">IF($AE341=Constants!$B$7 ,IF(AND(T341,U341,W341,ISNUMBER(Z341)),IF($AL$6=0,Constants!$B$10,Constants!$B$10*AL341/$AL$6), 0),"")</f>
        <v/>
      </c>
      <c r="AO341" s="96" t="str">
        <f aca="false">IF(AN341&lt;&gt;"", AN341*AG341,"")</f>
        <v/>
      </c>
      <c r="AP341" s="96" t="str">
        <f aca="false">IF($AE341=Constants!$B$7,IF($AP$6=0,Constants!$B$8,Constants!$B$8*AB341/$AP$6),"")</f>
        <v/>
      </c>
      <c r="AQ341" s="96" t="str">
        <f aca="false">IF($AE341&lt;&gt;Constants!$B$7,$AE341,AK341+AO341+AP341)</f>
        <v/>
      </c>
      <c r="AR341" s="96" t="str">
        <f aca="false">IF(ISBLANK($C341),"",IF($AE341=Constants!$B$7,RANK(AQ341,$AQ$8:$AQ$507),$AE341))</f>
        <v/>
      </c>
      <c r="AS341" s="96" t="str">
        <f aca="false">IF(ISBLANK($C341), "",AK341)</f>
        <v/>
      </c>
      <c r="AT341" s="96" t="str">
        <f aca="false">IF(ISBLANK($C341),"",IF($AE341=Constants!$B$7,RANK(AS341,AS$8:AS$507),$AE341))</f>
        <v/>
      </c>
      <c r="AU341" s="96" t="str">
        <f aca="false">IF(ISBLANK($C341), "",AP341)</f>
        <v/>
      </c>
      <c r="AV341" s="96" t="str">
        <f aca="false">IF(ISBLANK($C341),"",IF($AE341=Constants!$B$7,RANK(AU341,AU$8:AU$507),$AE341))</f>
        <v/>
      </c>
      <c r="AW341" s="96" t="str">
        <f aca="false">IF(ISBLANK($C341), "",AC341)</f>
        <v/>
      </c>
      <c r="AX341" s="96" t="str">
        <f aca="false">IF(ISBLANK($C341),"",
IF($AE341=Constants!$B$7,
  COUNTIFS($AR$8:$AR$507,"&lt;"&amp;$AR341)
  + COUNTIFS($AR$8:$AR$507,$AR341,$AT$8:$AT$507,"&lt;"&amp;$AT341)
  + COUNTIFS($AR$8:$AR$507,$AR341,$AT$8:$AT$507,$AT341,$AV$8:$AV$507,"&lt;"&amp;$AV341)
  + COUNTIFS($AR$8:$AR$507,$AR341,$AT$8:$AT$507,$AT341,$AV$8:$AV$507,$AV341,$AW$8:$AW$507,"&lt;"&amp;$AW341)
  + 1,
$AE341))</f>
        <v/>
      </c>
      <c r="AY341" s="96" t="str">
        <f aca="false">IF(ISBLANK(C341),"",IF($AE341=Constants!$B$7, AR341-AX341,$AE341))</f>
        <v/>
      </c>
      <c r="AZ341" s="100"/>
      <c r="BA341" s="101" t="str">
        <f aca="false">IF(ISBLANK($C341),"",TRIM(AI341&amp;" "&amp;AM341))</f>
        <v/>
      </c>
      <c r="BB341" s="102" t="str">
        <f aca="false">IF(ISBLANK($C341),"",IF($AE341&lt;&gt;Constants!$B$7, $AE341 ,AQ341))</f>
        <v/>
      </c>
      <c r="BC341" s="103" t="str">
        <f aca="false">IF(ISBLANK($C341),"",IF($AE341&lt;&gt;Constants!$B$7, $AE341 ,AF341))</f>
        <v/>
      </c>
      <c r="BD341" s="104" t="str">
        <f aca="false">IF(ISBLANK(C341),"",AY341)</f>
        <v/>
      </c>
      <c r="BE341" s="104" t="str">
        <f aca="false">IF(ISBLANK(C341),"",AX341)</f>
        <v/>
      </c>
      <c r="BF341" s="105" t="str">
        <f aca="false">IF(ISBLANK(C341),"",IFERROR(_xlfn.SWITCH(BE341, Constants!$B$4, COUNTA($C$8:$C840)+2, Constants!$B$5, COUNTA($C$8:$C840)+1, Constants!$B$6, COUNTA($C$8:$C840)),BE341))</f>
        <v/>
      </c>
      <c r="BG341" s="5"/>
      <c r="BH341" s="106" t="n">
        <f aca="false">IF(OR(ISNUMBER(BE341),BE341="DQ",BE341="P",BE341="NS"),
    1,
    0
)</f>
        <v>0</v>
      </c>
      <c r="BI341" s="106" t="n">
        <v>334</v>
      </c>
      <c r="BJ341" s="106" t="str">
        <f aca="false">IF(ISBLANK($C341),
    "",
   BF341+ROW($B341)/1000
)</f>
        <v/>
      </c>
      <c r="BK341" s="106" t="str">
        <f aca="false">IF(ISNUMBER(BJ341), RANK(BJ341,BJ$8:BJ$507,1), "")</f>
        <v/>
      </c>
      <c r="BL341" s="106" t="str">
        <f aca="false">IF(ISBLANK($C341),
    "",
    $B341
)</f>
        <v/>
      </c>
      <c r="BM341" s="106" t="str">
        <f aca="false">IF(ISBLANK($C341),
    "",
    $C341
)</f>
        <v/>
      </c>
      <c r="BN341" s="106" t="str">
        <f aca="false">IF(ISBLANK($C341),
    "",
    $D341
)</f>
        <v/>
      </c>
      <c r="BO341" s="107" t="str">
        <f aca="false">BC341</f>
        <v/>
      </c>
      <c r="BP341" s="108" t="str">
        <f aca="false">BB341</f>
        <v/>
      </c>
      <c r="BQ341" s="106" t="str">
        <f aca="false">IF(ISBLANK($C341),
    "",
    BE341
)</f>
        <v/>
      </c>
      <c r="BR341" s="109" t="str">
        <f aca="false">IF(BI341&gt;BH$7,
    "",
    VLOOKUP(BI341,BK$8:BQ840,7,FALSE())
)</f>
        <v/>
      </c>
      <c r="BS341" s="110" t="str">
        <f aca="false">IF(BI341&gt;BH$7,
    "",
    VLOOKUP(BI341,BK$8:BQ840,2,FALSE())
)</f>
        <v/>
      </c>
      <c r="BT341" s="110" t="str">
        <f aca="false">IF(BI341&gt;BH$7,
    "",
    VLOOKUP(BI341,BK$8:BQ840,3,FALSE())
)</f>
        <v/>
      </c>
      <c r="BU341" s="110" t="str">
        <f aca="false">IF(BI341&gt;BH$7,
    "",
    VLOOKUP(BI341,BK$8:BQ840,4,FALSE())
)</f>
        <v/>
      </c>
      <c r="BV341" s="110" t="str">
        <f aca="false">IF(BI341&gt;BH$7,
    "",
    VLOOKUP(BI341,BK$8:BQ840,5,FALSE())
)</f>
        <v/>
      </c>
      <c r="BW341" s="111" t="str">
        <f aca="false">IF(BI341&gt;BH$7,
    "",
    VLOOKUP(BI341,BK$8:BQ840,6,FALSE())
)</f>
        <v/>
      </c>
      <c r="BX341" s="50"/>
    </row>
    <row r="342" customFormat="false" ht="15.75" hidden="false" customHeight="false" outlineLevel="0" collapsed="false">
      <c r="A342" s="5"/>
      <c r="B342" s="122"/>
      <c r="C342" s="123"/>
      <c r="D342" s="112"/>
      <c r="E342" s="116"/>
      <c r="F342" s="116"/>
      <c r="G342" s="88"/>
      <c r="H342" s="89"/>
      <c r="I342" s="125"/>
      <c r="J342" s="125"/>
      <c r="K342" s="125"/>
      <c r="L342" s="91"/>
      <c r="M342" s="91"/>
      <c r="N342" s="91"/>
      <c r="O342" s="92"/>
      <c r="P342" s="93"/>
      <c r="Q342" s="125"/>
      <c r="R342" s="95"/>
      <c r="S342" s="96"/>
      <c r="T342" s="96" t="str">
        <f aca="false">IF(ISBLANK($C342),"",IF(G342=Constants!$B$2, TRUE(), IF(G342=Constants!$B$3, FALSE(), TRUE())))</f>
        <v/>
      </c>
      <c r="U342" s="96" t="str">
        <f aca="false">IF(ISBLANK($C342),"",IF(H342=Constants!$B$2, TRUE(), IF(H342=Constants!$B$3, FALSE(), TRUE())))</f>
        <v/>
      </c>
      <c r="V342" s="96" t="str">
        <f aca="false">IF(ISBLANK($C342),"",IF(I342=Constants!$B$2, TRUE(), IF(I342=Constants!$B$3, FALSE(), TRUE())))</f>
        <v/>
      </c>
      <c r="W342" s="96" t="str">
        <f aca="false">IF(ISBLANK($C342),"",IF(J342=Constants!$B$2, TRUE(), IF(J342=Constants!$B$3, FALSE(), TRUE())))</f>
        <v/>
      </c>
      <c r="X342" s="97" t="str">
        <f aca="false">IF(ISBLANK($C342),"",IF(K342=Constants!$B$2, TRUE(), IF(K342=Constants!$B$3, FALSE(), TRUE())))</f>
        <v/>
      </c>
      <c r="Y342" s="98" t="str">
        <f aca="false">IF(ISBLANK($C342),"",IF(ISNUMBER(L342), L342, ""))</f>
        <v/>
      </c>
      <c r="Z342" s="98" t="str">
        <f aca="false">IF(ISBLANK($C342),"",IF(ISNUMBER(M342), M342, ""))</f>
        <v/>
      </c>
      <c r="AA342" s="98" t="str">
        <f aca="false">IF(ISBLANK($C342),"",IF(ISNUMBER(N342), N342, ""))</f>
        <v/>
      </c>
      <c r="AB342" s="99" t="str">
        <f aca="false">IF(ISBLANK($C342),"",IF(ISNUMBER(O342), O342, ""))</f>
        <v/>
      </c>
      <c r="AC342" s="99" t="str">
        <f aca="false">IF(ISBLANK($C342),"",IF(ISNUMBER(P342), P342, Constants!$B$13))</f>
        <v/>
      </c>
      <c r="AD342" s="96" t="str">
        <f aca="false">IF(ISBLANK($C342),"",IF(Q342=Constants!$B$2, TRUE(), IF(Q342=Constants!$B$3, FALSE(), FALSE())))</f>
        <v/>
      </c>
      <c r="AE342" s="96" t="str">
        <f aca="false">IF(ISBLANK(C342), "", IF(AD342, Constants!$B$4,IF(COUNTA(G342:O342)=0, Constants!$B$5, Constants!$B$7)))</f>
        <v/>
      </c>
      <c r="AF342" s="96" t="str">
        <f aca="false">IF(ISBLANK($C342), "",IF($AE342=Constants!$B$7,1,$AE342))</f>
        <v/>
      </c>
      <c r="AG342" s="96" t="str">
        <f aca="false">IF($AE342=Constants!$B$7,IF(V342, 1, Constants!$B$11) * IF(X342, 1, Constants!$B$12),"")</f>
        <v/>
      </c>
      <c r="AH342" s="96" t="str">
        <f aca="false">IF(AND($AE342=Constants!$B$7, T342, U342) ,MAX(0, $AA342-$Y342),"")</f>
        <v/>
      </c>
      <c r="AI342" s="96" t="str">
        <f aca="false">IF(ISERROR(AH342),$AI$6,"")</f>
        <v/>
      </c>
      <c r="AJ342" s="96" t="str">
        <f aca="false">IF($AE342=Constants!$B$7,IF(AND(T342,U342,W342),IF($AH$6=0,Constants!$B$9,Constants!$B$9*AH342/$AH$6), 0),"")</f>
        <v/>
      </c>
      <c r="AK342" s="96" t="str">
        <f aca="false">IF(AJ342&lt;&gt;"", AJ342*AG342,"")</f>
        <v/>
      </c>
      <c r="AL342" s="96" t="str">
        <f aca="false">IF(AND($AE342=Constants!$B$7, T342, U342) ,IF($Z342="", "", MAX(0,1-ABS($AA342-$Z342)/$AA342)),"")</f>
        <v/>
      </c>
      <c r="AM342" s="96" t="str">
        <f aca="false">IF(AND(NOT(ISERROR(AH342)),ISERROR(AL342)),$AM$6,"")</f>
        <v/>
      </c>
      <c r="AN342" s="96" t="str">
        <f aca="false">IF($AE342=Constants!$B$7 ,IF(AND(T342,U342,W342,ISNUMBER(Z342)),IF($AL$6=0,Constants!$B$10,Constants!$B$10*AL342/$AL$6), 0),"")</f>
        <v/>
      </c>
      <c r="AO342" s="96" t="str">
        <f aca="false">IF(AN342&lt;&gt;"", AN342*AG342,"")</f>
        <v/>
      </c>
      <c r="AP342" s="96" t="str">
        <f aca="false">IF($AE342=Constants!$B$7,IF($AP$6=0,Constants!$B$8,Constants!$B$8*AB342/$AP$6),"")</f>
        <v/>
      </c>
      <c r="AQ342" s="96" t="str">
        <f aca="false">IF($AE342&lt;&gt;Constants!$B$7,$AE342,AK342+AO342+AP342)</f>
        <v/>
      </c>
      <c r="AR342" s="96" t="str">
        <f aca="false">IF(ISBLANK($C342),"",IF($AE342=Constants!$B$7,RANK(AQ342,$AQ$8:$AQ$507),$AE342))</f>
        <v/>
      </c>
      <c r="AS342" s="96" t="str">
        <f aca="false">IF(ISBLANK($C342), "",AK342)</f>
        <v/>
      </c>
      <c r="AT342" s="96" t="str">
        <f aca="false">IF(ISBLANK($C342),"",IF($AE342=Constants!$B$7,RANK(AS342,AS$8:AS$507),$AE342))</f>
        <v/>
      </c>
      <c r="AU342" s="96" t="str">
        <f aca="false">IF(ISBLANK($C342), "",AP342)</f>
        <v/>
      </c>
      <c r="AV342" s="96" t="str">
        <f aca="false">IF(ISBLANK($C342),"",IF($AE342=Constants!$B$7,RANK(AU342,AU$8:AU$507),$AE342))</f>
        <v/>
      </c>
      <c r="AW342" s="96" t="str">
        <f aca="false">IF(ISBLANK($C342), "",AC342)</f>
        <v/>
      </c>
      <c r="AX342" s="96" t="str">
        <f aca="false">IF(ISBLANK($C342),"",
IF($AE342=Constants!$B$7,
  COUNTIFS($AR$8:$AR$507,"&lt;"&amp;$AR342)
  + COUNTIFS($AR$8:$AR$507,$AR342,$AT$8:$AT$507,"&lt;"&amp;$AT342)
  + COUNTIFS($AR$8:$AR$507,$AR342,$AT$8:$AT$507,$AT342,$AV$8:$AV$507,"&lt;"&amp;$AV342)
  + COUNTIFS($AR$8:$AR$507,$AR342,$AT$8:$AT$507,$AT342,$AV$8:$AV$507,$AV342,$AW$8:$AW$507,"&lt;"&amp;$AW342)
  + 1,
$AE342))</f>
        <v/>
      </c>
      <c r="AY342" s="96" t="str">
        <f aca="false">IF(ISBLANK(C342),"",IF($AE342=Constants!$B$7, AR342-AX342,$AE342))</f>
        <v/>
      </c>
      <c r="AZ342" s="100"/>
      <c r="BA342" s="101" t="str">
        <f aca="false">IF(ISBLANK($C342),"",TRIM(AI342&amp;" "&amp;AM342))</f>
        <v/>
      </c>
      <c r="BB342" s="102" t="str">
        <f aca="false">IF(ISBLANK($C342),"",IF($AE342&lt;&gt;Constants!$B$7, $AE342 ,AQ342))</f>
        <v/>
      </c>
      <c r="BC342" s="103" t="str">
        <f aca="false">IF(ISBLANK($C342),"",IF($AE342&lt;&gt;Constants!$B$7, $AE342 ,AF342))</f>
        <v/>
      </c>
      <c r="BD342" s="104" t="str">
        <f aca="false">IF(ISBLANK(C342),"",AY342)</f>
        <v/>
      </c>
      <c r="BE342" s="104" t="str">
        <f aca="false">IF(ISBLANK(C342),"",AX342)</f>
        <v/>
      </c>
      <c r="BF342" s="105" t="str">
        <f aca="false">IF(ISBLANK(C342),"",IFERROR(_xlfn.SWITCH(BE342, Constants!$B$4, COUNTA($C$8:$C841)+2, Constants!$B$5, COUNTA($C$8:$C841)+1, Constants!$B$6, COUNTA($C$8:$C841)),BE342))</f>
        <v/>
      </c>
      <c r="BG342" s="5"/>
      <c r="BH342" s="106" t="n">
        <f aca="false">IF(OR(ISNUMBER(BE342),BE342="DQ",BE342="P",BE342="NS"),
    1,
    0
)</f>
        <v>0</v>
      </c>
      <c r="BI342" s="106" t="n">
        <v>335</v>
      </c>
      <c r="BJ342" s="106" t="str">
        <f aca="false">IF(ISBLANK($C342),
    "",
   BF342+ROW($B342)/1000
)</f>
        <v/>
      </c>
      <c r="BK342" s="106" t="str">
        <f aca="false">IF(ISNUMBER(BJ342), RANK(BJ342,BJ$8:BJ$507,1), "")</f>
        <v/>
      </c>
      <c r="BL342" s="106" t="str">
        <f aca="false">IF(ISBLANK($C342),
    "",
    $B342
)</f>
        <v/>
      </c>
      <c r="BM342" s="106" t="str">
        <f aca="false">IF(ISBLANK($C342),
    "",
    $C342
)</f>
        <v/>
      </c>
      <c r="BN342" s="106" t="str">
        <f aca="false">IF(ISBLANK($C342),
    "",
    $D342
)</f>
        <v/>
      </c>
      <c r="BO342" s="107" t="str">
        <f aca="false">BC342</f>
        <v/>
      </c>
      <c r="BP342" s="108" t="str">
        <f aca="false">BB342</f>
        <v/>
      </c>
      <c r="BQ342" s="106" t="str">
        <f aca="false">IF(ISBLANK($C342),
    "",
    BE342
)</f>
        <v/>
      </c>
      <c r="BR342" s="109" t="str">
        <f aca="false">IF(BI342&gt;BH$7,
    "",
    VLOOKUP(BI342,BK$8:BQ841,7,FALSE())
)</f>
        <v/>
      </c>
      <c r="BS342" s="110" t="str">
        <f aca="false">IF(BI342&gt;BH$7,
    "",
    VLOOKUP(BI342,BK$8:BQ841,2,FALSE())
)</f>
        <v/>
      </c>
      <c r="BT342" s="110" t="str">
        <f aca="false">IF(BI342&gt;BH$7,
    "",
    VLOOKUP(BI342,BK$8:BQ841,3,FALSE())
)</f>
        <v/>
      </c>
      <c r="BU342" s="110" t="str">
        <f aca="false">IF(BI342&gt;BH$7,
    "",
    VLOOKUP(BI342,BK$8:BQ841,4,FALSE())
)</f>
        <v/>
      </c>
      <c r="BV342" s="110" t="str">
        <f aca="false">IF(BI342&gt;BH$7,
    "",
    VLOOKUP(BI342,BK$8:BQ841,5,FALSE())
)</f>
        <v/>
      </c>
      <c r="BW342" s="111" t="str">
        <f aca="false">IF(BI342&gt;BH$7,
    "",
    VLOOKUP(BI342,BK$8:BQ841,6,FALSE())
)</f>
        <v/>
      </c>
      <c r="BX342" s="50"/>
    </row>
    <row r="343" customFormat="false" ht="15.75" hidden="false" customHeight="false" outlineLevel="0" collapsed="false">
      <c r="A343" s="5"/>
      <c r="B343" s="122"/>
      <c r="C343" s="123"/>
      <c r="D343" s="112"/>
      <c r="E343" s="116"/>
      <c r="F343" s="116"/>
      <c r="G343" s="88"/>
      <c r="H343" s="89"/>
      <c r="I343" s="125"/>
      <c r="J343" s="125"/>
      <c r="K343" s="125"/>
      <c r="L343" s="91"/>
      <c r="M343" s="91"/>
      <c r="N343" s="91"/>
      <c r="O343" s="92"/>
      <c r="P343" s="93"/>
      <c r="Q343" s="125"/>
      <c r="R343" s="95"/>
      <c r="S343" s="96"/>
      <c r="T343" s="96" t="str">
        <f aca="false">IF(ISBLANK($C343),"",IF(G343=Constants!$B$2, TRUE(), IF(G343=Constants!$B$3, FALSE(), TRUE())))</f>
        <v/>
      </c>
      <c r="U343" s="96" t="str">
        <f aca="false">IF(ISBLANK($C343),"",IF(H343=Constants!$B$2, TRUE(), IF(H343=Constants!$B$3, FALSE(), TRUE())))</f>
        <v/>
      </c>
      <c r="V343" s="96" t="str">
        <f aca="false">IF(ISBLANK($C343),"",IF(I343=Constants!$B$2, TRUE(), IF(I343=Constants!$B$3, FALSE(), TRUE())))</f>
        <v/>
      </c>
      <c r="W343" s="96" t="str">
        <f aca="false">IF(ISBLANK($C343),"",IF(J343=Constants!$B$2, TRUE(), IF(J343=Constants!$B$3, FALSE(), TRUE())))</f>
        <v/>
      </c>
      <c r="X343" s="97" t="str">
        <f aca="false">IF(ISBLANK($C343),"",IF(K343=Constants!$B$2, TRUE(), IF(K343=Constants!$B$3, FALSE(), TRUE())))</f>
        <v/>
      </c>
      <c r="Y343" s="98" t="str">
        <f aca="false">IF(ISBLANK($C343),"",IF(ISNUMBER(L343), L343, ""))</f>
        <v/>
      </c>
      <c r="Z343" s="98" t="str">
        <f aca="false">IF(ISBLANK($C343),"",IF(ISNUMBER(M343), M343, ""))</f>
        <v/>
      </c>
      <c r="AA343" s="98" t="str">
        <f aca="false">IF(ISBLANK($C343),"",IF(ISNUMBER(N343), N343, ""))</f>
        <v/>
      </c>
      <c r="AB343" s="99" t="str">
        <f aca="false">IF(ISBLANK($C343),"",IF(ISNUMBER(O343), O343, ""))</f>
        <v/>
      </c>
      <c r="AC343" s="99" t="str">
        <f aca="false">IF(ISBLANK($C343),"",IF(ISNUMBER(P343), P343, Constants!$B$13))</f>
        <v/>
      </c>
      <c r="AD343" s="96" t="str">
        <f aca="false">IF(ISBLANK($C343),"",IF(Q343=Constants!$B$2, TRUE(), IF(Q343=Constants!$B$3, FALSE(), FALSE())))</f>
        <v/>
      </c>
      <c r="AE343" s="96" t="str">
        <f aca="false">IF(ISBLANK(C343), "", IF(AD343, Constants!$B$4,IF(COUNTA(G343:O343)=0, Constants!$B$5, Constants!$B$7)))</f>
        <v/>
      </c>
      <c r="AF343" s="96" t="str">
        <f aca="false">IF(ISBLANK($C343), "",IF($AE343=Constants!$B$7,1,$AE343))</f>
        <v/>
      </c>
      <c r="AG343" s="96" t="str">
        <f aca="false">IF($AE343=Constants!$B$7,IF(V343, 1, Constants!$B$11) * IF(X343, 1, Constants!$B$12),"")</f>
        <v/>
      </c>
      <c r="AH343" s="96" t="str">
        <f aca="false">IF(AND($AE343=Constants!$B$7, T343, U343) ,MAX(0, $AA343-$Y343),"")</f>
        <v/>
      </c>
      <c r="AI343" s="96" t="str">
        <f aca="false">IF(ISERROR(AH343),$AI$6,"")</f>
        <v/>
      </c>
      <c r="AJ343" s="96" t="str">
        <f aca="false">IF($AE343=Constants!$B$7,IF(AND(T343,U343,W343),IF($AH$6=0,Constants!$B$9,Constants!$B$9*AH343/$AH$6), 0),"")</f>
        <v/>
      </c>
      <c r="AK343" s="96" t="str">
        <f aca="false">IF(AJ343&lt;&gt;"", AJ343*AG343,"")</f>
        <v/>
      </c>
      <c r="AL343" s="96" t="str">
        <f aca="false">IF(AND($AE343=Constants!$B$7, T343, U343) ,IF($Z343="", "", MAX(0,1-ABS($AA343-$Z343)/$AA343)),"")</f>
        <v/>
      </c>
      <c r="AM343" s="96" t="str">
        <f aca="false">IF(AND(NOT(ISERROR(AH343)),ISERROR(AL343)),$AM$6,"")</f>
        <v/>
      </c>
      <c r="AN343" s="96" t="str">
        <f aca="false">IF($AE343=Constants!$B$7 ,IF(AND(T343,U343,W343,ISNUMBER(Z343)),IF($AL$6=0,Constants!$B$10,Constants!$B$10*AL343/$AL$6), 0),"")</f>
        <v/>
      </c>
      <c r="AO343" s="96" t="str">
        <f aca="false">IF(AN343&lt;&gt;"", AN343*AG343,"")</f>
        <v/>
      </c>
      <c r="AP343" s="96" t="str">
        <f aca="false">IF($AE343=Constants!$B$7,IF($AP$6=0,Constants!$B$8,Constants!$B$8*AB343/$AP$6),"")</f>
        <v/>
      </c>
      <c r="AQ343" s="96" t="str">
        <f aca="false">IF($AE343&lt;&gt;Constants!$B$7,$AE343,AK343+AO343+AP343)</f>
        <v/>
      </c>
      <c r="AR343" s="96" t="str">
        <f aca="false">IF(ISBLANK($C343),"",IF($AE343=Constants!$B$7,RANK(AQ343,$AQ$8:$AQ$507),$AE343))</f>
        <v/>
      </c>
      <c r="AS343" s="96" t="str">
        <f aca="false">IF(ISBLANK($C343), "",AK343)</f>
        <v/>
      </c>
      <c r="AT343" s="96" t="str">
        <f aca="false">IF(ISBLANK($C343),"",IF($AE343=Constants!$B$7,RANK(AS343,AS$8:AS$507),$AE343))</f>
        <v/>
      </c>
      <c r="AU343" s="96" t="str">
        <f aca="false">IF(ISBLANK($C343), "",AP343)</f>
        <v/>
      </c>
      <c r="AV343" s="96" t="str">
        <f aca="false">IF(ISBLANK($C343),"",IF($AE343=Constants!$B$7,RANK(AU343,AU$8:AU$507),$AE343))</f>
        <v/>
      </c>
      <c r="AW343" s="96" t="str">
        <f aca="false">IF(ISBLANK($C343), "",AC343)</f>
        <v/>
      </c>
      <c r="AX343" s="96" t="str">
        <f aca="false">IF(ISBLANK($C343),"",
IF($AE343=Constants!$B$7,
  COUNTIFS($AR$8:$AR$507,"&lt;"&amp;$AR343)
  + COUNTIFS($AR$8:$AR$507,$AR343,$AT$8:$AT$507,"&lt;"&amp;$AT343)
  + COUNTIFS($AR$8:$AR$507,$AR343,$AT$8:$AT$507,$AT343,$AV$8:$AV$507,"&lt;"&amp;$AV343)
  + COUNTIFS($AR$8:$AR$507,$AR343,$AT$8:$AT$507,$AT343,$AV$8:$AV$507,$AV343,$AW$8:$AW$507,"&lt;"&amp;$AW343)
  + 1,
$AE343))</f>
        <v/>
      </c>
      <c r="AY343" s="96" t="str">
        <f aca="false">IF(ISBLANK(C343),"",IF($AE343=Constants!$B$7, AR343-AX343,$AE343))</f>
        <v/>
      </c>
      <c r="AZ343" s="100"/>
      <c r="BA343" s="101" t="str">
        <f aca="false">IF(ISBLANK($C343),"",TRIM(AI343&amp;" "&amp;AM343))</f>
        <v/>
      </c>
      <c r="BB343" s="102" t="str">
        <f aca="false">IF(ISBLANK($C343),"",IF($AE343&lt;&gt;Constants!$B$7, $AE343 ,AQ343))</f>
        <v/>
      </c>
      <c r="BC343" s="103" t="str">
        <f aca="false">IF(ISBLANK($C343),"",IF($AE343&lt;&gt;Constants!$B$7, $AE343 ,AF343))</f>
        <v/>
      </c>
      <c r="BD343" s="104" t="str">
        <f aca="false">IF(ISBLANK(C343),"",AY343)</f>
        <v/>
      </c>
      <c r="BE343" s="104" t="str">
        <f aca="false">IF(ISBLANK(C343),"",AX343)</f>
        <v/>
      </c>
      <c r="BF343" s="105" t="str">
        <f aca="false">IF(ISBLANK(C343),"",IFERROR(_xlfn.SWITCH(BE343, Constants!$B$4, COUNTA($C$8:$C842)+2, Constants!$B$5, COUNTA($C$8:$C842)+1, Constants!$B$6, COUNTA($C$8:$C842)),BE343))</f>
        <v/>
      </c>
      <c r="BG343" s="5"/>
      <c r="BH343" s="106" t="n">
        <f aca="false">IF(OR(ISNUMBER(BE343),BE343="DQ",BE343="P",BE343="NS"),
    1,
    0
)</f>
        <v>0</v>
      </c>
      <c r="BI343" s="106" t="n">
        <v>336</v>
      </c>
      <c r="BJ343" s="106" t="str">
        <f aca="false">IF(ISBLANK($C343),
    "",
   BF343+ROW($B343)/1000
)</f>
        <v/>
      </c>
      <c r="BK343" s="106" t="str">
        <f aca="false">IF(ISNUMBER(BJ343), RANK(BJ343,BJ$8:BJ$507,1), "")</f>
        <v/>
      </c>
      <c r="BL343" s="106" t="str">
        <f aca="false">IF(ISBLANK($C343),
    "",
    $B343
)</f>
        <v/>
      </c>
      <c r="BM343" s="106" t="str">
        <f aca="false">IF(ISBLANK($C343),
    "",
    $C343
)</f>
        <v/>
      </c>
      <c r="BN343" s="106" t="str">
        <f aca="false">IF(ISBLANK($C343),
    "",
    $D343
)</f>
        <v/>
      </c>
      <c r="BO343" s="107" t="str">
        <f aca="false">BC343</f>
        <v/>
      </c>
      <c r="BP343" s="108" t="str">
        <f aca="false">BB343</f>
        <v/>
      </c>
      <c r="BQ343" s="106" t="str">
        <f aca="false">IF(ISBLANK($C343),
    "",
    BE343
)</f>
        <v/>
      </c>
      <c r="BR343" s="109" t="str">
        <f aca="false">IF(BI343&gt;BH$7,
    "",
    VLOOKUP(BI343,BK$8:BQ842,7,FALSE())
)</f>
        <v/>
      </c>
      <c r="BS343" s="110" t="str">
        <f aca="false">IF(BI343&gt;BH$7,
    "",
    VLOOKUP(BI343,BK$8:BQ842,2,FALSE())
)</f>
        <v/>
      </c>
      <c r="BT343" s="110" t="str">
        <f aca="false">IF(BI343&gt;BH$7,
    "",
    VLOOKUP(BI343,BK$8:BQ842,3,FALSE())
)</f>
        <v/>
      </c>
      <c r="BU343" s="110" t="str">
        <f aca="false">IF(BI343&gt;BH$7,
    "",
    VLOOKUP(BI343,BK$8:BQ842,4,FALSE())
)</f>
        <v/>
      </c>
      <c r="BV343" s="110" t="str">
        <f aca="false">IF(BI343&gt;BH$7,
    "",
    VLOOKUP(BI343,BK$8:BQ842,5,FALSE())
)</f>
        <v/>
      </c>
      <c r="BW343" s="111" t="str">
        <f aca="false">IF(BI343&gt;BH$7,
    "",
    VLOOKUP(BI343,BK$8:BQ842,6,FALSE())
)</f>
        <v/>
      </c>
      <c r="BX343" s="50"/>
    </row>
    <row r="344" customFormat="false" ht="15.75" hidden="false" customHeight="false" outlineLevel="0" collapsed="false">
      <c r="A344" s="5"/>
      <c r="B344" s="126"/>
      <c r="C344" s="52"/>
      <c r="D344" s="53"/>
      <c r="E344" s="120"/>
      <c r="F344" s="120"/>
      <c r="G344" s="55"/>
      <c r="H344" s="56"/>
      <c r="I344" s="80"/>
      <c r="J344" s="80"/>
      <c r="K344" s="80"/>
      <c r="L344" s="58"/>
      <c r="M344" s="58"/>
      <c r="N344" s="58"/>
      <c r="O344" s="59"/>
      <c r="P344" s="60"/>
      <c r="Q344" s="80"/>
      <c r="R344" s="62"/>
      <c r="S344" s="63"/>
      <c r="T344" s="63" t="str">
        <f aca="false">IF(ISBLANK($C344),"",IF(G344=Constants!$B$2, TRUE(), IF(G344=Constants!$B$3, FALSE(), TRUE())))</f>
        <v/>
      </c>
      <c r="U344" s="63" t="str">
        <f aca="false">IF(ISBLANK($C344),"",IF(H344=Constants!$B$2, TRUE(), IF(H344=Constants!$B$3, FALSE(), TRUE())))</f>
        <v/>
      </c>
      <c r="V344" s="63" t="str">
        <f aca="false">IF(ISBLANK($C344),"",IF(I344=Constants!$B$2, TRUE(), IF(I344=Constants!$B$3, FALSE(), TRUE())))</f>
        <v/>
      </c>
      <c r="W344" s="63" t="str">
        <f aca="false">IF(ISBLANK($C344),"",IF(J344=Constants!$B$2, TRUE(), IF(J344=Constants!$B$3, FALSE(), TRUE())))</f>
        <v/>
      </c>
      <c r="X344" s="63" t="str">
        <f aca="false">IF(ISBLANK($C344),"",IF(K344=Constants!$B$2, TRUE(), IF(K344=Constants!$B$3, FALSE(), TRUE())))</f>
        <v/>
      </c>
      <c r="Y344" s="65" t="str">
        <f aca="false">IF(ISBLANK($C344),"",IF(ISNUMBER(L344), L344, ""))</f>
        <v/>
      </c>
      <c r="Z344" s="65" t="str">
        <f aca="false">IF(ISBLANK($C344),"",IF(ISNUMBER(M344), M344, ""))</f>
        <v/>
      </c>
      <c r="AA344" s="65" t="str">
        <f aca="false">IF(ISBLANK($C344),"",IF(ISNUMBER(N344), N344, ""))</f>
        <v/>
      </c>
      <c r="AB344" s="66" t="str">
        <f aca="false">IF(ISBLANK($C344),"",IF(ISNUMBER(O344), O344, ""))</f>
        <v/>
      </c>
      <c r="AC344" s="66" t="str">
        <f aca="false">IF(ISBLANK($C344),"",IF(ISNUMBER(P344), P344, Constants!$B$13))</f>
        <v/>
      </c>
      <c r="AD344" s="63" t="str">
        <f aca="false">IF(ISBLANK($C344),"",IF(Q344=Constants!$B$2, TRUE(), IF(Q344=Constants!$B$3, FALSE(), FALSE())))</f>
        <v/>
      </c>
      <c r="AE344" s="63" t="str">
        <f aca="false">IF(ISBLANK(C344), "", IF(AD344, Constants!$B$4,IF(COUNTA(G344:O344)=0, Constants!$B$5, Constants!$B$7)))</f>
        <v/>
      </c>
      <c r="AF344" s="63" t="str">
        <f aca="false">IF(ISBLANK($C344), "",IF($AE344=Constants!$B$7,1,$AE344))</f>
        <v/>
      </c>
      <c r="AG344" s="63" t="str">
        <f aca="false">IF($AE344=Constants!$B$7,IF(V344, 1, Constants!$B$11) * IF(X344, 1, Constants!$B$12),"")</f>
        <v/>
      </c>
      <c r="AH344" s="63" t="str">
        <f aca="false">IF(AND($AE344=Constants!$B$7, T344, U344) ,MAX(0, $AA344-$Y344),"")</f>
        <v/>
      </c>
      <c r="AI344" s="63" t="str">
        <f aca="false">IF(ISERROR(AH344),$AI$6,"")</f>
        <v/>
      </c>
      <c r="AJ344" s="63" t="str">
        <f aca="false">IF($AE344=Constants!$B$7,IF(AND(T344,U344,W344),IF($AH$6=0,Constants!$B$9,Constants!$B$9*AH344/$AH$6), 0),"")</f>
        <v/>
      </c>
      <c r="AK344" s="63" t="str">
        <f aca="false">IF(AJ344&lt;&gt;"", AJ344*AG344,"")</f>
        <v/>
      </c>
      <c r="AL344" s="63" t="str">
        <f aca="false">IF(AND($AE344=Constants!$B$7, T344, U344) ,IF($Z344="", "", MAX(0,1-ABS($AA344-$Z344)/$AA344)),"")</f>
        <v/>
      </c>
      <c r="AM344" s="63" t="str">
        <f aca="false">IF(AND(NOT(ISERROR(AH344)),ISERROR(AL344)),$AM$6,"")</f>
        <v/>
      </c>
      <c r="AN344" s="63" t="str">
        <f aca="false">IF($AE344=Constants!$B$7 ,IF(AND(T344,U344,W344,ISNUMBER(Z344)),IF($AL$6=0,Constants!$B$10,Constants!$B$10*AL344/$AL$6), 0),"")</f>
        <v/>
      </c>
      <c r="AO344" s="63" t="str">
        <f aca="false">IF(AN344&lt;&gt;"", AN344*AG344,"")</f>
        <v/>
      </c>
      <c r="AP344" s="63" t="str">
        <f aca="false">IF($AE344=Constants!$B$7,IF($AP$6=0,Constants!$B$8,Constants!$B$8*AB344/$AP$6),"")</f>
        <v/>
      </c>
      <c r="AQ344" s="63" t="str">
        <f aca="false">IF($AE344&lt;&gt;Constants!$B$7,$AE344,AK344+AO344+AP344)</f>
        <v/>
      </c>
      <c r="AR344" s="63" t="str">
        <f aca="false">IF(ISBLANK($C344),"",IF($AE344=Constants!$B$7,RANK(AQ344,$AQ$8:$AQ$507),$AE344))</f>
        <v/>
      </c>
      <c r="AS344" s="63" t="str">
        <f aca="false">IF(ISBLANK($C344), "",AK344)</f>
        <v/>
      </c>
      <c r="AT344" s="63" t="str">
        <f aca="false">IF(ISBLANK($C344),"",IF($AE344=Constants!$B$7,RANK(AS344,AS$8:AS$507),$AE344))</f>
        <v/>
      </c>
      <c r="AU344" s="63" t="str">
        <f aca="false">IF(ISBLANK($C344), "",AP344)</f>
        <v/>
      </c>
      <c r="AV344" s="63" t="str">
        <f aca="false">IF(ISBLANK($C344),"",IF($AE344=Constants!$B$7,RANK(AU344,AU$8:AU$507),$AE344))</f>
        <v/>
      </c>
      <c r="AW344" s="63" t="str">
        <f aca="false">IF(ISBLANK($C344), "",AC344)</f>
        <v/>
      </c>
      <c r="AX344" s="63" t="str">
        <f aca="false">IF(ISBLANK($C344),"",
IF($AE344=Constants!$B$7,
  COUNTIFS($AR$8:$AR$507,"&lt;"&amp;$AR344)
  + COUNTIFS($AR$8:$AR$507,$AR344,$AT$8:$AT$507,"&lt;"&amp;$AT344)
  + COUNTIFS($AR$8:$AR$507,$AR344,$AT$8:$AT$507,$AT344,$AV$8:$AV$507,"&lt;"&amp;$AV344)
  + COUNTIFS($AR$8:$AR$507,$AR344,$AT$8:$AT$507,$AT344,$AV$8:$AV$507,$AV344,$AW$8:$AW$507,"&lt;"&amp;$AW344)
  + 1,
$AE344))</f>
        <v/>
      </c>
      <c r="AY344" s="63" t="str">
        <f aca="false">IF(ISBLANK(C344),"",IF($AE344=Constants!$B$7, AR344-AX344,$AE344))</f>
        <v/>
      </c>
      <c r="AZ344" s="67"/>
      <c r="BA344" s="81" t="str">
        <f aca="false">IF(ISBLANK($C344),"",TRIM(AI344&amp;" "&amp;AM344))</f>
        <v/>
      </c>
      <c r="BB344" s="69" t="str">
        <f aca="false">IF(ISBLANK($C344),"",IF($AE344&lt;&gt;Constants!$B$7, $AE344 ,AQ344))</f>
        <v/>
      </c>
      <c r="BC344" s="70" t="str">
        <f aca="false">IF(ISBLANK($C344),"",IF($AE344&lt;&gt;Constants!$B$7, $AE344 ,AF344))</f>
        <v/>
      </c>
      <c r="BD344" s="71" t="str">
        <f aca="false">IF(ISBLANK(C344),"",AY344)</f>
        <v/>
      </c>
      <c r="BE344" s="71" t="str">
        <f aca="false">IF(ISBLANK(C344),"",AX344)</f>
        <v/>
      </c>
      <c r="BF344" s="72" t="str">
        <f aca="false">IF(ISBLANK(C344),"",IFERROR(_xlfn.SWITCH(BE344, Constants!$B$4, COUNTA($C$8:$C843)+2, Constants!$B$5, COUNTA($C$8:$C843)+1, Constants!$B$6, COUNTA($C$8:$C843)),BE344))</f>
        <v/>
      </c>
      <c r="BG344" s="5"/>
      <c r="BH344" s="73" t="n">
        <f aca="false">IF(OR(ISNUMBER(BE344),BE344="DQ",BE344="P",BE344="NS"),
    1,
    0
)</f>
        <v>0</v>
      </c>
      <c r="BI344" s="73" t="n">
        <v>337</v>
      </c>
      <c r="BJ344" s="73" t="str">
        <f aca="false">IF(ISBLANK($C344),
    "",
   BF344+ROW($B344)/1000
)</f>
        <v/>
      </c>
      <c r="BK344" s="73" t="str">
        <f aca="false">IF(ISNUMBER(BJ344), RANK(BJ344,BJ$8:BJ$507,1), "")</f>
        <v/>
      </c>
      <c r="BL344" s="73" t="str">
        <f aca="false">IF(ISBLANK($C344),
    "",
    $B344
)</f>
        <v/>
      </c>
      <c r="BM344" s="73" t="str">
        <f aca="false">IF(ISBLANK($C344),
    "",
    $C344
)</f>
        <v/>
      </c>
      <c r="BN344" s="73" t="str">
        <f aca="false">IF(ISBLANK($C344),
    "",
    $D344
)</f>
        <v/>
      </c>
      <c r="BO344" s="74" t="str">
        <f aca="false">BC344</f>
        <v/>
      </c>
      <c r="BP344" s="75" t="str">
        <f aca="false">BB344</f>
        <v/>
      </c>
      <c r="BQ344" s="73" t="str">
        <f aca="false">IF(ISBLANK($C344),
    "",
    BE344
)</f>
        <v/>
      </c>
      <c r="BR344" s="76" t="str">
        <f aca="false">IF(BI344&gt;BH$7,
    "",
    VLOOKUP(BI344,BK$8:BQ843,7,FALSE())
)</f>
        <v/>
      </c>
      <c r="BS344" s="77" t="str">
        <f aca="false">IF(BI344&gt;BH$7,
    "",
    VLOOKUP(BI344,BK$8:BQ843,2,FALSE())
)</f>
        <v/>
      </c>
      <c r="BT344" s="77" t="str">
        <f aca="false">IF(BI344&gt;BH$7,
    "",
    VLOOKUP(BI344,BK$8:BQ843,3,FALSE())
)</f>
        <v/>
      </c>
      <c r="BU344" s="77" t="str">
        <f aca="false">IF(BI344&gt;BH$7,
    "",
    VLOOKUP(BI344,BK$8:BQ843,4,FALSE())
)</f>
        <v/>
      </c>
      <c r="BV344" s="77" t="str">
        <f aca="false">IF(BI344&gt;BH$7,
    "",
    VLOOKUP(BI344,BK$8:BQ843,5,FALSE())
)</f>
        <v/>
      </c>
      <c r="BW344" s="78" t="str">
        <f aca="false">IF(BI344&gt;BH$7,
    "",
    VLOOKUP(BI344,BK$8:BQ843,6,FALSE())
)</f>
        <v/>
      </c>
      <c r="BX344" s="50"/>
    </row>
    <row r="345" customFormat="false" ht="15.75" hidden="false" customHeight="false" outlineLevel="0" collapsed="false">
      <c r="A345" s="5"/>
      <c r="B345" s="126"/>
      <c r="C345" s="52"/>
      <c r="D345" s="53"/>
      <c r="E345" s="120"/>
      <c r="F345" s="120"/>
      <c r="G345" s="55"/>
      <c r="H345" s="56"/>
      <c r="I345" s="80"/>
      <c r="J345" s="80"/>
      <c r="K345" s="80"/>
      <c r="L345" s="58"/>
      <c r="M345" s="58"/>
      <c r="N345" s="58"/>
      <c r="O345" s="59"/>
      <c r="P345" s="60"/>
      <c r="Q345" s="80"/>
      <c r="R345" s="62"/>
      <c r="S345" s="63"/>
      <c r="T345" s="63" t="str">
        <f aca="false">IF(ISBLANK($C345),"",IF(G345=Constants!$B$2, TRUE(), IF(G345=Constants!$B$3, FALSE(), TRUE())))</f>
        <v/>
      </c>
      <c r="U345" s="63" t="str">
        <f aca="false">IF(ISBLANK($C345),"",IF(H345=Constants!$B$2, TRUE(), IF(H345=Constants!$B$3, FALSE(), TRUE())))</f>
        <v/>
      </c>
      <c r="V345" s="63" t="str">
        <f aca="false">IF(ISBLANK($C345),"",IF(I345=Constants!$B$2, TRUE(), IF(I345=Constants!$B$3, FALSE(), TRUE())))</f>
        <v/>
      </c>
      <c r="W345" s="63" t="str">
        <f aca="false">IF(ISBLANK($C345),"",IF(J345=Constants!$B$2, TRUE(), IF(J345=Constants!$B$3, FALSE(), TRUE())))</f>
        <v/>
      </c>
      <c r="X345" s="63" t="str">
        <f aca="false">IF(ISBLANK($C345),"",IF(K345=Constants!$B$2, TRUE(), IF(K345=Constants!$B$3, FALSE(), TRUE())))</f>
        <v/>
      </c>
      <c r="Y345" s="65" t="str">
        <f aca="false">IF(ISBLANK($C345),"",IF(ISNUMBER(L345), L345, ""))</f>
        <v/>
      </c>
      <c r="Z345" s="65" t="str">
        <f aca="false">IF(ISBLANK($C345),"",IF(ISNUMBER(M345), M345, ""))</f>
        <v/>
      </c>
      <c r="AA345" s="65" t="str">
        <f aca="false">IF(ISBLANK($C345),"",IF(ISNUMBER(N345), N345, ""))</f>
        <v/>
      </c>
      <c r="AB345" s="66" t="str">
        <f aca="false">IF(ISBLANK($C345),"",IF(ISNUMBER(O345), O345, ""))</f>
        <v/>
      </c>
      <c r="AC345" s="66" t="str">
        <f aca="false">IF(ISBLANK($C345),"",IF(ISNUMBER(P345), P345, Constants!$B$13))</f>
        <v/>
      </c>
      <c r="AD345" s="63" t="str">
        <f aca="false">IF(ISBLANK($C345),"",IF(Q345=Constants!$B$2, TRUE(), IF(Q345=Constants!$B$3, FALSE(), FALSE())))</f>
        <v/>
      </c>
      <c r="AE345" s="63" t="str">
        <f aca="false">IF(ISBLANK(C345), "", IF(AD345, Constants!$B$4,IF(COUNTA(G345:O345)=0, Constants!$B$5, Constants!$B$7)))</f>
        <v/>
      </c>
      <c r="AF345" s="63" t="str">
        <f aca="false">IF(ISBLANK($C345), "",IF($AE345=Constants!$B$7,1,$AE345))</f>
        <v/>
      </c>
      <c r="AG345" s="63" t="str">
        <f aca="false">IF($AE345=Constants!$B$7,IF(V345, 1, Constants!$B$11) * IF(X345, 1, Constants!$B$12),"")</f>
        <v/>
      </c>
      <c r="AH345" s="63" t="str">
        <f aca="false">IF(AND($AE345=Constants!$B$7, T345, U345) ,MAX(0, $AA345-$Y345),"")</f>
        <v/>
      </c>
      <c r="AI345" s="63" t="str">
        <f aca="false">IF(ISERROR(AH345),$AI$6,"")</f>
        <v/>
      </c>
      <c r="AJ345" s="63" t="str">
        <f aca="false">IF($AE345=Constants!$B$7,IF(AND(T345,U345,W345),IF($AH$6=0,Constants!$B$9,Constants!$B$9*AH345/$AH$6), 0),"")</f>
        <v/>
      </c>
      <c r="AK345" s="63" t="str">
        <f aca="false">IF(AJ345&lt;&gt;"", AJ345*AG345,"")</f>
        <v/>
      </c>
      <c r="AL345" s="63" t="str">
        <f aca="false">IF(AND($AE345=Constants!$B$7, T345, U345) ,IF($Z345="", "", MAX(0,1-ABS($AA345-$Z345)/$AA345)),"")</f>
        <v/>
      </c>
      <c r="AM345" s="63" t="str">
        <f aca="false">IF(AND(NOT(ISERROR(AH345)),ISERROR(AL345)),$AM$6,"")</f>
        <v/>
      </c>
      <c r="AN345" s="63" t="str">
        <f aca="false">IF($AE345=Constants!$B$7 ,IF(AND(T345,U345,W345,ISNUMBER(Z345)),IF($AL$6=0,Constants!$B$10,Constants!$B$10*AL345/$AL$6), 0),"")</f>
        <v/>
      </c>
      <c r="AO345" s="63" t="str">
        <f aca="false">IF(AN345&lt;&gt;"", AN345*AG345,"")</f>
        <v/>
      </c>
      <c r="AP345" s="63" t="str">
        <f aca="false">IF($AE345=Constants!$B$7,IF($AP$6=0,Constants!$B$8,Constants!$B$8*AB345/$AP$6),"")</f>
        <v/>
      </c>
      <c r="AQ345" s="63" t="str">
        <f aca="false">IF($AE345&lt;&gt;Constants!$B$7,$AE345,AK345+AO345+AP345)</f>
        <v/>
      </c>
      <c r="AR345" s="63" t="str">
        <f aca="false">IF(ISBLANK($C345),"",IF($AE345=Constants!$B$7,RANK(AQ345,$AQ$8:$AQ$507),$AE345))</f>
        <v/>
      </c>
      <c r="AS345" s="63" t="str">
        <f aca="false">IF(ISBLANK($C345), "",AK345)</f>
        <v/>
      </c>
      <c r="AT345" s="63" t="str">
        <f aca="false">IF(ISBLANK($C345),"",IF($AE345=Constants!$B$7,RANK(AS345,AS$8:AS$507),$AE345))</f>
        <v/>
      </c>
      <c r="AU345" s="63" t="str">
        <f aca="false">IF(ISBLANK($C345), "",AP345)</f>
        <v/>
      </c>
      <c r="AV345" s="63" t="str">
        <f aca="false">IF(ISBLANK($C345),"",IF($AE345=Constants!$B$7,RANK(AU345,AU$8:AU$507),$AE345))</f>
        <v/>
      </c>
      <c r="AW345" s="63" t="str">
        <f aca="false">IF(ISBLANK($C345), "",AC345)</f>
        <v/>
      </c>
      <c r="AX345" s="63" t="str">
        <f aca="false">IF(ISBLANK($C345),"",
IF($AE345=Constants!$B$7,
  COUNTIFS($AR$8:$AR$507,"&lt;"&amp;$AR345)
  + COUNTIFS($AR$8:$AR$507,$AR345,$AT$8:$AT$507,"&lt;"&amp;$AT345)
  + COUNTIFS($AR$8:$AR$507,$AR345,$AT$8:$AT$507,$AT345,$AV$8:$AV$507,"&lt;"&amp;$AV345)
  + COUNTIFS($AR$8:$AR$507,$AR345,$AT$8:$AT$507,$AT345,$AV$8:$AV$507,$AV345,$AW$8:$AW$507,"&lt;"&amp;$AW345)
  + 1,
$AE345))</f>
        <v/>
      </c>
      <c r="AY345" s="63" t="str">
        <f aca="false">IF(ISBLANK(C345),"",IF($AE345=Constants!$B$7, AR345-AX345,$AE345))</f>
        <v/>
      </c>
      <c r="AZ345" s="67"/>
      <c r="BA345" s="81" t="str">
        <f aca="false">IF(ISBLANK($C345),"",TRIM(AI345&amp;" "&amp;AM345))</f>
        <v/>
      </c>
      <c r="BB345" s="69" t="str">
        <f aca="false">IF(ISBLANK($C345),"",IF($AE345&lt;&gt;Constants!$B$7, $AE345 ,AQ345))</f>
        <v/>
      </c>
      <c r="BC345" s="70" t="str">
        <f aca="false">IF(ISBLANK($C345),"",IF($AE345&lt;&gt;Constants!$B$7, $AE345 ,AF345))</f>
        <v/>
      </c>
      <c r="BD345" s="71" t="str">
        <f aca="false">IF(ISBLANK(C345),"",AY345)</f>
        <v/>
      </c>
      <c r="BE345" s="71" t="str">
        <f aca="false">IF(ISBLANK(C345),"",AX345)</f>
        <v/>
      </c>
      <c r="BF345" s="72" t="str">
        <f aca="false">IF(ISBLANK(C345),"",IFERROR(_xlfn.SWITCH(BE345, Constants!$B$4, COUNTA($C$8:$C844)+2, Constants!$B$5, COUNTA($C$8:$C844)+1, Constants!$B$6, COUNTA($C$8:$C844)),BE345))</f>
        <v/>
      </c>
      <c r="BG345" s="5"/>
      <c r="BH345" s="73" t="n">
        <f aca="false">IF(OR(ISNUMBER(BE345),BE345="DQ",BE345="P",BE345="NS"),
    1,
    0
)</f>
        <v>0</v>
      </c>
      <c r="BI345" s="73" t="n">
        <v>338</v>
      </c>
      <c r="BJ345" s="73" t="str">
        <f aca="false">IF(ISBLANK($C345),
    "",
   BF345+ROW($B345)/1000
)</f>
        <v/>
      </c>
      <c r="BK345" s="73" t="str">
        <f aca="false">IF(ISNUMBER(BJ345), RANK(BJ345,BJ$8:BJ$507,1), "")</f>
        <v/>
      </c>
      <c r="BL345" s="73" t="str">
        <f aca="false">IF(ISBLANK($C345),
    "",
    $B345
)</f>
        <v/>
      </c>
      <c r="BM345" s="73" t="str">
        <f aca="false">IF(ISBLANK($C345),
    "",
    $C345
)</f>
        <v/>
      </c>
      <c r="BN345" s="73" t="str">
        <f aca="false">IF(ISBLANK($C345),
    "",
    $D345
)</f>
        <v/>
      </c>
      <c r="BO345" s="74" t="str">
        <f aca="false">BC345</f>
        <v/>
      </c>
      <c r="BP345" s="75" t="str">
        <f aca="false">BB345</f>
        <v/>
      </c>
      <c r="BQ345" s="73" t="str">
        <f aca="false">IF(ISBLANK($C345),
    "",
    BE345
)</f>
        <v/>
      </c>
      <c r="BR345" s="76" t="str">
        <f aca="false">IF(BI345&gt;BH$7,
    "",
    VLOOKUP(BI345,BK$8:BQ844,7,FALSE())
)</f>
        <v/>
      </c>
      <c r="BS345" s="77" t="str">
        <f aca="false">IF(BI345&gt;BH$7,
    "",
    VLOOKUP(BI345,BK$8:BQ844,2,FALSE())
)</f>
        <v/>
      </c>
      <c r="BT345" s="77" t="str">
        <f aca="false">IF(BI345&gt;BH$7,
    "",
    VLOOKUP(BI345,BK$8:BQ844,3,FALSE())
)</f>
        <v/>
      </c>
      <c r="BU345" s="77" t="str">
        <f aca="false">IF(BI345&gt;BH$7,
    "",
    VLOOKUP(BI345,BK$8:BQ844,4,FALSE())
)</f>
        <v/>
      </c>
      <c r="BV345" s="77" t="str">
        <f aca="false">IF(BI345&gt;BH$7,
    "",
    VLOOKUP(BI345,BK$8:BQ844,5,FALSE())
)</f>
        <v/>
      </c>
      <c r="BW345" s="78" t="str">
        <f aca="false">IF(BI345&gt;BH$7,
    "",
    VLOOKUP(BI345,BK$8:BQ844,6,FALSE())
)</f>
        <v/>
      </c>
      <c r="BX345" s="50"/>
    </row>
    <row r="346" customFormat="false" ht="15.75" hidden="false" customHeight="false" outlineLevel="0" collapsed="false">
      <c r="A346" s="5"/>
      <c r="B346" s="126"/>
      <c r="C346" s="52"/>
      <c r="D346" s="53"/>
      <c r="E346" s="120"/>
      <c r="F346" s="120"/>
      <c r="G346" s="55"/>
      <c r="H346" s="56"/>
      <c r="I346" s="80"/>
      <c r="J346" s="80"/>
      <c r="K346" s="80"/>
      <c r="L346" s="58"/>
      <c r="M346" s="58"/>
      <c r="N346" s="58"/>
      <c r="O346" s="59"/>
      <c r="P346" s="60"/>
      <c r="Q346" s="80"/>
      <c r="R346" s="62"/>
      <c r="S346" s="63"/>
      <c r="T346" s="63" t="str">
        <f aca="false">IF(ISBLANK($C346),"",IF(G346=Constants!$B$2, TRUE(), IF(G346=Constants!$B$3, FALSE(), TRUE())))</f>
        <v/>
      </c>
      <c r="U346" s="63" t="str">
        <f aca="false">IF(ISBLANK($C346),"",IF(H346=Constants!$B$2, TRUE(), IF(H346=Constants!$B$3, FALSE(), TRUE())))</f>
        <v/>
      </c>
      <c r="V346" s="63" t="str">
        <f aca="false">IF(ISBLANK($C346),"",IF(I346=Constants!$B$2, TRUE(), IF(I346=Constants!$B$3, FALSE(), TRUE())))</f>
        <v/>
      </c>
      <c r="W346" s="63" t="str">
        <f aca="false">IF(ISBLANK($C346),"",IF(J346=Constants!$B$2, TRUE(), IF(J346=Constants!$B$3, FALSE(), TRUE())))</f>
        <v/>
      </c>
      <c r="X346" s="63" t="str">
        <f aca="false">IF(ISBLANK($C346),"",IF(K346=Constants!$B$2, TRUE(), IF(K346=Constants!$B$3, FALSE(), TRUE())))</f>
        <v/>
      </c>
      <c r="Y346" s="65" t="str">
        <f aca="false">IF(ISBLANK($C346),"",IF(ISNUMBER(L346), L346, ""))</f>
        <v/>
      </c>
      <c r="Z346" s="65" t="str">
        <f aca="false">IF(ISBLANK($C346),"",IF(ISNUMBER(M346), M346, ""))</f>
        <v/>
      </c>
      <c r="AA346" s="65" t="str">
        <f aca="false">IF(ISBLANK($C346),"",IF(ISNUMBER(N346), N346, ""))</f>
        <v/>
      </c>
      <c r="AB346" s="66" t="str">
        <f aca="false">IF(ISBLANK($C346),"",IF(ISNUMBER(O346), O346, ""))</f>
        <v/>
      </c>
      <c r="AC346" s="66" t="str">
        <f aca="false">IF(ISBLANK($C346),"",IF(ISNUMBER(P346), P346, Constants!$B$13))</f>
        <v/>
      </c>
      <c r="AD346" s="63" t="str">
        <f aca="false">IF(ISBLANK($C346),"",IF(Q346=Constants!$B$2, TRUE(), IF(Q346=Constants!$B$3, FALSE(), FALSE())))</f>
        <v/>
      </c>
      <c r="AE346" s="63" t="str">
        <f aca="false">IF(ISBLANK(C346), "", IF(AD346, Constants!$B$4,IF(COUNTA(G346:O346)=0, Constants!$B$5, Constants!$B$7)))</f>
        <v/>
      </c>
      <c r="AF346" s="63" t="str">
        <f aca="false">IF(ISBLANK($C346), "",IF($AE346=Constants!$B$7,1,$AE346))</f>
        <v/>
      </c>
      <c r="AG346" s="63" t="str">
        <f aca="false">IF($AE346=Constants!$B$7,IF(V346, 1, Constants!$B$11) * IF(X346, 1, Constants!$B$12),"")</f>
        <v/>
      </c>
      <c r="AH346" s="63" t="str">
        <f aca="false">IF(AND($AE346=Constants!$B$7, T346, U346) ,MAX(0, $AA346-$Y346),"")</f>
        <v/>
      </c>
      <c r="AI346" s="63" t="str">
        <f aca="false">IF(ISERROR(AH346),$AI$6,"")</f>
        <v/>
      </c>
      <c r="AJ346" s="63" t="str">
        <f aca="false">IF($AE346=Constants!$B$7,IF(AND(T346,U346,W346),IF($AH$6=0,Constants!$B$9,Constants!$B$9*AH346/$AH$6), 0),"")</f>
        <v/>
      </c>
      <c r="AK346" s="63" t="str">
        <f aca="false">IF(AJ346&lt;&gt;"", AJ346*AG346,"")</f>
        <v/>
      </c>
      <c r="AL346" s="63" t="str">
        <f aca="false">IF(AND($AE346=Constants!$B$7, T346, U346) ,IF($Z346="", "", MAX(0,1-ABS($AA346-$Z346)/$AA346)),"")</f>
        <v/>
      </c>
      <c r="AM346" s="63" t="str">
        <f aca="false">IF(AND(NOT(ISERROR(AH346)),ISERROR(AL346)),$AM$6,"")</f>
        <v/>
      </c>
      <c r="AN346" s="63" t="str">
        <f aca="false">IF($AE346=Constants!$B$7 ,IF(AND(T346,U346,W346,ISNUMBER(Z346)),IF($AL$6=0,Constants!$B$10,Constants!$B$10*AL346/$AL$6), 0),"")</f>
        <v/>
      </c>
      <c r="AO346" s="63" t="str">
        <f aca="false">IF(AN346&lt;&gt;"", AN346*AG346,"")</f>
        <v/>
      </c>
      <c r="AP346" s="63" t="str">
        <f aca="false">IF($AE346=Constants!$B$7,IF($AP$6=0,Constants!$B$8,Constants!$B$8*AB346/$AP$6),"")</f>
        <v/>
      </c>
      <c r="AQ346" s="63" t="str">
        <f aca="false">IF($AE346&lt;&gt;Constants!$B$7,$AE346,AK346+AO346+AP346)</f>
        <v/>
      </c>
      <c r="AR346" s="63" t="str">
        <f aca="false">IF(ISBLANK($C346),"",IF($AE346=Constants!$B$7,RANK(AQ346,$AQ$8:$AQ$507),$AE346))</f>
        <v/>
      </c>
      <c r="AS346" s="63" t="str">
        <f aca="false">IF(ISBLANK($C346), "",AK346)</f>
        <v/>
      </c>
      <c r="AT346" s="63" t="str">
        <f aca="false">IF(ISBLANK($C346),"",IF($AE346=Constants!$B$7,RANK(AS346,AS$8:AS$507),$AE346))</f>
        <v/>
      </c>
      <c r="AU346" s="63" t="str">
        <f aca="false">IF(ISBLANK($C346), "",AP346)</f>
        <v/>
      </c>
      <c r="AV346" s="63" t="str">
        <f aca="false">IF(ISBLANK($C346),"",IF($AE346=Constants!$B$7,RANK(AU346,AU$8:AU$507),$AE346))</f>
        <v/>
      </c>
      <c r="AW346" s="63" t="str">
        <f aca="false">IF(ISBLANK($C346), "",AC346)</f>
        <v/>
      </c>
      <c r="AX346" s="63" t="str">
        <f aca="false">IF(ISBLANK($C346),"",
IF($AE346=Constants!$B$7,
  COUNTIFS($AR$8:$AR$507,"&lt;"&amp;$AR346)
  + COUNTIFS($AR$8:$AR$507,$AR346,$AT$8:$AT$507,"&lt;"&amp;$AT346)
  + COUNTIFS($AR$8:$AR$507,$AR346,$AT$8:$AT$507,$AT346,$AV$8:$AV$507,"&lt;"&amp;$AV346)
  + COUNTIFS($AR$8:$AR$507,$AR346,$AT$8:$AT$507,$AT346,$AV$8:$AV$507,$AV346,$AW$8:$AW$507,"&lt;"&amp;$AW346)
  + 1,
$AE346))</f>
        <v/>
      </c>
      <c r="AY346" s="63" t="str">
        <f aca="false">IF(ISBLANK(C346),"",IF($AE346=Constants!$B$7, AR346-AX346,$AE346))</f>
        <v/>
      </c>
      <c r="AZ346" s="67"/>
      <c r="BA346" s="81" t="str">
        <f aca="false">IF(ISBLANK($C346),"",TRIM(AI346&amp;" "&amp;AM346))</f>
        <v/>
      </c>
      <c r="BB346" s="69" t="str">
        <f aca="false">IF(ISBLANK($C346),"",IF($AE346&lt;&gt;Constants!$B$7, $AE346 ,AQ346))</f>
        <v/>
      </c>
      <c r="BC346" s="70" t="str">
        <f aca="false">IF(ISBLANK($C346),"",IF($AE346&lt;&gt;Constants!$B$7, $AE346 ,AF346))</f>
        <v/>
      </c>
      <c r="BD346" s="71" t="str">
        <f aca="false">IF(ISBLANK(C346),"",AY346)</f>
        <v/>
      </c>
      <c r="BE346" s="71" t="str">
        <f aca="false">IF(ISBLANK(C346),"",AX346)</f>
        <v/>
      </c>
      <c r="BF346" s="72" t="str">
        <f aca="false">IF(ISBLANK(C346),"",IFERROR(_xlfn.SWITCH(BE346, Constants!$B$4, COUNTA($C$8:$C845)+2, Constants!$B$5, COUNTA($C$8:$C845)+1, Constants!$B$6, COUNTA($C$8:$C845)),BE346))</f>
        <v/>
      </c>
      <c r="BG346" s="5"/>
      <c r="BH346" s="73" t="n">
        <f aca="false">IF(OR(ISNUMBER(BE346),BE346="DQ",BE346="P",BE346="NS"),
    1,
    0
)</f>
        <v>0</v>
      </c>
      <c r="BI346" s="73" t="n">
        <v>339</v>
      </c>
      <c r="BJ346" s="73" t="str">
        <f aca="false">IF(ISBLANK($C346),
    "",
   BF346+ROW($B346)/1000
)</f>
        <v/>
      </c>
      <c r="BK346" s="73" t="str">
        <f aca="false">IF(ISNUMBER(BJ346), RANK(BJ346,BJ$8:BJ$507,1), "")</f>
        <v/>
      </c>
      <c r="BL346" s="73" t="str">
        <f aca="false">IF(ISBLANK($C346),
    "",
    $B346
)</f>
        <v/>
      </c>
      <c r="BM346" s="73" t="str">
        <f aca="false">IF(ISBLANK($C346),
    "",
    $C346
)</f>
        <v/>
      </c>
      <c r="BN346" s="73" t="str">
        <f aca="false">IF(ISBLANK($C346),
    "",
    $D346
)</f>
        <v/>
      </c>
      <c r="BO346" s="74" t="str">
        <f aca="false">BC346</f>
        <v/>
      </c>
      <c r="BP346" s="75" t="str">
        <f aca="false">BB346</f>
        <v/>
      </c>
      <c r="BQ346" s="73" t="str">
        <f aca="false">IF(ISBLANK($C346),
    "",
    BE346
)</f>
        <v/>
      </c>
      <c r="BR346" s="76" t="str">
        <f aca="false">IF(BI346&gt;BH$7,
    "",
    VLOOKUP(BI346,BK$8:BQ845,7,FALSE())
)</f>
        <v/>
      </c>
      <c r="BS346" s="77" t="str">
        <f aca="false">IF(BI346&gt;BH$7,
    "",
    VLOOKUP(BI346,BK$8:BQ845,2,FALSE())
)</f>
        <v/>
      </c>
      <c r="BT346" s="77" t="str">
        <f aca="false">IF(BI346&gt;BH$7,
    "",
    VLOOKUP(BI346,BK$8:BQ845,3,FALSE())
)</f>
        <v/>
      </c>
      <c r="BU346" s="77" t="str">
        <f aca="false">IF(BI346&gt;BH$7,
    "",
    VLOOKUP(BI346,BK$8:BQ845,4,FALSE())
)</f>
        <v/>
      </c>
      <c r="BV346" s="77" t="str">
        <f aca="false">IF(BI346&gt;BH$7,
    "",
    VLOOKUP(BI346,BK$8:BQ845,5,FALSE())
)</f>
        <v/>
      </c>
      <c r="BW346" s="78" t="str">
        <f aca="false">IF(BI346&gt;BH$7,
    "",
    VLOOKUP(BI346,BK$8:BQ845,6,FALSE())
)</f>
        <v/>
      </c>
      <c r="BX346" s="50"/>
    </row>
    <row r="347" customFormat="false" ht="15.75" hidden="false" customHeight="false" outlineLevel="0" collapsed="false">
      <c r="A347" s="5"/>
      <c r="B347" s="122"/>
      <c r="C347" s="123"/>
      <c r="D347" s="112"/>
      <c r="E347" s="116"/>
      <c r="F347" s="116"/>
      <c r="G347" s="88"/>
      <c r="H347" s="89"/>
      <c r="I347" s="125"/>
      <c r="J347" s="125"/>
      <c r="K347" s="125"/>
      <c r="L347" s="91"/>
      <c r="M347" s="91"/>
      <c r="N347" s="91"/>
      <c r="O347" s="92"/>
      <c r="P347" s="93"/>
      <c r="Q347" s="125"/>
      <c r="R347" s="95"/>
      <c r="S347" s="96"/>
      <c r="T347" s="96" t="str">
        <f aca="false">IF(ISBLANK($C347),"",IF(G347=Constants!$B$2, TRUE(), IF(G347=Constants!$B$3, FALSE(), TRUE())))</f>
        <v/>
      </c>
      <c r="U347" s="96" t="str">
        <f aca="false">IF(ISBLANK($C347),"",IF(H347=Constants!$B$2, TRUE(), IF(H347=Constants!$B$3, FALSE(), TRUE())))</f>
        <v/>
      </c>
      <c r="V347" s="96" t="str">
        <f aca="false">IF(ISBLANK($C347),"",IF(I347=Constants!$B$2, TRUE(), IF(I347=Constants!$B$3, FALSE(), TRUE())))</f>
        <v/>
      </c>
      <c r="W347" s="96" t="str">
        <f aca="false">IF(ISBLANK($C347),"",IF(J347=Constants!$B$2, TRUE(), IF(J347=Constants!$B$3, FALSE(), TRUE())))</f>
        <v/>
      </c>
      <c r="X347" s="97" t="str">
        <f aca="false">IF(ISBLANK($C347),"",IF(K347=Constants!$B$2, TRUE(), IF(K347=Constants!$B$3, FALSE(), TRUE())))</f>
        <v/>
      </c>
      <c r="Y347" s="98" t="str">
        <f aca="false">IF(ISBLANK($C347),"",IF(ISNUMBER(L347), L347, ""))</f>
        <v/>
      </c>
      <c r="Z347" s="98" t="str">
        <f aca="false">IF(ISBLANK($C347),"",IF(ISNUMBER(M347), M347, ""))</f>
        <v/>
      </c>
      <c r="AA347" s="98" t="str">
        <f aca="false">IF(ISBLANK($C347),"",IF(ISNUMBER(N347), N347, ""))</f>
        <v/>
      </c>
      <c r="AB347" s="99" t="str">
        <f aca="false">IF(ISBLANK($C347),"",IF(ISNUMBER(O347), O347, ""))</f>
        <v/>
      </c>
      <c r="AC347" s="99" t="str">
        <f aca="false">IF(ISBLANK($C347),"",IF(ISNUMBER(P347), P347, Constants!$B$13))</f>
        <v/>
      </c>
      <c r="AD347" s="96" t="str">
        <f aca="false">IF(ISBLANK($C347),"",IF(Q347=Constants!$B$2, TRUE(), IF(Q347=Constants!$B$3, FALSE(), FALSE())))</f>
        <v/>
      </c>
      <c r="AE347" s="96" t="str">
        <f aca="false">IF(ISBLANK(C347), "", IF(AD347, Constants!$B$4,IF(COUNTA(G347:O347)=0, Constants!$B$5, Constants!$B$7)))</f>
        <v/>
      </c>
      <c r="AF347" s="96" t="str">
        <f aca="false">IF(ISBLANK($C347), "",IF($AE347=Constants!$B$7,1,$AE347))</f>
        <v/>
      </c>
      <c r="AG347" s="96" t="str">
        <f aca="false">IF($AE347=Constants!$B$7,IF(V347, 1, Constants!$B$11) * IF(X347, 1, Constants!$B$12),"")</f>
        <v/>
      </c>
      <c r="AH347" s="96" t="str">
        <f aca="false">IF(AND($AE347=Constants!$B$7, T347, U347) ,MAX(0, $AA347-$Y347),"")</f>
        <v/>
      </c>
      <c r="AI347" s="96" t="str">
        <f aca="false">IF(ISERROR(AH347),$AI$6,"")</f>
        <v/>
      </c>
      <c r="AJ347" s="96" t="str">
        <f aca="false">IF($AE347=Constants!$B$7,IF(AND(T347,U347,W347),IF($AH$6=0,Constants!$B$9,Constants!$B$9*AH347/$AH$6), 0),"")</f>
        <v/>
      </c>
      <c r="AK347" s="96" t="str">
        <f aca="false">IF(AJ347&lt;&gt;"", AJ347*AG347,"")</f>
        <v/>
      </c>
      <c r="AL347" s="96" t="str">
        <f aca="false">IF(AND($AE347=Constants!$B$7, T347, U347) ,IF($Z347="", "", MAX(0,1-ABS($AA347-$Z347)/$AA347)),"")</f>
        <v/>
      </c>
      <c r="AM347" s="96" t="str">
        <f aca="false">IF(AND(NOT(ISERROR(AH347)),ISERROR(AL347)),$AM$6,"")</f>
        <v/>
      </c>
      <c r="AN347" s="96" t="str">
        <f aca="false">IF($AE347=Constants!$B$7 ,IF(AND(T347,U347,W347,ISNUMBER(Z347)),IF($AL$6=0,Constants!$B$10,Constants!$B$10*AL347/$AL$6), 0),"")</f>
        <v/>
      </c>
      <c r="AO347" s="96" t="str">
        <f aca="false">IF(AN347&lt;&gt;"", AN347*AG347,"")</f>
        <v/>
      </c>
      <c r="AP347" s="96" t="str">
        <f aca="false">IF($AE347=Constants!$B$7,IF($AP$6=0,Constants!$B$8,Constants!$B$8*AB347/$AP$6),"")</f>
        <v/>
      </c>
      <c r="AQ347" s="96" t="str">
        <f aca="false">IF($AE347&lt;&gt;Constants!$B$7,$AE347,AK347+AO347+AP347)</f>
        <v/>
      </c>
      <c r="AR347" s="96" t="str">
        <f aca="false">IF(ISBLANK($C347),"",IF($AE347=Constants!$B$7,RANK(AQ347,$AQ$8:$AQ$507),$AE347))</f>
        <v/>
      </c>
      <c r="AS347" s="96" t="str">
        <f aca="false">IF(ISBLANK($C347), "",AK347)</f>
        <v/>
      </c>
      <c r="AT347" s="96" t="str">
        <f aca="false">IF(ISBLANK($C347),"",IF($AE347=Constants!$B$7,RANK(AS347,AS$8:AS$507),$AE347))</f>
        <v/>
      </c>
      <c r="AU347" s="96" t="str">
        <f aca="false">IF(ISBLANK($C347), "",AP347)</f>
        <v/>
      </c>
      <c r="AV347" s="96" t="str">
        <f aca="false">IF(ISBLANK($C347),"",IF($AE347=Constants!$B$7,RANK(AU347,AU$8:AU$507),$AE347))</f>
        <v/>
      </c>
      <c r="AW347" s="96" t="str">
        <f aca="false">IF(ISBLANK($C347), "",AC347)</f>
        <v/>
      </c>
      <c r="AX347" s="96" t="str">
        <f aca="false">IF(ISBLANK($C347),"",
IF($AE347=Constants!$B$7,
  COUNTIFS($AR$8:$AR$507,"&lt;"&amp;$AR347)
  + COUNTIFS($AR$8:$AR$507,$AR347,$AT$8:$AT$507,"&lt;"&amp;$AT347)
  + COUNTIFS($AR$8:$AR$507,$AR347,$AT$8:$AT$507,$AT347,$AV$8:$AV$507,"&lt;"&amp;$AV347)
  + COUNTIFS($AR$8:$AR$507,$AR347,$AT$8:$AT$507,$AT347,$AV$8:$AV$507,$AV347,$AW$8:$AW$507,"&lt;"&amp;$AW347)
  + 1,
$AE347))</f>
        <v/>
      </c>
      <c r="AY347" s="96" t="str">
        <f aca="false">IF(ISBLANK(C347),"",IF($AE347=Constants!$B$7, AR347-AX347,$AE347))</f>
        <v/>
      </c>
      <c r="AZ347" s="100"/>
      <c r="BA347" s="101" t="str">
        <f aca="false">IF(ISBLANK($C347),"",TRIM(AI347&amp;" "&amp;AM347))</f>
        <v/>
      </c>
      <c r="BB347" s="102" t="str">
        <f aca="false">IF(ISBLANK($C347),"",IF($AE347&lt;&gt;Constants!$B$7, $AE347 ,AQ347))</f>
        <v/>
      </c>
      <c r="BC347" s="103" t="str">
        <f aca="false">IF(ISBLANK($C347),"",IF($AE347&lt;&gt;Constants!$B$7, $AE347 ,AF347))</f>
        <v/>
      </c>
      <c r="BD347" s="104" t="str">
        <f aca="false">IF(ISBLANK(C347),"",AY347)</f>
        <v/>
      </c>
      <c r="BE347" s="104" t="str">
        <f aca="false">IF(ISBLANK(C347),"",AX347)</f>
        <v/>
      </c>
      <c r="BF347" s="105" t="str">
        <f aca="false">IF(ISBLANK(C347),"",IFERROR(_xlfn.SWITCH(BE347, Constants!$B$4, COUNTA($C$8:$C846)+2, Constants!$B$5, COUNTA($C$8:$C846)+1, Constants!$B$6, COUNTA($C$8:$C846)),BE347))</f>
        <v/>
      </c>
      <c r="BG347" s="5"/>
      <c r="BH347" s="106" t="n">
        <f aca="false">IF(OR(ISNUMBER(BE347),BE347="DQ",BE347="P",BE347="NS"),
    1,
    0
)</f>
        <v>0</v>
      </c>
      <c r="BI347" s="106" t="n">
        <v>340</v>
      </c>
      <c r="BJ347" s="106" t="str">
        <f aca="false">IF(ISBLANK($C347),
    "",
   BF347+ROW($B347)/1000
)</f>
        <v/>
      </c>
      <c r="BK347" s="106" t="str">
        <f aca="false">IF(ISNUMBER(BJ347), RANK(BJ347,BJ$8:BJ$507,1), "")</f>
        <v/>
      </c>
      <c r="BL347" s="106" t="str">
        <f aca="false">IF(ISBLANK($C347),
    "",
    $B347
)</f>
        <v/>
      </c>
      <c r="BM347" s="106" t="str">
        <f aca="false">IF(ISBLANK($C347),
    "",
    $C347
)</f>
        <v/>
      </c>
      <c r="BN347" s="106" t="str">
        <f aca="false">IF(ISBLANK($C347),
    "",
    $D347
)</f>
        <v/>
      </c>
      <c r="BO347" s="107" t="str">
        <f aca="false">BC347</f>
        <v/>
      </c>
      <c r="BP347" s="108" t="str">
        <f aca="false">BB347</f>
        <v/>
      </c>
      <c r="BQ347" s="106" t="str">
        <f aca="false">IF(ISBLANK($C347),
    "",
    BE347
)</f>
        <v/>
      </c>
      <c r="BR347" s="109" t="str">
        <f aca="false">IF(BI347&gt;BH$7,
    "",
    VLOOKUP(BI347,BK$8:BQ846,7,FALSE())
)</f>
        <v/>
      </c>
      <c r="BS347" s="110" t="str">
        <f aca="false">IF(BI347&gt;BH$7,
    "",
    VLOOKUP(BI347,BK$8:BQ846,2,FALSE())
)</f>
        <v/>
      </c>
      <c r="BT347" s="110" t="str">
        <f aca="false">IF(BI347&gt;BH$7,
    "",
    VLOOKUP(BI347,BK$8:BQ846,3,FALSE())
)</f>
        <v/>
      </c>
      <c r="BU347" s="110" t="str">
        <f aca="false">IF(BI347&gt;BH$7,
    "",
    VLOOKUP(BI347,BK$8:BQ846,4,FALSE())
)</f>
        <v/>
      </c>
      <c r="BV347" s="110" t="str">
        <f aca="false">IF(BI347&gt;BH$7,
    "",
    VLOOKUP(BI347,BK$8:BQ846,5,FALSE())
)</f>
        <v/>
      </c>
      <c r="BW347" s="111" t="str">
        <f aca="false">IF(BI347&gt;BH$7,
    "",
    VLOOKUP(BI347,BK$8:BQ846,6,FALSE())
)</f>
        <v/>
      </c>
      <c r="BX347" s="50"/>
    </row>
    <row r="348" customFormat="false" ht="15.75" hidden="false" customHeight="false" outlineLevel="0" collapsed="false">
      <c r="A348" s="5"/>
      <c r="B348" s="122"/>
      <c r="C348" s="123"/>
      <c r="D348" s="112"/>
      <c r="E348" s="116"/>
      <c r="F348" s="116"/>
      <c r="G348" s="88"/>
      <c r="H348" s="89"/>
      <c r="I348" s="125"/>
      <c r="J348" s="125"/>
      <c r="K348" s="125"/>
      <c r="L348" s="91"/>
      <c r="M348" s="91"/>
      <c r="N348" s="91"/>
      <c r="O348" s="92"/>
      <c r="P348" s="93"/>
      <c r="Q348" s="125"/>
      <c r="R348" s="95"/>
      <c r="S348" s="96"/>
      <c r="T348" s="96" t="str">
        <f aca="false">IF(ISBLANK($C348),"",IF(G348=Constants!$B$2, TRUE(), IF(G348=Constants!$B$3, FALSE(), TRUE())))</f>
        <v/>
      </c>
      <c r="U348" s="96" t="str">
        <f aca="false">IF(ISBLANK($C348),"",IF(H348=Constants!$B$2, TRUE(), IF(H348=Constants!$B$3, FALSE(), TRUE())))</f>
        <v/>
      </c>
      <c r="V348" s="96" t="str">
        <f aca="false">IF(ISBLANK($C348),"",IF(I348=Constants!$B$2, TRUE(), IF(I348=Constants!$B$3, FALSE(), TRUE())))</f>
        <v/>
      </c>
      <c r="W348" s="96" t="str">
        <f aca="false">IF(ISBLANK($C348),"",IF(J348=Constants!$B$2, TRUE(), IF(J348=Constants!$B$3, FALSE(), TRUE())))</f>
        <v/>
      </c>
      <c r="X348" s="97" t="str">
        <f aca="false">IF(ISBLANK($C348),"",IF(K348=Constants!$B$2, TRUE(), IF(K348=Constants!$B$3, FALSE(), TRUE())))</f>
        <v/>
      </c>
      <c r="Y348" s="98" t="str">
        <f aca="false">IF(ISBLANK($C348),"",IF(ISNUMBER(L348), L348, ""))</f>
        <v/>
      </c>
      <c r="Z348" s="98" t="str">
        <f aca="false">IF(ISBLANK($C348),"",IF(ISNUMBER(M348), M348, ""))</f>
        <v/>
      </c>
      <c r="AA348" s="98" t="str">
        <f aca="false">IF(ISBLANK($C348),"",IF(ISNUMBER(N348), N348, ""))</f>
        <v/>
      </c>
      <c r="AB348" s="99" t="str">
        <f aca="false">IF(ISBLANK($C348),"",IF(ISNUMBER(O348), O348, ""))</f>
        <v/>
      </c>
      <c r="AC348" s="99" t="str">
        <f aca="false">IF(ISBLANK($C348),"",IF(ISNUMBER(P348), P348, Constants!$B$13))</f>
        <v/>
      </c>
      <c r="AD348" s="96" t="str">
        <f aca="false">IF(ISBLANK($C348),"",IF(Q348=Constants!$B$2, TRUE(), IF(Q348=Constants!$B$3, FALSE(), FALSE())))</f>
        <v/>
      </c>
      <c r="AE348" s="96" t="str">
        <f aca="false">IF(ISBLANK(C348), "", IF(AD348, Constants!$B$4,IF(COUNTA(G348:O348)=0, Constants!$B$5, Constants!$B$7)))</f>
        <v/>
      </c>
      <c r="AF348" s="96" t="str">
        <f aca="false">IF(ISBLANK($C348), "",IF($AE348=Constants!$B$7,1,$AE348))</f>
        <v/>
      </c>
      <c r="AG348" s="96" t="str">
        <f aca="false">IF($AE348=Constants!$B$7,IF(V348, 1, Constants!$B$11) * IF(X348, 1, Constants!$B$12),"")</f>
        <v/>
      </c>
      <c r="AH348" s="96" t="str">
        <f aca="false">IF(AND($AE348=Constants!$B$7, T348, U348) ,MAX(0, $AA348-$Y348),"")</f>
        <v/>
      </c>
      <c r="AI348" s="96" t="str">
        <f aca="false">IF(ISERROR(AH348),$AI$6,"")</f>
        <v/>
      </c>
      <c r="AJ348" s="96" t="str">
        <f aca="false">IF($AE348=Constants!$B$7,IF(AND(T348,U348,W348),IF($AH$6=0,Constants!$B$9,Constants!$B$9*AH348/$AH$6), 0),"")</f>
        <v/>
      </c>
      <c r="AK348" s="96" t="str">
        <f aca="false">IF(AJ348&lt;&gt;"", AJ348*AG348,"")</f>
        <v/>
      </c>
      <c r="AL348" s="96" t="str">
        <f aca="false">IF(AND($AE348=Constants!$B$7, T348, U348) ,IF($Z348="", "", MAX(0,1-ABS($AA348-$Z348)/$AA348)),"")</f>
        <v/>
      </c>
      <c r="AM348" s="96" t="str">
        <f aca="false">IF(AND(NOT(ISERROR(AH348)),ISERROR(AL348)),$AM$6,"")</f>
        <v/>
      </c>
      <c r="AN348" s="96" t="str">
        <f aca="false">IF($AE348=Constants!$B$7 ,IF(AND(T348,U348,W348,ISNUMBER(Z348)),IF($AL$6=0,Constants!$B$10,Constants!$B$10*AL348/$AL$6), 0),"")</f>
        <v/>
      </c>
      <c r="AO348" s="96" t="str">
        <f aca="false">IF(AN348&lt;&gt;"", AN348*AG348,"")</f>
        <v/>
      </c>
      <c r="AP348" s="96" t="str">
        <f aca="false">IF($AE348=Constants!$B$7,IF($AP$6=0,Constants!$B$8,Constants!$B$8*AB348/$AP$6),"")</f>
        <v/>
      </c>
      <c r="AQ348" s="96" t="str">
        <f aca="false">IF($AE348&lt;&gt;Constants!$B$7,$AE348,AK348+AO348+AP348)</f>
        <v/>
      </c>
      <c r="AR348" s="96" t="str">
        <f aca="false">IF(ISBLANK($C348),"",IF($AE348=Constants!$B$7,RANK(AQ348,$AQ$8:$AQ$507),$AE348))</f>
        <v/>
      </c>
      <c r="AS348" s="96" t="str">
        <f aca="false">IF(ISBLANK($C348), "",AK348)</f>
        <v/>
      </c>
      <c r="AT348" s="96" t="str">
        <f aca="false">IF(ISBLANK($C348),"",IF($AE348=Constants!$B$7,RANK(AS348,AS$8:AS$507),$AE348))</f>
        <v/>
      </c>
      <c r="AU348" s="96" t="str">
        <f aca="false">IF(ISBLANK($C348), "",AP348)</f>
        <v/>
      </c>
      <c r="AV348" s="96" t="str">
        <f aca="false">IF(ISBLANK($C348),"",IF($AE348=Constants!$B$7,RANK(AU348,AU$8:AU$507),$AE348))</f>
        <v/>
      </c>
      <c r="AW348" s="96" t="str">
        <f aca="false">IF(ISBLANK($C348), "",AC348)</f>
        <v/>
      </c>
      <c r="AX348" s="96" t="str">
        <f aca="false">IF(ISBLANK($C348),"",
IF($AE348=Constants!$B$7,
  COUNTIFS($AR$8:$AR$507,"&lt;"&amp;$AR348)
  + COUNTIFS($AR$8:$AR$507,$AR348,$AT$8:$AT$507,"&lt;"&amp;$AT348)
  + COUNTIFS($AR$8:$AR$507,$AR348,$AT$8:$AT$507,$AT348,$AV$8:$AV$507,"&lt;"&amp;$AV348)
  + COUNTIFS($AR$8:$AR$507,$AR348,$AT$8:$AT$507,$AT348,$AV$8:$AV$507,$AV348,$AW$8:$AW$507,"&lt;"&amp;$AW348)
  + 1,
$AE348))</f>
        <v/>
      </c>
      <c r="AY348" s="96" t="str">
        <f aca="false">IF(ISBLANK(C348),"",IF($AE348=Constants!$B$7, AR348-AX348,$AE348))</f>
        <v/>
      </c>
      <c r="AZ348" s="100"/>
      <c r="BA348" s="101" t="str">
        <f aca="false">IF(ISBLANK($C348),"",TRIM(AI348&amp;" "&amp;AM348))</f>
        <v/>
      </c>
      <c r="BB348" s="102" t="str">
        <f aca="false">IF(ISBLANK($C348),"",IF($AE348&lt;&gt;Constants!$B$7, $AE348 ,AQ348))</f>
        <v/>
      </c>
      <c r="BC348" s="103" t="str">
        <f aca="false">IF(ISBLANK($C348),"",IF($AE348&lt;&gt;Constants!$B$7, $AE348 ,AF348))</f>
        <v/>
      </c>
      <c r="BD348" s="104" t="str">
        <f aca="false">IF(ISBLANK(C348),"",AY348)</f>
        <v/>
      </c>
      <c r="BE348" s="104" t="str">
        <f aca="false">IF(ISBLANK(C348),"",AX348)</f>
        <v/>
      </c>
      <c r="BF348" s="105" t="str">
        <f aca="false">IF(ISBLANK(C348),"",IFERROR(_xlfn.SWITCH(BE348, Constants!$B$4, COUNTA($C$8:$C847)+2, Constants!$B$5, COUNTA($C$8:$C847)+1, Constants!$B$6, COUNTA($C$8:$C847)),BE348))</f>
        <v/>
      </c>
      <c r="BG348" s="5"/>
      <c r="BH348" s="106" t="n">
        <f aca="false">IF(OR(ISNUMBER(BE348),BE348="DQ",BE348="P",BE348="NS"),
    1,
    0
)</f>
        <v>0</v>
      </c>
      <c r="BI348" s="106" t="n">
        <v>341</v>
      </c>
      <c r="BJ348" s="106" t="str">
        <f aca="false">IF(ISBLANK($C348),
    "",
   BF348+ROW($B348)/1000
)</f>
        <v/>
      </c>
      <c r="BK348" s="106" t="str">
        <f aca="false">IF(ISNUMBER(BJ348), RANK(BJ348,BJ$8:BJ$507,1), "")</f>
        <v/>
      </c>
      <c r="BL348" s="106" t="str">
        <f aca="false">IF(ISBLANK($C348),
    "",
    $B348
)</f>
        <v/>
      </c>
      <c r="BM348" s="106" t="str">
        <f aca="false">IF(ISBLANK($C348),
    "",
    $C348
)</f>
        <v/>
      </c>
      <c r="BN348" s="106" t="str">
        <f aca="false">IF(ISBLANK($C348),
    "",
    $D348
)</f>
        <v/>
      </c>
      <c r="BO348" s="107" t="str">
        <f aca="false">BC348</f>
        <v/>
      </c>
      <c r="BP348" s="108" t="str">
        <f aca="false">BB348</f>
        <v/>
      </c>
      <c r="BQ348" s="106" t="str">
        <f aca="false">IF(ISBLANK($C348),
    "",
    BE348
)</f>
        <v/>
      </c>
      <c r="BR348" s="109" t="str">
        <f aca="false">IF(BI348&gt;BH$7,
    "",
    VLOOKUP(BI348,BK$8:BQ847,7,FALSE())
)</f>
        <v/>
      </c>
      <c r="BS348" s="110" t="str">
        <f aca="false">IF(BI348&gt;BH$7,
    "",
    VLOOKUP(BI348,BK$8:BQ847,2,FALSE())
)</f>
        <v/>
      </c>
      <c r="BT348" s="110" t="str">
        <f aca="false">IF(BI348&gt;BH$7,
    "",
    VLOOKUP(BI348,BK$8:BQ847,3,FALSE())
)</f>
        <v/>
      </c>
      <c r="BU348" s="110" t="str">
        <f aca="false">IF(BI348&gt;BH$7,
    "",
    VLOOKUP(BI348,BK$8:BQ847,4,FALSE())
)</f>
        <v/>
      </c>
      <c r="BV348" s="110" t="str">
        <f aca="false">IF(BI348&gt;BH$7,
    "",
    VLOOKUP(BI348,BK$8:BQ847,5,FALSE())
)</f>
        <v/>
      </c>
      <c r="BW348" s="111" t="str">
        <f aca="false">IF(BI348&gt;BH$7,
    "",
    VLOOKUP(BI348,BK$8:BQ847,6,FALSE())
)</f>
        <v/>
      </c>
      <c r="BX348" s="50"/>
    </row>
    <row r="349" customFormat="false" ht="15.75" hidden="false" customHeight="false" outlineLevel="0" collapsed="false">
      <c r="A349" s="5"/>
      <c r="B349" s="122"/>
      <c r="C349" s="123"/>
      <c r="D349" s="112"/>
      <c r="E349" s="116"/>
      <c r="F349" s="116"/>
      <c r="G349" s="88"/>
      <c r="H349" s="89"/>
      <c r="I349" s="125"/>
      <c r="J349" s="125"/>
      <c r="K349" s="125"/>
      <c r="L349" s="91"/>
      <c r="M349" s="91"/>
      <c r="N349" s="91"/>
      <c r="O349" s="92"/>
      <c r="P349" s="93"/>
      <c r="Q349" s="125"/>
      <c r="R349" s="95"/>
      <c r="S349" s="96"/>
      <c r="T349" s="96" t="str">
        <f aca="false">IF(ISBLANK($C349),"",IF(G349=Constants!$B$2, TRUE(), IF(G349=Constants!$B$3, FALSE(), TRUE())))</f>
        <v/>
      </c>
      <c r="U349" s="96" t="str">
        <f aca="false">IF(ISBLANK($C349),"",IF(H349=Constants!$B$2, TRUE(), IF(H349=Constants!$B$3, FALSE(), TRUE())))</f>
        <v/>
      </c>
      <c r="V349" s="96" t="str">
        <f aca="false">IF(ISBLANK($C349),"",IF(I349=Constants!$B$2, TRUE(), IF(I349=Constants!$B$3, FALSE(), TRUE())))</f>
        <v/>
      </c>
      <c r="W349" s="96" t="str">
        <f aca="false">IF(ISBLANK($C349),"",IF(J349=Constants!$B$2, TRUE(), IF(J349=Constants!$B$3, FALSE(), TRUE())))</f>
        <v/>
      </c>
      <c r="X349" s="97" t="str">
        <f aca="false">IF(ISBLANK($C349),"",IF(K349=Constants!$B$2, TRUE(), IF(K349=Constants!$B$3, FALSE(), TRUE())))</f>
        <v/>
      </c>
      <c r="Y349" s="98" t="str">
        <f aca="false">IF(ISBLANK($C349),"",IF(ISNUMBER(L349), L349, ""))</f>
        <v/>
      </c>
      <c r="Z349" s="98" t="str">
        <f aca="false">IF(ISBLANK($C349),"",IF(ISNUMBER(M349), M349, ""))</f>
        <v/>
      </c>
      <c r="AA349" s="98" t="str">
        <f aca="false">IF(ISBLANK($C349),"",IF(ISNUMBER(N349), N349, ""))</f>
        <v/>
      </c>
      <c r="AB349" s="99" t="str">
        <f aca="false">IF(ISBLANK($C349),"",IF(ISNUMBER(O349), O349, ""))</f>
        <v/>
      </c>
      <c r="AC349" s="99" t="str">
        <f aca="false">IF(ISBLANK($C349),"",IF(ISNUMBER(P349), P349, Constants!$B$13))</f>
        <v/>
      </c>
      <c r="AD349" s="96" t="str">
        <f aca="false">IF(ISBLANK($C349),"",IF(Q349=Constants!$B$2, TRUE(), IF(Q349=Constants!$B$3, FALSE(), FALSE())))</f>
        <v/>
      </c>
      <c r="AE349" s="96" t="str">
        <f aca="false">IF(ISBLANK(C349), "", IF(AD349, Constants!$B$4,IF(COUNTA(G349:O349)=0, Constants!$B$5, Constants!$B$7)))</f>
        <v/>
      </c>
      <c r="AF349" s="96" t="str">
        <f aca="false">IF(ISBLANK($C349), "",IF($AE349=Constants!$B$7,1,$AE349))</f>
        <v/>
      </c>
      <c r="AG349" s="96" t="str">
        <f aca="false">IF($AE349=Constants!$B$7,IF(V349, 1, Constants!$B$11) * IF(X349, 1, Constants!$B$12),"")</f>
        <v/>
      </c>
      <c r="AH349" s="96" t="str">
        <f aca="false">IF(AND($AE349=Constants!$B$7, T349, U349) ,MAX(0, $AA349-$Y349),"")</f>
        <v/>
      </c>
      <c r="AI349" s="96" t="str">
        <f aca="false">IF(ISERROR(AH349),$AI$6,"")</f>
        <v/>
      </c>
      <c r="AJ349" s="96" t="str">
        <f aca="false">IF($AE349=Constants!$B$7,IF(AND(T349,U349,W349),IF($AH$6=0,Constants!$B$9,Constants!$B$9*AH349/$AH$6), 0),"")</f>
        <v/>
      </c>
      <c r="AK349" s="96" t="str">
        <f aca="false">IF(AJ349&lt;&gt;"", AJ349*AG349,"")</f>
        <v/>
      </c>
      <c r="AL349" s="96" t="str">
        <f aca="false">IF(AND($AE349=Constants!$B$7, T349, U349) ,IF($Z349="", "", MAX(0,1-ABS($AA349-$Z349)/$AA349)),"")</f>
        <v/>
      </c>
      <c r="AM349" s="96" t="str">
        <f aca="false">IF(AND(NOT(ISERROR(AH349)),ISERROR(AL349)),$AM$6,"")</f>
        <v/>
      </c>
      <c r="AN349" s="96" t="str">
        <f aca="false">IF($AE349=Constants!$B$7 ,IF(AND(T349,U349,W349,ISNUMBER(Z349)),IF($AL$6=0,Constants!$B$10,Constants!$B$10*AL349/$AL$6), 0),"")</f>
        <v/>
      </c>
      <c r="AO349" s="96" t="str">
        <f aca="false">IF(AN349&lt;&gt;"", AN349*AG349,"")</f>
        <v/>
      </c>
      <c r="AP349" s="96" t="str">
        <f aca="false">IF($AE349=Constants!$B$7,IF($AP$6=0,Constants!$B$8,Constants!$B$8*AB349/$AP$6),"")</f>
        <v/>
      </c>
      <c r="AQ349" s="96" t="str">
        <f aca="false">IF($AE349&lt;&gt;Constants!$B$7,$AE349,AK349+AO349+AP349)</f>
        <v/>
      </c>
      <c r="AR349" s="96" t="str">
        <f aca="false">IF(ISBLANK($C349),"",IF($AE349=Constants!$B$7,RANK(AQ349,$AQ$8:$AQ$507),$AE349))</f>
        <v/>
      </c>
      <c r="AS349" s="96" t="str">
        <f aca="false">IF(ISBLANK($C349), "",AK349)</f>
        <v/>
      </c>
      <c r="AT349" s="96" t="str">
        <f aca="false">IF(ISBLANK($C349),"",IF($AE349=Constants!$B$7,RANK(AS349,AS$8:AS$507),$AE349))</f>
        <v/>
      </c>
      <c r="AU349" s="96" t="str">
        <f aca="false">IF(ISBLANK($C349), "",AP349)</f>
        <v/>
      </c>
      <c r="AV349" s="96" t="str">
        <f aca="false">IF(ISBLANK($C349),"",IF($AE349=Constants!$B$7,RANK(AU349,AU$8:AU$507),$AE349))</f>
        <v/>
      </c>
      <c r="AW349" s="96" t="str">
        <f aca="false">IF(ISBLANK($C349), "",AC349)</f>
        <v/>
      </c>
      <c r="AX349" s="96" t="str">
        <f aca="false">IF(ISBLANK($C349),"",
IF($AE349=Constants!$B$7,
  COUNTIFS($AR$8:$AR$507,"&lt;"&amp;$AR349)
  + COUNTIFS($AR$8:$AR$507,$AR349,$AT$8:$AT$507,"&lt;"&amp;$AT349)
  + COUNTIFS($AR$8:$AR$507,$AR349,$AT$8:$AT$507,$AT349,$AV$8:$AV$507,"&lt;"&amp;$AV349)
  + COUNTIFS($AR$8:$AR$507,$AR349,$AT$8:$AT$507,$AT349,$AV$8:$AV$507,$AV349,$AW$8:$AW$507,"&lt;"&amp;$AW349)
  + 1,
$AE349))</f>
        <v/>
      </c>
      <c r="AY349" s="96" t="str">
        <f aca="false">IF(ISBLANK(C349),"",IF($AE349=Constants!$B$7, AR349-AX349,$AE349))</f>
        <v/>
      </c>
      <c r="AZ349" s="100"/>
      <c r="BA349" s="101" t="str">
        <f aca="false">IF(ISBLANK($C349),"",TRIM(AI349&amp;" "&amp;AM349))</f>
        <v/>
      </c>
      <c r="BB349" s="102" t="str">
        <f aca="false">IF(ISBLANK($C349),"",IF($AE349&lt;&gt;Constants!$B$7, $AE349 ,AQ349))</f>
        <v/>
      </c>
      <c r="BC349" s="103" t="str">
        <f aca="false">IF(ISBLANK($C349),"",IF($AE349&lt;&gt;Constants!$B$7, $AE349 ,AF349))</f>
        <v/>
      </c>
      <c r="BD349" s="104" t="str">
        <f aca="false">IF(ISBLANK(C349),"",AY349)</f>
        <v/>
      </c>
      <c r="BE349" s="104" t="str">
        <f aca="false">IF(ISBLANK(C349),"",AX349)</f>
        <v/>
      </c>
      <c r="BF349" s="105" t="str">
        <f aca="false">IF(ISBLANK(C349),"",IFERROR(_xlfn.SWITCH(BE349, Constants!$B$4, COUNTA($C$8:$C848)+2, Constants!$B$5, COUNTA($C$8:$C848)+1, Constants!$B$6, COUNTA($C$8:$C848)),BE349))</f>
        <v/>
      </c>
      <c r="BG349" s="5"/>
      <c r="BH349" s="106" t="n">
        <f aca="false">IF(OR(ISNUMBER(BE349),BE349="DQ",BE349="P",BE349="NS"),
    1,
    0
)</f>
        <v>0</v>
      </c>
      <c r="BI349" s="106" t="n">
        <v>342</v>
      </c>
      <c r="BJ349" s="106" t="str">
        <f aca="false">IF(ISBLANK($C349),
    "",
   BF349+ROW($B349)/1000
)</f>
        <v/>
      </c>
      <c r="BK349" s="106" t="str">
        <f aca="false">IF(ISNUMBER(BJ349), RANK(BJ349,BJ$8:BJ$507,1), "")</f>
        <v/>
      </c>
      <c r="BL349" s="106" t="str">
        <f aca="false">IF(ISBLANK($C349),
    "",
    $B349
)</f>
        <v/>
      </c>
      <c r="BM349" s="106" t="str">
        <f aca="false">IF(ISBLANK($C349),
    "",
    $C349
)</f>
        <v/>
      </c>
      <c r="BN349" s="106" t="str">
        <f aca="false">IF(ISBLANK($C349),
    "",
    $D349
)</f>
        <v/>
      </c>
      <c r="BO349" s="107" t="str">
        <f aca="false">BC349</f>
        <v/>
      </c>
      <c r="BP349" s="108" t="str">
        <f aca="false">BB349</f>
        <v/>
      </c>
      <c r="BQ349" s="106" t="str">
        <f aca="false">IF(ISBLANK($C349),
    "",
    BE349
)</f>
        <v/>
      </c>
      <c r="BR349" s="109" t="str">
        <f aca="false">IF(BI349&gt;BH$7,
    "",
    VLOOKUP(BI349,BK$8:BQ848,7,FALSE())
)</f>
        <v/>
      </c>
      <c r="BS349" s="110" t="str">
        <f aca="false">IF(BI349&gt;BH$7,
    "",
    VLOOKUP(BI349,BK$8:BQ848,2,FALSE())
)</f>
        <v/>
      </c>
      <c r="BT349" s="110" t="str">
        <f aca="false">IF(BI349&gt;BH$7,
    "",
    VLOOKUP(BI349,BK$8:BQ848,3,FALSE())
)</f>
        <v/>
      </c>
      <c r="BU349" s="110" t="str">
        <f aca="false">IF(BI349&gt;BH$7,
    "",
    VLOOKUP(BI349,BK$8:BQ848,4,FALSE())
)</f>
        <v/>
      </c>
      <c r="BV349" s="110" t="str">
        <f aca="false">IF(BI349&gt;BH$7,
    "",
    VLOOKUP(BI349,BK$8:BQ848,5,FALSE())
)</f>
        <v/>
      </c>
      <c r="BW349" s="111" t="str">
        <f aca="false">IF(BI349&gt;BH$7,
    "",
    VLOOKUP(BI349,BK$8:BQ848,6,FALSE())
)</f>
        <v/>
      </c>
      <c r="BX349" s="50"/>
    </row>
    <row r="350" customFormat="false" ht="15.75" hidden="false" customHeight="false" outlineLevel="0" collapsed="false">
      <c r="A350" s="5"/>
      <c r="B350" s="126"/>
      <c r="C350" s="52"/>
      <c r="D350" s="53"/>
      <c r="E350" s="120"/>
      <c r="F350" s="120"/>
      <c r="G350" s="55"/>
      <c r="H350" s="56"/>
      <c r="I350" s="80"/>
      <c r="J350" s="80"/>
      <c r="K350" s="80"/>
      <c r="L350" s="58"/>
      <c r="M350" s="58"/>
      <c r="N350" s="58"/>
      <c r="O350" s="59"/>
      <c r="P350" s="60"/>
      <c r="Q350" s="80"/>
      <c r="R350" s="62"/>
      <c r="S350" s="63"/>
      <c r="T350" s="63" t="str">
        <f aca="false">IF(ISBLANK($C350),"",IF(G350=Constants!$B$2, TRUE(), IF(G350=Constants!$B$3, FALSE(), TRUE())))</f>
        <v/>
      </c>
      <c r="U350" s="63" t="str">
        <f aca="false">IF(ISBLANK($C350),"",IF(H350=Constants!$B$2, TRUE(), IF(H350=Constants!$B$3, FALSE(), TRUE())))</f>
        <v/>
      </c>
      <c r="V350" s="63" t="str">
        <f aca="false">IF(ISBLANK($C350),"",IF(I350=Constants!$B$2, TRUE(), IF(I350=Constants!$B$3, FALSE(), TRUE())))</f>
        <v/>
      </c>
      <c r="W350" s="63" t="str">
        <f aca="false">IF(ISBLANK($C350),"",IF(J350=Constants!$B$2, TRUE(), IF(J350=Constants!$B$3, FALSE(), TRUE())))</f>
        <v/>
      </c>
      <c r="X350" s="63" t="str">
        <f aca="false">IF(ISBLANK($C350),"",IF(K350=Constants!$B$2, TRUE(), IF(K350=Constants!$B$3, FALSE(), TRUE())))</f>
        <v/>
      </c>
      <c r="Y350" s="65" t="str">
        <f aca="false">IF(ISBLANK($C350),"",IF(ISNUMBER(L350), L350, ""))</f>
        <v/>
      </c>
      <c r="Z350" s="65" t="str">
        <f aca="false">IF(ISBLANK($C350),"",IF(ISNUMBER(M350), M350, ""))</f>
        <v/>
      </c>
      <c r="AA350" s="65" t="str">
        <f aca="false">IF(ISBLANK($C350),"",IF(ISNUMBER(N350), N350, ""))</f>
        <v/>
      </c>
      <c r="AB350" s="66" t="str">
        <f aca="false">IF(ISBLANK($C350),"",IF(ISNUMBER(O350), O350, ""))</f>
        <v/>
      </c>
      <c r="AC350" s="66" t="str">
        <f aca="false">IF(ISBLANK($C350),"",IF(ISNUMBER(P350), P350, Constants!$B$13))</f>
        <v/>
      </c>
      <c r="AD350" s="63" t="str">
        <f aca="false">IF(ISBLANK($C350),"",IF(Q350=Constants!$B$2, TRUE(), IF(Q350=Constants!$B$3, FALSE(), FALSE())))</f>
        <v/>
      </c>
      <c r="AE350" s="63" t="str">
        <f aca="false">IF(ISBLANK(C350), "", IF(AD350, Constants!$B$4,IF(COUNTA(G350:O350)=0, Constants!$B$5, Constants!$B$7)))</f>
        <v/>
      </c>
      <c r="AF350" s="63" t="str">
        <f aca="false">IF(ISBLANK($C350), "",IF($AE350=Constants!$B$7,1,$AE350))</f>
        <v/>
      </c>
      <c r="AG350" s="63" t="str">
        <f aca="false">IF($AE350=Constants!$B$7,IF(V350, 1, Constants!$B$11) * IF(X350, 1, Constants!$B$12),"")</f>
        <v/>
      </c>
      <c r="AH350" s="63" t="str">
        <f aca="false">IF(AND($AE350=Constants!$B$7, T350, U350) ,MAX(0, $AA350-$Y350),"")</f>
        <v/>
      </c>
      <c r="AI350" s="63" t="str">
        <f aca="false">IF(ISERROR(AH350),$AI$6,"")</f>
        <v/>
      </c>
      <c r="AJ350" s="63" t="str">
        <f aca="false">IF($AE350=Constants!$B$7,IF(AND(T350,U350,W350),IF($AH$6=0,Constants!$B$9,Constants!$B$9*AH350/$AH$6), 0),"")</f>
        <v/>
      </c>
      <c r="AK350" s="63" t="str">
        <f aca="false">IF(AJ350&lt;&gt;"", AJ350*AG350,"")</f>
        <v/>
      </c>
      <c r="AL350" s="63" t="str">
        <f aca="false">IF(AND($AE350=Constants!$B$7, T350, U350) ,IF($Z350="", "", MAX(0,1-ABS($AA350-$Z350)/$AA350)),"")</f>
        <v/>
      </c>
      <c r="AM350" s="63" t="str">
        <f aca="false">IF(AND(NOT(ISERROR(AH350)),ISERROR(AL350)),$AM$6,"")</f>
        <v/>
      </c>
      <c r="AN350" s="63" t="str">
        <f aca="false">IF($AE350=Constants!$B$7 ,IF(AND(T350,U350,W350,ISNUMBER(Z350)),IF($AL$6=0,Constants!$B$10,Constants!$B$10*AL350/$AL$6), 0),"")</f>
        <v/>
      </c>
      <c r="AO350" s="63" t="str">
        <f aca="false">IF(AN350&lt;&gt;"", AN350*AG350,"")</f>
        <v/>
      </c>
      <c r="AP350" s="63" t="str">
        <f aca="false">IF($AE350=Constants!$B$7,IF($AP$6=0,Constants!$B$8,Constants!$B$8*AB350/$AP$6),"")</f>
        <v/>
      </c>
      <c r="AQ350" s="63" t="str">
        <f aca="false">IF($AE350&lt;&gt;Constants!$B$7,$AE350,AK350+AO350+AP350)</f>
        <v/>
      </c>
      <c r="AR350" s="63" t="str">
        <f aca="false">IF(ISBLANK($C350),"",IF($AE350=Constants!$B$7,RANK(AQ350,$AQ$8:$AQ$507),$AE350))</f>
        <v/>
      </c>
      <c r="AS350" s="63" t="str">
        <f aca="false">IF(ISBLANK($C350), "",AK350)</f>
        <v/>
      </c>
      <c r="AT350" s="63" t="str">
        <f aca="false">IF(ISBLANK($C350),"",IF($AE350=Constants!$B$7,RANK(AS350,AS$8:AS$507),$AE350))</f>
        <v/>
      </c>
      <c r="AU350" s="63" t="str">
        <f aca="false">IF(ISBLANK($C350), "",AP350)</f>
        <v/>
      </c>
      <c r="AV350" s="63" t="str">
        <f aca="false">IF(ISBLANK($C350),"",IF($AE350=Constants!$B$7,RANK(AU350,AU$8:AU$507),$AE350))</f>
        <v/>
      </c>
      <c r="AW350" s="63" t="str">
        <f aca="false">IF(ISBLANK($C350), "",AC350)</f>
        <v/>
      </c>
      <c r="AX350" s="63" t="str">
        <f aca="false">IF(ISBLANK($C350),"",
IF($AE350=Constants!$B$7,
  COUNTIFS($AR$8:$AR$507,"&lt;"&amp;$AR350)
  + COUNTIFS($AR$8:$AR$507,$AR350,$AT$8:$AT$507,"&lt;"&amp;$AT350)
  + COUNTIFS($AR$8:$AR$507,$AR350,$AT$8:$AT$507,$AT350,$AV$8:$AV$507,"&lt;"&amp;$AV350)
  + COUNTIFS($AR$8:$AR$507,$AR350,$AT$8:$AT$507,$AT350,$AV$8:$AV$507,$AV350,$AW$8:$AW$507,"&lt;"&amp;$AW350)
  + 1,
$AE350))</f>
        <v/>
      </c>
      <c r="AY350" s="63" t="str">
        <f aca="false">IF(ISBLANK(C350),"",IF($AE350=Constants!$B$7, AR350-AX350,$AE350))</f>
        <v/>
      </c>
      <c r="AZ350" s="67"/>
      <c r="BA350" s="81" t="str">
        <f aca="false">IF(ISBLANK($C350),"",TRIM(AI350&amp;" "&amp;AM350))</f>
        <v/>
      </c>
      <c r="BB350" s="69" t="str">
        <f aca="false">IF(ISBLANK($C350),"",IF($AE350&lt;&gt;Constants!$B$7, $AE350 ,AQ350))</f>
        <v/>
      </c>
      <c r="BC350" s="70" t="str">
        <f aca="false">IF(ISBLANK($C350),"",IF($AE350&lt;&gt;Constants!$B$7, $AE350 ,AF350))</f>
        <v/>
      </c>
      <c r="BD350" s="71" t="str">
        <f aca="false">IF(ISBLANK(C350),"",AY350)</f>
        <v/>
      </c>
      <c r="BE350" s="71" t="str">
        <f aca="false">IF(ISBLANK(C350),"",AX350)</f>
        <v/>
      </c>
      <c r="BF350" s="72" t="str">
        <f aca="false">IF(ISBLANK(C350),"",IFERROR(_xlfn.SWITCH(BE350, Constants!$B$4, COUNTA($C$8:$C849)+2, Constants!$B$5, COUNTA($C$8:$C849)+1, Constants!$B$6, COUNTA($C$8:$C849)),BE350))</f>
        <v/>
      </c>
      <c r="BG350" s="5"/>
      <c r="BH350" s="73" t="n">
        <f aca="false">IF(OR(ISNUMBER(BE350),BE350="DQ",BE350="P",BE350="NS"),
    1,
    0
)</f>
        <v>0</v>
      </c>
      <c r="BI350" s="73" t="n">
        <v>343</v>
      </c>
      <c r="BJ350" s="73" t="str">
        <f aca="false">IF(ISBLANK($C350),
    "",
   BF350+ROW($B350)/1000
)</f>
        <v/>
      </c>
      <c r="BK350" s="73" t="str">
        <f aca="false">IF(ISNUMBER(BJ350), RANK(BJ350,BJ$8:BJ$507,1), "")</f>
        <v/>
      </c>
      <c r="BL350" s="73" t="str">
        <f aca="false">IF(ISBLANK($C350),
    "",
    $B350
)</f>
        <v/>
      </c>
      <c r="BM350" s="73" t="str">
        <f aca="false">IF(ISBLANK($C350),
    "",
    $C350
)</f>
        <v/>
      </c>
      <c r="BN350" s="73" t="str">
        <f aca="false">IF(ISBLANK($C350),
    "",
    $D350
)</f>
        <v/>
      </c>
      <c r="BO350" s="74" t="str">
        <f aca="false">BC350</f>
        <v/>
      </c>
      <c r="BP350" s="75" t="str">
        <f aca="false">BB350</f>
        <v/>
      </c>
      <c r="BQ350" s="73" t="str">
        <f aca="false">IF(ISBLANK($C350),
    "",
    BE350
)</f>
        <v/>
      </c>
      <c r="BR350" s="76" t="str">
        <f aca="false">IF(BI350&gt;BH$7,
    "",
    VLOOKUP(BI350,BK$8:BQ849,7,FALSE())
)</f>
        <v/>
      </c>
      <c r="BS350" s="77" t="str">
        <f aca="false">IF(BI350&gt;BH$7,
    "",
    VLOOKUP(BI350,BK$8:BQ849,2,FALSE())
)</f>
        <v/>
      </c>
      <c r="BT350" s="77" t="str">
        <f aca="false">IF(BI350&gt;BH$7,
    "",
    VLOOKUP(BI350,BK$8:BQ849,3,FALSE())
)</f>
        <v/>
      </c>
      <c r="BU350" s="77" t="str">
        <f aca="false">IF(BI350&gt;BH$7,
    "",
    VLOOKUP(BI350,BK$8:BQ849,4,FALSE())
)</f>
        <v/>
      </c>
      <c r="BV350" s="77" t="str">
        <f aca="false">IF(BI350&gt;BH$7,
    "",
    VLOOKUP(BI350,BK$8:BQ849,5,FALSE())
)</f>
        <v/>
      </c>
      <c r="BW350" s="78" t="str">
        <f aca="false">IF(BI350&gt;BH$7,
    "",
    VLOOKUP(BI350,BK$8:BQ849,6,FALSE())
)</f>
        <v/>
      </c>
      <c r="BX350" s="50"/>
    </row>
    <row r="351" customFormat="false" ht="15.75" hidden="false" customHeight="false" outlineLevel="0" collapsed="false">
      <c r="A351" s="5"/>
      <c r="B351" s="126"/>
      <c r="C351" s="52"/>
      <c r="D351" s="53"/>
      <c r="E351" s="120"/>
      <c r="F351" s="120"/>
      <c r="G351" s="55"/>
      <c r="H351" s="56"/>
      <c r="I351" s="80"/>
      <c r="J351" s="80"/>
      <c r="K351" s="80"/>
      <c r="L351" s="58"/>
      <c r="M351" s="58"/>
      <c r="N351" s="58"/>
      <c r="O351" s="59"/>
      <c r="P351" s="60"/>
      <c r="Q351" s="80"/>
      <c r="R351" s="62"/>
      <c r="S351" s="63"/>
      <c r="T351" s="63" t="str">
        <f aca="false">IF(ISBLANK($C351),"",IF(G351=Constants!$B$2, TRUE(), IF(G351=Constants!$B$3, FALSE(), TRUE())))</f>
        <v/>
      </c>
      <c r="U351" s="63" t="str">
        <f aca="false">IF(ISBLANK($C351),"",IF(H351=Constants!$B$2, TRUE(), IF(H351=Constants!$B$3, FALSE(), TRUE())))</f>
        <v/>
      </c>
      <c r="V351" s="63" t="str">
        <f aca="false">IF(ISBLANK($C351),"",IF(I351=Constants!$B$2, TRUE(), IF(I351=Constants!$B$3, FALSE(), TRUE())))</f>
        <v/>
      </c>
      <c r="W351" s="63" t="str">
        <f aca="false">IF(ISBLANK($C351),"",IF(J351=Constants!$B$2, TRUE(), IF(J351=Constants!$B$3, FALSE(), TRUE())))</f>
        <v/>
      </c>
      <c r="X351" s="63" t="str">
        <f aca="false">IF(ISBLANK($C351),"",IF(K351=Constants!$B$2, TRUE(), IF(K351=Constants!$B$3, FALSE(), TRUE())))</f>
        <v/>
      </c>
      <c r="Y351" s="65" t="str">
        <f aca="false">IF(ISBLANK($C351),"",IF(ISNUMBER(L351), L351, ""))</f>
        <v/>
      </c>
      <c r="Z351" s="65" t="str">
        <f aca="false">IF(ISBLANK($C351),"",IF(ISNUMBER(M351), M351, ""))</f>
        <v/>
      </c>
      <c r="AA351" s="65" t="str">
        <f aca="false">IF(ISBLANK($C351),"",IF(ISNUMBER(N351), N351, ""))</f>
        <v/>
      </c>
      <c r="AB351" s="66" t="str">
        <f aca="false">IF(ISBLANK($C351),"",IF(ISNUMBER(O351), O351, ""))</f>
        <v/>
      </c>
      <c r="AC351" s="66" t="str">
        <f aca="false">IF(ISBLANK($C351),"",IF(ISNUMBER(P351), P351, Constants!$B$13))</f>
        <v/>
      </c>
      <c r="AD351" s="63" t="str">
        <f aca="false">IF(ISBLANK($C351),"",IF(Q351=Constants!$B$2, TRUE(), IF(Q351=Constants!$B$3, FALSE(), FALSE())))</f>
        <v/>
      </c>
      <c r="AE351" s="63" t="str">
        <f aca="false">IF(ISBLANK(C351), "", IF(AD351, Constants!$B$4,IF(COUNTA(G351:O351)=0, Constants!$B$5, Constants!$B$7)))</f>
        <v/>
      </c>
      <c r="AF351" s="63" t="str">
        <f aca="false">IF(ISBLANK($C351), "",IF($AE351=Constants!$B$7,1,$AE351))</f>
        <v/>
      </c>
      <c r="AG351" s="63" t="str">
        <f aca="false">IF($AE351=Constants!$B$7,IF(V351, 1, Constants!$B$11) * IF(X351, 1, Constants!$B$12),"")</f>
        <v/>
      </c>
      <c r="AH351" s="63" t="str">
        <f aca="false">IF(AND($AE351=Constants!$B$7, T351, U351) ,MAX(0, $AA351-$Y351),"")</f>
        <v/>
      </c>
      <c r="AI351" s="63" t="str">
        <f aca="false">IF(ISERROR(AH351),$AI$6,"")</f>
        <v/>
      </c>
      <c r="AJ351" s="63" t="str">
        <f aca="false">IF($AE351=Constants!$B$7,IF(AND(T351,U351,W351),IF($AH$6=0,Constants!$B$9,Constants!$B$9*AH351/$AH$6), 0),"")</f>
        <v/>
      </c>
      <c r="AK351" s="63" t="str">
        <f aca="false">IF(AJ351&lt;&gt;"", AJ351*AG351,"")</f>
        <v/>
      </c>
      <c r="AL351" s="63" t="str">
        <f aca="false">IF(AND($AE351=Constants!$B$7, T351, U351) ,IF($Z351="", "", MAX(0,1-ABS($AA351-$Z351)/$AA351)),"")</f>
        <v/>
      </c>
      <c r="AM351" s="63" t="str">
        <f aca="false">IF(AND(NOT(ISERROR(AH351)),ISERROR(AL351)),$AM$6,"")</f>
        <v/>
      </c>
      <c r="AN351" s="63" t="str">
        <f aca="false">IF($AE351=Constants!$B$7 ,IF(AND(T351,U351,W351,ISNUMBER(Z351)),IF($AL$6=0,Constants!$B$10,Constants!$B$10*AL351/$AL$6), 0),"")</f>
        <v/>
      </c>
      <c r="AO351" s="63" t="str">
        <f aca="false">IF(AN351&lt;&gt;"", AN351*AG351,"")</f>
        <v/>
      </c>
      <c r="AP351" s="63" t="str">
        <f aca="false">IF($AE351=Constants!$B$7,IF($AP$6=0,Constants!$B$8,Constants!$B$8*AB351/$AP$6),"")</f>
        <v/>
      </c>
      <c r="AQ351" s="63" t="str">
        <f aca="false">IF($AE351&lt;&gt;Constants!$B$7,$AE351,AK351+AO351+AP351)</f>
        <v/>
      </c>
      <c r="AR351" s="63" t="str">
        <f aca="false">IF(ISBLANK($C351),"",IF($AE351=Constants!$B$7,RANK(AQ351,$AQ$8:$AQ$507),$AE351))</f>
        <v/>
      </c>
      <c r="AS351" s="63" t="str">
        <f aca="false">IF(ISBLANK($C351), "",AK351)</f>
        <v/>
      </c>
      <c r="AT351" s="63" t="str">
        <f aca="false">IF(ISBLANK($C351),"",IF($AE351=Constants!$B$7,RANK(AS351,AS$8:AS$507),$AE351))</f>
        <v/>
      </c>
      <c r="AU351" s="63" t="str">
        <f aca="false">IF(ISBLANK($C351), "",AP351)</f>
        <v/>
      </c>
      <c r="AV351" s="63" t="str">
        <f aca="false">IF(ISBLANK($C351),"",IF($AE351=Constants!$B$7,RANK(AU351,AU$8:AU$507),$AE351))</f>
        <v/>
      </c>
      <c r="AW351" s="63" t="str">
        <f aca="false">IF(ISBLANK($C351), "",AC351)</f>
        <v/>
      </c>
      <c r="AX351" s="63" t="str">
        <f aca="false">IF(ISBLANK($C351),"",
IF($AE351=Constants!$B$7,
  COUNTIFS($AR$8:$AR$507,"&lt;"&amp;$AR351)
  + COUNTIFS($AR$8:$AR$507,$AR351,$AT$8:$AT$507,"&lt;"&amp;$AT351)
  + COUNTIFS($AR$8:$AR$507,$AR351,$AT$8:$AT$507,$AT351,$AV$8:$AV$507,"&lt;"&amp;$AV351)
  + COUNTIFS($AR$8:$AR$507,$AR351,$AT$8:$AT$507,$AT351,$AV$8:$AV$507,$AV351,$AW$8:$AW$507,"&lt;"&amp;$AW351)
  + 1,
$AE351))</f>
        <v/>
      </c>
      <c r="AY351" s="63" t="str">
        <f aca="false">IF(ISBLANK(C351),"",IF($AE351=Constants!$B$7, AR351-AX351,$AE351))</f>
        <v/>
      </c>
      <c r="AZ351" s="67"/>
      <c r="BA351" s="81" t="str">
        <f aca="false">IF(ISBLANK($C351),"",TRIM(AI351&amp;" "&amp;AM351))</f>
        <v/>
      </c>
      <c r="BB351" s="69" t="str">
        <f aca="false">IF(ISBLANK($C351),"",IF($AE351&lt;&gt;Constants!$B$7, $AE351 ,AQ351))</f>
        <v/>
      </c>
      <c r="BC351" s="70" t="str">
        <f aca="false">IF(ISBLANK($C351),"",IF($AE351&lt;&gt;Constants!$B$7, $AE351 ,AF351))</f>
        <v/>
      </c>
      <c r="BD351" s="71" t="str">
        <f aca="false">IF(ISBLANK(C351),"",AY351)</f>
        <v/>
      </c>
      <c r="BE351" s="71" t="str">
        <f aca="false">IF(ISBLANK(C351),"",AX351)</f>
        <v/>
      </c>
      <c r="BF351" s="72" t="str">
        <f aca="false">IF(ISBLANK(C351),"",IFERROR(_xlfn.SWITCH(BE351, Constants!$B$4, COUNTA($C$8:$C850)+2, Constants!$B$5, COUNTA($C$8:$C850)+1, Constants!$B$6, COUNTA($C$8:$C850)),BE351))</f>
        <v/>
      </c>
      <c r="BG351" s="5"/>
      <c r="BH351" s="73" t="n">
        <f aca="false">IF(OR(ISNUMBER(BE351),BE351="DQ",BE351="P",BE351="NS"),
    1,
    0
)</f>
        <v>0</v>
      </c>
      <c r="BI351" s="73" t="n">
        <v>344</v>
      </c>
      <c r="BJ351" s="73" t="str">
        <f aca="false">IF(ISBLANK($C351),
    "",
   BF351+ROW($B351)/1000
)</f>
        <v/>
      </c>
      <c r="BK351" s="73" t="str">
        <f aca="false">IF(ISNUMBER(BJ351), RANK(BJ351,BJ$8:BJ$507,1), "")</f>
        <v/>
      </c>
      <c r="BL351" s="73" t="str">
        <f aca="false">IF(ISBLANK($C351),
    "",
    $B351
)</f>
        <v/>
      </c>
      <c r="BM351" s="73" t="str">
        <f aca="false">IF(ISBLANK($C351),
    "",
    $C351
)</f>
        <v/>
      </c>
      <c r="BN351" s="73" t="str">
        <f aca="false">IF(ISBLANK($C351),
    "",
    $D351
)</f>
        <v/>
      </c>
      <c r="BO351" s="74" t="str">
        <f aca="false">BC351</f>
        <v/>
      </c>
      <c r="BP351" s="75" t="str">
        <f aca="false">BB351</f>
        <v/>
      </c>
      <c r="BQ351" s="73" t="str">
        <f aca="false">IF(ISBLANK($C351),
    "",
    BE351
)</f>
        <v/>
      </c>
      <c r="BR351" s="76" t="str">
        <f aca="false">IF(BI351&gt;BH$7,
    "",
    VLOOKUP(BI351,BK$8:BQ850,7,FALSE())
)</f>
        <v/>
      </c>
      <c r="BS351" s="77" t="str">
        <f aca="false">IF(BI351&gt;BH$7,
    "",
    VLOOKUP(BI351,BK$8:BQ850,2,FALSE())
)</f>
        <v/>
      </c>
      <c r="BT351" s="77" t="str">
        <f aca="false">IF(BI351&gt;BH$7,
    "",
    VLOOKUP(BI351,BK$8:BQ850,3,FALSE())
)</f>
        <v/>
      </c>
      <c r="BU351" s="77" t="str">
        <f aca="false">IF(BI351&gt;BH$7,
    "",
    VLOOKUP(BI351,BK$8:BQ850,4,FALSE())
)</f>
        <v/>
      </c>
      <c r="BV351" s="77" t="str">
        <f aca="false">IF(BI351&gt;BH$7,
    "",
    VLOOKUP(BI351,BK$8:BQ850,5,FALSE())
)</f>
        <v/>
      </c>
      <c r="BW351" s="78" t="str">
        <f aca="false">IF(BI351&gt;BH$7,
    "",
    VLOOKUP(BI351,BK$8:BQ850,6,FALSE())
)</f>
        <v/>
      </c>
      <c r="BX351" s="50"/>
    </row>
    <row r="352" customFormat="false" ht="15.75" hidden="false" customHeight="false" outlineLevel="0" collapsed="false">
      <c r="A352" s="5"/>
      <c r="B352" s="126"/>
      <c r="C352" s="52"/>
      <c r="D352" s="53"/>
      <c r="E352" s="120"/>
      <c r="F352" s="120"/>
      <c r="G352" s="55"/>
      <c r="H352" s="56"/>
      <c r="I352" s="80"/>
      <c r="J352" s="80"/>
      <c r="K352" s="80"/>
      <c r="L352" s="58"/>
      <c r="M352" s="58"/>
      <c r="N352" s="58"/>
      <c r="O352" s="59"/>
      <c r="P352" s="60"/>
      <c r="Q352" s="80"/>
      <c r="R352" s="62"/>
      <c r="S352" s="63"/>
      <c r="T352" s="63" t="str">
        <f aca="false">IF(ISBLANK($C352),"",IF(G352=Constants!$B$2, TRUE(), IF(G352=Constants!$B$3, FALSE(), TRUE())))</f>
        <v/>
      </c>
      <c r="U352" s="63" t="str">
        <f aca="false">IF(ISBLANK($C352),"",IF(H352=Constants!$B$2, TRUE(), IF(H352=Constants!$B$3, FALSE(), TRUE())))</f>
        <v/>
      </c>
      <c r="V352" s="63" t="str">
        <f aca="false">IF(ISBLANK($C352),"",IF(I352=Constants!$B$2, TRUE(), IF(I352=Constants!$B$3, FALSE(), TRUE())))</f>
        <v/>
      </c>
      <c r="W352" s="63" t="str">
        <f aca="false">IF(ISBLANK($C352),"",IF(J352=Constants!$B$2, TRUE(), IF(J352=Constants!$B$3, FALSE(), TRUE())))</f>
        <v/>
      </c>
      <c r="X352" s="63" t="str">
        <f aca="false">IF(ISBLANK($C352),"",IF(K352=Constants!$B$2, TRUE(), IF(K352=Constants!$B$3, FALSE(), TRUE())))</f>
        <v/>
      </c>
      <c r="Y352" s="65" t="str">
        <f aca="false">IF(ISBLANK($C352),"",IF(ISNUMBER(L352), L352, ""))</f>
        <v/>
      </c>
      <c r="Z352" s="65" t="str">
        <f aca="false">IF(ISBLANK($C352),"",IF(ISNUMBER(M352), M352, ""))</f>
        <v/>
      </c>
      <c r="AA352" s="65" t="str">
        <f aca="false">IF(ISBLANK($C352),"",IF(ISNUMBER(N352), N352, ""))</f>
        <v/>
      </c>
      <c r="AB352" s="66" t="str">
        <f aca="false">IF(ISBLANK($C352),"",IF(ISNUMBER(O352), O352, ""))</f>
        <v/>
      </c>
      <c r="AC352" s="66" t="str">
        <f aca="false">IF(ISBLANK($C352),"",IF(ISNUMBER(P352), P352, Constants!$B$13))</f>
        <v/>
      </c>
      <c r="AD352" s="63" t="str">
        <f aca="false">IF(ISBLANK($C352),"",IF(Q352=Constants!$B$2, TRUE(), IF(Q352=Constants!$B$3, FALSE(), FALSE())))</f>
        <v/>
      </c>
      <c r="AE352" s="63" t="str">
        <f aca="false">IF(ISBLANK(C352), "", IF(AD352, Constants!$B$4,IF(COUNTA(G352:O352)=0, Constants!$B$5, Constants!$B$7)))</f>
        <v/>
      </c>
      <c r="AF352" s="63" t="str">
        <f aca="false">IF(ISBLANK($C352), "",IF($AE352=Constants!$B$7,1,$AE352))</f>
        <v/>
      </c>
      <c r="AG352" s="63" t="str">
        <f aca="false">IF($AE352=Constants!$B$7,IF(V352, 1, Constants!$B$11) * IF(X352, 1, Constants!$B$12),"")</f>
        <v/>
      </c>
      <c r="AH352" s="63" t="str">
        <f aca="false">IF(AND($AE352=Constants!$B$7, T352, U352) ,MAX(0, $AA352-$Y352),"")</f>
        <v/>
      </c>
      <c r="AI352" s="63" t="str">
        <f aca="false">IF(ISERROR(AH352),$AI$6,"")</f>
        <v/>
      </c>
      <c r="AJ352" s="63" t="str">
        <f aca="false">IF($AE352=Constants!$B$7,IF(AND(T352,U352,W352),IF($AH$6=0,Constants!$B$9,Constants!$B$9*AH352/$AH$6), 0),"")</f>
        <v/>
      </c>
      <c r="AK352" s="63" t="str">
        <f aca="false">IF(AJ352&lt;&gt;"", AJ352*AG352,"")</f>
        <v/>
      </c>
      <c r="AL352" s="63" t="str">
        <f aca="false">IF(AND($AE352=Constants!$B$7, T352, U352) ,IF($Z352="", "", MAX(0,1-ABS($AA352-$Z352)/$AA352)),"")</f>
        <v/>
      </c>
      <c r="AM352" s="63" t="str">
        <f aca="false">IF(AND(NOT(ISERROR(AH352)),ISERROR(AL352)),$AM$6,"")</f>
        <v/>
      </c>
      <c r="AN352" s="63" t="str">
        <f aca="false">IF($AE352=Constants!$B$7 ,IF(AND(T352,U352,W352,ISNUMBER(Z352)),IF($AL$6=0,Constants!$B$10,Constants!$B$10*AL352/$AL$6), 0),"")</f>
        <v/>
      </c>
      <c r="AO352" s="63" t="str">
        <f aca="false">IF(AN352&lt;&gt;"", AN352*AG352,"")</f>
        <v/>
      </c>
      <c r="AP352" s="63" t="str">
        <f aca="false">IF($AE352=Constants!$B$7,IF($AP$6=0,Constants!$B$8,Constants!$B$8*AB352/$AP$6),"")</f>
        <v/>
      </c>
      <c r="AQ352" s="63" t="str">
        <f aca="false">IF($AE352&lt;&gt;Constants!$B$7,$AE352,AK352+AO352+AP352)</f>
        <v/>
      </c>
      <c r="AR352" s="63" t="str">
        <f aca="false">IF(ISBLANK($C352),"",IF($AE352=Constants!$B$7,RANK(AQ352,$AQ$8:$AQ$507),$AE352))</f>
        <v/>
      </c>
      <c r="AS352" s="63" t="str">
        <f aca="false">IF(ISBLANK($C352), "",AK352)</f>
        <v/>
      </c>
      <c r="AT352" s="63" t="str">
        <f aca="false">IF(ISBLANK($C352),"",IF($AE352=Constants!$B$7,RANK(AS352,AS$8:AS$507),$AE352))</f>
        <v/>
      </c>
      <c r="AU352" s="63" t="str">
        <f aca="false">IF(ISBLANK($C352), "",AP352)</f>
        <v/>
      </c>
      <c r="AV352" s="63" t="str">
        <f aca="false">IF(ISBLANK($C352),"",IF($AE352=Constants!$B$7,RANK(AU352,AU$8:AU$507),$AE352))</f>
        <v/>
      </c>
      <c r="AW352" s="63" t="str">
        <f aca="false">IF(ISBLANK($C352), "",AC352)</f>
        <v/>
      </c>
      <c r="AX352" s="63" t="str">
        <f aca="false">IF(ISBLANK($C352),"",
IF($AE352=Constants!$B$7,
  COUNTIFS($AR$8:$AR$507,"&lt;"&amp;$AR352)
  + COUNTIFS($AR$8:$AR$507,$AR352,$AT$8:$AT$507,"&lt;"&amp;$AT352)
  + COUNTIFS($AR$8:$AR$507,$AR352,$AT$8:$AT$507,$AT352,$AV$8:$AV$507,"&lt;"&amp;$AV352)
  + COUNTIFS($AR$8:$AR$507,$AR352,$AT$8:$AT$507,$AT352,$AV$8:$AV$507,$AV352,$AW$8:$AW$507,"&lt;"&amp;$AW352)
  + 1,
$AE352))</f>
        <v/>
      </c>
      <c r="AY352" s="63" t="str">
        <f aca="false">IF(ISBLANK(C352),"",IF($AE352=Constants!$B$7, AR352-AX352,$AE352))</f>
        <v/>
      </c>
      <c r="AZ352" s="67"/>
      <c r="BA352" s="81" t="str">
        <f aca="false">IF(ISBLANK($C352),"",TRIM(AI352&amp;" "&amp;AM352))</f>
        <v/>
      </c>
      <c r="BB352" s="69" t="str">
        <f aca="false">IF(ISBLANK($C352),"",IF($AE352&lt;&gt;Constants!$B$7, $AE352 ,AQ352))</f>
        <v/>
      </c>
      <c r="BC352" s="70" t="str">
        <f aca="false">IF(ISBLANK($C352),"",IF($AE352&lt;&gt;Constants!$B$7, $AE352 ,AF352))</f>
        <v/>
      </c>
      <c r="BD352" s="71" t="str">
        <f aca="false">IF(ISBLANK(C352),"",AY352)</f>
        <v/>
      </c>
      <c r="BE352" s="71" t="str">
        <f aca="false">IF(ISBLANK(C352),"",AX352)</f>
        <v/>
      </c>
      <c r="BF352" s="72" t="str">
        <f aca="false">IF(ISBLANK(C352),"",IFERROR(_xlfn.SWITCH(BE352, Constants!$B$4, COUNTA($C$8:$C851)+2, Constants!$B$5, COUNTA($C$8:$C851)+1, Constants!$B$6, COUNTA($C$8:$C851)),BE352))</f>
        <v/>
      </c>
      <c r="BG352" s="5"/>
      <c r="BH352" s="73" t="n">
        <f aca="false">IF(OR(ISNUMBER(BE352),BE352="DQ",BE352="P",BE352="NS"),
    1,
    0
)</f>
        <v>0</v>
      </c>
      <c r="BI352" s="73" t="n">
        <v>345</v>
      </c>
      <c r="BJ352" s="73" t="str">
        <f aca="false">IF(ISBLANK($C352),
    "",
   BF352+ROW($B352)/1000
)</f>
        <v/>
      </c>
      <c r="BK352" s="73" t="str">
        <f aca="false">IF(ISNUMBER(BJ352), RANK(BJ352,BJ$8:BJ$507,1), "")</f>
        <v/>
      </c>
      <c r="BL352" s="73" t="str">
        <f aca="false">IF(ISBLANK($C352),
    "",
    $B352
)</f>
        <v/>
      </c>
      <c r="BM352" s="73" t="str">
        <f aca="false">IF(ISBLANK($C352),
    "",
    $C352
)</f>
        <v/>
      </c>
      <c r="BN352" s="73" t="str">
        <f aca="false">IF(ISBLANK($C352),
    "",
    $D352
)</f>
        <v/>
      </c>
      <c r="BO352" s="74" t="str">
        <f aca="false">BC352</f>
        <v/>
      </c>
      <c r="BP352" s="75" t="str">
        <f aca="false">BB352</f>
        <v/>
      </c>
      <c r="BQ352" s="73" t="str">
        <f aca="false">IF(ISBLANK($C352),
    "",
    BE352
)</f>
        <v/>
      </c>
      <c r="BR352" s="76" t="str">
        <f aca="false">IF(BI352&gt;BH$7,
    "",
    VLOOKUP(BI352,BK$8:BQ851,7,FALSE())
)</f>
        <v/>
      </c>
      <c r="BS352" s="77" t="str">
        <f aca="false">IF(BI352&gt;BH$7,
    "",
    VLOOKUP(BI352,BK$8:BQ851,2,FALSE())
)</f>
        <v/>
      </c>
      <c r="BT352" s="77" t="str">
        <f aca="false">IF(BI352&gt;BH$7,
    "",
    VLOOKUP(BI352,BK$8:BQ851,3,FALSE())
)</f>
        <v/>
      </c>
      <c r="BU352" s="77" t="str">
        <f aca="false">IF(BI352&gt;BH$7,
    "",
    VLOOKUP(BI352,BK$8:BQ851,4,FALSE())
)</f>
        <v/>
      </c>
      <c r="BV352" s="77" t="str">
        <f aca="false">IF(BI352&gt;BH$7,
    "",
    VLOOKUP(BI352,BK$8:BQ851,5,FALSE())
)</f>
        <v/>
      </c>
      <c r="BW352" s="78" t="str">
        <f aca="false">IF(BI352&gt;BH$7,
    "",
    VLOOKUP(BI352,BK$8:BQ851,6,FALSE())
)</f>
        <v/>
      </c>
      <c r="BX352" s="50"/>
    </row>
    <row r="353" customFormat="false" ht="15.75" hidden="false" customHeight="false" outlineLevel="0" collapsed="false">
      <c r="A353" s="5"/>
      <c r="B353" s="122"/>
      <c r="C353" s="123"/>
      <c r="D353" s="112"/>
      <c r="E353" s="116"/>
      <c r="F353" s="116"/>
      <c r="G353" s="88"/>
      <c r="H353" s="89"/>
      <c r="I353" s="125"/>
      <c r="J353" s="125"/>
      <c r="K353" s="125"/>
      <c r="L353" s="91"/>
      <c r="M353" s="91"/>
      <c r="N353" s="91"/>
      <c r="O353" s="92"/>
      <c r="P353" s="93"/>
      <c r="Q353" s="125"/>
      <c r="R353" s="95"/>
      <c r="S353" s="96"/>
      <c r="T353" s="96" t="str">
        <f aca="false">IF(ISBLANK($C353),"",IF(G353=Constants!$B$2, TRUE(), IF(G353=Constants!$B$3, FALSE(), TRUE())))</f>
        <v/>
      </c>
      <c r="U353" s="96" t="str">
        <f aca="false">IF(ISBLANK($C353),"",IF(H353=Constants!$B$2, TRUE(), IF(H353=Constants!$B$3, FALSE(), TRUE())))</f>
        <v/>
      </c>
      <c r="V353" s="96" t="str">
        <f aca="false">IF(ISBLANK($C353),"",IF(I353=Constants!$B$2, TRUE(), IF(I353=Constants!$B$3, FALSE(), TRUE())))</f>
        <v/>
      </c>
      <c r="W353" s="96" t="str">
        <f aca="false">IF(ISBLANK($C353),"",IF(J353=Constants!$B$2, TRUE(), IF(J353=Constants!$B$3, FALSE(), TRUE())))</f>
        <v/>
      </c>
      <c r="X353" s="97" t="str">
        <f aca="false">IF(ISBLANK($C353),"",IF(K353=Constants!$B$2, TRUE(), IF(K353=Constants!$B$3, FALSE(), TRUE())))</f>
        <v/>
      </c>
      <c r="Y353" s="98" t="str">
        <f aca="false">IF(ISBLANK($C353),"",IF(ISNUMBER(L353), L353, ""))</f>
        <v/>
      </c>
      <c r="Z353" s="98" t="str">
        <f aca="false">IF(ISBLANK($C353),"",IF(ISNUMBER(M353), M353, ""))</f>
        <v/>
      </c>
      <c r="AA353" s="98" t="str">
        <f aca="false">IF(ISBLANK($C353),"",IF(ISNUMBER(N353), N353, ""))</f>
        <v/>
      </c>
      <c r="AB353" s="99" t="str">
        <f aca="false">IF(ISBLANK($C353),"",IF(ISNUMBER(O353), O353, ""))</f>
        <v/>
      </c>
      <c r="AC353" s="99" t="str">
        <f aca="false">IF(ISBLANK($C353),"",IF(ISNUMBER(P353), P353, Constants!$B$13))</f>
        <v/>
      </c>
      <c r="AD353" s="96" t="str">
        <f aca="false">IF(ISBLANK($C353),"",IF(Q353=Constants!$B$2, TRUE(), IF(Q353=Constants!$B$3, FALSE(), FALSE())))</f>
        <v/>
      </c>
      <c r="AE353" s="96" t="str">
        <f aca="false">IF(ISBLANK(C353), "", IF(AD353, Constants!$B$4,IF(COUNTA(G353:O353)=0, Constants!$B$5, Constants!$B$7)))</f>
        <v/>
      </c>
      <c r="AF353" s="96" t="str">
        <f aca="false">IF(ISBLANK($C353), "",IF($AE353=Constants!$B$7,1,$AE353))</f>
        <v/>
      </c>
      <c r="AG353" s="96" t="str">
        <f aca="false">IF($AE353=Constants!$B$7,IF(V353, 1, Constants!$B$11) * IF(X353, 1, Constants!$B$12),"")</f>
        <v/>
      </c>
      <c r="AH353" s="96" t="str">
        <f aca="false">IF(AND($AE353=Constants!$B$7, T353, U353) ,MAX(0, $AA353-$Y353),"")</f>
        <v/>
      </c>
      <c r="AI353" s="96" t="str">
        <f aca="false">IF(ISERROR(AH353),$AI$6,"")</f>
        <v/>
      </c>
      <c r="AJ353" s="96" t="str">
        <f aca="false">IF($AE353=Constants!$B$7,IF(AND(T353,U353,W353),IF($AH$6=0,Constants!$B$9,Constants!$B$9*AH353/$AH$6), 0),"")</f>
        <v/>
      </c>
      <c r="AK353" s="96" t="str">
        <f aca="false">IF(AJ353&lt;&gt;"", AJ353*AG353,"")</f>
        <v/>
      </c>
      <c r="AL353" s="96" t="str">
        <f aca="false">IF(AND($AE353=Constants!$B$7, T353, U353) ,IF($Z353="", "", MAX(0,1-ABS($AA353-$Z353)/$AA353)),"")</f>
        <v/>
      </c>
      <c r="AM353" s="96" t="str">
        <f aca="false">IF(AND(NOT(ISERROR(AH353)),ISERROR(AL353)),$AM$6,"")</f>
        <v/>
      </c>
      <c r="AN353" s="96" t="str">
        <f aca="false">IF($AE353=Constants!$B$7 ,IF(AND(T353,U353,W353,ISNUMBER(Z353)),IF($AL$6=0,Constants!$B$10,Constants!$B$10*AL353/$AL$6), 0),"")</f>
        <v/>
      </c>
      <c r="AO353" s="96" t="str">
        <f aca="false">IF(AN353&lt;&gt;"", AN353*AG353,"")</f>
        <v/>
      </c>
      <c r="AP353" s="96" t="str">
        <f aca="false">IF($AE353=Constants!$B$7,IF($AP$6=0,Constants!$B$8,Constants!$B$8*AB353/$AP$6),"")</f>
        <v/>
      </c>
      <c r="AQ353" s="96" t="str">
        <f aca="false">IF($AE353&lt;&gt;Constants!$B$7,$AE353,AK353+AO353+AP353)</f>
        <v/>
      </c>
      <c r="AR353" s="96" t="str">
        <f aca="false">IF(ISBLANK($C353),"",IF($AE353=Constants!$B$7,RANK(AQ353,$AQ$8:$AQ$507),$AE353))</f>
        <v/>
      </c>
      <c r="AS353" s="96" t="str">
        <f aca="false">IF(ISBLANK($C353), "",AK353)</f>
        <v/>
      </c>
      <c r="AT353" s="96" t="str">
        <f aca="false">IF(ISBLANK($C353),"",IF($AE353=Constants!$B$7,RANK(AS353,AS$8:AS$507),$AE353))</f>
        <v/>
      </c>
      <c r="AU353" s="96" t="str">
        <f aca="false">IF(ISBLANK($C353), "",AP353)</f>
        <v/>
      </c>
      <c r="AV353" s="96" t="str">
        <f aca="false">IF(ISBLANK($C353),"",IF($AE353=Constants!$B$7,RANK(AU353,AU$8:AU$507),$AE353))</f>
        <v/>
      </c>
      <c r="AW353" s="96" t="str">
        <f aca="false">IF(ISBLANK($C353), "",AC353)</f>
        <v/>
      </c>
      <c r="AX353" s="96" t="str">
        <f aca="false">IF(ISBLANK($C353),"",
IF($AE353=Constants!$B$7,
  COUNTIFS($AR$8:$AR$507,"&lt;"&amp;$AR353)
  + COUNTIFS($AR$8:$AR$507,$AR353,$AT$8:$AT$507,"&lt;"&amp;$AT353)
  + COUNTIFS($AR$8:$AR$507,$AR353,$AT$8:$AT$507,$AT353,$AV$8:$AV$507,"&lt;"&amp;$AV353)
  + COUNTIFS($AR$8:$AR$507,$AR353,$AT$8:$AT$507,$AT353,$AV$8:$AV$507,$AV353,$AW$8:$AW$507,"&lt;"&amp;$AW353)
  + 1,
$AE353))</f>
        <v/>
      </c>
      <c r="AY353" s="96" t="str">
        <f aca="false">IF(ISBLANK(C353),"",IF($AE353=Constants!$B$7, AR353-AX353,$AE353))</f>
        <v/>
      </c>
      <c r="AZ353" s="100"/>
      <c r="BA353" s="101" t="str">
        <f aca="false">IF(ISBLANK($C353),"",TRIM(AI353&amp;" "&amp;AM353))</f>
        <v/>
      </c>
      <c r="BB353" s="102" t="str">
        <f aca="false">IF(ISBLANK($C353),"",IF($AE353&lt;&gt;Constants!$B$7, $AE353 ,AQ353))</f>
        <v/>
      </c>
      <c r="BC353" s="103" t="str">
        <f aca="false">IF(ISBLANK($C353),"",IF($AE353&lt;&gt;Constants!$B$7, $AE353 ,AF353))</f>
        <v/>
      </c>
      <c r="BD353" s="104" t="str">
        <f aca="false">IF(ISBLANK(C353),"",AY353)</f>
        <v/>
      </c>
      <c r="BE353" s="104" t="str">
        <f aca="false">IF(ISBLANK(C353),"",AX353)</f>
        <v/>
      </c>
      <c r="BF353" s="105" t="str">
        <f aca="false">IF(ISBLANK(C353),"",IFERROR(_xlfn.SWITCH(BE353, Constants!$B$4, COUNTA($C$8:$C852)+2, Constants!$B$5, COUNTA($C$8:$C852)+1, Constants!$B$6, COUNTA($C$8:$C852)),BE353))</f>
        <v/>
      </c>
      <c r="BG353" s="5"/>
      <c r="BH353" s="106" t="n">
        <f aca="false">IF(OR(ISNUMBER(BE353),BE353="DQ",BE353="P",BE353="NS"),
    1,
    0
)</f>
        <v>0</v>
      </c>
      <c r="BI353" s="106" t="n">
        <v>346</v>
      </c>
      <c r="BJ353" s="106" t="str">
        <f aca="false">IF(ISBLANK($C353),
    "",
   BF353+ROW($B353)/1000
)</f>
        <v/>
      </c>
      <c r="BK353" s="106" t="str">
        <f aca="false">IF(ISNUMBER(BJ353), RANK(BJ353,BJ$8:BJ$507,1), "")</f>
        <v/>
      </c>
      <c r="BL353" s="106" t="str">
        <f aca="false">IF(ISBLANK($C353),
    "",
    $B353
)</f>
        <v/>
      </c>
      <c r="BM353" s="106" t="str">
        <f aca="false">IF(ISBLANK($C353),
    "",
    $C353
)</f>
        <v/>
      </c>
      <c r="BN353" s="106" t="str">
        <f aca="false">IF(ISBLANK($C353),
    "",
    $D353
)</f>
        <v/>
      </c>
      <c r="BO353" s="107" t="str">
        <f aca="false">BC353</f>
        <v/>
      </c>
      <c r="BP353" s="108" t="str">
        <f aca="false">BB353</f>
        <v/>
      </c>
      <c r="BQ353" s="106" t="str">
        <f aca="false">IF(ISBLANK($C353),
    "",
    BE353
)</f>
        <v/>
      </c>
      <c r="BR353" s="109" t="str">
        <f aca="false">IF(BI353&gt;BH$7,
    "",
    VLOOKUP(BI353,BK$8:BQ852,7,FALSE())
)</f>
        <v/>
      </c>
      <c r="BS353" s="110" t="str">
        <f aca="false">IF(BI353&gt;BH$7,
    "",
    VLOOKUP(BI353,BK$8:BQ852,2,FALSE())
)</f>
        <v/>
      </c>
      <c r="BT353" s="110" t="str">
        <f aca="false">IF(BI353&gt;BH$7,
    "",
    VLOOKUP(BI353,BK$8:BQ852,3,FALSE())
)</f>
        <v/>
      </c>
      <c r="BU353" s="110" t="str">
        <f aca="false">IF(BI353&gt;BH$7,
    "",
    VLOOKUP(BI353,BK$8:BQ852,4,FALSE())
)</f>
        <v/>
      </c>
      <c r="BV353" s="110" t="str">
        <f aca="false">IF(BI353&gt;BH$7,
    "",
    VLOOKUP(BI353,BK$8:BQ852,5,FALSE())
)</f>
        <v/>
      </c>
      <c r="BW353" s="111" t="str">
        <f aca="false">IF(BI353&gt;BH$7,
    "",
    VLOOKUP(BI353,BK$8:BQ852,6,FALSE())
)</f>
        <v/>
      </c>
      <c r="BX353" s="50"/>
    </row>
    <row r="354" customFormat="false" ht="15.75" hidden="false" customHeight="false" outlineLevel="0" collapsed="false">
      <c r="A354" s="5"/>
      <c r="B354" s="122"/>
      <c r="C354" s="123"/>
      <c r="D354" s="112"/>
      <c r="E354" s="116"/>
      <c r="F354" s="116"/>
      <c r="G354" s="88"/>
      <c r="H354" s="89"/>
      <c r="I354" s="125"/>
      <c r="J354" s="125"/>
      <c r="K354" s="125"/>
      <c r="L354" s="91"/>
      <c r="M354" s="91"/>
      <c r="N354" s="91"/>
      <c r="O354" s="92"/>
      <c r="P354" s="93"/>
      <c r="Q354" s="125"/>
      <c r="R354" s="95"/>
      <c r="S354" s="96"/>
      <c r="T354" s="96" t="str">
        <f aca="false">IF(ISBLANK($C354),"",IF(G354=Constants!$B$2, TRUE(), IF(G354=Constants!$B$3, FALSE(), TRUE())))</f>
        <v/>
      </c>
      <c r="U354" s="96" t="str">
        <f aca="false">IF(ISBLANK($C354),"",IF(H354=Constants!$B$2, TRUE(), IF(H354=Constants!$B$3, FALSE(), TRUE())))</f>
        <v/>
      </c>
      <c r="V354" s="96" t="str">
        <f aca="false">IF(ISBLANK($C354),"",IF(I354=Constants!$B$2, TRUE(), IF(I354=Constants!$B$3, FALSE(), TRUE())))</f>
        <v/>
      </c>
      <c r="W354" s="96" t="str">
        <f aca="false">IF(ISBLANK($C354),"",IF(J354=Constants!$B$2, TRUE(), IF(J354=Constants!$B$3, FALSE(), TRUE())))</f>
        <v/>
      </c>
      <c r="X354" s="97" t="str">
        <f aca="false">IF(ISBLANK($C354),"",IF(K354=Constants!$B$2, TRUE(), IF(K354=Constants!$B$3, FALSE(), TRUE())))</f>
        <v/>
      </c>
      <c r="Y354" s="98" t="str">
        <f aca="false">IF(ISBLANK($C354),"",IF(ISNUMBER(L354), L354, ""))</f>
        <v/>
      </c>
      <c r="Z354" s="98" t="str">
        <f aca="false">IF(ISBLANK($C354),"",IF(ISNUMBER(M354), M354, ""))</f>
        <v/>
      </c>
      <c r="AA354" s="98" t="str">
        <f aca="false">IF(ISBLANK($C354),"",IF(ISNUMBER(N354), N354, ""))</f>
        <v/>
      </c>
      <c r="AB354" s="99" t="str">
        <f aca="false">IF(ISBLANK($C354),"",IF(ISNUMBER(O354), O354, ""))</f>
        <v/>
      </c>
      <c r="AC354" s="99" t="str">
        <f aca="false">IF(ISBLANK($C354),"",IF(ISNUMBER(P354), P354, Constants!$B$13))</f>
        <v/>
      </c>
      <c r="AD354" s="96" t="str">
        <f aca="false">IF(ISBLANK($C354),"",IF(Q354=Constants!$B$2, TRUE(), IF(Q354=Constants!$B$3, FALSE(), FALSE())))</f>
        <v/>
      </c>
      <c r="AE354" s="96" t="str">
        <f aca="false">IF(ISBLANK(C354), "", IF(AD354, Constants!$B$4,IF(COUNTA(G354:O354)=0, Constants!$B$5, Constants!$B$7)))</f>
        <v/>
      </c>
      <c r="AF354" s="96" t="str">
        <f aca="false">IF(ISBLANK($C354), "",IF($AE354=Constants!$B$7,1,$AE354))</f>
        <v/>
      </c>
      <c r="AG354" s="96" t="str">
        <f aca="false">IF($AE354=Constants!$B$7,IF(V354, 1, Constants!$B$11) * IF(X354, 1, Constants!$B$12),"")</f>
        <v/>
      </c>
      <c r="AH354" s="96" t="str">
        <f aca="false">IF(AND($AE354=Constants!$B$7, T354, U354) ,MAX(0, $AA354-$Y354),"")</f>
        <v/>
      </c>
      <c r="AI354" s="96" t="str">
        <f aca="false">IF(ISERROR(AH354),$AI$6,"")</f>
        <v/>
      </c>
      <c r="AJ354" s="96" t="str">
        <f aca="false">IF($AE354=Constants!$B$7,IF(AND(T354,U354,W354),IF($AH$6=0,Constants!$B$9,Constants!$B$9*AH354/$AH$6), 0),"")</f>
        <v/>
      </c>
      <c r="AK354" s="96" t="str">
        <f aca="false">IF(AJ354&lt;&gt;"", AJ354*AG354,"")</f>
        <v/>
      </c>
      <c r="AL354" s="96" t="str">
        <f aca="false">IF(AND($AE354=Constants!$B$7, T354, U354) ,IF($Z354="", "", MAX(0,1-ABS($AA354-$Z354)/$AA354)),"")</f>
        <v/>
      </c>
      <c r="AM354" s="96" t="str">
        <f aca="false">IF(AND(NOT(ISERROR(AH354)),ISERROR(AL354)),$AM$6,"")</f>
        <v/>
      </c>
      <c r="AN354" s="96" t="str">
        <f aca="false">IF($AE354=Constants!$B$7 ,IF(AND(T354,U354,W354,ISNUMBER(Z354)),IF($AL$6=0,Constants!$B$10,Constants!$B$10*AL354/$AL$6), 0),"")</f>
        <v/>
      </c>
      <c r="AO354" s="96" t="str">
        <f aca="false">IF(AN354&lt;&gt;"", AN354*AG354,"")</f>
        <v/>
      </c>
      <c r="AP354" s="96" t="str">
        <f aca="false">IF($AE354=Constants!$B$7,IF($AP$6=0,Constants!$B$8,Constants!$B$8*AB354/$AP$6),"")</f>
        <v/>
      </c>
      <c r="AQ354" s="96" t="str">
        <f aca="false">IF($AE354&lt;&gt;Constants!$B$7,$AE354,AK354+AO354+AP354)</f>
        <v/>
      </c>
      <c r="AR354" s="96" t="str">
        <f aca="false">IF(ISBLANK($C354),"",IF($AE354=Constants!$B$7,RANK(AQ354,$AQ$8:$AQ$507),$AE354))</f>
        <v/>
      </c>
      <c r="AS354" s="96" t="str">
        <f aca="false">IF(ISBLANK($C354), "",AK354)</f>
        <v/>
      </c>
      <c r="AT354" s="96" t="str">
        <f aca="false">IF(ISBLANK($C354),"",IF($AE354=Constants!$B$7,RANK(AS354,AS$8:AS$507),$AE354))</f>
        <v/>
      </c>
      <c r="AU354" s="96" t="str">
        <f aca="false">IF(ISBLANK($C354), "",AP354)</f>
        <v/>
      </c>
      <c r="AV354" s="96" t="str">
        <f aca="false">IF(ISBLANK($C354),"",IF($AE354=Constants!$B$7,RANK(AU354,AU$8:AU$507),$AE354))</f>
        <v/>
      </c>
      <c r="AW354" s="96" t="str">
        <f aca="false">IF(ISBLANK($C354), "",AC354)</f>
        <v/>
      </c>
      <c r="AX354" s="96" t="str">
        <f aca="false">IF(ISBLANK($C354),"",
IF($AE354=Constants!$B$7,
  COUNTIFS($AR$8:$AR$507,"&lt;"&amp;$AR354)
  + COUNTIFS($AR$8:$AR$507,$AR354,$AT$8:$AT$507,"&lt;"&amp;$AT354)
  + COUNTIFS($AR$8:$AR$507,$AR354,$AT$8:$AT$507,$AT354,$AV$8:$AV$507,"&lt;"&amp;$AV354)
  + COUNTIFS($AR$8:$AR$507,$AR354,$AT$8:$AT$507,$AT354,$AV$8:$AV$507,$AV354,$AW$8:$AW$507,"&lt;"&amp;$AW354)
  + 1,
$AE354))</f>
        <v/>
      </c>
      <c r="AY354" s="96" t="str">
        <f aca="false">IF(ISBLANK(C354),"",IF($AE354=Constants!$B$7, AR354-AX354,$AE354))</f>
        <v/>
      </c>
      <c r="AZ354" s="100"/>
      <c r="BA354" s="101" t="str">
        <f aca="false">IF(ISBLANK($C354),"",TRIM(AI354&amp;" "&amp;AM354))</f>
        <v/>
      </c>
      <c r="BB354" s="102" t="str">
        <f aca="false">IF(ISBLANK($C354),"",IF($AE354&lt;&gt;Constants!$B$7, $AE354 ,AQ354))</f>
        <v/>
      </c>
      <c r="BC354" s="103" t="str">
        <f aca="false">IF(ISBLANK($C354),"",IF($AE354&lt;&gt;Constants!$B$7, $AE354 ,AF354))</f>
        <v/>
      </c>
      <c r="BD354" s="104" t="str">
        <f aca="false">IF(ISBLANK(C354),"",AY354)</f>
        <v/>
      </c>
      <c r="BE354" s="104" t="str">
        <f aca="false">IF(ISBLANK(C354),"",AX354)</f>
        <v/>
      </c>
      <c r="BF354" s="105" t="str">
        <f aca="false">IF(ISBLANK(C354),"",IFERROR(_xlfn.SWITCH(BE354, Constants!$B$4, COUNTA($C$8:$C853)+2, Constants!$B$5, COUNTA($C$8:$C853)+1, Constants!$B$6, COUNTA($C$8:$C853)),BE354))</f>
        <v/>
      </c>
      <c r="BG354" s="5"/>
      <c r="BH354" s="106" t="n">
        <f aca="false">IF(OR(ISNUMBER(BE354),BE354="DQ",BE354="P",BE354="NS"),
    1,
    0
)</f>
        <v>0</v>
      </c>
      <c r="BI354" s="106" t="n">
        <v>347</v>
      </c>
      <c r="BJ354" s="106" t="str">
        <f aca="false">IF(ISBLANK($C354),
    "",
   BF354+ROW($B354)/1000
)</f>
        <v/>
      </c>
      <c r="BK354" s="106" t="str">
        <f aca="false">IF(ISNUMBER(BJ354), RANK(BJ354,BJ$8:BJ$507,1), "")</f>
        <v/>
      </c>
      <c r="BL354" s="106" t="str">
        <f aca="false">IF(ISBLANK($C354),
    "",
    $B354
)</f>
        <v/>
      </c>
      <c r="BM354" s="106" t="str">
        <f aca="false">IF(ISBLANK($C354),
    "",
    $C354
)</f>
        <v/>
      </c>
      <c r="BN354" s="106" t="str">
        <f aca="false">IF(ISBLANK($C354),
    "",
    $D354
)</f>
        <v/>
      </c>
      <c r="BO354" s="107" t="str">
        <f aca="false">BC354</f>
        <v/>
      </c>
      <c r="BP354" s="108" t="str">
        <f aca="false">BB354</f>
        <v/>
      </c>
      <c r="BQ354" s="106" t="str">
        <f aca="false">IF(ISBLANK($C354),
    "",
    BE354
)</f>
        <v/>
      </c>
      <c r="BR354" s="109" t="str">
        <f aca="false">IF(BI354&gt;BH$7,
    "",
    VLOOKUP(BI354,BK$8:BQ853,7,FALSE())
)</f>
        <v/>
      </c>
      <c r="BS354" s="110" t="str">
        <f aca="false">IF(BI354&gt;BH$7,
    "",
    VLOOKUP(BI354,BK$8:BQ853,2,FALSE())
)</f>
        <v/>
      </c>
      <c r="BT354" s="110" t="str">
        <f aca="false">IF(BI354&gt;BH$7,
    "",
    VLOOKUP(BI354,BK$8:BQ853,3,FALSE())
)</f>
        <v/>
      </c>
      <c r="BU354" s="110" t="str">
        <f aca="false">IF(BI354&gt;BH$7,
    "",
    VLOOKUP(BI354,BK$8:BQ853,4,FALSE())
)</f>
        <v/>
      </c>
      <c r="BV354" s="110" t="str">
        <f aca="false">IF(BI354&gt;BH$7,
    "",
    VLOOKUP(BI354,BK$8:BQ853,5,FALSE())
)</f>
        <v/>
      </c>
      <c r="BW354" s="111" t="str">
        <f aca="false">IF(BI354&gt;BH$7,
    "",
    VLOOKUP(BI354,BK$8:BQ853,6,FALSE())
)</f>
        <v/>
      </c>
      <c r="BX354" s="50"/>
    </row>
    <row r="355" customFormat="false" ht="15.75" hidden="false" customHeight="false" outlineLevel="0" collapsed="false">
      <c r="A355" s="5"/>
      <c r="B355" s="122"/>
      <c r="C355" s="123"/>
      <c r="D355" s="112"/>
      <c r="E355" s="116"/>
      <c r="F355" s="116"/>
      <c r="G355" s="88"/>
      <c r="H355" s="89"/>
      <c r="I355" s="125"/>
      <c r="J355" s="125"/>
      <c r="K355" s="125"/>
      <c r="L355" s="91"/>
      <c r="M355" s="91"/>
      <c r="N355" s="91"/>
      <c r="O355" s="92"/>
      <c r="P355" s="93"/>
      <c r="Q355" s="125"/>
      <c r="R355" s="95"/>
      <c r="S355" s="96"/>
      <c r="T355" s="96" t="str">
        <f aca="false">IF(ISBLANK($C355),"",IF(G355=Constants!$B$2, TRUE(), IF(G355=Constants!$B$3, FALSE(), TRUE())))</f>
        <v/>
      </c>
      <c r="U355" s="96" t="str">
        <f aca="false">IF(ISBLANK($C355),"",IF(H355=Constants!$B$2, TRUE(), IF(H355=Constants!$B$3, FALSE(), TRUE())))</f>
        <v/>
      </c>
      <c r="V355" s="96" t="str">
        <f aca="false">IF(ISBLANK($C355),"",IF(I355=Constants!$B$2, TRUE(), IF(I355=Constants!$B$3, FALSE(), TRUE())))</f>
        <v/>
      </c>
      <c r="W355" s="96" t="str">
        <f aca="false">IF(ISBLANK($C355),"",IF(J355=Constants!$B$2, TRUE(), IF(J355=Constants!$B$3, FALSE(), TRUE())))</f>
        <v/>
      </c>
      <c r="X355" s="97" t="str">
        <f aca="false">IF(ISBLANK($C355),"",IF(K355=Constants!$B$2, TRUE(), IF(K355=Constants!$B$3, FALSE(), TRUE())))</f>
        <v/>
      </c>
      <c r="Y355" s="98" t="str">
        <f aca="false">IF(ISBLANK($C355),"",IF(ISNUMBER(L355), L355, ""))</f>
        <v/>
      </c>
      <c r="Z355" s="98" t="str">
        <f aca="false">IF(ISBLANK($C355),"",IF(ISNUMBER(M355), M355, ""))</f>
        <v/>
      </c>
      <c r="AA355" s="98" t="str">
        <f aca="false">IF(ISBLANK($C355),"",IF(ISNUMBER(N355), N355, ""))</f>
        <v/>
      </c>
      <c r="AB355" s="99" t="str">
        <f aca="false">IF(ISBLANK($C355),"",IF(ISNUMBER(O355), O355, ""))</f>
        <v/>
      </c>
      <c r="AC355" s="99" t="str">
        <f aca="false">IF(ISBLANK($C355),"",IF(ISNUMBER(P355), P355, Constants!$B$13))</f>
        <v/>
      </c>
      <c r="AD355" s="96" t="str">
        <f aca="false">IF(ISBLANK($C355),"",IF(Q355=Constants!$B$2, TRUE(), IF(Q355=Constants!$B$3, FALSE(), FALSE())))</f>
        <v/>
      </c>
      <c r="AE355" s="96" t="str">
        <f aca="false">IF(ISBLANK(C355), "", IF(AD355, Constants!$B$4,IF(COUNTA(G355:O355)=0, Constants!$B$5, Constants!$B$7)))</f>
        <v/>
      </c>
      <c r="AF355" s="96" t="str">
        <f aca="false">IF(ISBLANK($C355), "",IF($AE355=Constants!$B$7,1,$AE355))</f>
        <v/>
      </c>
      <c r="AG355" s="96" t="str">
        <f aca="false">IF($AE355=Constants!$B$7,IF(V355, 1, Constants!$B$11) * IF(X355, 1, Constants!$B$12),"")</f>
        <v/>
      </c>
      <c r="AH355" s="96" t="str">
        <f aca="false">IF(AND($AE355=Constants!$B$7, T355, U355) ,MAX(0, $AA355-$Y355),"")</f>
        <v/>
      </c>
      <c r="AI355" s="96" t="str">
        <f aca="false">IF(ISERROR(AH355),$AI$6,"")</f>
        <v/>
      </c>
      <c r="AJ355" s="96" t="str">
        <f aca="false">IF($AE355=Constants!$B$7,IF(AND(T355,U355,W355),IF($AH$6=0,Constants!$B$9,Constants!$B$9*AH355/$AH$6), 0),"")</f>
        <v/>
      </c>
      <c r="AK355" s="96" t="str">
        <f aca="false">IF(AJ355&lt;&gt;"", AJ355*AG355,"")</f>
        <v/>
      </c>
      <c r="AL355" s="96" t="str">
        <f aca="false">IF(AND($AE355=Constants!$B$7, T355, U355) ,IF($Z355="", "", MAX(0,1-ABS($AA355-$Z355)/$AA355)),"")</f>
        <v/>
      </c>
      <c r="AM355" s="96" t="str">
        <f aca="false">IF(AND(NOT(ISERROR(AH355)),ISERROR(AL355)),$AM$6,"")</f>
        <v/>
      </c>
      <c r="AN355" s="96" t="str">
        <f aca="false">IF($AE355=Constants!$B$7 ,IF(AND(T355,U355,W355,ISNUMBER(Z355)),IF($AL$6=0,Constants!$B$10,Constants!$B$10*AL355/$AL$6), 0),"")</f>
        <v/>
      </c>
      <c r="AO355" s="96" t="str">
        <f aca="false">IF(AN355&lt;&gt;"", AN355*AG355,"")</f>
        <v/>
      </c>
      <c r="AP355" s="96" t="str">
        <f aca="false">IF($AE355=Constants!$B$7,IF($AP$6=0,Constants!$B$8,Constants!$B$8*AB355/$AP$6),"")</f>
        <v/>
      </c>
      <c r="AQ355" s="96" t="str">
        <f aca="false">IF($AE355&lt;&gt;Constants!$B$7,$AE355,AK355+AO355+AP355)</f>
        <v/>
      </c>
      <c r="AR355" s="96" t="str">
        <f aca="false">IF(ISBLANK($C355),"",IF($AE355=Constants!$B$7,RANK(AQ355,$AQ$8:$AQ$507),$AE355))</f>
        <v/>
      </c>
      <c r="AS355" s="96" t="str">
        <f aca="false">IF(ISBLANK($C355), "",AK355)</f>
        <v/>
      </c>
      <c r="AT355" s="96" t="str">
        <f aca="false">IF(ISBLANK($C355),"",IF($AE355=Constants!$B$7,RANK(AS355,AS$8:AS$507),$AE355))</f>
        <v/>
      </c>
      <c r="AU355" s="96" t="str">
        <f aca="false">IF(ISBLANK($C355), "",AP355)</f>
        <v/>
      </c>
      <c r="AV355" s="96" t="str">
        <f aca="false">IF(ISBLANK($C355),"",IF($AE355=Constants!$B$7,RANK(AU355,AU$8:AU$507),$AE355))</f>
        <v/>
      </c>
      <c r="AW355" s="96" t="str">
        <f aca="false">IF(ISBLANK($C355), "",AC355)</f>
        <v/>
      </c>
      <c r="AX355" s="96" t="str">
        <f aca="false">IF(ISBLANK($C355),"",
IF($AE355=Constants!$B$7,
  COUNTIFS($AR$8:$AR$507,"&lt;"&amp;$AR355)
  + COUNTIFS($AR$8:$AR$507,$AR355,$AT$8:$AT$507,"&lt;"&amp;$AT355)
  + COUNTIFS($AR$8:$AR$507,$AR355,$AT$8:$AT$507,$AT355,$AV$8:$AV$507,"&lt;"&amp;$AV355)
  + COUNTIFS($AR$8:$AR$507,$AR355,$AT$8:$AT$507,$AT355,$AV$8:$AV$507,$AV355,$AW$8:$AW$507,"&lt;"&amp;$AW355)
  + 1,
$AE355))</f>
        <v/>
      </c>
      <c r="AY355" s="96" t="str">
        <f aca="false">IF(ISBLANK(C355),"",IF($AE355=Constants!$B$7, AR355-AX355,$AE355))</f>
        <v/>
      </c>
      <c r="AZ355" s="100"/>
      <c r="BA355" s="101" t="str">
        <f aca="false">IF(ISBLANK($C355),"",TRIM(AI355&amp;" "&amp;AM355))</f>
        <v/>
      </c>
      <c r="BB355" s="102" t="str">
        <f aca="false">IF(ISBLANK($C355),"",IF($AE355&lt;&gt;Constants!$B$7, $AE355 ,AQ355))</f>
        <v/>
      </c>
      <c r="BC355" s="103" t="str">
        <f aca="false">IF(ISBLANK($C355),"",IF($AE355&lt;&gt;Constants!$B$7, $AE355 ,AF355))</f>
        <v/>
      </c>
      <c r="BD355" s="104" t="str">
        <f aca="false">IF(ISBLANK(C355),"",AY355)</f>
        <v/>
      </c>
      <c r="BE355" s="104" t="str">
        <f aca="false">IF(ISBLANK(C355),"",AX355)</f>
        <v/>
      </c>
      <c r="BF355" s="105" t="str">
        <f aca="false">IF(ISBLANK(C355),"",IFERROR(_xlfn.SWITCH(BE355, Constants!$B$4, COUNTA($C$8:$C854)+2, Constants!$B$5, COUNTA($C$8:$C854)+1, Constants!$B$6, COUNTA($C$8:$C854)),BE355))</f>
        <v/>
      </c>
      <c r="BG355" s="5"/>
      <c r="BH355" s="106" t="n">
        <f aca="false">IF(OR(ISNUMBER(BE355),BE355="DQ",BE355="P",BE355="NS"),
    1,
    0
)</f>
        <v>0</v>
      </c>
      <c r="BI355" s="106" t="n">
        <v>348</v>
      </c>
      <c r="BJ355" s="106" t="str">
        <f aca="false">IF(ISBLANK($C355),
    "",
   BF355+ROW($B355)/1000
)</f>
        <v/>
      </c>
      <c r="BK355" s="106" t="str">
        <f aca="false">IF(ISNUMBER(BJ355), RANK(BJ355,BJ$8:BJ$507,1), "")</f>
        <v/>
      </c>
      <c r="BL355" s="106" t="str">
        <f aca="false">IF(ISBLANK($C355),
    "",
    $B355
)</f>
        <v/>
      </c>
      <c r="BM355" s="106" t="str">
        <f aca="false">IF(ISBLANK($C355),
    "",
    $C355
)</f>
        <v/>
      </c>
      <c r="BN355" s="106" t="str">
        <f aca="false">IF(ISBLANK($C355),
    "",
    $D355
)</f>
        <v/>
      </c>
      <c r="BO355" s="107" t="str">
        <f aca="false">BC355</f>
        <v/>
      </c>
      <c r="BP355" s="108" t="str">
        <f aca="false">BB355</f>
        <v/>
      </c>
      <c r="BQ355" s="106" t="str">
        <f aca="false">IF(ISBLANK($C355),
    "",
    BE355
)</f>
        <v/>
      </c>
      <c r="BR355" s="109" t="str">
        <f aca="false">IF(BI355&gt;BH$7,
    "",
    VLOOKUP(BI355,BK$8:BQ854,7,FALSE())
)</f>
        <v/>
      </c>
      <c r="BS355" s="110" t="str">
        <f aca="false">IF(BI355&gt;BH$7,
    "",
    VLOOKUP(BI355,BK$8:BQ854,2,FALSE())
)</f>
        <v/>
      </c>
      <c r="BT355" s="110" t="str">
        <f aca="false">IF(BI355&gt;BH$7,
    "",
    VLOOKUP(BI355,BK$8:BQ854,3,FALSE())
)</f>
        <v/>
      </c>
      <c r="BU355" s="110" t="str">
        <f aca="false">IF(BI355&gt;BH$7,
    "",
    VLOOKUP(BI355,BK$8:BQ854,4,FALSE())
)</f>
        <v/>
      </c>
      <c r="BV355" s="110" t="str">
        <f aca="false">IF(BI355&gt;BH$7,
    "",
    VLOOKUP(BI355,BK$8:BQ854,5,FALSE())
)</f>
        <v/>
      </c>
      <c r="BW355" s="111" t="str">
        <f aca="false">IF(BI355&gt;BH$7,
    "",
    VLOOKUP(BI355,BK$8:BQ854,6,FALSE())
)</f>
        <v/>
      </c>
      <c r="BX355" s="50"/>
    </row>
    <row r="356" customFormat="false" ht="15.75" hidden="false" customHeight="false" outlineLevel="0" collapsed="false">
      <c r="A356" s="5"/>
      <c r="B356" s="126"/>
      <c r="C356" s="52"/>
      <c r="D356" s="53"/>
      <c r="E356" s="120"/>
      <c r="F356" s="120"/>
      <c r="G356" s="55"/>
      <c r="H356" s="56"/>
      <c r="I356" s="80"/>
      <c r="J356" s="80"/>
      <c r="K356" s="80"/>
      <c r="L356" s="58"/>
      <c r="M356" s="58"/>
      <c r="N356" s="58"/>
      <c r="O356" s="59"/>
      <c r="P356" s="60"/>
      <c r="Q356" s="80"/>
      <c r="R356" s="62"/>
      <c r="S356" s="63"/>
      <c r="T356" s="63" t="str">
        <f aca="false">IF(ISBLANK($C356),"",IF(G356=Constants!$B$2, TRUE(), IF(G356=Constants!$B$3, FALSE(), TRUE())))</f>
        <v/>
      </c>
      <c r="U356" s="63" t="str">
        <f aca="false">IF(ISBLANK($C356),"",IF(H356=Constants!$B$2, TRUE(), IF(H356=Constants!$B$3, FALSE(), TRUE())))</f>
        <v/>
      </c>
      <c r="V356" s="63" t="str">
        <f aca="false">IF(ISBLANK($C356),"",IF(I356=Constants!$B$2, TRUE(), IF(I356=Constants!$B$3, FALSE(), TRUE())))</f>
        <v/>
      </c>
      <c r="W356" s="63" t="str">
        <f aca="false">IF(ISBLANK($C356),"",IF(J356=Constants!$B$2, TRUE(), IF(J356=Constants!$B$3, FALSE(), TRUE())))</f>
        <v/>
      </c>
      <c r="X356" s="63" t="str">
        <f aca="false">IF(ISBLANK($C356),"",IF(K356=Constants!$B$2, TRUE(), IF(K356=Constants!$B$3, FALSE(), TRUE())))</f>
        <v/>
      </c>
      <c r="Y356" s="65" t="str">
        <f aca="false">IF(ISBLANK($C356),"",IF(ISNUMBER(L356), L356, ""))</f>
        <v/>
      </c>
      <c r="Z356" s="65" t="str">
        <f aca="false">IF(ISBLANK($C356),"",IF(ISNUMBER(M356), M356, ""))</f>
        <v/>
      </c>
      <c r="AA356" s="65" t="str">
        <f aca="false">IF(ISBLANK($C356),"",IF(ISNUMBER(N356), N356, ""))</f>
        <v/>
      </c>
      <c r="AB356" s="66" t="str">
        <f aca="false">IF(ISBLANK($C356),"",IF(ISNUMBER(O356), O356, ""))</f>
        <v/>
      </c>
      <c r="AC356" s="66" t="str">
        <f aca="false">IF(ISBLANK($C356),"",IF(ISNUMBER(P356), P356, Constants!$B$13))</f>
        <v/>
      </c>
      <c r="AD356" s="63" t="str">
        <f aca="false">IF(ISBLANK($C356),"",IF(Q356=Constants!$B$2, TRUE(), IF(Q356=Constants!$B$3, FALSE(), FALSE())))</f>
        <v/>
      </c>
      <c r="AE356" s="63" t="str">
        <f aca="false">IF(ISBLANK(C356), "", IF(AD356, Constants!$B$4,IF(COUNTA(G356:O356)=0, Constants!$B$5, Constants!$B$7)))</f>
        <v/>
      </c>
      <c r="AF356" s="63" t="str">
        <f aca="false">IF(ISBLANK($C356), "",IF($AE356=Constants!$B$7,1,$AE356))</f>
        <v/>
      </c>
      <c r="AG356" s="63" t="str">
        <f aca="false">IF($AE356=Constants!$B$7,IF(V356, 1, Constants!$B$11) * IF(X356, 1, Constants!$B$12),"")</f>
        <v/>
      </c>
      <c r="AH356" s="63" t="str">
        <f aca="false">IF(AND($AE356=Constants!$B$7, T356, U356) ,MAX(0, $AA356-$Y356),"")</f>
        <v/>
      </c>
      <c r="AI356" s="63" t="str">
        <f aca="false">IF(ISERROR(AH356),$AI$6,"")</f>
        <v/>
      </c>
      <c r="AJ356" s="63" t="str">
        <f aca="false">IF($AE356=Constants!$B$7,IF(AND(T356,U356,W356),IF($AH$6=0,Constants!$B$9,Constants!$B$9*AH356/$AH$6), 0),"")</f>
        <v/>
      </c>
      <c r="AK356" s="63" t="str">
        <f aca="false">IF(AJ356&lt;&gt;"", AJ356*AG356,"")</f>
        <v/>
      </c>
      <c r="AL356" s="63" t="str">
        <f aca="false">IF(AND($AE356=Constants!$B$7, T356, U356) ,IF($Z356="", "", MAX(0,1-ABS($AA356-$Z356)/$AA356)),"")</f>
        <v/>
      </c>
      <c r="AM356" s="63" t="str">
        <f aca="false">IF(AND(NOT(ISERROR(AH356)),ISERROR(AL356)),$AM$6,"")</f>
        <v/>
      </c>
      <c r="AN356" s="63" t="str">
        <f aca="false">IF($AE356=Constants!$B$7 ,IF(AND(T356,U356,W356,ISNUMBER(Z356)),IF($AL$6=0,Constants!$B$10,Constants!$B$10*AL356/$AL$6), 0),"")</f>
        <v/>
      </c>
      <c r="AO356" s="63" t="str">
        <f aca="false">IF(AN356&lt;&gt;"", AN356*AG356,"")</f>
        <v/>
      </c>
      <c r="AP356" s="63" t="str">
        <f aca="false">IF($AE356=Constants!$B$7,IF($AP$6=0,Constants!$B$8,Constants!$B$8*AB356/$AP$6),"")</f>
        <v/>
      </c>
      <c r="AQ356" s="63" t="str">
        <f aca="false">IF($AE356&lt;&gt;Constants!$B$7,$AE356,AK356+AO356+AP356)</f>
        <v/>
      </c>
      <c r="AR356" s="63" t="str">
        <f aca="false">IF(ISBLANK($C356),"",IF($AE356=Constants!$B$7,RANK(AQ356,$AQ$8:$AQ$507),$AE356))</f>
        <v/>
      </c>
      <c r="AS356" s="63" t="str">
        <f aca="false">IF(ISBLANK($C356), "",AK356)</f>
        <v/>
      </c>
      <c r="AT356" s="63" t="str">
        <f aca="false">IF(ISBLANK($C356),"",IF($AE356=Constants!$B$7,RANK(AS356,AS$8:AS$507),$AE356))</f>
        <v/>
      </c>
      <c r="AU356" s="63" t="str">
        <f aca="false">IF(ISBLANK($C356), "",AP356)</f>
        <v/>
      </c>
      <c r="AV356" s="63" t="str">
        <f aca="false">IF(ISBLANK($C356),"",IF($AE356=Constants!$B$7,RANK(AU356,AU$8:AU$507),$AE356))</f>
        <v/>
      </c>
      <c r="AW356" s="63" t="str">
        <f aca="false">IF(ISBLANK($C356), "",AC356)</f>
        <v/>
      </c>
      <c r="AX356" s="63" t="str">
        <f aca="false">IF(ISBLANK($C356),"",
IF($AE356=Constants!$B$7,
  COUNTIFS($AR$8:$AR$507,"&lt;"&amp;$AR356)
  + COUNTIFS($AR$8:$AR$507,$AR356,$AT$8:$AT$507,"&lt;"&amp;$AT356)
  + COUNTIFS($AR$8:$AR$507,$AR356,$AT$8:$AT$507,$AT356,$AV$8:$AV$507,"&lt;"&amp;$AV356)
  + COUNTIFS($AR$8:$AR$507,$AR356,$AT$8:$AT$507,$AT356,$AV$8:$AV$507,$AV356,$AW$8:$AW$507,"&lt;"&amp;$AW356)
  + 1,
$AE356))</f>
        <v/>
      </c>
      <c r="AY356" s="63" t="str">
        <f aca="false">IF(ISBLANK(C356),"",IF($AE356=Constants!$B$7, AR356-AX356,$AE356))</f>
        <v/>
      </c>
      <c r="AZ356" s="67"/>
      <c r="BA356" s="81" t="str">
        <f aca="false">IF(ISBLANK($C356),"",TRIM(AI356&amp;" "&amp;AM356))</f>
        <v/>
      </c>
      <c r="BB356" s="69" t="str">
        <f aca="false">IF(ISBLANK($C356),"",IF($AE356&lt;&gt;Constants!$B$7, $AE356 ,AQ356))</f>
        <v/>
      </c>
      <c r="BC356" s="70" t="str">
        <f aca="false">IF(ISBLANK($C356),"",IF($AE356&lt;&gt;Constants!$B$7, $AE356 ,AF356))</f>
        <v/>
      </c>
      <c r="BD356" s="71" t="str">
        <f aca="false">IF(ISBLANK(C356),"",AY356)</f>
        <v/>
      </c>
      <c r="BE356" s="71" t="str">
        <f aca="false">IF(ISBLANK(C356),"",AX356)</f>
        <v/>
      </c>
      <c r="BF356" s="72" t="str">
        <f aca="false">IF(ISBLANK(C356),"",IFERROR(_xlfn.SWITCH(BE356, Constants!$B$4, COUNTA($C$8:$C855)+2, Constants!$B$5, COUNTA($C$8:$C855)+1, Constants!$B$6, COUNTA($C$8:$C855)),BE356))</f>
        <v/>
      </c>
      <c r="BG356" s="5"/>
      <c r="BH356" s="73" t="n">
        <f aca="false">IF(OR(ISNUMBER(BE356),BE356="DQ",BE356="P",BE356="NS"),
    1,
    0
)</f>
        <v>0</v>
      </c>
      <c r="BI356" s="73" t="n">
        <v>349</v>
      </c>
      <c r="BJ356" s="73" t="str">
        <f aca="false">IF(ISBLANK($C356),
    "",
   BF356+ROW($B356)/1000
)</f>
        <v/>
      </c>
      <c r="BK356" s="73" t="str">
        <f aca="false">IF(ISNUMBER(BJ356), RANK(BJ356,BJ$8:BJ$507,1), "")</f>
        <v/>
      </c>
      <c r="BL356" s="73" t="str">
        <f aca="false">IF(ISBLANK($C356),
    "",
    $B356
)</f>
        <v/>
      </c>
      <c r="BM356" s="73" t="str">
        <f aca="false">IF(ISBLANK($C356),
    "",
    $C356
)</f>
        <v/>
      </c>
      <c r="BN356" s="73" t="str">
        <f aca="false">IF(ISBLANK($C356),
    "",
    $D356
)</f>
        <v/>
      </c>
      <c r="BO356" s="74" t="str">
        <f aca="false">BC356</f>
        <v/>
      </c>
      <c r="BP356" s="75" t="str">
        <f aca="false">BB356</f>
        <v/>
      </c>
      <c r="BQ356" s="73" t="str">
        <f aca="false">IF(ISBLANK($C356),
    "",
    BE356
)</f>
        <v/>
      </c>
      <c r="BR356" s="76" t="str">
        <f aca="false">IF(BI356&gt;BH$7,
    "",
    VLOOKUP(BI356,BK$8:BQ855,7,FALSE())
)</f>
        <v/>
      </c>
      <c r="BS356" s="77" t="str">
        <f aca="false">IF(BI356&gt;BH$7,
    "",
    VLOOKUP(BI356,BK$8:BQ855,2,FALSE())
)</f>
        <v/>
      </c>
      <c r="BT356" s="77" t="str">
        <f aca="false">IF(BI356&gt;BH$7,
    "",
    VLOOKUP(BI356,BK$8:BQ855,3,FALSE())
)</f>
        <v/>
      </c>
      <c r="BU356" s="77" t="str">
        <f aca="false">IF(BI356&gt;BH$7,
    "",
    VLOOKUP(BI356,BK$8:BQ855,4,FALSE())
)</f>
        <v/>
      </c>
      <c r="BV356" s="77" t="str">
        <f aca="false">IF(BI356&gt;BH$7,
    "",
    VLOOKUP(BI356,BK$8:BQ855,5,FALSE())
)</f>
        <v/>
      </c>
      <c r="BW356" s="78" t="str">
        <f aca="false">IF(BI356&gt;BH$7,
    "",
    VLOOKUP(BI356,BK$8:BQ855,6,FALSE())
)</f>
        <v/>
      </c>
      <c r="BX356" s="50"/>
    </row>
    <row r="357" customFormat="false" ht="15.75" hidden="false" customHeight="false" outlineLevel="0" collapsed="false">
      <c r="A357" s="5"/>
      <c r="B357" s="126"/>
      <c r="C357" s="52"/>
      <c r="D357" s="53"/>
      <c r="E357" s="120"/>
      <c r="F357" s="120"/>
      <c r="G357" s="55"/>
      <c r="H357" s="56"/>
      <c r="I357" s="80"/>
      <c r="J357" s="80"/>
      <c r="K357" s="80"/>
      <c r="L357" s="58"/>
      <c r="M357" s="58"/>
      <c r="N357" s="58"/>
      <c r="O357" s="59"/>
      <c r="P357" s="60"/>
      <c r="Q357" s="80"/>
      <c r="R357" s="62"/>
      <c r="S357" s="63"/>
      <c r="T357" s="63" t="str">
        <f aca="false">IF(ISBLANK($C357),"",IF(G357=Constants!$B$2, TRUE(), IF(G357=Constants!$B$3, FALSE(), TRUE())))</f>
        <v/>
      </c>
      <c r="U357" s="63" t="str">
        <f aca="false">IF(ISBLANK($C357),"",IF(H357=Constants!$B$2, TRUE(), IF(H357=Constants!$B$3, FALSE(), TRUE())))</f>
        <v/>
      </c>
      <c r="V357" s="63" t="str">
        <f aca="false">IF(ISBLANK($C357),"",IF(I357=Constants!$B$2, TRUE(), IF(I357=Constants!$B$3, FALSE(), TRUE())))</f>
        <v/>
      </c>
      <c r="W357" s="63" t="str">
        <f aca="false">IF(ISBLANK($C357),"",IF(J357=Constants!$B$2, TRUE(), IF(J357=Constants!$B$3, FALSE(), TRUE())))</f>
        <v/>
      </c>
      <c r="X357" s="63" t="str">
        <f aca="false">IF(ISBLANK($C357),"",IF(K357=Constants!$B$2, TRUE(), IF(K357=Constants!$B$3, FALSE(), TRUE())))</f>
        <v/>
      </c>
      <c r="Y357" s="65" t="str">
        <f aca="false">IF(ISBLANK($C357),"",IF(ISNUMBER(L357), L357, ""))</f>
        <v/>
      </c>
      <c r="Z357" s="65" t="str">
        <f aca="false">IF(ISBLANK($C357),"",IF(ISNUMBER(M357), M357, ""))</f>
        <v/>
      </c>
      <c r="AA357" s="65" t="str">
        <f aca="false">IF(ISBLANK($C357),"",IF(ISNUMBER(N357), N357, ""))</f>
        <v/>
      </c>
      <c r="AB357" s="66" t="str">
        <f aca="false">IF(ISBLANK($C357),"",IF(ISNUMBER(O357), O357, ""))</f>
        <v/>
      </c>
      <c r="AC357" s="66" t="str">
        <f aca="false">IF(ISBLANK($C357),"",IF(ISNUMBER(P357), P357, Constants!$B$13))</f>
        <v/>
      </c>
      <c r="AD357" s="63" t="str">
        <f aca="false">IF(ISBLANK($C357),"",IF(Q357=Constants!$B$2, TRUE(), IF(Q357=Constants!$B$3, FALSE(), FALSE())))</f>
        <v/>
      </c>
      <c r="AE357" s="63" t="str">
        <f aca="false">IF(ISBLANK(C357), "", IF(AD357, Constants!$B$4,IF(COUNTA(G357:O357)=0, Constants!$B$5, Constants!$B$7)))</f>
        <v/>
      </c>
      <c r="AF357" s="63" t="str">
        <f aca="false">IF(ISBLANK($C357), "",IF($AE357=Constants!$B$7,1,$AE357))</f>
        <v/>
      </c>
      <c r="AG357" s="63" t="str">
        <f aca="false">IF($AE357=Constants!$B$7,IF(V357, 1, Constants!$B$11) * IF(X357, 1, Constants!$B$12),"")</f>
        <v/>
      </c>
      <c r="AH357" s="63" t="str">
        <f aca="false">IF(AND($AE357=Constants!$B$7, T357, U357) ,MAX(0, $AA357-$Y357),"")</f>
        <v/>
      </c>
      <c r="AI357" s="63" t="str">
        <f aca="false">IF(ISERROR(AH357),$AI$6,"")</f>
        <v/>
      </c>
      <c r="AJ357" s="63" t="str">
        <f aca="false">IF($AE357=Constants!$B$7,IF(AND(T357,U357,W357),IF($AH$6=0,Constants!$B$9,Constants!$B$9*AH357/$AH$6), 0),"")</f>
        <v/>
      </c>
      <c r="AK357" s="63" t="str">
        <f aca="false">IF(AJ357&lt;&gt;"", AJ357*AG357,"")</f>
        <v/>
      </c>
      <c r="AL357" s="63" t="str">
        <f aca="false">IF(AND($AE357=Constants!$B$7, T357, U357) ,IF($Z357="", "", MAX(0,1-ABS($AA357-$Z357)/$AA357)),"")</f>
        <v/>
      </c>
      <c r="AM357" s="63" t="str">
        <f aca="false">IF(AND(NOT(ISERROR(AH357)),ISERROR(AL357)),$AM$6,"")</f>
        <v/>
      </c>
      <c r="AN357" s="63" t="str">
        <f aca="false">IF($AE357=Constants!$B$7 ,IF(AND(T357,U357,W357,ISNUMBER(Z357)),IF($AL$6=0,Constants!$B$10,Constants!$B$10*AL357/$AL$6), 0),"")</f>
        <v/>
      </c>
      <c r="AO357" s="63" t="str">
        <f aca="false">IF(AN357&lt;&gt;"", AN357*AG357,"")</f>
        <v/>
      </c>
      <c r="AP357" s="63" t="str">
        <f aca="false">IF($AE357=Constants!$B$7,IF($AP$6=0,Constants!$B$8,Constants!$B$8*AB357/$AP$6),"")</f>
        <v/>
      </c>
      <c r="AQ357" s="63" t="str">
        <f aca="false">IF($AE357&lt;&gt;Constants!$B$7,$AE357,AK357+AO357+AP357)</f>
        <v/>
      </c>
      <c r="AR357" s="63" t="str">
        <f aca="false">IF(ISBLANK($C357),"",IF($AE357=Constants!$B$7,RANK(AQ357,$AQ$8:$AQ$507),$AE357))</f>
        <v/>
      </c>
      <c r="AS357" s="63" t="str">
        <f aca="false">IF(ISBLANK($C357), "",AK357)</f>
        <v/>
      </c>
      <c r="AT357" s="63" t="str">
        <f aca="false">IF(ISBLANK($C357),"",IF($AE357=Constants!$B$7,RANK(AS357,AS$8:AS$507),$AE357))</f>
        <v/>
      </c>
      <c r="AU357" s="63" t="str">
        <f aca="false">IF(ISBLANK($C357), "",AP357)</f>
        <v/>
      </c>
      <c r="AV357" s="63" t="str">
        <f aca="false">IF(ISBLANK($C357),"",IF($AE357=Constants!$B$7,RANK(AU357,AU$8:AU$507),$AE357))</f>
        <v/>
      </c>
      <c r="AW357" s="63" t="str">
        <f aca="false">IF(ISBLANK($C357), "",AC357)</f>
        <v/>
      </c>
      <c r="AX357" s="63" t="str">
        <f aca="false">IF(ISBLANK($C357),"",
IF($AE357=Constants!$B$7,
  COUNTIFS($AR$8:$AR$507,"&lt;"&amp;$AR357)
  + COUNTIFS($AR$8:$AR$507,$AR357,$AT$8:$AT$507,"&lt;"&amp;$AT357)
  + COUNTIFS($AR$8:$AR$507,$AR357,$AT$8:$AT$507,$AT357,$AV$8:$AV$507,"&lt;"&amp;$AV357)
  + COUNTIFS($AR$8:$AR$507,$AR357,$AT$8:$AT$507,$AT357,$AV$8:$AV$507,$AV357,$AW$8:$AW$507,"&lt;"&amp;$AW357)
  + 1,
$AE357))</f>
        <v/>
      </c>
      <c r="AY357" s="63" t="str">
        <f aca="false">IF(ISBLANK(C357),"",IF($AE357=Constants!$B$7, AR357-AX357,$AE357))</f>
        <v/>
      </c>
      <c r="AZ357" s="67"/>
      <c r="BA357" s="81" t="str">
        <f aca="false">IF(ISBLANK($C357),"",TRIM(AI357&amp;" "&amp;AM357))</f>
        <v/>
      </c>
      <c r="BB357" s="69" t="str">
        <f aca="false">IF(ISBLANK($C357),"",IF($AE357&lt;&gt;Constants!$B$7, $AE357 ,AQ357))</f>
        <v/>
      </c>
      <c r="BC357" s="70" t="str">
        <f aca="false">IF(ISBLANK($C357),"",IF($AE357&lt;&gt;Constants!$B$7, $AE357 ,AF357))</f>
        <v/>
      </c>
      <c r="BD357" s="71" t="str">
        <f aca="false">IF(ISBLANK(C357),"",AY357)</f>
        <v/>
      </c>
      <c r="BE357" s="71" t="str">
        <f aca="false">IF(ISBLANK(C357),"",AX357)</f>
        <v/>
      </c>
      <c r="BF357" s="72" t="str">
        <f aca="false">IF(ISBLANK(C357),"",IFERROR(_xlfn.SWITCH(BE357, Constants!$B$4, COUNTA($C$8:$C856)+2, Constants!$B$5, COUNTA($C$8:$C856)+1, Constants!$B$6, COUNTA($C$8:$C856)),BE357))</f>
        <v/>
      </c>
      <c r="BG357" s="5"/>
      <c r="BH357" s="73" t="n">
        <f aca="false">IF(OR(ISNUMBER(BE357),BE357="DQ",BE357="P",BE357="NS"),
    1,
    0
)</f>
        <v>0</v>
      </c>
      <c r="BI357" s="73" t="n">
        <v>350</v>
      </c>
      <c r="BJ357" s="73" t="str">
        <f aca="false">IF(ISBLANK($C357),
    "",
   BF357+ROW($B357)/1000
)</f>
        <v/>
      </c>
      <c r="BK357" s="73" t="str">
        <f aca="false">IF(ISNUMBER(BJ357), RANK(BJ357,BJ$8:BJ$507,1), "")</f>
        <v/>
      </c>
      <c r="BL357" s="73" t="str">
        <f aca="false">IF(ISBLANK($C357),
    "",
    $B357
)</f>
        <v/>
      </c>
      <c r="BM357" s="73" t="str">
        <f aca="false">IF(ISBLANK($C357),
    "",
    $C357
)</f>
        <v/>
      </c>
      <c r="BN357" s="73" t="str">
        <f aca="false">IF(ISBLANK($C357),
    "",
    $D357
)</f>
        <v/>
      </c>
      <c r="BO357" s="74" t="str">
        <f aca="false">BC357</f>
        <v/>
      </c>
      <c r="BP357" s="75" t="str">
        <f aca="false">BB357</f>
        <v/>
      </c>
      <c r="BQ357" s="73" t="str">
        <f aca="false">IF(ISBLANK($C357),
    "",
    BE357
)</f>
        <v/>
      </c>
      <c r="BR357" s="76" t="str">
        <f aca="false">IF(BI357&gt;BH$7,
    "",
    VLOOKUP(BI357,BK$8:BQ856,7,FALSE())
)</f>
        <v/>
      </c>
      <c r="BS357" s="77" t="str">
        <f aca="false">IF(BI357&gt;BH$7,
    "",
    VLOOKUP(BI357,BK$8:BQ856,2,FALSE())
)</f>
        <v/>
      </c>
      <c r="BT357" s="77" t="str">
        <f aca="false">IF(BI357&gt;BH$7,
    "",
    VLOOKUP(BI357,BK$8:BQ856,3,FALSE())
)</f>
        <v/>
      </c>
      <c r="BU357" s="77" t="str">
        <f aca="false">IF(BI357&gt;BH$7,
    "",
    VLOOKUP(BI357,BK$8:BQ856,4,FALSE())
)</f>
        <v/>
      </c>
      <c r="BV357" s="77" t="str">
        <f aca="false">IF(BI357&gt;BH$7,
    "",
    VLOOKUP(BI357,BK$8:BQ856,5,FALSE())
)</f>
        <v/>
      </c>
      <c r="BW357" s="78" t="str">
        <f aca="false">IF(BI357&gt;BH$7,
    "",
    VLOOKUP(BI357,BK$8:BQ856,6,FALSE())
)</f>
        <v/>
      </c>
      <c r="BX357" s="50"/>
    </row>
    <row r="358" customFormat="false" ht="15.75" hidden="false" customHeight="false" outlineLevel="0" collapsed="false">
      <c r="A358" s="5"/>
      <c r="B358" s="126"/>
      <c r="C358" s="52"/>
      <c r="D358" s="53"/>
      <c r="E358" s="120"/>
      <c r="F358" s="120"/>
      <c r="G358" s="55"/>
      <c r="H358" s="56"/>
      <c r="I358" s="80"/>
      <c r="J358" s="80"/>
      <c r="K358" s="80"/>
      <c r="L358" s="58"/>
      <c r="M358" s="58"/>
      <c r="N358" s="58"/>
      <c r="O358" s="59"/>
      <c r="P358" s="60"/>
      <c r="Q358" s="80"/>
      <c r="R358" s="62"/>
      <c r="S358" s="63"/>
      <c r="T358" s="63" t="str">
        <f aca="false">IF(ISBLANK($C358),"",IF(G358=Constants!$B$2, TRUE(), IF(G358=Constants!$B$3, FALSE(), TRUE())))</f>
        <v/>
      </c>
      <c r="U358" s="63" t="str">
        <f aca="false">IF(ISBLANK($C358),"",IF(H358=Constants!$B$2, TRUE(), IF(H358=Constants!$B$3, FALSE(), TRUE())))</f>
        <v/>
      </c>
      <c r="V358" s="63" t="str">
        <f aca="false">IF(ISBLANK($C358),"",IF(I358=Constants!$B$2, TRUE(), IF(I358=Constants!$B$3, FALSE(), TRUE())))</f>
        <v/>
      </c>
      <c r="W358" s="63" t="str">
        <f aca="false">IF(ISBLANK($C358),"",IF(J358=Constants!$B$2, TRUE(), IF(J358=Constants!$B$3, FALSE(), TRUE())))</f>
        <v/>
      </c>
      <c r="X358" s="63" t="str">
        <f aca="false">IF(ISBLANK($C358),"",IF(K358=Constants!$B$2, TRUE(), IF(K358=Constants!$B$3, FALSE(), TRUE())))</f>
        <v/>
      </c>
      <c r="Y358" s="65" t="str">
        <f aca="false">IF(ISBLANK($C358),"",IF(ISNUMBER(L358), L358, ""))</f>
        <v/>
      </c>
      <c r="Z358" s="65" t="str">
        <f aca="false">IF(ISBLANK($C358),"",IF(ISNUMBER(M358), M358, ""))</f>
        <v/>
      </c>
      <c r="AA358" s="65" t="str">
        <f aca="false">IF(ISBLANK($C358),"",IF(ISNUMBER(N358), N358, ""))</f>
        <v/>
      </c>
      <c r="AB358" s="66" t="str">
        <f aca="false">IF(ISBLANK($C358),"",IF(ISNUMBER(O358), O358, ""))</f>
        <v/>
      </c>
      <c r="AC358" s="66" t="str">
        <f aca="false">IF(ISBLANK($C358),"",IF(ISNUMBER(P358), P358, Constants!$B$13))</f>
        <v/>
      </c>
      <c r="AD358" s="63" t="str">
        <f aca="false">IF(ISBLANK($C358),"",IF(Q358=Constants!$B$2, TRUE(), IF(Q358=Constants!$B$3, FALSE(), FALSE())))</f>
        <v/>
      </c>
      <c r="AE358" s="63" t="str">
        <f aca="false">IF(ISBLANK(C358), "", IF(AD358, Constants!$B$4,IF(COUNTA(G358:O358)=0, Constants!$B$5, Constants!$B$7)))</f>
        <v/>
      </c>
      <c r="AF358" s="63" t="str">
        <f aca="false">IF(ISBLANK($C358), "",IF($AE358=Constants!$B$7,1,$AE358))</f>
        <v/>
      </c>
      <c r="AG358" s="63" t="str">
        <f aca="false">IF($AE358=Constants!$B$7,IF(V358, 1, Constants!$B$11) * IF(X358, 1, Constants!$B$12),"")</f>
        <v/>
      </c>
      <c r="AH358" s="63" t="str">
        <f aca="false">IF(AND($AE358=Constants!$B$7, T358, U358) ,MAX(0, $AA358-$Y358),"")</f>
        <v/>
      </c>
      <c r="AI358" s="63" t="str">
        <f aca="false">IF(ISERROR(AH358),$AI$6,"")</f>
        <v/>
      </c>
      <c r="AJ358" s="63" t="str">
        <f aca="false">IF($AE358=Constants!$B$7,IF(AND(T358,U358,W358),IF($AH$6=0,Constants!$B$9,Constants!$B$9*AH358/$AH$6), 0),"")</f>
        <v/>
      </c>
      <c r="AK358" s="63" t="str">
        <f aca="false">IF(AJ358&lt;&gt;"", AJ358*AG358,"")</f>
        <v/>
      </c>
      <c r="AL358" s="63" t="str">
        <f aca="false">IF(AND($AE358=Constants!$B$7, T358, U358) ,IF($Z358="", "", MAX(0,1-ABS($AA358-$Z358)/$AA358)),"")</f>
        <v/>
      </c>
      <c r="AM358" s="63" t="str">
        <f aca="false">IF(AND(NOT(ISERROR(AH358)),ISERROR(AL358)),$AM$6,"")</f>
        <v/>
      </c>
      <c r="AN358" s="63" t="str">
        <f aca="false">IF($AE358=Constants!$B$7 ,IF(AND(T358,U358,W358,ISNUMBER(Z358)),IF($AL$6=0,Constants!$B$10,Constants!$B$10*AL358/$AL$6), 0),"")</f>
        <v/>
      </c>
      <c r="AO358" s="63" t="str">
        <f aca="false">IF(AN358&lt;&gt;"", AN358*AG358,"")</f>
        <v/>
      </c>
      <c r="AP358" s="63" t="str">
        <f aca="false">IF($AE358=Constants!$B$7,IF($AP$6=0,Constants!$B$8,Constants!$B$8*AB358/$AP$6),"")</f>
        <v/>
      </c>
      <c r="AQ358" s="63" t="str">
        <f aca="false">IF($AE358&lt;&gt;Constants!$B$7,$AE358,AK358+AO358+AP358)</f>
        <v/>
      </c>
      <c r="AR358" s="63" t="str">
        <f aca="false">IF(ISBLANK($C358),"",IF($AE358=Constants!$B$7,RANK(AQ358,$AQ$8:$AQ$507),$AE358))</f>
        <v/>
      </c>
      <c r="AS358" s="63" t="str">
        <f aca="false">IF(ISBLANK($C358), "",AK358)</f>
        <v/>
      </c>
      <c r="AT358" s="63" t="str">
        <f aca="false">IF(ISBLANK($C358),"",IF($AE358=Constants!$B$7,RANK(AS358,AS$8:AS$507),$AE358))</f>
        <v/>
      </c>
      <c r="AU358" s="63" t="str">
        <f aca="false">IF(ISBLANK($C358), "",AP358)</f>
        <v/>
      </c>
      <c r="AV358" s="63" t="str">
        <f aca="false">IF(ISBLANK($C358),"",IF($AE358=Constants!$B$7,RANK(AU358,AU$8:AU$507),$AE358))</f>
        <v/>
      </c>
      <c r="AW358" s="63" t="str">
        <f aca="false">IF(ISBLANK($C358), "",AC358)</f>
        <v/>
      </c>
      <c r="AX358" s="63" t="str">
        <f aca="false">IF(ISBLANK($C358),"",
IF($AE358=Constants!$B$7,
  COUNTIFS($AR$8:$AR$507,"&lt;"&amp;$AR358)
  + COUNTIFS($AR$8:$AR$507,$AR358,$AT$8:$AT$507,"&lt;"&amp;$AT358)
  + COUNTIFS($AR$8:$AR$507,$AR358,$AT$8:$AT$507,$AT358,$AV$8:$AV$507,"&lt;"&amp;$AV358)
  + COUNTIFS($AR$8:$AR$507,$AR358,$AT$8:$AT$507,$AT358,$AV$8:$AV$507,$AV358,$AW$8:$AW$507,"&lt;"&amp;$AW358)
  + 1,
$AE358))</f>
        <v/>
      </c>
      <c r="AY358" s="63" t="str">
        <f aca="false">IF(ISBLANK(C358),"",IF($AE358=Constants!$B$7, AR358-AX358,$AE358))</f>
        <v/>
      </c>
      <c r="AZ358" s="67"/>
      <c r="BA358" s="81" t="str">
        <f aca="false">IF(ISBLANK($C358),"",TRIM(AI358&amp;" "&amp;AM358))</f>
        <v/>
      </c>
      <c r="BB358" s="69" t="str">
        <f aca="false">IF(ISBLANK($C358),"",IF($AE358&lt;&gt;Constants!$B$7, $AE358 ,AQ358))</f>
        <v/>
      </c>
      <c r="BC358" s="70" t="str">
        <f aca="false">IF(ISBLANK($C358),"",IF($AE358&lt;&gt;Constants!$B$7, $AE358 ,AF358))</f>
        <v/>
      </c>
      <c r="BD358" s="71" t="str">
        <f aca="false">IF(ISBLANK(C358),"",AY358)</f>
        <v/>
      </c>
      <c r="BE358" s="71" t="str">
        <f aca="false">IF(ISBLANK(C358),"",AX358)</f>
        <v/>
      </c>
      <c r="BF358" s="72" t="str">
        <f aca="false">IF(ISBLANK(C358),"",IFERROR(_xlfn.SWITCH(BE358, Constants!$B$4, COUNTA($C$8:$C857)+2, Constants!$B$5, COUNTA($C$8:$C857)+1, Constants!$B$6, COUNTA($C$8:$C857)),BE358))</f>
        <v/>
      </c>
      <c r="BG358" s="5"/>
      <c r="BH358" s="73" t="n">
        <f aca="false">IF(OR(ISNUMBER(BE358),BE358="DQ",BE358="P",BE358="NS"),
    1,
    0
)</f>
        <v>0</v>
      </c>
      <c r="BI358" s="73" t="n">
        <v>351</v>
      </c>
      <c r="BJ358" s="73" t="str">
        <f aca="false">IF(ISBLANK($C358),
    "",
   BF358+ROW($B358)/1000
)</f>
        <v/>
      </c>
      <c r="BK358" s="73" t="str">
        <f aca="false">IF(ISNUMBER(BJ358), RANK(BJ358,BJ$8:BJ$507,1), "")</f>
        <v/>
      </c>
      <c r="BL358" s="73" t="str">
        <f aca="false">IF(ISBLANK($C358),
    "",
    $B358
)</f>
        <v/>
      </c>
      <c r="BM358" s="73" t="str">
        <f aca="false">IF(ISBLANK($C358),
    "",
    $C358
)</f>
        <v/>
      </c>
      <c r="BN358" s="73" t="str">
        <f aca="false">IF(ISBLANK($C358),
    "",
    $D358
)</f>
        <v/>
      </c>
      <c r="BO358" s="74" t="str">
        <f aca="false">BC358</f>
        <v/>
      </c>
      <c r="BP358" s="75" t="str">
        <f aca="false">BB358</f>
        <v/>
      </c>
      <c r="BQ358" s="73" t="str">
        <f aca="false">IF(ISBLANK($C358),
    "",
    BE358
)</f>
        <v/>
      </c>
      <c r="BR358" s="76" t="str">
        <f aca="false">IF(BI358&gt;BH$7,
    "",
    VLOOKUP(BI358,BK$8:BQ857,7,FALSE())
)</f>
        <v/>
      </c>
      <c r="BS358" s="77" t="str">
        <f aca="false">IF(BI358&gt;BH$7,
    "",
    VLOOKUP(BI358,BK$8:BQ857,2,FALSE())
)</f>
        <v/>
      </c>
      <c r="BT358" s="77" t="str">
        <f aca="false">IF(BI358&gt;BH$7,
    "",
    VLOOKUP(BI358,BK$8:BQ857,3,FALSE())
)</f>
        <v/>
      </c>
      <c r="BU358" s="77" t="str">
        <f aca="false">IF(BI358&gt;BH$7,
    "",
    VLOOKUP(BI358,BK$8:BQ857,4,FALSE())
)</f>
        <v/>
      </c>
      <c r="BV358" s="77" t="str">
        <f aca="false">IF(BI358&gt;BH$7,
    "",
    VLOOKUP(BI358,BK$8:BQ857,5,FALSE())
)</f>
        <v/>
      </c>
      <c r="BW358" s="78" t="str">
        <f aca="false">IF(BI358&gt;BH$7,
    "",
    VLOOKUP(BI358,BK$8:BQ857,6,FALSE())
)</f>
        <v/>
      </c>
      <c r="BX358" s="50"/>
    </row>
    <row r="359" customFormat="false" ht="15.75" hidden="false" customHeight="false" outlineLevel="0" collapsed="false">
      <c r="A359" s="5"/>
      <c r="B359" s="122"/>
      <c r="C359" s="123"/>
      <c r="D359" s="112"/>
      <c r="E359" s="116"/>
      <c r="F359" s="116"/>
      <c r="G359" s="88"/>
      <c r="H359" s="89"/>
      <c r="I359" s="125"/>
      <c r="J359" s="125"/>
      <c r="K359" s="125"/>
      <c r="L359" s="91"/>
      <c r="M359" s="91"/>
      <c r="N359" s="91"/>
      <c r="O359" s="92"/>
      <c r="P359" s="93"/>
      <c r="Q359" s="125"/>
      <c r="R359" s="95"/>
      <c r="S359" s="96"/>
      <c r="T359" s="96" t="str">
        <f aca="false">IF(ISBLANK($C359),"",IF(G359=Constants!$B$2, TRUE(), IF(G359=Constants!$B$3, FALSE(), TRUE())))</f>
        <v/>
      </c>
      <c r="U359" s="96" t="str">
        <f aca="false">IF(ISBLANK($C359),"",IF(H359=Constants!$B$2, TRUE(), IF(H359=Constants!$B$3, FALSE(), TRUE())))</f>
        <v/>
      </c>
      <c r="V359" s="96" t="str">
        <f aca="false">IF(ISBLANK($C359),"",IF(I359=Constants!$B$2, TRUE(), IF(I359=Constants!$B$3, FALSE(), TRUE())))</f>
        <v/>
      </c>
      <c r="W359" s="96" t="str">
        <f aca="false">IF(ISBLANK($C359),"",IF(J359=Constants!$B$2, TRUE(), IF(J359=Constants!$B$3, FALSE(), TRUE())))</f>
        <v/>
      </c>
      <c r="X359" s="97" t="str">
        <f aca="false">IF(ISBLANK($C359),"",IF(K359=Constants!$B$2, TRUE(), IF(K359=Constants!$B$3, FALSE(), TRUE())))</f>
        <v/>
      </c>
      <c r="Y359" s="98" t="str">
        <f aca="false">IF(ISBLANK($C359),"",IF(ISNUMBER(L359), L359, ""))</f>
        <v/>
      </c>
      <c r="Z359" s="98" t="str">
        <f aca="false">IF(ISBLANK($C359),"",IF(ISNUMBER(M359), M359, ""))</f>
        <v/>
      </c>
      <c r="AA359" s="98" t="str">
        <f aca="false">IF(ISBLANK($C359),"",IF(ISNUMBER(N359), N359, ""))</f>
        <v/>
      </c>
      <c r="AB359" s="99" t="str">
        <f aca="false">IF(ISBLANK($C359),"",IF(ISNUMBER(O359), O359, ""))</f>
        <v/>
      </c>
      <c r="AC359" s="99" t="str">
        <f aca="false">IF(ISBLANK($C359),"",IF(ISNUMBER(P359), P359, Constants!$B$13))</f>
        <v/>
      </c>
      <c r="AD359" s="96" t="str">
        <f aca="false">IF(ISBLANK($C359),"",IF(Q359=Constants!$B$2, TRUE(), IF(Q359=Constants!$B$3, FALSE(), FALSE())))</f>
        <v/>
      </c>
      <c r="AE359" s="96" t="str">
        <f aca="false">IF(ISBLANK(C359), "", IF(AD359, Constants!$B$4,IF(COUNTA(G359:O359)=0, Constants!$B$5, Constants!$B$7)))</f>
        <v/>
      </c>
      <c r="AF359" s="96" t="str">
        <f aca="false">IF(ISBLANK($C359), "",IF($AE359=Constants!$B$7,1,$AE359))</f>
        <v/>
      </c>
      <c r="AG359" s="96" t="str">
        <f aca="false">IF($AE359=Constants!$B$7,IF(V359, 1, Constants!$B$11) * IF(X359, 1, Constants!$B$12),"")</f>
        <v/>
      </c>
      <c r="AH359" s="96" t="str">
        <f aca="false">IF(AND($AE359=Constants!$B$7, T359, U359) ,MAX(0, $AA359-$Y359),"")</f>
        <v/>
      </c>
      <c r="AI359" s="96" t="str">
        <f aca="false">IF(ISERROR(AH359),$AI$6,"")</f>
        <v/>
      </c>
      <c r="AJ359" s="96" t="str">
        <f aca="false">IF($AE359=Constants!$B$7,IF(AND(T359,U359,W359),IF($AH$6=0,Constants!$B$9,Constants!$B$9*AH359/$AH$6), 0),"")</f>
        <v/>
      </c>
      <c r="AK359" s="96" t="str">
        <f aca="false">IF(AJ359&lt;&gt;"", AJ359*AG359,"")</f>
        <v/>
      </c>
      <c r="AL359" s="96" t="str">
        <f aca="false">IF(AND($AE359=Constants!$B$7, T359, U359) ,IF($Z359="", "", MAX(0,1-ABS($AA359-$Z359)/$AA359)),"")</f>
        <v/>
      </c>
      <c r="AM359" s="96" t="str">
        <f aca="false">IF(AND(NOT(ISERROR(AH359)),ISERROR(AL359)),$AM$6,"")</f>
        <v/>
      </c>
      <c r="AN359" s="96" t="str">
        <f aca="false">IF($AE359=Constants!$B$7 ,IF(AND(T359,U359,W359,ISNUMBER(Z359)),IF($AL$6=0,Constants!$B$10,Constants!$B$10*AL359/$AL$6), 0),"")</f>
        <v/>
      </c>
      <c r="AO359" s="96" t="str">
        <f aca="false">IF(AN359&lt;&gt;"", AN359*AG359,"")</f>
        <v/>
      </c>
      <c r="AP359" s="96" t="str">
        <f aca="false">IF($AE359=Constants!$B$7,IF($AP$6=0,Constants!$B$8,Constants!$B$8*AB359/$AP$6),"")</f>
        <v/>
      </c>
      <c r="AQ359" s="96" t="str">
        <f aca="false">IF($AE359&lt;&gt;Constants!$B$7,$AE359,AK359+AO359+AP359)</f>
        <v/>
      </c>
      <c r="AR359" s="96" t="str">
        <f aca="false">IF(ISBLANK($C359),"",IF($AE359=Constants!$B$7,RANK(AQ359,$AQ$8:$AQ$507),$AE359))</f>
        <v/>
      </c>
      <c r="AS359" s="96" t="str">
        <f aca="false">IF(ISBLANK($C359), "",AK359)</f>
        <v/>
      </c>
      <c r="AT359" s="96" t="str">
        <f aca="false">IF(ISBLANK($C359),"",IF($AE359=Constants!$B$7,RANK(AS359,AS$8:AS$507),$AE359))</f>
        <v/>
      </c>
      <c r="AU359" s="96" t="str">
        <f aca="false">IF(ISBLANK($C359), "",AP359)</f>
        <v/>
      </c>
      <c r="AV359" s="96" t="str">
        <f aca="false">IF(ISBLANK($C359),"",IF($AE359=Constants!$B$7,RANK(AU359,AU$8:AU$507),$AE359))</f>
        <v/>
      </c>
      <c r="AW359" s="96" t="str">
        <f aca="false">IF(ISBLANK($C359), "",AC359)</f>
        <v/>
      </c>
      <c r="AX359" s="96" t="str">
        <f aca="false">IF(ISBLANK($C359),"",
IF($AE359=Constants!$B$7,
  COUNTIFS($AR$8:$AR$507,"&lt;"&amp;$AR359)
  + COUNTIFS($AR$8:$AR$507,$AR359,$AT$8:$AT$507,"&lt;"&amp;$AT359)
  + COUNTIFS($AR$8:$AR$507,$AR359,$AT$8:$AT$507,$AT359,$AV$8:$AV$507,"&lt;"&amp;$AV359)
  + COUNTIFS($AR$8:$AR$507,$AR359,$AT$8:$AT$507,$AT359,$AV$8:$AV$507,$AV359,$AW$8:$AW$507,"&lt;"&amp;$AW359)
  + 1,
$AE359))</f>
        <v/>
      </c>
      <c r="AY359" s="96" t="str">
        <f aca="false">IF(ISBLANK(C359),"",IF($AE359=Constants!$B$7, AR359-AX359,$AE359))</f>
        <v/>
      </c>
      <c r="AZ359" s="100"/>
      <c r="BA359" s="101" t="str">
        <f aca="false">IF(ISBLANK($C359),"",TRIM(AI359&amp;" "&amp;AM359))</f>
        <v/>
      </c>
      <c r="BB359" s="102" t="str">
        <f aca="false">IF(ISBLANK($C359),"",IF($AE359&lt;&gt;Constants!$B$7, $AE359 ,AQ359))</f>
        <v/>
      </c>
      <c r="BC359" s="103" t="str">
        <f aca="false">IF(ISBLANK($C359),"",IF($AE359&lt;&gt;Constants!$B$7, $AE359 ,AF359))</f>
        <v/>
      </c>
      <c r="BD359" s="104" t="str">
        <f aca="false">IF(ISBLANK(C359),"",AY359)</f>
        <v/>
      </c>
      <c r="BE359" s="104" t="str">
        <f aca="false">IF(ISBLANK(C359),"",AX359)</f>
        <v/>
      </c>
      <c r="BF359" s="105" t="str">
        <f aca="false">IF(ISBLANK(C359),"",IFERROR(_xlfn.SWITCH(BE359, Constants!$B$4, COUNTA($C$8:$C858)+2, Constants!$B$5, COUNTA($C$8:$C858)+1, Constants!$B$6, COUNTA($C$8:$C858)),BE359))</f>
        <v/>
      </c>
      <c r="BG359" s="5"/>
      <c r="BH359" s="106" t="n">
        <f aca="false">IF(OR(ISNUMBER(BE359),BE359="DQ",BE359="P",BE359="NS"),
    1,
    0
)</f>
        <v>0</v>
      </c>
      <c r="BI359" s="106" t="n">
        <v>352</v>
      </c>
      <c r="BJ359" s="106" t="str">
        <f aca="false">IF(ISBLANK($C359),
    "",
   BF359+ROW($B359)/1000
)</f>
        <v/>
      </c>
      <c r="BK359" s="106" t="str">
        <f aca="false">IF(ISNUMBER(BJ359), RANK(BJ359,BJ$8:BJ$507,1), "")</f>
        <v/>
      </c>
      <c r="BL359" s="106" t="str">
        <f aca="false">IF(ISBLANK($C359),
    "",
    $B359
)</f>
        <v/>
      </c>
      <c r="BM359" s="106" t="str">
        <f aca="false">IF(ISBLANK($C359),
    "",
    $C359
)</f>
        <v/>
      </c>
      <c r="BN359" s="106" t="str">
        <f aca="false">IF(ISBLANK($C359),
    "",
    $D359
)</f>
        <v/>
      </c>
      <c r="BO359" s="107" t="str">
        <f aca="false">BC359</f>
        <v/>
      </c>
      <c r="BP359" s="108" t="str">
        <f aca="false">BB359</f>
        <v/>
      </c>
      <c r="BQ359" s="106" t="str">
        <f aca="false">IF(ISBLANK($C359),
    "",
    BE359
)</f>
        <v/>
      </c>
      <c r="BR359" s="109" t="str">
        <f aca="false">IF(BI359&gt;BH$7,
    "",
    VLOOKUP(BI359,BK$8:BQ858,7,FALSE())
)</f>
        <v/>
      </c>
      <c r="BS359" s="110" t="str">
        <f aca="false">IF(BI359&gt;BH$7,
    "",
    VLOOKUP(BI359,BK$8:BQ858,2,FALSE())
)</f>
        <v/>
      </c>
      <c r="BT359" s="110" t="str">
        <f aca="false">IF(BI359&gt;BH$7,
    "",
    VLOOKUP(BI359,BK$8:BQ858,3,FALSE())
)</f>
        <v/>
      </c>
      <c r="BU359" s="110" t="str">
        <f aca="false">IF(BI359&gt;BH$7,
    "",
    VLOOKUP(BI359,BK$8:BQ858,4,FALSE())
)</f>
        <v/>
      </c>
      <c r="BV359" s="110" t="str">
        <f aca="false">IF(BI359&gt;BH$7,
    "",
    VLOOKUP(BI359,BK$8:BQ858,5,FALSE())
)</f>
        <v/>
      </c>
      <c r="BW359" s="111" t="str">
        <f aca="false">IF(BI359&gt;BH$7,
    "",
    VLOOKUP(BI359,BK$8:BQ858,6,FALSE())
)</f>
        <v/>
      </c>
      <c r="BX359" s="50"/>
    </row>
    <row r="360" customFormat="false" ht="15.75" hidden="false" customHeight="false" outlineLevel="0" collapsed="false">
      <c r="A360" s="5"/>
      <c r="B360" s="122"/>
      <c r="C360" s="123"/>
      <c r="D360" s="112"/>
      <c r="E360" s="116"/>
      <c r="F360" s="116"/>
      <c r="G360" s="88"/>
      <c r="H360" s="89"/>
      <c r="I360" s="125"/>
      <c r="J360" s="125"/>
      <c r="K360" s="125"/>
      <c r="L360" s="91"/>
      <c r="M360" s="91"/>
      <c r="N360" s="91"/>
      <c r="O360" s="92"/>
      <c r="P360" s="93"/>
      <c r="Q360" s="125"/>
      <c r="R360" s="95"/>
      <c r="S360" s="96"/>
      <c r="T360" s="96" t="str">
        <f aca="false">IF(ISBLANK($C360),"",IF(G360=Constants!$B$2, TRUE(), IF(G360=Constants!$B$3, FALSE(), TRUE())))</f>
        <v/>
      </c>
      <c r="U360" s="96" t="str">
        <f aca="false">IF(ISBLANK($C360),"",IF(H360=Constants!$B$2, TRUE(), IF(H360=Constants!$B$3, FALSE(), TRUE())))</f>
        <v/>
      </c>
      <c r="V360" s="96" t="str">
        <f aca="false">IF(ISBLANK($C360),"",IF(I360=Constants!$B$2, TRUE(), IF(I360=Constants!$B$3, FALSE(), TRUE())))</f>
        <v/>
      </c>
      <c r="W360" s="96" t="str">
        <f aca="false">IF(ISBLANK($C360),"",IF(J360=Constants!$B$2, TRUE(), IF(J360=Constants!$B$3, FALSE(), TRUE())))</f>
        <v/>
      </c>
      <c r="X360" s="97" t="str">
        <f aca="false">IF(ISBLANK($C360),"",IF(K360=Constants!$B$2, TRUE(), IF(K360=Constants!$B$3, FALSE(), TRUE())))</f>
        <v/>
      </c>
      <c r="Y360" s="98" t="str">
        <f aca="false">IF(ISBLANK($C360),"",IF(ISNUMBER(L360), L360, ""))</f>
        <v/>
      </c>
      <c r="Z360" s="98" t="str">
        <f aca="false">IF(ISBLANK($C360),"",IF(ISNUMBER(M360), M360, ""))</f>
        <v/>
      </c>
      <c r="AA360" s="98" t="str">
        <f aca="false">IF(ISBLANK($C360),"",IF(ISNUMBER(N360), N360, ""))</f>
        <v/>
      </c>
      <c r="AB360" s="99" t="str">
        <f aca="false">IF(ISBLANK($C360),"",IF(ISNUMBER(O360), O360, ""))</f>
        <v/>
      </c>
      <c r="AC360" s="99" t="str">
        <f aca="false">IF(ISBLANK($C360),"",IF(ISNUMBER(P360), P360, Constants!$B$13))</f>
        <v/>
      </c>
      <c r="AD360" s="96" t="str">
        <f aca="false">IF(ISBLANK($C360),"",IF(Q360=Constants!$B$2, TRUE(), IF(Q360=Constants!$B$3, FALSE(), FALSE())))</f>
        <v/>
      </c>
      <c r="AE360" s="96" t="str">
        <f aca="false">IF(ISBLANK(C360), "", IF(AD360, Constants!$B$4,IF(COUNTA(G360:O360)=0, Constants!$B$5, Constants!$B$7)))</f>
        <v/>
      </c>
      <c r="AF360" s="96" t="str">
        <f aca="false">IF(ISBLANK($C360), "",IF($AE360=Constants!$B$7,1,$AE360))</f>
        <v/>
      </c>
      <c r="AG360" s="96" t="str">
        <f aca="false">IF($AE360=Constants!$B$7,IF(V360, 1, Constants!$B$11) * IF(X360, 1, Constants!$B$12),"")</f>
        <v/>
      </c>
      <c r="AH360" s="96" t="str">
        <f aca="false">IF(AND($AE360=Constants!$B$7, T360, U360) ,MAX(0, $AA360-$Y360),"")</f>
        <v/>
      </c>
      <c r="AI360" s="96" t="str">
        <f aca="false">IF(ISERROR(AH360),$AI$6,"")</f>
        <v/>
      </c>
      <c r="AJ360" s="96" t="str">
        <f aca="false">IF($AE360=Constants!$B$7,IF(AND(T360,U360,W360),IF($AH$6=0,Constants!$B$9,Constants!$B$9*AH360/$AH$6), 0),"")</f>
        <v/>
      </c>
      <c r="AK360" s="96" t="str">
        <f aca="false">IF(AJ360&lt;&gt;"", AJ360*AG360,"")</f>
        <v/>
      </c>
      <c r="AL360" s="96" t="str">
        <f aca="false">IF(AND($AE360=Constants!$B$7, T360, U360) ,IF($Z360="", "", MAX(0,1-ABS($AA360-$Z360)/$AA360)),"")</f>
        <v/>
      </c>
      <c r="AM360" s="96" t="str">
        <f aca="false">IF(AND(NOT(ISERROR(AH360)),ISERROR(AL360)),$AM$6,"")</f>
        <v/>
      </c>
      <c r="AN360" s="96" t="str">
        <f aca="false">IF($AE360=Constants!$B$7 ,IF(AND(T360,U360,W360,ISNUMBER(Z360)),IF($AL$6=0,Constants!$B$10,Constants!$B$10*AL360/$AL$6), 0),"")</f>
        <v/>
      </c>
      <c r="AO360" s="96" t="str">
        <f aca="false">IF(AN360&lt;&gt;"", AN360*AG360,"")</f>
        <v/>
      </c>
      <c r="AP360" s="96" t="str">
        <f aca="false">IF($AE360=Constants!$B$7,IF($AP$6=0,Constants!$B$8,Constants!$B$8*AB360/$AP$6),"")</f>
        <v/>
      </c>
      <c r="AQ360" s="96" t="str">
        <f aca="false">IF($AE360&lt;&gt;Constants!$B$7,$AE360,AK360+AO360+AP360)</f>
        <v/>
      </c>
      <c r="AR360" s="96" t="str">
        <f aca="false">IF(ISBLANK($C360),"",IF($AE360=Constants!$B$7,RANK(AQ360,$AQ$8:$AQ$507),$AE360))</f>
        <v/>
      </c>
      <c r="AS360" s="96" t="str">
        <f aca="false">IF(ISBLANK($C360), "",AK360)</f>
        <v/>
      </c>
      <c r="AT360" s="96" t="str">
        <f aca="false">IF(ISBLANK($C360),"",IF($AE360=Constants!$B$7,RANK(AS360,AS$8:AS$507),$AE360))</f>
        <v/>
      </c>
      <c r="AU360" s="96" t="str">
        <f aca="false">IF(ISBLANK($C360), "",AP360)</f>
        <v/>
      </c>
      <c r="AV360" s="96" t="str">
        <f aca="false">IF(ISBLANK($C360),"",IF($AE360=Constants!$B$7,RANK(AU360,AU$8:AU$507),$AE360))</f>
        <v/>
      </c>
      <c r="AW360" s="96" t="str">
        <f aca="false">IF(ISBLANK($C360), "",AC360)</f>
        <v/>
      </c>
      <c r="AX360" s="96" t="str">
        <f aca="false">IF(ISBLANK($C360),"",
IF($AE360=Constants!$B$7,
  COUNTIFS($AR$8:$AR$507,"&lt;"&amp;$AR360)
  + COUNTIFS($AR$8:$AR$507,$AR360,$AT$8:$AT$507,"&lt;"&amp;$AT360)
  + COUNTIFS($AR$8:$AR$507,$AR360,$AT$8:$AT$507,$AT360,$AV$8:$AV$507,"&lt;"&amp;$AV360)
  + COUNTIFS($AR$8:$AR$507,$AR360,$AT$8:$AT$507,$AT360,$AV$8:$AV$507,$AV360,$AW$8:$AW$507,"&lt;"&amp;$AW360)
  + 1,
$AE360))</f>
        <v/>
      </c>
      <c r="AY360" s="96" t="str">
        <f aca="false">IF(ISBLANK(C360),"",IF($AE360=Constants!$B$7, AR360-AX360,$AE360))</f>
        <v/>
      </c>
      <c r="AZ360" s="100"/>
      <c r="BA360" s="101" t="str">
        <f aca="false">IF(ISBLANK($C360),"",TRIM(AI360&amp;" "&amp;AM360))</f>
        <v/>
      </c>
      <c r="BB360" s="102" t="str">
        <f aca="false">IF(ISBLANK($C360),"",IF($AE360&lt;&gt;Constants!$B$7, $AE360 ,AQ360))</f>
        <v/>
      </c>
      <c r="BC360" s="103" t="str">
        <f aca="false">IF(ISBLANK($C360),"",IF($AE360&lt;&gt;Constants!$B$7, $AE360 ,AF360))</f>
        <v/>
      </c>
      <c r="BD360" s="104" t="str">
        <f aca="false">IF(ISBLANK(C360),"",AY360)</f>
        <v/>
      </c>
      <c r="BE360" s="104" t="str">
        <f aca="false">IF(ISBLANK(C360),"",AX360)</f>
        <v/>
      </c>
      <c r="BF360" s="105" t="str">
        <f aca="false">IF(ISBLANK(C360),"",IFERROR(_xlfn.SWITCH(BE360, Constants!$B$4, COUNTA($C$8:$C859)+2, Constants!$B$5, COUNTA($C$8:$C859)+1, Constants!$B$6, COUNTA($C$8:$C859)),BE360))</f>
        <v/>
      </c>
      <c r="BG360" s="5"/>
      <c r="BH360" s="106" t="n">
        <f aca="false">IF(OR(ISNUMBER(BE360),BE360="DQ",BE360="P",BE360="NS"),
    1,
    0
)</f>
        <v>0</v>
      </c>
      <c r="BI360" s="106" t="n">
        <v>353</v>
      </c>
      <c r="BJ360" s="106" t="str">
        <f aca="false">IF(ISBLANK($C360),
    "",
   BF360+ROW($B360)/1000
)</f>
        <v/>
      </c>
      <c r="BK360" s="106" t="str">
        <f aca="false">IF(ISNUMBER(BJ360), RANK(BJ360,BJ$8:BJ$507,1), "")</f>
        <v/>
      </c>
      <c r="BL360" s="106" t="str">
        <f aca="false">IF(ISBLANK($C360),
    "",
    $B360
)</f>
        <v/>
      </c>
      <c r="BM360" s="106" t="str">
        <f aca="false">IF(ISBLANK($C360),
    "",
    $C360
)</f>
        <v/>
      </c>
      <c r="BN360" s="106" t="str">
        <f aca="false">IF(ISBLANK($C360),
    "",
    $D360
)</f>
        <v/>
      </c>
      <c r="BO360" s="107" t="str">
        <f aca="false">BC360</f>
        <v/>
      </c>
      <c r="BP360" s="108" t="str">
        <f aca="false">BB360</f>
        <v/>
      </c>
      <c r="BQ360" s="106" t="str">
        <f aca="false">IF(ISBLANK($C360),
    "",
    BE360
)</f>
        <v/>
      </c>
      <c r="BR360" s="109" t="str">
        <f aca="false">IF(BI360&gt;BH$7,
    "",
    VLOOKUP(BI360,BK$8:BQ859,7,FALSE())
)</f>
        <v/>
      </c>
      <c r="BS360" s="110" t="str">
        <f aca="false">IF(BI360&gt;BH$7,
    "",
    VLOOKUP(BI360,BK$8:BQ859,2,FALSE())
)</f>
        <v/>
      </c>
      <c r="BT360" s="110" t="str">
        <f aca="false">IF(BI360&gt;BH$7,
    "",
    VLOOKUP(BI360,BK$8:BQ859,3,FALSE())
)</f>
        <v/>
      </c>
      <c r="BU360" s="110" t="str">
        <f aca="false">IF(BI360&gt;BH$7,
    "",
    VLOOKUP(BI360,BK$8:BQ859,4,FALSE())
)</f>
        <v/>
      </c>
      <c r="BV360" s="110" t="str">
        <f aca="false">IF(BI360&gt;BH$7,
    "",
    VLOOKUP(BI360,BK$8:BQ859,5,FALSE())
)</f>
        <v/>
      </c>
      <c r="BW360" s="111" t="str">
        <f aca="false">IF(BI360&gt;BH$7,
    "",
    VLOOKUP(BI360,BK$8:BQ859,6,FALSE())
)</f>
        <v/>
      </c>
      <c r="BX360" s="50"/>
    </row>
    <row r="361" customFormat="false" ht="15.75" hidden="false" customHeight="false" outlineLevel="0" collapsed="false">
      <c r="A361" s="5"/>
      <c r="B361" s="122"/>
      <c r="C361" s="123"/>
      <c r="D361" s="112"/>
      <c r="E361" s="116"/>
      <c r="F361" s="116"/>
      <c r="G361" s="88"/>
      <c r="H361" s="89"/>
      <c r="I361" s="125"/>
      <c r="J361" s="125"/>
      <c r="K361" s="125"/>
      <c r="L361" s="91"/>
      <c r="M361" s="91"/>
      <c r="N361" s="91"/>
      <c r="O361" s="92"/>
      <c r="P361" s="93"/>
      <c r="Q361" s="125"/>
      <c r="R361" s="95"/>
      <c r="S361" s="96"/>
      <c r="T361" s="96" t="str">
        <f aca="false">IF(ISBLANK($C361),"",IF(G361=Constants!$B$2, TRUE(), IF(G361=Constants!$B$3, FALSE(), TRUE())))</f>
        <v/>
      </c>
      <c r="U361" s="96" t="str">
        <f aca="false">IF(ISBLANK($C361),"",IF(H361=Constants!$B$2, TRUE(), IF(H361=Constants!$B$3, FALSE(), TRUE())))</f>
        <v/>
      </c>
      <c r="V361" s="96" t="str">
        <f aca="false">IF(ISBLANK($C361),"",IF(I361=Constants!$B$2, TRUE(), IF(I361=Constants!$B$3, FALSE(), TRUE())))</f>
        <v/>
      </c>
      <c r="W361" s="96" t="str">
        <f aca="false">IF(ISBLANK($C361),"",IF(J361=Constants!$B$2, TRUE(), IF(J361=Constants!$B$3, FALSE(), TRUE())))</f>
        <v/>
      </c>
      <c r="X361" s="97" t="str">
        <f aca="false">IF(ISBLANK($C361),"",IF(K361=Constants!$B$2, TRUE(), IF(K361=Constants!$B$3, FALSE(), TRUE())))</f>
        <v/>
      </c>
      <c r="Y361" s="98" t="str">
        <f aca="false">IF(ISBLANK($C361),"",IF(ISNUMBER(L361), L361, ""))</f>
        <v/>
      </c>
      <c r="Z361" s="98" t="str">
        <f aca="false">IF(ISBLANK($C361),"",IF(ISNUMBER(M361), M361, ""))</f>
        <v/>
      </c>
      <c r="AA361" s="98" t="str">
        <f aca="false">IF(ISBLANK($C361),"",IF(ISNUMBER(N361), N361, ""))</f>
        <v/>
      </c>
      <c r="AB361" s="99" t="str">
        <f aca="false">IF(ISBLANK($C361),"",IF(ISNUMBER(O361), O361, ""))</f>
        <v/>
      </c>
      <c r="AC361" s="99" t="str">
        <f aca="false">IF(ISBLANK($C361),"",IF(ISNUMBER(P361), P361, Constants!$B$13))</f>
        <v/>
      </c>
      <c r="AD361" s="96" t="str">
        <f aca="false">IF(ISBLANK($C361),"",IF(Q361=Constants!$B$2, TRUE(), IF(Q361=Constants!$B$3, FALSE(), FALSE())))</f>
        <v/>
      </c>
      <c r="AE361" s="96" t="str">
        <f aca="false">IF(ISBLANK(C361), "", IF(AD361, Constants!$B$4,IF(COUNTA(G361:O361)=0, Constants!$B$5, Constants!$B$7)))</f>
        <v/>
      </c>
      <c r="AF361" s="96" t="str">
        <f aca="false">IF(ISBLANK($C361), "",IF($AE361=Constants!$B$7,1,$AE361))</f>
        <v/>
      </c>
      <c r="AG361" s="96" t="str">
        <f aca="false">IF($AE361=Constants!$B$7,IF(V361, 1, Constants!$B$11) * IF(X361, 1, Constants!$B$12),"")</f>
        <v/>
      </c>
      <c r="AH361" s="96" t="str">
        <f aca="false">IF(AND($AE361=Constants!$B$7, T361, U361) ,MAX(0, $AA361-$Y361),"")</f>
        <v/>
      </c>
      <c r="AI361" s="96" t="str">
        <f aca="false">IF(ISERROR(AH361),$AI$6,"")</f>
        <v/>
      </c>
      <c r="AJ361" s="96" t="str">
        <f aca="false">IF($AE361=Constants!$B$7,IF(AND(T361,U361,W361),IF($AH$6=0,Constants!$B$9,Constants!$B$9*AH361/$AH$6), 0),"")</f>
        <v/>
      </c>
      <c r="AK361" s="96" t="str">
        <f aca="false">IF(AJ361&lt;&gt;"", AJ361*AG361,"")</f>
        <v/>
      </c>
      <c r="AL361" s="96" t="str">
        <f aca="false">IF(AND($AE361=Constants!$B$7, T361, U361) ,IF($Z361="", "", MAX(0,1-ABS($AA361-$Z361)/$AA361)),"")</f>
        <v/>
      </c>
      <c r="AM361" s="96" t="str">
        <f aca="false">IF(AND(NOT(ISERROR(AH361)),ISERROR(AL361)),$AM$6,"")</f>
        <v/>
      </c>
      <c r="AN361" s="96" t="str">
        <f aca="false">IF($AE361=Constants!$B$7 ,IF(AND(T361,U361,W361,ISNUMBER(Z361)),IF($AL$6=0,Constants!$B$10,Constants!$B$10*AL361/$AL$6), 0),"")</f>
        <v/>
      </c>
      <c r="AO361" s="96" t="str">
        <f aca="false">IF(AN361&lt;&gt;"", AN361*AG361,"")</f>
        <v/>
      </c>
      <c r="AP361" s="96" t="str">
        <f aca="false">IF($AE361=Constants!$B$7,IF($AP$6=0,Constants!$B$8,Constants!$B$8*AB361/$AP$6),"")</f>
        <v/>
      </c>
      <c r="AQ361" s="96" t="str">
        <f aca="false">IF($AE361&lt;&gt;Constants!$B$7,$AE361,AK361+AO361+AP361)</f>
        <v/>
      </c>
      <c r="AR361" s="96" t="str">
        <f aca="false">IF(ISBLANK($C361),"",IF($AE361=Constants!$B$7,RANK(AQ361,$AQ$8:$AQ$507),$AE361))</f>
        <v/>
      </c>
      <c r="AS361" s="96" t="str">
        <f aca="false">IF(ISBLANK($C361), "",AK361)</f>
        <v/>
      </c>
      <c r="AT361" s="96" t="str">
        <f aca="false">IF(ISBLANK($C361),"",IF($AE361=Constants!$B$7,RANK(AS361,AS$8:AS$507),$AE361))</f>
        <v/>
      </c>
      <c r="AU361" s="96" t="str">
        <f aca="false">IF(ISBLANK($C361), "",AP361)</f>
        <v/>
      </c>
      <c r="AV361" s="96" t="str">
        <f aca="false">IF(ISBLANK($C361),"",IF($AE361=Constants!$B$7,RANK(AU361,AU$8:AU$507),$AE361))</f>
        <v/>
      </c>
      <c r="AW361" s="96" t="str">
        <f aca="false">IF(ISBLANK($C361), "",AC361)</f>
        <v/>
      </c>
      <c r="AX361" s="96" t="str">
        <f aca="false">IF(ISBLANK($C361),"",
IF($AE361=Constants!$B$7,
  COUNTIFS($AR$8:$AR$507,"&lt;"&amp;$AR361)
  + COUNTIFS($AR$8:$AR$507,$AR361,$AT$8:$AT$507,"&lt;"&amp;$AT361)
  + COUNTIFS($AR$8:$AR$507,$AR361,$AT$8:$AT$507,$AT361,$AV$8:$AV$507,"&lt;"&amp;$AV361)
  + COUNTIFS($AR$8:$AR$507,$AR361,$AT$8:$AT$507,$AT361,$AV$8:$AV$507,$AV361,$AW$8:$AW$507,"&lt;"&amp;$AW361)
  + 1,
$AE361))</f>
        <v/>
      </c>
      <c r="AY361" s="96" t="str">
        <f aca="false">IF(ISBLANK(C361),"",IF($AE361=Constants!$B$7, AR361-AX361,$AE361))</f>
        <v/>
      </c>
      <c r="AZ361" s="100"/>
      <c r="BA361" s="101" t="str">
        <f aca="false">IF(ISBLANK($C361),"",TRIM(AI361&amp;" "&amp;AM361))</f>
        <v/>
      </c>
      <c r="BB361" s="102" t="str">
        <f aca="false">IF(ISBLANK($C361),"",IF($AE361&lt;&gt;Constants!$B$7, $AE361 ,AQ361))</f>
        <v/>
      </c>
      <c r="BC361" s="103" t="str">
        <f aca="false">IF(ISBLANK($C361),"",IF($AE361&lt;&gt;Constants!$B$7, $AE361 ,AF361))</f>
        <v/>
      </c>
      <c r="BD361" s="104" t="str">
        <f aca="false">IF(ISBLANK(C361),"",AY361)</f>
        <v/>
      </c>
      <c r="BE361" s="104" t="str">
        <f aca="false">IF(ISBLANK(C361),"",AX361)</f>
        <v/>
      </c>
      <c r="BF361" s="105" t="str">
        <f aca="false">IF(ISBLANK(C361),"",IFERROR(_xlfn.SWITCH(BE361, Constants!$B$4, COUNTA($C$8:$C860)+2, Constants!$B$5, COUNTA($C$8:$C860)+1, Constants!$B$6, COUNTA($C$8:$C860)),BE361))</f>
        <v/>
      </c>
      <c r="BG361" s="5"/>
      <c r="BH361" s="106" t="n">
        <f aca="false">IF(OR(ISNUMBER(BE361),BE361="DQ",BE361="P",BE361="NS"),
    1,
    0
)</f>
        <v>0</v>
      </c>
      <c r="BI361" s="106" t="n">
        <v>354</v>
      </c>
      <c r="BJ361" s="106" t="str">
        <f aca="false">IF(ISBLANK($C361),
    "",
   BF361+ROW($B361)/1000
)</f>
        <v/>
      </c>
      <c r="BK361" s="106" t="str">
        <f aca="false">IF(ISNUMBER(BJ361), RANK(BJ361,BJ$8:BJ$507,1), "")</f>
        <v/>
      </c>
      <c r="BL361" s="106" t="str">
        <f aca="false">IF(ISBLANK($C361),
    "",
    $B361
)</f>
        <v/>
      </c>
      <c r="BM361" s="106" t="str">
        <f aca="false">IF(ISBLANK($C361),
    "",
    $C361
)</f>
        <v/>
      </c>
      <c r="BN361" s="106" t="str">
        <f aca="false">IF(ISBLANK($C361),
    "",
    $D361
)</f>
        <v/>
      </c>
      <c r="BO361" s="107" t="str">
        <f aca="false">BC361</f>
        <v/>
      </c>
      <c r="BP361" s="108" t="str">
        <f aca="false">BB361</f>
        <v/>
      </c>
      <c r="BQ361" s="106" t="str">
        <f aca="false">IF(ISBLANK($C361),
    "",
    BE361
)</f>
        <v/>
      </c>
      <c r="BR361" s="109" t="str">
        <f aca="false">IF(BI361&gt;BH$7,
    "",
    VLOOKUP(BI361,BK$8:BQ860,7,FALSE())
)</f>
        <v/>
      </c>
      <c r="BS361" s="110" t="str">
        <f aca="false">IF(BI361&gt;BH$7,
    "",
    VLOOKUP(BI361,BK$8:BQ860,2,FALSE())
)</f>
        <v/>
      </c>
      <c r="BT361" s="110" t="str">
        <f aca="false">IF(BI361&gt;BH$7,
    "",
    VLOOKUP(BI361,BK$8:BQ860,3,FALSE())
)</f>
        <v/>
      </c>
      <c r="BU361" s="110" t="str">
        <f aca="false">IF(BI361&gt;BH$7,
    "",
    VLOOKUP(BI361,BK$8:BQ860,4,FALSE())
)</f>
        <v/>
      </c>
      <c r="BV361" s="110" t="str">
        <f aca="false">IF(BI361&gt;BH$7,
    "",
    VLOOKUP(BI361,BK$8:BQ860,5,FALSE())
)</f>
        <v/>
      </c>
      <c r="BW361" s="111" t="str">
        <f aca="false">IF(BI361&gt;BH$7,
    "",
    VLOOKUP(BI361,BK$8:BQ860,6,FALSE())
)</f>
        <v/>
      </c>
      <c r="BX361" s="50"/>
    </row>
    <row r="362" customFormat="false" ht="15.75" hidden="false" customHeight="false" outlineLevel="0" collapsed="false">
      <c r="A362" s="5"/>
      <c r="B362" s="126"/>
      <c r="C362" s="52"/>
      <c r="D362" s="53"/>
      <c r="E362" s="120"/>
      <c r="F362" s="120"/>
      <c r="G362" s="55"/>
      <c r="H362" s="56"/>
      <c r="I362" s="80"/>
      <c r="J362" s="80"/>
      <c r="K362" s="80"/>
      <c r="L362" s="58"/>
      <c r="M362" s="58"/>
      <c r="N362" s="58"/>
      <c r="O362" s="59"/>
      <c r="P362" s="60"/>
      <c r="Q362" s="80"/>
      <c r="R362" s="62"/>
      <c r="S362" s="63"/>
      <c r="T362" s="63" t="str">
        <f aca="false">IF(ISBLANK($C362),"",IF(G362=Constants!$B$2, TRUE(), IF(G362=Constants!$B$3, FALSE(), TRUE())))</f>
        <v/>
      </c>
      <c r="U362" s="63" t="str">
        <f aca="false">IF(ISBLANK($C362),"",IF(H362=Constants!$B$2, TRUE(), IF(H362=Constants!$B$3, FALSE(), TRUE())))</f>
        <v/>
      </c>
      <c r="V362" s="63" t="str">
        <f aca="false">IF(ISBLANK($C362),"",IF(I362=Constants!$B$2, TRUE(), IF(I362=Constants!$B$3, FALSE(), TRUE())))</f>
        <v/>
      </c>
      <c r="W362" s="63" t="str">
        <f aca="false">IF(ISBLANK($C362),"",IF(J362=Constants!$B$2, TRUE(), IF(J362=Constants!$B$3, FALSE(), TRUE())))</f>
        <v/>
      </c>
      <c r="X362" s="63" t="str">
        <f aca="false">IF(ISBLANK($C362),"",IF(K362=Constants!$B$2, TRUE(), IF(K362=Constants!$B$3, FALSE(), TRUE())))</f>
        <v/>
      </c>
      <c r="Y362" s="65" t="str">
        <f aca="false">IF(ISBLANK($C362),"",IF(ISNUMBER(L362), L362, ""))</f>
        <v/>
      </c>
      <c r="Z362" s="65" t="str">
        <f aca="false">IF(ISBLANK($C362),"",IF(ISNUMBER(M362), M362, ""))</f>
        <v/>
      </c>
      <c r="AA362" s="65" t="str">
        <f aca="false">IF(ISBLANK($C362),"",IF(ISNUMBER(N362), N362, ""))</f>
        <v/>
      </c>
      <c r="AB362" s="66" t="str">
        <f aca="false">IF(ISBLANK($C362),"",IF(ISNUMBER(O362), O362, ""))</f>
        <v/>
      </c>
      <c r="AC362" s="66" t="str">
        <f aca="false">IF(ISBLANK($C362),"",IF(ISNUMBER(P362), P362, Constants!$B$13))</f>
        <v/>
      </c>
      <c r="AD362" s="63" t="str">
        <f aca="false">IF(ISBLANK($C362),"",IF(Q362=Constants!$B$2, TRUE(), IF(Q362=Constants!$B$3, FALSE(), FALSE())))</f>
        <v/>
      </c>
      <c r="AE362" s="63" t="str">
        <f aca="false">IF(ISBLANK(C362), "", IF(AD362, Constants!$B$4,IF(COUNTA(G362:O362)=0, Constants!$B$5, Constants!$B$7)))</f>
        <v/>
      </c>
      <c r="AF362" s="63" t="str">
        <f aca="false">IF(ISBLANK($C362), "",IF($AE362=Constants!$B$7,1,$AE362))</f>
        <v/>
      </c>
      <c r="AG362" s="63" t="str">
        <f aca="false">IF($AE362=Constants!$B$7,IF(V362, 1, Constants!$B$11) * IF(X362, 1, Constants!$B$12),"")</f>
        <v/>
      </c>
      <c r="AH362" s="63" t="str">
        <f aca="false">IF(AND($AE362=Constants!$B$7, T362, U362) ,MAX(0, $AA362-$Y362),"")</f>
        <v/>
      </c>
      <c r="AI362" s="63" t="str">
        <f aca="false">IF(ISERROR(AH362),$AI$6,"")</f>
        <v/>
      </c>
      <c r="AJ362" s="63" t="str">
        <f aca="false">IF($AE362=Constants!$B$7,IF(AND(T362,U362,W362),IF($AH$6=0,Constants!$B$9,Constants!$B$9*AH362/$AH$6), 0),"")</f>
        <v/>
      </c>
      <c r="AK362" s="63" t="str">
        <f aca="false">IF(AJ362&lt;&gt;"", AJ362*AG362,"")</f>
        <v/>
      </c>
      <c r="AL362" s="63" t="str">
        <f aca="false">IF(AND($AE362=Constants!$B$7, T362, U362) ,IF($Z362="", "", MAX(0,1-ABS($AA362-$Z362)/$AA362)),"")</f>
        <v/>
      </c>
      <c r="AM362" s="63" t="str">
        <f aca="false">IF(AND(NOT(ISERROR(AH362)),ISERROR(AL362)),$AM$6,"")</f>
        <v/>
      </c>
      <c r="AN362" s="63" t="str">
        <f aca="false">IF($AE362=Constants!$B$7 ,IF(AND(T362,U362,W362,ISNUMBER(Z362)),IF($AL$6=0,Constants!$B$10,Constants!$B$10*AL362/$AL$6), 0),"")</f>
        <v/>
      </c>
      <c r="AO362" s="63" t="str">
        <f aca="false">IF(AN362&lt;&gt;"", AN362*AG362,"")</f>
        <v/>
      </c>
      <c r="AP362" s="63" t="str">
        <f aca="false">IF($AE362=Constants!$B$7,IF($AP$6=0,Constants!$B$8,Constants!$B$8*AB362/$AP$6),"")</f>
        <v/>
      </c>
      <c r="AQ362" s="63" t="str">
        <f aca="false">IF($AE362&lt;&gt;Constants!$B$7,$AE362,AK362+AO362+AP362)</f>
        <v/>
      </c>
      <c r="AR362" s="63" t="str">
        <f aca="false">IF(ISBLANK($C362),"",IF($AE362=Constants!$B$7,RANK(AQ362,$AQ$8:$AQ$507),$AE362))</f>
        <v/>
      </c>
      <c r="AS362" s="63" t="str">
        <f aca="false">IF(ISBLANK($C362), "",AK362)</f>
        <v/>
      </c>
      <c r="AT362" s="63" t="str">
        <f aca="false">IF(ISBLANK($C362),"",IF($AE362=Constants!$B$7,RANK(AS362,AS$8:AS$507),$AE362))</f>
        <v/>
      </c>
      <c r="AU362" s="63" t="str">
        <f aca="false">IF(ISBLANK($C362), "",AP362)</f>
        <v/>
      </c>
      <c r="AV362" s="63" t="str">
        <f aca="false">IF(ISBLANK($C362),"",IF($AE362=Constants!$B$7,RANK(AU362,AU$8:AU$507),$AE362))</f>
        <v/>
      </c>
      <c r="AW362" s="63" t="str">
        <f aca="false">IF(ISBLANK($C362), "",AC362)</f>
        <v/>
      </c>
      <c r="AX362" s="63" t="str">
        <f aca="false">IF(ISBLANK($C362),"",
IF($AE362=Constants!$B$7,
  COUNTIFS($AR$8:$AR$507,"&lt;"&amp;$AR362)
  + COUNTIFS($AR$8:$AR$507,$AR362,$AT$8:$AT$507,"&lt;"&amp;$AT362)
  + COUNTIFS($AR$8:$AR$507,$AR362,$AT$8:$AT$507,$AT362,$AV$8:$AV$507,"&lt;"&amp;$AV362)
  + COUNTIFS($AR$8:$AR$507,$AR362,$AT$8:$AT$507,$AT362,$AV$8:$AV$507,$AV362,$AW$8:$AW$507,"&lt;"&amp;$AW362)
  + 1,
$AE362))</f>
        <v/>
      </c>
      <c r="AY362" s="63" t="str">
        <f aca="false">IF(ISBLANK(C362),"",IF($AE362=Constants!$B$7, AR362-AX362,$AE362))</f>
        <v/>
      </c>
      <c r="AZ362" s="67"/>
      <c r="BA362" s="81" t="str">
        <f aca="false">IF(ISBLANK($C362),"",TRIM(AI362&amp;" "&amp;AM362))</f>
        <v/>
      </c>
      <c r="BB362" s="69" t="str">
        <f aca="false">IF(ISBLANK($C362),"",IF($AE362&lt;&gt;Constants!$B$7, $AE362 ,AQ362))</f>
        <v/>
      </c>
      <c r="BC362" s="70" t="str">
        <f aca="false">IF(ISBLANK($C362),"",IF($AE362&lt;&gt;Constants!$B$7, $AE362 ,AF362))</f>
        <v/>
      </c>
      <c r="BD362" s="71" t="str">
        <f aca="false">IF(ISBLANK(C362),"",AY362)</f>
        <v/>
      </c>
      <c r="BE362" s="71" t="str">
        <f aca="false">IF(ISBLANK(C362),"",AX362)</f>
        <v/>
      </c>
      <c r="BF362" s="72" t="str">
        <f aca="false">IF(ISBLANK(C362),"",IFERROR(_xlfn.SWITCH(BE362, Constants!$B$4, COUNTA($C$8:$C861)+2, Constants!$B$5, COUNTA($C$8:$C861)+1, Constants!$B$6, COUNTA($C$8:$C861)),BE362))</f>
        <v/>
      </c>
      <c r="BG362" s="5"/>
      <c r="BH362" s="73" t="n">
        <f aca="false">IF(OR(ISNUMBER(BE362),BE362="DQ",BE362="P",BE362="NS"),
    1,
    0
)</f>
        <v>0</v>
      </c>
      <c r="BI362" s="73" t="n">
        <v>355</v>
      </c>
      <c r="BJ362" s="73" t="str">
        <f aca="false">IF(ISBLANK($C362),
    "",
   BF362+ROW($B362)/1000
)</f>
        <v/>
      </c>
      <c r="BK362" s="73" t="str">
        <f aca="false">IF(ISNUMBER(BJ362), RANK(BJ362,BJ$8:BJ$507,1), "")</f>
        <v/>
      </c>
      <c r="BL362" s="73" t="str">
        <f aca="false">IF(ISBLANK($C362),
    "",
    $B362
)</f>
        <v/>
      </c>
      <c r="BM362" s="73" t="str">
        <f aca="false">IF(ISBLANK($C362),
    "",
    $C362
)</f>
        <v/>
      </c>
      <c r="BN362" s="73" t="str">
        <f aca="false">IF(ISBLANK($C362),
    "",
    $D362
)</f>
        <v/>
      </c>
      <c r="BO362" s="74" t="str">
        <f aca="false">BC362</f>
        <v/>
      </c>
      <c r="BP362" s="75" t="str">
        <f aca="false">BB362</f>
        <v/>
      </c>
      <c r="BQ362" s="73" t="str">
        <f aca="false">IF(ISBLANK($C362),
    "",
    BE362
)</f>
        <v/>
      </c>
      <c r="BR362" s="76" t="str">
        <f aca="false">IF(BI362&gt;BH$7,
    "",
    VLOOKUP(BI362,BK$8:BQ861,7,FALSE())
)</f>
        <v/>
      </c>
      <c r="BS362" s="77" t="str">
        <f aca="false">IF(BI362&gt;BH$7,
    "",
    VLOOKUP(BI362,BK$8:BQ861,2,FALSE())
)</f>
        <v/>
      </c>
      <c r="BT362" s="77" t="str">
        <f aca="false">IF(BI362&gt;BH$7,
    "",
    VLOOKUP(BI362,BK$8:BQ861,3,FALSE())
)</f>
        <v/>
      </c>
      <c r="BU362" s="77" t="str">
        <f aca="false">IF(BI362&gt;BH$7,
    "",
    VLOOKUP(BI362,BK$8:BQ861,4,FALSE())
)</f>
        <v/>
      </c>
      <c r="BV362" s="77" t="str">
        <f aca="false">IF(BI362&gt;BH$7,
    "",
    VLOOKUP(BI362,BK$8:BQ861,5,FALSE())
)</f>
        <v/>
      </c>
      <c r="BW362" s="78" t="str">
        <f aca="false">IF(BI362&gt;BH$7,
    "",
    VLOOKUP(BI362,BK$8:BQ861,6,FALSE())
)</f>
        <v/>
      </c>
      <c r="BX362" s="50"/>
    </row>
    <row r="363" customFormat="false" ht="15.75" hidden="false" customHeight="false" outlineLevel="0" collapsed="false">
      <c r="A363" s="5"/>
      <c r="B363" s="126"/>
      <c r="C363" s="52"/>
      <c r="D363" s="53"/>
      <c r="E363" s="120"/>
      <c r="F363" s="120"/>
      <c r="G363" s="55"/>
      <c r="H363" s="56"/>
      <c r="I363" s="80"/>
      <c r="J363" s="80"/>
      <c r="K363" s="80"/>
      <c r="L363" s="58"/>
      <c r="M363" s="58"/>
      <c r="N363" s="58"/>
      <c r="O363" s="59"/>
      <c r="P363" s="60"/>
      <c r="Q363" s="80"/>
      <c r="R363" s="62"/>
      <c r="S363" s="63"/>
      <c r="T363" s="63" t="str">
        <f aca="false">IF(ISBLANK($C363),"",IF(G363=Constants!$B$2, TRUE(), IF(G363=Constants!$B$3, FALSE(), TRUE())))</f>
        <v/>
      </c>
      <c r="U363" s="63" t="str">
        <f aca="false">IF(ISBLANK($C363),"",IF(H363=Constants!$B$2, TRUE(), IF(H363=Constants!$B$3, FALSE(), TRUE())))</f>
        <v/>
      </c>
      <c r="V363" s="63" t="str">
        <f aca="false">IF(ISBLANK($C363),"",IF(I363=Constants!$B$2, TRUE(), IF(I363=Constants!$B$3, FALSE(), TRUE())))</f>
        <v/>
      </c>
      <c r="W363" s="63" t="str">
        <f aca="false">IF(ISBLANK($C363),"",IF(J363=Constants!$B$2, TRUE(), IF(J363=Constants!$B$3, FALSE(), TRUE())))</f>
        <v/>
      </c>
      <c r="X363" s="63" t="str">
        <f aca="false">IF(ISBLANK($C363),"",IF(K363=Constants!$B$2, TRUE(), IF(K363=Constants!$B$3, FALSE(), TRUE())))</f>
        <v/>
      </c>
      <c r="Y363" s="65" t="str">
        <f aca="false">IF(ISBLANK($C363),"",IF(ISNUMBER(L363), L363, ""))</f>
        <v/>
      </c>
      <c r="Z363" s="65" t="str">
        <f aca="false">IF(ISBLANK($C363),"",IF(ISNUMBER(M363), M363, ""))</f>
        <v/>
      </c>
      <c r="AA363" s="65" t="str">
        <f aca="false">IF(ISBLANK($C363),"",IF(ISNUMBER(N363), N363, ""))</f>
        <v/>
      </c>
      <c r="AB363" s="66" t="str">
        <f aca="false">IF(ISBLANK($C363),"",IF(ISNUMBER(O363), O363, ""))</f>
        <v/>
      </c>
      <c r="AC363" s="66" t="str">
        <f aca="false">IF(ISBLANK($C363),"",IF(ISNUMBER(P363), P363, Constants!$B$13))</f>
        <v/>
      </c>
      <c r="AD363" s="63" t="str">
        <f aca="false">IF(ISBLANK($C363),"",IF(Q363=Constants!$B$2, TRUE(), IF(Q363=Constants!$B$3, FALSE(), FALSE())))</f>
        <v/>
      </c>
      <c r="AE363" s="63" t="str">
        <f aca="false">IF(ISBLANK(C363), "", IF(AD363, Constants!$B$4,IF(COUNTA(G363:O363)=0, Constants!$B$5, Constants!$B$7)))</f>
        <v/>
      </c>
      <c r="AF363" s="63" t="str">
        <f aca="false">IF(ISBLANK($C363), "",IF($AE363=Constants!$B$7,1,$AE363))</f>
        <v/>
      </c>
      <c r="AG363" s="63" t="str">
        <f aca="false">IF($AE363=Constants!$B$7,IF(V363, 1, Constants!$B$11) * IF(X363, 1, Constants!$B$12),"")</f>
        <v/>
      </c>
      <c r="AH363" s="63" t="str">
        <f aca="false">IF(AND($AE363=Constants!$B$7, T363, U363) ,MAX(0, $AA363-$Y363),"")</f>
        <v/>
      </c>
      <c r="AI363" s="63" t="str">
        <f aca="false">IF(ISERROR(AH363),$AI$6,"")</f>
        <v/>
      </c>
      <c r="AJ363" s="63" t="str">
        <f aca="false">IF($AE363=Constants!$B$7,IF(AND(T363,U363,W363),IF($AH$6=0,Constants!$B$9,Constants!$B$9*AH363/$AH$6), 0),"")</f>
        <v/>
      </c>
      <c r="AK363" s="63" t="str">
        <f aca="false">IF(AJ363&lt;&gt;"", AJ363*AG363,"")</f>
        <v/>
      </c>
      <c r="AL363" s="63" t="str">
        <f aca="false">IF(AND($AE363=Constants!$B$7, T363, U363) ,IF($Z363="", "", MAX(0,1-ABS($AA363-$Z363)/$AA363)),"")</f>
        <v/>
      </c>
      <c r="AM363" s="63" t="str">
        <f aca="false">IF(AND(NOT(ISERROR(AH363)),ISERROR(AL363)),$AM$6,"")</f>
        <v/>
      </c>
      <c r="AN363" s="63" t="str">
        <f aca="false">IF($AE363=Constants!$B$7 ,IF(AND(T363,U363,W363,ISNUMBER(Z363)),IF($AL$6=0,Constants!$B$10,Constants!$B$10*AL363/$AL$6), 0),"")</f>
        <v/>
      </c>
      <c r="AO363" s="63" t="str">
        <f aca="false">IF(AN363&lt;&gt;"", AN363*AG363,"")</f>
        <v/>
      </c>
      <c r="AP363" s="63" t="str">
        <f aca="false">IF($AE363=Constants!$B$7,IF($AP$6=0,Constants!$B$8,Constants!$B$8*AB363/$AP$6),"")</f>
        <v/>
      </c>
      <c r="AQ363" s="63" t="str">
        <f aca="false">IF($AE363&lt;&gt;Constants!$B$7,$AE363,AK363+AO363+AP363)</f>
        <v/>
      </c>
      <c r="AR363" s="63" t="str">
        <f aca="false">IF(ISBLANK($C363),"",IF($AE363=Constants!$B$7,RANK(AQ363,$AQ$8:$AQ$507),$AE363))</f>
        <v/>
      </c>
      <c r="AS363" s="63" t="str">
        <f aca="false">IF(ISBLANK($C363), "",AK363)</f>
        <v/>
      </c>
      <c r="AT363" s="63" t="str">
        <f aca="false">IF(ISBLANK($C363),"",IF($AE363=Constants!$B$7,RANK(AS363,AS$8:AS$507),$AE363))</f>
        <v/>
      </c>
      <c r="AU363" s="63" t="str">
        <f aca="false">IF(ISBLANK($C363), "",AP363)</f>
        <v/>
      </c>
      <c r="AV363" s="63" t="str">
        <f aca="false">IF(ISBLANK($C363),"",IF($AE363=Constants!$B$7,RANK(AU363,AU$8:AU$507),$AE363))</f>
        <v/>
      </c>
      <c r="AW363" s="63" t="str">
        <f aca="false">IF(ISBLANK($C363), "",AC363)</f>
        <v/>
      </c>
      <c r="AX363" s="63" t="str">
        <f aca="false">IF(ISBLANK($C363),"",
IF($AE363=Constants!$B$7,
  COUNTIFS($AR$8:$AR$507,"&lt;"&amp;$AR363)
  + COUNTIFS($AR$8:$AR$507,$AR363,$AT$8:$AT$507,"&lt;"&amp;$AT363)
  + COUNTIFS($AR$8:$AR$507,$AR363,$AT$8:$AT$507,$AT363,$AV$8:$AV$507,"&lt;"&amp;$AV363)
  + COUNTIFS($AR$8:$AR$507,$AR363,$AT$8:$AT$507,$AT363,$AV$8:$AV$507,$AV363,$AW$8:$AW$507,"&lt;"&amp;$AW363)
  + 1,
$AE363))</f>
        <v/>
      </c>
      <c r="AY363" s="63" t="str">
        <f aca="false">IF(ISBLANK(C363),"",IF($AE363=Constants!$B$7, AR363-AX363,$AE363))</f>
        <v/>
      </c>
      <c r="AZ363" s="67"/>
      <c r="BA363" s="81" t="str">
        <f aca="false">IF(ISBLANK($C363),"",TRIM(AI363&amp;" "&amp;AM363))</f>
        <v/>
      </c>
      <c r="BB363" s="69" t="str">
        <f aca="false">IF(ISBLANK($C363),"",IF($AE363&lt;&gt;Constants!$B$7, $AE363 ,AQ363))</f>
        <v/>
      </c>
      <c r="BC363" s="70" t="str">
        <f aca="false">IF(ISBLANK($C363),"",IF($AE363&lt;&gt;Constants!$B$7, $AE363 ,AF363))</f>
        <v/>
      </c>
      <c r="BD363" s="71" t="str">
        <f aca="false">IF(ISBLANK(C363),"",AY363)</f>
        <v/>
      </c>
      <c r="BE363" s="71" t="str">
        <f aca="false">IF(ISBLANK(C363),"",AX363)</f>
        <v/>
      </c>
      <c r="BF363" s="72" t="str">
        <f aca="false">IF(ISBLANK(C363),"",IFERROR(_xlfn.SWITCH(BE363, Constants!$B$4, COUNTA($C$8:$C862)+2, Constants!$B$5, COUNTA($C$8:$C862)+1, Constants!$B$6, COUNTA($C$8:$C862)),BE363))</f>
        <v/>
      </c>
      <c r="BG363" s="5"/>
      <c r="BH363" s="73" t="n">
        <f aca="false">IF(OR(ISNUMBER(BE363),BE363="DQ",BE363="P",BE363="NS"),
    1,
    0
)</f>
        <v>0</v>
      </c>
      <c r="BI363" s="73" t="n">
        <v>356</v>
      </c>
      <c r="BJ363" s="73" t="str">
        <f aca="false">IF(ISBLANK($C363),
    "",
   BF363+ROW($B363)/1000
)</f>
        <v/>
      </c>
      <c r="BK363" s="73" t="str">
        <f aca="false">IF(ISNUMBER(BJ363), RANK(BJ363,BJ$8:BJ$507,1), "")</f>
        <v/>
      </c>
      <c r="BL363" s="73" t="str">
        <f aca="false">IF(ISBLANK($C363),
    "",
    $B363
)</f>
        <v/>
      </c>
      <c r="BM363" s="73" t="str">
        <f aca="false">IF(ISBLANK($C363),
    "",
    $C363
)</f>
        <v/>
      </c>
      <c r="BN363" s="73" t="str">
        <f aca="false">IF(ISBLANK($C363),
    "",
    $D363
)</f>
        <v/>
      </c>
      <c r="BO363" s="74" t="str">
        <f aca="false">BC363</f>
        <v/>
      </c>
      <c r="BP363" s="75" t="str">
        <f aca="false">BB363</f>
        <v/>
      </c>
      <c r="BQ363" s="73" t="str">
        <f aca="false">IF(ISBLANK($C363),
    "",
    BE363
)</f>
        <v/>
      </c>
      <c r="BR363" s="76" t="str">
        <f aca="false">IF(BI363&gt;BH$7,
    "",
    VLOOKUP(BI363,BK$8:BQ862,7,FALSE())
)</f>
        <v/>
      </c>
      <c r="BS363" s="77" t="str">
        <f aca="false">IF(BI363&gt;BH$7,
    "",
    VLOOKUP(BI363,BK$8:BQ862,2,FALSE())
)</f>
        <v/>
      </c>
      <c r="BT363" s="77" t="str">
        <f aca="false">IF(BI363&gt;BH$7,
    "",
    VLOOKUP(BI363,BK$8:BQ862,3,FALSE())
)</f>
        <v/>
      </c>
      <c r="BU363" s="77" t="str">
        <f aca="false">IF(BI363&gt;BH$7,
    "",
    VLOOKUP(BI363,BK$8:BQ862,4,FALSE())
)</f>
        <v/>
      </c>
      <c r="BV363" s="77" t="str">
        <f aca="false">IF(BI363&gt;BH$7,
    "",
    VLOOKUP(BI363,BK$8:BQ862,5,FALSE())
)</f>
        <v/>
      </c>
      <c r="BW363" s="78" t="str">
        <f aca="false">IF(BI363&gt;BH$7,
    "",
    VLOOKUP(BI363,BK$8:BQ862,6,FALSE())
)</f>
        <v/>
      </c>
      <c r="BX363" s="50"/>
    </row>
    <row r="364" customFormat="false" ht="15.75" hidden="false" customHeight="false" outlineLevel="0" collapsed="false">
      <c r="A364" s="5"/>
      <c r="B364" s="126"/>
      <c r="C364" s="52"/>
      <c r="D364" s="53"/>
      <c r="E364" s="120"/>
      <c r="F364" s="120"/>
      <c r="G364" s="55"/>
      <c r="H364" s="56"/>
      <c r="I364" s="80"/>
      <c r="J364" s="80"/>
      <c r="K364" s="80"/>
      <c r="L364" s="58"/>
      <c r="M364" s="58"/>
      <c r="N364" s="58"/>
      <c r="O364" s="59"/>
      <c r="P364" s="60"/>
      <c r="Q364" s="80"/>
      <c r="R364" s="62"/>
      <c r="S364" s="63"/>
      <c r="T364" s="63" t="str">
        <f aca="false">IF(ISBLANK($C364),"",IF(G364=Constants!$B$2, TRUE(), IF(G364=Constants!$B$3, FALSE(), TRUE())))</f>
        <v/>
      </c>
      <c r="U364" s="63" t="str">
        <f aca="false">IF(ISBLANK($C364),"",IF(H364=Constants!$B$2, TRUE(), IF(H364=Constants!$B$3, FALSE(), TRUE())))</f>
        <v/>
      </c>
      <c r="V364" s="63" t="str">
        <f aca="false">IF(ISBLANK($C364),"",IF(I364=Constants!$B$2, TRUE(), IF(I364=Constants!$B$3, FALSE(), TRUE())))</f>
        <v/>
      </c>
      <c r="W364" s="63" t="str">
        <f aca="false">IF(ISBLANK($C364),"",IF(J364=Constants!$B$2, TRUE(), IF(J364=Constants!$B$3, FALSE(), TRUE())))</f>
        <v/>
      </c>
      <c r="X364" s="63" t="str">
        <f aca="false">IF(ISBLANK($C364),"",IF(K364=Constants!$B$2, TRUE(), IF(K364=Constants!$B$3, FALSE(), TRUE())))</f>
        <v/>
      </c>
      <c r="Y364" s="65" t="str">
        <f aca="false">IF(ISBLANK($C364),"",IF(ISNUMBER(L364), L364, ""))</f>
        <v/>
      </c>
      <c r="Z364" s="65" t="str">
        <f aca="false">IF(ISBLANK($C364),"",IF(ISNUMBER(M364), M364, ""))</f>
        <v/>
      </c>
      <c r="AA364" s="65" t="str">
        <f aca="false">IF(ISBLANK($C364),"",IF(ISNUMBER(N364), N364, ""))</f>
        <v/>
      </c>
      <c r="AB364" s="66" t="str">
        <f aca="false">IF(ISBLANK($C364),"",IF(ISNUMBER(O364), O364, ""))</f>
        <v/>
      </c>
      <c r="AC364" s="66" t="str">
        <f aca="false">IF(ISBLANK($C364),"",IF(ISNUMBER(P364), P364, Constants!$B$13))</f>
        <v/>
      </c>
      <c r="AD364" s="63" t="str">
        <f aca="false">IF(ISBLANK($C364),"",IF(Q364=Constants!$B$2, TRUE(), IF(Q364=Constants!$B$3, FALSE(), FALSE())))</f>
        <v/>
      </c>
      <c r="AE364" s="63" t="str">
        <f aca="false">IF(ISBLANK(C364), "", IF(AD364, Constants!$B$4,IF(COUNTA(G364:O364)=0, Constants!$B$5, Constants!$B$7)))</f>
        <v/>
      </c>
      <c r="AF364" s="63" t="str">
        <f aca="false">IF(ISBLANK($C364), "",IF($AE364=Constants!$B$7,1,$AE364))</f>
        <v/>
      </c>
      <c r="AG364" s="63" t="str">
        <f aca="false">IF($AE364=Constants!$B$7,IF(V364, 1, Constants!$B$11) * IF(X364, 1, Constants!$B$12),"")</f>
        <v/>
      </c>
      <c r="AH364" s="63" t="str">
        <f aca="false">IF(AND($AE364=Constants!$B$7, T364, U364) ,MAX(0, $AA364-$Y364),"")</f>
        <v/>
      </c>
      <c r="AI364" s="63" t="str">
        <f aca="false">IF(ISERROR(AH364),$AI$6,"")</f>
        <v/>
      </c>
      <c r="AJ364" s="63" t="str">
        <f aca="false">IF($AE364=Constants!$B$7,IF(AND(T364,U364,W364),IF($AH$6=0,Constants!$B$9,Constants!$B$9*AH364/$AH$6), 0),"")</f>
        <v/>
      </c>
      <c r="AK364" s="63" t="str">
        <f aca="false">IF(AJ364&lt;&gt;"", AJ364*AG364,"")</f>
        <v/>
      </c>
      <c r="AL364" s="63" t="str">
        <f aca="false">IF(AND($AE364=Constants!$B$7, T364, U364) ,IF($Z364="", "", MAX(0,1-ABS($AA364-$Z364)/$AA364)),"")</f>
        <v/>
      </c>
      <c r="AM364" s="63" t="str">
        <f aca="false">IF(AND(NOT(ISERROR(AH364)),ISERROR(AL364)),$AM$6,"")</f>
        <v/>
      </c>
      <c r="AN364" s="63" t="str">
        <f aca="false">IF($AE364=Constants!$B$7 ,IF(AND(T364,U364,W364,ISNUMBER(Z364)),IF($AL$6=0,Constants!$B$10,Constants!$B$10*AL364/$AL$6), 0),"")</f>
        <v/>
      </c>
      <c r="AO364" s="63" t="str">
        <f aca="false">IF(AN364&lt;&gt;"", AN364*AG364,"")</f>
        <v/>
      </c>
      <c r="AP364" s="63" t="str">
        <f aca="false">IF($AE364=Constants!$B$7,IF($AP$6=0,Constants!$B$8,Constants!$B$8*AB364/$AP$6),"")</f>
        <v/>
      </c>
      <c r="AQ364" s="63" t="str">
        <f aca="false">IF($AE364&lt;&gt;Constants!$B$7,$AE364,AK364+AO364+AP364)</f>
        <v/>
      </c>
      <c r="AR364" s="63" t="str">
        <f aca="false">IF(ISBLANK($C364),"",IF($AE364=Constants!$B$7,RANK(AQ364,$AQ$8:$AQ$507),$AE364))</f>
        <v/>
      </c>
      <c r="AS364" s="63" t="str">
        <f aca="false">IF(ISBLANK($C364), "",AK364)</f>
        <v/>
      </c>
      <c r="AT364" s="63" t="str">
        <f aca="false">IF(ISBLANK($C364),"",IF($AE364=Constants!$B$7,RANK(AS364,AS$8:AS$507),$AE364))</f>
        <v/>
      </c>
      <c r="AU364" s="63" t="str">
        <f aca="false">IF(ISBLANK($C364), "",AP364)</f>
        <v/>
      </c>
      <c r="AV364" s="63" t="str">
        <f aca="false">IF(ISBLANK($C364),"",IF($AE364=Constants!$B$7,RANK(AU364,AU$8:AU$507),$AE364))</f>
        <v/>
      </c>
      <c r="AW364" s="63" t="str">
        <f aca="false">IF(ISBLANK($C364), "",AC364)</f>
        <v/>
      </c>
      <c r="AX364" s="63" t="str">
        <f aca="false">IF(ISBLANK($C364),"",
IF($AE364=Constants!$B$7,
  COUNTIFS($AR$8:$AR$507,"&lt;"&amp;$AR364)
  + COUNTIFS($AR$8:$AR$507,$AR364,$AT$8:$AT$507,"&lt;"&amp;$AT364)
  + COUNTIFS($AR$8:$AR$507,$AR364,$AT$8:$AT$507,$AT364,$AV$8:$AV$507,"&lt;"&amp;$AV364)
  + COUNTIFS($AR$8:$AR$507,$AR364,$AT$8:$AT$507,$AT364,$AV$8:$AV$507,$AV364,$AW$8:$AW$507,"&lt;"&amp;$AW364)
  + 1,
$AE364))</f>
        <v/>
      </c>
      <c r="AY364" s="63" t="str">
        <f aca="false">IF(ISBLANK(C364),"",IF($AE364=Constants!$B$7, AR364-AX364,$AE364))</f>
        <v/>
      </c>
      <c r="AZ364" s="67"/>
      <c r="BA364" s="81" t="str">
        <f aca="false">IF(ISBLANK($C364),"",TRIM(AI364&amp;" "&amp;AM364))</f>
        <v/>
      </c>
      <c r="BB364" s="69" t="str">
        <f aca="false">IF(ISBLANK($C364),"",IF($AE364&lt;&gt;Constants!$B$7, $AE364 ,AQ364))</f>
        <v/>
      </c>
      <c r="BC364" s="70" t="str">
        <f aca="false">IF(ISBLANK($C364),"",IF($AE364&lt;&gt;Constants!$B$7, $AE364 ,AF364))</f>
        <v/>
      </c>
      <c r="BD364" s="71" t="str">
        <f aca="false">IF(ISBLANK(C364),"",AY364)</f>
        <v/>
      </c>
      <c r="BE364" s="71" t="str">
        <f aca="false">IF(ISBLANK(C364),"",AX364)</f>
        <v/>
      </c>
      <c r="BF364" s="72" t="str">
        <f aca="false">IF(ISBLANK(C364),"",IFERROR(_xlfn.SWITCH(BE364, Constants!$B$4, COUNTA($C$8:$C863)+2, Constants!$B$5, COUNTA($C$8:$C863)+1, Constants!$B$6, COUNTA($C$8:$C863)),BE364))</f>
        <v/>
      </c>
      <c r="BG364" s="5"/>
      <c r="BH364" s="73" t="n">
        <f aca="false">IF(OR(ISNUMBER(BE364),BE364="DQ",BE364="P",BE364="NS"),
    1,
    0
)</f>
        <v>0</v>
      </c>
      <c r="BI364" s="73" t="n">
        <v>357</v>
      </c>
      <c r="BJ364" s="73" t="str">
        <f aca="false">IF(ISBLANK($C364),
    "",
   BF364+ROW($B364)/1000
)</f>
        <v/>
      </c>
      <c r="BK364" s="73" t="str">
        <f aca="false">IF(ISNUMBER(BJ364), RANK(BJ364,BJ$8:BJ$507,1), "")</f>
        <v/>
      </c>
      <c r="BL364" s="73" t="str">
        <f aca="false">IF(ISBLANK($C364),
    "",
    $B364
)</f>
        <v/>
      </c>
      <c r="BM364" s="73" t="str">
        <f aca="false">IF(ISBLANK($C364),
    "",
    $C364
)</f>
        <v/>
      </c>
      <c r="BN364" s="73" t="str">
        <f aca="false">IF(ISBLANK($C364),
    "",
    $D364
)</f>
        <v/>
      </c>
      <c r="BO364" s="74" t="str">
        <f aca="false">BC364</f>
        <v/>
      </c>
      <c r="BP364" s="75" t="str">
        <f aca="false">BB364</f>
        <v/>
      </c>
      <c r="BQ364" s="73" t="str">
        <f aca="false">IF(ISBLANK($C364),
    "",
    BE364
)</f>
        <v/>
      </c>
      <c r="BR364" s="76" t="str">
        <f aca="false">IF(BI364&gt;BH$7,
    "",
    VLOOKUP(BI364,BK$8:BQ863,7,FALSE())
)</f>
        <v/>
      </c>
      <c r="BS364" s="77" t="str">
        <f aca="false">IF(BI364&gt;BH$7,
    "",
    VLOOKUP(BI364,BK$8:BQ863,2,FALSE())
)</f>
        <v/>
      </c>
      <c r="BT364" s="77" t="str">
        <f aca="false">IF(BI364&gt;BH$7,
    "",
    VLOOKUP(BI364,BK$8:BQ863,3,FALSE())
)</f>
        <v/>
      </c>
      <c r="BU364" s="77" t="str">
        <f aca="false">IF(BI364&gt;BH$7,
    "",
    VLOOKUP(BI364,BK$8:BQ863,4,FALSE())
)</f>
        <v/>
      </c>
      <c r="BV364" s="77" t="str">
        <f aca="false">IF(BI364&gt;BH$7,
    "",
    VLOOKUP(BI364,BK$8:BQ863,5,FALSE())
)</f>
        <v/>
      </c>
      <c r="BW364" s="78" t="str">
        <f aca="false">IF(BI364&gt;BH$7,
    "",
    VLOOKUP(BI364,BK$8:BQ863,6,FALSE())
)</f>
        <v/>
      </c>
      <c r="BX364" s="50"/>
    </row>
    <row r="365" customFormat="false" ht="15.75" hidden="false" customHeight="false" outlineLevel="0" collapsed="false">
      <c r="A365" s="5"/>
      <c r="B365" s="122"/>
      <c r="C365" s="123"/>
      <c r="D365" s="112"/>
      <c r="E365" s="116"/>
      <c r="F365" s="116"/>
      <c r="G365" s="88"/>
      <c r="H365" s="89"/>
      <c r="I365" s="125"/>
      <c r="J365" s="125"/>
      <c r="K365" s="125"/>
      <c r="L365" s="91"/>
      <c r="M365" s="91"/>
      <c r="N365" s="91"/>
      <c r="O365" s="92"/>
      <c r="P365" s="93"/>
      <c r="Q365" s="125"/>
      <c r="R365" s="95"/>
      <c r="S365" s="96"/>
      <c r="T365" s="96" t="str">
        <f aca="false">IF(ISBLANK($C365),"",IF(G365=Constants!$B$2, TRUE(), IF(G365=Constants!$B$3, FALSE(), TRUE())))</f>
        <v/>
      </c>
      <c r="U365" s="96" t="str">
        <f aca="false">IF(ISBLANK($C365),"",IF(H365=Constants!$B$2, TRUE(), IF(H365=Constants!$B$3, FALSE(), TRUE())))</f>
        <v/>
      </c>
      <c r="V365" s="96" t="str">
        <f aca="false">IF(ISBLANK($C365),"",IF(I365=Constants!$B$2, TRUE(), IF(I365=Constants!$B$3, FALSE(), TRUE())))</f>
        <v/>
      </c>
      <c r="W365" s="96" t="str">
        <f aca="false">IF(ISBLANK($C365),"",IF(J365=Constants!$B$2, TRUE(), IF(J365=Constants!$B$3, FALSE(), TRUE())))</f>
        <v/>
      </c>
      <c r="X365" s="97" t="str">
        <f aca="false">IF(ISBLANK($C365),"",IF(K365=Constants!$B$2, TRUE(), IF(K365=Constants!$B$3, FALSE(), TRUE())))</f>
        <v/>
      </c>
      <c r="Y365" s="98" t="str">
        <f aca="false">IF(ISBLANK($C365),"",IF(ISNUMBER(L365), L365, ""))</f>
        <v/>
      </c>
      <c r="Z365" s="98" t="str">
        <f aca="false">IF(ISBLANK($C365),"",IF(ISNUMBER(M365), M365, ""))</f>
        <v/>
      </c>
      <c r="AA365" s="98" t="str">
        <f aca="false">IF(ISBLANK($C365),"",IF(ISNUMBER(N365), N365, ""))</f>
        <v/>
      </c>
      <c r="AB365" s="99" t="str">
        <f aca="false">IF(ISBLANK($C365),"",IF(ISNUMBER(O365), O365, ""))</f>
        <v/>
      </c>
      <c r="AC365" s="99" t="str">
        <f aca="false">IF(ISBLANK($C365),"",IF(ISNUMBER(P365), P365, Constants!$B$13))</f>
        <v/>
      </c>
      <c r="AD365" s="96" t="str">
        <f aca="false">IF(ISBLANK($C365),"",IF(Q365=Constants!$B$2, TRUE(), IF(Q365=Constants!$B$3, FALSE(), FALSE())))</f>
        <v/>
      </c>
      <c r="AE365" s="96" t="str">
        <f aca="false">IF(ISBLANK(C365), "", IF(AD365, Constants!$B$4,IF(COUNTA(G365:O365)=0, Constants!$B$5, Constants!$B$7)))</f>
        <v/>
      </c>
      <c r="AF365" s="96" t="str">
        <f aca="false">IF(ISBLANK($C365), "",IF($AE365=Constants!$B$7,1,$AE365))</f>
        <v/>
      </c>
      <c r="AG365" s="96" t="str">
        <f aca="false">IF($AE365=Constants!$B$7,IF(V365, 1, Constants!$B$11) * IF(X365, 1, Constants!$B$12),"")</f>
        <v/>
      </c>
      <c r="AH365" s="96" t="str">
        <f aca="false">IF(AND($AE365=Constants!$B$7, T365, U365) ,MAX(0, $AA365-$Y365),"")</f>
        <v/>
      </c>
      <c r="AI365" s="96" t="str">
        <f aca="false">IF(ISERROR(AH365),$AI$6,"")</f>
        <v/>
      </c>
      <c r="AJ365" s="96" t="str">
        <f aca="false">IF($AE365=Constants!$B$7,IF(AND(T365,U365,W365),IF($AH$6=0,Constants!$B$9,Constants!$B$9*AH365/$AH$6), 0),"")</f>
        <v/>
      </c>
      <c r="AK365" s="96" t="str">
        <f aca="false">IF(AJ365&lt;&gt;"", AJ365*AG365,"")</f>
        <v/>
      </c>
      <c r="AL365" s="96" t="str">
        <f aca="false">IF(AND($AE365=Constants!$B$7, T365, U365) ,IF($Z365="", "", MAX(0,1-ABS($AA365-$Z365)/$AA365)),"")</f>
        <v/>
      </c>
      <c r="AM365" s="96" t="str">
        <f aca="false">IF(AND(NOT(ISERROR(AH365)),ISERROR(AL365)),$AM$6,"")</f>
        <v/>
      </c>
      <c r="AN365" s="96" t="str">
        <f aca="false">IF($AE365=Constants!$B$7 ,IF(AND(T365,U365,W365,ISNUMBER(Z365)),IF($AL$6=0,Constants!$B$10,Constants!$B$10*AL365/$AL$6), 0),"")</f>
        <v/>
      </c>
      <c r="AO365" s="96" t="str">
        <f aca="false">IF(AN365&lt;&gt;"", AN365*AG365,"")</f>
        <v/>
      </c>
      <c r="AP365" s="96" t="str">
        <f aca="false">IF($AE365=Constants!$B$7,IF($AP$6=0,Constants!$B$8,Constants!$B$8*AB365/$AP$6),"")</f>
        <v/>
      </c>
      <c r="AQ365" s="96" t="str">
        <f aca="false">IF($AE365&lt;&gt;Constants!$B$7,$AE365,AK365+AO365+AP365)</f>
        <v/>
      </c>
      <c r="AR365" s="96" t="str">
        <f aca="false">IF(ISBLANK($C365),"",IF($AE365=Constants!$B$7,RANK(AQ365,$AQ$8:$AQ$507),$AE365))</f>
        <v/>
      </c>
      <c r="AS365" s="96" t="str">
        <f aca="false">IF(ISBLANK($C365), "",AK365)</f>
        <v/>
      </c>
      <c r="AT365" s="96" t="str">
        <f aca="false">IF(ISBLANK($C365),"",IF($AE365=Constants!$B$7,RANK(AS365,AS$8:AS$507),$AE365))</f>
        <v/>
      </c>
      <c r="AU365" s="96" t="str">
        <f aca="false">IF(ISBLANK($C365), "",AP365)</f>
        <v/>
      </c>
      <c r="AV365" s="96" t="str">
        <f aca="false">IF(ISBLANK($C365),"",IF($AE365=Constants!$B$7,RANK(AU365,AU$8:AU$507),$AE365))</f>
        <v/>
      </c>
      <c r="AW365" s="96" t="str">
        <f aca="false">IF(ISBLANK($C365), "",AC365)</f>
        <v/>
      </c>
      <c r="AX365" s="96" t="str">
        <f aca="false">IF(ISBLANK($C365),"",
IF($AE365=Constants!$B$7,
  COUNTIFS($AR$8:$AR$507,"&lt;"&amp;$AR365)
  + COUNTIFS($AR$8:$AR$507,$AR365,$AT$8:$AT$507,"&lt;"&amp;$AT365)
  + COUNTIFS($AR$8:$AR$507,$AR365,$AT$8:$AT$507,$AT365,$AV$8:$AV$507,"&lt;"&amp;$AV365)
  + COUNTIFS($AR$8:$AR$507,$AR365,$AT$8:$AT$507,$AT365,$AV$8:$AV$507,$AV365,$AW$8:$AW$507,"&lt;"&amp;$AW365)
  + 1,
$AE365))</f>
        <v/>
      </c>
      <c r="AY365" s="96" t="str">
        <f aca="false">IF(ISBLANK(C365),"",IF($AE365=Constants!$B$7, AR365-AX365,$AE365))</f>
        <v/>
      </c>
      <c r="AZ365" s="100"/>
      <c r="BA365" s="101" t="str">
        <f aca="false">IF(ISBLANK($C365),"",TRIM(AI365&amp;" "&amp;AM365))</f>
        <v/>
      </c>
      <c r="BB365" s="102" t="str">
        <f aca="false">IF(ISBLANK($C365),"",IF($AE365&lt;&gt;Constants!$B$7, $AE365 ,AQ365))</f>
        <v/>
      </c>
      <c r="BC365" s="103" t="str">
        <f aca="false">IF(ISBLANK($C365),"",IF($AE365&lt;&gt;Constants!$B$7, $AE365 ,AF365))</f>
        <v/>
      </c>
      <c r="BD365" s="104" t="str">
        <f aca="false">IF(ISBLANK(C365),"",AY365)</f>
        <v/>
      </c>
      <c r="BE365" s="104" t="str">
        <f aca="false">IF(ISBLANK(C365),"",AX365)</f>
        <v/>
      </c>
      <c r="BF365" s="105" t="str">
        <f aca="false">IF(ISBLANK(C365),"",IFERROR(_xlfn.SWITCH(BE365, Constants!$B$4, COUNTA($C$8:$C864)+2, Constants!$B$5, COUNTA($C$8:$C864)+1, Constants!$B$6, COUNTA($C$8:$C864)),BE365))</f>
        <v/>
      </c>
      <c r="BG365" s="5"/>
      <c r="BH365" s="106" t="n">
        <f aca="false">IF(OR(ISNUMBER(BE365),BE365="DQ",BE365="P",BE365="NS"),
    1,
    0
)</f>
        <v>0</v>
      </c>
      <c r="BI365" s="106" t="n">
        <v>358</v>
      </c>
      <c r="BJ365" s="106" t="str">
        <f aca="false">IF(ISBLANK($C365),
    "",
   BF365+ROW($B365)/1000
)</f>
        <v/>
      </c>
      <c r="BK365" s="106" t="str">
        <f aca="false">IF(ISNUMBER(BJ365), RANK(BJ365,BJ$8:BJ$507,1), "")</f>
        <v/>
      </c>
      <c r="BL365" s="106" t="str">
        <f aca="false">IF(ISBLANK($C365),
    "",
    $B365
)</f>
        <v/>
      </c>
      <c r="BM365" s="106" t="str">
        <f aca="false">IF(ISBLANK($C365),
    "",
    $C365
)</f>
        <v/>
      </c>
      <c r="BN365" s="106" t="str">
        <f aca="false">IF(ISBLANK($C365),
    "",
    $D365
)</f>
        <v/>
      </c>
      <c r="BO365" s="107" t="str">
        <f aca="false">BC365</f>
        <v/>
      </c>
      <c r="BP365" s="108" t="str">
        <f aca="false">BB365</f>
        <v/>
      </c>
      <c r="BQ365" s="106" t="str">
        <f aca="false">IF(ISBLANK($C365),
    "",
    BE365
)</f>
        <v/>
      </c>
      <c r="BR365" s="109" t="str">
        <f aca="false">IF(BI365&gt;BH$7,
    "",
    VLOOKUP(BI365,BK$8:BQ864,7,FALSE())
)</f>
        <v/>
      </c>
      <c r="BS365" s="110" t="str">
        <f aca="false">IF(BI365&gt;BH$7,
    "",
    VLOOKUP(BI365,BK$8:BQ864,2,FALSE())
)</f>
        <v/>
      </c>
      <c r="BT365" s="110" t="str">
        <f aca="false">IF(BI365&gt;BH$7,
    "",
    VLOOKUP(BI365,BK$8:BQ864,3,FALSE())
)</f>
        <v/>
      </c>
      <c r="BU365" s="110" t="str">
        <f aca="false">IF(BI365&gt;BH$7,
    "",
    VLOOKUP(BI365,BK$8:BQ864,4,FALSE())
)</f>
        <v/>
      </c>
      <c r="BV365" s="110" t="str">
        <f aca="false">IF(BI365&gt;BH$7,
    "",
    VLOOKUP(BI365,BK$8:BQ864,5,FALSE())
)</f>
        <v/>
      </c>
      <c r="BW365" s="111" t="str">
        <f aca="false">IF(BI365&gt;BH$7,
    "",
    VLOOKUP(BI365,BK$8:BQ864,6,FALSE())
)</f>
        <v/>
      </c>
      <c r="BX365" s="50"/>
    </row>
    <row r="366" customFormat="false" ht="15.75" hidden="false" customHeight="false" outlineLevel="0" collapsed="false">
      <c r="A366" s="5"/>
      <c r="B366" s="122"/>
      <c r="C366" s="123"/>
      <c r="D366" s="112"/>
      <c r="E366" s="116"/>
      <c r="F366" s="116"/>
      <c r="G366" s="88"/>
      <c r="H366" s="89"/>
      <c r="I366" s="125"/>
      <c r="J366" s="125"/>
      <c r="K366" s="125"/>
      <c r="L366" s="91"/>
      <c r="M366" s="91"/>
      <c r="N366" s="91"/>
      <c r="O366" s="92"/>
      <c r="P366" s="93"/>
      <c r="Q366" s="125"/>
      <c r="R366" s="95"/>
      <c r="S366" s="96"/>
      <c r="T366" s="96" t="str">
        <f aca="false">IF(ISBLANK($C366),"",IF(G366=Constants!$B$2, TRUE(), IF(G366=Constants!$B$3, FALSE(), TRUE())))</f>
        <v/>
      </c>
      <c r="U366" s="96" t="str">
        <f aca="false">IF(ISBLANK($C366),"",IF(H366=Constants!$B$2, TRUE(), IF(H366=Constants!$B$3, FALSE(), TRUE())))</f>
        <v/>
      </c>
      <c r="V366" s="96" t="str">
        <f aca="false">IF(ISBLANK($C366),"",IF(I366=Constants!$B$2, TRUE(), IF(I366=Constants!$B$3, FALSE(), TRUE())))</f>
        <v/>
      </c>
      <c r="W366" s="96" t="str">
        <f aca="false">IF(ISBLANK($C366),"",IF(J366=Constants!$B$2, TRUE(), IF(J366=Constants!$B$3, FALSE(), TRUE())))</f>
        <v/>
      </c>
      <c r="X366" s="97" t="str">
        <f aca="false">IF(ISBLANK($C366),"",IF(K366=Constants!$B$2, TRUE(), IF(K366=Constants!$B$3, FALSE(), TRUE())))</f>
        <v/>
      </c>
      <c r="Y366" s="98" t="str">
        <f aca="false">IF(ISBLANK($C366),"",IF(ISNUMBER(L366), L366, ""))</f>
        <v/>
      </c>
      <c r="Z366" s="98" t="str">
        <f aca="false">IF(ISBLANK($C366),"",IF(ISNUMBER(M366), M366, ""))</f>
        <v/>
      </c>
      <c r="AA366" s="98" t="str">
        <f aca="false">IF(ISBLANK($C366),"",IF(ISNUMBER(N366), N366, ""))</f>
        <v/>
      </c>
      <c r="AB366" s="99" t="str">
        <f aca="false">IF(ISBLANK($C366),"",IF(ISNUMBER(O366), O366, ""))</f>
        <v/>
      </c>
      <c r="AC366" s="99" t="str">
        <f aca="false">IF(ISBLANK($C366),"",IF(ISNUMBER(P366), P366, Constants!$B$13))</f>
        <v/>
      </c>
      <c r="AD366" s="96" t="str">
        <f aca="false">IF(ISBLANK($C366),"",IF(Q366=Constants!$B$2, TRUE(), IF(Q366=Constants!$B$3, FALSE(), FALSE())))</f>
        <v/>
      </c>
      <c r="AE366" s="96" t="str">
        <f aca="false">IF(ISBLANK(C366), "", IF(AD366, Constants!$B$4,IF(COUNTA(G366:O366)=0, Constants!$B$5, Constants!$B$7)))</f>
        <v/>
      </c>
      <c r="AF366" s="96" t="str">
        <f aca="false">IF(ISBLANK($C366), "",IF($AE366=Constants!$B$7,1,$AE366))</f>
        <v/>
      </c>
      <c r="AG366" s="96" t="str">
        <f aca="false">IF($AE366=Constants!$B$7,IF(V366, 1, Constants!$B$11) * IF(X366, 1, Constants!$B$12),"")</f>
        <v/>
      </c>
      <c r="AH366" s="96" t="str">
        <f aca="false">IF(AND($AE366=Constants!$B$7, T366, U366) ,MAX(0, $AA366-$Y366),"")</f>
        <v/>
      </c>
      <c r="AI366" s="96" t="str">
        <f aca="false">IF(ISERROR(AH366),$AI$6,"")</f>
        <v/>
      </c>
      <c r="AJ366" s="96" t="str">
        <f aca="false">IF($AE366=Constants!$B$7,IF(AND(T366,U366,W366),IF($AH$6=0,Constants!$B$9,Constants!$B$9*AH366/$AH$6), 0),"")</f>
        <v/>
      </c>
      <c r="AK366" s="96" t="str">
        <f aca="false">IF(AJ366&lt;&gt;"", AJ366*AG366,"")</f>
        <v/>
      </c>
      <c r="AL366" s="96" t="str">
        <f aca="false">IF(AND($AE366=Constants!$B$7, T366, U366) ,IF($Z366="", "", MAX(0,1-ABS($AA366-$Z366)/$AA366)),"")</f>
        <v/>
      </c>
      <c r="AM366" s="96" t="str">
        <f aca="false">IF(AND(NOT(ISERROR(AH366)),ISERROR(AL366)),$AM$6,"")</f>
        <v/>
      </c>
      <c r="AN366" s="96" t="str">
        <f aca="false">IF($AE366=Constants!$B$7 ,IF(AND(T366,U366,W366,ISNUMBER(Z366)),IF($AL$6=0,Constants!$B$10,Constants!$B$10*AL366/$AL$6), 0),"")</f>
        <v/>
      </c>
      <c r="AO366" s="96" t="str">
        <f aca="false">IF(AN366&lt;&gt;"", AN366*AG366,"")</f>
        <v/>
      </c>
      <c r="AP366" s="96" t="str">
        <f aca="false">IF($AE366=Constants!$B$7,IF($AP$6=0,Constants!$B$8,Constants!$B$8*AB366/$AP$6),"")</f>
        <v/>
      </c>
      <c r="AQ366" s="96" t="str">
        <f aca="false">IF($AE366&lt;&gt;Constants!$B$7,$AE366,AK366+AO366+AP366)</f>
        <v/>
      </c>
      <c r="AR366" s="96" t="str">
        <f aca="false">IF(ISBLANK($C366),"",IF($AE366=Constants!$B$7,RANK(AQ366,$AQ$8:$AQ$507),$AE366))</f>
        <v/>
      </c>
      <c r="AS366" s="96" t="str">
        <f aca="false">IF(ISBLANK($C366), "",AK366)</f>
        <v/>
      </c>
      <c r="AT366" s="96" t="str">
        <f aca="false">IF(ISBLANK($C366),"",IF($AE366=Constants!$B$7,RANK(AS366,AS$8:AS$507),$AE366))</f>
        <v/>
      </c>
      <c r="AU366" s="96" t="str">
        <f aca="false">IF(ISBLANK($C366), "",AP366)</f>
        <v/>
      </c>
      <c r="AV366" s="96" t="str">
        <f aca="false">IF(ISBLANK($C366),"",IF($AE366=Constants!$B$7,RANK(AU366,AU$8:AU$507),$AE366))</f>
        <v/>
      </c>
      <c r="AW366" s="96" t="str">
        <f aca="false">IF(ISBLANK($C366), "",AC366)</f>
        <v/>
      </c>
      <c r="AX366" s="96" t="str">
        <f aca="false">IF(ISBLANK($C366),"",
IF($AE366=Constants!$B$7,
  COUNTIFS($AR$8:$AR$507,"&lt;"&amp;$AR366)
  + COUNTIFS($AR$8:$AR$507,$AR366,$AT$8:$AT$507,"&lt;"&amp;$AT366)
  + COUNTIFS($AR$8:$AR$507,$AR366,$AT$8:$AT$507,$AT366,$AV$8:$AV$507,"&lt;"&amp;$AV366)
  + COUNTIFS($AR$8:$AR$507,$AR366,$AT$8:$AT$507,$AT366,$AV$8:$AV$507,$AV366,$AW$8:$AW$507,"&lt;"&amp;$AW366)
  + 1,
$AE366))</f>
        <v/>
      </c>
      <c r="AY366" s="96" t="str">
        <f aca="false">IF(ISBLANK(C366),"",IF($AE366=Constants!$B$7, AR366-AX366,$AE366))</f>
        <v/>
      </c>
      <c r="AZ366" s="100"/>
      <c r="BA366" s="101" t="str">
        <f aca="false">IF(ISBLANK($C366),"",TRIM(AI366&amp;" "&amp;AM366))</f>
        <v/>
      </c>
      <c r="BB366" s="102" t="str">
        <f aca="false">IF(ISBLANK($C366),"",IF($AE366&lt;&gt;Constants!$B$7, $AE366 ,AQ366))</f>
        <v/>
      </c>
      <c r="BC366" s="103" t="str">
        <f aca="false">IF(ISBLANK($C366),"",IF($AE366&lt;&gt;Constants!$B$7, $AE366 ,AF366))</f>
        <v/>
      </c>
      <c r="BD366" s="104" t="str">
        <f aca="false">IF(ISBLANK(C366),"",AY366)</f>
        <v/>
      </c>
      <c r="BE366" s="104" t="str">
        <f aca="false">IF(ISBLANK(C366),"",AX366)</f>
        <v/>
      </c>
      <c r="BF366" s="105" t="str">
        <f aca="false">IF(ISBLANK(C366),"",IFERROR(_xlfn.SWITCH(BE366, Constants!$B$4, COUNTA($C$8:$C865)+2, Constants!$B$5, COUNTA($C$8:$C865)+1, Constants!$B$6, COUNTA($C$8:$C865)),BE366))</f>
        <v/>
      </c>
      <c r="BG366" s="5"/>
      <c r="BH366" s="106" t="n">
        <f aca="false">IF(OR(ISNUMBER(BE366),BE366="DQ",BE366="P",BE366="NS"),
    1,
    0
)</f>
        <v>0</v>
      </c>
      <c r="BI366" s="106" t="n">
        <v>359</v>
      </c>
      <c r="BJ366" s="106" t="str">
        <f aca="false">IF(ISBLANK($C366),
    "",
   BF366+ROW($B366)/1000
)</f>
        <v/>
      </c>
      <c r="BK366" s="106" t="str">
        <f aca="false">IF(ISNUMBER(BJ366), RANK(BJ366,BJ$8:BJ$507,1), "")</f>
        <v/>
      </c>
      <c r="BL366" s="106" t="str">
        <f aca="false">IF(ISBLANK($C366),
    "",
    $B366
)</f>
        <v/>
      </c>
      <c r="BM366" s="106" t="str">
        <f aca="false">IF(ISBLANK($C366),
    "",
    $C366
)</f>
        <v/>
      </c>
      <c r="BN366" s="106" t="str">
        <f aca="false">IF(ISBLANK($C366),
    "",
    $D366
)</f>
        <v/>
      </c>
      <c r="BO366" s="107" t="str">
        <f aca="false">BC366</f>
        <v/>
      </c>
      <c r="BP366" s="108" t="str">
        <f aca="false">BB366</f>
        <v/>
      </c>
      <c r="BQ366" s="106" t="str">
        <f aca="false">IF(ISBLANK($C366),
    "",
    BE366
)</f>
        <v/>
      </c>
      <c r="BR366" s="109" t="str">
        <f aca="false">IF(BI366&gt;BH$7,
    "",
    VLOOKUP(BI366,BK$8:BQ865,7,FALSE())
)</f>
        <v/>
      </c>
      <c r="BS366" s="110" t="str">
        <f aca="false">IF(BI366&gt;BH$7,
    "",
    VLOOKUP(BI366,BK$8:BQ865,2,FALSE())
)</f>
        <v/>
      </c>
      <c r="BT366" s="110" t="str">
        <f aca="false">IF(BI366&gt;BH$7,
    "",
    VLOOKUP(BI366,BK$8:BQ865,3,FALSE())
)</f>
        <v/>
      </c>
      <c r="BU366" s="110" t="str">
        <f aca="false">IF(BI366&gt;BH$7,
    "",
    VLOOKUP(BI366,BK$8:BQ865,4,FALSE())
)</f>
        <v/>
      </c>
      <c r="BV366" s="110" t="str">
        <f aca="false">IF(BI366&gt;BH$7,
    "",
    VLOOKUP(BI366,BK$8:BQ865,5,FALSE())
)</f>
        <v/>
      </c>
      <c r="BW366" s="111" t="str">
        <f aca="false">IF(BI366&gt;BH$7,
    "",
    VLOOKUP(BI366,BK$8:BQ865,6,FALSE())
)</f>
        <v/>
      </c>
      <c r="BX366" s="50"/>
    </row>
    <row r="367" customFormat="false" ht="15.75" hidden="false" customHeight="false" outlineLevel="0" collapsed="false">
      <c r="A367" s="5"/>
      <c r="B367" s="122"/>
      <c r="C367" s="123"/>
      <c r="D367" s="112"/>
      <c r="E367" s="116"/>
      <c r="F367" s="116"/>
      <c r="G367" s="88"/>
      <c r="H367" s="89"/>
      <c r="I367" s="125"/>
      <c r="J367" s="125"/>
      <c r="K367" s="125"/>
      <c r="L367" s="91"/>
      <c r="M367" s="91"/>
      <c r="N367" s="91"/>
      <c r="O367" s="92"/>
      <c r="P367" s="93"/>
      <c r="Q367" s="125"/>
      <c r="R367" s="95"/>
      <c r="S367" s="96"/>
      <c r="T367" s="96" t="str">
        <f aca="false">IF(ISBLANK($C367),"",IF(G367=Constants!$B$2, TRUE(), IF(G367=Constants!$B$3, FALSE(), TRUE())))</f>
        <v/>
      </c>
      <c r="U367" s="96" t="str">
        <f aca="false">IF(ISBLANK($C367),"",IF(H367=Constants!$B$2, TRUE(), IF(H367=Constants!$B$3, FALSE(), TRUE())))</f>
        <v/>
      </c>
      <c r="V367" s="96" t="str">
        <f aca="false">IF(ISBLANK($C367),"",IF(I367=Constants!$B$2, TRUE(), IF(I367=Constants!$B$3, FALSE(), TRUE())))</f>
        <v/>
      </c>
      <c r="W367" s="96" t="str">
        <f aca="false">IF(ISBLANK($C367),"",IF(J367=Constants!$B$2, TRUE(), IF(J367=Constants!$B$3, FALSE(), TRUE())))</f>
        <v/>
      </c>
      <c r="X367" s="97" t="str">
        <f aca="false">IF(ISBLANK($C367),"",IF(K367=Constants!$B$2, TRUE(), IF(K367=Constants!$B$3, FALSE(), TRUE())))</f>
        <v/>
      </c>
      <c r="Y367" s="98" t="str">
        <f aca="false">IF(ISBLANK($C367),"",IF(ISNUMBER(L367), L367, ""))</f>
        <v/>
      </c>
      <c r="Z367" s="98" t="str">
        <f aca="false">IF(ISBLANK($C367),"",IF(ISNUMBER(M367), M367, ""))</f>
        <v/>
      </c>
      <c r="AA367" s="98" t="str">
        <f aca="false">IF(ISBLANK($C367),"",IF(ISNUMBER(N367), N367, ""))</f>
        <v/>
      </c>
      <c r="AB367" s="99" t="str">
        <f aca="false">IF(ISBLANK($C367),"",IF(ISNUMBER(O367), O367, ""))</f>
        <v/>
      </c>
      <c r="AC367" s="99" t="str">
        <f aca="false">IF(ISBLANK($C367),"",IF(ISNUMBER(P367), P367, Constants!$B$13))</f>
        <v/>
      </c>
      <c r="AD367" s="96" t="str">
        <f aca="false">IF(ISBLANK($C367),"",IF(Q367=Constants!$B$2, TRUE(), IF(Q367=Constants!$B$3, FALSE(), FALSE())))</f>
        <v/>
      </c>
      <c r="AE367" s="96" t="str">
        <f aca="false">IF(ISBLANK(C367), "", IF(AD367, Constants!$B$4,IF(COUNTA(G367:O367)=0, Constants!$B$5, Constants!$B$7)))</f>
        <v/>
      </c>
      <c r="AF367" s="96" t="str">
        <f aca="false">IF(ISBLANK($C367), "",IF($AE367=Constants!$B$7,1,$AE367))</f>
        <v/>
      </c>
      <c r="AG367" s="96" t="str">
        <f aca="false">IF($AE367=Constants!$B$7,IF(V367, 1, Constants!$B$11) * IF(X367, 1, Constants!$B$12),"")</f>
        <v/>
      </c>
      <c r="AH367" s="96" t="str">
        <f aca="false">IF(AND($AE367=Constants!$B$7, T367, U367) ,MAX(0, $AA367-$Y367),"")</f>
        <v/>
      </c>
      <c r="AI367" s="96" t="str">
        <f aca="false">IF(ISERROR(AH367),$AI$6,"")</f>
        <v/>
      </c>
      <c r="AJ367" s="96" t="str">
        <f aca="false">IF($AE367=Constants!$B$7,IF(AND(T367,U367,W367),IF($AH$6=0,Constants!$B$9,Constants!$B$9*AH367/$AH$6), 0),"")</f>
        <v/>
      </c>
      <c r="AK367" s="96" t="str">
        <f aca="false">IF(AJ367&lt;&gt;"", AJ367*AG367,"")</f>
        <v/>
      </c>
      <c r="AL367" s="96" t="str">
        <f aca="false">IF(AND($AE367=Constants!$B$7, T367, U367) ,IF($Z367="", "", MAX(0,1-ABS($AA367-$Z367)/$AA367)),"")</f>
        <v/>
      </c>
      <c r="AM367" s="96" t="str">
        <f aca="false">IF(AND(NOT(ISERROR(AH367)),ISERROR(AL367)),$AM$6,"")</f>
        <v/>
      </c>
      <c r="AN367" s="96" t="str">
        <f aca="false">IF($AE367=Constants!$B$7 ,IF(AND(T367,U367,W367,ISNUMBER(Z367)),IF($AL$6=0,Constants!$B$10,Constants!$B$10*AL367/$AL$6), 0),"")</f>
        <v/>
      </c>
      <c r="AO367" s="96" t="str">
        <f aca="false">IF(AN367&lt;&gt;"", AN367*AG367,"")</f>
        <v/>
      </c>
      <c r="AP367" s="96" t="str">
        <f aca="false">IF($AE367=Constants!$B$7,IF($AP$6=0,Constants!$B$8,Constants!$B$8*AB367/$AP$6),"")</f>
        <v/>
      </c>
      <c r="AQ367" s="96" t="str">
        <f aca="false">IF($AE367&lt;&gt;Constants!$B$7,$AE367,AK367+AO367+AP367)</f>
        <v/>
      </c>
      <c r="AR367" s="96" t="str">
        <f aca="false">IF(ISBLANK($C367),"",IF($AE367=Constants!$B$7,RANK(AQ367,$AQ$8:$AQ$507),$AE367))</f>
        <v/>
      </c>
      <c r="AS367" s="96" t="str">
        <f aca="false">IF(ISBLANK($C367), "",AK367)</f>
        <v/>
      </c>
      <c r="AT367" s="96" t="str">
        <f aca="false">IF(ISBLANK($C367),"",IF($AE367=Constants!$B$7,RANK(AS367,AS$8:AS$507),$AE367))</f>
        <v/>
      </c>
      <c r="AU367" s="96" t="str">
        <f aca="false">IF(ISBLANK($C367), "",AP367)</f>
        <v/>
      </c>
      <c r="AV367" s="96" t="str">
        <f aca="false">IF(ISBLANK($C367),"",IF($AE367=Constants!$B$7,RANK(AU367,AU$8:AU$507),$AE367))</f>
        <v/>
      </c>
      <c r="AW367" s="96" t="str">
        <f aca="false">IF(ISBLANK($C367), "",AC367)</f>
        <v/>
      </c>
      <c r="AX367" s="96" t="str">
        <f aca="false">IF(ISBLANK($C367),"",
IF($AE367=Constants!$B$7,
  COUNTIFS($AR$8:$AR$507,"&lt;"&amp;$AR367)
  + COUNTIFS($AR$8:$AR$507,$AR367,$AT$8:$AT$507,"&lt;"&amp;$AT367)
  + COUNTIFS($AR$8:$AR$507,$AR367,$AT$8:$AT$507,$AT367,$AV$8:$AV$507,"&lt;"&amp;$AV367)
  + COUNTIFS($AR$8:$AR$507,$AR367,$AT$8:$AT$507,$AT367,$AV$8:$AV$507,$AV367,$AW$8:$AW$507,"&lt;"&amp;$AW367)
  + 1,
$AE367))</f>
        <v/>
      </c>
      <c r="AY367" s="96" t="str">
        <f aca="false">IF(ISBLANK(C367),"",IF($AE367=Constants!$B$7, AR367-AX367,$AE367))</f>
        <v/>
      </c>
      <c r="AZ367" s="100"/>
      <c r="BA367" s="101" t="str">
        <f aca="false">IF(ISBLANK($C367),"",TRIM(AI367&amp;" "&amp;AM367))</f>
        <v/>
      </c>
      <c r="BB367" s="102" t="str">
        <f aca="false">IF(ISBLANK($C367),"",IF($AE367&lt;&gt;Constants!$B$7, $AE367 ,AQ367))</f>
        <v/>
      </c>
      <c r="BC367" s="103" t="str">
        <f aca="false">IF(ISBLANK($C367),"",IF($AE367&lt;&gt;Constants!$B$7, $AE367 ,AF367))</f>
        <v/>
      </c>
      <c r="BD367" s="104" t="str">
        <f aca="false">IF(ISBLANK(C367),"",AY367)</f>
        <v/>
      </c>
      <c r="BE367" s="104" t="str">
        <f aca="false">IF(ISBLANK(C367),"",AX367)</f>
        <v/>
      </c>
      <c r="BF367" s="105" t="str">
        <f aca="false">IF(ISBLANK(C367),"",IFERROR(_xlfn.SWITCH(BE367, Constants!$B$4, COUNTA($C$8:$C866)+2, Constants!$B$5, COUNTA($C$8:$C866)+1, Constants!$B$6, COUNTA($C$8:$C866)),BE367))</f>
        <v/>
      </c>
      <c r="BG367" s="5"/>
      <c r="BH367" s="106" t="n">
        <f aca="false">IF(OR(ISNUMBER(BE367),BE367="DQ",BE367="P",BE367="NS"),
    1,
    0
)</f>
        <v>0</v>
      </c>
      <c r="BI367" s="106" t="n">
        <v>360</v>
      </c>
      <c r="BJ367" s="106" t="str">
        <f aca="false">IF(ISBLANK($C367),
    "",
   BF367+ROW($B367)/1000
)</f>
        <v/>
      </c>
      <c r="BK367" s="106" t="str">
        <f aca="false">IF(ISNUMBER(BJ367), RANK(BJ367,BJ$8:BJ$507,1), "")</f>
        <v/>
      </c>
      <c r="BL367" s="106" t="str">
        <f aca="false">IF(ISBLANK($C367),
    "",
    $B367
)</f>
        <v/>
      </c>
      <c r="BM367" s="106" t="str">
        <f aca="false">IF(ISBLANK($C367),
    "",
    $C367
)</f>
        <v/>
      </c>
      <c r="BN367" s="106" t="str">
        <f aca="false">IF(ISBLANK($C367),
    "",
    $D367
)</f>
        <v/>
      </c>
      <c r="BO367" s="107" t="str">
        <f aca="false">BC367</f>
        <v/>
      </c>
      <c r="BP367" s="108" t="str">
        <f aca="false">BB367</f>
        <v/>
      </c>
      <c r="BQ367" s="106" t="str">
        <f aca="false">IF(ISBLANK($C367),
    "",
    BE367
)</f>
        <v/>
      </c>
      <c r="BR367" s="109" t="str">
        <f aca="false">IF(BI367&gt;BH$7,
    "",
    VLOOKUP(BI367,BK$8:BQ866,7,FALSE())
)</f>
        <v/>
      </c>
      <c r="BS367" s="110" t="str">
        <f aca="false">IF(BI367&gt;BH$7,
    "",
    VLOOKUP(BI367,BK$8:BQ866,2,FALSE())
)</f>
        <v/>
      </c>
      <c r="BT367" s="110" t="str">
        <f aca="false">IF(BI367&gt;BH$7,
    "",
    VLOOKUP(BI367,BK$8:BQ866,3,FALSE())
)</f>
        <v/>
      </c>
      <c r="BU367" s="110" t="str">
        <f aca="false">IF(BI367&gt;BH$7,
    "",
    VLOOKUP(BI367,BK$8:BQ866,4,FALSE())
)</f>
        <v/>
      </c>
      <c r="BV367" s="110" t="str">
        <f aca="false">IF(BI367&gt;BH$7,
    "",
    VLOOKUP(BI367,BK$8:BQ866,5,FALSE())
)</f>
        <v/>
      </c>
      <c r="BW367" s="111" t="str">
        <f aca="false">IF(BI367&gt;BH$7,
    "",
    VLOOKUP(BI367,BK$8:BQ866,6,FALSE())
)</f>
        <v/>
      </c>
      <c r="BX367" s="50"/>
    </row>
    <row r="368" customFormat="false" ht="15.75" hidden="false" customHeight="false" outlineLevel="0" collapsed="false">
      <c r="A368" s="5"/>
      <c r="B368" s="126"/>
      <c r="C368" s="52"/>
      <c r="D368" s="53"/>
      <c r="E368" s="120"/>
      <c r="F368" s="120"/>
      <c r="G368" s="55"/>
      <c r="H368" s="56"/>
      <c r="I368" s="80"/>
      <c r="J368" s="80"/>
      <c r="K368" s="80"/>
      <c r="L368" s="58"/>
      <c r="M368" s="58"/>
      <c r="N368" s="58"/>
      <c r="O368" s="59"/>
      <c r="P368" s="60"/>
      <c r="Q368" s="80"/>
      <c r="R368" s="62"/>
      <c r="S368" s="63"/>
      <c r="T368" s="63" t="str">
        <f aca="false">IF(ISBLANK($C368),"",IF(G368=Constants!$B$2, TRUE(), IF(G368=Constants!$B$3, FALSE(), TRUE())))</f>
        <v/>
      </c>
      <c r="U368" s="63" t="str">
        <f aca="false">IF(ISBLANK($C368),"",IF(H368=Constants!$B$2, TRUE(), IF(H368=Constants!$B$3, FALSE(), TRUE())))</f>
        <v/>
      </c>
      <c r="V368" s="63" t="str">
        <f aca="false">IF(ISBLANK($C368),"",IF(I368=Constants!$B$2, TRUE(), IF(I368=Constants!$B$3, FALSE(), TRUE())))</f>
        <v/>
      </c>
      <c r="W368" s="63" t="str">
        <f aca="false">IF(ISBLANK($C368),"",IF(J368=Constants!$B$2, TRUE(), IF(J368=Constants!$B$3, FALSE(), TRUE())))</f>
        <v/>
      </c>
      <c r="X368" s="63" t="str">
        <f aca="false">IF(ISBLANK($C368),"",IF(K368=Constants!$B$2, TRUE(), IF(K368=Constants!$B$3, FALSE(), TRUE())))</f>
        <v/>
      </c>
      <c r="Y368" s="65" t="str">
        <f aca="false">IF(ISBLANK($C368),"",IF(ISNUMBER(L368), L368, ""))</f>
        <v/>
      </c>
      <c r="Z368" s="65" t="str">
        <f aca="false">IF(ISBLANK($C368),"",IF(ISNUMBER(M368), M368, ""))</f>
        <v/>
      </c>
      <c r="AA368" s="65" t="str">
        <f aca="false">IF(ISBLANK($C368),"",IF(ISNUMBER(N368), N368, ""))</f>
        <v/>
      </c>
      <c r="AB368" s="66" t="str">
        <f aca="false">IF(ISBLANK($C368),"",IF(ISNUMBER(O368), O368, ""))</f>
        <v/>
      </c>
      <c r="AC368" s="66" t="str">
        <f aca="false">IF(ISBLANK($C368),"",IF(ISNUMBER(P368), P368, Constants!$B$13))</f>
        <v/>
      </c>
      <c r="AD368" s="63" t="str">
        <f aca="false">IF(ISBLANK($C368),"",IF(Q368=Constants!$B$2, TRUE(), IF(Q368=Constants!$B$3, FALSE(), FALSE())))</f>
        <v/>
      </c>
      <c r="AE368" s="63" t="str">
        <f aca="false">IF(ISBLANK(C368), "", IF(AD368, Constants!$B$4,IF(COUNTA(G368:O368)=0, Constants!$B$5, Constants!$B$7)))</f>
        <v/>
      </c>
      <c r="AF368" s="63" t="str">
        <f aca="false">IF(ISBLANK($C368), "",IF($AE368=Constants!$B$7,1,$AE368))</f>
        <v/>
      </c>
      <c r="AG368" s="63" t="str">
        <f aca="false">IF($AE368=Constants!$B$7,IF(V368, 1, Constants!$B$11) * IF(X368, 1, Constants!$B$12),"")</f>
        <v/>
      </c>
      <c r="AH368" s="63" t="str">
        <f aca="false">IF(AND($AE368=Constants!$B$7, T368, U368) ,MAX(0, $AA368-$Y368),"")</f>
        <v/>
      </c>
      <c r="AI368" s="63" t="str">
        <f aca="false">IF(ISERROR(AH368),$AI$6,"")</f>
        <v/>
      </c>
      <c r="AJ368" s="63" t="str">
        <f aca="false">IF($AE368=Constants!$B$7,IF(AND(T368,U368,W368),IF($AH$6=0,Constants!$B$9,Constants!$B$9*AH368/$AH$6), 0),"")</f>
        <v/>
      </c>
      <c r="AK368" s="63" t="str">
        <f aca="false">IF(AJ368&lt;&gt;"", AJ368*AG368,"")</f>
        <v/>
      </c>
      <c r="AL368" s="63" t="str">
        <f aca="false">IF(AND($AE368=Constants!$B$7, T368, U368) ,IF($Z368="", "", MAX(0,1-ABS($AA368-$Z368)/$AA368)),"")</f>
        <v/>
      </c>
      <c r="AM368" s="63" t="str">
        <f aca="false">IF(AND(NOT(ISERROR(AH368)),ISERROR(AL368)),$AM$6,"")</f>
        <v/>
      </c>
      <c r="AN368" s="63" t="str">
        <f aca="false">IF($AE368=Constants!$B$7 ,IF(AND(T368,U368,W368,ISNUMBER(Z368)),IF($AL$6=0,Constants!$B$10,Constants!$B$10*AL368/$AL$6), 0),"")</f>
        <v/>
      </c>
      <c r="AO368" s="63" t="str">
        <f aca="false">IF(AN368&lt;&gt;"", AN368*AG368,"")</f>
        <v/>
      </c>
      <c r="AP368" s="63" t="str">
        <f aca="false">IF($AE368=Constants!$B$7,IF($AP$6=0,Constants!$B$8,Constants!$B$8*AB368/$AP$6),"")</f>
        <v/>
      </c>
      <c r="AQ368" s="63" t="str">
        <f aca="false">IF($AE368&lt;&gt;Constants!$B$7,$AE368,AK368+AO368+AP368)</f>
        <v/>
      </c>
      <c r="AR368" s="63" t="str">
        <f aca="false">IF(ISBLANK($C368),"",IF($AE368=Constants!$B$7,RANK(AQ368,$AQ$8:$AQ$507),$AE368))</f>
        <v/>
      </c>
      <c r="AS368" s="63" t="str">
        <f aca="false">IF(ISBLANK($C368), "",AK368)</f>
        <v/>
      </c>
      <c r="AT368" s="63" t="str">
        <f aca="false">IF(ISBLANK($C368),"",IF($AE368=Constants!$B$7,RANK(AS368,AS$8:AS$507),$AE368))</f>
        <v/>
      </c>
      <c r="AU368" s="63" t="str">
        <f aca="false">IF(ISBLANK($C368), "",AP368)</f>
        <v/>
      </c>
      <c r="AV368" s="63" t="str">
        <f aca="false">IF(ISBLANK($C368),"",IF($AE368=Constants!$B$7,RANK(AU368,AU$8:AU$507),$AE368))</f>
        <v/>
      </c>
      <c r="AW368" s="63" t="str">
        <f aca="false">IF(ISBLANK($C368), "",AC368)</f>
        <v/>
      </c>
      <c r="AX368" s="63" t="str">
        <f aca="false">IF(ISBLANK($C368),"",
IF($AE368=Constants!$B$7,
  COUNTIFS($AR$8:$AR$507,"&lt;"&amp;$AR368)
  + COUNTIFS($AR$8:$AR$507,$AR368,$AT$8:$AT$507,"&lt;"&amp;$AT368)
  + COUNTIFS($AR$8:$AR$507,$AR368,$AT$8:$AT$507,$AT368,$AV$8:$AV$507,"&lt;"&amp;$AV368)
  + COUNTIFS($AR$8:$AR$507,$AR368,$AT$8:$AT$507,$AT368,$AV$8:$AV$507,$AV368,$AW$8:$AW$507,"&lt;"&amp;$AW368)
  + 1,
$AE368))</f>
        <v/>
      </c>
      <c r="AY368" s="63" t="str">
        <f aca="false">IF(ISBLANK(C368),"",IF($AE368=Constants!$B$7, AR368-AX368,$AE368))</f>
        <v/>
      </c>
      <c r="AZ368" s="67"/>
      <c r="BA368" s="81" t="str">
        <f aca="false">IF(ISBLANK($C368),"",TRIM(AI368&amp;" "&amp;AM368))</f>
        <v/>
      </c>
      <c r="BB368" s="69" t="str">
        <f aca="false">IF(ISBLANK($C368),"",IF($AE368&lt;&gt;Constants!$B$7, $AE368 ,AQ368))</f>
        <v/>
      </c>
      <c r="BC368" s="70" t="str">
        <f aca="false">IF(ISBLANK($C368),"",IF($AE368&lt;&gt;Constants!$B$7, $AE368 ,AF368))</f>
        <v/>
      </c>
      <c r="BD368" s="71" t="str">
        <f aca="false">IF(ISBLANK(C368),"",AY368)</f>
        <v/>
      </c>
      <c r="BE368" s="71" t="str">
        <f aca="false">IF(ISBLANK(C368),"",AX368)</f>
        <v/>
      </c>
      <c r="BF368" s="72" t="str">
        <f aca="false">IF(ISBLANK(C368),"",IFERROR(_xlfn.SWITCH(BE368, Constants!$B$4, COUNTA($C$8:$C867)+2, Constants!$B$5, COUNTA($C$8:$C867)+1, Constants!$B$6, COUNTA($C$8:$C867)),BE368))</f>
        <v/>
      </c>
      <c r="BG368" s="5"/>
      <c r="BH368" s="73" t="n">
        <f aca="false">IF(OR(ISNUMBER(BE368),BE368="DQ",BE368="P",BE368="NS"),
    1,
    0
)</f>
        <v>0</v>
      </c>
      <c r="BI368" s="73" t="n">
        <v>361</v>
      </c>
      <c r="BJ368" s="73" t="str">
        <f aca="false">IF(ISBLANK($C368),
    "",
   BF368+ROW($B368)/1000
)</f>
        <v/>
      </c>
      <c r="BK368" s="73" t="str">
        <f aca="false">IF(ISNUMBER(BJ368), RANK(BJ368,BJ$8:BJ$507,1), "")</f>
        <v/>
      </c>
      <c r="BL368" s="73" t="str">
        <f aca="false">IF(ISBLANK($C368),
    "",
    $B368
)</f>
        <v/>
      </c>
      <c r="BM368" s="73" t="str">
        <f aca="false">IF(ISBLANK($C368),
    "",
    $C368
)</f>
        <v/>
      </c>
      <c r="BN368" s="73" t="str">
        <f aca="false">IF(ISBLANK($C368),
    "",
    $D368
)</f>
        <v/>
      </c>
      <c r="BO368" s="74" t="str">
        <f aca="false">BC368</f>
        <v/>
      </c>
      <c r="BP368" s="75" t="str">
        <f aca="false">BB368</f>
        <v/>
      </c>
      <c r="BQ368" s="73" t="str">
        <f aca="false">IF(ISBLANK($C368),
    "",
    BE368
)</f>
        <v/>
      </c>
      <c r="BR368" s="76" t="str">
        <f aca="false">IF(BI368&gt;BH$7,
    "",
    VLOOKUP(BI368,BK$8:BQ867,7,FALSE())
)</f>
        <v/>
      </c>
      <c r="BS368" s="77" t="str">
        <f aca="false">IF(BI368&gt;BH$7,
    "",
    VLOOKUP(BI368,BK$8:BQ867,2,FALSE())
)</f>
        <v/>
      </c>
      <c r="BT368" s="77" t="str">
        <f aca="false">IF(BI368&gt;BH$7,
    "",
    VLOOKUP(BI368,BK$8:BQ867,3,FALSE())
)</f>
        <v/>
      </c>
      <c r="BU368" s="77" t="str">
        <f aca="false">IF(BI368&gt;BH$7,
    "",
    VLOOKUP(BI368,BK$8:BQ867,4,FALSE())
)</f>
        <v/>
      </c>
      <c r="BV368" s="77" t="str">
        <f aca="false">IF(BI368&gt;BH$7,
    "",
    VLOOKUP(BI368,BK$8:BQ867,5,FALSE())
)</f>
        <v/>
      </c>
      <c r="BW368" s="78" t="str">
        <f aca="false">IF(BI368&gt;BH$7,
    "",
    VLOOKUP(BI368,BK$8:BQ867,6,FALSE())
)</f>
        <v/>
      </c>
      <c r="BX368" s="50"/>
    </row>
    <row r="369" customFormat="false" ht="15.75" hidden="false" customHeight="false" outlineLevel="0" collapsed="false">
      <c r="A369" s="5"/>
      <c r="B369" s="126"/>
      <c r="C369" s="52"/>
      <c r="D369" s="53"/>
      <c r="E369" s="120"/>
      <c r="F369" s="120"/>
      <c r="G369" s="55"/>
      <c r="H369" s="56"/>
      <c r="I369" s="80"/>
      <c r="J369" s="80"/>
      <c r="K369" s="80"/>
      <c r="L369" s="58"/>
      <c r="M369" s="58"/>
      <c r="N369" s="58"/>
      <c r="O369" s="59"/>
      <c r="P369" s="60"/>
      <c r="Q369" s="80"/>
      <c r="R369" s="62"/>
      <c r="S369" s="63"/>
      <c r="T369" s="63" t="str">
        <f aca="false">IF(ISBLANK($C369),"",IF(G369=Constants!$B$2, TRUE(), IF(G369=Constants!$B$3, FALSE(), TRUE())))</f>
        <v/>
      </c>
      <c r="U369" s="63" t="str">
        <f aca="false">IF(ISBLANK($C369),"",IF(H369=Constants!$B$2, TRUE(), IF(H369=Constants!$B$3, FALSE(), TRUE())))</f>
        <v/>
      </c>
      <c r="V369" s="63" t="str">
        <f aca="false">IF(ISBLANK($C369),"",IF(I369=Constants!$B$2, TRUE(), IF(I369=Constants!$B$3, FALSE(), TRUE())))</f>
        <v/>
      </c>
      <c r="W369" s="63" t="str">
        <f aca="false">IF(ISBLANK($C369),"",IF(J369=Constants!$B$2, TRUE(), IF(J369=Constants!$B$3, FALSE(), TRUE())))</f>
        <v/>
      </c>
      <c r="X369" s="63" t="str">
        <f aca="false">IF(ISBLANK($C369),"",IF(K369=Constants!$B$2, TRUE(), IF(K369=Constants!$B$3, FALSE(), TRUE())))</f>
        <v/>
      </c>
      <c r="Y369" s="65" t="str">
        <f aca="false">IF(ISBLANK($C369),"",IF(ISNUMBER(L369), L369, ""))</f>
        <v/>
      </c>
      <c r="Z369" s="65" t="str">
        <f aca="false">IF(ISBLANK($C369),"",IF(ISNUMBER(M369), M369, ""))</f>
        <v/>
      </c>
      <c r="AA369" s="65" t="str">
        <f aca="false">IF(ISBLANK($C369),"",IF(ISNUMBER(N369), N369, ""))</f>
        <v/>
      </c>
      <c r="AB369" s="66" t="str">
        <f aca="false">IF(ISBLANK($C369),"",IF(ISNUMBER(O369), O369, ""))</f>
        <v/>
      </c>
      <c r="AC369" s="66" t="str">
        <f aca="false">IF(ISBLANK($C369),"",IF(ISNUMBER(P369), P369, Constants!$B$13))</f>
        <v/>
      </c>
      <c r="AD369" s="63" t="str">
        <f aca="false">IF(ISBLANK($C369),"",IF(Q369=Constants!$B$2, TRUE(), IF(Q369=Constants!$B$3, FALSE(), FALSE())))</f>
        <v/>
      </c>
      <c r="AE369" s="63" t="str">
        <f aca="false">IF(ISBLANK(C369), "", IF(AD369, Constants!$B$4,IF(COUNTA(G369:O369)=0, Constants!$B$5, Constants!$B$7)))</f>
        <v/>
      </c>
      <c r="AF369" s="63" t="str">
        <f aca="false">IF(ISBLANK($C369), "",IF($AE369=Constants!$B$7,1,$AE369))</f>
        <v/>
      </c>
      <c r="AG369" s="63" t="str">
        <f aca="false">IF($AE369=Constants!$B$7,IF(V369, 1, Constants!$B$11) * IF(X369, 1, Constants!$B$12),"")</f>
        <v/>
      </c>
      <c r="AH369" s="63" t="str">
        <f aca="false">IF(AND($AE369=Constants!$B$7, T369, U369) ,MAX(0, $AA369-$Y369),"")</f>
        <v/>
      </c>
      <c r="AI369" s="63" t="str">
        <f aca="false">IF(ISERROR(AH369),$AI$6,"")</f>
        <v/>
      </c>
      <c r="AJ369" s="63" t="str">
        <f aca="false">IF($AE369=Constants!$B$7,IF(AND(T369,U369,W369),IF($AH$6=0,Constants!$B$9,Constants!$B$9*AH369/$AH$6), 0),"")</f>
        <v/>
      </c>
      <c r="AK369" s="63" t="str">
        <f aca="false">IF(AJ369&lt;&gt;"", AJ369*AG369,"")</f>
        <v/>
      </c>
      <c r="AL369" s="63" t="str">
        <f aca="false">IF(AND($AE369=Constants!$B$7, T369, U369) ,IF($Z369="", "", MAX(0,1-ABS($AA369-$Z369)/$AA369)),"")</f>
        <v/>
      </c>
      <c r="AM369" s="63" t="str">
        <f aca="false">IF(AND(NOT(ISERROR(AH369)),ISERROR(AL369)),$AM$6,"")</f>
        <v/>
      </c>
      <c r="AN369" s="63" t="str">
        <f aca="false">IF($AE369=Constants!$B$7 ,IF(AND(T369,U369,W369,ISNUMBER(Z369)),IF($AL$6=0,Constants!$B$10,Constants!$B$10*AL369/$AL$6), 0),"")</f>
        <v/>
      </c>
      <c r="AO369" s="63" t="str">
        <f aca="false">IF(AN369&lt;&gt;"", AN369*AG369,"")</f>
        <v/>
      </c>
      <c r="AP369" s="63" t="str">
        <f aca="false">IF($AE369=Constants!$B$7,IF($AP$6=0,Constants!$B$8,Constants!$B$8*AB369/$AP$6),"")</f>
        <v/>
      </c>
      <c r="AQ369" s="63" t="str">
        <f aca="false">IF($AE369&lt;&gt;Constants!$B$7,$AE369,AK369+AO369+AP369)</f>
        <v/>
      </c>
      <c r="AR369" s="63" t="str">
        <f aca="false">IF(ISBLANK($C369),"",IF($AE369=Constants!$B$7,RANK(AQ369,$AQ$8:$AQ$507),$AE369))</f>
        <v/>
      </c>
      <c r="AS369" s="63" t="str">
        <f aca="false">IF(ISBLANK($C369), "",AK369)</f>
        <v/>
      </c>
      <c r="AT369" s="63" t="str">
        <f aca="false">IF(ISBLANK($C369),"",IF($AE369=Constants!$B$7,RANK(AS369,AS$8:AS$507),$AE369))</f>
        <v/>
      </c>
      <c r="AU369" s="63" t="str">
        <f aca="false">IF(ISBLANK($C369), "",AP369)</f>
        <v/>
      </c>
      <c r="AV369" s="63" t="str">
        <f aca="false">IF(ISBLANK($C369),"",IF($AE369=Constants!$B$7,RANK(AU369,AU$8:AU$507),$AE369))</f>
        <v/>
      </c>
      <c r="AW369" s="63" t="str">
        <f aca="false">IF(ISBLANK($C369), "",AC369)</f>
        <v/>
      </c>
      <c r="AX369" s="63" t="str">
        <f aca="false">IF(ISBLANK($C369),"",
IF($AE369=Constants!$B$7,
  COUNTIFS($AR$8:$AR$507,"&lt;"&amp;$AR369)
  + COUNTIFS($AR$8:$AR$507,$AR369,$AT$8:$AT$507,"&lt;"&amp;$AT369)
  + COUNTIFS($AR$8:$AR$507,$AR369,$AT$8:$AT$507,$AT369,$AV$8:$AV$507,"&lt;"&amp;$AV369)
  + COUNTIFS($AR$8:$AR$507,$AR369,$AT$8:$AT$507,$AT369,$AV$8:$AV$507,$AV369,$AW$8:$AW$507,"&lt;"&amp;$AW369)
  + 1,
$AE369))</f>
        <v/>
      </c>
      <c r="AY369" s="63" t="str">
        <f aca="false">IF(ISBLANK(C369),"",IF($AE369=Constants!$B$7, AR369-AX369,$AE369))</f>
        <v/>
      </c>
      <c r="AZ369" s="67"/>
      <c r="BA369" s="81" t="str">
        <f aca="false">IF(ISBLANK($C369),"",TRIM(AI369&amp;" "&amp;AM369))</f>
        <v/>
      </c>
      <c r="BB369" s="69" t="str">
        <f aca="false">IF(ISBLANK($C369),"",IF($AE369&lt;&gt;Constants!$B$7, $AE369 ,AQ369))</f>
        <v/>
      </c>
      <c r="BC369" s="70" t="str">
        <f aca="false">IF(ISBLANK($C369),"",IF($AE369&lt;&gt;Constants!$B$7, $AE369 ,AF369))</f>
        <v/>
      </c>
      <c r="BD369" s="71" t="str">
        <f aca="false">IF(ISBLANK(C369),"",AY369)</f>
        <v/>
      </c>
      <c r="BE369" s="71" t="str">
        <f aca="false">IF(ISBLANK(C369),"",AX369)</f>
        <v/>
      </c>
      <c r="BF369" s="72" t="str">
        <f aca="false">IF(ISBLANK(C369),"",IFERROR(_xlfn.SWITCH(BE369, Constants!$B$4, COUNTA($C$8:$C868)+2, Constants!$B$5, COUNTA($C$8:$C868)+1, Constants!$B$6, COUNTA($C$8:$C868)),BE369))</f>
        <v/>
      </c>
      <c r="BG369" s="5"/>
      <c r="BH369" s="73" t="n">
        <f aca="false">IF(OR(ISNUMBER(BE369),BE369="DQ",BE369="P",BE369="NS"),
    1,
    0
)</f>
        <v>0</v>
      </c>
      <c r="BI369" s="73" t="n">
        <v>362</v>
      </c>
      <c r="BJ369" s="73" t="str">
        <f aca="false">IF(ISBLANK($C369),
    "",
   BF369+ROW($B369)/1000
)</f>
        <v/>
      </c>
      <c r="BK369" s="73" t="str">
        <f aca="false">IF(ISNUMBER(BJ369), RANK(BJ369,BJ$8:BJ$507,1), "")</f>
        <v/>
      </c>
      <c r="BL369" s="73" t="str">
        <f aca="false">IF(ISBLANK($C369),
    "",
    $B369
)</f>
        <v/>
      </c>
      <c r="BM369" s="73" t="str">
        <f aca="false">IF(ISBLANK($C369),
    "",
    $C369
)</f>
        <v/>
      </c>
      <c r="BN369" s="73" t="str">
        <f aca="false">IF(ISBLANK($C369),
    "",
    $D369
)</f>
        <v/>
      </c>
      <c r="BO369" s="74" t="str">
        <f aca="false">BC369</f>
        <v/>
      </c>
      <c r="BP369" s="75" t="str">
        <f aca="false">BB369</f>
        <v/>
      </c>
      <c r="BQ369" s="73" t="str">
        <f aca="false">IF(ISBLANK($C369),
    "",
    BE369
)</f>
        <v/>
      </c>
      <c r="BR369" s="76" t="str">
        <f aca="false">IF(BI369&gt;BH$7,
    "",
    VLOOKUP(BI369,BK$8:BQ868,7,FALSE())
)</f>
        <v/>
      </c>
      <c r="BS369" s="77" t="str">
        <f aca="false">IF(BI369&gt;BH$7,
    "",
    VLOOKUP(BI369,BK$8:BQ868,2,FALSE())
)</f>
        <v/>
      </c>
      <c r="BT369" s="77" t="str">
        <f aca="false">IF(BI369&gt;BH$7,
    "",
    VLOOKUP(BI369,BK$8:BQ868,3,FALSE())
)</f>
        <v/>
      </c>
      <c r="BU369" s="77" t="str">
        <f aca="false">IF(BI369&gt;BH$7,
    "",
    VLOOKUP(BI369,BK$8:BQ868,4,FALSE())
)</f>
        <v/>
      </c>
      <c r="BV369" s="77" t="str">
        <f aca="false">IF(BI369&gt;BH$7,
    "",
    VLOOKUP(BI369,BK$8:BQ868,5,FALSE())
)</f>
        <v/>
      </c>
      <c r="BW369" s="78" t="str">
        <f aca="false">IF(BI369&gt;BH$7,
    "",
    VLOOKUP(BI369,BK$8:BQ868,6,FALSE())
)</f>
        <v/>
      </c>
      <c r="BX369" s="50"/>
    </row>
    <row r="370" customFormat="false" ht="15.75" hidden="false" customHeight="false" outlineLevel="0" collapsed="false">
      <c r="A370" s="5"/>
      <c r="B370" s="126"/>
      <c r="C370" s="52"/>
      <c r="D370" s="53"/>
      <c r="E370" s="120"/>
      <c r="F370" s="120"/>
      <c r="G370" s="55"/>
      <c r="H370" s="56"/>
      <c r="I370" s="80"/>
      <c r="J370" s="80"/>
      <c r="K370" s="80"/>
      <c r="L370" s="58"/>
      <c r="M370" s="58"/>
      <c r="N370" s="58"/>
      <c r="O370" s="59"/>
      <c r="P370" s="60"/>
      <c r="Q370" s="80"/>
      <c r="R370" s="62"/>
      <c r="S370" s="63"/>
      <c r="T370" s="63" t="str">
        <f aca="false">IF(ISBLANK($C370),"",IF(G370=Constants!$B$2, TRUE(), IF(G370=Constants!$B$3, FALSE(), TRUE())))</f>
        <v/>
      </c>
      <c r="U370" s="63" t="str">
        <f aca="false">IF(ISBLANK($C370),"",IF(H370=Constants!$B$2, TRUE(), IF(H370=Constants!$B$3, FALSE(), TRUE())))</f>
        <v/>
      </c>
      <c r="V370" s="63" t="str">
        <f aca="false">IF(ISBLANK($C370),"",IF(I370=Constants!$B$2, TRUE(), IF(I370=Constants!$B$3, FALSE(), TRUE())))</f>
        <v/>
      </c>
      <c r="W370" s="63" t="str">
        <f aca="false">IF(ISBLANK($C370),"",IF(J370=Constants!$B$2, TRUE(), IF(J370=Constants!$B$3, FALSE(), TRUE())))</f>
        <v/>
      </c>
      <c r="X370" s="63" t="str">
        <f aca="false">IF(ISBLANK($C370),"",IF(K370=Constants!$B$2, TRUE(), IF(K370=Constants!$B$3, FALSE(), TRUE())))</f>
        <v/>
      </c>
      <c r="Y370" s="65" t="str">
        <f aca="false">IF(ISBLANK($C370),"",IF(ISNUMBER(L370), L370, ""))</f>
        <v/>
      </c>
      <c r="Z370" s="65" t="str">
        <f aca="false">IF(ISBLANK($C370),"",IF(ISNUMBER(M370), M370, ""))</f>
        <v/>
      </c>
      <c r="AA370" s="65" t="str">
        <f aca="false">IF(ISBLANK($C370),"",IF(ISNUMBER(N370), N370, ""))</f>
        <v/>
      </c>
      <c r="AB370" s="66" t="str">
        <f aca="false">IF(ISBLANK($C370),"",IF(ISNUMBER(O370), O370, ""))</f>
        <v/>
      </c>
      <c r="AC370" s="66" t="str">
        <f aca="false">IF(ISBLANK($C370),"",IF(ISNUMBER(P370), P370, Constants!$B$13))</f>
        <v/>
      </c>
      <c r="AD370" s="63" t="str">
        <f aca="false">IF(ISBLANK($C370),"",IF(Q370=Constants!$B$2, TRUE(), IF(Q370=Constants!$B$3, FALSE(), FALSE())))</f>
        <v/>
      </c>
      <c r="AE370" s="63" t="str">
        <f aca="false">IF(ISBLANK(C370), "", IF(AD370, Constants!$B$4,IF(COUNTA(G370:O370)=0, Constants!$B$5, Constants!$B$7)))</f>
        <v/>
      </c>
      <c r="AF370" s="63" t="str">
        <f aca="false">IF(ISBLANK($C370), "",IF($AE370=Constants!$B$7,1,$AE370))</f>
        <v/>
      </c>
      <c r="AG370" s="63" t="str">
        <f aca="false">IF($AE370=Constants!$B$7,IF(V370, 1, Constants!$B$11) * IF(X370, 1, Constants!$B$12),"")</f>
        <v/>
      </c>
      <c r="AH370" s="63" t="str">
        <f aca="false">IF(AND($AE370=Constants!$B$7, T370, U370) ,MAX(0, $AA370-$Y370),"")</f>
        <v/>
      </c>
      <c r="AI370" s="63" t="str">
        <f aca="false">IF(ISERROR(AH370),$AI$6,"")</f>
        <v/>
      </c>
      <c r="AJ370" s="63" t="str">
        <f aca="false">IF($AE370=Constants!$B$7,IF(AND(T370,U370,W370),IF($AH$6=0,Constants!$B$9,Constants!$B$9*AH370/$AH$6), 0),"")</f>
        <v/>
      </c>
      <c r="AK370" s="63" t="str">
        <f aca="false">IF(AJ370&lt;&gt;"", AJ370*AG370,"")</f>
        <v/>
      </c>
      <c r="AL370" s="63" t="str">
        <f aca="false">IF(AND($AE370=Constants!$B$7, T370, U370) ,IF($Z370="", "", MAX(0,1-ABS($AA370-$Z370)/$AA370)),"")</f>
        <v/>
      </c>
      <c r="AM370" s="63" t="str">
        <f aca="false">IF(AND(NOT(ISERROR(AH370)),ISERROR(AL370)),$AM$6,"")</f>
        <v/>
      </c>
      <c r="AN370" s="63" t="str">
        <f aca="false">IF($AE370=Constants!$B$7 ,IF(AND(T370,U370,W370,ISNUMBER(Z370)),IF($AL$6=0,Constants!$B$10,Constants!$B$10*AL370/$AL$6), 0),"")</f>
        <v/>
      </c>
      <c r="AO370" s="63" t="str">
        <f aca="false">IF(AN370&lt;&gt;"", AN370*AG370,"")</f>
        <v/>
      </c>
      <c r="AP370" s="63" t="str">
        <f aca="false">IF($AE370=Constants!$B$7,IF($AP$6=0,Constants!$B$8,Constants!$B$8*AB370/$AP$6),"")</f>
        <v/>
      </c>
      <c r="AQ370" s="63" t="str">
        <f aca="false">IF($AE370&lt;&gt;Constants!$B$7,$AE370,AK370+AO370+AP370)</f>
        <v/>
      </c>
      <c r="AR370" s="63" t="str">
        <f aca="false">IF(ISBLANK($C370),"",IF($AE370=Constants!$B$7,RANK(AQ370,$AQ$8:$AQ$507),$AE370))</f>
        <v/>
      </c>
      <c r="AS370" s="63" t="str">
        <f aca="false">IF(ISBLANK($C370), "",AK370)</f>
        <v/>
      </c>
      <c r="AT370" s="63" t="str">
        <f aca="false">IF(ISBLANK($C370),"",IF($AE370=Constants!$B$7,RANK(AS370,AS$8:AS$507),$AE370))</f>
        <v/>
      </c>
      <c r="AU370" s="63" t="str">
        <f aca="false">IF(ISBLANK($C370), "",AP370)</f>
        <v/>
      </c>
      <c r="AV370" s="63" t="str">
        <f aca="false">IF(ISBLANK($C370),"",IF($AE370=Constants!$B$7,RANK(AU370,AU$8:AU$507),$AE370))</f>
        <v/>
      </c>
      <c r="AW370" s="63" t="str">
        <f aca="false">IF(ISBLANK($C370), "",AC370)</f>
        <v/>
      </c>
      <c r="AX370" s="63" t="str">
        <f aca="false">IF(ISBLANK($C370),"",
IF($AE370=Constants!$B$7,
  COUNTIFS($AR$8:$AR$507,"&lt;"&amp;$AR370)
  + COUNTIFS($AR$8:$AR$507,$AR370,$AT$8:$AT$507,"&lt;"&amp;$AT370)
  + COUNTIFS($AR$8:$AR$507,$AR370,$AT$8:$AT$507,$AT370,$AV$8:$AV$507,"&lt;"&amp;$AV370)
  + COUNTIFS($AR$8:$AR$507,$AR370,$AT$8:$AT$507,$AT370,$AV$8:$AV$507,$AV370,$AW$8:$AW$507,"&lt;"&amp;$AW370)
  + 1,
$AE370))</f>
        <v/>
      </c>
      <c r="AY370" s="63" t="str">
        <f aca="false">IF(ISBLANK(C370),"",IF($AE370=Constants!$B$7, AR370-AX370,$AE370))</f>
        <v/>
      </c>
      <c r="AZ370" s="67"/>
      <c r="BA370" s="81" t="str">
        <f aca="false">IF(ISBLANK($C370),"",TRIM(AI370&amp;" "&amp;AM370))</f>
        <v/>
      </c>
      <c r="BB370" s="69" t="str">
        <f aca="false">IF(ISBLANK($C370),"",IF($AE370&lt;&gt;Constants!$B$7, $AE370 ,AQ370))</f>
        <v/>
      </c>
      <c r="BC370" s="70" t="str">
        <f aca="false">IF(ISBLANK($C370),"",IF($AE370&lt;&gt;Constants!$B$7, $AE370 ,AF370))</f>
        <v/>
      </c>
      <c r="BD370" s="71" t="str">
        <f aca="false">IF(ISBLANK(C370),"",AY370)</f>
        <v/>
      </c>
      <c r="BE370" s="71" t="str">
        <f aca="false">IF(ISBLANK(C370),"",AX370)</f>
        <v/>
      </c>
      <c r="BF370" s="72" t="str">
        <f aca="false">IF(ISBLANK(C370),"",IFERROR(_xlfn.SWITCH(BE370, Constants!$B$4, COUNTA($C$8:$C869)+2, Constants!$B$5, COUNTA($C$8:$C869)+1, Constants!$B$6, COUNTA($C$8:$C869)),BE370))</f>
        <v/>
      </c>
      <c r="BG370" s="5"/>
      <c r="BH370" s="73" t="n">
        <f aca="false">IF(OR(ISNUMBER(BE370),BE370="DQ",BE370="P",BE370="NS"),
    1,
    0
)</f>
        <v>0</v>
      </c>
      <c r="BI370" s="73" t="n">
        <v>363</v>
      </c>
      <c r="BJ370" s="73" t="str">
        <f aca="false">IF(ISBLANK($C370),
    "",
   BF370+ROW($B370)/1000
)</f>
        <v/>
      </c>
      <c r="BK370" s="73" t="str">
        <f aca="false">IF(ISNUMBER(BJ370), RANK(BJ370,BJ$8:BJ$507,1), "")</f>
        <v/>
      </c>
      <c r="BL370" s="73" t="str">
        <f aca="false">IF(ISBLANK($C370),
    "",
    $B370
)</f>
        <v/>
      </c>
      <c r="BM370" s="73" t="str">
        <f aca="false">IF(ISBLANK($C370),
    "",
    $C370
)</f>
        <v/>
      </c>
      <c r="BN370" s="73" t="str">
        <f aca="false">IF(ISBLANK($C370),
    "",
    $D370
)</f>
        <v/>
      </c>
      <c r="BO370" s="74" t="str">
        <f aca="false">BC370</f>
        <v/>
      </c>
      <c r="BP370" s="75" t="str">
        <f aca="false">BB370</f>
        <v/>
      </c>
      <c r="BQ370" s="73" t="str">
        <f aca="false">IF(ISBLANK($C370),
    "",
    BE370
)</f>
        <v/>
      </c>
      <c r="BR370" s="76" t="str">
        <f aca="false">IF(BI370&gt;BH$7,
    "",
    VLOOKUP(BI370,BK$8:BQ869,7,FALSE())
)</f>
        <v/>
      </c>
      <c r="BS370" s="77" t="str">
        <f aca="false">IF(BI370&gt;BH$7,
    "",
    VLOOKUP(BI370,BK$8:BQ869,2,FALSE())
)</f>
        <v/>
      </c>
      <c r="BT370" s="77" t="str">
        <f aca="false">IF(BI370&gt;BH$7,
    "",
    VLOOKUP(BI370,BK$8:BQ869,3,FALSE())
)</f>
        <v/>
      </c>
      <c r="BU370" s="77" t="str">
        <f aca="false">IF(BI370&gt;BH$7,
    "",
    VLOOKUP(BI370,BK$8:BQ869,4,FALSE())
)</f>
        <v/>
      </c>
      <c r="BV370" s="77" t="str">
        <f aca="false">IF(BI370&gt;BH$7,
    "",
    VLOOKUP(BI370,BK$8:BQ869,5,FALSE())
)</f>
        <v/>
      </c>
      <c r="BW370" s="78" t="str">
        <f aca="false">IF(BI370&gt;BH$7,
    "",
    VLOOKUP(BI370,BK$8:BQ869,6,FALSE())
)</f>
        <v/>
      </c>
      <c r="BX370" s="50"/>
    </row>
    <row r="371" customFormat="false" ht="15.75" hidden="false" customHeight="false" outlineLevel="0" collapsed="false">
      <c r="A371" s="5"/>
      <c r="B371" s="122"/>
      <c r="C371" s="123"/>
      <c r="D371" s="112"/>
      <c r="E371" s="116"/>
      <c r="F371" s="116"/>
      <c r="G371" s="88"/>
      <c r="H371" s="89"/>
      <c r="I371" s="125"/>
      <c r="J371" s="125"/>
      <c r="K371" s="125"/>
      <c r="L371" s="91"/>
      <c r="M371" s="91"/>
      <c r="N371" s="91"/>
      <c r="O371" s="92"/>
      <c r="P371" s="93"/>
      <c r="Q371" s="125"/>
      <c r="R371" s="95"/>
      <c r="S371" s="96"/>
      <c r="T371" s="96" t="str">
        <f aca="false">IF(ISBLANK($C371),"",IF(G371=Constants!$B$2, TRUE(), IF(G371=Constants!$B$3, FALSE(), TRUE())))</f>
        <v/>
      </c>
      <c r="U371" s="96" t="str">
        <f aca="false">IF(ISBLANK($C371),"",IF(H371=Constants!$B$2, TRUE(), IF(H371=Constants!$B$3, FALSE(), TRUE())))</f>
        <v/>
      </c>
      <c r="V371" s="96" t="str">
        <f aca="false">IF(ISBLANK($C371),"",IF(I371=Constants!$B$2, TRUE(), IF(I371=Constants!$B$3, FALSE(), TRUE())))</f>
        <v/>
      </c>
      <c r="W371" s="96" t="str">
        <f aca="false">IF(ISBLANK($C371),"",IF(J371=Constants!$B$2, TRUE(), IF(J371=Constants!$B$3, FALSE(), TRUE())))</f>
        <v/>
      </c>
      <c r="X371" s="97" t="str">
        <f aca="false">IF(ISBLANK($C371),"",IF(K371=Constants!$B$2, TRUE(), IF(K371=Constants!$B$3, FALSE(), TRUE())))</f>
        <v/>
      </c>
      <c r="Y371" s="98" t="str">
        <f aca="false">IF(ISBLANK($C371),"",IF(ISNUMBER(L371), L371, ""))</f>
        <v/>
      </c>
      <c r="Z371" s="98" t="str">
        <f aca="false">IF(ISBLANK($C371),"",IF(ISNUMBER(M371), M371, ""))</f>
        <v/>
      </c>
      <c r="AA371" s="98" t="str">
        <f aca="false">IF(ISBLANK($C371),"",IF(ISNUMBER(N371), N371, ""))</f>
        <v/>
      </c>
      <c r="AB371" s="99" t="str">
        <f aca="false">IF(ISBLANK($C371),"",IF(ISNUMBER(O371), O371, ""))</f>
        <v/>
      </c>
      <c r="AC371" s="99" t="str">
        <f aca="false">IF(ISBLANK($C371),"",IF(ISNUMBER(P371), P371, Constants!$B$13))</f>
        <v/>
      </c>
      <c r="AD371" s="96" t="str">
        <f aca="false">IF(ISBLANK($C371),"",IF(Q371=Constants!$B$2, TRUE(), IF(Q371=Constants!$B$3, FALSE(), FALSE())))</f>
        <v/>
      </c>
      <c r="AE371" s="96" t="str">
        <f aca="false">IF(ISBLANK(C371), "", IF(AD371, Constants!$B$4,IF(COUNTA(G371:O371)=0, Constants!$B$5, Constants!$B$7)))</f>
        <v/>
      </c>
      <c r="AF371" s="96" t="str">
        <f aca="false">IF(ISBLANK($C371), "",IF($AE371=Constants!$B$7,1,$AE371))</f>
        <v/>
      </c>
      <c r="AG371" s="96" t="str">
        <f aca="false">IF($AE371=Constants!$B$7,IF(V371, 1, Constants!$B$11) * IF(X371, 1, Constants!$B$12),"")</f>
        <v/>
      </c>
      <c r="AH371" s="96" t="str">
        <f aca="false">IF(AND($AE371=Constants!$B$7, T371, U371) ,MAX(0, $AA371-$Y371),"")</f>
        <v/>
      </c>
      <c r="AI371" s="96" t="str">
        <f aca="false">IF(ISERROR(AH371),$AI$6,"")</f>
        <v/>
      </c>
      <c r="AJ371" s="96" t="str">
        <f aca="false">IF($AE371=Constants!$B$7,IF(AND(T371,U371,W371),IF($AH$6=0,Constants!$B$9,Constants!$B$9*AH371/$AH$6), 0),"")</f>
        <v/>
      </c>
      <c r="AK371" s="96" t="str">
        <f aca="false">IF(AJ371&lt;&gt;"", AJ371*AG371,"")</f>
        <v/>
      </c>
      <c r="AL371" s="96" t="str">
        <f aca="false">IF(AND($AE371=Constants!$B$7, T371, U371) ,IF($Z371="", "", MAX(0,1-ABS($AA371-$Z371)/$AA371)),"")</f>
        <v/>
      </c>
      <c r="AM371" s="96" t="str">
        <f aca="false">IF(AND(NOT(ISERROR(AH371)),ISERROR(AL371)),$AM$6,"")</f>
        <v/>
      </c>
      <c r="AN371" s="96" t="str">
        <f aca="false">IF($AE371=Constants!$B$7 ,IF(AND(T371,U371,W371,ISNUMBER(Z371)),IF($AL$6=0,Constants!$B$10,Constants!$B$10*AL371/$AL$6), 0),"")</f>
        <v/>
      </c>
      <c r="AO371" s="96" t="str">
        <f aca="false">IF(AN371&lt;&gt;"", AN371*AG371,"")</f>
        <v/>
      </c>
      <c r="AP371" s="96" t="str">
        <f aca="false">IF($AE371=Constants!$B$7,IF($AP$6=0,Constants!$B$8,Constants!$B$8*AB371/$AP$6),"")</f>
        <v/>
      </c>
      <c r="AQ371" s="96" t="str">
        <f aca="false">IF($AE371&lt;&gt;Constants!$B$7,$AE371,AK371+AO371+AP371)</f>
        <v/>
      </c>
      <c r="AR371" s="96" t="str">
        <f aca="false">IF(ISBLANK($C371),"",IF($AE371=Constants!$B$7,RANK(AQ371,$AQ$8:$AQ$507),$AE371))</f>
        <v/>
      </c>
      <c r="AS371" s="96" t="str">
        <f aca="false">IF(ISBLANK($C371), "",AK371)</f>
        <v/>
      </c>
      <c r="AT371" s="96" t="str">
        <f aca="false">IF(ISBLANK($C371),"",IF($AE371=Constants!$B$7,RANK(AS371,AS$8:AS$507),$AE371))</f>
        <v/>
      </c>
      <c r="AU371" s="96" t="str">
        <f aca="false">IF(ISBLANK($C371), "",AP371)</f>
        <v/>
      </c>
      <c r="AV371" s="96" t="str">
        <f aca="false">IF(ISBLANK($C371),"",IF($AE371=Constants!$B$7,RANK(AU371,AU$8:AU$507),$AE371))</f>
        <v/>
      </c>
      <c r="AW371" s="96" t="str">
        <f aca="false">IF(ISBLANK($C371), "",AC371)</f>
        <v/>
      </c>
      <c r="AX371" s="96" t="str">
        <f aca="false">IF(ISBLANK($C371),"",
IF($AE371=Constants!$B$7,
  COUNTIFS($AR$8:$AR$507,"&lt;"&amp;$AR371)
  + COUNTIFS($AR$8:$AR$507,$AR371,$AT$8:$AT$507,"&lt;"&amp;$AT371)
  + COUNTIFS($AR$8:$AR$507,$AR371,$AT$8:$AT$507,$AT371,$AV$8:$AV$507,"&lt;"&amp;$AV371)
  + COUNTIFS($AR$8:$AR$507,$AR371,$AT$8:$AT$507,$AT371,$AV$8:$AV$507,$AV371,$AW$8:$AW$507,"&lt;"&amp;$AW371)
  + 1,
$AE371))</f>
        <v/>
      </c>
      <c r="AY371" s="96" t="str">
        <f aca="false">IF(ISBLANK(C371),"",IF($AE371=Constants!$B$7, AR371-AX371,$AE371))</f>
        <v/>
      </c>
      <c r="AZ371" s="100"/>
      <c r="BA371" s="101" t="str">
        <f aca="false">IF(ISBLANK($C371),"",TRIM(AI371&amp;" "&amp;AM371))</f>
        <v/>
      </c>
      <c r="BB371" s="102" t="str">
        <f aca="false">IF(ISBLANK($C371),"",IF($AE371&lt;&gt;Constants!$B$7, $AE371 ,AQ371))</f>
        <v/>
      </c>
      <c r="BC371" s="103" t="str">
        <f aca="false">IF(ISBLANK($C371),"",IF($AE371&lt;&gt;Constants!$B$7, $AE371 ,AF371))</f>
        <v/>
      </c>
      <c r="BD371" s="104" t="str">
        <f aca="false">IF(ISBLANK(C371),"",AY371)</f>
        <v/>
      </c>
      <c r="BE371" s="104" t="str">
        <f aca="false">IF(ISBLANK(C371),"",AX371)</f>
        <v/>
      </c>
      <c r="BF371" s="105" t="str">
        <f aca="false">IF(ISBLANK(C371),"",IFERROR(_xlfn.SWITCH(BE371, Constants!$B$4, COUNTA($C$8:$C870)+2, Constants!$B$5, COUNTA($C$8:$C870)+1, Constants!$B$6, COUNTA($C$8:$C870)),BE371))</f>
        <v/>
      </c>
      <c r="BG371" s="5"/>
      <c r="BH371" s="106" t="n">
        <f aca="false">IF(OR(ISNUMBER(BE371),BE371="DQ",BE371="P",BE371="NS"),
    1,
    0
)</f>
        <v>0</v>
      </c>
      <c r="BI371" s="106" t="n">
        <v>364</v>
      </c>
      <c r="BJ371" s="106" t="str">
        <f aca="false">IF(ISBLANK($C371),
    "",
   BF371+ROW($B371)/1000
)</f>
        <v/>
      </c>
      <c r="BK371" s="106" t="str">
        <f aca="false">IF(ISNUMBER(BJ371), RANK(BJ371,BJ$8:BJ$507,1), "")</f>
        <v/>
      </c>
      <c r="BL371" s="106" t="str">
        <f aca="false">IF(ISBLANK($C371),
    "",
    $B371
)</f>
        <v/>
      </c>
      <c r="BM371" s="106" t="str">
        <f aca="false">IF(ISBLANK($C371),
    "",
    $C371
)</f>
        <v/>
      </c>
      <c r="BN371" s="106" t="str">
        <f aca="false">IF(ISBLANK($C371),
    "",
    $D371
)</f>
        <v/>
      </c>
      <c r="BO371" s="107" t="str">
        <f aca="false">BC371</f>
        <v/>
      </c>
      <c r="BP371" s="108" t="str">
        <f aca="false">BB371</f>
        <v/>
      </c>
      <c r="BQ371" s="106" t="str">
        <f aca="false">IF(ISBLANK($C371),
    "",
    BE371
)</f>
        <v/>
      </c>
      <c r="BR371" s="109" t="str">
        <f aca="false">IF(BI371&gt;BH$7,
    "",
    VLOOKUP(BI371,BK$8:BQ870,7,FALSE())
)</f>
        <v/>
      </c>
      <c r="BS371" s="110" t="str">
        <f aca="false">IF(BI371&gt;BH$7,
    "",
    VLOOKUP(BI371,BK$8:BQ870,2,FALSE())
)</f>
        <v/>
      </c>
      <c r="BT371" s="110" t="str">
        <f aca="false">IF(BI371&gt;BH$7,
    "",
    VLOOKUP(BI371,BK$8:BQ870,3,FALSE())
)</f>
        <v/>
      </c>
      <c r="BU371" s="110" t="str">
        <f aca="false">IF(BI371&gt;BH$7,
    "",
    VLOOKUP(BI371,BK$8:BQ870,4,FALSE())
)</f>
        <v/>
      </c>
      <c r="BV371" s="110" t="str">
        <f aca="false">IF(BI371&gt;BH$7,
    "",
    VLOOKUP(BI371,BK$8:BQ870,5,FALSE())
)</f>
        <v/>
      </c>
      <c r="BW371" s="111" t="str">
        <f aca="false">IF(BI371&gt;BH$7,
    "",
    VLOOKUP(BI371,BK$8:BQ870,6,FALSE())
)</f>
        <v/>
      </c>
      <c r="BX371" s="50"/>
    </row>
    <row r="372" customFormat="false" ht="15.75" hidden="false" customHeight="false" outlineLevel="0" collapsed="false">
      <c r="A372" s="5"/>
      <c r="B372" s="122"/>
      <c r="C372" s="123"/>
      <c r="D372" s="112"/>
      <c r="E372" s="116"/>
      <c r="F372" s="116"/>
      <c r="G372" s="88"/>
      <c r="H372" s="89"/>
      <c r="I372" s="125"/>
      <c r="J372" s="125"/>
      <c r="K372" s="125"/>
      <c r="L372" s="91"/>
      <c r="M372" s="91"/>
      <c r="N372" s="91"/>
      <c r="O372" s="92"/>
      <c r="P372" s="93"/>
      <c r="Q372" s="125"/>
      <c r="R372" s="95"/>
      <c r="S372" s="96"/>
      <c r="T372" s="96" t="str">
        <f aca="false">IF(ISBLANK($C372),"",IF(G372=Constants!$B$2, TRUE(), IF(G372=Constants!$B$3, FALSE(), TRUE())))</f>
        <v/>
      </c>
      <c r="U372" s="96" t="str">
        <f aca="false">IF(ISBLANK($C372),"",IF(H372=Constants!$B$2, TRUE(), IF(H372=Constants!$B$3, FALSE(), TRUE())))</f>
        <v/>
      </c>
      <c r="V372" s="96" t="str">
        <f aca="false">IF(ISBLANK($C372),"",IF(I372=Constants!$B$2, TRUE(), IF(I372=Constants!$B$3, FALSE(), TRUE())))</f>
        <v/>
      </c>
      <c r="W372" s="96" t="str">
        <f aca="false">IF(ISBLANK($C372),"",IF(J372=Constants!$B$2, TRUE(), IF(J372=Constants!$B$3, FALSE(), TRUE())))</f>
        <v/>
      </c>
      <c r="X372" s="97" t="str">
        <f aca="false">IF(ISBLANK($C372),"",IF(K372=Constants!$B$2, TRUE(), IF(K372=Constants!$B$3, FALSE(), TRUE())))</f>
        <v/>
      </c>
      <c r="Y372" s="98" t="str">
        <f aca="false">IF(ISBLANK($C372),"",IF(ISNUMBER(L372), L372, ""))</f>
        <v/>
      </c>
      <c r="Z372" s="98" t="str">
        <f aca="false">IF(ISBLANK($C372),"",IF(ISNUMBER(M372), M372, ""))</f>
        <v/>
      </c>
      <c r="AA372" s="98" t="str">
        <f aca="false">IF(ISBLANK($C372),"",IF(ISNUMBER(N372), N372, ""))</f>
        <v/>
      </c>
      <c r="AB372" s="99" t="str">
        <f aca="false">IF(ISBLANK($C372),"",IF(ISNUMBER(O372), O372, ""))</f>
        <v/>
      </c>
      <c r="AC372" s="99" t="str">
        <f aca="false">IF(ISBLANK($C372),"",IF(ISNUMBER(P372), P372, Constants!$B$13))</f>
        <v/>
      </c>
      <c r="AD372" s="96" t="str">
        <f aca="false">IF(ISBLANK($C372),"",IF(Q372=Constants!$B$2, TRUE(), IF(Q372=Constants!$B$3, FALSE(), FALSE())))</f>
        <v/>
      </c>
      <c r="AE372" s="96" t="str">
        <f aca="false">IF(ISBLANK(C372), "", IF(AD372, Constants!$B$4,IF(COUNTA(G372:O372)=0, Constants!$B$5, Constants!$B$7)))</f>
        <v/>
      </c>
      <c r="AF372" s="96" t="str">
        <f aca="false">IF(ISBLANK($C372), "",IF($AE372=Constants!$B$7,1,$AE372))</f>
        <v/>
      </c>
      <c r="AG372" s="96" t="str">
        <f aca="false">IF($AE372=Constants!$B$7,IF(V372, 1, Constants!$B$11) * IF(X372, 1, Constants!$B$12),"")</f>
        <v/>
      </c>
      <c r="AH372" s="96" t="str">
        <f aca="false">IF(AND($AE372=Constants!$B$7, T372, U372) ,MAX(0, $AA372-$Y372),"")</f>
        <v/>
      </c>
      <c r="AI372" s="96" t="str">
        <f aca="false">IF(ISERROR(AH372),$AI$6,"")</f>
        <v/>
      </c>
      <c r="AJ372" s="96" t="str">
        <f aca="false">IF($AE372=Constants!$B$7,IF(AND(T372,U372,W372),IF($AH$6=0,Constants!$B$9,Constants!$B$9*AH372/$AH$6), 0),"")</f>
        <v/>
      </c>
      <c r="AK372" s="96" t="str">
        <f aca="false">IF(AJ372&lt;&gt;"", AJ372*AG372,"")</f>
        <v/>
      </c>
      <c r="AL372" s="96" t="str">
        <f aca="false">IF(AND($AE372=Constants!$B$7, T372, U372) ,IF($Z372="", "", MAX(0,1-ABS($AA372-$Z372)/$AA372)),"")</f>
        <v/>
      </c>
      <c r="AM372" s="96" t="str">
        <f aca="false">IF(AND(NOT(ISERROR(AH372)),ISERROR(AL372)),$AM$6,"")</f>
        <v/>
      </c>
      <c r="AN372" s="96" t="str">
        <f aca="false">IF($AE372=Constants!$B$7 ,IF(AND(T372,U372,W372,ISNUMBER(Z372)),IF($AL$6=0,Constants!$B$10,Constants!$B$10*AL372/$AL$6), 0),"")</f>
        <v/>
      </c>
      <c r="AO372" s="96" t="str">
        <f aca="false">IF(AN372&lt;&gt;"", AN372*AG372,"")</f>
        <v/>
      </c>
      <c r="AP372" s="96" t="str">
        <f aca="false">IF($AE372=Constants!$B$7,IF($AP$6=0,Constants!$B$8,Constants!$B$8*AB372/$AP$6),"")</f>
        <v/>
      </c>
      <c r="AQ372" s="96" t="str">
        <f aca="false">IF($AE372&lt;&gt;Constants!$B$7,$AE372,AK372+AO372+AP372)</f>
        <v/>
      </c>
      <c r="AR372" s="96" t="str">
        <f aca="false">IF(ISBLANK($C372),"",IF($AE372=Constants!$B$7,RANK(AQ372,$AQ$8:$AQ$507),$AE372))</f>
        <v/>
      </c>
      <c r="AS372" s="96" t="str">
        <f aca="false">IF(ISBLANK($C372), "",AK372)</f>
        <v/>
      </c>
      <c r="AT372" s="96" t="str">
        <f aca="false">IF(ISBLANK($C372),"",IF($AE372=Constants!$B$7,RANK(AS372,AS$8:AS$507),$AE372))</f>
        <v/>
      </c>
      <c r="AU372" s="96" t="str">
        <f aca="false">IF(ISBLANK($C372), "",AP372)</f>
        <v/>
      </c>
      <c r="AV372" s="96" t="str">
        <f aca="false">IF(ISBLANK($C372),"",IF($AE372=Constants!$B$7,RANK(AU372,AU$8:AU$507),$AE372))</f>
        <v/>
      </c>
      <c r="AW372" s="96" t="str">
        <f aca="false">IF(ISBLANK($C372), "",AC372)</f>
        <v/>
      </c>
      <c r="AX372" s="96" t="str">
        <f aca="false">IF(ISBLANK($C372),"",
IF($AE372=Constants!$B$7,
  COUNTIFS($AR$8:$AR$507,"&lt;"&amp;$AR372)
  + COUNTIFS($AR$8:$AR$507,$AR372,$AT$8:$AT$507,"&lt;"&amp;$AT372)
  + COUNTIFS($AR$8:$AR$507,$AR372,$AT$8:$AT$507,$AT372,$AV$8:$AV$507,"&lt;"&amp;$AV372)
  + COUNTIFS($AR$8:$AR$507,$AR372,$AT$8:$AT$507,$AT372,$AV$8:$AV$507,$AV372,$AW$8:$AW$507,"&lt;"&amp;$AW372)
  + 1,
$AE372))</f>
        <v/>
      </c>
      <c r="AY372" s="96" t="str">
        <f aca="false">IF(ISBLANK(C372),"",IF($AE372=Constants!$B$7, AR372-AX372,$AE372))</f>
        <v/>
      </c>
      <c r="AZ372" s="100"/>
      <c r="BA372" s="101" t="str">
        <f aca="false">IF(ISBLANK($C372),"",TRIM(AI372&amp;" "&amp;AM372))</f>
        <v/>
      </c>
      <c r="BB372" s="102" t="str">
        <f aca="false">IF(ISBLANK($C372),"",IF($AE372&lt;&gt;Constants!$B$7, $AE372 ,AQ372))</f>
        <v/>
      </c>
      <c r="BC372" s="103" t="str">
        <f aca="false">IF(ISBLANK($C372),"",IF($AE372&lt;&gt;Constants!$B$7, $AE372 ,AF372))</f>
        <v/>
      </c>
      <c r="BD372" s="104" t="str">
        <f aca="false">IF(ISBLANK(C372),"",AY372)</f>
        <v/>
      </c>
      <c r="BE372" s="104" t="str">
        <f aca="false">IF(ISBLANK(C372),"",AX372)</f>
        <v/>
      </c>
      <c r="BF372" s="105" t="str">
        <f aca="false">IF(ISBLANK(C372),"",IFERROR(_xlfn.SWITCH(BE372, Constants!$B$4, COUNTA($C$8:$C871)+2, Constants!$B$5, COUNTA($C$8:$C871)+1, Constants!$B$6, COUNTA($C$8:$C871)),BE372))</f>
        <v/>
      </c>
      <c r="BG372" s="5"/>
      <c r="BH372" s="106" t="n">
        <f aca="false">IF(OR(ISNUMBER(BE372),BE372="DQ",BE372="P",BE372="NS"),
    1,
    0
)</f>
        <v>0</v>
      </c>
      <c r="BI372" s="106" t="n">
        <v>365</v>
      </c>
      <c r="BJ372" s="106" t="str">
        <f aca="false">IF(ISBLANK($C372),
    "",
   BF372+ROW($B372)/1000
)</f>
        <v/>
      </c>
      <c r="BK372" s="106" t="str">
        <f aca="false">IF(ISNUMBER(BJ372), RANK(BJ372,BJ$8:BJ$507,1), "")</f>
        <v/>
      </c>
      <c r="BL372" s="106" t="str">
        <f aca="false">IF(ISBLANK($C372),
    "",
    $B372
)</f>
        <v/>
      </c>
      <c r="BM372" s="106" t="str">
        <f aca="false">IF(ISBLANK($C372),
    "",
    $C372
)</f>
        <v/>
      </c>
      <c r="BN372" s="106" t="str">
        <f aca="false">IF(ISBLANK($C372),
    "",
    $D372
)</f>
        <v/>
      </c>
      <c r="BO372" s="107" t="str">
        <f aca="false">BC372</f>
        <v/>
      </c>
      <c r="BP372" s="108" t="str">
        <f aca="false">BB372</f>
        <v/>
      </c>
      <c r="BQ372" s="106" t="str">
        <f aca="false">IF(ISBLANK($C372),
    "",
    BE372
)</f>
        <v/>
      </c>
      <c r="BR372" s="109" t="str">
        <f aca="false">IF(BI372&gt;BH$7,
    "",
    VLOOKUP(BI372,BK$8:BQ871,7,FALSE())
)</f>
        <v/>
      </c>
      <c r="BS372" s="110" t="str">
        <f aca="false">IF(BI372&gt;BH$7,
    "",
    VLOOKUP(BI372,BK$8:BQ871,2,FALSE())
)</f>
        <v/>
      </c>
      <c r="BT372" s="110" t="str">
        <f aca="false">IF(BI372&gt;BH$7,
    "",
    VLOOKUP(BI372,BK$8:BQ871,3,FALSE())
)</f>
        <v/>
      </c>
      <c r="BU372" s="110" t="str">
        <f aca="false">IF(BI372&gt;BH$7,
    "",
    VLOOKUP(BI372,BK$8:BQ871,4,FALSE())
)</f>
        <v/>
      </c>
      <c r="BV372" s="110" t="str">
        <f aca="false">IF(BI372&gt;BH$7,
    "",
    VLOOKUP(BI372,BK$8:BQ871,5,FALSE())
)</f>
        <v/>
      </c>
      <c r="BW372" s="111" t="str">
        <f aca="false">IF(BI372&gt;BH$7,
    "",
    VLOOKUP(BI372,BK$8:BQ871,6,FALSE())
)</f>
        <v/>
      </c>
      <c r="BX372" s="50"/>
    </row>
    <row r="373" customFormat="false" ht="15.75" hidden="false" customHeight="false" outlineLevel="0" collapsed="false">
      <c r="A373" s="5"/>
      <c r="B373" s="122"/>
      <c r="C373" s="123"/>
      <c r="D373" s="112"/>
      <c r="E373" s="116"/>
      <c r="F373" s="116"/>
      <c r="G373" s="88"/>
      <c r="H373" s="89"/>
      <c r="I373" s="125"/>
      <c r="J373" s="125"/>
      <c r="K373" s="125"/>
      <c r="L373" s="91"/>
      <c r="M373" s="91"/>
      <c r="N373" s="91"/>
      <c r="O373" s="92"/>
      <c r="P373" s="93"/>
      <c r="Q373" s="125"/>
      <c r="R373" s="95"/>
      <c r="S373" s="96"/>
      <c r="T373" s="96" t="str">
        <f aca="false">IF(ISBLANK($C373),"",IF(G373=Constants!$B$2, TRUE(), IF(G373=Constants!$B$3, FALSE(), TRUE())))</f>
        <v/>
      </c>
      <c r="U373" s="96" t="str">
        <f aca="false">IF(ISBLANK($C373),"",IF(H373=Constants!$B$2, TRUE(), IF(H373=Constants!$B$3, FALSE(), TRUE())))</f>
        <v/>
      </c>
      <c r="V373" s="96" t="str">
        <f aca="false">IF(ISBLANK($C373),"",IF(I373=Constants!$B$2, TRUE(), IF(I373=Constants!$B$3, FALSE(), TRUE())))</f>
        <v/>
      </c>
      <c r="W373" s="96" t="str">
        <f aca="false">IF(ISBLANK($C373),"",IF(J373=Constants!$B$2, TRUE(), IF(J373=Constants!$B$3, FALSE(), TRUE())))</f>
        <v/>
      </c>
      <c r="X373" s="97" t="str">
        <f aca="false">IF(ISBLANK($C373),"",IF(K373=Constants!$B$2, TRUE(), IF(K373=Constants!$B$3, FALSE(), TRUE())))</f>
        <v/>
      </c>
      <c r="Y373" s="98" t="str">
        <f aca="false">IF(ISBLANK($C373),"",IF(ISNUMBER(L373), L373, ""))</f>
        <v/>
      </c>
      <c r="Z373" s="98" t="str">
        <f aca="false">IF(ISBLANK($C373),"",IF(ISNUMBER(M373), M373, ""))</f>
        <v/>
      </c>
      <c r="AA373" s="98" t="str">
        <f aca="false">IF(ISBLANK($C373),"",IF(ISNUMBER(N373), N373, ""))</f>
        <v/>
      </c>
      <c r="AB373" s="99" t="str">
        <f aca="false">IF(ISBLANK($C373),"",IF(ISNUMBER(O373), O373, ""))</f>
        <v/>
      </c>
      <c r="AC373" s="99" t="str">
        <f aca="false">IF(ISBLANK($C373),"",IF(ISNUMBER(P373), P373, Constants!$B$13))</f>
        <v/>
      </c>
      <c r="AD373" s="96" t="str">
        <f aca="false">IF(ISBLANK($C373),"",IF(Q373=Constants!$B$2, TRUE(), IF(Q373=Constants!$B$3, FALSE(), FALSE())))</f>
        <v/>
      </c>
      <c r="AE373" s="96" t="str">
        <f aca="false">IF(ISBLANK(C373), "", IF(AD373, Constants!$B$4,IF(COUNTA(G373:O373)=0, Constants!$B$5, Constants!$B$7)))</f>
        <v/>
      </c>
      <c r="AF373" s="96" t="str">
        <f aca="false">IF(ISBLANK($C373), "",IF($AE373=Constants!$B$7,1,$AE373))</f>
        <v/>
      </c>
      <c r="AG373" s="96" t="str">
        <f aca="false">IF($AE373=Constants!$B$7,IF(V373, 1, Constants!$B$11) * IF(X373, 1, Constants!$B$12),"")</f>
        <v/>
      </c>
      <c r="AH373" s="96" t="str">
        <f aca="false">IF(AND($AE373=Constants!$B$7, T373, U373) ,MAX(0, $AA373-$Y373),"")</f>
        <v/>
      </c>
      <c r="AI373" s="96" t="str">
        <f aca="false">IF(ISERROR(AH373),$AI$6,"")</f>
        <v/>
      </c>
      <c r="AJ373" s="96" t="str">
        <f aca="false">IF($AE373=Constants!$B$7,IF(AND(T373,U373,W373),IF($AH$6=0,Constants!$B$9,Constants!$B$9*AH373/$AH$6), 0),"")</f>
        <v/>
      </c>
      <c r="AK373" s="96" t="str">
        <f aca="false">IF(AJ373&lt;&gt;"", AJ373*AG373,"")</f>
        <v/>
      </c>
      <c r="AL373" s="96" t="str">
        <f aca="false">IF(AND($AE373=Constants!$B$7, T373, U373) ,IF($Z373="", "", MAX(0,1-ABS($AA373-$Z373)/$AA373)),"")</f>
        <v/>
      </c>
      <c r="AM373" s="96" t="str">
        <f aca="false">IF(AND(NOT(ISERROR(AH373)),ISERROR(AL373)),$AM$6,"")</f>
        <v/>
      </c>
      <c r="AN373" s="96" t="str">
        <f aca="false">IF($AE373=Constants!$B$7 ,IF(AND(T373,U373,W373,ISNUMBER(Z373)),IF($AL$6=0,Constants!$B$10,Constants!$B$10*AL373/$AL$6), 0),"")</f>
        <v/>
      </c>
      <c r="AO373" s="96" t="str">
        <f aca="false">IF(AN373&lt;&gt;"", AN373*AG373,"")</f>
        <v/>
      </c>
      <c r="AP373" s="96" t="str">
        <f aca="false">IF($AE373=Constants!$B$7,IF($AP$6=0,Constants!$B$8,Constants!$B$8*AB373/$AP$6),"")</f>
        <v/>
      </c>
      <c r="AQ373" s="96" t="str">
        <f aca="false">IF($AE373&lt;&gt;Constants!$B$7,$AE373,AK373+AO373+AP373)</f>
        <v/>
      </c>
      <c r="AR373" s="96" t="str">
        <f aca="false">IF(ISBLANK($C373),"",IF($AE373=Constants!$B$7,RANK(AQ373,$AQ$8:$AQ$507),$AE373))</f>
        <v/>
      </c>
      <c r="AS373" s="96" t="str">
        <f aca="false">IF(ISBLANK($C373), "",AK373)</f>
        <v/>
      </c>
      <c r="AT373" s="96" t="str">
        <f aca="false">IF(ISBLANK($C373),"",IF($AE373=Constants!$B$7,RANK(AS373,AS$8:AS$507),$AE373))</f>
        <v/>
      </c>
      <c r="AU373" s="96" t="str">
        <f aca="false">IF(ISBLANK($C373), "",AP373)</f>
        <v/>
      </c>
      <c r="AV373" s="96" t="str">
        <f aca="false">IF(ISBLANK($C373),"",IF($AE373=Constants!$B$7,RANK(AU373,AU$8:AU$507),$AE373))</f>
        <v/>
      </c>
      <c r="AW373" s="96" t="str">
        <f aca="false">IF(ISBLANK($C373), "",AC373)</f>
        <v/>
      </c>
      <c r="AX373" s="96" t="str">
        <f aca="false">IF(ISBLANK($C373),"",
IF($AE373=Constants!$B$7,
  COUNTIFS($AR$8:$AR$507,"&lt;"&amp;$AR373)
  + COUNTIFS($AR$8:$AR$507,$AR373,$AT$8:$AT$507,"&lt;"&amp;$AT373)
  + COUNTIFS($AR$8:$AR$507,$AR373,$AT$8:$AT$507,$AT373,$AV$8:$AV$507,"&lt;"&amp;$AV373)
  + COUNTIFS($AR$8:$AR$507,$AR373,$AT$8:$AT$507,$AT373,$AV$8:$AV$507,$AV373,$AW$8:$AW$507,"&lt;"&amp;$AW373)
  + 1,
$AE373))</f>
        <v/>
      </c>
      <c r="AY373" s="96" t="str">
        <f aca="false">IF(ISBLANK(C373),"",IF($AE373=Constants!$B$7, AR373-AX373,$AE373))</f>
        <v/>
      </c>
      <c r="AZ373" s="100"/>
      <c r="BA373" s="101" t="str">
        <f aca="false">IF(ISBLANK($C373),"",TRIM(AI373&amp;" "&amp;AM373))</f>
        <v/>
      </c>
      <c r="BB373" s="102" t="str">
        <f aca="false">IF(ISBLANK($C373),"",IF($AE373&lt;&gt;Constants!$B$7, $AE373 ,AQ373))</f>
        <v/>
      </c>
      <c r="BC373" s="103" t="str">
        <f aca="false">IF(ISBLANK($C373),"",IF($AE373&lt;&gt;Constants!$B$7, $AE373 ,AF373))</f>
        <v/>
      </c>
      <c r="BD373" s="104" t="str">
        <f aca="false">IF(ISBLANK(C373),"",AY373)</f>
        <v/>
      </c>
      <c r="BE373" s="104" t="str">
        <f aca="false">IF(ISBLANK(C373),"",AX373)</f>
        <v/>
      </c>
      <c r="BF373" s="105" t="str">
        <f aca="false">IF(ISBLANK(C373),"",IFERROR(_xlfn.SWITCH(BE373, Constants!$B$4, COUNTA($C$8:$C872)+2, Constants!$B$5, COUNTA($C$8:$C872)+1, Constants!$B$6, COUNTA($C$8:$C872)),BE373))</f>
        <v/>
      </c>
      <c r="BG373" s="5"/>
      <c r="BH373" s="106" t="n">
        <f aca="false">IF(OR(ISNUMBER(BE373),BE373="DQ",BE373="P",BE373="NS"),
    1,
    0
)</f>
        <v>0</v>
      </c>
      <c r="BI373" s="106" t="n">
        <v>366</v>
      </c>
      <c r="BJ373" s="106" t="str">
        <f aca="false">IF(ISBLANK($C373),
    "",
   BF373+ROW($B373)/1000
)</f>
        <v/>
      </c>
      <c r="BK373" s="106" t="str">
        <f aca="false">IF(ISNUMBER(BJ373), RANK(BJ373,BJ$8:BJ$507,1), "")</f>
        <v/>
      </c>
      <c r="BL373" s="106" t="str">
        <f aca="false">IF(ISBLANK($C373),
    "",
    $B373
)</f>
        <v/>
      </c>
      <c r="BM373" s="106" t="str">
        <f aca="false">IF(ISBLANK($C373),
    "",
    $C373
)</f>
        <v/>
      </c>
      <c r="BN373" s="106" t="str">
        <f aca="false">IF(ISBLANK($C373),
    "",
    $D373
)</f>
        <v/>
      </c>
      <c r="BO373" s="107" t="str">
        <f aca="false">BC373</f>
        <v/>
      </c>
      <c r="BP373" s="108" t="str">
        <f aca="false">BB373</f>
        <v/>
      </c>
      <c r="BQ373" s="106" t="str">
        <f aca="false">IF(ISBLANK($C373),
    "",
    BE373
)</f>
        <v/>
      </c>
      <c r="BR373" s="109" t="str">
        <f aca="false">IF(BI373&gt;BH$7,
    "",
    VLOOKUP(BI373,BK$8:BQ872,7,FALSE())
)</f>
        <v/>
      </c>
      <c r="BS373" s="110" t="str">
        <f aca="false">IF(BI373&gt;BH$7,
    "",
    VLOOKUP(BI373,BK$8:BQ872,2,FALSE())
)</f>
        <v/>
      </c>
      <c r="BT373" s="110" t="str">
        <f aca="false">IF(BI373&gt;BH$7,
    "",
    VLOOKUP(BI373,BK$8:BQ872,3,FALSE())
)</f>
        <v/>
      </c>
      <c r="BU373" s="110" t="str">
        <f aca="false">IF(BI373&gt;BH$7,
    "",
    VLOOKUP(BI373,BK$8:BQ872,4,FALSE())
)</f>
        <v/>
      </c>
      <c r="BV373" s="110" t="str">
        <f aca="false">IF(BI373&gt;BH$7,
    "",
    VLOOKUP(BI373,BK$8:BQ872,5,FALSE())
)</f>
        <v/>
      </c>
      <c r="BW373" s="111" t="str">
        <f aca="false">IF(BI373&gt;BH$7,
    "",
    VLOOKUP(BI373,BK$8:BQ872,6,FALSE())
)</f>
        <v/>
      </c>
      <c r="BX373" s="50"/>
    </row>
    <row r="374" customFormat="false" ht="15.75" hidden="false" customHeight="false" outlineLevel="0" collapsed="false">
      <c r="A374" s="5"/>
      <c r="B374" s="126"/>
      <c r="C374" s="52"/>
      <c r="D374" s="53"/>
      <c r="E374" s="120"/>
      <c r="F374" s="120"/>
      <c r="G374" s="55"/>
      <c r="H374" s="56"/>
      <c r="I374" s="80"/>
      <c r="J374" s="80"/>
      <c r="K374" s="80"/>
      <c r="L374" s="58"/>
      <c r="M374" s="58"/>
      <c r="N374" s="58"/>
      <c r="O374" s="59"/>
      <c r="P374" s="60"/>
      <c r="Q374" s="80"/>
      <c r="R374" s="62"/>
      <c r="S374" s="63"/>
      <c r="T374" s="63" t="str">
        <f aca="false">IF(ISBLANK($C374),"",IF(G374=Constants!$B$2, TRUE(), IF(G374=Constants!$B$3, FALSE(), TRUE())))</f>
        <v/>
      </c>
      <c r="U374" s="63" t="str">
        <f aca="false">IF(ISBLANK($C374),"",IF(H374=Constants!$B$2, TRUE(), IF(H374=Constants!$B$3, FALSE(), TRUE())))</f>
        <v/>
      </c>
      <c r="V374" s="63" t="str">
        <f aca="false">IF(ISBLANK($C374),"",IF(I374=Constants!$B$2, TRUE(), IF(I374=Constants!$B$3, FALSE(), TRUE())))</f>
        <v/>
      </c>
      <c r="W374" s="63" t="str">
        <f aca="false">IF(ISBLANK($C374),"",IF(J374=Constants!$B$2, TRUE(), IF(J374=Constants!$B$3, FALSE(), TRUE())))</f>
        <v/>
      </c>
      <c r="X374" s="63" t="str">
        <f aca="false">IF(ISBLANK($C374),"",IF(K374=Constants!$B$2, TRUE(), IF(K374=Constants!$B$3, FALSE(), TRUE())))</f>
        <v/>
      </c>
      <c r="Y374" s="65" t="str">
        <f aca="false">IF(ISBLANK($C374),"",IF(ISNUMBER(L374), L374, ""))</f>
        <v/>
      </c>
      <c r="Z374" s="65" t="str">
        <f aca="false">IF(ISBLANK($C374),"",IF(ISNUMBER(M374), M374, ""))</f>
        <v/>
      </c>
      <c r="AA374" s="65" t="str">
        <f aca="false">IF(ISBLANK($C374),"",IF(ISNUMBER(N374), N374, ""))</f>
        <v/>
      </c>
      <c r="AB374" s="66" t="str">
        <f aca="false">IF(ISBLANK($C374),"",IF(ISNUMBER(O374), O374, ""))</f>
        <v/>
      </c>
      <c r="AC374" s="66" t="str">
        <f aca="false">IF(ISBLANK($C374),"",IF(ISNUMBER(P374), P374, Constants!$B$13))</f>
        <v/>
      </c>
      <c r="AD374" s="63" t="str">
        <f aca="false">IF(ISBLANK($C374),"",IF(Q374=Constants!$B$2, TRUE(), IF(Q374=Constants!$B$3, FALSE(), FALSE())))</f>
        <v/>
      </c>
      <c r="AE374" s="63" t="str">
        <f aca="false">IF(ISBLANK(C374), "", IF(AD374, Constants!$B$4,IF(COUNTA(G374:O374)=0, Constants!$B$5, Constants!$B$7)))</f>
        <v/>
      </c>
      <c r="AF374" s="63" t="str">
        <f aca="false">IF(ISBLANK($C374), "",IF($AE374=Constants!$B$7,1,$AE374))</f>
        <v/>
      </c>
      <c r="AG374" s="63" t="str">
        <f aca="false">IF($AE374=Constants!$B$7,IF(V374, 1, Constants!$B$11) * IF(X374, 1, Constants!$B$12),"")</f>
        <v/>
      </c>
      <c r="AH374" s="63" t="str">
        <f aca="false">IF(AND($AE374=Constants!$B$7, T374, U374) ,MAX(0, $AA374-$Y374),"")</f>
        <v/>
      </c>
      <c r="AI374" s="63" t="str">
        <f aca="false">IF(ISERROR(AH374),$AI$6,"")</f>
        <v/>
      </c>
      <c r="AJ374" s="63" t="str">
        <f aca="false">IF($AE374=Constants!$B$7,IF(AND(T374,U374,W374),IF($AH$6=0,Constants!$B$9,Constants!$B$9*AH374/$AH$6), 0),"")</f>
        <v/>
      </c>
      <c r="AK374" s="63" t="str">
        <f aca="false">IF(AJ374&lt;&gt;"", AJ374*AG374,"")</f>
        <v/>
      </c>
      <c r="AL374" s="63" t="str">
        <f aca="false">IF(AND($AE374=Constants!$B$7, T374, U374) ,IF($Z374="", "", MAX(0,1-ABS($AA374-$Z374)/$AA374)),"")</f>
        <v/>
      </c>
      <c r="AM374" s="63" t="str">
        <f aca="false">IF(AND(NOT(ISERROR(AH374)),ISERROR(AL374)),$AM$6,"")</f>
        <v/>
      </c>
      <c r="AN374" s="63" t="str">
        <f aca="false">IF($AE374=Constants!$B$7 ,IF(AND(T374,U374,W374,ISNUMBER(Z374)),IF($AL$6=0,Constants!$B$10,Constants!$B$10*AL374/$AL$6), 0),"")</f>
        <v/>
      </c>
      <c r="AO374" s="63" t="str">
        <f aca="false">IF(AN374&lt;&gt;"", AN374*AG374,"")</f>
        <v/>
      </c>
      <c r="AP374" s="63" t="str">
        <f aca="false">IF($AE374=Constants!$B$7,IF($AP$6=0,Constants!$B$8,Constants!$B$8*AB374/$AP$6),"")</f>
        <v/>
      </c>
      <c r="AQ374" s="63" t="str">
        <f aca="false">IF($AE374&lt;&gt;Constants!$B$7,$AE374,AK374+AO374+AP374)</f>
        <v/>
      </c>
      <c r="AR374" s="63" t="str">
        <f aca="false">IF(ISBLANK($C374),"",IF($AE374=Constants!$B$7,RANK(AQ374,$AQ$8:$AQ$507),$AE374))</f>
        <v/>
      </c>
      <c r="AS374" s="63" t="str">
        <f aca="false">IF(ISBLANK($C374), "",AK374)</f>
        <v/>
      </c>
      <c r="AT374" s="63" t="str">
        <f aca="false">IF(ISBLANK($C374),"",IF($AE374=Constants!$B$7,RANK(AS374,AS$8:AS$507),$AE374))</f>
        <v/>
      </c>
      <c r="AU374" s="63" t="str">
        <f aca="false">IF(ISBLANK($C374), "",AP374)</f>
        <v/>
      </c>
      <c r="AV374" s="63" t="str">
        <f aca="false">IF(ISBLANK($C374),"",IF($AE374=Constants!$B$7,RANK(AU374,AU$8:AU$507),$AE374))</f>
        <v/>
      </c>
      <c r="AW374" s="63" t="str">
        <f aca="false">IF(ISBLANK($C374), "",AC374)</f>
        <v/>
      </c>
      <c r="AX374" s="63" t="str">
        <f aca="false">IF(ISBLANK($C374),"",
IF($AE374=Constants!$B$7,
  COUNTIFS($AR$8:$AR$507,"&lt;"&amp;$AR374)
  + COUNTIFS($AR$8:$AR$507,$AR374,$AT$8:$AT$507,"&lt;"&amp;$AT374)
  + COUNTIFS($AR$8:$AR$507,$AR374,$AT$8:$AT$507,$AT374,$AV$8:$AV$507,"&lt;"&amp;$AV374)
  + COUNTIFS($AR$8:$AR$507,$AR374,$AT$8:$AT$507,$AT374,$AV$8:$AV$507,$AV374,$AW$8:$AW$507,"&lt;"&amp;$AW374)
  + 1,
$AE374))</f>
        <v/>
      </c>
      <c r="AY374" s="63" t="str">
        <f aca="false">IF(ISBLANK(C374),"",IF($AE374=Constants!$B$7, AR374-AX374,$AE374))</f>
        <v/>
      </c>
      <c r="AZ374" s="67"/>
      <c r="BA374" s="81" t="str">
        <f aca="false">IF(ISBLANK($C374),"",TRIM(AI374&amp;" "&amp;AM374))</f>
        <v/>
      </c>
      <c r="BB374" s="69" t="str">
        <f aca="false">IF(ISBLANK($C374),"",IF($AE374&lt;&gt;Constants!$B$7, $AE374 ,AQ374))</f>
        <v/>
      </c>
      <c r="BC374" s="70" t="str">
        <f aca="false">IF(ISBLANK($C374),"",IF($AE374&lt;&gt;Constants!$B$7, $AE374 ,AF374))</f>
        <v/>
      </c>
      <c r="BD374" s="71" t="str">
        <f aca="false">IF(ISBLANK(C374),"",AY374)</f>
        <v/>
      </c>
      <c r="BE374" s="71" t="str">
        <f aca="false">IF(ISBLANK(C374),"",AX374)</f>
        <v/>
      </c>
      <c r="BF374" s="72" t="str">
        <f aca="false">IF(ISBLANK(C374),"",IFERROR(_xlfn.SWITCH(BE374, Constants!$B$4, COUNTA($C$8:$C873)+2, Constants!$B$5, COUNTA($C$8:$C873)+1, Constants!$B$6, COUNTA($C$8:$C873)),BE374))</f>
        <v/>
      </c>
      <c r="BG374" s="5"/>
      <c r="BH374" s="73" t="n">
        <f aca="false">IF(OR(ISNUMBER(BE374),BE374="DQ",BE374="P",BE374="NS"),
    1,
    0
)</f>
        <v>0</v>
      </c>
      <c r="BI374" s="73" t="n">
        <v>367</v>
      </c>
      <c r="BJ374" s="73" t="str">
        <f aca="false">IF(ISBLANK($C374),
    "",
   BF374+ROW($B374)/1000
)</f>
        <v/>
      </c>
      <c r="BK374" s="73" t="str">
        <f aca="false">IF(ISNUMBER(BJ374), RANK(BJ374,BJ$8:BJ$507,1), "")</f>
        <v/>
      </c>
      <c r="BL374" s="73" t="str">
        <f aca="false">IF(ISBLANK($C374),
    "",
    $B374
)</f>
        <v/>
      </c>
      <c r="BM374" s="73" t="str">
        <f aca="false">IF(ISBLANK($C374),
    "",
    $C374
)</f>
        <v/>
      </c>
      <c r="BN374" s="73" t="str">
        <f aca="false">IF(ISBLANK($C374),
    "",
    $D374
)</f>
        <v/>
      </c>
      <c r="BO374" s="74" t="str">
        <f aca="false">BC374</f>
        <v/>
      </c>
      <c r="BP374" s="75" t="str">
        <f aca="false">BB374</f>
        <v/>
      </c>
      <c r="BQ374" s="73" t="str">
        <f aca="false">IF(ISBLANK($C374),
    "",
    BE374
)</f>
        <v/>
      </c>
      <c r="BR374" s="76" t="str">
        <f aca="false">IF(BI374&gt;BH$7,
    "",
    VLOOKUP(BI374,BK$8:BQ873,7,FALSE())
)</f>
        <v/>
      </c>
      <c r="BS374" s="77" t="str">
        <f aca="false">IF(BI374&gt;BH$7,
    "",
    VLOOKUP(BI374,BK$8:BQ873,2,FALSE())
)</f>
        <v/>
      </c>
      <c r="BT374" s="77" t="str">
        <f aca="false">IF(BI374&gt;BH$7,
    "",
    VLOOKUP(BI374,BK$8:BQ873,3,FALSE())
)</f>
        <v/>
      </c>
      <c r="BU374" s="77" t="str">
        <f aca="false">IF(BI374&gt;BH$7,
    "",
    VLOOKUP(BI374,BK$8:BQ873,4,FALSE())
)</f>
        <v/>
      </c>
      <c r="BV374" s="77" t="str">
        <f aca="false">IF(BI374&gt;BH$7,
    "",
    VLOOKUP(BI374,BK$8:BQ873,5,FALSE())
)</f>
        <v/>
      </c>
      <c r="BW374" s="78" t="str">
        <f aca="false">IF(BI374&gt;BH$7,
    "",
    VLOOKUP(BI374,BK$8:BQ873,6,FALSE())
)</f>
        <v/>
      </c>
      <c r="BX374" s="50"/>
    </row>
    <row r="375" customFormat="false" ht="15.75" hidden="false" customHeight="false" outlineLevel="0" collapsed="false">
      <c r="A375" s="5"/>
      <c r="B375" s="126"/>
      <c r="C375" s="52"/>
      <c r="D375" s="53"/>
      <c r="E375" s="120"/>
      <c r="F375" s="120"/>
      <c r="G375" s="55"/>
      <c r="H375" s="56"/>
      <c r="I375" s="80"/>
      <c r="J375" s="80"/>
      <c r="K375" s="80"/>
      <c r="L375" s="58"/>
      <c r="M375" s="58"/>
      <c r="N375" s="58"/>
      <c r="O375" s="59"/>
      <c r="P375" s="60"/>
      <c r="Q375" s="80"/>
      <c r="R375" s="62"/>
      <c r="S375" s="63"/>
      <c r="T375" s="63" t="str">
        <f aca="false">IF(ISBLANK($C375),"",IF(G375=Constants!$B$2, TRUE(), IF(G375=Constants!$B$3, FALSE(), TRUE())))</f>
        <v/>
      </c>
      <c r="U375" s="63" t="str">
        <f aca="false">IF(ISBLANK($C375),"",IF(H375=Constants!$B$2, TRUE(), IF(H375=Constants!$B$3, FALSE(), TRUE())))</f>
        <v/>
      </c>
      <c r="V375" s="63" t="str">
        <f aca="false">IF(ISBLANK($C375),"",IF(I375=Constants!$B$2, TRUE(), IF(I375=Constants!$B$3, FALSE(), TRUE())))</f>
        <v/>
      </c>
      <c r="W375" s="63" t="str">
        <f aca="false">IF(ISBLANK($C375),"",IF(J375=Constants!$B$2, TRUE(), IF(J375=Constants!$B$3, FALSE(), TRUE())))</f>
        <v/>
      </c>
      <c r="X375" s="63" t="str">
        <f aca="false">IF(ISBLANK($C375),"",IF(K375=Constants!$B$2, TRUE(), IF(K375=Constants!$B$3, FALSE(), TRUE())))</f>
        <v/>
      </c>
      <c r="Y375" s="65" t="str">
        <f aca="false">IF(ISBLANK($C375),"",IF(ISNUMBER(L375), L375, ""))</f>
        <v/>
      </c>
      <c r="Z375" s="65" t="str">
        <f aca="false">IF(ISBLANK($C375),"",IF(ISNUMBER(M375), M375, ""))</f>
        <v/>
      </c>
      <c r="AA375" s="65" t="str">
        <f aca="false">IF(ISBLANK($C375),"",IF(ISNUMBER(N375), N375, ""))</f>
        <v/>
      </c>
      <c r="AB375" s="66" t="str">
        <f aca="false">IF(ISBLANK($C375),"",IF(ISNUMBER(O375), O375, ""))</f>
        <v/>
      </c>
      <c r="AC375" s="66" t="str">
        <f aca="false">IF(ISBLANK($C375),"",IF(ISNUMBER(P375), P375, Constants!$B$13))</f>
        <v/>
      </c>
      <c r="AD375" s="63" t="str">
        <f aca="false">IF(ISBLANK($C375),"",IF(Q375=Constants!$B$2, TRUE(), IF(Q375=Constants!$B$3, FALSE(), FALSE())))</f>
        <v/>
      </c>
      <c r="AE375" s="63" t="str">
        <f aca="false">IF(ISBLANK(C375), "", IF(AD375, Constants!$B$4,IF(COUNTA(G375:O375)=0, Constants!$B$5, Constants!$B$7)))</f>
        <v/>
      </c>
      <c r="AF375" s="63" t="str">
        <f aca="false">IF(ISBLANK($C375), "",IF($AE375=Constants!$B$7,1,$AE375))</f>
        <v/>
      </c>
      <c r="AG375" s="63" t="str">
        <f aca="false">IF($AE375=Constants!$B$7,IF(V375, 1, Constants!$B$11) * IF(X375, 1, Constants!$B$12),"")</f>
        <v/>
      </c>
      <c r="AH375" s="63" t="str">
        <f aca="false">IF(AND($AE375=Constants!$B$7, T375, U375) ,MAX(0, $AA375-$Y375),"")</f>
        <v/>
      </c>
      <c r="AI375" s="63" t="str">
        <f aca="false">IF(ISERROR(AH375),$AI$6,"")</f>
        <v/>
      </c>
      <c r="AJ375" s="63" t="str">
        <f aca="false">IF($AE375=Constants!$B$7,IF(AND(T375,U375,W375),IF($AH$6=0,Constants!$B$9,Constants!$B$9*AH375/$AH$6), 0),"")</f>
        <v/>
      </c>
      <c r="AK375" s="63" t="str">
        <f aca="false">IF(AJ375&lt;&gt;"", AJ375*AG375,"")</f>
        <v/>
      </c>
      <c r="AL375" s="63" t="str">
        <f aca="false">IF(AND($AE375=Constants!$B$7, T375, U375) ,IF($Z375="", "", MAX(0,1-ABS($AA375-$Z375)/$AA375)),"")</f>
        <v/>
      </c>
      <c r="AM375" s="63" t="str">
        <f aca="false">IF(AND(NOT(ISERROR(AH375)),ISERROR(AL375)),$AM$6,"")</f>
        <v/>
      </c>
      <c r="AN375" s="63" t="str">
        <f aca="false">IF($AE375=Constants!$B$7 ,IF(AND(T375,U375,W375,ISNUMBER(Z375)),IF($AL$6=0,Constants!$B$10,Constants!$B$10*AL375/$AL$6), 0),"")</f>
        <v/>
      </c>
      <c r="AO375" s="63" t="str">
        <f aca="false">IF(AN375&lt;&gt;"", AN375*AG375,"")</f>
        <v/>
      </c>
      <c r="AP375" s="63" t="str">
        <f aca="false">IF($AE375=Constants!$B$7,IF($AP$6=0,Constants!$B$8,Constants!$B$8*AB375/$AP$6),"")</f>
        <v/>
      </c>
      <c r="AQ375" s="63" t="str">
        <f aca="false">IF($AE375&lt;&gt;Constants!$B$7,$AE375,AK375+AO375+AP375)</f>
        <v/>
      </c>
      <c r="AR375" s="63" t="str">
        <f aca="false">IF(ISBLANK($C375),"",IF($AE375=Constants!$B$7,RANK(AQ375,$AQ$8:$AQ$507),$AE375))</f>
        <v/>
      </c>
      <c r="AS375" s="63" t="str">
        <f aca="false">IF(ISBLANK($C375), "",AK375)</f>
        <v/>
      </c>
      <c r="AT375" s="63" t="str">
        <f aca="false">IF(ISBLANK($C375),"",IF($AE375=Constants!$B$7,RANK(AS375,AS$8:AS$507),$AE375))</f>
        <v/>
      </c>
      <c r="AU375" s="63" t="str">
        <f aca="false">IF(ISBLANK($C375), "",AP375)</f>
        <v/>
      </c>
      <c r="AV375" s="63" t="str">
        <f aca="false">IF(ISBLANK($C375),"",IF($AE375=Constants!$B$7,RANK(AU375,AU$8:AU$507),$AE375))</f>
        <v/>
      </c>
      <c r="AW375" s="63" t="str">
        <f aca="false">IF(ISBLANK($C375), "",AC375)</f>
        <v/>
      </c>
      <c r="AX375" s="63" t="str">
        <f aca="false">IF(ISBLANK($C375),"",
IF($AE375=Constants!$B$7,
  COUNTIFS($AR$8:$AR$507,"&lt;"&amp;$AR375)
  + COUNTIFS($AR$8:$AR$507,$AR375,$AT$8:$AT$507,"&lt;"&amp;$AT375)
  + COUNTIFS($AR$8:$AR$507,$AR375,$AT$8:$AT$507,$AT375,$AV$8:$AV$507,"&lt;"&amp;$AV375)
  + COUNTIFS($AR$8:$AR$507,$AR375,$AT$8:$AT$507,$AT375,$AV$8:$AV$507,$AV375,$AW$8:$AW$507,"&lt;"&amp;$AW375)
  + 1,
$AE375))</f>
        <v/>
      </c>
      <c r="AY375" s="63" t="str">
        <f aca="false">IF(ISBLANK(C375),"",IF($AE375=Constants!$B$7, AR375-AX375,$AE375))</f>
        <v/>
      </c>
      <c r="AZ375" s="67"/>
      <c r="BA375" s="81" t="str">
        <f aca="false">IF(ISBLANK($C375),"",TRIM(AI375&amp;" "&amp;AM375))</f>
        <v/>
      </c>
      <c r="BB375" s="69" t="str">
        <f aca="false">IF(ISBLANK($C375),"",IF($AE375&lt;&gt;Constants!$B$7, $AE375 ,AQ375))</f>
        <v/>
      </c>
      <c r="BC375" s="70" t="str">
        <f aca="false">IF(ISBLANK($C375),"",IF($AE375&lt;&gt;Constants!$B$7, $AE375 ,AF375))</f>
        <v/>
      </c>
      <c r="BD375" s="71" t="str">
        <f aca="false">IF(ISBLANK(C375),"",AY375)</f>
        <v/>
      </c>
      <c r="BE375" s="71" t="str">
        <f aca="false">IF(ISBLANK(C375),"",AX375)</f>
        <v/>
      </c>
      <c r="BF375" s="72" t="str">
        <f aca="false">IF(ISBLANK(C375),"",IFERROR(_xlfn.SWITCH(BE375, Constants!$B$4, COUNTA($C$8:$C874)+2, Constants!$B$5, COUNTA($C$8:$C874)+1, Constants!$B$6, COUNTA($C$8:$C874)),BE375))</f>
        <v/>
      </c>
      <c r="BG375" s="5"/>
      <c r="BH375" s="73" t="n">
        <f aca="false">IF(OR(ISNUMBER(BE375),BE375="DQ",BE375="P",BE375="NS"),
    1,
    0
)</f>
        <v>0</v>
      </c>
      <c r="BI375" s="73" t="n">
        <v>368</v>
      </c>
      <c r="BJ375" s="73" t="str">
        <f aca="false">IF(ISBLANK($C375),
    "",
   BF375+ROW($B375)/1000
)</f>
        <v/>
      </c>
      <c r="BK375" s="73" t="str">
        <f aca="false">IF(ISNUMBER(BJ375), RANK(BJ375,BJ$8:BJ$507,1), "")</f>
        <v/>
      </c>
      <c r="BL375" s="73" t="str">
        <f aca="false">IF(ISBLANK($C375),
    "",
    $B375
)</f>
        <v/>
      </c>
      <c r="BM375" s="73" t="str">
        <f aca="false">IF(ISBLANK($C375),
    "",
    $C375
)</f>
        <v/>
      </c>
      <c r="BN375" s="73" t="str">
        <f aca="false">IF(ISBLANK($C375),
    "",
    $D375
)</f>
        <v/>
      </c>
      <c r="BO375" s="74" t="str">
        <f aca="false">BC375</f>
        <v/>
      </c>
      <c r="BP375" s="75" t="str">
        <f aca="false">BB375</f>
        <v/>
      </c>
      <c r="BQ375" s="73" t="str">
        <f aca="false">IF(ISBLANK($C375),
    "",
    BE375
)</f>
        <v/>
      </c>
      <c r="BR375" s="76" t="str">
        <f aca="false">IF(BI375&gt;BH$7,
    "",
    VLOOKUP(BI375,BK$8:BQ874,7,FALSE())
)</f>
        <v/>
      </c>
      <c r="BS375" s="77" t="str">
        <f aca="false">IF(BI375&gt;BH$7,
    "",
    VLOOKUP(BI375,BK$8:BQ874,2,FALSE())
)</f>
        <v/>
      </c>
      <c r="BT375" s="77" t="str">
        <f aca="false">IF(BI375&gt;BH$7,
    "",
    VLOOKUP(BI375,BK$8:BQ874,3,FALSE())
)</f>
        <v/>
      </c>
      <c r="BU375" s="77" t="str">
        <f aca="false">IF(BI375&gt;BH$7,
    "",
    VLOOKUP(BI375,BK$8:BQ874,4,FALSE())
)</f>
        <v/>
      </c>
      <c r="BV375" s="77" t="str">
        <f aca="false">IF(BI375&gt;BH$7,
    "",
    VLOOKUP(BI375,BK$8:BQ874,5,FALSE())
)</f>
        <v/>
      </c>
      <c r="BW375" s="78" t="str">
        <f aca="false">IF(BI375&gt;BH$7,
    "",
    VLOOKUP(BI375,BK$8:BQ874,6,FALSE())
)</f>
        <v/>
      </c>
      <c r="BX375" s="50"/>
    </row>
    <row r="376" customFormat="false" ht="15.75" hidden="false" customHeight="false" outlineLevel="0" collapsed="false">
      <c r="A376" s="5"/>
      <c r="B376" s="126"/>
      <c r="C376" s="52"/>
      <c r="D376" s="53"/>
      <c r="E376" s="120"/>
      <c r="F376" s="120"/>
      <c r="G376" s="55"/>
      <c r="H376" s="56"/>
      <c r="I376" s="80"/>
      <c r="J376" s="80"/>
      <c r="K376" s="80"/>
      <c r="L376" s="58"/>
      <c r="M376" s="58"/>
      <c r="N376" s="58"/>
      <c r="O376" s="59"/>
      <c r="P376" s="60"/>
      <c r="Q376" s="80"/>
      <c r="R376" s="62"/>
      <c r="S376" s="63"/>
      <c r="T376" s="63" t="str">
        <f aca="false">IF(ISBLANK($C376),"",IF(G376=Constants!$B$2, TRUE(), IF(G376=Constants!$B$3, FALSE(), TRUE())))</f>
        <v/>
      </c>
      <c r="U376" s="63" t="str">
        <f aca="false">IF(ISBLANK($C376),"",IF(H376=Constants!$B$2, TRUE(), IF(H376=Constants!$B$3, FALSE(), TRUE())))</f>
        <v/>
      </c>
      <c r="V376" s="63" t="str">
        <f aca="false">IF(ISBLANK($C376),"",IF(I376=Constants!$B$2, TRUE(), IF(I376=Constants!$B$3, FALSE(), TRUE())))</f>
        <v/>
      </c>
      <c r="W376" s="63" t="str">
        <f aca="false">IF(ISBLANK($C376),"",IF(J376=Constants!$B$2, TRUE(), IF(J376=Constants!$B$3, FALSE(), TRUE())))</f>
        <v/>
      </c>
      <c r="X376" s="63" t="str">
        <f aca="false">IF(ISBLANK($C376),"",IF(K376=Constants!$B$2, TRUE(), IF(K376=Constants!$B$3, FALSE(), TRUE())))</f>
        <v/>
      </c>
      <c r="Y376" s="65" t="str">
        <f aca="false">IF(ISBLANK($C376),"",IF(ISNUMBER(L376), L376, ""))</f>
        <v/>
      </c>
      <c r="Z376" s="65" t="str">
        <f aca="false">IF(ISBLANK($C376),"",IF(ISNUMBER(M376), M376, ""))</f>
        <v/>
      </c>
      <c r="AA376" s="65" t="str">
        <f aca="false">IF(ISBLANK($C376),"",IF(ISNUMBER(N376), N376, ""))</f>
        <v/>
      </c>
      <c r="AB376" s="66" t="str">
        <f aca="false">IF(ISBLANK($C376),"",IF(ISNUMBER(O376), O376, ""))</f>
        <v/>
      </c>
      <c r="AC376" s="66" t="str">
        <f aca="false">IF(ISBLANK($C376),"",IF(ISNUMBER(P376), P376, Constants!$B$13))</f>
        <v/>
      </c>
      <c r="AD376" s="63" t="str">
        <f aca="false">IF(ISBLANK($C376),"",IF(Q376=Constants!$B$2, TRUE(), IF(Q376=Constants!$B$3, FALSE(), FALSE())))</f>
        <v/>
      </c>
      <c r="AE376" s="63" t="str">
        <f aca="false">IF(ISBLANK(C376), "", IF(AD376, Constants!$B$4,IF(COUNTA(G376:O376)=0, Constants!$B$5, Constants!$B$7)))</f>
        <v/>
      </c>
      <c r="AF376" s="63" t="str">
        <f aca="false">IF(ISBLANK($C376), "",IF($AE376=Constants!$B$7,1,$AE376))</f>
        <v/>
      </c>
      <c r="AG376" s="63" t="str">
        <f aca="false">IF($AE376=Constants!$B$7,IF(V376, 1, Constants!$B$11) * IF(X376, 1, Constants!$B$12),"")</f>
        <v/>
      </c>
      <c r="AH376" s="63" t="str">
        <f aca="false">IF(AND($AE376=Constants!$B$7, T376, U376) ,MAX(0, $AA376-$Y376),"")</f>
        <v/>
      </c>
      <c r="AI376" s="63" t="str">
        <f aca="false">IF(ISERROR(AH376),$AI$6,"")</f>
        <v/>
      </c>
      <c r="AJ376" s="63" t="str">
        <f aca="false">IF($AE376=Constants!$B$7,IF(AND(T376,U376,W376),IF($AH$6=0,Constants!$B$9,Constants!$B$9*AH376/$AH$6), 0),"")</f>
        <v/>
      </c>
      <c r="AK376" s="63" t="str">
        <f aca="false">IF(AJ376&lt;&gt;"", AJ376*AG376,"")</f>
        <v/>
      </c>
      <c r="AL376" s="63" t="str">
        <f aca="false">IF(AND($AE376=Constants!$B$7, T376, U376) ,IF($Z376="", "", MAX(0,1-ABS($AA376-$Z376)/$AA376)),"")</f>
        <v/>
      </c>
      <c r="AM376" s="63" t="str">
        <f aca="false">IF(AND(NOT(ISERROR(AH376)),ISERROR(AL376)),$AM$6,"")</f>
        <v/>
      </c>
      <c r="AN376" s="63" t="str">
        <f aca="false">IF($AE376=Constants!$B$7 ,IF(AND(T376,U376,W376,ISNUMBER(Z376)),IF($AL$6=0,Constants!$B$10,Constants!$B$10*AL376/$AL$6), 0),"")</f>
        <v/>
      </c>
      <c r="AO376" s="63" t="str">
        <f aca="false">IF(AN376&lt;&gt;"", AN376*AG376,"")</f>
        <v/>
      </c>
      <c r="AP376" s="63" t="str">
        <f aca="false">IF($AE376=Constants!$B$7,IF($AP$6=0,Constants!$B$8,Constants!$B$8*AB376/$AP$6),"")</f>
        <v/>
      </c>
      <c r="AQ376" s="63" t="str">
        <f aca="false">IF($AE376&lt;&gt;Constants!$B$7,$AE376,AK376+AO376+AP376)</f>
        <v/>
      </c>
      <c r="AR376" s="63" t="str">
        <f aca="false">IF(ISBLANK($C376),"",IF($AE376=Constants!$B$7,RANK(AQ376,$AQ$8:$AQ$507),$AE376))</f>
        <v/>
      </c>
      <c r="AS376" s="63" t="str">
        <f aca="false">IF(ISBLANK($C376), "",AK376)</f>
        <v/>
      </c>
      <c r="AT376" s="63" t="str">
        <f aca="false">IF(ISBLANK($C376),"",IF($AE376=Constants!$B$7,RANK(AS376,AS$8:AS$507),$AE376))</f>
        <v/>
      </c>
      <c r="AU376" s="63" t="str">
        <f aca="false">IF(ISBLANK($C376), "",AP376)</f>
        <v/>
      </c>
      <c r="AV376" s="63" t="str">
        <f aca="false">IF(ISBLANK($C376),"",IF($AE376=Constants!$B$7,RANK(AU376,AU$8:AU$507),$AE376))</f>
        <v/>
      </c>
      <c r="AW376" s="63" t="str">
        <f aca="false">IF(ISBLANK($C376), "",AC376)</f>
        <v/>
      </c>
      <c r="AX376" s="63" t="str">
        <f aca="false">IF(ISBLANK($C376),"",
IF($AE376=Constants!$B$7,
  COUNTIFS($AR$8:$AR$507,"&lt;"&amp;$AR376)
  + COUNTIFS($AR$8:$AR$507,$AR376,$AT$8:$AT$507,"&lt;"&amp;$AT376)
  + COUNTIFS($AR$8:$AR$507,$AR376,$AT$8:$AT$507,$AT376,$AV$8:$AV$507,"&lt;"&amp;$AV376)
  + COUNTIFS($AR$8:$AR$507,$AR376,$AT$8:$AT$507,$AT376,$AV$8:$AV$507,$AV376,$AW$8:$AW$507,"&lt;"&amp;$AW376)
  + 1,
$AE376))</f>
        <v/>
      </c>
      <c r="AY376" s="63" t="str">
        <f aca="false">IF(ISBLANK(C376),"",IF($AE376=Constants!$B$7, AR376-AX376,$AE376))</f>
        <v/>
      </c>
      <c r="AZ376" s="67"/>
      <c r="BA376" s="81" t="str">
        <f aca="false">IF(ISBLANK($C376),"",TRIM(AI376&amp;" "&amp;AM376))</f>
        <v/>
      </c>
      <c r="BB376" s="69" t="str">
        <f aca="false">IF(ISBLANK($C376),"",IF($AE376&lt;&gt;Constants!$B$7, $AE376 ,AQ376))</f>
        <v/>
      </c>
      <c r="BC376" s="70" t="str">
        <f aca="false">IF(ISBLANK($C376),"",IF($AE376&lt;&gt;Constants!$B$7, $AE376 ,AF376))</f>
        <v/>
      </c>
      <c r="BD376" s="71" t="str">
        <f aca="false">IF(ISBLANK(C376),"",AY376)</f>
        <v/>
      </c>
      <c r="BE376" s="71" t="str">
        <f aca="false">IF(ISBLANK(C376),"",AX376)</f>
        <v/>
      </c>
      <c r="BF376" s="72" t="str">
        <f aca="false">IF(ISBLANK(C376),"",IFERROR(_xlfn.SWITCH(BE376, Constants!$B$4, COUNTA($C$8:$C875)+2, Constants!$B$5, COUNTA($C$8:$C875)+1, Constants!$B$6, COUNTA($C$8:$C875)),BE376))</f>
        <v/>
      </c>
      <c r="BG376" s="5"/>
      <c r="BH376" s="73" t="n">
        <f aca="false">IF(OR(ISNUMBER(BE376),BE376="DQ",BE376="P",BE376="NS"),
    1,
    0
)</f>
        <v>0</v>
      </c>
      <c r="BI376" s="73" t="n">
        <v>369</v>
      </c>
      <c r="BJ376" s="73" t="str">
        <f aca="false">IF(ISBLANK($C376),
    "",
   BF376+ROW($B376)/1000
)</f>
        <v/>
      </c>
      <c r="BK376" s="73" t="str">
        <f aca="false">IF(ISNUMBER(BJ376), RANK(BJ376,BJ$8:BJ$507,1), "")</f>
        <v/>
      </c>
      <c r="BL376" s="73" t="str">
        <f aca="false">IF(ISBLANK($C376),
    "",
    $B376
)</f>
        <v/>
      </c>
      <c r="BM376" s="73" t="str">
        <f aca="false">IF(ISBLANK($C376),
    "",
    $C376
)</f>
        <v/>
      </c>
      <c r="BN376" s="73" t="str">
        <f aca="false">IF(ISBLANK($C376),
    "",
    $D376
)</f>
        <v/>
      </c>
      <c r="BO376" s="74" t="str">
        <f aca="false">BC376</f>
        <v/>
      </c>
      <c r="BP376" s="75" t="str">
        <f aca="false">BB376</f>
        <v/>
      </c>
      <c r="BQ376" s="73" t="str">
        <f aca="false">IF(ISBLANK($C376),
    "",
    BE376
)</f>
        <v/>
      </c>
      <c r="BR376" s="76" t="str">
        <f aca="false">IF(BI376&gt;BH$7,
    "",
    VLOOKUP(BI376,BK$8:BQ875,7,FALSE())
)</f>
        <v/>
      </c>
      <c r="BS376" s="77" t="str">
        <f aca="false">IF(BI376&gt;BH$7,
    "",
    VLOOKUP(BI376,BK$8:BQ875,2,FALSE())
)</f>
        <v/>
      </c>
      <c r="BT376" s="77" t="str">
        <f aca="false">IF(BI376&gt;BH$7,
    "",
    VLOOKUP(BI376,BK$8:BQ875,3,FALSE())
)</f>
        <v/>
      </c>
      <c r="BU376" s="77" t="str">
        <f aca="false">IF(BI376&gt;BH$7,
    "",
    VLOOKUP(BI376,BK$8:BQ875,4,FALSE())
)</f>
        <v/>
      </c>
      <c r="BV376" s="77" t="str">
        <f aca="false">IF(BI376&gt;BH$7,
    "",
    VLOOKUP(BI376,BK$8:BQ875,5,FALSE())
)</f>
        <v/>
      </c>
      <c r="BW376" s="78" t="str">
        <f aca="false">IF(BI376&gt;BH$7,
    "",
    VLOOKUP(BI376,BK$8:BQ875,6,FALSE())
)</f>
        <v/>
      </c>
      <c r="BX376" s="50"/>
    </row>
    <row r="377" customFormat="false" ht="15.75" hidden="false" customHeight="false" outlineLevel="0" collapsed="false">
      <c r="A377" s="5"/>
      <c r="B377" s="122"/>
      <c r="C377" s="123"/>
      <c r="D377" s="112"/>
      <c r="E377" s="116"/>
      <c r="F377" s="116"/>
      <c r="G377" s="88"/>
      <c r="H377" s="89"/>
      <c r="I377" s="125"/>
      <c r="J377" s="125"/>
      <c r="K377" s="125"/>
      <c r="L377" s="91"/>
      <c r="M377" s="91"/>
      <c r="N377" s="91"/>
      <c r="O377" s="92"/>
      <c r="P377" s="93"/>
      <c r="Q377" s="125"/>
      <c r="R377" s="95"/>
      <c r="S377" s="96"/>
      <c r="T377" s="96" t="str">
        <f aca="false">IF(ISBLANK($C377),"",IF(G377=Constants!$B$2, TRUE(), IF(G377=Constants!$B$3, FALSE(), TRUE())))</f>
        <v/>
      </c>
      <c r="U377" s="96" t="str">
        <f aca="false">IF(ISBLANK($C377),"",IF(H377=Constants!$B$2, TRUE(), IF(H377=Constants!$B$3, FALSE(), TRUE())))</f>
        <v/>
      </c>
      <c r="V377" s="96" t="str">
        <f aca="false">IF(ISBLANK($C377),"",IF(I377=Constants!$B$2, TRUE(), IF(I377=Constants!$B$3, FALSE(), TRUE())))</f>
        <v/>
      </c>
      <c r="W377" s="96" t="str">
        <f aca="false">IF(ISBLANK($C377),"",IF(J377=Constants!$B$2, TRUE(), IF(J377=Constants!$B$3, FALSE(), TRUE())))</f>
        <v/>
      </c>
      <c r="X377" s="97" t="str">
        <f aca="false">IF(ISBLANK($C377),"",IF(K377=Constants!$B$2, TRUE(), IF(K377=Constants!$B$3, FALSE(), TRUE())))</f>
        <v/>
      </c>
      <c r="Y377" s="98" t="str">
        <f aca="false">IF(ISBLANK($C377),"",IF(ISNUMBER(L377), L377, ""))</f>
        <v/>
      </c>
      <c r="Z377" s="98" t="str">
        <f aca="false">IF(ISBLANK($C377),"",IF(ISNUMBER(M377), M377, ""))</f>
        <v/>
      </c>
      <c r="AA377" s="98" t="str">
        <f aca="false">IF(ISBLANK($C377),"",IF(ISNUMBER(N377), N377, ""))</f>
        <v/>
      </c>
      <c r="AB377" s="99" t="str">
        <f aca="false">IF(ISBLANK($C377),"",IF(ISNUMBER(O377), O377, ""))</f>
        <v/>
      </c>
      <c r="AC377" s="99" t="str">
        <f aca="false">IF(ISBLANK($C377),"",IF(ISNUMBER(P377), P377, Constants!$B$13))</f>
        <v/>
      </c>
      <c r="AD377" s="96" t="str">
        <f aca="false">IF(ISBLANK($C377),"",IF(Q377=Constants!$B$2, TRUE(), IF(Q377=Constants!$B$3, FALSE(), FALSE())))</f>
        <v/>
      </c>
      <c r="AE377" s="96" t="str">
        <f aca="false">IF(ISBLANK(C377), "", IF(AD377, Constants!$B$4,IF(COUNTA(G377:O377)=0, Constants!$B$5, Constants!$B$7)))</f>
        <v/>
      </c>
      <c r="AF377" s="96" t="str">
        <f aca="false">IF(ISBLANK($C377), "",IF($AE377=Constants!$B$7,1,$AE377))</f>
        <v/>
      </c>
      <c r="AG377" s="96" t="str">
        <f aca="false">IF($AE377=Constants!$B$7,IF(V377, 1, Constants!$B$11) * IF(X377, 1, Constants!$B$12),"")</f>
        <v/>
      </c>
      <c r="AH377" s="96" t="str">
        <f aca="false">IF(AND($AE377=Constants!$B$7, T377, U377) ,MAX(0, $AA377-$Y377),"")</f>
        <v/>
      </c>
      <c r="AI377" s="96" t="str">
        <f aca="false">IF(ISERROR(AH377),$AI$6,"")</f>
        <v/>
      </c>
      <c r="AJ377" s="96" t="str">
        <f aca="false">IF($AE377=Constants!$B$7,IF(AND(T377,U377,W377),IF($AH$6=0,Constants!$B$9,Constants!$B$9*AH377/$AH$6), 0),"")</f>
        <v/>
      </c>
      <c r="AK377" s="96" t="str">
        <f aca="false">IF(AJ377&lt;&gt;"", AJ377*AG377,"")</f>
        <v/>
      </c>
      <c r="AL377" s="96" t="str">
        <f aca="false">IF(AND($AE377=Constants!$B$7, T377, U377) ,IF($Z377="", "", MAX(0,1-ABS($AA377-$Z377)/$AA377)),"")</f>
        <v/>
      </c>
      <c r="AM377" s="96" t="str">
        <f aca="false">IF(AND(NOT(ISERROR(AH377)),ISERROR(AL377)),$AM$6,"")</f>
        <v/>
      </c>
      <c r="AN377" s="96" t="str">
        <f aca="false">IF($AE377=Constants!$B$7 ,IF(AND(T377,U377,W377,ISNUMBER(Z377)),IF($AL$6=0,Constants!$B$10,Constants!$B$10*AL377/$AL$6), 0),"")</f>
        <v/>
      </c>
      <c r="AO377" s="96" t="str">
        <f aca="false">IF(AN377&lt;&gt;"", AN377*AG377,"")</f>
        <v/>
      </c>
      <c r="AP377" s="96" t="str">
        <f aca="false">IF($AE377=Constants!$B$7,IF($AP$6=0,Constants!$B$8,Constants!$B$8*AB377/$AP$6),"")</f>
        <v/>
      </c>
      <c r="AQ377" s="96" t="str">
        <f aca="false">IF($AE377&lt;&gt;Constants!$B$7,$AE377,AK377+AO377+AP377)</f>
        <v/>
      </c>
      <c r="AR377" s="96" t="str">
        <f aca="false">IF(ISBLANK($C377),"",IF($AE377=Constants!$B$7,RANK(AQ377,$AQ$8:$AQ$507),$AE377))</f>
        <v/>
      </c>
      <c r="AS377" s="96" t="str">
        <f aca="false">IF(ISBLANK($C377), "",AK377)</f>
        <v/>
      </c>
      <c r="AT377" s="96" t="str">
        <f aca="false">IF(ISBLANK($C377),"",IF($AE377=Constants!$B$7,RANK(AS377,AS$8:AS$507),$AE377))</f>
        <v/>
      </c>
      <c r="AU377" s="96" t="str">
        <f aca="false">IF(ISBLANK($C377), "",AP377)</f>
        <v/>
      </c>
      <c r="AV377" s="96" t="str">
        <f aca="false">IF(ISBLANK($C377),"",IF($AE377=Constants!$B$7,RANK(AU377,AU$8:AU$507),$AE377))</f>
        <v/>
      </c>
      <c r="AW377" s="96" t="str">
        <f aca="false">IF(ISBLANK($C377), "",AC377)</f>
        <v/>
      </c>
      <c r="AX377" s="96" t="str">
        <f aca="false">IF(ISBLANK($C377),"",
IF($AE377=Constants!$B$7,
  COUNTIFS($AR$8:$AR$507,"&lt;"&amp;$AR377)
  + COUNTIFS($AR$8:$AR$507,$AR377,$AT$8:$AT$507,"&lt;"&amp;$AT377)
  + COUNTIFS($AR$8:$AR$507,$AR377,$AT$8:$AT$507,$AT377,$AV$8:$AV$507,"&lt;"&amp;$AV377)
  + COUNTIFS($AR$8:$AR$507,$AR377,$AT$8:$AT$507,$AT377,$AV$8:$AV$507,$AV377,$AW$8:$AW$507,"&lt;"&amp;$AW377)
  + 1,
$AE377))</f>
        <v/>
      </c>
      <c r="AY377" s="96" t="str">
        <f aca="false">IF(ISBLANK(C377),"",IF($AE377=Constants!$B$7, AR377-AX377,$AE377))</f>
        <v/>
      </c>
      <c r="AZ377" s="100"/>
      <c r="BA377" s="101" t="str">
        <f aca="false">IF(ISBLANK($C377),"",TRIM(AI377&amp;" "&amp;AM377))</f>
        <v/>
      </c>
      <c r="BB377" s="102" t="str">
        <f aca="false">IF(ISBLANK($C377),"",IF($AE377&lt;&gt;Constants!$B$7, $AE377 ,AQ377))</f>
        <v/>
      </c>
      <c r="BC377" s="103" t="str">
        <f aca="false">IF(ISBLANK($C377),"",IF($AE377&lt;&gt;Constants!$B$7, $AE377 ,AF377))</f>
        <v/>
      </c>
      <c r="BD377" s="104" t="str">
        <f aca="false">IF(ISBLANK(C377),"",AY377)</f>
        <v/>
      </c>
      <c r="BE377" s="104" t="str">
        <f aca="false">IF(ISBLANK(C377),"",AX377)</f>
        <v/>
      </c>
      <c r="BF377" s="105" t="str">
        <f aca="false">IF(ISBLANK(C377),"",IFERROR(_xlfn.SWITCH(BE377, Constants!$B$4, COUNTA($C$8:$C876)+2, Constants!$B$5, COUNTA($C$8:$C876)+1, Constants!$B$6, COUNTA($C$8:$C876)),BE377))</f>
        <v/>
      </c>
      <c r="BG377" s="5"/>
      <c r="BH377" s="106" t="n">
        <f aca="false">IF(OR(ISNUMBER(BE377),BE377="DQ",BE377="P",BE377="NS"),
    1,
    0
)</f>
        <v>0</v>
      </c>
      <c r="BI377" s="106" t="n">
        <v>370</v>
      </c>
      <c r="BJ377" s="106" t="str">
        <f aca="false">IF(ISBLANK($C377),
    "",
   BF377+ROW($B377)/1000
)</f>
        <v/>
      </c>
      <c r="BK377" s="106" t="str">
        <f aca="false">IF(ISNUMBER(BJ377), RANK(BJ377,BJ$8:BJ$507,1), "")</f>
        <v/>
      </c>
      <c r="BL377" s="106" t="str">
        <f aca="false">IF(ISBLANK($C377),
    "",
    $B377
)</f>
        <v/>
      </c>
      <c r="BM377" s="106" t="str">
        <f aca="false">IF(ISBLANK($C377),
    "",
    $C377
)</f>
        <v/>
      </c>
      <c r="BN377" s="106" t="str">
        <f aca="false">IF(ISBLANK($C377),
    "",
    $D377
)</f>
        <v/>
      </c>
      <c r="BO377" s="107" t="str">
        <f aca="false">BC377</f>
        <v/>
      </c>
      <c r="BP377" s="108" t="str">
        <f aca="false">BB377</f>
        <v/>
      </c>
      <c r="BQ377" s="106" t="str">
        <f aca="false">IF(ISBLANK($C377),
    "",
    BE377
)</f>
        <v/>
      </c>
      <c r="BR377" s="109" t="str">
        <f aca="false">IF(BI377&gt;BH$7,
    "",
    VLOOKUP(BI377,BK$8:BQ876,7,FALSE())
)</f>
        <v/>
      </c>
      <c r="BS377" s="110" t="str">
        <f aca="false">IF(BI377&gt;BH$7,
    "",
    VLOOKUP(BI377,BK$8:BQ876,2,FALSE())
)</f>
        <v/>
      </c>
      <c r="BT377" s="110" t="str">
        <f aca="false">IF(BI377&gt;BH$7,
    "",
    VLOOKUP(BI377,BK$8:BQ876,3,FALSE())
)</f>
        <v/>
      </c>
      <c r="BU377" s="110" t="str">
        <f aca="false">IF(BI377&gt;BH$7,
    "",
    VLOOKUP(BI377,BK$8:BQ876,4,FALSE())
)</f>
        <v/>
      </c>
      <c r="BV377" s="110" t="str">
        <f aca="false">IF(BI377&gt;BH$7,
    "",
    VLOOKUP(BI377,BK$8:BQ876,5,FALSE())
)</f>
        <v/>
      </c>
      <c r="BW377" s="111" t="str">
        <f aca="false">IF(BI377&gt;BH$7,
    "",
    VLOOKUP(BI377,BK$8:BQ876,6,FALSE())
)</f>
        <v/>
      </c>
      <c r="BX377" s="50"/>
    </row>
    <row r="378" customFormat="false" ht="15.75" hidden="false" customHeight="false" outlineLevel="0" collapsed="false">
      <c r="A378" s="5"/>
      <c r="B378" s="122"/>
      <c r="C378" s="123"/>
      <c r="D378" s="112"/>
      <c r="E378" s="116"/>
      <c r="F378" s="116"/>
      <c r="G378" s="88"/>
      <c r="H378" s="89"/>
      <c r="I378" s="125"/>
      <c r="J378" s="125"/>
      <c r="K378" s="125"/>
      <c r="L378" s="91"/>
      <c r="M378" s="91"/>
      <c r="N378" s="91"/>
      <c r="O378" s="92"/>
      <c r="P378" s="93"/>
      <c r="Q378" s="125"/>
      <c r="R378" s="95"/>
      <c r="S378" s="96"/>
      <c r="T378" s="96" t="str">
        <f aca="false">IF(ISBLANK($C378),"",IF(G378=Constants!$B$2, TRUE(), IF(G378=Constants!$B$3, FALSE(), TRUE())))</f>
        <v/>
      </c>
      <c r="U378" s="96" t="str">
        <f aca="false">IF(ISBLANK($C378),"",IF(H378=Constants!$B$2, TRUE(), IF(H378=Constants!$B$3, FALSE(), TRUE())))</f>
        <v/>
      </c>
      <c r="V378" s="96" t="str">
        <f aca="false">IF(ISBLANK($C378),"",IF(I378=Constants!$B$2, TRUE(), IF(I378=Constants!$B$3, FALSE(), TRUE())))</f>
        <v/>
      </c>
      <c r="W378" s="96" t="str">
        <f aca="false">IF(ISBLANK($C378),"",IF(J378=Constants!$B$2, TRUE(), IF(J378=Constants!$B$3, FALSE(), TRUE())))</f>
        <v/>
      </c>
      <c r="X378" s="97" t="str">
        <f aca="false">IF(ISBLANK($C378),"",IF(K378=Constants!$B$2, TRUE(), IF(K378=Constants!$B$3, FALSE(), TRUE())))</f>
        <v/>
      </c>
      <c r="Y378" s="98" t="str">
        <f aca="false">IF(ISBLANK($C378),"",IF(ISNUMBER(L378), L378, ""))</f>
        <v/>
      </c>
      <c r="Z378" s="98" t="str">
        <f aca="false">IF(ISBLANK($C378),"",IF(ISNUMBER(M378), M378, ""))</f>
        <v/>
      </c>
      <c r="AA378" s="98" t="str">
        <f aca="false">IF(ISBLANK($C378),"",IF(ISNUMBER(N378), N378, ""))</f>
        <v/>
      </c>
      <c r="AB378" s="99" t="str">
        <f aca="false">IF(ISBLANK($C378),"",IF(ISNUMBER(O378), O378, ""))</f>
        <v/>
      </c>
      <c r="AC378" s="99" t="str">
        <f aca="false">IF(ISBLANK($C378),"",IF(ISNUMBER(P378), P378, Constants!$B$13))</f>
        <v/>
      </c>
      <c r="AD378" s="96" t="str">
        <f aca="false">IF(ISBLANK($C378),"",IF(Q378=Constants!$B$2, TRUE(), IF(Q378=Constants!$B$3, FALSE(), FALSE())))</f>
        <v/>
      </c>
      <c r="AE378" s="96" t="str">
        <f aca="false">IF(ISBLANK(C378), "", IF(AD378, Constants!$B$4,IF(COUNTA(G378:O378)=0, Constants!$B$5, Constants!$B$7)))</f>
        <v/>
      </c>
      <c r="AF378" s="96" t="str">
        <f aca="false">IF(ISBLANK($C378), "",IF($AE378=Constants!$B$7,1,$AE378))</f>
        <v/>
      </c>
      <c r="AG378" s="96" t="str">
        <f aca="false">IF($AE378=Constants!$B$7,IF(V378, 1, Constants!$B$11) * IF(X378, 1, Constants!$B$12),"")</f>
        <v/>
      </c>
      <c r="AH378" s="96" t="str">
        <f aca="false">IF(AND($AE378=Constants!$B$7, T378, U378) ,MAX(0, $AA378-$Y378),"")</f>
        <v/>
      </c>
      <c r="AI378" s="96" t="str">
        <f aca="false">IF(ISERROR(AH378),$AI$6,"")</f>
        <v/>
      </c>
      <c r="AJ378" s="96" t="str">
        <f aca="false">IF($AE378=Constants!$B$7,IF(AND(T378,U378,W378),IF($AH$6=0,Constants!$B$9,Constants!$B$9*AH378/$AH$6), 0),"")</f>
        <v/>
      </c>
      <c r="AK378" s="96" t="str">
        <f aca="false">IF(AJ378&lt;&gt;"", AJ378*AG378,"")</f>
        <v/>
      </c>
      <c r="AL378" s="96" t="str">
        <f aca="false">IF(AND($AE378=Constants!$B$7, T378, U378) ,IF($Z378="", "", MAX(0,1-ABS($AA378-$Z378)/$AA378)),"")</f>
        <v/>
      </c>
      <c r="AM378" s="96" t="str">
        <f aca="false">IF(AND(NOT(ISERROR(AH378)),ISERROR(AL378)),$AM$6,"")</f>
        <v/>
      </c>
      <c r="AN378" s="96" t="str">
        <f aca="false">IF($AE378=Constants!$B$7 ,IF(AND(T378,U378,W378,ISNUMBER(Z378)),IF($AL$6=0,Constants!$B$10,Constants!$B$10*AL378/$AL$6), 0),"")</f>
        <v/>
      </c>
      <c r="AO378" s="96" t="str">
        <f aca="false">IF(AN378&lt;&gt;"", AN378*AG378,"")</f>
        <v/>
      </c>
      <c r="AP378" s="96" t="str">
        <f aca="false">IF($AE378=Constants!$B$7,IF($AP$6=0,Constants!$B$8,Constants!$B$8*AB378/$AP$6),"")</f>
        <v/>
      </c>
      <c r="AQ378" s="96" t="str">
        <f aca="false">IF($AE378&lt;&gt;Constants!$B$7,$AE378,AK378+AO378+AP378)</f>
        <v/>
      </c>
      <c r="AR378" s="96" t="str">
        <f aca="false">IF(ISBLANK($C378),"",IF($AE378=Constants!$B$7,RANK(AQ378,$AQ$8:$AQ$507),$AE378))</f>
        <v/>
      </c>
      <c r="AS378" s="96" t="str">
        <f aca="false">IF(ISBLANK($C378), "",AK378)</f>
        <v/>
      </c>
      <c r="AT378" s="96" t="str">
        <f aca="false">IF(ISBLANK($C378),"",IF($AE378=Constants!$B$7,RANK(AS378,AS$8:AS$507),$AE378))</f>
        <v/>
      </c>
      <c r="AU378" s="96" t="str">
        <f aca="false">IF(ISBLANK($C378), "",AP378)</f>
        <v/>
      </c>
      <c r="AV378" s="96" t="str">
        <f aca="false">IF(ISBLANK($C378),"",IF($AE378=Constants!$B$7,RANK(AU378,AU$8:AU$507),$AE378))</f>
        <v/>
      </c>
      <c r="AW378" s="96" t="str">
        <f aca="false">IF(ISBLANK($C378), "",AC378)</f>
        <v/>
      </c>
      <c r="AX378" s="96" t="str">
        <f aca="false">IF(ISBLANK($C378),"",
IF($AE378=Constants!$B$7,
  COUNTIFS($AR$8:$AR$507,"&lt;"&amp;$AR378)
  + COUNTIFS($AR$8:$AR$507,$AR378,$AT$8:$AT$507,"&lt;"&amp;$AT378)
  + COUNTIFS($AR$8:$AR$507,$AR378,$AT$8:$AT$507,$AT378,$AV$8:$AV$507,"&lt;"&amp;$AV378)
  + COUNTIFS($AR$8:$AR$507,$AR378,$AT$8:$AT$507,$AT378,$AV$8:$AV$507,$AV378,$AW$8:$AW$507,"&lt;"&amp;$AW378)
  + 1,
$AE378))</f>
        <v/>
      </c>
      <c r="AY378" s="96" t="str">
        <f aca="false">IF(ISBLANK(C378),"",IF($AE378=Constants!$B$7, AR378-AX378,$AE378))</f>
        <v/>
      </c>
      <c r="AZ378" s="100"/>
      <c r="BA378" s="101" t="str">
        <f aca="false">IF(ISBLANK($C378),"",TRIM(AI378&amp;" "&amp;AM378))</f>
        <v/>
      </c>
      <c r="BB378" s="102" t="str">
        <f aca="false">IF(ISBLANK($C378),"",IF($AE378&lt;&gt;Constants!$B$7, $AE378 ,AQ378))</f>
        <v/>
      </c>
      <c r="BC378" s="103" t="str">
        <f aca="false">IF(ISBLANK($C378),"",IF($AE378&lt;&gt;Constants!$B$7, $AE378 ,AF378))</f>
        <v/>
      </c>
      <c r="BD378" s="104" t="str">
        <f aca="false">IF(ISBLANK(C378),"",AY378)</f>
        <v/>
      </c>
      <c r="BE378" s="104" t="str">
        <f aca="false">IF(ISBLANK(C378),"",AX378)</f>
        <v/>
      </c>
      <c r="BF378" s="105" t="str">
        <f aca="false">IF(ISBLANK(C378),"",IFERROR(_xlfn.SWITCH(BE378, Constants!$B$4, COUNTA($C$8:$C877)+2, Constants!$B$5, COUNTA($C$8:$C877)+1, Constants!$B$6, COUNTA($C$8:$C877)),BE378))</f>
        <v/>
      </c>
      <c r="BG378" s="5"/>
      <c r="BH378" s="106" t="n">
        <f aca="false">IF(OR(ISNUMBER(BE378),BE378="DQ",BE378="P",BE378="NS"),
    1,
    0
)</f>
        <v>0</v>
      </c>
      <c r="BI378" s="106" t="n">
        <v>371</v>
      </c>
      <c r="BJ378" s="106" t="str">
        <f aca="false">IF(ISBLANK($C378),
    "",
   BF378+ROW($B378)/1000
)</f>
        <v/>
      </c>
      <c r="BK378" s="106" t="str">
        <f aca="false">IF(ISNUMBER(BJ378), RANK(BJ378,BJ$8:BJ$507,1), "")</f>
        <v/>
      </c>
      <c r="BL378" s="106" t="str">
        <f aca="false">IF(ISBLANK($C378),
    "",
    $B378
)</f>
        <v/>
      </c>
      <c r="BM378" s="106" t="str">
        <f aca="false">IF(ISBLANK($C378),
    "",
    $C378
)</f>
        <v/>
      </c>
      <c r="BN378" s="106" t="str">
        <f aca="false">IF(ISBLANK($C378),
    "",
    $D378
)</f>
        <v/>
      </c>
      <c r="BO378" s="107" t="str">
        <f aca="false">BC378</f>
        <v/>
      </c>
      <c r="BP378" s="108" t="str">
        <f aca="false">BB378</f>
        <v/>
      </c>
      <c r="BQ378" s="106" t="str">
        <f aca="false">IF(ISBLANK($C378),
    "",
    BE378
)</f>
        <v/>
      </c>
      <c r="BR378" s="109" t="str">
        <f aca="false">IF(BI378&gt;BH$7,
    "",
    VLOOKUP(BI378,BK$8:BQ877,7,FALSE())
)</f>
        <v/>
      </c>
      <c r="BS378" s="110" t="str">
        <f aca="false">IF(BI378&gt;BH$7,
    "",
    VLOOKUP(BI378,BK$8:BQ877,2,FALSE())
)</f>
        <v/>
      </c>
      <c r="BT378" s="110" t="str">
        <f aca="false">IF(BI378&gt;BH$7,
    "",
    VLOOKUP(BI378,BK$8:BQ877,3,FALSE())
)</f>
        <v/>
      </c>
      <c r="BU378" s="110" t="str">
        <f aca="false">IF(BI378&gt;BH$7,
    "",
    VLOOKUP(BI378,BK$8:BQ877,4,FALSE())
)</f>
        <v/>
      </c>
      <c r="BV378" s="110" t="str">
        <f aca="false">IF(BI378&gt;BH$7,
    "",
    VLOOKUP(BI378,BK$8:BQ877,5,FALSE())
)</f>
        <v/>
      </c>
      <c r="BW378" s="111" t="str">
        <f aca="false">IF(BI378&gt;BH$7,
    "",
    VLOOKUP(BI378,BK$8:BQ877,6,FALSE())
)</f>
        <v/>
      </c>
      <c r="BX378" s="50"/>
    </row>
    <row r="379" customFormat="false" ht="15.75" hidden="false" customHeight="false" outlineLevel="0" collapsed="false">
      <c r="A379" s="5"/>
      <c r="B379" s="122"/>
      <c r="C379" s="123"/>
      <c r="D379" s="112"/>
      <c r="E379" s="116"/>
      <c r="F379" s="116"/>
      <c r="G379" s="88"/>
      <c r="H379" s="89"/>
      <c r="I379" s="125"/>
      <c r="J379" s="125"/>
      <c r="K379" s="125"/>
      <c r="L379" s="91"/>
      <c r="M379" s="91"/>
      <c r="N379" s="91"/>
      <c r="O379" s="92"/>
      <c r="P379" s="93"/>
      <c r="Q379" s="125"/>
      <c r="R379" s="95"/>
      <c r="S379" s="96"/>
      <c r="T379" s="96" t="str">
        <f aca="false">IF(ISBLANK($C379),"",IF(G379=Constants!$B$2, TRUE(), IF(G379=Constants!$B$3, FALSE(), TRUE())))</f>
        <v/>
      </c>
      <c r="U379" s="96" t="str">
        <f aca="false">IF(ISBLANK($C379),"",IF(H379=Constants!$B$2, TRUE(), IF(H379=Constants!$B$3, FALSE(), TRUE())))</f>
        <v/>
      </c>
      <c r="V379" s="96" t="str">
        <f aca="false">IF(ISBLANK($C379),"",IF(I379=Constants!$B$2, TRUE(), IF(I379=Constants!$B$3, FALSE(), TRUE())))</f>
        <v/>
      </c>
      <c r="W379" s="96" t="str">
        <f aca="false">IF(ISBLANK($C379),"",IF(J379=Constants!$B$2, TRUE(), IF(J379=Constants!$B$3, FALSE(), TRUE())))</f>
        <v/>
      </c>
      <c r="X379" s="97" t="str">
        <f aca="false">IF(ISBLANK($C379),"",IF(K379=Constants!$B$2, TRUE(), IF(K379=Constants!$B$3, FALSE(), TRUE())))</f>
        <v/>
      </c>
      <c r="Y379" s="98" t="str">
        <f aca="false">IF(ISBLANK($C379),"",IF(ISNUMBER(L379), L379, ""))</f>
        <v/>
      </c>
      <c r="Z379" s="98" t="str">
        <f aca="false">IF(ISBLANK($C379),"",IF(ISNUMBER(M379), M379, ""))</f>
        <v/>
      </c>
      <c r="AA379" s="98" t="str">
        <f aca="false">IF(ISBLANK($C379),"",IF(ISNUMBER(N379), N379, ""))</f>
        <v/>
      </c>
      <c r="AB379" s="99" t="str">
        <f aca="false">IF(ISBLANK($C379),"",IF(ISNUMBER(O379), O379, ""))</f>
        <v/>
      </c>
      <c r="AC379" s="99" t="str">
        <f aca="false">IF(ISBLANK($C379),"",IF(ISNUMBER(P379), P379, Constants!$B$13))</f>
        <v/>
      </c>
      <c r="AD379" s="96" t="str">
        <f aca="false">IF(ISBLANK($C379),"",IF(Q379=Constants!$B$2, TRUE(), IF(Q379=Constants!$B$3, FALSE(), FALSE())))</f>
        <v/>
      </c>
      <c r="AE379" s="96" t="str">
        <f aca="false">IF(ISBLANK(C379), "", IF(AD379, Constants!$B$4,IF(COUNTA(G379:O379)=0, Constants!$B$5, Constants!$B$7)))</f>
        <v/>
      </c>
      <c r="AF379" s="96" t="str">
        <f aca="false">IF(ISBLANK($C379), "",IF($AE379=Constants!$B$7,1,$AE379))</f>
        <v/>
      </c>
      <c r="AG379" s="96" t="str">
        <f aca="false">IF($AE379=Constants!$B$7,IF(V379, 1, Constants!$B$11) * IF(X379, 1, Constants!$B$12),"")</f>
        <v/>
      </c>
      <c r="AH379" s="96" t="str">
        <f aca="false">IF(AND($AE379=Constants!$B$7, T379, U379) ,MAX(0, $AA379-$Y379),"")</f>
        <v/>
      </c>
      <c r="AI379" s="96" t="str">
        <f aca="false">IF(ISERROR(AH379),$AI$6,"")</f>
        <v/>
      </c>
      <c r="AJ379" s="96" t="str">
        <f aca="false">IF($AE379=Constants!$B$7,IF(AND(T379,U379,W379),IF($AH$6=0,Constants!$B$9,Constants!$B$9*AH379/$AH$6), 0),"")</f>
        <v/>
      </c>
      <c r="AK379" s="96" t="str">
        <f aca="false">IF(AJ379&lt;&gt;"", AJ379*AG379,"")</f>
        <v/>
      </c>
      <c r="AL379" s="96" t="str">
        <f aca="false">IF(AND($AE379=Constants!$B$7, T379, U379) ,IF($Z379="", "", MAX(0,1-ABS($AA379-$Z379)/$AA379)),"")</f>
        <v/>
      </c>
      <c r="AM379" s="96" t="str">
        <f aca="false">IF(AND(NOT(ISERROR(AH379)),ISERROR(AL379)),$AM$6,"")</f>
        <v/>
      </c>
      <c r="AN379" s="96" t="str">
        <f aca="false">IF($AE379=Constants!$B$7 ,IF(AND(T379,U379,W379,ISNUMBER(Z379)),IF($AL$6=0,Constants!$B$10,Constants!$B$10*AL379/$AL$6), 0),"")</f>
        <v/>
      </c>
      <c r="AO379" s="96" t="str">
        <f aca="false">IF(AN379&lt;&gt;"", AN379*AG379,"")</f>
        <v/>
      </c>
      <c r="AP379" s="96" t="str">
        <f aca="false">IF($AE379=Constants!$B$7,IF($AP$6=0,Constants!$B$8,Constants!$B$8*AB379/$AP$6),"")</f>
        <v/>
      </c>
      <c r="AQ379" s="96" t="str">
        <f aca="false">IF($AE379&lt;&gt;Constants!$B$7,$AE379,AK379+AO379+AP379)</f>
        <v/>
      </c>
      <c r="AR379" s="96" t="str">
        <f aca="false">IF(ISBLANK($C379),"",IF($AE379=Constants!$B$7,RANK(AQ379,$AQ$8:$AQ$507),$AE379))</f>
        <v/>
      </c>
      <c r="AS379" s="96" t="str">
        <f aca="false">IF(ISBLANK($C379), "",AK379)</f>
        <v/>
      </c>
      <c r="AT379" s="96" t="str">
        <f aca="false">IF(ISBLANK($C379),"",IF($AE379=Constants!$B$7,RANK(AS379,AS$8:AS$507),$AE379))</f>
        <v/>
      </c>
      <c r="AU379" s="96" t="str">
        <f aca="false">IF(ISBLANK($C379), "",AP379)</f>
        <v/>
      </c>
      <c r="AV379" s="96" t="str">
        <f aca="false">IF(ISBLANK($C379),"",IF($AE379=Constants!$B$7,RANK(AU379,AU$8:AU$507),$AE379))</f>
        <v/>
      </c>
      <c r="AW379" s="96" t="str">
        <f aca="false">IF(ISBLANK($C379), "",AC379)</f>
        <v/>
      </c>
      <c r="AX379" s="96" t="str">
        <f aca="false">IF(ISBLANK($C379),"",
IF($AE379=Constants!$B$7,
  COUNTIFS($AR$8:$AR$507,"&lt;"&amp;$AR379)
  + COUNTIFS($AR$8:$AR$507,$AR379,$AT$8:$AT$507,"&lt;"&amp;$AT379)
  + COUNTIFS($AR$8:$AR$507,$AR379,$AT$8:$AT$507,$AT379,$AV$8:$AV$507,"&lt;"&amp;$AV379)
  + COUNTIFS($AR$8:$AR$507,$AR379,$AT$8:$AT$507,$AT379,$AV$8:$AV$507,$AV379,$AW$8:$AW$507,"&lt;"&amp;$AW379)
  + 1,
$AE379))</f>
        <v/>
      </c>
      <c r="AY379" s="96" t="str">
        <f aca="false">IF(ISBLANK(C379),"",IF($AE379=Constants!$B$7, AR379-AX379,$AE379))</f>
        <v/>
      </c>
      <c r="AZ379" s="100"/>
      <c r="BA379" s="101" t="str">
        <f aca="false">IF(ISBLANK($C379),"",TRIM(AI379&amp;" "&amp;AM379))</f>
        <v/>
      </c>
      <c r="BB379" s="102" t="str">
        <f aca="false">IF(ISBLANK($C379),"",IF($AE379&lt;&gt;Constants!$B$7, $AE379 ,AQ379))</f>
        <v/>
      </c>
      <c r="BC379" s="103" t="str">
        <f aca="false">IF(ISBLANK($C379),"",IF($AE379&lt;&gt;Constants!$B$7, $AE379 ,AF379))</f>
        <v/>
      </c>
      <c r="BD379" s="104" t="str">
        <f aca="false">IF(ISBLANK(C379),"",AY379)</f>
        <v/>
      </c>
      <c r="BE379" s="104" t="str">
        <f aca="false">IF(ISBLANK(C379),"",AX379)</f>
        <v/>
      </c>
      <c r="BF379" s="105" t="str">
        <f aca="false">IF(ISBLANK(C379),"",IFERROR(_xlfn.SWITCH(BE379, Constants!$B$4, COUNTA($C$8:$C878)+2, Constants!$B$5, COUNTA($C$8:$C878)+1, Constants!$B$6, COUNTA($C$8:$C878)),BE379))</f>
        <v/>
      </c>
      <c r="BG379" s="5"/>
      <c r="BH379" s="106" t="n">
        <f aca="false">IF(OR(ISNUMBER(BE379),BE379="DQ",BE379="P",BE379="NS"),
    1,
    0
)</f>
        <v>0</v>
      </c>
      <c r="BI379" s="106" t="n">
        <v>372</v>
      </c>
      <c r="BJ379" s="106" t="str">
        <f aca="false">IF(ISBLANK($C379),
    "",
   BF379+ROW($B379)/1000
)</f>
        <v/>
      </c>
      <c r="BK379" s="106" t="str">
        <f aca="false">IF(ISNUMBER(BJ379), RANK(BJ379,BJ$8:BJ$507,1), "")</f>
        <v/>
      </c>
      <c r="BL379" s="106" t="str">
        <f aca="false">IF(ISBLANK($C379),
    "",
    $B379
)</f>
        <v/>
      </c>
      <c r="BM379" s="106" t="str">
        <f aca="false">IF(ISBLANK($C379),
    "",
    $C379
)</f>
        <v/>
      </c>
      <c r="BN379" s="106" t="str">
        <f aca="false">IF(ISBLANK($C379),
    "",
    $D379
)</f>
        <v/>
      </c>
      <c r="BO379" s="107" t="str">
        <f aca="false">BC379</f>
        <v/>
      </c>
      <c r="BP379" s="108" t="str">
        <f aca="false">BB379</f>
        <v/>
      </c>
      <c r="BQ379" s="106" t="str">
        <f aca="false">IF(ISBLANK($C379),
    "",
    BE379
)</f>
        <v/>
      </c>
      <c r="BR379" s="109" t="str">
        <f aca="false">IF(BI379&gt;BH$7,
    "",
    VLOOKUP(BI379,BK$8:BQ878,7,FALSE())
)</f>
        <v/>
      </c>
      <c r="BS379" s="110" t="str">
        <f aca="false">IF(BI379&gt;BH$7,
    "",
    VLOOKUP(BI379,BK$8:BQ878,2,FALSE())
)</f>
        <v/>
      </c>
      <c r="BT379" s="110" t="str">
        <f aca="false">IF(BI379&gt;BH$7,
    "",
    VLOOKUP(BI379,BK$8:BQ878,3,FALSE())
)</f>
        <v/>
      </c>
      <c r="BU379" s="110" t="str">
        <f aca="false">IF(BI379&gt;BH$7,
    "",
    VLOOKUP(BI379,BK$8:BQ878,4,FALSE())
)</f>
        <v/>
      </c>
      <c r="BV379" s="110" t="str">
        <f aca="false">IF(BI379&gt;BH$7,
    "",
    VLOOKUP(BI379,BK$8:BQ878,5,FALSE())
)</f>
        <v/>
      </c>
      <c r="BW379" s="111" t="str">
        <f aca="false">IF(BI379&gt;BH$7,
    "",
    VLOOKUP(BI379,BK$8:BQ878,6,FALSE())
)</f>
        <v/>
      </c>
      <c r="BX379" s="50"/>
    </row>
    <row r="380" customFormat="false" ht="15.75" hidden="false" customHeight="false" outlineLevel="0" collapsed="false">
      <c r="A380" s="5"/>
      <c r="B380" s="126"/>
      <c r="C380" s="52"/>
      <c r="D380" s="53"/>
      <c r="E380" s="120"/>
      <c r="F380" s="120"/>
      <c r="G380" s="55"/>
      <c r="H380" s="56"/>
      <c r="I380" s="80"/>
      <c r="J380" s="80"/>
      <c r="K380" s="80"/>
      <c r="L380" s="58"/>
      <c r="M380" s="58"/>
      <c r="N380" s="58"/>
      <c r="O380" s="59"/>
      <c r="P380" s="60"/>
      <c r="Q380" s="80"/>
      <c r="R380" s="62"/>
      <c r="S380" s="63"/>
      <c r="T380" s="63" t="str">
        <f aca="false">IF(ISBLANK($C380),"",IF(G380=Constants!$B$2, TRUE(), IF(G380=Constants!$B$3, FALSE(), TRUE())))</f>
        <v/>
      </c>
      <c r="U380" s="63" t="str">
        <f aca="false">IF(ISBLANK($C380),"",IF(H380=Constants!$B$2, TRUE(), IF(H380=Constants!$B$3, FALSE(), TRUE())))</f>
        <v/>
      </c>
      <c r="V380" s="63" t="str">
        <f aca="false">IF(ISBLANK($C380),"",IF(I380=Constants!$B$2, TRUE(), IF(I380=Constants!$B$3, FALSE(), TRUE())))</f>
        <v/>
      </c>
      <c r="W380" s="63" t="str">
        <f aca="false">IF(ISBLANK($C380),"",IF(J380=Constants!$B$2, TRUE(), IF(J380=Constants!$B$3, FALSE(), TRUE())))</f>
        <v/>
      </c>
      <c r="X380" s="63" t="str">
        <f aca="false">IF(ISBLANK($C380),"",IF(K380=Constants!$B$2, TRUE(), IF(K380=Constants!$B$3, FALSE(), TRUE())))</f>
        <v/>
      </c>
      <c r="Y380" s="65" t="str">
        <f aca="false">IF(ISBLANK($C380),"",IF(ISNUMBER(L380), L380, ""))</f>
        <v/>
      </c>
      <c r="Z380" s="65" t="str">
        <f aca="false">IF(ISBLANK($C380),"",IF(ISNUMBER(M380), M380, ""))</f>
        <v/>
      </c>
      <c r="AA380" s="65" t="str">
        <f aca="false">IF(ISBLANK($C380),"",IF(ISNUMBER(N380), N380, ""))</f>
        <v/>
      </c>
      <c r="AB380" s="66" t="str">
        <f aca="false">IF(ISBLANK($C380),"",IF(ISNUMBER(O380), O380, ""))</f>
        <v/>
      </c>
      <c r="AC380" s="66" t="str">
        <f aca="false">IF(ISBLANK($C380),"",IF(ISNUMBER(P380), P380, Constants!$B$13))</f>
        <v/>
      </c>
      <c r="AD380" s="63" t="str">
        <f aca="false">IF(ISBLANK($C380),"",IF(Q380=Constants!$B$2, TRUE(), IF(Q380=Constants!$B$3, FALSE(), FALSE())))</f>
        <v/>
      </c>
      <c r="AE380" s="63" t="str">
        <f aca="false">IF(ISBLANK(C380), "", IF(AD380, Constants!$B$4,IF(COUNTA(G380:O380)=0, Constants!$B$5, Constants!$B$7)))</f>
        <v/>
      </c>
      <c r="AF380" s="63" t="str">
        <f aca="false">IF(ISBLANK($C380), "",IF($AE380=Constants!$B$7,1,$AE380))</f>
        <v/>
      </c>
      <c r="AG380" s="63" t="str">
        <f aca="false">IF($AE380=Constants!$B$7,IF(V380, 1, Constants!$B$11) * IF(X380, 1, Constants!$B$12),"")</f>
        <v/>
      </c>
      <c r="AH380" s="63" t="str">
        <f aca="false">IF(AND($AE380=Constants!$B$7, T380, U380) ,MAX(0, $AA380-$Y380),"")</f>
        <v/>
      </c>
      <c r="AI380" s="63" t="str">
        <f aca="false">IF(ISERROR(AH380),$AI$6,"")</f>
        <v/>
      </c>
      <c r="AJ380" s="63" t="str">
        <f aca="false">IF($AE380=Constants!$B$7,IF(AND(T380,U380,W380),IF($AH$6=0,Constants!$B$9,Constants!$B$9*AH380/$AH$6), 0),"")</f>
        <v/>
      </c>
      <c r="AK380" s="63" t="str">
        <f aca="false">IF(AJ380&lt;&gt;"", AJ380*AG380,"")</f>
        <v/>
      </c>
      <c r="AL380" s="63" t="str">
        <f aca="false">IF(AND($AE380=Constants!$B$7, T380, U380) ,IF($Z380="", "", MAX(0,1-ABS($AA380-$Z380)/$AA380)),"")</f>
        <v/>
      </c>
      <c r="AM380" s="63" t="str">
        <f aca="false">IF(AND(NOT(ISERROR(AH380)),ISERROR(AL380)),$AM$6,"")</f>
        <v/>
      </c>
      <c r="AN380" s="63" t="str">
        <f aca="false">IF($AE380=Constants!$B$7 ,IF(AND(T380,U380,W380,ISNUMBER(Z380)),IF($AL$6=0,Constants!$B$10,Constants!$B$10*AL380/$AL$6), 0),"")</f>
        <v/>
      </c>
      <c r="AO380" s="63" t="str">
        <f aca="false">IF(AN380&lt;&gt;"", AN380*AG380,"")</f>
        <v/>
      </c>
      <c r="AP380" s="63" t="str">
        <f aca="false">IF($AE380=Constants!$B$7,IF($AP$6=0,Constants!$B$8,Constants!$B$8*AB380/$AP$6),"")</f>
        <v/>
      </c>
      <c r="AQ380" s="63" t="str">
        <f aca="false">IF($AE380&lt;&gt;Constants!$B$7,$AE380,AK380+AO380+AP380)</f>
        <v/>
      </c>
      <c r="AR380" s="63" t="str">
        <f aca="false">IF(ISBLANK($C380),"",IF($AE380=Constants!$B$7,RANK(AQ380,$AQ$8:$AQ$507),$AE380))</f>
        <v/>
      </c>
      <c r="AS380" s="63" t="str">
        <f aca="false">IF(ISBLANK($C380), "",AK380)</f>
        <v/>
      </c>
      <c r="AT380" s="63" t="str">
        <f aca="false">IF(ISBLANK($C380),"",IF($AE380=Constants!$B$7,RANK(AS380,AS$8:AS$507),$AE380))</f>
        <v/>
      </c>
      <c r="AU380" s="63" t="str">
        <f aca="false">IF(ISBLANK($C380), "",AP380)</f>
        <v/>
      </c>
      <c r="AV380" s="63" t="str">
        <f aca="false">IF(ISBLANK($C380),"",IF($AE380=Constants!$B$7,RANK(AU380,AU$8:AU$507),$AE380))</f>
        <v/>
      </c>
      <c r="AW380" s="63" t="str">
        <f aca="false">IF(ISBLANK($C380), "",AC380)</f>
        <v/>
      </c>
      <c r="AX380" s="63" t="str">
        <f aca="false">IF(ISBLANK($C380),"",
IF($AE380=Constants!$B$7,
  COUNTIFS($AR$8:$AR$507,"&lt;"&amp;$AR380)
  + COUNTIFS($AR$8:$AR$507,$AR380,$AT$8:$AT$507,"&lt;"&amp;$AT380)
  + COUNTIFS($AR$8:$AR$507,$AR380,$AT$8:$AT$507,$AT380,$AV$8:$AV$507,"&lt;"&amp;$AV380)
  + COUNTIFS($AR$8:$AR$507,$AR380,$AT$8:$AT$507,$AT380,$AV$8:$AV$507,$AV380,$AW$8:$AW$507,"&lt;"&amp;$AW380)
  + 1,
$AE380))</f>
        <v/>
      </c>
      <c r="AY380" s="63" t="str">
        <f aca="false">IF(ISBLANK(C380),"",IF($AE380=Constants!$B$7, AR380-AX380,$AE380))</f>
        <v/>
      </c>
      <c r="AZ380" s="67"/>
      <c r="BA380" s="81" t="str">
        <f aca="false">IF(ISBLANK($C380),"",TRIM(AI380&amp;" "&amp;AM380))</f>
        <v/>
      </c>
      <c r="BB380" s="69" t="str">
        <f aca="false">IF(ISBLANK($C380),"",IF($AE380&lt;&gt;Constants!$B$7, $AE380 ,AQ380))</f>
        <v/>
      </c>
      <c r="BC380" s="70" t="str">
        <f aca="false">IF(ISBLANK($C380),"",IF($AE380&lt;&gt;Constants!$B$7, $AE380 ,AF380))</f>
        <v/>
      </c>
      <c r="BD380" s="71" t="str">
        <f aca="false">IF(ISBLANK(C380),"",AY380)</f>
        <v/>
      </c>
      <c r="BE380" s="71" t="str">
        <f aca="false">IF(ISBLANK(C380),"",AX380)</f>
        <v/>
      </c>
      <c r="BF380" s="72" t="str">
        <f aca="false">IF(ISBLANK(C380),"",IFERROR(_xlfn.SWITCH(BE380, Constants!$B$4, COUNTA($C$8:$C879)+2, Constants!$B$5, COUNTA($C$8:$C879)+1, Constants!$B$6, COUNTA($C$8:$C879)),BE380))</f>
        <v/>
      </c>
      <c r="BG380" s="5"/>
      <c r="BH380" s="73" t="n">
        <f aca="false">IF(OR(ISNUMBER(BE380),BE380="DQ",BE380="P",BE380="NS"),
    1,
    0
)</f>
        <v>0</v>
      </c>
      <c r="BI380" s="73" t="n">
        <v>373</v>
      </c>
      <c r="BJ380" s="73" t="str">
        <f aca="false">IF(ISBLANK($C380),
    "",
   BF380+ROW($B380)/1000
)</f>
        <v/>
      </c>
      <c r="BK380" s="73" t="str">
        <f aca="false">IF(ISNUMBER(BJ380), RANK(BJ380,BJ$8:BJ$507,1), "")</f>
        <v/>
      </c>
      <c r="BL380" s="73" t="str">
        <f aca="false">IF(ISBLANK($C380),
    "",
    $B380
)</f>
        <v/>
      </c>
      <c r="BM380" s="73" t="str">
        <f aca="false">IF(ISBLANK($C380),
    "",
    $C380
)</f>
        <v/>
      </c>
      <c r="BN380" s="73" t="str">
        <f aca="false">IF(ISBLANK($C380),
    "",
    $D380
)</f>
        <v/>
      </c>
      <c r="BO380" s="74" t="str">
        <f aca="false">BC380</f>
        <v/>
      </c>
      <c r="BP380" s="75" t="str">
        <f aca="false">BB380</f>
        <v/>
      </c>
      <c r="BQ380" s="73" t="str">
        <f aca="false">IF(ISBLANK($C380),
    "",
    BE380
)</f>
        <v/>
      </c>
      <c r="BR380" s="76" t="str">
        <f aca="false">IF(BI380&gt;BH$7,
    "",
    VLOOKUP(BI380,BK$8:BQ879,7,FALSE())
)</f>
        <v/>
      </c>
      <c r="BS380" s="77" t="str">
        <f aca="false">IF(BI380&gt;BH$7,
    "",
    VLOOKUP(BI380,BK$8:BQ879,2,FALSE())
)</f>
        <v/>
      </c>
      <c r="BT380" s="77" t="str">
        <f aca="false">IF(BI380&gt;BH$7,
    "",
    VLOOKUP(BI380,BK$8:BQ879,3,FALSE())
)</f>
        <v/>
      </c>
      <c r="BU380" s="77" t="str">
        <f aca="false">IF(BI380&gt;BH$7,
    "",
    VLOOKUP(BI380,BK$8:BQ879,4,FALSE())
)</f>
        <v/>
      </c>
      <c r="BV380" s="77" t="str">
        <f aca="false">IF(BI380&gt;BH$7,
    "",
    VLOOKUP(BI380,BK$8:BQ879,5,FALSE())
)</f>
        <v/>
      </c>
      <c r="BW380" s="78" t="str">
        <f aca="false">IF(BI380&gt;BH$7,
    "",
    VLOOKUP(BI380,BK$8:BQ879,6,FALSE())
)</f>
        <v/>
      </c>
      <c r="BX380" s="50"/>
    </row>
    <row r="381" customFormat="false" ht="15.75" hidden="false" customHeight="false" outlineLevel="0" collapsed="false">
      <c r="A381" s="5"/>
      <c r="B381" s="126"/>
      <c r="C381" s="52"/>
      <c r="D381" s="53"/>
      <c r="E381" s="120"/>
      <c r="F381" s="120"/>
      <c r="G381" s="55"/>
      <c r="H381" s="56"/>
      <c r="I381" s="80"/>
      <c r="J381" s="80"/>
      <c r="K381" s="80"/>
      <c r="L381" s="58"/>
      <c r="M381" s="58"/>
      <c r="N381" s="58"/>
      <c r="O381" s="59"/>
      <c r="P381" s="60"/>
      <c r="Q381" s="80"/>
      <c r="R381" s="62"/>
      <c r="S381" s="63"/>
      <c r="T381" s="63" t="str">
        <f aca="false">IF(ISBLANK($C381),"",IF(G381=Constants!$B$2, TRUE(), IF(G381=Constants!$B$3, FALSE(), TRUE())))</f>
        <v/>
      </c>
      <c r="U381" s="63" t="str">
        <f aca="false">IF(ISBLANK($C381),"",IF(H381=Constants!$B$2, TRUE(), IF(H381=Constants!$B$3, FALSE(), TRUE())))</f>
        <v/>
      </c>
      <c r="V381" s="63" t="str">
        <f aca="false">IF(ISBLANK($C381),"",IF(I381=Constants!$B$2, TRUE(), IF(I381=Constants!$B$3, FALSE(), TRUE())))</f>
        <v/>
      </c>
      <c r="W381" s="63" t="str">
        <f aca="false">IF(ISBLANK($C381),"",IF(J381=Constants!$B$2, TRUE(), IF(J381=Constants!$B$3, FALSE(), TRUE())))</f>
        <v/>
      </c>
      <c r="X381" s="63" t="str">
        <f aca="false">IF(ISBLANK($C381),"",IF(K381=Constants!$B$2, TRUE(), IF(K381=Constants!$B$3, FALSE(), TRUE())))</f>
        <v/>
      </c>
      <c r="Y381" s="65" t="str">
        <f aca="false">IF(ISBLANK($C381),"",IF(ISNUMBER(L381), L381, ""))</f>
        <v/>
      </c>
      <c r="Z381" s="65" t="str">
        <f aca="false">IF(ISBLANK($C381),"",IF(ISNUMBER(M381), M381, ""))</f>
        <v/>
      </c>
      <c r="AA381" s="65" t="str">
        <f aca="false">IF(ISBLANK($C381),"",IF(ISNUMBER(N381), N381, ""))</f>
        <v/>
      </c>
      <c r="AB381" s="66" t="str">
        <f aca="false">IF(ISBLANK($C381),"",IF(ISNUMBER(O381), O381, ""))</f>
        <v/>
      </c>
      <c r="AC381" s="66" t="str">
        <f aca="false">IF(ISBLANK($C381),"",IF(ISNUMBER(P381), P381, Constants!$B$13))</f>
        <v/>
      </c>
      <c r="AD381" s="63" t="str">
        <f aca="false">IF(ISBLANK($C381),"",IF(Q381=Constants!$B$2, TRUE(), IF(Q381=Constants!$B$3, FALSE(), FALSE())))</f>
        <v/>
      </c>
      <c r="AE381" s="63" t="str">
        <f aca="false">IF(ISBLANK(C381), "", IF(AD381, Constants!$B$4,IF(COUNTA(G381:O381)=0, Constants!$B$5, Constants!$B$7)))</f>
        <v/>
      </c>
      <c r="AF381" s="63" t="str">
        <f aca="false">IF(ISBLANK($C381), "",IF($AE381=Constants!$B$7,1,$AE381))</f>
        <v/>
      </c>
      <c r="AG381" s="63" t="str">
        <f aca="false">IF($AE381=Constants!$B$7,IF(V381, 1, Constants!$B$11) * IF(X381, 1, Constants!$B$12),"")</f>
        <v/>
      </c>
      <c r="AH381" s="63" t="str">
        <f aca="false">IF(AND($AE381=Constants!$B$7, T381, U381) ,MAX(0, $AA381-$Y381),"")</f>
        <v/>
      </c>
      <c r="AI381" s="63" t="str">
        <f aca="false">IF(ISERROR(AH381),$AI$6,"")</f>
        <v/>
      </c>
      <c r="AJ381" s="63" t="str">
        <f aca="false">IF($AE381=Constants!$B$7,IF(AND(T381,U381,W381),IF($AH$6=0,Constants!$B$9,Constants!$B$9*AH381/$AH$6), 0),"")</f>
        <v/>
      </c>
      <c r="AK381" s="63" t="str">
        <f aca="false">IF(AJ381&lt;&gt;"", AJ381*AG381,"")</f>
        <v/>
      </c>
      <c r="AL381" s="63" t="str">
        <f aca="false">IF(AND($AE381=Constants!$B$7, T381, U381) ,IF($Z381="", "", MAX(0,1-ABS($AA381-$Z381)/$AA381)),"")</f>
        <v/>
      </c>
      <c r="AM381" s="63" t="str">
        <f aca="false">IF(AND(NOT(ISERROR(AH381)),ISERROR(AL381)),$AM$6,"")</f>
        <v/>
      </c>
      <c r="AN381" s="63" t="str">
        <f aca="false">IF($AE381=Constants!$B$7 ,IF(AND(T381,U381,W381,ISNUMBER(Z381)),IF($AL$6=0,Constants!$B$10,Constants!$B$10*AL381/$AL$6), 0),"")</f>
        <v/>
      </c>
      <c r="AO381" s="63" t="str">
        <f aca="false">IF(AN381&lt;&gt;"", AN381*AG381,"")</f>
        <v/>
      </c>
      <c r="AP381" s="63" t="str">
        <f aca="false">IF($AE381=Constants!$B$7,IF($AP$6=0,Constants!$B$8,Constants!$B$8*AB381/$AP$6),"")</f>
        <v/>
      </c>
      <c r="AQ381" s="63" t="str">
        <f aca="false">IF($AE381&lt;&gt;Constants!$B$7,$AE381,AK381+AO381+AP381)</f>
        <v/>
      </c>
      <c r="AR381" s="63" t="str">
        <f aca="false">IF(ISBLANK($C381),"",IF($AE381=Constants!$B$7,RANK(AQ381,$AQ$8:$AQ$507),$AE381))</f>
        <v/>
      </c>
      <c r="AS381" s="63" t="str">
        <f aca="false">IF(ISBLANK($C381), "",AK381)</f>
        <v/>
      </c>
      <c r="AT381" s="63" t="str">
        <f aca="false">IF(ISBLANK($C381),"",IF($AE381=Constants!$B$7,RANK(AS381,AS$8:AS$507),$AE381))</f>
        <v/>
      </c>
      <c r="AU381" s="63" t="str">
        <f aca="false">IF(ISBLANK($C381), "",AP381)</f>
        <v/>
      </c>
      <c r="AV381" s="63" t="str">
        <f aca="false">IF(ISBLANK($C381),"",IF($AE381=Constants!$B$7,RANK(AU381,AU$8:AU$507),$AE381))</f>
        <v/>
      </c>
      <c r="AW381" s="63" t="str">
        <f aca="false">IF(ISBLANK($C381), "",AC381)</f>
        <v/>
      </c>
      <c r="AX381" s="63" t="str">
        <f aca="false">IF(ISBLANK($C381),"",
IF($AE381=Constants!$B$7,
  COUNTIFS($AR$8:$AR$507,"&lt;"&amp;$AR381)
  + COUNTIFS($AR$8:$AR$507,$AR381,$AT$8:$AT$507,"&lt;"&amp;$AT381)
  + COUNTIFS($AR$8:$AR$507,$AR381,$AT$8:$AT$507,$AT381,$AV$8:$AV$507,"&lt;"&amp;$AV381)
  + COUNTIFS($AR$8:$AR$507,$AR381,$AT$8:$AT$507,$AT381,$AV$8:$AV$507,$AV381,$AW$8:$AW$507,"&lt;"&amp;$AW381)
  + 1,
$AE381))</f>
        <v/>
      </c>
      <c r="AY381" s="63" t="str">
        <f aca="false">IF(ISBLANK(C381),"",IF($AE381=Constants!$B$7, AR381-AX381,$AE381))</f>
        <v/>
      </c>
      <c r="AZ381" s="67"/>
      <c r="BA381" s="81" t="str">
        <f aca="false">IF(ISBLANK($C381),"",TRIM(AI381&amp;" "&amp;AM381))</f>
        <v/>
      </c>
      <c r="BB381" s="69" t="str">
        <f aca="false">IF(ISBLANK($C381),"",IF($AE381&lt;&gt;Constants!$B$7, $AE381 ,AQ381))</f>
        <v/>
      </c>
      <c r="BC381" s="70" t="str">
        <f aca="false">IF(ISBLANK($C381),"",IF($AE381&lt;&gt;Constants!$B$7, $AE381 ,AF381))</f>
        <v/>
      </c>
      <c r="BD381" s="71" t="str">
        <f aca="false">IF(ISBLANK(C381),"",AY381)</f>
        <v/>
      </c>
      <c r="BE381" s="71" t="str">
        <f aca="false">IF(ISBLANK(C381),"",AX381)</f>
        <v/>
      </c>
      <c r="BF381" s="72" t="str">
        <f aca="false">IF(ISBLANK(C381),"",IFERROR(_xlfn.SWITCH(BE381, Constants!$B$4, COUNTA($C$8:$C880)+2, Constants!$B$5, COUNTA($C$8:$C880)+1, Constants!$B$6, COUNTA($C$8:$C880)),BE381))</f>
        <v/>
      </c>
      <c r="BG381" s="5"/>
      <c r="BH381" s="73" t="n">
        <f aca="false">IF(OR(ISNUMBER(BE381),BE381="DQ",BE381="P",BE381="NS"),
    1,
    0
)</f>
        <v>0</v>
      </c>
      <c r="BI381" s="73" t="n">
        <v>374</v>
      </c>
      <c r="BJ381" s="73" t="str">
        <f aca="false">IF(ISBLANK($C381),
    "",
   BF381+ROW($B381)/1000
)</f>
        <v/>
      </c>
      <c r="BK381" s="73" t="str">
        <f aca="false">IF(ISNUMBER(BJ381), RANK(BJ381,BJ$8:BJ$507,1), "")</f>
        <v/>
      </c>
      <c r="BL381" s="73" t="str">
        <f aca="false">IF(ISBLANK($C381),
    "",
    $B381
)</f>
        <v/>
      </c>
      <c r="BM381" s="73" t="str">
        <f aca="false">IF(ISBLANK($C381),
    "",
    $C381
)</f>
        <v/>
      </c>
      <c r="BN381" s="73" t="str">
        <f aca="false">IF(ISBLANK($C381),
    "",
    $D381
)</f>
        <v/>
      </c>
      <c r="BO381" s="74" t="str">
        <f aca="false">BC381</f>
        <v/>
      </c>
      <c r="BP381" s="75" t="str">
        <f aca="false">BB381</f>
        <v/>
      </c>
      <c r="BQ381" s="73" t="str">
        <f aca="false">IF(ISBLANK($C381),
    "",
    BE381
)</f>
        <v/>
      </c>
      <c r="BR381" s="76" t="str">
        <f aca="false">IF(BI381&gt;BH$7,
    "",
    VLOOKUP(BI381,BK$8:BQ880,7,FALSE())
)</f>
        <v/>
      </c>
      <c r="BS381" s="77" t="str">
        <f aca="false">IF(BI381&gt;BH$7,
    "",
    VLOOKUP(BI381,BK$8:BQ880,2,FALSE())
)</f>
        <v/>
      </c>
      <c r="BT381" s="77" t="str">
        <f aca="false">IF(BI381&gt;BH$7,
    "",
    VLOOKUP(BI381,BK$8:BQ880,3,FALSE())
)</f>
        <v/>
      </c>
      <c r="BU381" s="77" t="str">
        <f aca="false">IF(BI381&gt;BH$7,
    "",
    VLOOKUP(BI381,BK$8:BQ880,4,FALSE())
)</f>
        <v/>
      </c>
      <c r="BV381" s="77" t="str">
        <f aca="false">IF(BI381&gt;BH$7,
    "",
    VLOOKUP(BI381,BK$8:BQ880,5,FALSE())
)</f>
        <v/>
      </c>
      <c r="BW381" s="78" t="str">
        <f aca="false">IF(BI381&gt;BH$7,
    "",
    VLOOKUP(BI381,BK$8:BQ880,6,FALSE())
)</f>
        <v/>
      </c>
      <c r="BX381" s="50"/>
    </row>
    <row r="382" customFormat="false" ht="15.75" hidden="false" customHeight="false" outlineLevel="0" collapsed="false">
      <c r="A382" s="5"/>
      <c r="B382" s="126"/>
      <c r="C382" s="52"/>
      <c r="D382" s="53"/>
      <c r="E382" s="120"/>
      <c r="F382" s="120"/>
      <c r="G382" s="55"/>
      <c r="H382" s="56"/>
      <c r="I382" s="80"/>
      <c r="J382" s="80"/>
      <c r="K382" s="80"/>
      <c r="L382" s="58"/>
      <c r="M382" s="58"/>
      <c r="N382" s="58"/>
      <c r="O382" s="59"/>
      <c r="P382" s="60"/>
      <c r="Q382" s="80"/>
      <c r="R382" s="62"/>
      <c r="S382" s="63"/>
      <c r="T382" s="63" t="str">
        <f aca="false">IF(ISBLANK($C382),"",IF(G382=Constants!$B$2, TRUE(), IF(G382=Constants!$B$3, FALSE(), TRUE())))</f>
        <v/>
      </c>
      <c r="U382" s="63" t="str">
        <f aca="false">IF(ISBLANK($C382),"",IF(H382=Constants!$B$2, TRUE(), IF(H382=Constants!$B$3, FALSE(), TRUE())))</f>
        <v/>
      </c>
      <c r="V382" s="63" t="str">
        <f aca="false">IF(ISBLANK($C382),"",IF(I382=Constants!$B$2, TRUE(), IF(I382=Constants!$B$3, FALSE(), TRUE())))</f>
        <v/>
      </c>
      <c r="W382" s="63" t="str">
        <f aca="false">IF(ISBLANK($C382),"",IF(J382=Constants!$B$2, TRUE(), IF(J382=Constants!$B$3, FALSE(), TRUE())))</f>
        <v/>
      </c>
      <c r="X382" s="63" t="str">
        <f aca="false">IF(ISBLANK($C382),"",IF(K382=Constants!$B$2, TRUE(), IF(K382=Constants!$B$3, FALSE(), TRUE())))</f>
        <v/>
      </c>
      <c r="Y382" s="65" t="str">
        <f aca="false">IF(ISBLANK($C382),"",IF(ISNUMBER(L382), L382, ""))</f>
        <v/>
      </c>
      <c r="Z382" s="65" t="str">
        <f aca="false">IF(ISBLANK($C382),"",IF(ISNUMBER(M382), M382, ""))</f>
        <v/>
      </c>
      <c r="AA382" s="65" t="str">
        <f aca="false">IF(ISBLANK($C382),"",IF(ISNUMBER(N382), N382, ""))</f>
        <v/>
      </c>
      <c r="AB382" s="66" t="str">
        <f aca="false">IF(ISBLANK($C382),"",IF(ISNUMBER(O382), O382, ""))</f>
        <v/>
      </c>
      <c r="AC382" s="66" t="str">
        <f aca="false">IF(ISBLANK($C382),"",IF(ISNUMBER(P382), P382, Constants!$B$13))</f>
        <v/>
      </c>
      <c r="AD382" s="63" t="str">
        <f aca="false">IF(ISBLANK($C382),"",IF(Q382=Constants!$B$2, TRUE(), IF(Q382=Constants!$B$3, FALSE(), FALSE())))</f>
        <v/>
      </c>
      <c r="AE382" s="63" t="str">
        <f aca="false">IF(ISBLANK(C382), "", IF(AD382, Constants!$B$4,IF(COUNTA(G382:O382)=0, Constants!$B$5, Constants!$B$7)))</f>
        <v/>
      </c>
      <c r="AF382" s="63" t="str">
        <f aca="false">IF(ISBLANK($C382), "",IF($AE382=Constants!$B$7,1,$AE382))</f>
        <v/>
      </c>
      <c r="AG382" s="63" t="str">
        <f aca="false">IF($AE382=Constants!$B$7,IF(V382, 1, Constants!$B$11) * IF(X382, 1, Constants!$B$12),"")</f>
        <v/>
      </c>
      <c r="AH382" s="63" t="str">
        <f aca="false">IF(AND($AE382=Constants!$B$7, T382, U382) ,MAX(0, $AA382-$Y382),"")</f>
        <v/>
      </c>
      <c r="AI382" s="63" t="str">
        <f aca="false">IF(ISERROR(AH382),$AI$6,"")</f>
        <v/>
      </c>
      <c r="AJ382" s="63" t="str">
        <f aca="false">IF($AE382=Constants!$B$7,IF(AND(T382,U382,W382),IF($AH$6=0,Constants!$B$9,Constants!$B$9*AH382/$AH$6), 0),"")</f>
        <v/>
      </c>
      <c r="AK382" s="63" t="str">
        <f aca="false">IF(AJ382&lt;&gt;"", AJ382*AG382,"")</f>
        <v/>
      </c>
      <c r="AL382" s="63" t="str">
        <f aca="false">IF(AND($AE382=Constants!$B$7, T382, U382) ,IF($Z382="", "", MAX(0,1-ABS($AA382-$Z382)/$AA382)),"")</f>
        <v/>
      </c>
      <c r="AM382" s="63" t="str">
        <f aca="false">IF(AND(NOT(ISERROR(AH382)),ISERROR(AL382)),$AM$6,"")</f>
        <v/>
      </c>
      <c r="AN382" s="63" t="str">
        <f aca="false">IF($AE382=Constants!$B$7 ,IF(AND(T382,U382,W382,ISNUMBER(Z382)),IF($AL$6=0,Constants!$B$10,Constants!$B$10*AL382/$AL$6), 0),"")</f>
        <v/>
      </c>
      <c r="AO382" s="63" t="str">
        <f aca="false">IF(AN382&lt;&gt;"", AN382*AG382,"")</f>
        <v/>
      </c>
      <c r="AP382" s="63" t="str">
        <f aca="false">IF($AE382=Constants!$B$7,IF($AP$6=0,Constants!$B$8,Constants!$B$8*AB382/$AP$6),"")</f>
        <v/>
      </c>
      <c r="AQ382" s="63" t="str">
        <f aca="false">IF($AE382&lt;&gt;Constants!$B$7,$AE382,AK382+AO382+AP382)</f>
        <v/>
      </c>
      <c r="AR382" s="63" t="str">
        <f aca="false">IF(ISBLANK($C382),"",IF($AE382=Constants!$B$7,RANK(AQ382,$AQ$8:$AQ$507),$AE382))</f>
        <v/>
      </c>
      <c r="AS382" s="63" t="str">
        <f aca="false">IF(ISBLANK($C382), "",AK382)</f>
        <v/>
      </c>
      <c r="AT382" s="63" t="str">
        <f aca="false">IF(ISBLANK($C382),"",IF($AE382=Constants!$B$7,RANK(AS382,AS$8:AS$507),$AE382))</f>
        <v/>
      </c>
      <c r="AU382" s="63" t="str">
        <f aca="false">IF(ISBLANK($C382), "",AP382)</f>
        <v/>
      </c>
      <c r="AV382" s="63" t="str">
        <f aca="false">IF(ISBLANK($C382),"",IF($AE382=Constants!$B$7,RANK(AU382,AU$8:AU$507),$AE382))</f>
        <v/>
      </c>
      <c r="AW382" s="63" t="str">
        <f aca="false">IF(ISBLANK($C382), "",AC382)</f>
        <v/>
      </c>
      <c r="AX382" s="63" t="str">
        <f aca="false">IF(ISBLANK($C382),"",
IF($AE382=Constants!$B$7,
  COUNTIFS($AR$8:$AR$507,"&lt;"&amp;$AR382)
  + COUNTIFS($AR$8:$AR$507,$AR382,$AT$8:$AT$507,"&lt;"&amp;$AT382)
  + COUNTIFS($AR$8:$AR$507,$AR382,$AT$8:$AT$507,$AT382,$AV$8:$AV$507,"&lt;"&amp;$AV382)
  + COUNTIFS($AR$8:$AR$507,$AR382,$AT$8:$AT$507,$AT382,$AV$8:$AV$507,$AV382,$AW$8:$AW$507,"&lt;"&amp;$AW382)
  + 1,
$AE382))</f>
        <v/>
      </c>
      <c r="AY382" s="63" t="str">
        <f aca="false">IF(ISBLANK(C382),"",IF($AE382=Constants!$B$7, AR382-AX382,$AE382))</f>
        <v/>
      </c>
      <c r="AZ382" s="67"/>
      <c r="BA382" s="81" t="str">
        <f aca="false">IF(ISBLANK($C382),"",TRIM(AI382&amp;" "&amp;AM382))</f>
        <v/>
      </c>
      <c r="BB382" s="69" t="str">
        <f aca="false">IF(ISBLANK($C382),"",IF($AE382&lt;&gt;Constants!$B$7, $AE382 ,AQ382))</f>
        <v/>
      </c>
      <c r="BC382" s="70" t="str">
        <f aca="false">IF(ISBLANK($C382),"",IF($AE382&lt;&gt;Constants!$B$7, $AE382 ,AF382))</f>
        <v/>
      </c>
      <c r="BD382" s="71" t="str">
        <f aca="false">IF(ISBLANK(C382),"",AY382)</f>
        <v/>
      </c>
      <c r="BE382" s="71" t="str">
        <f aca="false">IF(ISBLANK(C382),"",AX382)</f>
        <v/>
      </c>
      <c r="BF382" s="72" t="str">
        <f aca="false">IF(ISBLANK(C382),"",IFERROR(_xlfn.SWITCH(BE382, Constants!$B$4, COUNTA($C$8:$C881)+2, Constants!$B$5, COUNTA($C$8:$C881)+1, Constants!$B$6, COUNTA($C$8:$C881)),BE382))</f>
        <v/>
      </c>
      <c r="BG382" s="5"/>
      <c r="BH382" s="73" t="n">
        <f aca="false">IF(OR(ISNUMBER(BE382),BE382="DQ",BE382="P",BE382="NS"),
    1,
    0
)</f>
        <v>0</v>
      </c>
      <c r="BI382" s="73" t="n">
        <v>375</v>
      </c>
      <c r="BJ382" s="73" t="str">
        <f aca="false">IF(ISBLANK($C382),
    "",
   BF382+ROW($B382)/1000
)</f>
        <v/>
      </c>
      <c r="BK382" s="73" t="str">
        <f aca="false">IF(ISNUMBER(BJ382), RANK(BJ382,BJ$8:BJ$507,1), "")</f>
        <v/>
      </c>
      <c r="BL382" s="73" t="str">
        <f aca="false">IF(ISBLANK($C382),
    "",
    $B382
)</f>
        <v/>
      </c>
      <c r="BM382" s="73" t="str">
        <f aca="false">IF(ISBLANK($C382),
    "",
    $C382
)</f>
        <v/>
      </c>
      <c r="BN382" s="73" t="str">
        <f aca="false">IF(ISBLANK($C382),
    "",
    $D382
)</f>
        <v/>
      </c>
      <c r="BO382" s="74" t="str">
        <f aca="false">BC382</f>
        <v/>
      </c>
      <c r="BP382" s="75" t="str">
        <f aca="false">BB382</f>
        <v/>
      </c>
      <c r="BQ382" s="73" t="str">
        <f aca="false">IF(ISBLANK($C382),
    "",
    BE382
)</f>
        <v/>
      </c>
      <c r="BR382" s="76" t="str">
        <f aca="false">IF(BI382&gt;BH$7,
    "",
    VLOOKUP(BI382,BK$8:BQ881,7,FALSE())
)</f>
        <v/>
      </c>
      <c r="BS382" s="77" t="str">
        <f aca="false">IF(BI382&gt;BH$7,
    "",
    VLOOKUP(BI382,BK$8:BQ881,2,FALSE())
)</f>
        <v/>
      </c>
      <c r="BT382" s="77" t="str">
        <f aca="false">IF(BI382&gt;BH$7,
    "",
    VLOOKUP(BI382,BK$8:BQ881,3,FALSE())
)</f>
        <v/>
      </c>
      <c r="BU382" s="77" t="str">
        <f aca="false">IF(BI382&gt;BH$7,
    "",
    VLOOKUP(BI382,BK$8:BQ881,4,FALSE())
)</f>
        <v/>
      </c>
      <c r="BV382" s="77" t="str">
        <f aca="false">IF(BI382&gt;BH$7,
    "",
    VLOOKUP(BI382,BK$8:BQ881,5,FALSE())
)</f>
        <v/>
      </c>
      <c r="BW382" s="78" t="str">
        <f aca="false">IF(BI382&gt;BH$7,
    "",
    VLOOKUP(BI382,BK$8:BQ881,6,FALSE())
)</f>
        <v/>
      </c>
      <c r="BX382" s="50"/>
    </row>
    <row r="383" customFormat="false" ht="15.75" hidden="false" customHeight="false" outlineLevel="0" collapsed="false">
      <c r="A383" s="5"/>
      <c r="B383" s="122"/>
      <c r="C383" s="123"/>
      <c r="D383" s="112"/>
      <c r="E383" s="116"/>
      <c r="F383" s="116"/>
      <c r="G383" s="88"/>
      <c r="H383" s="89"/>
      <c r="I383" s="125"/>
      <c r="J383" s="125"/>
      <c r="K383" s="125"/>
      <c r="L383" s="91"/>
      <c r="M383" s="91"/>
      <c r="N383" s="91"/>
      <c r="O383" s="92"/>
      <c r="P383" s="93"/>
      <c r="Q383" s="125"/>
      <c r="R383" s="95"/>
      <c r="S383" s="96"/>
      <c r="T383" s="96" t="str">
        <f aca="false">IF(ISBLANK($C383),"",IF(G383=Constants!$B$2, TRUE(), IF(G383=Constants!$B$3, FALSE(), TRUE())))</f>
        <v/>
      </c>
      <c r="U383" s="96" t="str">
        <f aca="false">IF(ISBLANK($C383),"",IF(H383=Constants!$B$2, TRUE(), IF(H383=Constants!$B$3, FALSE(), TRUE())))</f>
        <v/>
      </c>
      <c r="V383" s="96" t="str">
        <f aca="false">IF(ISBLANK($C383),"",IF(I383=Constants!$B$2, TRUE(), IF(I383=Constants!$B$3, FALSE(), TRUE())))</f>
        <v/>
      </c>
      <c r="W383" s="96" t="str">
        <f aca="false">IF(ISBLANK($C383),"",IF(J383=Constants!$B$2, TRUE(), IF(J383=Constants!$B$3, FALSE(), TRUE())))</f>
        <v/>
      </c>
      <c r="X383" s="97" t="str">
        <f aca="false">IF(ISBLANK($C383),"",IF(K383=Constants!$B$2, TRUE(), IF(K383=Constants!$B$3, FALSE(), TRUE())))</f>
        <v/>
      </c>
      <c r="Y383" s="98" t="str">
        <f aca="false">IF(ISBLANK($C383),"",IF(ISNUMBER(L383), L383, ""))</f>
        <v/>
      </c>
      <c r="Z383" s="98" t="str">
        <f aca="false">IF(ISBLANK($C383),"",IF(ISNUMBER(M383), M383, ""))</f>
        <v/>
      </c>
      <c r="AA383" s="98" t="str">
        <f aca="false">IF(ISBLANK($C383),"",IF(ISNUMBER(N383), N383, ""))</f>
        <v/>
      </c>
      <c r="AB383" s="99" t="str">
        <f aca="false">IF(ISBLANK($C383),"",IF(ISNUMBER(O383), O383, ""))</f>
        <v/>
      </c>
      <c r="AC383" s="99" t="str">
        <f aca="false">IF(ISBLANK($C383),"",IF(ISNUMBER(P383), P383, Constants!$B$13))</f>
        <v/>
      </c>
      <c r="AD383" s="96" t="str">
        <f aca="false">IF(ISBLANK($C383),"",IF(Q383=Constants!$B$2, TRUE(), IF(Q383=Constants!$B$3, FALSE(), FALSE())))</f>
        <v/>
      </c>
      <c r="AE383" s="96" t="str">
        <f aca="false">IF(ISBLANK(C383), "", IF(AD383, Constants!$B$4,IF(COUNTA(G383:O383)=0, Constants!$B$5, Constants!$B$7)))</f>
        <v/>
      </c>
      <c r="AF383" s="96" t="str">
        <f aca="false">IF(ISBLANK($C383), "",IF($AE383=Constants!$B$7,1,$AE383))</f>
        <v/>
      </c>
      <c r="AG383" s="96" t="str">
        <f aca="false">IF($AE383=Constants!$B$7,IF(V383, 1, Constants!$B$11) * IF(X383, 1, Constants!$B$12),"")</f>
        <v/>
      </c>
      <c r="AH383" s="96" t="str">
        <f aca="false">IF(AND($AE383=Constants!$B$7, T383, U383) ,MAX(0, $AA383-$Y383),"")</f>
        <v/>
      </c>
      <c r="AI383" s="96" t="str">
        <f aca="false">IF(ISERROR(AH383),$AI$6,"")</f>
        <v/>
      </c>
      <c r="AJ383" s="96" t="str">
        <f aca="false">IF($AE383=Constants!$B$7,IF(AND(T383,U383,W383),IF($AH$6=0,Constants!$B$9,Constants!$B$9*AH383/$AH$6), 0),"")</f>
        <v/>
      </c>
      <c r="AK383" s="96" t="str">
        <f aca="false">IF(AJ383&lt;&gt;"", AJ383*AG383,"")</f>
        <v/>
      </c>
      <c r="AL383" s="96" t="str">
        <f aca="false">IF(AND($AE383=Constants!$B$7, T383, U383) ,IF($Z383="", "", MAX(0,1-ABS($AA383-$Z383)/$AA383)),"")</f>
        <v/>
      </c>
      <c r="AM383" s="96" t="str">
        <f aca="false">IF(AND(NOT(ISERROR(AH383)),ISERROR(AL383)),$AM$6,"")</f>
        <v/>
      </c>
      <c r="AN383" s="96" t="str">
        <f aca="false">IF($AE383=Constants!$B$7 ,IF(AND(T383,U383,W383,ISNUMBER(Z383)),IF($AL$6=0,Constants!$B$10,Constants!$B$10*AL383/$AL$6), 0),"")</f>
        <v/>
      </c>
      <c r="AO383" s="96" t="str">
        <f aca="false">IF(AN383&lt;&gt;"", AN383*AG383,"")</f>
        <v/>
      </c>
      <c r="AP383" s="96" t="str">
        <f aca="false">IF($AE383=Constants!$B$7,IF($AP$6=0,Constants!$B$8,Constants!$B$8*AB383/$AP$6),"")</f>
        <v/>
      </c>
      <c r="AQ383" s="96" t="str">
        <f aca="false">IF($AE383&lt;&gt;Constants!$B$7,$AE383,AK383+AO383+AP383)</f>
        <v/>
      </c>
      <c r="AR383" s="96" t="str">
        <f aca="false">IF(ISBLANK($C383),"",IF($AE383=Constants!$B$7,RANK(AQ383,$AQ$8:$AQ$507),$AE383))</f>
        <v/>
      </c>
      <c r="AS383" s="96" t="str">
        <f aca="false">IF(ISBLANK($C383), "",AK383)</f>
        <v/>
      </c>
      <c r="AT383" s="96" t="str">
        <f aca="false">IF(ISBLANK($C383),"",IF($AE383=Constants!$B$7,RANK(AS383,AS$8:AS$507),$AE383))</f>
        <v/>
      </c>
      <c r="AU383" s="96" t="str">
        <f aca="false">IF(ISBLANK($C383), "",AP383)</f>
        <v/>
      </c>
      <c r="AV383" s="96" t="str">
        <f aca="false">IF(ISBLANK($C383),"",IF($AE383=Constants!$B$7,RANK(AU383,AU$8:AU$507),$AE383))</f>
        <v/>
      </c>
      <c r="AW383" s="96" t="str">
        <f aca="false">IF(ISBLANK($C383), "",AC383)</f>
        <v/>
      </c>
      <c r="AX383" s="96" t="str">
        <f aca="false">IF(ISBLANK($C383),"",
IF($AE383=Constants!$B$7,
  COUNTIFS($AR$8:$AR$507,"&lt;"&amp;$AR383)
  + COUNTIFS($AR$8:$AR$507,$AR383,$AT$8:$AT$507,"&lt;"&amp;$AT383)
  + COUNTIFS($AR$8:$AR$507,$AR383,$AT$8:$AT$507,$AT383,$AV$8:$AV$507,"&lt;"&amp;$AV383)
  + COUNTIFS($AR$8:$AR$507,$AR383,$AT$8:$AT$507,$AT383,$AV$8:$AV$507,$AV383,$AW$8:$AW$507,"&lt;"&amp;$AW383)
  + 1,
$AE383))</f>
        <v/>
      </c>
      <c r="AY383" s="96" t="str">
        <f aca="false">IF(ISBLANK(C383),"",IF($AE383=Constants!$B$7, AR383-AX383,$AE383))</f>
        <v/>
      </c>
      <c r="AZ383" s="100"/>
      <c r="BA383" s="101" t="str">
        <f aca="false">IF(ISBLANK($C383),"",TRIM(AI383&amp;" "&amp;AM383))</f>
        <v/>
      </c>
      <c r="BB383" s="102" t="str">
        <f aca="false">IF(ISBLANK($C383),"",IF($AE383&lt;&gt;Constants!$B$7, $AE383 ,AQ383))</f>
        <v/>
      </c>
      <c r="BC383" s="103" t="str">
        <f aca="false">IF(ISBLANK($C383),"",IF($AE383&lt;&gt;Constants!$B$7, $AE383 ,AF383))</f>
        <v/>
      </c>
      <c r="BD383" s="104" t="str">
        <f aca="false">IF(ISBLANK(C383),"",AY383)</f>
        <v/>
      </c>
      <c r="BE383" s="104" t="str">
        <f aca="false">IF(ISBLANK(C383),"",AX383)</f>
        <v/>
      </c>
      <c r="BF383" s="105" t="str">
        <f aca="false">IF(ISBLANK(C383),"",IFERROR(_xlfn.SWITCH(BE383, Constants!$B$4, COUNTA($C$8:$C882)+2, Constants!$B$5, COUNTA($C$8:$C882)+1, Constants!$B$6, COUNTA($C$8:$C882)),BE383))</f>
        <v/>
      </c>
      <c r="BG383" s="5"/>
      <c r="BH383" s="106" t="n">
        <f aca="false">IF(OR(ISNUMBER(BE383),BE383="DQ",BE383="P",BE383="NS"),
    1,
    0
)</f>
        <v>0</v>
      </c>
      <c r="BI383" s="106" t="n">
        <v>376</v>
      </c>
      <c r="BJ383" s="106" t="str">
        <f aca="false">IF(ISBLANK($C383),
    "",
   BF383+ROW($B383)/1000
)</f>
        <v/>
      </c>
      <c r="BK383" s="106" t="str">
        <f aca="false">IF(ISNUMBER(BJ383), RANK(BJ383,BJ$8:BJ$507,1), "")</f>
        <v/>
      </c>
      <c r="BL383" s="106" t="str">
        <f aca="false">IF(ISBLANK($C383),
    "",
    $B383
)</f>
        <v/>
      </c>
      <c r="BM383" s="106" t="str">
        <f aca="false">IF(ISBLANK($C383),
    "",
    $C383
)</f>
        <v/>
      </c>
      <c r="BN383" s="106" t="str">
        <f aca="false">IF(ISBLANK($C383),
    "",
    $D383
)</f>
        <v/>
      </c>
      <c r="BO383" s="107" t="str">
        <f aca="false">BC383</f>
        <v/>
      </c>
      <c r="BP383" s="108" t="str">
        <f aca="false">BB383</f>
        <v/>
      </c>
      <c r="BQ383" s="106" t="str">
        <f aca="false">IF(ISBLANK($C383),
    "",
    BE383
)</f>
        <v/>
      </c>
      <c r="BR383" s="109" t="str">
        <f aca="false">IF(BI383&gt;BH$7,
    "",
    VLOOKUP(BI383,BK$8:BQ882,7,FALSE())
)</f>
        <v/>
      </c>
      <c r="BS383" s="110" t="str">
        <f aca="false">IF(BI383&gt;BH$7,
    "",
    VLOOKUP(BI383,BK$8:BQ882,2,FALSE())
)</f>
        <v/>
      </c>
      <c r="BT383" s="110" t="str">
        <f aca="false">IF(BI383&gt;BH$7,
    "",
    VLOOKUP(BI383,BK$8:BQ882,3,FALSE())
)</f>
        <v/>
      </c>
      <c r="BU383" s="110" t="str">
        <f aca="false">IF(BI383&gt;BH$7,
    "",
    VLOOKUP(BI383,BK$8:BQ882,4,FALSE())
)</f>
        <v/>
      </c>
      <c r="BV383" s="110" t="str">
        <f aca="false">IF(BI383&gt;BH$7,
    "",
    VLOOKUP(BI383,BK$8:BQ882,5,FALSE())
)</f>
        <v/>
      </c>
      <c r="BW383" s="111" t="str">
        <f aca="false">IF(BI383&gt;BH$7,
    "",
    VLOOKUP(BI383,BK$8:BQ882,6,FALSE())
)</f>
        <v/>
      </c>
      <c r="BX383" s="50"/>
    </row>
    <row r="384" customFormat="false" ht="15.75" hidden="false" customHeight="false" outlineLevel="0" collapsed="false">
      <c r="A384" s="5"/>
      <c r="B384" s="122"/>
      <c r="C384" s="123"/>
      <c r="D384" s="112"/>
      <c r="E384" s="116"/>
      <c r="F384" s="116"/>
      <c r="G384" s="88"/>
      <c r="H384" s="89"/>
      <c r="I384" s="125"/>
      <c r="J384" s="125"/>
      <c r="K384" s="125"/>
      <c r="L384" s="91"/>
      <c r="M384" s="91"/>
      <c r="N384" s="91"/>
      <c r="O384" s="92"/>
      <c r="P384" s="93"/>
      <c r="Q384" s="125"/>
      <c r="R384" s="95"/>
      <c r="S384" s="96"/>
      <c r="T384" s="96" t="str">
        <f aca="false">IF(ISBLANK($C384),"",IF(G384=Constants!$B$2, TRUE(), IF(G384=Constants!$B$3, FALSE(), TRUE())))</f>
        <v/>
      </c>
      <c r="U384" s="96" t="str">
        <f aca="false">IF(ISBLANK($C384),"",IF(H384=Constants!$B$2, TRUE(), IF(H384=Constants!$B$3, FALSE(), TRUE())))</f>
        <v/>
      </c>
      <c r="V384" s="96" t="str">
        <f aca="false">IF(ISBLANK($C384),"",IF(I384=Constants!$B$2, TRUE(), IF(I384=Constants!$B$3, FALSE(), TRUE())))</f>
        <v/>
      </c>
      <c r="W384" s="96" t="str">
        <f aca="false">IF(ISBLANK($C384),"",IF(J384=Constants!$B$2, TRUE(), IF(J384=Constants!$B$3, FALSE(), TRUE())))</f>
        <v/>
      </c>
      <c r="X384" s="97" t="str">
        <f aca="false">IF(ISBLANK($C384),"",IF(K384=Constants!$B$2, TRUE(), IF(K384=Constants!$B$3, FALSE(), TRUE())))</f>
        <v/>
      </c>
      <c r="Y384" s="98" t="str">
        <f aca="false">IF(ISBLANK($C384),"",IF(ISNUMBER(L384), L384, ""))</f>
        <v/>
      </c>
      <c r="Z384" s="98" t="str">
        <f aca="false">IF(ISBLANK($C384),"",IF(ISNUMBER(M384), M384, ""))</f>
        <v/>
      </c>
      <c r="AA384" s="98" t="str">
        <f aca="false">IF(ISBLANK($C384),"",IF(ISNUMBER(N384), N384, ""))</f>
        <v/>
      </c>
      <c r="AB384" s="99" t="str">
        <f aca="false">IF(ISBLANK($C384),"",IF(ISNUMBER(O384), O384, ""))</f>
        <v/>
      </c>
      <c r="AC384" s="99" t="str">
        <f aca="false">IF(ISBLANK($C384),"",IF(ISNUMBER(P384), P384, Constants!$B$13))</f>
        <v/>
      </c>
      <c r="AD384" s="96" t="str">
        <f aca="false">IF(ISBLANK($C384),"",IF(Q384=Constants!$B$2, TRUE(), IF(Q384=Constants!$B$3, FALSE(), FALSE())))</f>
        <v/>
      </c>
      <c r="AE384" s="96" t="str">
        <f aca="false">IF(ISBLANK(C384), "", IF(AD384, Constants!$B$4,IF(COUNTA(G384:O384)=0, Constants!$B$5, Constants!$B$7)))</f>
        <v/>
      </c>
      <c r="AF384" s="96" t="str">
        <f aca="false">IF(ISBLANK($C384), "",IF($AE384=Constants!$B$7,1,$AE384))</f>
        <v/>
      </c>
      <c r="AG384" s="96" t="str">
        <f aca="false">IF($AE384=Constants!$B$7,IF(V384, 1, Constants!$B$11) * IF(X384, 1, Constants!$B$12),"")</f>
        <v/>
      </c>
      <c r="AH384" s="96" t="str">
        <f aca="false">IF(AND($AE384=Constants!$B$7, T384, U384) ,MAX(0, $AA384-$Y384),"")</f>
        <v/>
      </c>
      <c r="AI384" s="96" t="str">
        <f aca="false">IF(ISERROR(AH384),$AI$6,"")</f>
        <v/>
      </c>
      <c r="AJ384" s="96" t="str">
        <f aca="false">IF($AE384=Constants!$B$7,IF(AND(T384,U384,W384),IF($AH$6=0,Constants!$B$9,Constants!$B$9*AH384/$AH$6), 0),"")</f>
        <v/>
      </c>
      <c r="AK384" s="96" t="str">
        <f aca="false">IF(AJ384&lt;&gt;"", AJ384*AG384,"")</f>
        <v/>
      </c>
      <c r="AL384" s="96" t="str">
        <f aca="false">IF(AND($AE384=Constants!$B$7, T384, U384) ,IF($Z384="", "", MAX(0,1-ABS($AA384-$Z384)/$AA384)),"")</f>
        <v/>
      </c>
      <c r="AM384" s="96" t="str">
        <f aca="false">IF(AND(NOT(ISERROR(AH384)),ISERROR(AL384)),$AM$6,"")</f>
        <v/>
      </c>
      <c r="AN384" s="96" t="str">
        <f aca="false">IF($AE384=Constants!$B$7 ,IF(AND(T384,U384,W384,ISNUMBER(Z384)),IF($AL$6=0,Constants!$B$10,Constants!$B$10*AL384/$AL$6), 0),"")</f>
        <v/>
      </c>
      <c r="AO384" s="96" t="str">
        <f aca="false">IF(AN384&lt;&gt;"", AN384*AG384,"")</f>
        <v/>
      </c>
      <c r="AP384" s="96" t="str">
        <f aca="false">IF($AE384=Constants!$B$7,IF($AP$6=0,Constants!$B$8,Constants!$B$8*AB384/$AP$6),"")</f>
        <v/>
      </c>
      <c r="AQ384" s="96" t="str">
        <f aca="false">IF($AE384&lt;&gt;Constants!$B$7,$AE384,AK384+AO384+AP384)</f>
        <v/>
      </c>
      <c r="AR384" s="96" t="str">
        <f aca="false">IF(ISBLANK($C384),"",IF($AE384=Constants!$B$7,RANK(AQ384,$AQ$8:$AQ$507),$AE384))</f>
        <v/>
      </c>
      <c r="AS384" s="96" t="str">
        <f aca="false">IF(ISBLANK($C384), "",AK384)</f>
        <v/>
      </c>
      <c r="AT384" s="96" t="str">
        <f aca="false">IF(ISBLANK($C384),"",IF($AE384=Constants!$B$7,RANK(AS384,AS$8:AS$507),$AE384))</f>
        <v/>
      </c>
      <c r="AU384" s="96" t="str">
        <f aca="false">IF(ISBLANK($C384), "",AP384)</f>
        <v/>
      </c>
      <c r="AV384" s="96" t="str">
        <f aca="false">IF(ISBLANK($C384),"",IF($AE384=Constants!$B$7,RANK(AU384,AU$8:AU$507),$AE384))</f>
        <v/>
      </c>
      <c r="AW384" s="96" t="str">
        <f aca="false">IF(ISBLANK($C384), "",AC384)</f>
        <v/>
      </c>
      <c r="AX384" s="96" t="str">
        <f aca="false">IF(ISBLANK($C384),"",
IF($AE384=Constants!$B$7,
  COUNTIFS($AR$8:$AR$507,"&lt;"&amp;$AR384)
  + COUNTIFS($AR$8:$AR$507,$AR384,$AT$8:$AT$507,"&lt;"&amp;$AT384)
  + COUNTIFS($AR$8:$AR$507,$AR384,$AT$8:$AT$507,$AT384,$AV$8:$AV$507,"&lt;"&amp;$AV384)
  + COUNTIFS($AR$8:$AR$507,$AR384,$AT$8:$AT$507,$AT384,$AV$8:$AV$507,$AV384,$AW$8:$AW$507,"&lt;"&amp;$AW384)
  + 1,
$AE384))</f>
        <v/>
      </c>
      <c r="AY384" s="96" t="str">
        <f aca="false">IF(ISBLANK(C384),"",IF($AE384=Constants!$B$7, AR384-AX384,$AE384))</f>
        <v/>
      </c>
      <c r="AZ384" s="100"/>
      <c r="BA384" s="101" t="str">
        <f aca="false">IF(ISBLANK($C384),"",TRIM(AI384&amp;" "&amp;AM384))</f>
        <v/>
      </c>
      <c r="BB384" s="102" t="str">
        <f aca="false">IF(ISBLANK($C384),"",IF($AE384&lt;&gt;Constants!$B$7, $AE384 ,AQ384))</f>
        <v/>
      </c>
      <c r="BC384" s="103" t="str">
        <f aca="false">IF(ISBLANK($C384),"",IF($AE384&lt;&gt;Constants!$B$7, $AE384 ,AF384))</f>
        <v/>
      </c>
      <c r="BD384" s="104" t="str">
        <f aca="false">IF(ISBLANK(C384),"",AY384)</f>
        <v/>
      </c>
      <c r="BE384" s="104" t="str">
        <f aca="false">IF(ISBLANK(C384),"",AX384)</f>
        <v/>
      </c>
      <c r="BF384" s="105" t="str">
        <f aca="false">IF(ISBLANK(C384),"",IFERROR(_xlfn.SWITCH(BE384, Constants!$B$4, COUNTA($C$8:$C883)+2, Constants!$B$5, COUNTA($C$8:$C883)+1, Constants!$B$6, COUNTA($C$8:$C883)),BE384))</f>
        <v/>
      </c>
      <c r="BG384" s="5"/>
      <c r="BH384" s="106" t="n">
        <f aca="false">IF(OR(ISNUMBER(BE384),BE384="DQ",BE384="P",BE384="NS"),
    1,
    0
)</f>
        <v>0</v>
      </c>
      <c r="BI384" s="106" t="n">
        <v>377</v>
      </c>
      <c r="BJ384" s="106" t="str">
        <f aca="false">IF(ISBLANK($C384),
    "",
   BF384+ROW($B384)/1000
)</f>
        <v/>
      </c>
      <c r="BK384" s="106" t="str">
        <f aca="false">IF(ISNUMBER(BJ384), RANK(BJ384,BJ$8:BJ$507,1), "")</f>
        <v/>
      </c>
      <c r="BL384" s="106" t="str">
        <f aca="false">IF(ISBLANK($C384),
    "",
    $B384
)</f>
        <v/>
      </c>
      <c r="BM384" s="106" t="str">
        <f aca="false">IF(ISBLANK($C384),
    "",
    $C384
)</f>
        <v/>
      </c>
      <c r="BN384" s="106" t="str">
        <f aca="false">IF(ISBLANK($C384),
    "",
    $D384
)</f>
        <v/>
      </c>
      <c r="BO384" s="107" t="str">
        <f aca="false">BC384</f>
        <v/>
      </c>
      <c r="BP384" s="108" t="str">
        <f aca="false">BB384</f>
        <v/>
      </c>
      <c r="BQ384" s="106" t="str">
        <f aca="false">IF(ISBLANK($C384),
    "",
    BE384
)</f>
        <v/>
      </c>
      <c r="BR384" s="109" t="str">
        <f aca="false">IF(BI384&gt;BH$7,
    "",
    VLOOKUP(BI384,BK$8:BQ883,7,FALSE())
)</f>
        <v/>
      </c>
      <c r="BS384" s="110" t="str">
        <f aca="false">IF(BI384&gt;BH$7,
    "",
    VLOOKUP(BI384,BK$8:BQ883,2,FALSE())
)</f>
        <v/>
      </c>
      <c r="BT384" s="110" t="str">
        <f aca="false">IF(BI384&gt;BH$7,
    "",
    VLOOKUP(BI384,BK$8:BQ883,3,FALSE())
)</f>
        <v/>
      </c>
      <c r="BU384" s="110" t="str">
        <f aca="false">IF(BI384&gt;BH$7,
    "",
    VLOOKUP(BI384,BK$8:BQ883,4,FALSE())
)</f>
        <v/>
      </c>
      <c r="BV384" s="110" t="str">
        <f aca="false">IF(BI384&gt;BH$7,
    "",
    VLOOKUP(BI384,BK$8:BQ883,5,FALSE())
)</f>
        <v/>
      </c>
      <c r="BW384" s="111" t="str">
        <f aca="false">IF(BI384&gt;BH$7,
    "",
    VLOOKUP(BI384,BK$8:BQ883,6,FALSE())
)</f>
        <v/>
      </c>
      <c r="BX384" s="50"/>
    </row>
    <row r="385" customFormat="false" ht="15.75" hidden="false" customHeight="false" outlineLevel="0" collapsed="false">
      <c r="A385" s="5"/>
      <c r="B385" s="122"/>
      <c r="C385" s="123"/>
      <c r="D385" s="112"/>
      <c r="E385" s="116"/>
      <c r="F385" s="116"/>
      <c r="G385" s="88"/>
      <c r="H385" s="89"/>
      <c r="I385" s="125"/>
      <c r="J385" s="125"/>
      <c r="K385" s="125"/>
      <c r="L385" s="91"/>
      <c r="M385" s="91"/>
      <c r="N385" s="91"/>
      <c r="O385" s="92"/>
      <c r="P385" s="93"/>
      <c r="Q385" s="125"/>
      <c r="R385" s="95"/>
      <c r="S385" s="96"/>
      <c r="T385" s="96" t="str">
        <f aca="false">IF(ISBLANK($C385),"",IF(G385=Constants!$B$2, TRUE(), IF(G385=Constants!$B$3, FALSE(), TRUE())))</f>
        <v/>
      </c>
      <c r="U385" s="96" t="str">
        <f aca="false">IF(ISBLANK($C385),"",IF(H385=Constants!$B$2, TRUE(), IF(H385=Constants!$B$3, FALSE(), TRUE())))</f>
        <v/>
      </c>
      <c r="V385" s="96" t="str">
        <f aca="false">IF(ISBLANK($C385),"",IF(I385=Constants!$B$2, TRUE(), IF(I385=Constants!$B$3, FALSE(), TRUE())))</f>
        <v/>
      </c>
      <c r="W385" s="96" t="str">
        <f aca="false">IF(ISBLANK($C385),"",IF(J385=Constants!$B$2, TRUE(), IF(J385=Constants!$B$3, FALSE(), TRUE())))</f>
        <v/>
      </c>
      <c r="X385" s="97" t="str">
        <f aca="false">IF(ISBLANK($C385),"",IF(K385=Constants!$B$2, TRUE(), IF(K385=Constants!$B$3, FALSE(), TRUE())))</f>
        <v/>
      </c>
      <c r="Y385" s="98" t="str">
        <f aca="false">IF(ISBLANK($C385),"",IF(ISNUMBER(L385), L385, ""))</f>
        <v/>
      </c>
      <c r="Z385" s="98" t="str">
        <f aca="false">IF(ISBLANK($C385),"",IF(ISNUMBER(M385), M385, ""))</f>
        <v/>
      </c>
      <c r="AA385" s="98" t="str">
        <f aca="false">IF(ISBLANK($C385),"",IF(ISNUMBER(N385), N385, ""))</f>
        <v/>
      </c>
      <c r="AB385" s="99" t="str">
        <f aca="false">IF(ISBLANK($C385),"",IF(ISNUMBER(O385), O385, ""))</f>
        <v/>
      </c>
      <c r="AC385" s="99" t="str">
        <f aca="false">IF(ISBLANK($C385),"",IF(ISNUMBER(P385), P385, Constants!$B$13))</f>
        <v/>
      </c>
      <c r="AD385" s="96" t="str">
        <f aca="false">IF(ISBLANK($C385),"",IF(Q385=Constants!$B$2, TRUE(), IF(Q385=Constants!$B$3, FALSE(), FALSE())))</f>
        <v/>
      </c>
      <c r="AE385" s="96" t="str">
        <f aca="false">IF(ISBLANK(C385), "", IF(AD385, Constants!$B$4,IF(COUNTA(G385:O385)=0, Constants!$B$5, Constants!$B$7)))</f>
        <v/>
      </c>
      <c r="AF385" s="96" t="str">
        <f aca="false">IF(ISBLANK($C385), "",IF($AE385=Constants!$B$7,1,$AE385))</f>
        <v/>
      </c>
      <c r="AG385" s="96" t="str">
        <f aca="false">IF($AE385=Constants!$B$7,IF(V385, 1, Constants!$B$11) * IF(X385, 1, Constants!$B$12),"")</f>
        <v/>
      </c>
      <c r="AH385" s="96" t="str">
        <f aca="false">IF(AND($AE385=Constants!$B$7, T385, U385) ,MAX(0, $AA385-$Y385),"")</f>
        <v/>
      </c>
      <c r="AI385" s="96" t="str">
        <f aca="false">IF(ISERROR(AH385),$AI$6,"")</f>
        <v/>
      </c>
      <c r="AJ385" s="96" t="str">
        <f aca="false">IF($AE385=Constants!$B$7,IF(AND(T385,U385,W385),IF($AH$6=0,Constants!$B$9,Constants!$B$9*AH385/$AH$6), 0),"")</f>
        <v/>
      </c>
      <c r="AK385" s="96" t="str">
        <f aca="false">IF(AJ385&lt;&gt;"", AJ385*AG385,"")</f>
        <v/>
      </c>
      <c r="AL385" s="96" t="str">
        <f aca="false">IF(AND($AE385=Constants!$B$7, T385, U385) ,IF($Z385="", "", MAX(0,1-ABS($AA385-$Z385)/$AA385)),"")</f>
        <v/>
      </c>
      <c r="AM385" s="96" t="str">
        <f aca="false">IF(AND(NOT(ISERROR(AH385)),ISERROR(AL385)),$AM$6,"")</f>
        <v/>
      </c>
      <c r="AN385" s="96" t="str">
        <f aca="false">IF($AE385=Constants!$B$7 ,IF(AND(T385,U385,W385,ISNUMBER(Z385)),IF($AL$6=0,Constants!$B$10,Constants!$B$10*AL385/$AL$6), 0),"")</f>
        <v/>
      </c>
      <c r="AO385" s="96" t="str">
        <f aca="false">IF(AN385&lt;&gt;"", AN385*AG385,"")</f>
        <v/>
      </c>
      <c r="AP385" s="96" t="str">
        <f aca="false">IF($AE385=Constants!$B$7,IF($AP$6=0,Constants!$B$8,Constants!$B$8*AB385/$AP$6),"")</f>
        <v/>
      </c>
      <c r="AQ385" s="96" t="str">
        <f aca="false">IF($AE385&lt;&gt;Constants!$B$7,$AE385,AK385+AO385+AP385)</f>
        <v/>
      </c>
      <c r="AR385" s="96" t="str">
        <f aca="false">IF(ISBLANK($C385),"",IF($AE385=Constants!$B$7,RANK(AQ385,$AQ$8:$AQ$507),$AE385))</f>
        <v/>
      </c>
      <c r="AS385" s="96" t="str">
        <f aca="false">IF(ISBLANK($C385), "",AK385)</f>
        <v/>
      </c>
      <c r="AT385" s="96" t="str">
        <f aca="false">IF(ISBLANK($C385),"",IF($AE385=Constants!$B$7,RANK(AS385,AS$8:AS$507),$AE385))</f>
        <v/>
      </c>
      <c r="AU385" s="96" t="str">
        <f aca="false">IF(ISBLANK($C385), "",AP385)</f>
        <v/>
      </c>
      <c r="AV385" s="96" t="str">
        <f aca="false">IF(ISBLANK($C385),"",IF($AE385=Constants!$B$7,RANK(AU385,AU$8:AU$507),$AE385))</f>
        <v/>
      </c>
      <c r="AW385" s="96" t="str">
        <f aca="false">IF(ISBLANK($C385), "",AC385)</f>
        <v/>
      </c>
      <c r="AX385" s="96" t="str">
        <f aca="false">IF(ISBLANK($C385),"",
IF($AE385=Constants!$B$7,
  COUNTIFS($AR$8:$AR$507,"&lt;"&amp;$AR385)
  + COUNTIFS($AR$8:$AR$507,$AR385,$AT$8:$AT$507,"&lt;"&amp;$AT385)
  + COUNTIFS($AR$8:$AR$507,$AR385,$AT$8:$AT$507,$AT385,$AV$8:$AV$507,"&lt;"&amp;$AV385)
  + COUNTIFS($AR$8:$AR$507,$AR385,$AT$8:$AT$507,$AT385,$AV$8:$AV$507,$AV385,$AW$8:$AW$507,"&lt;"&amp;$AW385)
  + 1,
$AE385))</f>
        <v/>
      </c>
      <c r="AY385" s="96" t="str">
        <f aca="false">IF(ISBLANK(C385),"",IF($AE385=Constants!$B$7, AR385-AX385,$AE385))</f>
        <v/>
      </c>
      <c r="AZ385" s="100"/>
      <c r="BA385" s="101" t="str">
        <f aca="false">IF(ISBLANK($C385),"",TRIM(AI385&amp;" "&amp;AM385))</f>
        <v/>
      </c>
      <c r="BB385" s="102" t="str">
        <f aca="false">IF(ISBLANK($C385),"",IF($AE385&lt;&gt;Constants!$B$7, $AE385 ,AQ385))</f>
        <v/>
      </c>
      <c r="BC385" s="103" t="str">
        <f aca="false">IF(ISBLANK($C385),"",IF($AE385&lt;&gt;Constants!$B$7, $AE385 ,AF385))</f>
        <v/>
      </c>
      <c r="BD385" s="104" t="str">
        <f aca="false">IF(ISBLANK(C385),"",AY385)</f>
        <v/>
      </c>
      <c r="BE385" s="104" t="str">
        <f aca="false">IF(ISBLANK(C385),"",AX385)</f>
        <v/>
      </c>
      <c r="BF385" s="105" t="str">
        <f aca="false">IF(ISBLANK(C385),"",IFERROR(_xlfn.SWITCH(BE385, Constants!$B$4, COUNTA($C$8:$C884)+2, Constants!$B$5, COUNTA($C$8:$C884)+1, Constants!$B$6, COUNTA($C$8:$C884)),BE385))</f>
        <v/>
      </c>
      <c r="BG385" s="5"/>
      <c r="BH385" s="106" t="n">
        <f aca="false">IF(OR(ISNUMBER(BE385),BE385="DQ",BE385="P",BE385="NS"),
    1,
    0
)</f>
        <v>0</v>
      </c>
      <c r="BI385" s="106" t="n">
        <v>378</v>
      </c>
      <c r="BJ385" s="106" t="str">
        <f aca="false">IF(ISBLANK($C385),
    "",
   BF385+ROW($B385)/1000
)</f>
        <v/>
      </c>
      <c r="BK385" s="106" t="str">
        <f aca="false">IF(ISNUMBER(BJ385), RANK(BJ385,BJ$8:BJ$507,1), "")</f>
        <v/>
      </c>
      <c r="BL385" s="106" t="str">
        <f aca="false">IF(ISBLANK($C385),
    "",
    $B385
)</f>
        <v/>
      </c>
      <c r="BM385" s="106" t="str">
        <f aca="false">IF(ISBLANK($C385),
    "",
    $C385
)</f>
        <v/>
      </c>
      <c r="BN385" s="106" t="str">
        <f aca="false">IF(ISBLANK($C385),
    "",
    $D385
)</f>
        <v/>
      </c>
      <c r="BO385" s="107" t="str">
        <f aca="false">BC385</f>
        <v/>
      </c>
      <c r="BP385" s="108" t="str">
        <f aca="false">BB385</f>
        <v/>
      </c>
      <c r="BQ385" s="106" t="str">
        <f aca="false">IF(ISBLANK($C385),
    "",
    BE385
)</f>
        <v/>
      </c>
      <c r="BR385" s="109" t="str">
        <f aca="false">IF(BI385&gt;BH$7,
    "",
    VLOOKUP(BI385,BK$8:BQ884,7,FALSE())
)</f>
        <v/>
      </c>
      <c r="BS385" s="110" t="str">
        <f aca="false">IF(BI385&gt;BH$7,
    "",
    VLOOKUP(BI385,BK$8:BQ884,2,FALSE())
)</f>
        <v/>
      </c>
      <c r="BT385" s="110" t="str">
        <f aca="false">IF(BI385&gt;BH$7,
    "",
    VLOOKUP(BI385,BK$8:BQ884,3,FALSE())
)</f>
        <v/>
      </c>
      <c r="BU385" s="110" t="str">
        <f aca="false">IF(BI385&gt;BH$7,
    "",
    VLOOKUP(BI385,BK$8:BQ884,4,FALSE())
)</f>
        <v/>
      </c>
      <c r="BV385" s="110" t="str">
        <f aca="false">IF(BI385&gt;BH$7,
    "",
    VLOOKUP(BI385,BK$8:BQ884,5,FALSE())
)</f>
        <v/>
      </c>
      <c r="BW385" s="111" t="str">
        <f aca="false">IF(BI385&gt;BH$7,
    "",
    VLOOKUP(BI385,BK$8:BQ884,6,FALSE())
)</f>
        <v/>
      </c>
      <c r="BX385" s="50"/>
    </row>
    <row r="386" customFormat="false" ht="15.75" hidden="false" customHeight="false" outlineLevel="0" collapsed="false">
      <c r="A386" s="5"/>
      <c r="B386" s="126"/>
      <c r="C386" s="52"/>
      <c r="D386" s="53"/>
      <c r="E386" s="120"/>
      <c r="F386" s="120"/>
      <c r="G386" s="55"/>
      <c r="H386" s="56"/>
      <c r="I386" s="80"/>
      <c r="J386" s="80"/>
      <c r="K386" s="80"/>
      <c r="L386" s="58"/>
      <c r="M386" s="58"/>
      <c r="N386" s="58"/>
      <c r="O386" s="59"/>
      <c r="P386" s="60"/>
      <c r="Q386" s="80"/>
      <c r="R386" s="62"/>
      <c r="S386" s="63"/>
      <c r="T386" s="63" t="str">
        <f aca="false">IF(ISBLANK($C386),"",IF(G386=Constants!$B$2, TRUE(), IF(G386=Constants!$B$3, FALSE(), TRUE())))</f>
        <v/>
      </c>
      <c r="U386" s="63" t="str">
        <f aca="false">IF(ISBLANK($C386),"",IF(H386=Constants!$B$2, TRUE(), IF(H386=Constants!$B$3, FALSE(), TRUE())))</f>
        <v/>
      </c>
      <c r="V386" s="63" t="str">
        <f aca="false">IF(ISBLANK($C386),"",IF(I386=Constants!$B$2, TRUE(), IF(I386=Constants!$B$3, FALSE(), TRUE())))</f>
        <v/>
      </c>
      <c r="W386" s="63" t="str">
        <f aca="false">IF(ISBLANK($C386),"",IF(J386=Constants!$B$2, TRUE(), IF(J386=Constants!$B$3, FALSE(), TRUE())))</f>
        <v/>
      </c>
      <c r="X386" s="63" t="str">
        <f aca="false">IF(ISBLANK($C386),"",IF(K386=Constants!$B$2, TRUE(), IF(K386=Constants!$B$3, FALSE(), TRUE())))</f>
        <v/>
      </c>
      <c r="Y386" s="65" t="str">
        <f aca="false">IF(ISBLANK($C386),"",IF(ISNUMBER(L386), L386, ""))</f>
        <v/>
      </c>
      <c r="Z386" s="65" t="str">
        <f aca="false">IF(ISBLANK($C386),"",IF(ISNUMBER(M386), M386, ""))</f>
        <v/>
      </c>
      <c r="AA386" s="65" t="str">
        <f aca="false">IF(ISBLANK($C386),"",IF(ISNUMBER(N386), N386, ""))</f>
        <v/>
      </c>
      <c r="AB386" s="66" t="str">
        <f aca="false">IF(ISBLANK($C386),"",IF(ISNUMBER(O386), O386, ""))</f>
        <v/>
      </c>
      <c r="AC386" s="66" t="str">
        <f aca="false">IF(ISBLANK($C386),"",IF(ISNUMBER(P386), P386, Constants!$B$13))</f>
        <v/>
      </c>
      <c r="AD386" s="63" t="str">
        <f aca="false">IF(ISBLANK($C386),"",IF(Q386=Constants!$B$2, TRUE(), IF(Q386=Constants!$B$3, FALSE(), FALSE())))</f>
        <v/>
      </c>
      <c r="AE386" s="63" t="str">
        <f aca="false">IF(ISBLANK(C386), "", IF(AD386, Constants!$B$4,IF(COUNTA(G386:O386)=0, Constants!$B$5, Constants!$B$7)))</f>
        <v/>
      </c>
      <c r="AF386" s="63" t="str">
        <f aca="false">IF(ISBLANK($C386), "",IF($AE386=Constants!$B$7,1,$AE386))</f>
        <v/>
      </c>
      <c r="AG386" s="63" t="str">
        <f aca="false">IF($AE386=Constants!$B$7,IF(V386, 1, Constants!$B$11) * IF(X386, 1, Constants!$B$12),"")</f>
        <v/>
      </c>
      <c r="AH386" s="63" t="str">
        <f aca="false">IF(AND($AE386=Constants!$B$7, T386, U386) ,MAX(0, $AA386-$Y386),"")</f>
        <v/>
      </c>
      <c r="AI386" s="63" t="str">
        <f aca="false">IF(ISERROR(AH386),$AI$6,"")</f>
        <v/>
      </c>
      <c r="AJ386" s="63" t="str">
        <f aca="false">IF($AE386=Constants!$B$7,IF(AND(T386,U386,W386),IF($AH$6=0,Constants!$B$9,Constants!$B$9*AH386/$AH$6), 0),"")</f>
        <v/>
      </c>
      <c r="AK386" s="63" t="str">
        <f aca="false">IF(AJ386&lt;&gt;"", AJ386*AG386,"")</f>
        <v/>
      </c>
      <c r="AL386" s="63" t="str">
        <f aca="false">IF(AND($AE386=Constants!$B$7, T386, U386) ,IF($Z386="", "", MAX(0,1-ABS($AA386-$Z386)/$AA386)),"")</f>
        <v/>
      </c>
      <c r="AM386" s="63" t="str">
        <f aca="false">IF(AND(NOT(ISERROR(AH386)),ISERROR(AL386)),$AM$6,"")</f>
        <v/>
      </c>
      <c r="AN386" s="63" t="str">
        <f aca="false">IF($AE386=Constants!$B$7 ,IF(AND(T386,U386,W386,ISNUMBER(Z386)),IF($AL$6=0,Constants!$B$10,Constants!$B$10*AL386/$AL$6), 0),"")</f>
        <v/>
      </c>
      <c r="AO386" s="63" t="str">
        <f aca="false">IF(AN386&lt;&gt;"", AN386*AG386,"")</f>
        <v/>
      </c>
      <c r="AP386" s="63" t="str">
        <f aca="false">IF($AE386=Constants!$B$7,IF($AP$6=0,Constants!$B$8,Constants!$B$8*AB386/$AP$6),"")</f>
        <v/>
      </c>
      <c r="AQ386" s="63" t="str">
        <f aca="false">IF($AE386&lt;&gt;Constants!$B$7,$AE386,AK386+AO386+AP386)</f>
        <v/>
      </c>
      <c r="AR386" s="63" t="str">
        <f aca="false">IF(ISBLANK($C386),"",IF($AE386=Constants!$B$7,RANK(AQ386,$AQ$8:$AQ$507),$AE386))</f>
        <v/>
      </c>
      <c r="AS386" s="63" t="str">
        <f aca="false">IF(ISBLANK($C386), "",AK386)</f>
        <v/>
      </c>
      <c r="AT386" s="63" t="str">
        <f aca="false">IF(ISBLANK($C386),"",IF($AE386=Constants!$B$7,RANK(AS386,AS$8:AS$507),$AE386))</f>
        <v/>
      </c>
      <c r="AU386" s="63" t="str">
        <f aca="false">IF(ISBLANK($C386), "",AP386)</f>
        <v/>
      </c>
      <c r="AV386" s="63" t="str">
        <f aca="false">IF(ISBLANK($C386),"",IF($AE386=Constants!$B$7,RANK(AU386,AU$8:AU$507),$AE386))</f>
        <v/>
      </c>
      <c r="AW386" s="63" t="str">
        <f aca="false">IF(ISBLANK($C386), "",AC386)</f>
        <v/>
      </c>
      <c r="AX386" s="63" t="str">
        <f aca="false">IF(ISBLANK($C386),"",
IF($AE386=Constants!$B$7,
  COUNTIFS($AR$8:$AR$507,"&lt;"&amp;$AR386)
  + COUNTIFS($AR$8:$AR$507,$AR386,$AT$8:$AT$507,"&lt;"&amp;$AT386)
  + COUNTIFS($AR$8:$AR$507,$AR386,$AT$8:$AT$507,$AT386,$AV$8:$AV$507,"&lt;"&amp;$AV386)
  + COUNTIFS($AR$8:$AR$507,$AR386,$AT$8:$AT$507,$AT386,$AV$8:$AV$507,$AV386,$AW$8:$AW$507,"&lt;"&amp;$AW386)
  + 1,
$AE386))</f>
        <v/>
      </c>
      <c r="AY386" s="63" t="str">
        <f aca="false">IF(ISBLANK(C386),"",IF($AE386=Constants!$B$7, AR386-AX386,$AE386))</f>
        <v/>
      </c>
      <c r="AZ386" s="67"/>
      <c r="BA386" s="81" t="str">
        <f aca="false">IF(ISBLANK($C386),"",TRIM(AI386&amp;" "&amp;AM386))</f>
        <v/>
      </c>
      <c r="BB386" s="69" t="str">
        <f aca="false">IF(ISBLANK($C386),"",IF($AE386&lt;&gt;Constants!$B$7, $AE386 ,AQ386))</f>
        <v/>
      </c>
      <c r="BC386" s="70" t="str">
        <f aca="false">IF(ISBLANK($C386),"",IF($AE386&lt;&gt;Constants!$B$7, $AE386 ,AF386))</f>
        <v/>
      </c>
      <c r="BD386" s="71" t="str">
        <f aca="false">IF(ISBLANK(C386),"",AY386)</f>
        <v/>
      </c>
      <c r="BE386" s="71" t="str">
        <f aca="false">IF(ISBLANK(C386),"",AX386)</f>
        <v/>
      </c>
      <c r="BF386" s="72" t="str">
        <f aca="false">IF(ISBLANK(C386),"",IFERROR(_xlfn.SWITCH(BE386, Constants!$B$4, COUNTA($C$8:$C885)+2, Constants!$B$5, COUNTA($C$8:$C885)+1, Constants!$B$6, COUNTA($C$8:$C885)),BE386))</f>
        <v/>
      </c>
      <c r="BG386" s="5"/>
      <c r="BH386" s="73" t="n">
        <f aca="false">IF(OR(ISNUMBER(BE386),BE386="DQ",BE386="P",BE386="NS"),
    1,
    0
)</f>
        <v>0</v>
      </c>
      <c r="BI386" s="73" t="n">
        <v>379</v>
      </c>
      <c r="BJ386" s="73" t="str">
        <f aca="false">IF(ISBLANK($C386),
    "",
   BF386+ROW($B386)/1000
)</f>
        <v/>
      </c>
      <c r="BK386" s="73" t="str">
        <f aca="false">IF(ISNUMBER(BJ386), RANK(BJ386,BJ$8:BJ$507,1), "")</f>
        <v/>
      </c>
      <c r="BL386" s="73" t="str">
        <f aca="false">IF(ISBLANK($C386),
    "",
    $B386
)</f>
        <v/>
      </c>
      <c r="BM386" s="73" t="str">
        <f aca="false">IF(ISBLANK($C386),
    "",
    $C386
)</f>
        <v/>
      </c>
      <c r="BN386" s="73" t="str">
        <f aca="false">IF(ISBLANK($C386),
    "",
    $D386
)</f>
        <v/>
      </c>
      <c r="BO386" s="74" t="str">
        <f aca="false">BC386</f>
        <v/>
      </c>
      <c r="BP386" s="75" t="str">
        <f aca="false">BB386</f>
        <v/>
      </c>
      <c r="BQ386" s="73" t="str">
        <f aca="false">IF(ISBLANK($C386),
    "",
    BE386
)</f>
        <v/>
      </c>
      <c r="BR386" s="76" t="str">
        <f aca="false">IF(BI386&gt;BH$7,
    "",
    VLOOKUP(BI386,BK$8:BQ885,7,FALSE())
)</f>
        <v/>
      </c>
      <c r="BS386" s="77" t="str">
        <f aca="false">IF(BI386&gt;BH$7,
    "",
    VLOOKUP(BI386,BK$8:BQ885,2,FALSE())
)</f>
        <v/>
      </c>
      <c r="BT386" s="77" t="str">
        <f aca="false">IF(BI386&gt;BH$7,
    "",
    VLOOKUP(BI386,BK$8:BQ885,3,FALSE())
)</f>
        <v/>
      </c>
      <c r="BU386" s="77" t="str">
        <f aca="false">IF(BI386&gt;BH$7,
    "",
    VLOOKUP(BI386,BK$8:BQ885,4,FALSE())
)</f>
        <v/>
      </c>
      <c r="BV386" s="77" t="str">
        <f aca="false">IF(BI386&gt;BH$7,
    "",
    VLOOKUP(BI386,BK$8:BQ885,5,FALSE())
)</f>
        <v/>
      </c>
      <c r="BW386" s="78" t="str">
        <f aca="false">IF(BI386&gt;BH$7,
    "",
    VLOOKUP(BI386,BK$8:BQ885,6,FALSE())
)</f>
        <v/>
      </c>
      <c r="BX386" s="50"/>
    </row>
    <row r="387" customFormat="false" ht="15.75" hidden="false" customHeight="false" outlineLevel="0" collapsed="false">
      <c r="A387" s="5"/>
      <c r="B387" s="126"/>
      <c r="C387" s="52"/>
      <c r="D387" s="53"/>
      <c r="E387" s="120"/>
      <c r="F387" s="120"/>
      <c r="G387" s="55"/>
      <c r="H387" s="56"/>
      <c r="I387" s="80"/>
      <c r="J387" s="80"/>
      <c r="K387" s="80"/>
      <c r="L387" s="58"/>
      <c r="M387" s="58"/>
      <c r="N387" s="58"/>
      <c r="O387" s="59"/>
      <c r="P387" s="60"/>
      <c r="Q387" s="80"/>
      <c r="R387" s="62"/>
      <c r="S387" s="63"/>
      <c r="T387" s="63" t="str">
        <f aca="false">IF(ISBLANK($C387),"",IF(G387=Constants!$B$2, TRUE(), IF(G387=Constants!$B$3, FALSE(), TRUE())))</f>
        <v/>
      </c>
      <c r="U387" s="63" t="str">
        <f aca="false">IF(ISBLANK($C387),"",IF(H387=Constants!$B$2, TRUE(), IF(H387=Constants!$B$3, FALSE(), TRUE())))</f>
        <v/>
      </c>
      <c r="V387" s="63" t="str">
        <f aca="false">IF(ISBLANK($C387),"",IF(I387=Constants!$B$2, TRUE(), IF(I387=Constants!$B$3, FALSE(), TRUE())))</f>
        <v/>
      </c>
      <c r="W387" s="63" t="str">
        <f aca="false">IF(ISBLANK($C387),"",IF(J387=Constants!$B$2, TRUE(), IF(J387=Constants!$B$3, FALSE(), TRUE())))</f>
        <v/>
      </c>
      <c r="X387" s="63" t="str">
        <f aca="false">IF(ISBLANK($C387),"",IF(K387=Constants!$B$2, TRUE(), IF(K387=Constants!$B$3, FALSE(), TRUE())))</f>
        <v/>
      </c>
      <c r="Y387" s="65" t="str">
        <f aca="false">IF(ISBLANK($C387),"",IF(ISNUMBER(L387), L387, ""))</f>
        <v/>
      </c>
      <c r="Z387" s="65" t="str">
        <f aca="false">IF(ISBLANK($C387),"",IF(ISNUMBER(M387), M387, ""))</f>
        <v/>
      </c>
      <c r="AA387" s="65" t="str">
        <f aca="false">IF(ISBLANK($C387),"",IF(ISNUMBER(N387), N387, ""))</f>
        <v/>
      </c>
      <c r="AB387" s="66" t="str">
        <f aca="false">IF(ISBLANK($C387),"",IF(ISNUMBER(O387), O387, ""))</f>
        <v/>
      </c>
      <c r="AC387" s="66" t="str">
        <f aca="false">IF(ISBLANK($C387),"",IF(ISNUMBER(P387), P387, Constants!$B$13))</f>
        <v/>
      </c>
      <c r="AD387" s="63" t="str">
        <f aca="false">IF(ISBLANK($C387),"",IF(Q387=Constants!$B$2, TRUE(), IF(Q387=Constants!$B$3, FALSE(), FALSE())))</f>
        <v/>
      </c>
      <c r="AE387" s="63" t="str">
        <f aca="false">IF(ISBLANK(C387), "", IF(AD387, Constants!$B$4,IF(COUNTA(G387:O387)=0, Constants!$B$5, Constants!$B$7)))</f>
        <v/>
      </c>
      <c r="AF387" s="63" t="str">
        <f aca="false">IF(ISBLANK($C387), "",IF($AE387=Constants!$B$7,1,$AE387))</f>
        <v/>
      </c>
      <c r="AG387" s="63" t="str">
        <f aca="false">IF($AE387=Constants!$B$7,IF(V387, 1, Constants!$B$11) * IF(X387, 1, Constants!$B$12),"")</f>
        <v/>
      </c>
      <c r="AH387" s="63" t="str">
        <f aca="false">IF(AND($AE387=Constants!$B$7, T387, U387) ,MAX(0, $AA387-$Y387),"")</f>
        <v/>
      </c>
      <c r="AI387" s="63" t="str">
        <f aca="false">IF(ISERROR(AH387),$AI$6,"")</f>
        <v/>
      </c>
      <c r="AJ387" s="63" t="str">
        <f aca="false">IF($AE387=Constants!$B$7,IF(AND(T387,U387,W387),IF($AH$6=0,Constants!$B$9,Constants!$B$9*AH387/$AH$6), 0),"")</f>
        <v/>
      </c>
      <c r="AK387" s="63" t="str">
        <f aca="false">IF(AJ387&lt;&gt;"", AJ387*AG387,"")</f>
        <v/>
      </c>
      <c r="AL387" s="63" t="str">
        <f aca="false">IF(AND($AE387=Constants!$B$7, T387, U387) ,IF($Z387="", "", MAX(0,1-ABS($AA387-$Z387)/$AA387)),"")</f>
        <v/>
      </c>
      <c r="AM387" s="63" t="str">
        <f aca="false">IF(AND(NOT(ISERROR(AH387)),ISERROR(AL387)),$AM$6,"")</f>
        <v/>
      </c>
      <c r="AN387" s="63" t="str">
        <f aca="false">IF($AE387=Constants!$B$7 ,IF(AND(T387,U387,W387,ISNUMBER(Z387)),IF($AL$6=0,Constants!$B$10,Constants!$B$10*AL387/$AL$6), 0),"")</f>
        <v/>
      </c>
      <c r="AO387" s="63" t="str">
        <f aca="false">IF(AN387&lt;&gt;"", AN387*AG387,"")</f>
        <v/>
      </c>
      <c r="AP387" s="63" t="str">
        <f aca="false">IF($AE387=Constants!$B$7,IF($AP$6=0,Constants!$B$8,Constants!$B$8*AB387/$AP$6),"")</f>
        <v/>
      </c>
      <c r="AQ387" s="63" t="str">
        <f aca="false">IF($AE387&lt;&gt;Constants!$B$7,$AE387,AK387+AO387+AP387)</f>
        <v/>
      </c>
      <c r="AR387" s="63" t="str">
        <f aca="false">IF(ISBLANK($C387),"",IF($AE387=Constants!$B$7,RANK(AQ387,$AQ$8:$AQ$507),$AE387))</f>
        <v/>
      </c>
      <c r="AS387" s="63" t="str">
        <f aca="false">IF(ISBLANK($C387), "",AK387)</f>
        <v/>
      </c>
      <c r="AT387" s="63" t="str">
        <f aca="false">IF(ISBLANK($C387),"",IF($AE387=Constants!$B$7,RANK(AS387,AS$8:AS$507),$AE387))</f>
        <v/>
      </c>
      <c r="AU387" s="63" t="str">
        <f aca="false">IF(ISBLANK($C387), "",AP387)</f>
        <v/>
      </c>
      <c r="AV387" s="63" t="str">
        <f aca="false">IF(ISBLANK($C387),"",IF($AE387=Constants!$B$7,RANK(AU387,AU$8:AU$507),$AE387))</f>
        <v/>
      </c>
      <c r="AW387" s="63" t="str">
        <f aca="false">IF(ISBLANK($C387), "",AC387)</f>
        <v/>
      </c>
      <c r="AX387" s="63" t="str">
        <f aca="false">IF(ISBLANK($C387),"",
IF($AE387=Constants!$B$7,
  COUNTIFS($AR$8:$AR$507,"&lt;"&amp;$AR387)
  + COUNTIFS($AR$8:$AR$507,$AR387,$AT$8:$AT$507,"&lt;"&amp;$AT387)
  + COUNTIFS($AR$8:$AR$507,$AR387,$AT$8:$AT$507,$AT387,$AV$8:$AV$507,"&lt;"&amp;$AV387)
  + COUNTIFS($AR$8:$AR$507,$AR387,$AT$8:$AT$507,$AT387,$AV$8:$AV$507,$AV387,$AW$8:$AW$507,"&lt;"&amp;$AW387)
  + 1,
$AE387))</f>
        <v/>
      </c>
      <c r="AY387" s="63" t="str">
        <f aca="false">IF(ISBLANK(C387),"",IF($AE387=Constants!$B$7, AR387-AX387,$AE387))</f>
        <v/>
      </c>
      <c r="AZ387" s="67"/>
      <c r="BA387" s="81" t="str">
        <f aca="false">IF(ISBLANK($C387),"",TRIM(AI387&amp;" "&amp;AM387))</f>
        <v/>
      </c>
      <c r="BB387" s="69" t="str">
        <f aca="false">IF(ISBLANK($C387),"",IF($AE387&lt;&gt;Constants!$B$7, $AE387 ,AQ387))</f>
        <v/>
      </c>
      <c r="BC387" s="70" t="str">
        <f aca="false">IF(ISBLANK($C387),"",IF($AE387&lt;&gt;Constants!$B$7, $AE387 ,AF387))</f>
        <v/>
      </c>
      <c r="BD387" s="71" t="str">
        <f aca="false">IF(ISBLANK(C387),"",AY387)</f>
        <v/>
      </c>
      <c r="BE387" s="71" t="str">
        <f aca="false">IF(ISBLANK(C387),"",AX387)</f>
        <v/>
      </c>
      <c r="BF387" s="72" t="str">
        <f aca="false">IF(ISBLANK(C387),"",IFERROR(_xlfn.SWITCH(BE387, Constants!$B$4, COUNTA($C$8:$C886)+2, Constants!$B$5, COUNTA($C$8:$C886)+1, Constants!$B$6, COUNTA($C$8:$C886)),BE387))</f>
        <v/>
      </c>
      <c r="BG387" s="5"/>
      <c r="BH387" s="73" t="n">
        <f aca="false">IF(OR(ISNUMBER(BE387),BE387="DQ",BE387="P",BE387="NS"),
    1,
    0
)</f>
        <v>0</v>
      </c>
      <c r="BI387" s="73" t="n">
        <v>380</v>
      </c>
      <c r="BJ387" s="73" t="str">
        <f aca="false">IF(ISBLANK($C387),
    "",
   BF387+ROW($B387)/1000
)</f>
        <v/>
      </c>
      <c r="BK387" s="73" t="str">
        <f aca="false">IF(ISNUMBER(BJ387), RANK(BJ387,BJ$8:BJ$507,1), "")</f>
        <v/>
      </c>
      <c r="BL387" s="73" t="str">
        <f aca="false">IF(ISBLANK($C387),
    "",
    $B387
)</f>
        <v/>
      </c>
      <c r="BM387" s="73" t="str">
        <f aca="false">IF(ISBLANK($C387),
    "",
    $C387
)</f>
        <v/>
      </c>
      <c r="BN387" s="73" t="str">
        <f aca="false">IF(ISBLANK($C387),
    "",
    $D387
)</f>
        <v/>
      </c>
      <c r="BO387" s="74" t="str">
        <f aca="false">BC387</f>
        <v/>
      </c>
      <c r="BP387" s="75" t="str">
        <f aca="false">BB387</f>
        <v/>
      </c>
      <c r="BQ387" s="73" t="str">
        <f aca="false">IF(ISBLANK($C387),
    "",
    BE387
)</f>
        <v/>
      </c>
      <c r="BR387" s="76" t="str">
        <f aca="false">IF(BI387&gt;BH$7,
    "",
    VLOOKUP(BI387,BK$8:BQ886,7,FALSE())
)</f>
        <v/>
      </c>
      <c r="BS387" s="77" t="str">
        <f aca="false">IF(BI387&gt;BH$7,
    "",
    VLOOKUP(BI387,BK$8:BQ886,2,FALSE())
)</f>
        <v/>
      </c>
      <c r="BT387" s="77" t="str">
        <f aca="false">IF(BI387&gt;BH$7,
    "",
    VLOOKUP(BI387,BK$8:BQ886,3,FALSE())
)</f>
        <v/>
      </c>
      <c r="BU387" s="77" t="str">
        <f aca="false">IF(BI387&gt;BH$7,
    "",
    VLOOKUP(BI387,BK$8:BQ886,4,FALSE())
)</f>
        <v/>
      </c>
      <c r="BV387" s="77" t="str">
        <f aca="false">IF(BI387&gt;BH$7,
    "",
    VLOOKUP(BI387,BK$8:BQ886,5,FALSE())
)</f>
        <v/>
      </c>
      <c r="BW387" s="78" t="str">
        <f aca="false">IF(BI387&gt;BH$7,
    "",
    VLOOKUP(BI387,BK$8:BQ886,6,FALSE())
)</f>
        <v/>
      </c>
      <c r="BX387" s="50"/>
    </row>
    <row r="388" customFormat="false" ht="15.75" hidden="false" customHeight="false" outlineLevel="0" collapsed="false">
      <c r="A388" s="5"/>
      <c r="B388" s="126"/>
      <c r="C388" s="52"/>
      <c r="D388" s="53"/>
      <c r="E388" s="120"/>
      <c r="F388" s="120"/>
      <c r="G388" s="55"/>
      <c r="H388" s="56"/>
      <c r="I388" s="80"/>
      <c r="J388" s="80"/>
      <c r="K388" s="80"/>
      <c r="L388" s="58"/>
      <c r="M388" s="58"/>
      <c r="N388" s="58"/>
      <c r="O388" s="59"/>
      <c r="P388" s="60"/>
      <c r="Q388" s="80"/>
      <c r="R388" s="62"/>
      <c r="S388" s="63"/>
      <c r="T388" s="63" t="str">
        <f aca="false">IF(ISBLANK($C388),"",IF(G388=Constants!$B$2, TRUE(), IF(G388=Constants!$B$3, FALSE(), TRUE())))</f>
        <v/>
      </c>
      <c r="U388" s="63" t="str">
        <f aca="false">IF(ISBLANK($C388),"",IF(H388=Constants!$B$2, TRUE(), IF(H388=Constants!$B$3, FALSE(), TRUE())))</f>
        <v/>
      </c>
      <c r="V388" s="63" t="str">
        <f aca="false">IF(ISBLANK($C388),"",IF(I388=Constants!$B$2, TRUE(), IF(I388=Constants!$B$3, FALSE(), TRUE())))</f>
        <v/>
      </c>
      <c r="W388" s="63" t="str">
        <f aca="false">IF(ISBLANK($C388),"",IF(J388=Constants!$B$2, TRUE(), IF(J388=Constants!$B$3, FALSE(), TRUE())))</f>
        <v/>
      </c>
      <c r="X388" s="63" t="str">
        <f aca="false">IF(ISBLANK($C388),"",IF(K388=Constants!$B$2, TRUE(), IF(K388=Constants!$B$3, FALSE(), TRUE())))</f>
        <v/>
      </c>
      <c r="Y388" s="65" t="str">
        <f aca="false">IF(ISBLANK($C388),"",IF(ISNUMBER(L388), L388, ""))</f>
        <v/>
      </c>
      <c r="Z388" s="65" t="str">
        <f aca="false">IF(ISBLANK($C388),"",IF(ISNUMBER(M388), M388, ""))</f>
        <v/>
      </c>
      <c r="AA388" s="65" t="str">
        <f aca="false">IF(ISBLANK($C388),"",IF(ISNUMBER(N388), N388, ""))</f>
        <v/>
      </c>
      <c r="AB388" s="66" t="str">
        <f aca="false">IF(ISBLANK($C388),"",IF(ISNUMBER(O388), O388, ""))</f>
        <v/>
      </c>
      <c r="AC388" s="66" t="str">
        <f aca="false">IF(ISBLANK($C388),"",IF(ISNUMBER(P388), P388, Constants!$B$13))</f>
        <v/>
      </c>
      <c r="AD388" s="63" t="str">
        <f aca="false">IF(ISBLANK($C388),"",IF(Q388=Constants!$B$2, TRUE(), IF(Q388=Constants!$B$3, FALSE(), FALSE())))</f>
        <v/>
      </c>
      <c r="AE388" s="63" t="str">
        <f aca="false">IF(ISBLANK(C388), "", IF(AD388, Constants!$B$4,IF(COUNTA(G388:O388)=0, Constants!$B$5, Constants!$B$7)))</f>
        <v/>
      </c>
      <c r="AF388" s="63" t="str">
        <f aca="false">IF(ISBLANK($C388), "",IF($AE388=Constants!$B$7,1,$AE388))</f>
        <v/>
      </c>
      <c r="AG388" s="63" t="str">
        <f aca="false">IF($AE388=Constants!$B$7,IF(V388, 1, Constants!$B$11) * IF(X388, 1, Constants!$B$12),"")</f>
        <v/>
      </c>
      <c r="AH388" s="63" t="str">
        <f aca="false">IF(AND($AE388=Constants!$B$7, T388, U388) ,MAX(0, $AA388-$Y388),"")</f>
        <v/>
      </c>
      <c r="AI388" s="63" t="str">
        <f aca="false">IF(ISERROR(AH388),$AI$6,"")</f>
        <v/>
      </c>
      <c r="AJ388" s="63" t="str">
        <f aca="false">IF($AE388=Constants!$B$7,IF(AND(T388,U388,W388),IF($AH$6=0,Constants!$B$9,Constants!$B$9*AH388/$AH$6), 0),"")</f>
        <v/>
      </c>
      <c r="AK388" s="63" t="str">
        <f aca="false">IF(AJ388&lt;&gt;"", AJ388*AG388,"")</f>
        <v/>
      </c>
      <c r="AL388" s="63" t="str">
        <f aca="false">IF(AND($AE388=Constants!$B$7, T388, U388) ,IF($Z388="", "", MAX(0,1-ABS($AA388-$Z388)/$AA388)),"")</f>
        <v/>
      </c>
      <c r="AM388" s="63" t="str">
        <f aca="false">IF(AND(NOT(ISERROR(AH388)),ISERROR(AL388)),$AM$6,"")</f>
        <v/>
      </c>
      <c r="AN388" s="63" t="str">
        <f aca="false">IF($AE388=Constants!$B$7 ,IF(AND(T388,U388,W388,ISNUMBER(Z388)),IF($AL$6=0,Constants!$B$10,Constants!$B$10*AL388/$AL$6), 0),"")</f>
        <v/>
      </c>
      <c r="AO388" s="63" t="str">
        <f aca="false">IF(AN388&lt;&gt;"", AN388*AG388,"")</f>
        <v/>
      </c>
      <c r="AP388" s="63" t="str">
        <f aca="false">IF($AE388=Constants!$B$7,IF($AP$6=0,Constants!$B$8,Constants!$B$8*AB388/$AP$6),"")</f>
        <v/>
      </c>
      <c r="AQ388" s="63" t="str">
        <f aca="false">IF($AE388&lt;&gt;Constants!$B$7,$AE388,AK388+AO388+AP388)</f>
        <v/>
      </c>
      <c r="AR388" s="63" t="str">
        <f aca="false">IF(ISBLANK($C388),"",IF($AE388=Constants!$B$7,RANK(AQ388,$AQ$8:$AQ$507),$AE388))</f>
        <v/>
      </c>
      <c r="AS388" s="63" t="str">
        <f aca="false">IF(ISBLANK($C388), "",AK388)</f>
        <v/>
      </c>
      <c r="AT388" s="63" t="str">
        <f aca="false">IF(ISBLANK($C388),"",IF($AE388=Constants!$B$7,RANK(AS388,AS$8:AS$507),$AE388))</f>
        <v/>
      </c>
      <c r="AU388" s="63" t="str">
        <f aca="false">IF(ISBLANK($C388), "",AP388)</f>
        <v/>
      </c>
      <c r="AV388" s="63" t="str">
        <f aca="false">IF(ISBLANK($C388),"",IF($AE388=Constants!$B$7,RANK(AU388,AU$8:AU$507),$AE388))</f>
        <v/>
      </c>
      <c r="AW388" s="63" t="str">
        <f aca="false">IF(ISBLANK($C388), "",AC388)</f>
        <v/>
      </c>
      <c r="AX388" s="63" t="str">
        <f aca="false">IF(ISBLANK($C388),"",
IF($AE388=Constants!$B$7,
  COUNTIFS($AR$8:$AR$507,"&lt;"&amp;$AR388)
  + COUNTIFS($AR$8:$AR$507,$AR388,$AT$8:$AT$507,"&lt;"&amp;$AT388)
  + COUNTIFS($AR$8:$AR$507,$AR388,$AT$8:$AT$507,$AT388,$AV$8:$AV$507,"&lt;"&amp;$AV388)
  + COUNTIFS($AR$8:$AR$507,$AR388,$AT$8:$AT$507,$AT388,$AV$8:$AV$507,$AV388,$AW$8:$AW$507,"&lt;"&amp;$AW388)
  + 1,
$AE388))</f>
        <v/>
      </c>
      <c r="AY388" s="63" t="str">
        <f aca="false">IF(ISBLANK(C388),"",IF($AE388=Constants!$B$7, AR388-AX388,$AE388))</f>
        <v/>
      </c>
      <c r="AZ388" s="67"/>
      <c r="BA388" s="81" t="str">
        <f aca="false">IF(ISBLANK($C388),"",TRIM(AI388&amp;" "&amp;AM388))</f>
        <v/>
      </c>
      <c r="BB388" s="69" t="str">
        <f aca="false">IF(ISBLANK($C388),"",IF($AE388&lt;&gt;Constants!$B$7, $AE388 ,AQ388))</f>
        <v/>
      </c>
      <c r="BC388" s="70" t="str">
        <f aca="false">IF(ISBLANK($C388),"",IF($AE388&lt;&gt;Constants!$B$7, $AE388 ,AF388))</f>
        <v/>
      </c>
      <c r="BD388" s="71" t="str">
        <f aca="false">IF(ISBLANK(C388),"",AY388)</f>
        <v/>
      </c>
      <c r="BE388" s="71" t="str">
        <f aca="false">IF(ISBLANK(C388),"",AX388)</f>
        <v/>
      </c>
      <c r="BF388" s="72" t="str">
        <f aca="false">IF(ISBLANK(C388),"",IFERROR(_xlfn.SWITCH(BE388, Constants!$B$4, COUNTA($C$8:$C887)+2, Constants!$B$5, COUNTA($C$8:$C887)+1, Constants!$B$6, COUNTA($C$8:$C887)),BE388))</f>
        <v/>
      </c>
      <c r="BG388" s="5"/>
      <c r="BH388" s="73" t="n">
        <f aca="false">IF(OR(ISNUMBER(BE388),BE388="DQ",BE388="P",BE388="NS"),
    1,
    0
)</f>
        <v>0</v>
      </c>
      <c r="BI388" s="73" t="n">
        <v>381</v>
      </c>
      <c r="BJ388" s="73" t="str">
        <f aca="false">IF(ISBLANK($C388),
    "",
   BF388+ROW($B388)/1000
)</f>
        <v/>
      </c>
      <c r="BK388" s="73" t="str">
        <f aca="false">IF(ISNUMBER(BJ388), RANK(BJ388,BJ$8:BJ$507,1), "")</f>
        <v/>
      </c>
      <c r="BL388" s="73" t="str">
        <f aca="false">IF(ISBLANK($C388),
    "",
    $B388
)</f>
        <v/>
      </c>
      <c r="BM388" s="73" t="str">
        <f aca="false">IF(ISBLANK($C388),
    "",
    $C388
)</f>
        <v/>
      </c>
      <c r="BN388" s="73" t="str">
        <f aca="false">IF(ISBLANK($C388),
    "",
    $D388
)</f>
        <v/>
      </c>
      <c r="BO388" s="74" t="str">
        <f aca="false">BC388</f>
        <v/>
      </c>
      <c r="BP388" s="75" t="str">
        <f aca="false">BB388</f>
        <v/>
      </c>
      <c r="BQ388" s="73" t="str">
        <f aca="false">IF(ISBLANK($C388),
    "",
    BE388
)</f>
        <v/>
      </c>
      <c r="BR388" s="76" t="str">
        <f aca="false">IF(BI388&gt;BH$7,
    "",
    VLOOKUP(BI388,BK$8:BQ887,7,FALSE())
)</f>
        <v/>
      </c>
      <c r="BS388" s="77" t="str">
        <f aca="false">IF(BI388&gt;BH$7,
    "",
    VLOOKUP(BI388,BK$8:BQ887,2,FALSE())
)</f>
        <v/>
      </c>
      <c r="BT388" s="77" t="str">
        <f aca="false">IF(BI388&gt;BH$7,
    "",
    VLOOKUP(BI388,BK$8:BQ887,3,FALSE())
)</f>
        <v/>
      </c>
      <c r="BU388" s="77" t="str">
        <f aca="false">IF(BI388&gt;BH$7,
    "",
    VLOOKUP(BI388,BK$8:BQ887,4,FALSE())
)</f>
        <v/>
      </c>
      <c r="BV388" s="77" t="str">
        <f aca="false">IF(BI388&gt;BH$7,
    "",
    VLOOKUP(BI388,BK$8:BQ887,5,FALSE())
)</f>
        <v/>
      </c>
      <c r="BW388" s="78" t="str">
        <f aca="false">IF(BI388&gt;BH$7,
    "",
    VLOOKUP(BI388,BK$8:BQ887,6,FALSE())
)</f>
        <v/>
      </c>
      <c r="BX388" s="50"/>
    </row>
    <row r="389" customFormat="false" ht="15.75" hidden="false" customHeight="false" outlineLevel="0" collapsed="false">
      <c r="A389" s="5"/>
      <c r="B389" s="122"/>
      <c r="C389" s="123"/>
      <c r="D389" s="112"/>
      <c r="E389" s="116"/>
      <c r="F389" s="116"/>
      <c r="G389" s="88"/>
      <c r="H389" s="89"/>
      <c r="I389" s="125"/>
      <c r="J389" s="125"/>
      <c r="K389" s="125"/>
      <c r="L389" s="91"/>
      <c r="M389" s="91"/>
      <c r="N389" s="91"/>
      <c r="O389" s="92"/>
      <c r="P389" s="93"/>
      <c r="Q389" s="125"/>
      <c r="R389" s="95"/>
      <c r="S389" s="96"/>
      <c r="T389" s="96" t="str">
        <f aca="false">IF(ISBLANK($C389),"",IF(G389=Constants!$B$2, TRUE(), IF(G389=Constants!$B$3, FALSE(), TRUE())))</f>
        <v/>
      </c>
      <c r="U389" s="96" t="str">
        <f aca="false">IF(ISBLANK($C389),"",IF(H389=Constants!$B$2, TRUE(), IF(H389=Constants!$B$3, FALSE(), TRUE())))</f>
        <v/>
      </c>
      <c r="V389" s="96" t="str">
        <f aca="false">IF(ISBLANK($C389),"",IF(I389=Constants!$B$2, TRUE(), IF(I389=Constants!$B$3, FALSE(), TRUE())))</f>
        <v/>
      </c>
      <c r="W389" s="96" t="str">
        <f aca="false">IF(ISBLANK($C389),"",IF(J389=Constants!$B$2, TRUE(), IF(J389=Constants!$B$3, FALSE(), TRUE())))</f>
        <v/>
      </c>
      <c r="X389" s="97" t="str">
        <f aca="false">IF(ISBLANK($C389),"",IF(K389=Constants!$B$2, TRUE(), IF(K389=Constants!$B$3, FALSE(), TRUE())))</f>
        <v/>
      </c>
      <c r="Y389" s="98" t="str">
        <f aca="false">IF(ISBLANK($C389),"",IF(ISNUMBER(L389), L389, ""))</f>
        <v/>
      </c>
      <c r="Z389" s="98" t="str">
        <f aca="false">IF(ISBLANK($C389),"",IF(ISNUMBER(M389), M389, ""))</f>
        <v/>
      </c>
      <c r="AA389" s="98" t="str">
        <f aca="false">IF(ISBLANK($C389),"",IF(ISNUMBER(N389), N389, ""))</f>
        <v/>
      </c>
      <c r="AB389" s="99" t="str">
        <f aca="false">IF(ISBLANK($C389),"",IF(ISNUMBER(O389), O389, ""))</f>
        <v/>
      </c>
      <c r="AC389" s="99" t="str">
        <f aca="false">IF(ISBLANK($C389),"",IF(ISNUMBER(P389), P389, Constants!$B$13))</f>
        <v/>
      </c>
      <c r="AD389" s="96" t="str">
        <f aca="false">IF(ISBLANK($C389),"",IF(Q389=Constants!$B$2, TRUE(), IF(Q389=Constants!$B$3, FALSE(), FALSE())))</f>
        <v/>
      </c>
      <c r="AE389" s="96" t="str">
        <f aca="false">IF(ISBLANK(C389), "", IF(AD389, Constants!$B$4,IF(COUNTA(G389:O389)=0, Constants!$B$5, Constants!$B$7)))</f>
        <v/>
      </c>
      <c r="AF389" s="96" t="str">
        <f aca="false">IF(ISBLANK($C389), "",IF($AE389=Constants!$B$7,1,$AE389))</f>
        <v/>
      </c>
      <c r="AG389" s="96" t="str">
        <f aca="false">IF($AE389=Constants!$B$7,IF(V389, 1, Constants!$B$11) * IF(X389, 1, Constants!$B$12),"")</f>
        <v/>
      </c>
      <c r="AH389" s="96" t="str">
        <f aca="false">IF(AND($AE389=Constants!$B$7, T389, U389) ,MAX(0, $AA389-$Y389),"")</f>
        <v/>
      </c>
      <c r="AI389" s="96" t="str">
        <f aca="false">IF(ISERROR(AH389),$AI$6,"")</f>
        <v/>
      </c>
      <c r="AJ389" s="96" t="str">
        <f aca="false">IF($AE389=Constants!$B$7,IF(AND(T389,U389,W389),IF($AH$6=0,Constants!$B$9,Constants!$B$9*AH389/$AH$6), 0),"")</f>
        <v/>
      </c>
      <c r="AK389" s="96" t="str">
        <f aca="false">IF(AJ389&lt;&gt;"", AJ389*AG389,"")</f>
        <v/>
      </c>
      <c r="AL389" s="96" t="str">
        <f aca="false">IF(AND($AE389=Constants!$B$7, T389, U389) ,IF($Z389="", "", MAX(0,1-ABS($AA389-$Z389)/$AA389)),"")</f>
        <v/>
      </c>
      <c r="AM389" s="96" t="str">
        <f aca="false">IF(AND(NOT(ISERROR(AH389)),ISERROR(AL389)),$AM$6,"")</f>
        <v/>
      </c>
      <c r="AN389" s="96" t="str">
        <f aca="false">IF($AE389=Constants!$B$7 ,IF(AND(T389,U389,W389,ISNUMBER(Z389)),IF($AL$6=0,Constants!$B$10,Constants!$B$10*AL389/$AL$6), 0),"")</f>
        <v/>
      </c>
      <c r="AO389" s="96" t="str">
        <f aca="false">IF(AN389&lt;&gt;"", AN389*AG389,"")</f>
        <v/>
      </c>
      <c r="AP389" s="96" t="str">
        <f aca="false">IF($AE389=Constants!$B$7,IF($AP$6=0,Constants!$B$8,Constants!$B$8*AB389/$AP$6),"")</f>
        <v/>
      </c>
      <c r="AQ389" s="96" t="str">
        <f aca="false">IF($AE389&lt;&gt;Constants!$B$7,$AE389,AK389+AO389+AP389)</f>
        <v/>
      </c>
      <c r="AR389" s="96" t="str">
        <f aca="false">IF(ISBLANK($C389),"",IF($AE389=Constants!$B$7,RANK(AQ389,$AQ$8:$AQ$507),$AE389))</f>
        <v/>
      </c>
      <c r="AS389" s="96" t="str">
        <f aca="false">IF(ISBLANK($C389), "",AK389)</f>
        <v/>
      </c>
      <c r="AT389" s="96" t="str">
        <f aca="false">IF(ISBLANK($C389),"",IF($AE389=Constants!$B$7,RANK(AS389,AS$8:AS$507),$AE389))</f>
        <v/>
      </c>
      <c r="AU389" s="96" t="str">
        <f aca="false">IF(ISBLANK($C389), "",AP389)</f>
        <v/>
      </c>
      <c r="AV389" s="96" t="str">
        <f aca="false">IF(ISBLANK($C389),"",IF($AE389=Constants!$B$7,RANK(AU389,AU$8:AU$507),$AE389))</f>
        <v/>
      </c>
      <c r="AW389" s="96" t="str">
        <f aca="false">IF(ISBLANK($C389), "",AC389)</f>
        <v/>
      </c>
      <c r="AX389" s="96" t="str">
        <f aca="false">IF(ISBLANK($C389),"",
IF($AE389=Constants!$B$7,
  COUNTIFS($AR$8:$AR$507,"&lt;"&amp;$AR389)
  + COUNTIFS($AR$8:$AR$507,$AR389,$AT$8:$AT$507,"&lt;"&amp;$AT389)
  + COUNTIFS($AR$8:$AR$507,$AR389,$AT$8:$AT$507,$AT389,$AV$8:$AV$507,"&lt;"&amp;$AV389)
  + COUNTIFS($AR$8:$AR$507,$AR389,$AT$8:$AT$507,$AT389,$AV$8:$AV$507,$AV389,$AW$8:$AW$507,"&lt;"&amp;$AW389)
  + 1,
$AE389))</f>
        <v/>
      </c>
      <c r="AY389" s="96" t="str">
        <f aca="false">IF(ISBLANK(C389),"",IF($AE389=Constants!$B$7, AR389-AX389,$AE389))</f>
        <v/>
      </c>
      <c r="AZ389" s="100"/>
      <c r="BA389" s="101" t="str">
        <f aca="false">IF(ISBLANK($C389),"",TRIM(AI389&amp;" "&amp;AM389))</f>
        <v/>
      </c>
      <c r="BB389" s="102" t="str">
        <f aca="false">IF(ISBLANK($C389),"",IF($AE389&lt;&gt;Constants!$B$7, $AE389 ,AQ389))</f>
        <v/>
      </c>
      <c r="BC389" s="103" t="str">
        <f aca="false">IF(ISBLANK($C389),"",IF($AE389&lt;&gt;Constants!$B$7, $AE389 ,AF389))</f>
        <v/>
      </c>
      <c r="BD389" s="104" t="str">
        <f aca="false">IF(ISBLANK(C389),"",AY389)</f>
        <v/>
      </c>
      <c r="BE389" s="104" t="str">
        <f aca="false">IF(ISBLANK(C389),"",AX389)</f>
        <v/>
      </c>
      <c r="BF389" s="105" t="str">
        <f aca="false">IF(ISBLANK(C389),"",IFERROR(_xlfn.SWITCH(BE389, Constants!$B$4, COUNTA($C$8:$C888)+2, Constants!$B$5, COUNTA($C$8:$C888)+1, Constants!$B$6, COUNTA($C$8:$C888)),BE389))</f>
        <v/>
      </c>
      <c r="BG389" s="5"/>
      <c r="BH389" s="106" t="n">
        <f aca="false">IF(OR(ISNUMBER(BE389),BE389="DQ",BE389="P",BE389="NS"),
    1,
    0
)</f>
        <v>0</v>
      </c>
      <c r="BI389" s="106" t="n">
        <v>382</v>
      </c>
      <c r="BJ389" s="106" t="str">
        <f aca="false">IF(ISBLANK($C389),
    "",
   BF389+ROW($B389)/1000
)</f>
        <v/>
      </c>
      <c r="BK389" s="106" t="str">
        <f aca="false">IF(ISNUMBER(BJ389), RANK(BJ389,BJ$8:BJ$507,1), "")</f>
        <v/>
      </c>
      <c r="BL389" s="106" t="str">
        <f aca="false">IF(ISBLANK($C389),
    "",
    $B389
)</f>
        <v/>
      </c>
      <c r="BM389" s="106" t="str">
        <f aca="false">IF(ISBLANK($C389),
    "",
    $C389
)</f>
        <v/>
      </c>
      <c r="BN389" s="106" t="str">
        <f aca="false">IF(ISBLANK($C389),
    "",
    $D389
)</f>
        <v/>
      </c>
      <c r="BO389" s="107" t="str">
        <f aca="false">BC389</f>
        <v/>
      </c>
      <c r="BP389" s="108" t="str">
        <f aca="false">BB389</f>
        <v/>
      </c>
      <c r="BQ389" s="106" t="str">
        <f aca="false">IF(ISBLANK($C389),
    "",
    BE389
)</f>
        <v/>
      </c>
      <c r="BR389" s="109" t="str">
        <f aca="false">IF(BI389&gt;BH$7,
    "",
    VLOOKUP(BI389,BK$8:BQ888,7,FALSE())
)</f>
        <v/>
      </c>
      <c r="BS389" s="110" t="str">
        <f aca="false">IF(BI389&gt;BH$7,
    "",
    VLOOKUP(BI389,BK$8:BQ888,2,FALSE())
)</f>
        <v/>
      </c>
      <c r="BT389" s="110" t="str">
        <f aca="false">IF(BI389&gt;BH$7,
    "",
    VLOOKUP(BI389,BK$8:BQ888,3,FALSE())
)</f>
        <v/>
      </c>
      <c r="BU389" s="110" t="str">
        <f aca="false">IF(BI389&gt;BH$7,
    "",
    VLOOKUP(BI389,BK$8:BQ888,4,FALSE())
)</f>
        <v/>
      </c>
      <c r="BV389" s="110" t="str">
        <f aca="false">IF(BI389&gt;BH$7,
    "",
    VLOOKUP(BI389,BK$8:BQ888,5,FALSE())
)</f>
        <v/>
      </c>
      <c r="BW389" s="111" t="str">
        <f aca="false">IF(BI389&gt;BH$7,
    "",
    VLOOKUP(BI389,BK$8:BQ888,6,FALSE())
)</f>
        <v/>
      </c>
      <c r="BX389" s="50"/>
    </row>
    <row r="390" customFormat="false" ht="15.75" hidden="false" customHeight="false" outlineLevel="0" collapsed="false">
      <c r="A390" s="5"/>
      <c r="B390" s="122"/>
      <c r="C390" s="123"/>
      <c r="D390" s="112"/>
      <c r="E390" s="116"/>
      <c r="F390" s="116"/>
      <c r="G390" s="88"/>
      <c r="H390" s="89"/>
      <c r="I390" s="125"/>
      <c r="J390" s="125"/>
      <c r="K390" s="125"/>
      <c r="L390" s="91"/>
      <c r="M390" s="91"/>
      <c r="N390" s="91"/>
      <c r="O390" s="92"/>
      <c r="P390" s="93"/>
      <c r="Q390" s="125"/>
      <c r="R390" s="95"/>
      <c r="S390" s="96"/>
      <c r="T390" s="96" t="str">
        <f aca="false">IF(ISBLANK($C390),"",IF(G390=Constants!$B$2, TRUE(), IF(G390=Constants!$B$3, FALSE(), TRUE())))</f>
        <v/>
      </c>
      <c r="U390" s="96" t="str">
        <f aca="false">IF(ISBLANK($C390),"",IF(H390=Constants!$B$2, TRUE(), IF(H390=Constants!$B$3, FALSE(), TRUE())))</f>
        <v/>
      </c>
      <c r="V390" s="96" t="str">
        <f aca="false">IF(ISBLANK($C390),"",IF(I390=Constants!$B$2, TRUE(), IF(I390=Constants!$B$3, FALSE(), TRUE())))</f>
        <v/>
      </c>
      <c r="W390" s="96" t="str">
        <f aca="false">IF(ISBLANK($C390),"",IF(J390=Constants!$B$2, TRUE(), IF(J390=Constants!$B$3, FALSE(), TRUE())))</f>
        <v/>
      </c>
      <c r="X390" s="97" t="str">
        <f aca="false">IF(ISBLANK($C390),"",IF(K390=Constants!$B$2, TRUE(), IF(K390=Constants!$B$3, FALSE(), TRUE())))</f>
        <v/>
      </c>
      <c r="Y390" s="98" t="str">
        <f aca="false">IF(ISBLANK($C390),"",IF(ISNUMBER(L390), L390, ""))</f>
        <v/>
      </c>
      <c r="Z390" s="98" t="str">
        <f aca="false">IF(ISBLANK($C390),"",IF(ISNUMBER(M390), M390, ""))</f>
        <v/>
      </c>
      <c r="AA390" s="98" t="str">
        <f aca="false">IF(ISBLANK($C390),"",IF(ISNUMBER(N390), N390, ""))</f>
        <v/>
      </c>
      <c r="AB390" s="99" t="str">
        <f aca="false">IF(ISBLANK($C390),"",IF(ISNUMBER(O390), O390, ""))</f>
        <v/>
      </c>
      <c r="AC390" s="99" t="str">
        <f aca="false">IF(ISBLANK($C390),"",IF(ISNUMBER(P390), P390, Constants!$B$13))</f>
        <v/>
      </c>
      <c r="AD390" s="96" t="str">
        <f aca="false">IF(ISBLANK($C390),"",IF(Q390=Constants!$B$2, TRUE(), IF(Q390=Constants!$B$3, FALSE(), FALSE())))</f>
        <v/>
      </c>
      <c r="AE390" s="96" t="str">
        <f aca="false">IF(ISBLANK(C390), "", IF(AD390, Constants!$B$4,IF(COUNTA(G390:O390)=0, Constants!$B$5, Constants!$B$7)))</f>
        <v/>
      </c>
      <c r="AF390" s="96" t="str">
        <f aca="false">IF(ISBLANK($C390), "",IF($AE390=Constants!$B$7,1,$AE390))</f>
        <v/>
      </c>
      <c r="AG390" s="96" t="str">
        <f aca="false">IF($AE390=Constants!$B$7,IF(V390, 1, Constants!$B$11) * IF(X390, 1, Constants!$B$12),"")</f>
        <v/>
      </c>
      <c r="AH390" s="96" t="str">
        <f aca="false">IF(AND($AE390=Constants!$B$7, T390, U390) ,MAX(0, $AA390-$Y390),"")</f>
        <v/>
      </c>
      <c r="AI390" s="96" t="str">
        <f aca="false">IF(ISERROR(AH390),$AI$6,"")</f>
        <v/>
      </c>
      <c r="AJ390" s="96" t="str">
        <f aca="false">IF($AE390=Constants!$B$7,IF(AND(T390,U390,W390),IF($AH$6=0,Constants!$B$9,Constants!$B$9*AH390/$AH$6), 0),"")</f>
        <v/>
      </c>
      <c r="AK390" s="96" t="str">
        <f aca="false">IF(AJ390&lt;&gt;"", AJ390*AG390,"")</f>
        <v/>
      </c>
      <c r="AL390" s="96" t="str">
        <f aca="false">IF(AND($AE390=Constants!$B$7, T390, U390) ,IF($Z390="", "", MAX(0,1-ABS($AA390-$Z390)/$AA390)),"")</f>
        <v/>
      </c>
      <c r="AM390" s="96" t="str">
        <f aca="false">IF(AND(NOT(ISERROR(AH390)),ISERROR(AL390)),$AM$6,"")</f>
        <v/>
      </c>
      <c r="AN390" s="96" t="str">
        <f aca="false">IF($AE390=Constants!$B$7 ,IF(AND(T390,U390,W390,ISNUMBER(Z390)),IF($AL$6=0,Constants!$B$10,Constants!$B$10*AL390/$AL$6), 0),"")</f>
        <v/>
      </c>
      <c r="AO390" s="96" t="str">
        <f aca="false">IF(AN390&lt;&gt;"", AN390*AG390,"")</f>
        <v/>
      </c>
      <c r="AP390" s="96" t="str">
        <f aca="false">IF($AE390=Constants!$B$7,IF($AP$6=0,Constants!$B$8,Constants!$B$8*AB390/$AP$6),"")</f>
        <v/>
      </c>
      <c r="AQ390" s="96" t="str">
        <f aca="false">IF($AE390&lt;&gt;Constants!$B$7,$AE390,AK390+AO390+AP390)</f>
        <v/>
      </c>
      <c r="AR390" s="96" t="str">
        <f aca="false">IF(ISBLANK($C390),"",IF($AE390=Constants!$B$7,RANK(AQ390,$AQ$8:$AQ$507),$AE390))</f>
        <v/>
      </c>
      <c r="AS390" s="96" t="str">
        <f aca="false">IF(ISBLANK($C390), "",AK390)</f>
        <v/>
      </c>
      <c r="AT390" s="96" t="str">
        <f aca="false">IF(ISBLANK($C390),"",IF($AE390=Constants!$B$7,RANK(AS390,AS$8:AS$507),$AE390))</f>
        <v/>
      </c>
      <c r="AU390" s="96" t="str">
        <f aca="false">IF(ISBLANK($C390), "",AP390)</f>
        <v/>
      </c>
      <c r="AV390" s="96" t="str">
        <f aca="false">IF(ISBLANK($C390),"",IF($AE390=Constants!$B$7,RANK(AU390,AU$8:AU$507),$AE390))</f>
        <v/>
      </c>
      <c r="AW390" s="96" t="str">
        <f aca="false">IF(ISBLANK($C390), "",AC390)</f>
        <v/>
      </c>
      <c r="AX390" s="96" t="str">
        <f aca="false">IF(ISBLANK($C390),"",
IF($AE390=Constants!$B$7,
  COUNTIFS($AR$8:$AR$507,"&lt;"&amp;$AR390)
  + COUNTIFS($AR$8:$AR$507,$AR390,$AT$8:$AT$507,"&lt;"&amp;$AT390)
  + COUNTIFS($AR$8:$AR$507,$AR390,$AT$8:$AT$507,$AT390,$AV$8:$AV$507,"&lt;"&amp;$AV390)
  + COUNTIFS($AR$8:$AR$507,$AR390,$AT$8:$AT$507,$AT390,$AV$8:$AV$507,$AV390,$AW$8:$AW$507,"&lt;"&amp;$AW390)
  + 1,
$AE390))</f>
        <v/>
      </c>
      <c r="AY390" s="96" t="str">
        <f aca="false">IF(ISBLANK(C390),"",IF($AE390=Constants!$B$7, AR390-AX390,$AE390))</f>
        <v/>
      </c>
      <c r="AZ390" s="100"/>
      <c r="BA390" s="101" t="str">
        <f aca="false">IF(ISBLANK($C390),"",TRIM(AI390&amp;" "&amp;AM390))</f>
        <v/>
      </c>
      <c r="BB390" s="102" t="str">
        <f aca="false">IF(ISBLANK($C390),"",IF($AE390&lt;&gt;Constants!$B$7, $AE390 ,AQ390))</f>
        <v/>
      </c>
      <c r="BC390" s="103" t="str">
        <f aca="false">IF(ISBLANK($C390),"",IF($AE390&lt;&gt;Constants!$B$7, $AE390 ,AF390))</f>
        <v/>
      </c>
      <c r="BD390" s="104" t="str">
        <f aca="false">IF(ISBLANK(C390),"",AY390)</f>
        <v/>
      </c>
      <c r="BE390" s="104" t="str">
        <f aca="false">IF(ISBLANK(C390),"",AX390)</f>
        <v/>
      </c>
      <c r="BF390" s="105" t="str">
        <f aca="false">IF(ISBLANK(C390),"",IFERROR(_xlfn.SWITCH(BE390, Constants!$B$4, COUNTA($C$8:$C889)+2, Constants!$B$5, COUNTA($C$8:$C889)+1, Constants!$B$6, COUNTA($C$8:$C889)),BE390))</f>
        <v/>
      </c>
      <c r="BG390" s="5"/>
      <c r="BH390" s="106" t="n">
        <f aca="false">IF(OR(ISNUMBER(BE390),BE390="DQ",BE390="P",BE390="NS"),
    1,
    0
)</f>
        <v>0</v>
      </c>
      <c r="BI390" s="106" t="n">
        <v>383</v>
      </c>
      <c r="BJ390" s="106" t="str">
        <f aca="false">IF(ISBLANK($C390),
    "",
   BF390+ROW($B390)/1000
)</f>
        <v/>
      </c>
      <c r="BK390" s="106" t="str">
        <f aca="false">IF(ISNUMBER(BJ390), RANK(BJ390,BJ$8:BJ$507,1), "")</f>
        <v/>
      </c>
      <c r="BL390" s="106" t="str">
        <f aca="false">IF(ISBLANK($C390),
    "",
    $B390
)</f>
        <v/>
      </c>
      <c r="BM390" s="106" t="str">
        <f aca="false">IF(ISBLANK($C390),
    "",
    $C390
)</f>
        <v/>
      </c>
      <c r="BN390" s="106" t="str">
        <f aca="false">IF(ISBLANK($C390),
    "",
    $D390
)</f>
        <v/>
      </c>
      <c r="BO390" s="107" t="str">
        <f aca="false">BC390</f>
        <v/>
      </c>
      <c r="BP390" s="108" t="str">
        <f aca="false">BB390</f>
        <v/>
      </c>
      <c r="BQ390" s="106" t="str">
        <f aca="false">IF(ISBLANK($C390),
    "",
    BE390
)</f>
        <v/>
      </c>
      <c r="BR390" s="109" t="str">
        <f aca="false">IF(BI390&gt;BH$7,
    "",
    VLOOKUP(BI390,BK$8:BQ889,7,FALSE())
)</f>
        <v/>
      </c>
      <c r="BS390" s="110" t="str">
        <f aca="false">IF(BI390&gt;BH$7,
    "",
    VLOOKUP(BI390,BK$8:BQ889,2,FALSE())
)</f>
        <v/>
      </c>
      <c r="BT390" s="110" t="str">
        <f aca="false">IF(BI390&gt;BH$7,
    "",
    VLOOKUP(BI390,BK$8:BQ889,3,FALSE())
)</f>
        <v/>
      </c>
      <c r="BU390" s="110" t="str">
        <f aca="false">IF(BI390&gt;BH$7,
    "",
    VLOOKUP(BI390,BK$8:BQ889,4,FALSE())
)</f>
        <v/>
      </c>
      <c r="BV390" s="110" t="str">
        <f aca="false">IF(BI390&gt;BH$7,
    "",
    VLOOKUP(BI390,BK$8:BQ889,5,FALSE())
)</f>
        <v/>
      </c>
      <c r="BW390" s="111" t="str">
        <f aca="false">IF(BI390&gt;BH$7,
    "",
    VLOOKUP(BI390,BK$8:BQ889,6,FALSE())
)</f>
        <v/>
      </c>
      <c r="BX390" s="50"/>
    </row>
    <row r="391" customFormat="false" ht="15.75" hidden="false" customHeight="false" outlineLevel="0" collapsed="false">
      <c r="A391" s="5"/>
      <c r="B391" s="122"/>
      <c r="C391" s="123"/>
      <c r="D391" s="112"/>
      <c r="E391" s="116"/>
      <c r="F391" s="116"/>
      <c r="G391" s="88"/>
      <c r="H391" s="89"/>
      <c r="I391" s="125"/>
      <c r="J391" s="125"/>
      <c r="K391" s="125"/>
      <c r="L391" s="91"/>
      <c r="M391" s="91"/>
      <c r="N391" s="91"/>
      <c r="O391" s="92"/>
      <c r="P391" s="93"/>
      <c r="Q391" s="125"/>
      <c r="R391" s="95"/>
      <c r="S391" s="96"/>
      <c r="T391" s="96" t="str">
        <f aca="false">IF(ISBLANK($C391),"",IF(G391=Constants!$B$2, TRUE(), IF(G391=Constants!$B$3, FALSE(), TRUE())))</f>
        <v/>
      </c>
      <c r="U391" s="96" t="str">
        <f aca="false">IF(ISBLANK($C391),"",IF(H391=Constants!$B$2, TRUE(), IF(H391=Constants!$B$3, FALSE(), TRUE())))</f>
        <v/>
      </c>
      <c r="V391" s="96" t="str">
        <f aca="false">IF(ISBLANK($C391),"",IF(I391=Constants!$B$2, TRUE(), IF(I391=Constants!$B$3, FALSE(), TRUE())))</f>
        <v/>
      </c>
      <c r="W391" s="96" t="str">
        <f aca="false">IF(ISBLANK($C391),"",IF(J391=Constants!$B$2, TRUE(), IF(J391=Constants!$B$3, FALSE(), TRUE())))</f>
        <v/>
      </c>
      <c r="X391" s="97" t="str">
        <f aca="false">IF(ISBLANK($C391),"",IF(K391=Constants!$B$2, TRUE(), IF(K391=Constants!$B$3, FALSE(), TRUE())))</f>
        <v/>
      </c>
      <c r="Y391" s="98" t="str">
        <f aca="false">IF(ISBLANK($C391),"",IF(ISNUMBER(L391), L391, ""))</f>
        <v/>
      </c>
      <c r="Z391" s="98" t="str">
        <f aca="false">IF(ISBLANK($C391),"",IF(ISNUMBER(M391), M391, ""))</f>
        <v/>
      </c>
      <c r="AA391" s="98" t="str">
        <f aca="false">IF(ISBLANK($C391),"",IF(ISNUMBER(N391), N391, ""))</f>
        <v/>
      </c>
      <c r="AB391" s="99" t="str">
        <f aca="false">IF(ISBLANK($C391),"",IF(ISNUMBER(O391), O391, ""))</f>
        <v/>
      </c>
      <c r="AC391" s="99" t="str">
        <f aca="false">IF(ISBLANK($C391),"",IF(ISNUMBER(P391), P391, Constants!$B$13))</f>
        <v/>
      </c>
      <c r="AD391" s="96" t="str">
        <f aca="false">IF(ISBLANK($C391),"",IF(Q391=Constants!$B$2, TRUE(), IF(Q391=Constants!$B$3, FALSE(), FALSE())))</f>
        <v/>
      </c>
      <c r="AE391" s="96" t="str">
        <f aca="false">IF(ISBLANK(C391), "", IF(AD391, Constants!$B$4,IF(COUNTA(G391:O391)=0, Constants!$B$5, Constants!$B$7)))</f>
        <v/>
      </c>
      <c r="AF391" s="96" t="str">
        <f aca="false">IF(ISBLANK($C391), "",IF($AE391=Constants!$B$7,1,$AE391))</f>
        <v/>
      </c>
      <c r="AG391" s="96" t="str">
        <f aca="false">IF($AE391=Constants!$B$7,IF(V391, 1, Constants!$B$11) * IF(X391, 1, Constants!$B$12),"")</f>
        <v/>
      </c>
      <c r="AH391" s="96" t="str">
        <f aca="false">IF(AND($AE391=Constants!$B$7, T391, U391) ,MAX(0, $AA391-$Y391),"")</f>
        <v/>
      </c>
      <c r="AI391" s="96" t="str">
        <f aca="false">IF(ISERROR(AH391),$AI$6,"")</f>
        <v/>
      </c>
      <c r="AJ391" s="96" t="str">
        <f aca="false">IF($AE391=Constants!$B$7,IF(AND(T391,U391,W391),IF($AH$6=0,Constants!$B$9,Constants!$B$9*AH391/$AH$6), 0),"")</f>
        <v/>
      </c>
      <c r="AK391" s="96" t="str">
        <f aca="false">IF(AJ391&lt;&gt;"", AJ391*AG391,"")</f>
        <v/>
      </c>
      <c r="AL391" s="96" t="str">
        <f aca="false">IF(AND($AE391=Constants!$B$7, T391, U391) ,IF($Z391="", "", MAX(0,1-ABS($AA391-$Z391)/$AA391)),"")</f>
        <v/>
      </c>
      <c r="AM391" s="96" t="str">
        <f aca="false">IF(AND(NOT(ISERROR(AH391)),ISERROR(AL391)),$AM$6,"")</f>
        <v/>
      </c>
      <c r="AN391" s="96" t="str">
        <f aca="false">IF($AE391=Constants!$B$7 ,IF(AND(T391,U391,W391,ISNUMBER(Z391)),IF($AL$6=0,Constants!$B$10,Constants!$B$10*AL391/$AL$6), 0),"")</f>
        <v/>
      </c>
      <c r="AO391" s="96" t="str">
        <f aca="false">IF(AN391&lt;&gt;"", AN391*AG391,"")</f>
        <v/>
      </c>
      <c r="AP391" s="96" t="str">
        <f aca="false">IF($AE391=Constants!$B$7,IF($AP$6=0,Constants!$B$8,Constants!$B$8*AB391/$AP$6),"")</f>
        <v/>
      </c>
      <c r="AQ391" s="96" t="str">
        <f aca="false">IF($AE391&lt;&gt;Constants!$B$7,$AE391,AK391+AO391+AP391)</f>
        <v/>
      </c>
      <c r="AR391" s="96" t="str">
        <f aca="false">IF(ISBLANK($C391),"",IF($AE391=Constants!$B$7,RANK(AQ391,$AQ$8:$AQ$507),$AE391))</f>
        <v/>
      </c>
      <c r="AS391" s="96" t="str">
        <f aca="false">IF(ISBLANK($C391), "",AK391)</f>
        <v/>
      </c>
      <c r="AT391" s="96" t="str">
        <f aca="false">IF(ISBLANK($C391),"",IF($AE391=Constants!$B$7,RANK(AS391,AS$8:AS$507),$AE391))</f>
        <v/>
      </c>
      <c r="AU391" s="96" t="str">
        <f aca="false">IF(ISBLANK($C391), "",AP391)</f>
        <v/>
      </c>
      <c r="AV391" s="96" t="str">
        <f aca="false">IF(ISBLANK($C391),"",IF($AE391=Constants!$B$7,RANK(AU391,AU$8:AU$507),$AE391))</f>
        <v/>
      </c>
      <c r="AW391" s="96" t="str">
        <f aca="false">IF(ISBLANK($C391), "",AC391)</f>
        <v/>
      </c>
      <c r="AX391" s="96" t="str">
        <f aca="false">IF(ISBLANK($C391),"",
IF($AE391=Constants!$B$7,
  COUNTIFS($AR$8:$AR$507,"&lt;"&amp;$AR391)
  + COUNTIFS($AR$8:$AR$507,$AR391,$AT$8:$AT$507,"&lt;"&amp;$AT391)
  + COUNTIFS($AR$8:$AR$507,$AR391,$AT$8:$AT$507,$AT391,$AV$8:$AV$507,"&lt;"&amp;$AV391)
  + COUNTIFS($AR$8:$AR$507,$AR391,$AT$8:$AT$507,$AT391,$AV$8:$AV$507,$AV391,$AW$8:$AW$507,"&lt;"&amp;$AW391)
  + 1,
$AE391))</f>
        <v/>
      </c>
      <c r="AY391" s="96" t="str">
        <f aca="false">IF(ISBLANK(C391),"",IF($AE391=Constants!$B$7, AR391-AX391,$AE391))</f>
        <v/>
      </c>
      <c r="AZ391" s="100"/>
      <c r="BA391" s="101" t="str">
        <f aca="false">IF(ISBLANK($C391),"",TRIM(AI391&amp;" "&amp;AM391))</f>
        <v/>
      </c>
      <c r="BB391" s="102" t="str">
        <f aca="false">IF(ISBLANK($C391),"",IF($AE391&lt;&gt;Constants!$B$7, $AE391 ,AQ391))</f>
        <v/>
      </c>
      <c r="BC391" s="103" t="str">
        <f aca="false">IF(ISBLANK($C391),"",IF($AE391&lt;&gt;Constants!$B$7, $AE391 ,AF391))</f>
        <v/>
      </c>
      <c r="BD391" s="104" t="str">
        <f aca="false">IF(ISBLANK(C391),"",AY391)</f>
        <v/>
      </c>
      <c r="BE391" s="104" t="str">
        <f aca="false">IF(ISBLANK(C391),"",AX391)</f>
        <v/>
      </c>
      <c r="BF391" s="105" t="str">
        <f aca="false">IF(ISBLANK(C391),"",IFERROR(_xlfn.SWITCH(BE391, Constants!$B$4, COUNTA($C$8:$C890)+2, Constants!$B$5, COUNTA($C$8:$C890)+1, Constants!$B$6, COUNTA($C$8:$C890)),BE391))</f>
        <v/>
      </c>
      <c r="BG391" s="5"/>
      <c r="BH391" s="106" t="n">
        <f aca="false">IF(OR(ISNUMBER(BE391),BE391="DQ",BE391="P",BE391="NS"),
    1,
    0
)</f>
        <v>0</v>
      </c>
      <c r="BI391" s="106" t="n">
        <v>384</v>
      </c>
      <c r="BJ391" s="106" t="str">
        <f aca="false">IF(ISBLANK($C391),
    "",
   BF391+ROW($B391)/1000
)</f>
        <v/>
      </c>
      <c r="BK391" s="106" t="str">
        <f aca="false">IF(ISNUMBER(BJ391), RANK(BJ391,BJ$8:BJ$507,1), "")</f>
        <v/>
      </c>
      <c r="BL391" s="106" t="str">
        <f aca="false">IF(ISBLANK($C391),
    "",
    $B391
)</f>
        <v/>
      </c>
      <c r="BM391" s="106" t="str">
        <f aca="false">IF(ISBLANK($C391),
    "",
    $C391
)</f>
        <v/>
      </c>
      <c r="BN391" s="106" t="str">
        <f aca="false">IF(ISBLANK($C391),
    "",
    $D391
)</f>
        <v/>
      </c>
      <c r="BO391" s="107" t="str">
        <f aca="false">BC391</f>
        <v/>
      </c>
      <c r="BP391" s="108" t="str">
        <f aca="false">BB391</f>
        <v/>
      </c>
      <c r="BQ391" s="106" t="str">
        <f aca="false">IF(ISBLANK($C391),
    "",
    BE391
)</f>
        <v/>
      </c>
      <c r="BR391" s="109" t="str">
        <f aca="false">IF(BI391&gt;BH$7,
    "",
    VLOOKUP(BI391,BK$8:BQ890,7,FALSE())
)</f>
        <v/>
      </c>
      <c r="BS391" s="110" t="str">
        <f aca="false">IF(BI391&gt;BH$7,
    "",
    VLOOKUP(BI391,BK$8:BQ890,2,FALSE())
)</f>
        <v/>
      </c>
      <c r="BT391" s="110" t="str">
        <f aca="false">IF(BI391&gt;BH$7,
    "",
    VLOOKUP(BI391,BK$8:BQ890,3,FALSE())
)</f>
        <v/>
      </c>
      <c r="BU391" s="110" t="str">
        <f aca="false">IF(BI391&gt;BH$7,
    "",
    VLOOKUP(BI391,BK$8:BQ890,4,FALSE())
)</f>
        <v/>
      </c>
      <c r="BV391" s="110" t="str">
        <f aca="false">IF(BI391&gt;BH$7,
    "",
    VLOOKUP(BI391,BK$8:BQ890,5,FALSE())
)</f>
        <v/>
      </c>
      <c r="BW391" s="111" t="str">
        <f aca="false">IF(BI391&gt;BH$7,
    "",
    VLOOKUP(BI391,BK$8:BQ890,6,FALSE())
)</f>
        <v/>
      </c>
      <c r="BX391" s="50"/>
    </row>
    <row r="392" customFormat="false" ht="15.75" hidden="false" customHeight="false" outlineLevel="0" collapsed="false">
      <c r="A392" s="5"/>
      <c r="B392" s="126"/>
      <c r="C392" s="52"/>
      <c r="D392" s="53"/>
      <c r="E392" s="120"/>
      <c r="F392" s="120"/>
      <c r="G392" s="55"/>
      <c r="H392" s="56"/>
      <c r="I392" s="80"/>
      <c r="J392" s="80"/>
      <c r="K392" s="80"/>
      <c r="L392" s="58"/>
      <c r="M392" s="58"/>
      <c r="N392" s="58"/>
      <c r="O392" s="59"/>
      <c r="P392" s="60"/>
      <c r="Q392" s="80"/>
      <c r="R392" s="62"/>
      <c r="S392" s="63"/>
      <c r="T392" s="63" t="str">
        <f aca="false">IF(ISBLANK($C392),"",IF(G392=Constants!$B$2, TRUE(), IF(G392=Constants!$B$3, FALSE(), TRUE())))</f>
        <v/>
      </c>
      <c r="U392" s="63" t="str">
        <f aca="false">IF(ISBLANK($C392),"",IF(H392=Constants!$B$2, TRUE(), IF(H392=Constants!$B$3, FALSE(), TRUE())))</f>
        <v/>
      </c>
      <c r="V392" s="63" t="str">
        <f aca="false">IF(ISBLANK($C392),"",IF(I392=Constants!$B$2, TRUE(), IF(I392=Constants!$B$3, FALSE(), TRUE())))</f>
        <v/>
      </c>
      <c r="W392" s="63" t="str">
        <f aca="false">IF(ISBLANK($C392),"",IF(J392=Constants!$B$2, TRUE(), IF(J392=Constants!$B$3, FALSE(), TRUE())))</f>
        <v/>
      </c>
      <c r="X392" s="63" t="str">
        <f aca="false">IF(ISBLANK($C392),"",IF(K392=Constants!$B$2, TRUE(), IF(K392=Constants!$B$3, FALSE(), TRUE())))</f>
        <v/>
      </c>
      <c r="Y392" s="65" t="str">
        <f aca="false">IF(ISBLANK($C392),"",IF(ISNUMBER(L392), L392, ""))</f>
        <v/>
      </c>
      <c r="Z392" s="65" t="str">
        <f aca="false">IF(ISBLANK($C392),"",IF(ISNUMBER(M392), M392, ""))</f>
        <v/>
      </c>
      <c r="AA392" s="65" t="str">
        <f aca="false">IF(ISBLANK($C392),"",IF(ISNUMBER(N392), N392, ""))</f>
        <v/>
      </c>
      <c r="AB392" s="66" t="str">
        <f aca="false">IF(ISBLANK($C392),"",IF(ISNUMBER(O392), O392, ""))</f>
        <v/>
      </c>
      <c r="AC392" s="66" t="str">
        <f aca="false">IF(ISBLANK($C392),"",IF(ISNUMBER(P392), P392, Constants!$B$13))</f>
        <v/>
      </c>
      <c r="AD392" s="63" t="str">
        <f aca="false">IF(ISBLANK($C392),"",IF(Q392=Constants!$B$2, TRUE(), IF(Q392=Constants!$B$3, FALSE(), FALSE())))</f>
        <v/>
      </c>
      <c r="AE392" s="63" t="str">
        <f aca="false">IF(ISBLANK(C392), "", IF(AD392, Constants!$B$4,IF(COUNTA(G392:O392)=0, Constants!$B$5, Constants!$B$7)))</f>
        <v/>
      </c>
      <c r="AF392" s="63" t="str">
        <f aca="false">IF(ISBLANK($C392), "",IF($AE392=Constants!$B$7,1,$AE392))</f>
        <v/>
      </c>
      <c r="AG392" s="63" t="str">
        <f aca="false">IF($AE392=Constants!$B$7,IF(V392, 1, Constants!$B$11) * IF(X392, 1, Constants!$B$12),"")</f>
        <v/>
      </c>
      <c r="AH392" s="63" t="str">
        <f aca="false">IF(AND($AE392=Constants!$B$7, T392, U392) ,MAX(0, $AA392-$Y392),"")</f>
        <v/>
      </c>
      <c r="AI392" s="63" t="str">
        <f aca="false">IF(ISERROR(AH392),$AI$6,"")</f>
        <v/>
      </c>
      <c r="AJ392" s="63" t="str">
        <f aca="false">IF($AE392=Constants!$B$7,IF(AND(T392,U392,W392),IF($AH$6=0,Constants!$B$9,Constants!$B$9*AH392/$AH$6), 0),"")</f>
        <v/>
      </c>
      <c r="AK392" s="63" t="str">
        <f aca="false">IF(AJ392&lt;&gt;"", AJ392*AG392,"")</f>
        <v/>
      </c>
      <c r="AL392" s="63" t="str">
        <f aca="false">IF(AND($AE392=Constants!$B$7, T392, U392) ,IF($Z392="", "", MAX(0,1-ABS($AA392-$Z392)/$AA392)),"")</f>
        <v/>
      </c>
      <c r="AM392" s="63" t="str">
        <f aca="false">IF(AND(NOT(ISERROR(AH392)),ISERROR(AL392)),$AM$6,"")</f>
        <v/>
      </c>
      <c r="AN392" s="63" t="str">
        <f aca="false">IF($AE392=Constants!$B$7 ,IF(AND(T392,U392,W392,ISNUMBER(Z392)),IF($AL$6=0,Constants!$B$10,Constants!$B$10*AL392/$AL$6), 0),"")</f>
        <v/>
      </c>
      <c r="AO392" s="63" t="str">
        <f aca="false">IF(AN392&lt;&gt;"", AN392*AG392,"")</f>
        <v/>
      </c>
      <c r="AP392" s="63" t="str">
        <f aca="false">IF($AE392=Constants!$B$7,IF($AP$6=0,Constants!$B$8,Constants!$B$8*AB392/$AP$6),"")</f>
        <v/>
      </c>
      <c r="AQ392" s="63" t="str">
        <f aca="false">IF($AE392&lt;&gt;Constants!$B$7,$AE392,AK392+AO392+AP392)</f>
        <v/>
      </c>
      <c r="AR392" s="63" t="str">
        <f aca="false">IF(ISBLANK($C392),"",IF($AE392=Constants!$B$7,RANK(AQ392,$AQ$8:$AQ$507),$AE392))</f>
        <v/>
      </c>
      <c r="AS392" s="63" t="str">
        <f aca="false">IF(ISBLANK($C392), "",AK392)</f>
        <v/>
      </c>
      <c r="AT392" s="63" t="str">
        <f aca="false">IF(ISBLANK($C392),"",IF($AE392=Constants!$B$7,RANK(AS392,AS$8:AS$507),$AE392))</f>
        <v/>
      </c>
      <c r="AU392" s="63" t="str">
        <f aca="false">IF(ISBLANK($C392), "",AP392)</f>
        <v/>
      </c>
      <c r="AV392" s="63" t="str">
        <f aca="false">IF(ISBLANK($C392),"",IF($AE392=Constants!$B$7,RANK(AU392,AU$8:AU$507),$AE392))</f>
        <v/>
      </c>
      <c r="AW392" s="63" t="str">
        <f aca="false">IF(ISBLANK($C392), "",AC392)</f>
        <v/>
      </c>
      <c r="AX392" s="63" t="str">
        <f aca="false">IF(ISBLANK($C392),"",
IF($AE392=Constants!$B$7,
  COUNTIFS($AR$8:$AR$507,"&lt;"&amp;$AR392)
  + COUNTIFS($AR$8:$AR$507,$AR392,$AT$8:$AT$507,"&lt;"&amp;$AT392)
  + COUNTIFS($AR$8:$AR$507,$AR392,$AT$8:$AT$507,$AT392,$AV$8:$AV$507,"&lt;"&amp;$AV392)
  + COUNTIFS($AR$8:$AR$507,$AR392,$AT$8:$AT$507,$AT392,$AV$8:$AV$507,$AV392,$AW$8:$AW$507,"&lt;"&amp;$AW392)
  + 1,
$AE392))</f>
        <v/>
      </c>
      <c r="AY392" s="63" t="str">
        <f aca="false">IF(ISBLANK(C392),"",IF($AE392=Constants!$B$7, AR392-AX392,$AE392))</f>
        <v/>
      </c>
      <c r="AZ392" s="67"/>
      <c r="BA392" s="81" t="str">
        <f aca="false">IF(ISBLANK($C392),"",TRIM(AI392&amp;" "&amp;AM392))</f>
        <v/>
      </c>
      <c r="BB392" s="69" t="str">
        <f aca="false">IF(ISBLANK($C392),"",IF($AE392&lt;&gt;Constants!$B$7, $AE392 ,AQ392))</f>
        <v/>
      </c>
      <c r="BC392" s="70" t="str">
        <f aca="false">IF(ISBLANK($C392),"",IF($AE392&lt;&gt;Constants!$B$7, $AE392 ,AF392))</f>
        <v/>
      </c>
      <c r="BD392" s="71" t="str">
        <f aca="false">IF(ISBLANK(C392),"",AY392)</f>
        <v/>
      </c>
      <c r="BE392" s="71" t="str">
        <f aca="false">IF(ISBLANK(C392),"",AX392)</f>
        <v/>
      </c>
      <c r="BF392" s="72" t="str">
        <f aca="false">IF(ISBLANK(C392),"",IFERROR(_xlfn.SWITCH(BE392, Constants!$B$4, COUNTA($C$8:$C891)+2, Constants!$B$5, COUNTA($C$8:$C891)+1, Constants!$B$6, COUNTA($C$8:$C891)),BE392))</f>
        <v/>
      </c>
      <c r="BG392" s="5"/>
      <c r="BH392" s="73" t="n">
        <f aca="false">IF(OR(ISNUMBER(BE392),BE392="DQ",BE392="P",BE392="NS"),
    1,
    0
)</f>
        <v>0</v>
      </c>
      <c r="BI392" s="73" t="n">
        <v>385</v>
      </c>
      <c r="BJ392" s="73" t="str">
        <f aca="false">IF(ISBLANK($C392),
    "",
   BF392+ROW($B392)/1000
)</f>
        <v/>
      </c>
      <c r="BK392" s="73" t="str">
        <f aca="false">IF(ISNUMBER(BJ392), RANK(BJ392,BJ$8:BJ$507,1), "")</f>
        <v/>
      </c>
      <c r="BL392" s="73" t="str">
        <f aca="false">IF(ISBLANK($C392),
    "",
    $B392
)</f>
        <v/>
      </c>
      <c r="BM392" s="73" t="str">
        <f aca="false">IF(ISBLANK($C392),
    "",
    $C392
)</f>
        <v/>
      </c>
      <c r="BN392" s="73" t="str">
        <f aca="false">IF(ISBLANK($C392),
    "",
    $D392
)</f>
        <v/>
      </c>
      <c r="BO392" s="74" t="str">
        <f aca="false">BC392</f>
        <v/>
      </c>
      <c r="BP392" s="75" t="str">
        <f aca="false">BB392</f>
        <v/>
      </c>
      <c r="BQ392" s="73" t="str">
        <f aca="false">IF(ISBLANK($C392),
    "",
    BE392
)</f>
        <v/>
      </c>
      <c r="BR392" s="76" t="str">
        <f aca="false">IF(BI392&gt;BH$7,
    "",
    VLOOKUP(BI392,BK$8:BQ891,7,FALSE())
)</f>
        <v/>
      </c>
      <c r="BS392" s="77" t="str">
        <f aca="false">IF(BI392&gt;BH$7,
    "",
    VLOOKUP(BI392,BK$8:BQ891,2,FALSE())
)</f>
        <v/>
      </c>
      <c r="BT392" s="77" t="str">
        <f aca="false">IF(BI392&gt;BH$7,
    "",
    VLOOKUP(BI392,BK$8:BQ891,3,FALSE())
)</f>
        <v/>
      </c>
      <c r="BU392" s="77" t="str">
        <f aca="false">IF(BI392&gt;BH$7,
    "",
    VLOOKUP(BI392,BK$8:BQ891,4,FALSE())
)</f>
        <v/>
      </c>
      <c r="BV392" s="77" t="str">
        <f aca="false">IF(BI392&gt;BH$7,
    "",
    VLOOKUP(BI392,BK$8:BQ891,5,FALSE())
)</f>
        <v/>
      </c>
      <c r="BW392" s="78" t="str">
        <f aca="false">IF(BI392&gt;BH$7,
    "",
    VLOOKUP(BI392,BK$8:BQ891,6,FALSE())
)</f>
        <v/>
      </c>
      <c r="BX392" s="50"/>
    </row>
    <row r="393" customFormat="false" ht="15.75" hidden="false" customHeight="false" outlineLevel="0" collapsed="false">
      <c r="A393" s="5"/>
      <c r="B393" s="126"/>
      <c r="C393" s="52"/>
      <c r="D393" s="53"/>
      <c r="E393" s="120"/>
      <c r="F393" s="120"/>
      <c r="G393" s="55"/>
      <c r="H393" s="56"/>
      <c r="I393" s="80"/>
      <c r="J393" s="80"/>
      <c r="K393" s="80"/>
      <c r="L393" s="58"/>
      <c r="M393" s="58"/>
      <c r="N393" s="58"/>
      <c r="O393" s="59"/>
      <c r="P393" s="60"/>
      <c r="Q393" s="80"/>
      <c r="R393" s="62"/>
      <c r="S393" s="63"/>
      <c r="T393" s="63" t="str">
        <f aca="false">IF(ISBLANK($C393),"",IF(G393=Constants!$B$2, TRUE(), IF(G393=Constants!$B$3, FALSE(), TRUE())))</f>
        <v/>
      </c>
      <c r="U393" s="63" t="str">
        <f aca="false">IF(ISBLANK($C393),"",IF(H393=Constants!$B$2, TRUE(), IF(H393=Constants!$B$3, FALSE(), TRUE())))</f>
        <v/>
      </c>
      <c r="V393" s="63" t="str">
        <f aca="false">IF(ISBLANK($C393),"",IF(I393=Constants!$B$2, TRUE(), IF(I393=Constants!$B$3, FALSE(), TRUE())))</f>
        <v/>
      </c>
      <c r="W393" s="63" t="str">
        <f aca="false">IF(ISBLANK($C393),"",IF(J393=Constants!$B$2, TRUE(), IF(J393=Constants!$B$3, FALSE(), TRUE())))</f>
        <v/>
      </c>
      <c r="X393" s="63" t="str">
        <f aca="false">IF(ISBLANK($C393),"",IF(K393=Constants!$B$2, TRUE(), IF(K393=Constants!$B$3, FALSE(), TRUE())))</f>
        <v/>
      </c>
      <c r="Y393" s="65" t="str">
        <f aca="false">IF(ISBLANK($C393),"",IF(ISNUMBER(L393), L393, ""))</f>
        <v/>
      </c>
      <c r="Z393" s="65" t="str">
        <f aca="false">IF(ISBLANK($C393),"",IF(ISNUMBER(M393), M393, ""))</f>
        <v/>
      </c>
      <c r="AA393" s="65" t="str">
        <f aca="false">IF(ISBLANK($C393),"",IF(ISNUMBER(N393), N393, ""))</f>
        <v/>
      </c>
      <c r="AB393" s="66" t="str">
        <f aca="false">IF(ISBLANK($C393),"",IF(ISNUMBER(O393), O393, ""))</f>
        <v/>
      </c>
      <c r="AC393" s="66" t="str">
        <f aca="false">IF(ISBLANK($C393),"",IF(ISNUMBER(P393), P393, Constants!$B$13))</f>
        <v/>
      </c>
      <c r="AD393" s="63" t="str">
        <f aca="false">IF(ISBLANK($C393),"",IF(Q393=Constants!$B$2, TRUE(), IF(Q393=Constants!$B$3, FALSE(), FALSE())))</f>
        <v/>
      </c>
      <c r="AE393" s="63" t="str">
        <f aca="false">IF(ISBLANK(C393), "", IF(AD393, Constants!$B$4,IF(COUNTA(G393:O393)=0, Constants!$B$5, Constants!$B$7)))</f>
        <v/>
      </c>
      <c r="AF393" s="63" t="str">
        <f aca="false">IF(ISBLANK($C393), "",IF($AE393=Constants!$B$7,1,$AE393))</f>
        <v/>
      </c>
      <c r="AG393" s="63" t="str">
        <f aca="false">IF($AE393=Constants!$B$7,IF(V393, 1, Constants!$B$11) * IF(X393, 1, Constants!$B$12),"")</f>
        <v/>
      </c>
      <c r="AH393" s="63" t="str">
        <f aca="false">IF(AND($AE393=Constants!$B$7, T393, U393) ,MAX(0, $AA393-$Y393),"")</f>
        <v/>
      </c>
      <c r="AI393" s="63" t="str">
        <f aca="false">IF(ISERROR(AH393),$AI$6,"")</f>
        <v/>
      </c>
      <c r="AJ393" s="63" t="str">
        <f aca="false">IF($AE393=Constants!$B$7,IF(AND(T393,U393,W393),IF($AH$6=0,Constants!$B$9,Constants!$B$9*AH393/$AH$6), 0),"")</f>
        <v/>
      </c>
      <c r="AK393" s="63" t="str">
        <f aca="false">IF(AJ393&lt;&gt;"", AJ393*AG393,"")</f>
        <v/>
      </c>
      <c r="AL393" s="63" t="str">
        <f aca="false">IF(AND($AE393=Constants!$B$7, T393, U393) ,IF($Z393="", "", MAX(0,1-ABS($AA393-$Z393)/$AA393)),"")</f>
        <v/>
      </c>
      <c r="AM393" s="63" t="str">
        <f aca="false">IF(AND(NOT(ISERROR(AH393)),ISERROR(AL393)),$AM$6,"")</f>
        <v/>
      </c>
      <c r="AN393" s="63" t="str">
        <f aca="false">IF($AE393=Constants!$B$7 ,IF(AND(T393,U393,W393,ISNUMBER(Z393)),IF($AL$6=0,Constants!$B$10,Constants!$B$10*AL393/$AL$6), 0),"")</f>
        <v/>
      </c>
      <c r="AO393" s="63" t="str">
        <f aca="false">IF(AN393&lt;&gt;"", AN393*AG393,"")</f>
        <v/>
      </c>
      <c r="AP393" s="63" t="str">
        <f aca="false">IF($AE393=Constants!$B$7,IF($AP$6=0,Constants!$B$8,Constants!$B$8*AB393/$AP$6),"")</f>
        <v/>
      </c>
      <c r="AQ393" s="63" t="str">
        <f aca="false">IF($AE393&lt;&gt;Constants!$B$7,$AE393,AK393+AO393+AP393)</f>
        <v/>
      </c>
      <c r="AR393" s="63" t="str">
        <f aca="false">IF(ISBLANK($C393),"",IF($AE393=Constants!$B$7,RANK(AQ393,$AQ$8:$AQ$507),$AE393))</f>
        <v/>
      </c>
      <c r="AS393" s="63" t="str">
        <f aca="false">IF(ISBLANK($C393), "",AK393)</f>
        <v/>
      </c>
      <c r="AT393" s="63" t="str">
        <f aca="false">IF(ISBLANK($C393),"",IF($AE393=Constants!$B$7,RANK(AS393,AS$8:AS$507),$AE393))</f>
        <v/>
      </c>
      <c r="AU393" s="63" t="str">
        <f aca="false">IF(ISBLANK($C393), "",AP393)</f>
        <v/>
      </c>
      <c r="AV393" s="63" t="str">
        <f aca="false">IF(ISBLANK($C393),"",IF($AE393=Constants!$B$7,RANK(AU393,AU$8:AU$507),$AE393))</f>
        <v/>
      </c>
      <c r="AW393" s="63" t="str">
        <f aca="false">IF(ISBLANK($C393), "",AC393)</f>
        <v/>
      </c>
      <c r="AX393" s="63" t="str">
        <f aca="false">IF(ISBLANK($C393),"",
IF($AE393=Constants!$B$7,
  COUNTIFS($AR$8:$AR$507,"&lt;"&amp;$AR393)
  + COUNTIFS($AR$8:$AR$507,$AR393,$AT$8:$AT$507,"&lt;"&amp;$AT393)
  + COUNTIFS($AR$8:$AR$507,$AR393,$AT$8:$AT$507,$AT393,$AV$8:$AV$507,"&lt;"&amp;$AV393)
  + COUNTIFS($AR$8:$AR$507,$AR393,$AT$8:$AT$507,$AT393,$AV$8:$AV$507,$AV393,$AW$8:$AW$507,"&lt;"&amp;$AW393)
  + 1,
$AE393))</f>
        <v/>
      </c>
      <c r="AY393" s="63" t="str">
        <f aca="false">IF(ISBLANK(C393),"",IF($AE393=Constants!$B$7, AR393-AX393,$AE393))</f>
        <v/>
      </c>
      <c r="AZ393" s="67"/>
      <c r="BA393" s="81" t="str">
        <f aca="false">IF(ISBLANK($C393),"",TRIM(AI393&amp;" "&amp;AM393))</f>
        <v/>
      </c>
      <c r="BB393" s="69" t="str">
        <f aca="false">IF(ISBLANK($C393),"",IF($AE393&lt;&gt;Constants!$B$7, $AE393 ,AQ393))</f>
        <v/>
      </c>
      <c r="BC393" s="70" t="str">
        <f aca="false">IF(ISBLANK($C393),"",IF($AE393&lt;&gt;Constants!$B$7, $AE393 ,AF393))</f>
        <v/>
      </c>
      <c r="BD393" s="71" t="str">
        <f aca="false">IF(ISBLANK(C393),"",AY393)</f>
        <v/>
      </c>
      <c r="BE393" s="71" t="str">
        <f aca="false">IF(ISBLANK(C393),"",AX393)</f>
        <v/>
      </c>
      <c r="BF393" s="72" t="str">
        <f aca="false">IF(ISBLANK(C393),"",IFERROR(_xlfn.SWITCH(BE393, Constants!$B$4, COUNTA($C$8:$C892)+2, Constants!$B$5, COUNTA($C$8:$C892)+1, Constants!$B$6, COUNTA($C$8:$C892)),BE393))</f>
        <v/>
      </c>
      <c r="BG393" s="5"/>
      <c r="BH393" s="73" t="n">
        <f aca="false">IF(OR(ISNUMBER(BE393),BE393="DQ",BE393="P",BE393="NS"),
    1,
    0
)</f>
        <v>0</v>
      </c>
      <c r="BI393" s="73" t="n">
        <v>386</v>
      </c>
      <c r="BJ393" s="73" t="str">
        <f aca="false">IF(ISBLANK($C393),
    "",
   BF393+ROW($B393)/1000
)</f>
        <v/>
      </c>
      <c r="BK393" s="73" t="str">
        <f aca="false">IF(ISNUMBER(BJ393), RANK(BJ393,BJ$8:BJ$507,1), "")</f>
        <v/>
      </c>
      <c r="BL393" s="73" t="str">
        <f aca="false">IF(ISBLANK($C393),
    "",
    $B393
)</f>
        <v/>
      </c>
      <c r="BM393" s="73" t="str">
        <f aca="false">IF(ISBLANK($C393),
    "",
    $C393
)</f>
        <v/>
      </c>
      <c r="BN393" s="73" t="str">
        <f aca="false">IF(ISBLANK($C393),
    "",
    $D393
)</f>
        <v/>
      </c>
      <c r="BO393" s="74" t="str">
        <f aca="false">BC393</f>
        <v/>
      </c>
      <c r="BP393" s="75" t="str">
        <f aca="false">BB393</f>
        <v/>
      </c>
      <c r="BQ393" s="73" t="str">
        <f aca="false">IF(ISBLANK($C393),
    "",
    BE393
)</f>
        <v/>
      </c>
      <c r="BR393" s="76" t="str">
        <f aca="false">IF(BI393&gt;BH$7,
    "",
    VLOOKUP(BI393,BK$8:BQ892,7,FALSE())
)</f>
        <v/>
      </c>
      <c r="BS393" s="77" t="str">
        <f aca="false">IF(BI393&gt;BH$7,
    "",
    VLOOKUP(BI393,BK$8:BQ892,2,FALSE())
)</f>
        <v/>
      </c>
      <c r="BT393" s="77" t="str">
        <f aca="false">IF(BI393&gt;BH$7,
    "",
    VLOOKUP(BI393,BK$8:BQ892,3,FALSE())
)</f>
        <v/>
      </c>
      <c r="BU393" s="77" t="str">
        <f aca="false">IF(BI393&gt;BH$7,
    "",
    VLOOKUP(BI393,BK$8:BQ892,4,FALSE())
)</f>
        <v/>
      </c>
      <c r="BV393" s="77" t="str">
        <f aca="false">IF(BI393&gt;BH$7,
    "",
    VLOOKUP(BI393,BK$8:BQ892,5,FALSE())
)</f>
        <v/>
      </c>
      <c r="BW393" s="78" t="str">
        <f aca="false">IF(BI393&gt;BH$7,
    "",
    VLOOKUP(BI393,BK$8:BQ892,6,FALSE())
)</f>
        <v/>
      </c>
      <c r="BX393" s="50"/>
    </row>
    <row r="394" customFormat="false" ht="15.75" hidden="false" customHeight="false" outlineLevel="0" collapsed="false">
      <c r="A394" s="5"/>
      <c r="B394" s="126"/>
      <c r="C394" s="52"/>
      <c r="D394" s="53"/>
      <c r="E394" s="120"/>
      <c r="F394" s="120"/>
      <c r="G394" s="55"/>
      <c r="H394" s="56"/>
      <c r="I394" s="80"/>
      <c r="J394" s="80"/>
      <c r="K394" s="80"/>
      <c r="L394" s="58"/>
      <c r="M394" s="58"/>
      <c r="N394" s="58"/>
      <c r="O394" s="59"/>
      <c r="P394" s="60"/>
      <c r="Q394" s="80"/>
      <c r="R394" s="62"/>
      <c r="S394" s="63"/>
      <c r="T394" s="63" t="str">
        <f aca="false">IF(ISBLANK($C394),"",IF(G394=Constants!$B$2, TRUE(), IF(G394=Constants!$B$3, FALSE(), TRUE())))</f>
        <v/>
      </c>
      <c r="U394" s="63" t="str">
        <f aca="false">IF(ISBLANK($C394),"",IF(H394=Constants!$B$2, TRUE(), IF(H394=Constants!$B$3, FALSE(), TRUE())))</f>
        <v/>
      </c>
      <c r="V394" s="63" t="str">
        <f aca="false">IF(ISBLANK($C394),"",IF(I394=Constants!$B$2, TRUE(), IF(I394=Constants!$B$3, FALSE(), TRUE())))</f>
        <v/>
      </c>
      <c r="W394" s="63" t="str">
        <f aca="false">IF(ISBLANK($C394),"",IF(J394=Constants!$B$2, TRUE(), IF(J394=Constants!$B$3, FALSE(), TRUE())))</f>
        <v/>
      </c>
      <c r="X394" s="63" t="str">
        <f aca="false">IF(ISBLANK($C394),"",IF(K394=Constants!$B$2, TRUE(), IF(K394=Constants!$B$3, FALSE(), TRUE())))</f>
        <v/>
      </c>
      <c r="Y394" s="65" t="str">
        <f aca="false">IF(ISBLANK($C394),"",IF(ISNUMBER(L394), L394, ""))</f>
        <v/>
      </c>
      <c r="Z394" s="65" t="str">
        <f aca="false">IF(ISBLANK($C394),"",IF(ISNUMBER(M394), M394, ""))</f>
        <v/>
      </c>
      <c r="AA394" s="65" t="str">
        <f aca="false">IF(ISBLANK($C394),"",IF(ISNUMBER(N394), N394, ""))</f>
        <v/>
      </c>
      <c r="AB394" s="66" t="str">
        <f aca="false">IF(ISBLANK($C394),"",IF(ISNUMBER(O394), O394, ""))</f>
        <v/>
      </c>
      <c r="AC394" s="66" t="str">
        <f aca="false">IF(ISBLANK($C394),"",IF(ISNUMBER(P394), P394, Constants!$B$13))</f>
        <v/>
      </c>
      <c r="AD394" s="63" t="str">
        <f aca="false">IF(ISBLANK($C394),"",IF(Q394=Constants!$B$2, TRUE(), IF(Q394=Constants!$B$3, FALSE(), FALSE())))</f>
        <v/>
      </c>
      <c r="AE394" s="63" t="str">
        <f aca="false">IF(ISBLANK(C394), "", IF(AD394, Constants!$B$4,IF(COUNTA(G394:O394)=0, Constants!$B$5, Constants!$B$7)))</f>
        <v/>
      </c>
      <c r="AF394" s="63" t="str">
        <f aca="false">IF(ISBLANK($C394), "",IF($AE394=Constants!$B$7,1,$AE394))</f>
        <v/>
      </c>
      <c r="AG394" s="63" t="str">
        <f aca="false">IF($AE394=Constants!$B$7,IF(V394, 1, Constants!$B$11) * IF(X394, 1, Constants!$B$12),"")</f>
        <v/>
      </c>
      <c r="AH394" s="63" t="str">
        <f aca="false">IF(AND($AE394=Constants!$B$7, T394, U394) ,MAX(0, $AA394-$Y394),"")</f>
        <v/>
      </c>
      <c r="AI394" s="63" t="str">
        <f aca="false">IF(ISERROR(AH394),$AI$6,"")</f>
        <v/>
      </c>
      <c r="AJ394" s="63" t="str">
        <f aca="false">IF($AE394=Constants!$B$7,IF(AND(T394,U394,W394),IF($AH$6=0,Constants!$B$9,Constants!$B$9*AH394/$AH$6), 0),"")</f>
        <v/>
      </c>
      <c r="AK394" s="63" t="str">
        <f aca="false">IF(AJ394&lt;&gt;"", AJ394*AG394,"")</f>
        <v/>
      </c>
      <c r="AL394" s="63" t="str">
        <f aca="false">IF(AND($AE394=Constants!$B$7, T394, U394) ,IF($Z394="", "", MAX(0,1-ABS($AA394-$Z394)/$AA394)),"")</f>
        <v/>
      </c>
      <c r="AM394" s="63" t="str">
        <f aca="false">IF(AND(NOT(ISERROR(AH394)),ISERROR(AL394)),$AM$6,"")</f>
        <v/>
      </c>
      <c r="AN394" s="63" t="str">
        <f aca="false">IF($AE394=Constants!$B$7 ,IF(AND(T394,U394,W394,ISNUMBER(Z394)),IF($AL$6=0,Constants!$B$10,Constants!$B$10*AL394/$AL$6), 0),"")</f>
        <v/>
      </c>
      <c r="AO394" s="63" t="str">
        <f aca="false">IF(AN394&lt;&gt;"", AN394*AG394,"")</f>
        <v/>
      </c>
      <c r="AP394" s="63" t="str">
        <f aca="false">IF($AE394=Constants!$B$7,IF($AP$6=0,Constants!$B$8,Constants!$B$8*AB394/$AP$6),"")</f>
        <v/>
      </c>
      <c r="AQ394" s="63" t="str">
        <f aca="false">IF($AE394&lt;&gt;Constants!$B$7,$AE394,AK394+AO394+AP394)</f>
        <v/>
      </c>
      <c r="AR394" s="63" t="str">
        <f aca="false">IF(ISBLANK($C394),"",IF($AE394=Constants!$B$7,RANK(AQ394,$AQ$8:$AQ$507),$AE394))</f>
        <v/>
      </c>
      <c r="AS394" s="63" t="str">
        <f aca="false">IF(ISBLANK($C394), "",AK394)</f>
        <v/>
      </c>
      <c r="AT394" s="63" t="str">
        <f aca="false">IF(ISBLANK($C394),"",IF($AE394=Constants!$B$7,RANK(AS394,AS$8:AS$507),$AE394))</f>
        <v/>
      </c>
      <c r="AU394" s="63" t="str">
        <f aca="false">IF(ISBLANK($C394), "",AP394)</f>
        <v/>
      </c>
      <c r="AV394" s="63" t="str">
        <f aca="false">IF(ISBLANK($C394),"",IF($AE394=Constants!$B$7,RANK(AU394,AU$8:AU$507),$AE394))</f>
        <v/>
      </c>
      <c r="AW394" s="63" t="str">
        <f aca="false">IF(ISBLANK($C394), "",AC394)</f>
        <v/>
      </c>
      <c r="AX394" s="63" t="str">
        <f aca="false">IF(ISBLANK($C394),"",
IF($AE394=Constants!$B$7,
  COUNTIFS($AR$8:$AR$507,"&lt;"&amp;$AR394)
  + COUNTIFS($AR$8:$AR$507,$AR394,$AT$8:$AT$507,"&lt;"&amp;$AT394)
  + COUNTIFS($AR$8:$AR$507,$AR394,$AT$8:$AT$507,$AT394,$AV$8:$AV$507,"&lt;"&amp;$AV394)
  + COUNTIFS($AR$8:$AR$507,$AR394,$AT$8:$AT$507,$AT394,$AV$8:$AV$507,$AV394,$AW$8:$AW$507,"&lt;"&amp;$AW394)
  + 1,
$AE394))</f>
        <v/>
      </c>
      <c r="AY394" s="63" t="str">
        <f aca="false">IF(ISBLANK(C394),"",IF($AE394=Constants!$B$7, AR394-AX394,$AE394))</f>
        <v/>
      </c>
      <c r="AZ394" s="67"/>
      <c r="BA394" s="81" t="str">
        <f aca="false">IF(ISBLANK($C394),"",TRIM(AI394&amp;" "&amp;AM394))</f>
        <v/>
      </c>
      <c r="BB394" s="69" t="str">
        <f aca="false">IF(ISBLANK($C394),"",IF($AE394&lt;&gt;Constants!$B$7, $AE394 ,AQ394))</f>
        <v/>
      </c>
      <c r="BC394" s="70" t="str">
        <f aca="false">IF(ISBLANK($C394),"",IF($AE394&lt;&gt;Constants!$B$7, $AE394 ,AF394))</f>
        <v/>
      </c>
      <c r="BD394" s="71" t="str">
        <f aca="false">IF(ISBLANK(C394),"",AY394)</f>
        <v/>
      </c>
      <c r="BE394" s="71" t="str">
        <f aca="false">IF(ISBLANK(C394),"",AX394)</f>
        <v/>
      </c>
      <c r="BF394" s="72" t="str">
        <f aca="false">IF(ISBLANK(C394),"",IFERROR(_xlfn.SWITCH(BE394, Constants!$B$4, COUNTA($C$8:$C893)+2, Constants!$B$5, COUNTA($C$8:$C893)+1, Constants!$B$6, COUNTA($C$8:$C893)),BE394))</f>
        <v/>
      </c>
      <c r="BG394" s="5"/>
      <c r="BH394" s="73" t="n">
        <f aca="false">IF(OR(ISNUMBER(BE394),BE394="DQ",BE394="P",BE394="NS"),
    1,
    0
)</f>
        <v>0</v>
      </c>
      <c r="BI394" s="73" t="n">
        <v>387</v>
      </c>
      <c r="BJ394" s="73" t="str">
        <f aca="false">IF(ISBLANK($C394),
    "",
   BF394+ROW($B394)/1000
)</f>
        <v/>
      </c>
      <c r="BK394" s="73" t="str">
        <f aca="false">IF(ISNUMBER(BJ394), RANK(BJ394,BJ$8:BJ$507,1), "")</f>
        <v/>
      </c>
      <c r="BL394" s="73" t="str">
        <f aca="false">IF(ISBLANK($C394),
    "",
    $B394
)</f>
        <v/>
      </c>
      <c r="BM394" s="73" t="str">
        <f aca="false">IF(ISBLANK($C394),
    "",
    $C394
)</f>
        <v/>
      </c>
      <c r="BN394" s="73" t="str">
        <f aca="false">IF(ISBLANK($C394),
    "",
    $D394
)</f>
        <v/>
      </c>
      <c r="BO394" s="74" t="str">
        <f aca="false">BC394</f>
        <v/>
      </c>
      <c r="BP394" s="75" t="str">
        <f aca="false">BB394</f>
        <v/>
      </c>
      <c r="BQ394" s="73" t="str">
        <f aca="false">IF(ISBLANK($C394),
    "",
    BE394
)</f>
        <v/>
      </c>
      <c r="BR394" s="76" t="str">
        <f aca="false">IF(BI394&gt;BH$7,
    "",
    VLOOKUP(BI394,BK$8:BQ893,7,FALSE())
)</f>
        <v/>
      </c>
      <c r="BS394" s="77" t="str">
        <f aca="false">IF(BI394&gt;BH$7,
    "",
    VLOOKUP(BI394,BK$8:BQ893,2,FALSE())
)</f>
        <v/>
      </c>
      <c r="BT394" s="77" t="str">
        <f aca="false">IF(BI394&gt;BH$7,
    "",
    VLOOKUP(BI394,BK$8:BQ893,3,FALSE())
)</f>
        <v/>
      </c>
      <c r="BU394" s="77" t="str">
        <f aca="false">IF(BI394&gt;BH$7,
    "",
    VLOOKUP(BI394,BK$8:BQ893,4,FALSE())
)</f>
        <v/>
      </c>
      <c r="BV394" s="77" t="str">
        <f aca="false">IF(BI394&gt;BH$7,
    "",
    VLOOKUP(BI394,BK$8:BQ893,5,FALSE())
)</f>
        <v/>
      </c>
      <c r="BW394" s="78" t="str">
        <f aca="false">IF(BI394&gt;BH$7,
    "",
    VLOOKUP(BI394,BK$8:BQ893,6,FALSE())
)</f>
        <v/>
      </c>
      <c r="BX394" s="50"/>
    </row>
    <row r="395" customFormat="false" ht="15.75" hidden="false" customHeight="false" outlineLevel="0" collapsed="false">
      <c r="A395" s="5"/>
      <c r="B395" s="122"/>
      <c r="C395" s="123"/>
      <c r="D395" s="112"/>
      <c r="E395" s="116"/>
      <c r="F395" s="116"/>
      <c r="G395" s="88"/>
      <c r="H395" s="89"/>
      <c r="I395" s="125"/>
      <c r="J395" s="125"/>
      <c r="K395" s="125"/>
      <c r="L395" s="91"/>
      <c r="M395" s="91"/>
      <c r="N395" s="91"/>
      <c r="O395" s="92"/>
      <c r="P395" s="93"/>
      <c r="Q395" s="125"/>
      <c r="R395" s="95"/>
      <c r="S395" s="96"/>
      <c r="T395" s="96" t="str">
        <f aca="false">IF(ISBLANK($C395),"",IF(G395=Constants!$B$2, TRUE(), IF(G395=Constants!$B$3, FALSE(), TRUE())))</f>
        <v/>
      </c>
      <c r="U395" s="96" t="str">
        <f aca="false">IF(ISBLANK($C395),"",IF(H395=Constants!$B$2, TRUE(), IF(H395=Constants!$B$3, FALSE(), TRUE())))</f>
        <v/>
      </c>
      <c r="V395" s="96" t="str">
        <f aca="false">IF(ISBLANK($C395),"",IF(I395=Constants!$B$2, TRUE(), IF(I395=Constants!$B$3, FALSE(), TRUE())))</f>
        <v/>
      </c>
      <c r="W395" s="96" t="str">
        <f aca="false">IF(ISBLANK($C395),"",IF(J395=Constants!$B$2, TRUE(), IF(J395=Constants!$B$3, FALSE(), TRUE())))</f>
        <v/>
      </c>
      <c r="X395" s="97" t="str">
        <f aca="false">IF(ISBLANK($C395),"",IF(K395=Constants!$B$2, TRUE(), IF(K395=Constants!$B$3, FALSE(), TRUE())))</f>
        <v/>
      </c>
      <c r="Y395" s="98" t="str">
        <f aca="false">IF(ISBLANK($C395),"",IF(ISNUMBER(L395), L395, ""))</f>
        <v/>
      </c>
      <c r="Z395" s="98" t="str">
        <f aca="false">IF(ISBLANK($C395),"",IF(ISNUMBER(M395), M395, ""))</f>
        <v/>
      </c>
      <c r="AA395" s="98" t="str">
        <f aca="false">IF(ISBLANK($C395),"",IF(ISNUMBER(N395), N395, ""))</f>
        <v/>
      </c>
      <c r="AB395" s="99" t="str">
        <f aca="false">IF(ISBLANK($C395),"",IF(ISNUMBER(O395), O395, ""))</f>
        <v/>
      </c>
      <c r="AC395" s="99" t="str">
        <f aca="false">IF(ISBLANK($C395),"",IF(ISNUMBER(P395), P395, Constants!$B$13))</f>
        <v/>
      </c>
      <c r="AD395" s="96" t="str">
        <f aca="false">IF(ISBLANK($C395),"",IF(Q395=Constants!$B$2, TRUE(), IF(Q395=Constants!$B$3, FALSE(), FALSE())))</f>
        <v/>
      </c>
      <c r="AE395" s="96" t="str">
        <f aca="false">IF(ISBLANK(C395), "", IF(AD395, Constants!$B$4,IF(COUNTA(G395:O395)=0, Constants!$B$5, Constants!$B$7)))</f>
        <v/>
      </c>
      <c r="AF395" s="96" t="str">
        <f aca="false">IF(ISBLANK($C395), "",IF($AE395=Constants!$B$7,1,$AE395))</f>
        <v/>
      </c>
      <c r="AG395" s="96" t="str">
        <f aca="false">IF($AE395=Constants!$B$7,IF(V395, 1, Constants!$B$11) * IF(X395, 1, Constants!$B$12),"")</f>
        <v/>
      </c>
      <c r="AH395" s="96" t="str">
        <f aca="false">IF(AND($AE395=Constants!$B$7, T395, U395) ,MAX(0, $AA395-$Y395),"")</f>
        <v/>
      </c>
      <c r="AI395" s="96" t="str">
        <f aca="false">IF(ISERROR(AH395),$AI$6,"")</f>
        <v/>
      </c>
      <c r="AJ395" s="96" t="str">
        <f aca="false">IF($AE395=Constants!$B$7,IF(AND(T395,U395,W395),IF($AH$6=0,Constants!$B$9,Constants!$B$9*AH395/$AH$6), 0),"")</f>
        <v/>
      </c>
      <c r="AK395" s="96" t="str">
        <f aca="false">IF(AJ395&lt;&gt;"", AJ395*AG395,"")</f>
        <v/>
      </c>
      <c r="AL395" s="96" t="str">
        <f aca="false">IF(AND($AE395=Constants!$B$7, T395, U395) ,IF($Z395="", "", MAX(0,1-ABS($AA395-$Z395)/$AA395)),"")</f>
        <v/>
      </c>
      <c r="AM395" s="96" t="str">
        <f aca="false">IF(AND(NOT(ISERROR(AH395)),ISERROR(AL395)),$AM$6,"")</f>
        <v/>
      </c>
      <c r="AN395" s="96" t="str">
        <f aca="false">IF($AE395=Constants!$B$7 ,IF(AND(T395,U395,W395,ISNUMBER(Z395)),IF($AL$6=0,Constants!$B$10,Constants!$B$10*AL395/$AL$6), 0),"")</f>
        <v/>
      </c>
      <c r="AO395" s="96" t="str">
        <f aca="false">IF(AN395&lt;&gt;"", AN395*AG395,"")</f>
        <v/>
      </c>
      <c r="AP395" s="96" t="str">
        <f aca="false">IF($AE395=Constants!$B$7,IF($AP$6=0,Constants!$B$8,Constants!$B$8*AB395/$AP$6),"")</f>
        <v/>
      </c>
      <c r="AQ395" s="96" t="str">
        <f aca="false">IF($AE395&lt;&gt;Constants!$B$7,$AE395,AK395+AO395+AP395)</f>
        <v/>
      </c>
      <c r="AR395" s="96" t="str">
        <f aca="false">IF(ISBLANK($C395),"",IF($AE395=Constants!$B$7,RANK(AQ395,$AQ$8:$AQ$507),$AE395))</f>
        <v/>
      </c>
      <c r="AS395" s="96" t="str">
        <f aca="false">IF(ISBLANK($C395), "",AK395)</f>
        <v/>
      </c>
      <c r="AT395" s="96" t="str">
        <f aca="false">IF(ISBLANK($C395),"",IF($AE395=Constants!$B$7,RANK(AS395,AS$8:AS$507),$AE395))</f>
        <v/>
      </c>
      <c r="AU395" s="96" t="str">
        <f aca="false">IF(ISBLANK($C395), "",AP395)</f>
        <v/>
      </c>
      <c r="AV395" s="96" t="str">
        <f aca="false">IF(ISBLANK($C395),"",IF($AE395=Constants!$B$7,RANK(AU395,AU$8:AU$507),$AE395))</f>
        <v/>
      </c>
      <c r="AW395" s="96" t="str">
        <f aca="false">IF(ISBLANK($C395), "",AC395)</f>
        <v/>
      </c>
      <c r="AX395" s="96" t="str">
        <f aca="false">IF(ISBLANK($C395),"",
IF($AE395=Constants!$B$7,
  COUNTIFS($AR$8:$AR$507,"&lt;"&amp;$AR395)
  + COUNTIFS($AR$8:$AR$507,$AR395,$AT$8:$AT$507,"&lt;"&amp;$AT395)
  + COUNTIFS($AR$8:$AR$507,$AR395,$AT$8:$AT$507,$AT395,$AV$8:$AV$507,"&lt;"&amp;$AV395)
  + COUNTIFS($AR$8:$AR$507,$AR395,$AT$8:$AT$507,$AT395,$AV$8:$AV$507,$AV395,$AW$8:$AW$507,"&lt;"&amp;$AW395)
  + 1,
$AE395))</f>
        <v/>
      </c>
      <c r="AY395" s="96" t="str">
        <f aca="false">IF(ISBLANK(C395),"",IF($AE395=Constants!$B$7, AR395-AX395,$AE395))</f>
        <v/>
      </c>
      <c r="AZ395" s="100"/>
      <c r="BA395" s="101" t="str">
        <f aca="false">IF(ISBLANK($C395),"",TRIM(AI395&amp;" "&amp;AM395))</f>
        <v/>
      </c>
      <c r="BB395" s="102" t="str">
        <f aca="false">IF(ISBLANK($C395),"",IF($AE395&lt;&gt;Constants!$B$7, $AE395 ,AQ395))</f>
        <v/>
      </c>
      <c r="BC395" s="103" t="str">
        <f aca="false">IF(ISBLANK($C395),"",IF($AE395&lt;&gt;Constants!$B$7, $AE395 ,AF395))</f>
        <v/>
      </c>
      <c r="BD395" s="104" t="str">
        <f aca="false">IF(ISBLANK(C395),"",AY395)</f>
        <v/>
      </c>
      <c r="BE395" s="104" t="str">
        <f aca="false">IF(ISBLANK(C395),"",AX395)</f>
        <v/>
      </c>
      <c r="BF395" s="105" t="str">
        <f aca="false">IF(ISBLANK(C395),"",IFERROR(_xlfn.SWITCH(BE395, Constants!$B$4, COUNTA($C$8:$C894)+2, Constants!$B$5, COUNTA($C$8:$C894)+1, Constants!$B$6, COUNTA($C$8:$C894)),BE395))</f>
        <v/>
      </c>
      <c r="BG395" s="5"/>
      <c r="BH395" s="106" t="n">
        <f aca="false">IF(OR(ISNUMBER(BE395),BE395="DQ",BE395="P",BE395="NS"),
    1,
    0
)</f>
        <v>0</v>
      </c>
      <c r="BI395" s="106" t="n">
        <v>388</v>
      </c>
      <c r="BJ395" s="106" t="str">
        <f aca="false">IF(ISBLANK($C395),
    "",
   BF395+ROW($B395)/1000
)</f>
        <v/>
      </c>
      <c r="BK395" s="106" t="str">
        <f aca="false">IF(ISNUMBER(BJ395), RANK(BJ395,BJ$8:BJ$507,1), "")</f>
        <v/>
      </c>
      <c r="BL395" s="106" t="str">
        <f aca="false">IF(ISBLANK($C395),
    "",
    $B395
)</f>
        <v/>
      </c>
      <c r="BM395" s="106" t="str">
        <f aca="false">IF(ISBLANK($C395),
    "",
    $C395
)</f>
        <v/>
      </c>
      <c r="BN395" s="106" t="str">
        <f aca="false">IF(ISBLANK($C395),
    "",
    $D395
)</f>
        <v/>
      </c>
      <c r="BO395" s="107" t="str">
        <f aca="false">BC395</f>
        <v/>
      </c>
      <c r="BP395" s="108" t="str">
        <f aca="false">BB395</f>
        <v/>
      </c>
      <c r="BQ395" s="106" t="str">
        <f aca="false">IF(ISBLANK($C395),
    "",
    BE395
)</f>
        <v/>
      </c>
      <c r="BR395" s="109" t="str">
        <f aca="false">IF(BI395&gt;BH$7,
    "",
    VLOOKUP(BI395,BK$8:BQ894,7,FALSE())
)</f>
        <v/>
      </c>
      <c r="BS395" s="110" t="str">
        <f aca="false">IF(BI395&gt;BH$7,
    "",
    VLOOKUP(BI395,BK$8:BQ894,2,FALSE())
)</f>
        <v/>
      </c>
      <c r="BT395" s="110" t="str">
        <f aca="false">IF(BI395&gt;BH$7,
    "",
    VLOOKUP(BI395,BK$8:BQ894,3,FALSE())
)</f>
        <v/>
      </c>
      <c r="BU395" s="110" t="str">
        <f aca="false">IF(BI395&gt;BH$7,
    "",
    VLOOKUP(BI395,BK$8:BQ894,4,FALSE())
)</f>
        <v/>
      </c>
      <c r="BV395" s="110" t="str">
        <f aca="false">IF(BI395&gt;BH$7,
    "",
    VLOOKUP(BI395,BK$8:BQ894,5,FALSE())
)</f>
        <v/>
      </c>
      <c r="BW395" s="111" t="str">
        <f aca="false">IF(BI395&gt;BH$7,
    "",
    VLOOKUP(BI395,BK$8:BQ894,6,FALSE())
)</f>
        <v/>
      </c>
      <c r="BX395" s="50"/>
    </row>
    <row r="396" customFormat="false" ht="15.75" hidden="false" customHeight="false" outlineLevel="0" collapsed="false">
      <c r="A396" s="5"/>
      <c r="B396" s="122"/>
      <c r="C396" s="123"/>
      <c r="D396" s="112"/>
      <c r="E396" s="116"/>
      <c r="F396" s="116"/>
      <c r="G396" s="88"/>
      <c r="H396" s="89"/>
      <c r="I396" s="125"/>
      <c r="J396" s="125"/>
      <c r="K396" s="125"/>
      <c r="L396" s="91"/>
      <c r="M396" s="91"/>
      <c r="N396" s="91"/>
      <c r="O396" s="92"/>
      <c r="P396" s="93"/>
      <c r="Q396" s="125"/>
      <c r="R396" s="95"/>
      <c r="S396" s="96"/>
      <c r="T396" s="96" t="str">
        <f aca="false">IF(ISBLANK($C396),"",IF(G396=Constants!$B$2, TRUE(), IF(G396=Constants!$B$3, FALSE(), TRUE())))</f>
        <v/>
      </c>
      <c r="U396" s="96" t="str">
        <f aca="false">IF(ISBLANK($C396),"",IF(H396=Constants!$B$2, TRUE(), IF(H396=Constants!$B$3, FALSE(), TRUE())))</f>
        <v/>
      </c>
      <c r="V396" s="96" t="str">
        <f aca="false">IF(ISBLANK($C396),"",IF(I396=Constants!$B$2, TRUE(), IF(I396=Constants!$B$3, FALSE(), TRUE())))</f>
        <v/>
      </c>
      <c r="W396" s="96" t="str">
        <f aca="false">IF(ISBLANK($C396),"",IF(J396=Constants!$B$2, TRUE(), IF(J396=Constants!$B$3, FALSE(), TRUE())))</f>
        <v/>
      </c>
      <c r="X396" s="97" t="str">
        <f aca="false">IF(ISBLANK($C396),"",IF(K396=Constants!$B$2, TRUE(), IF(K396=Constants!$B$3, FALSE(), TRUE())))</f>
        <v/>
      </c>
      <c r="Y396" s="98" t="str">
        <f aca="false">IF(ISBLANK($C396),"",IF(ISNUMBER(L396), L396, ""))</f>
        <v/>
      </c>
      <c r="Z396" s="98" t="str">
        <f aca="false">IF(ISBLANK($C396),"",IF(ISNUMBER(M396), M396, ""))</f>
        <v/>
      </c>
      <c r="AA396" s="98" t="str">
        <f aca="false">IF(ISBLANK($C396),"",IF(ISNUMBER(N396), N396, ""))</f>
        <v/>
      </c>
      <c r="AB396" s="99" t="str">
        <f aca="false">IF(ISBLANK($C396),"",IF(ISNUMBER(O396), O396, ""))</f>
        <v/>
      </c>
      <c r="AC396" s="99" t="str">
        <f aca="false">IF(ISBLANK($C396),"",IF(ISNUMBER(P396), P396, Constants!$B$13))</f>
        <v/>
      </c>
      <c r="AD396" s="96" t="str">
        <f aca="false">IF(ISBLANK($C396),"",IF(Q396=Constants!$B$2, TRUE(), IF(Q396=Constants!$B$3, FALSE(), FALSE())))</f>
        <v/>
      </c>
      <c r="AE396" s="96" t="str">
        <f aca="false">IF(ISBLANK(C396), "", IF(AD396, Constants!$B$4,IF(COUNTA(G396:O396)=0, Constants!$B$5, Constants!$B$7)))</f>
        <v/>
      </c>
      <c r="AF396" s="96" t="str">
        <f aca="false">IF(ISBLANK($C396), "",IF($AE396=Constants!$B$7,1,$AE396))</f>
        <v/>
      </c>
      <c r="AG396" s="96" t="str">
        <f aca="false">IF($AE396=Constants!$B$7,IF(V396, 1, Constants!$B$11) * IF(X396, 1, Constants!$B$12),"")</f>
        <v/>
      </c>
      <c r="AH396" s="96" t="str">
        <f aca="false">IF(AND($AE396=Constants!$B$7, T396, U396) ,MAX(0, $AA396-$Y396),"")</f>
        <v/>
      </c>
      <c r="AI396" s="96" t="str">
        <f aca="false">IF(ISERROR(AH396),$AI$6,"")</f>
        <v/>
      </c>
      <c r="AJ396" s="96" t="str">
        <f aca="false">IF($AE396=Constants!$B$7,IF(AND(T396,U396,W396),IF($AH$6=0,Constants!$B$9,Constants!$B$9*AH396/$AH$6), 0),"")</f>
        <v/>
      </c>
      <c r="AK396" s="96" t="str">
        <f aca="false">IF(AJ396&lt;&gt;"", AJ396*AG396,"")</f>
        <v/>
      </c>
      <c r="AL396" s="96" t="str">
        <f aca="false">IF(AND($AE396=Constants!$B$7, T396, U396) ,IF($Z396="", "", MAX(0,1-ABS($AA396-$Z396)/$AA396)),"")</f>
        <v/>
      </c>
      <c r="AM396" s="96" t="str">
        <f aca="false">IF(AND(NOT(ISERROR(AH396)),ISERROR(AL396)),$AM$6,"")</f>
        <v/>
      </c>
      <c r="AN396" s="96" t="str">
        <f aca="false">IF($AE396=Constants!$B$7 ,IF(AND(T396,U396,W396,ISNUMBER(Z396)),IF($AL$6=0,Constants!$B$10,Constants!$B$10*AL396/$AL$6), 0),"")</f>
        <v/>
      </c>
      <c r="AO396" s="96" t="str">
        <f aca="false">IF(AN396&lt;&gt;"", AN396*AG396,"")</f>
        <v/>
      </c>
      <c r="AP396" s="96" t="str">
        <f aca="false">IF($AE396=Constants!$B$7,IF($AP$6=0,Constants!$B$8,Constants!$B$8*AB396/$AP$6),"")</f>
        <v/>
      </c>
      <c r="AQ396" s="96" t="str">
        <f aca="false">IF($AE396&lt;&gt;Constants!$B$7,$AE396,AK396+AO396+AP396)</f>
        <v/>
      </c>
      <c r="AR396" s="96" t="str">
        <f aca="false">IF(ISBLANK($C396),"",IF($AE396=Constants!$B$7,RANK(AQ396,$AQ$8:$AQ$507),$AE396))</f>
        <v/>
      </c>
      <c r="AS396" s="96" t="str">
        <f aca="false">IF(ISBLANK($C396), "",AK396)</f>
        <v/>
      </c>
      <c r="AT396" s="96" t="str">
        <f aca="false">IF(ISBLANK($C396),"",IF($AE396=Constants!$B$7,RANK(AS396,AS$8:AS$507),$AE396))</f>
        <v/>
      </c>
      <c r="AU396" s="96" t="str">
        <f aca="false">IF(ISBLANK($C396), "",AP396)</f>
        <v/>
      </c>
      <c r="AV396" s="96" t="str">
        <f aca="false">IF(ISBLANK($C396),"",IF($AE396=Constants!$B$7,RANK(AU396,AU$8:AU$507),$AE396))</f>
        <v/>
      </c>
      <c r="AW396" s="96" t="str">
        <f aca="false">IF(ISBLANK($C396), "",AC396)</f>
        <v/>
      </c>
      <c r="AX396" s="96" t="str">
        <f aca="false">IF(ISBLANK($C396),"",
IF($AE396=Constants!$B$7,
  COUNTIFS($AR$8:$AR$507,"&lt;"&amp;$AR396)
  + COUNTIFS($AR$8:$AR$507,$AR396,$AT$8:$AT$507,"&lt;"&amp;$AT396)
  + COUNTIFS($AR$8:$AR$507,$AR396,$AT$8:$AT$507,$AT396,$AV$8:$AV$507,"&lt;"&amp;$AV396)
  + COUNTIFS($AR$8:$AR$507,$AR396,$AT$8:$AT$507,$AT396,$AV$8:$AV$507,$AV396,$AW$8:$AW$507,"&lt;"&amp;$AW396)
  + 1,
$AE396))</f>
        <v/>
      </c>
      <c r="AY396" s="96" t="str">
        <f aca="false">IF(ISBLANK(C396),"",IF($AE396=Constants!$B$7, AR396-AX396,$AE396))</f>
        <v/>
      </c>
      <c r="AZ396" s="100"/>
      <c r="BA396" s="101" t="str">
        <f aca="false">IF(ISBLANK($C396),"",TRIM(AI396&amp;" "&amp;AM396))</f>
        <v/>
      </c>
      <c r="BB396" s="102" t="str">
        <f aca="false">IF(ISBLANK($C396),"",IF($AE396&lt;&gt;Constants!$B$7, $AE396 ,AQ396))</f>
        <v/>
      </c>
      <c r="BC396" s="103" t="str">
        <f aca="false">IF(ISBLANK($C396),"",IF($AE396&lt;&gt;Constants!$B$7, $AE396 ,AF396))</f>
        <v/>
      </c>
      <c r="BD396" s="104" t="str">
        <f aca="false">IF(ISBLANK(C396),"",AY396)</f>
        <v/>
      </c>
      <c r="BE396" s="104" t="str">
        <f aca="false">IF(ISBLANK(C396),"",AX396)</f>
        <v/>
      </c>
      <c r="BF396" s="105" t="str">
        <f aca="false">IF(ISBLANK(C396),"",IFERROR(_xlfn.SWITCH(BE396, Constants!$B$4, COUNTA($C$8:$C895)+2, Constants!$B$5, COUNTA($C$8:$C895)+1, Constants!$B$6, COUNTA($C$8:$C895)),BE396))</f>
        <v/>
      </c>
      <c r="BG396" s="5"/>
      <c r="BH396" s="106" t="n">
        <f aca="false">IF(OR(ISNUMBER(BE396),BE396="DQ",BE396="P",BE396="NS"),
    1,
    0
)</f>
        <v>0</v>
      </c>
      <c r="BI396" s="106" t="n">
        <v>389</v>
      </c>
      <c r="BJ396" s="106" t="str">
        <f aca="false">IF(ISBLANK($C396),
    "",
   BF396+ROW($B396)/1000
)</f>
        <v/>
      </c>
      <c r="BK396" s="106" t="str">
        <f aca="false">IF(ISNUMBER(BJ396), RANK(BJ396,BJ$8:BJ$507,1), "")</f>
        <v/>
      </c>
      <c r="BL396" s="106" t="str">
        <f aca="false">IF(ISBLANK($C396),
    "",
    $B396
)</f>
        <v/>
      </c>
      <c r="BM396" s="106" t="str">
        <f aca="false">IF(ISBLANK($C396),
    "",
    $C396
)</f>
        <v/>
      </c>
      <c r="BN396" s="106" t="str">
        <f aca="false">IF(ISBLANK($C396),
    "",
    $D396
)</f>
        <v/>
      </c>
      <c r="BO396" s="107" t="str">
        <f aca="false">BC396</f>
        <v/>
      </c>
      <c r="BP396" s="108" t="str">
        <f aca="false">BB396</f>
        <v/>
      </c>
      <c r="BQ396" s="106" t="str">
        <f aca="false">IF(ISBLANK($C396),
    "",
    BE396
)</f>
        <v/>
      </c>
      <c r="BR396" s="109" t="str">
        <f aca="false">IF(BI396&gt;BH$7,
    "",
    VLOOKUP(BI396,BK$8:BQ895,7,FALSE())
)</f>
        <v/>
      </c>
      <c r="BS396" s="110" t="str">
        <f aca="false">IF(BI396&gt;BH$7,
    "",
    VLOOKUP(BI396,BK$8:BQ895,2,FALSE())
)</f>
        <v/>
      </c>
      <c r="BT396" s="110" t="str">
        <f aca="false">IF(BI396&gt;BH$7,
    "",
    VLOOKUP(BI396,BK$8:BQ895,3,FALSE())
)</f>
        <v/>
      </c>
      <c r="BU396" s="110" t="str">
        <f aca="false">IF(BI396&gt;BH$7,
    "",
    VLOOKUP(BI396,BK$8:BQ895,4,FALSE())
)</f>
        <v/>
      </c>
      <c r="BV396" s="110" t="str">
        <f aca="false">IF(BI396&gt;BH$7,
    "",
    VLOOKUP(BI396,BK$8:BQ895,5,FALSE())
)</f>
        <v/>
      </c>
      <c r="BW396" s="111" t="str">
        <f aca="false">IF(BI396&gt;BH$7,
    "",
    VLOOKUP(BI396,BK$8:BQ895,6,FALSE())
)</f>
        <v/>
      </c>
      <c r="BX396" s="50"/>
    </row>
    <row r="397" customFormat="false" ht="15.75" hidden="false" customHeight="false" outlineLevel="0" collapsed="false">
      <c r="A397" s="5"/>
      <c r="B397" s="122"/>
      <c r="C397" s="123"/>
      <c r="D397" s="112"/>
      <c r="E397" s="116"/>
      <c r="F397" s="116"/>
      <c r="G397" s="88"/>
      <c r="H397" s="89"/>
      <c r="I397" s="125"/>
      <c r="J397" s="125"/>
      <c r="K397" s="125"/>
      <c r="L397" s="91"/>
      <c r="M397" s="91"/>
      <c r="N397" s="91"/>
      <c r="O397" s="92"/>
      <c r="P397" s="93"/>
      <c r="Q397" s="125"/>
      <c r="R397" s="95"/>
      <c r="S397" s="96"/>
      <c r="T397" s="96" t="str">
        <f aca="false">IF(ISBLANK($C397),"",IF(G397=Constants!$B$2, TRUE(), IF(G397=Constants!$B$3, FALSE(), TRUE())))</f>
        <v/>
      </c>
      <c r="U397" s="96" t="str">
        <f aca="false">IF(ISBLANK($C397),"",IF(H397=Constants!$B$2, TRUE(), IF(H397=Constants!$B$3, FALSE(), TRUE())))</f>
        <v/>
      </c>
      <c r="V397" s="96" t="str">
        <f aca="false">IF(ISBLANK($C397),"",IF(I397=Constants!$B$2, TRUE(), IF(I397=Constants!$B$3, FALSE(), TRUE())))</f>
        <v/>
      </c>
      <c r="W397" s="96" t="str">
        <f aca="false">IF(ISBLANK($C397),"",IF(J397=Constants!$B$2, TRUE(), IF(J397=Constants!$B$3, FALSE(), TRUE())))</f>
        <v/>
      </c>
      <c r="X397" s="97" t="str">
        <f aca="false">IF(ISBLANK($C397),"",IF(K397=Constants!$B$2, TRUE(), IF(K397=Constants!$B$3, FALSE(), TRUE())))</f>
        <v/>
      </c>
      <c r="Y397" s="98" t="str">
        <f aca="false">IF(ISBLANK($C397),"",IF(ISNUMBER(L397), L397, ""))</f>
        <v/>
      </c>
      <c r="Z397" s="98" t="str">
        <f aca="false">IF(ISBLANK($C397),"",IF(ISNUMBER(M397), M397, ""))</f>
        <v/>
      </c>
      <c r="AA397" s="98" t="str">
        <f aca="false">IF(ISBLANK($C397),"",IF(ISNUMBER(N397), N397, ""))</f>
        <v/>
      </c>
      <c r="AB397" s="99" t="str">
        <f aca="false">IF(ISBLANK($C397),"",IF(ISNUMBER(O397), O397, ""))</f>
        <v/>
      </c>
      <c r="AC397" s="99" t="str">
        <f aca="false">IF(ISBLANK($C397),"",IF(ISNUMBER(P397), P397, Constants!$B$13))</f>
        <v/>
      </c>
      <c r="AD397" s="96" t="str">
        <f aca="false">IF(ISBLANK($C397),"",IF(Q397=Constants!$B$2, TRUE(), IF(Q397=Constants!$B$3, FALSE(), FALSE())))</f>
        <v/>
      </c>
      <c r="AE397" s="96" t="str">
        <f aca="false">IF(ISBLANK(C397), "", IF(AD397, Constants!$B$4,IF(COUNTA(G397:O397)=0, Constants!$B$5, Constants!$B$7)))</f>
        <v/>
      </c>
      <c r="AF397" s="96" t="str">
        <f aca="false">IF(ISBLANK($C397), "",IF($AE397=Constants!$B$7,1,$AE397))</f>
        <v/>
      </c>
      <c r="AG397" s="96" t="str">
        <f aca="false">IF($AE397=Constants!$B$7,IF(V397, 1, Constants!$B$11) * IF(X397, 1, Constants!$B$12),"")</f>
        <v/>
      </c>
      <c r="AH397" s="96" t="str">
        <f aca="false">IF(AND($AE397=Constants!$B$7, T397, U397) ,MAX(0, $AA397-$Y397),"")</f>
        <v/>
      </c>
      <c r="AI397" s="96" t="str">
        <f aca="false">IF(ISERROR(AH397),$AI$6,"")</f>
        <v/>
      </c>
      <c r="AJ397" s="96" t="str">
        <f aca="false">IF($AE397=Constants!$B$7,IF(AND(T397,U397,W397),IF($AH$6=0,Constants!$B$9,Constants!$B$9*AH397/$AH$6), 0),"")</f>
        <v/>
      </c>
      <c r="AK397" s="96" t="str">
        <f aca="false">IF(AJ397&lt;&gt;"", AJ397*AG397,"")</f>
        <v/>
      </c>
      <c r="AL397" s="96" t="str">
        <f aca="false">IF(AND($AE397=Constants!$B$7, T397, U397) ,IF($Z397="", "", MAX(0,1-ABS($AA397-$Z397)/$AA397)),"")</f>
        <v/>
      </c>
      <c r="AM397" s="96" t="str">
        <f aca="false">IF(AND(NOT(ISERROR(AH397)),ISERROR(AL397)),$AM$6,"")</f>
        <v/>
      </c>
      <c r="AN397" s="96" t="str">
        <f aca="false">IF($AE397=Constants!$B$7 ,IF(AND(T397,U397,W397,ISNUMBER(Z397)),IF($AL$6=0,Constants!$B$10,Constants!$B$10*AL397/$AL$6), 0),"")</f>
        <v/>
      </c>
      <c r="AO397" s="96" t="str">
        <f aca="false">IF(AN397&lt;&gt;"", AN397*AG397,"")</f>
        <v/>
      </c>
      <c r="AP397" s="96" t="str">
        <f aca="false">IF($AE397=Constants!$B$7,IF($AP$6=0,Constants!$B$8,Constants!$B$8*AB397/$AP$6),"")</f>
        <v/>
      </c>
      <c r="AQ397" s="96" t="str">
        <f aca="false">IF($AE397&lt;&gt;Constants!$B$7,$AE397,AK397+AO397+AP397)</f>
        <v/>
      </c>
      <c r="AR397" s="96" t="str">
        <f aca="false">IF(ISBLANK($C397),"",IF($AE397=Constants!$B$7,RANK(AQ397,$AQ$8:$AQ$507),$AE397))</f>
        <v/>
      </c>
      <c r="AS397" s="96" t="str">
        <f aca="false">IF(ISBLANK($C397), "",AK397)</f>
        <v/>
      </c>
      <c r="AT397" s="96" t="str">
        <f aca="false">IF(ISBLANK($C397),"",IF($AE397=Constants!$B$7,RANK(AS397,AS$8:AS$507),$AE397))</f>
        <v/>
      </c>
      <c r="AU397" s="96" t="str">
        <f aca="false">IF(ISBLANK($C397), "",AP397)</f>
        <v/>
      </c>
      <c r="AV397" s="96" t="str">
        <f aca="false">IF(ISBLANK($C397),"",IF($AE397=Constants!$B$7,RANK(AU397,AU$8:AU$507),$AE397))</f>
        <v/>
      </c>
      <c r="AW397" s="96" t="str">
        <f aca="false">IF(ISBLANK($C397), "",AC397)</f>
        <v/>
      </c>
      <c r="AX397" s="96" t="str">
        <f aca="false">IF(ISBLANK($C397),"",
IF($AE397=Constants!$B$7,
  COUNTIFS($AR$8:$AR$507,"&lt;"&amp;$AR397)
  + COUNTIFS($AR$8:$AR$507,$AR397,$AT$8:$AT$507,"&lt;"&amp;$AT397)
  + COUNTIFS($AR$8:$AR$507,$AR397,$AT$8:$AT$507,$AT397,$AV$8:$AV$507,"&lt;"&amp;$AV397)
  + COUNTIFS($AR$8:$AR$507,$AR397,$AT$8:$AT$507,$AT397,$AV$8:$AV$507,$AV397,$AW$8:$AW$507,"&lt;"&amp;$AW397)
  + 1,
$AE397))</f>
        <v/>
      </c>
      <c r="AY397" s="96" t="str">
        <f aca="false">IF(ISBLANK(C397),"",IF($AE397=Constants!$B$7, AR397-AX397,$AE397))</f>
        <v/>
      </c>
      <c r="AZ397" s="100"/>
      <c r="BA397" s="101" t="str">
        <f aca="false">IF(ISBLANK($C397),"",TRIM(AI397&amp;" "&amp;AM397))</f>
        <v/>
      </c>
      <c r="BB397" s="102" t="str">
        <f aca="false">IF(ISBLANK($C397),"",IF($AE397&lt;&gt;Constants!$B$7, $AE397 ,AQ397))</f>
        <v/>
      </c>
      <c r="BC397" s="103" t="str">
        <f aca="false">IF(ISBLANK($C397),"",IF($AE397&lt;&gt;Constants!$B$7, $AE397 ,AF397))</f>
        <v/>
      </c>
      <c r="BD397" s="104" t="str">
        <f aca="false">IF(ISBLANK(C397),"",AY397)</f>
        <v/>
      </c>
      <c r="BE397" s="104" t="str">
        <f aca="false">IF(ISBLANK(C397),"",AX397)</f>
        <v/>
      </c>
      <c r="BF397" s="105" t="str">
        <f aca="false">IF(ISBLANK(C397),"",IFERROR(_xlfn.SWITCH(BE397, Constants!$B$4, COUNTA($C$8:$C896)+2, Constants!$B$5, COUNTA($C$8:$C896)+1, Constants!$B$6, COUNTA($C$8:$C896)),BE397))</f>
        <v/>
      </c>
      <c r="BG397" s="5"/>
      <c r="BH397" s="106" t="n">
        <f aca="false">IF(OR(ISNUMBER(BE397),BE397="DQ",BE397="P",BE397="NS"),
    1,
    0
)</f>
        <v>0</v>
      </c>
      <c r="BI397" s="106" t="n">
        <v>390</v>
      </c>
      <c r="BJ397" s="106" t="str">
        <f aca="false">IF(ISBLANK($C397),
    "",
   BF397+ROW($B397)/1000
)</f>
        <v/>
      </c>
      <c r="BK397" s="106" t="str">
        <f aca="false">IF(ISNUMBER(BJ397), RANK(BJ397,BJ$8:BJ$507,1), "")</f>
        <v/>
      </c>
      <c r="BL397" s="106" t="str">
        <f aca="false">IF(ISBLANK($C397),
    "",
    $B397
)</f>
        <v/>
      </c>
      <c r="BM397" s="106" t="str">
        <f aca="false">IF(ISBLANK($C397),
    "",
    $C397
)</f>
        <v/>
      </c>
      <c r="BN397" s="106" t="str">
        <f aca="false">IF(ISBLANK($C397),
    "",
    $D397
)</f>
        <v/>
      </c>
      <c r="BO397" s="107" t="str">
        <f aca="false">BC397</f>
        <v/>
      </c>
      <c r="BP397" s="108" t="str">
        <f aca="false">BB397</f>
        <v/>
      </c>
      <c r="BQ397" s="106" t="str">
        <f aca="false">IF(ISBLANK($C397),
    "",
    BE397
)</f>
        <v/>
      </c>
      <c r="BR397" s="109" t="str">
        <f aca="false">IF(BI397&gt;BH$7,
    "",
    VLOOKUP(BI397,BK$8:BQ896,7,FALSE())
)</f>
        <v/>
      </c>
      <c r="BS397" s="110" t="str">
        <f aca="false">IF(BI397&gt;BH$7,
    "",
    VLOOKUP(BI397,BK$8:BQ896,2,FALSE())
)</f>
        <v/>
      </c>
      <c r="BT397" s="110" t="str">
        <f aca="false">IF(BI397&gt;BH$7,
    "",
    VLOOKUP(BI397,BK$8:BQ896,3,FALSE())
)</f>
        <v/>
      </c>
      <c r="BU397" s="110" t="str">
        <f aca="false">IF(BI397&gt;BH$7,
    "",
    VLOOKUP(BI397,BK$8:BQ896,4,FALSE())
)</f>
        <v/>
      </c>
      <c r="BV397" s="110" t="str">
        <f aca="false">IF(BI397&gt;BH$7,
    "",
    VLOOKUP(BI397,BK$8:BQ896,5,FALSE())
)</f>
        <v/>
      </c>
      <c r="BW397" s="111" t="str">
        <f aca="false">IF(BI397&gt;BH$7,
    "",
    VLOOKUP(BI397,BK$8:BQ896,6,FALSE())
)</f>
        <v/>
      </c>
      <c r="BX397" s="50"/>
    </row>
    <row r="398" customFormat="false" ht="15.75" hidden="false" customHeight="false" outlineLevel="0" collapsed="false">
      <c r="A398" s="5"/>
      <c r="B398" s="126"/>
      <c r="C398" s="52"/>
      <c r="D398" s="53"/>
      <c r="E398" s="120"/>
      <c r="F398" s="120"/>
      <c r="G398" s="55"/>
      <c r="H398" s="56"/>
      <c r="I398" s="80"/>
      <c r="J398" s="80"/>
      <c r="K398" s="80"/>
      <c r="L398" s="58"/>
      <c r="M398" s="58"/>
      <c r="N398" s="58"/>
      <c r="O398" s="59"/>
      <c r="P398" s="60"/>
      <c r="Q398" s="80"/>
      <c r="R398" s="62"/>
      <c r="S398" s="63"/>
      <c r="T398" s="63" t="str">
        <f aca="false">IF(ISBLANK($C398),"",IF(G398=Constants!$B$2, TRUE(), IF(G398=Constants!$B$3, FALSE(), TRUE())))</f>
        <v/>
      </c>
      <c r="U398" s="63" t="str">
        <f aca="false">IF(ISBLANK($C398),"",IF(H398=Constants!$B$2, TRUE(), IF(H398=Constants!$B$3, FALSE(), TRUE())))</f>
        <v/>
      </c>
      <c r="V398" s="63" t="str">
        <f aca="false">IF(ISBLANK($C398),"",IF(I398=Constants!$B$2, TRUE(), IF(I398=Constants!$B$3, FALSE(), TRUE())))</f>
        <v/>
      </c>
      <c r="W398" s="63" t="str">
        <f aca="false">IF(ISBLANK($C398),"",IF(J398=Constants!$B$2, TRUE(), IF(J398=Constants!$B$3, FALSE(), TRUE())))</f>
        <v/>
      </c>
      <c r="X398" s="63" t="str">
        <f aca="false">IF(ISBLANK($C398),"",IF(K398=Constants!$B$2, TRUE(), IF(K398=Constants!$B$3, FALSE(), TRUE())))</f>
        <v/>
      </c>
      <c r="Y398" s="65" t="str">
        <f aca="false">IF(ISBLANK($C398),"",IF(ISNUMBER(L398), L398, ""))</f>
        <v/>
      </c>
      <c r="Z398" s="65" t="str">
        <f aca="false">IF(ISBLANK($C398),"",IF(ISNUMBER(M398), M398, ""))</f>
        <v/>
      </c>
      <c r="AA398" s="65" t="str">
        <f aca="false">IF(ISBLANK($C398),"",IF(ISNUMBER(N398), N398, ""))</f>
        <v/>
      </c>
      <c r="AB398" s="66" t="str">
        <f aca="false">IF(ISBLANK($C398),"",IF(ISNUMBER(O398), O398, ""))</f>
        <v/>
      </c>
      <c r="AC398" s="66" t="str">
        <f aca="false">IF(ISBLANK($C398),"",IF(ISNUMBER(P398), P398, Constants!$B$13))</f>
        <v/>
      </c>
      <c r="AD398" s="63" t="str">
        <f aca="false">IF(ISBLANK($C398),"",IF(Q398=Constants!$B$2, TRUE(), IF(Q398=Constants!$B$3, FALSE(), FALSE())))</f>
        <v/>
      </c>
      <c r="AE398" s="63" t="str">
        <f aca="false">IF(ISBLANK(C398), "", IF(AD398, Constants!$B$4,IF(COUNTA(G398:O398)=0, Constants!$B$5, Constants!$B$7)))</f>
        <v/>
      </c>
      <c r="AF398" s="63" t="str">
        <f aca="false">IF(ISBLANK($C398), "",IF($AE398=Constants!$B$7,1,$AE398))</f>
        <v/>
      </c>
      <c r="AG398" s="63" t="str">
        <f aca="false">IF($AE398=Constants!$B$7,IF(V398, 1, Constants!$B$11) * IF(X398, 1, Constants!$B$12),"")</f>
        <v/>
      </c>
      <c r="AH398" s="63" t="str">
        <f aca="false">IF(AND($AE398=Constants!$B$7, T398, U398) ,MAX(0, $AA398-$Y398),"")</f>
        <v/>
      </c>
      <c r="AI398" s="63" t="str">
        <f aca="false">IF(ISERROR(AH398),$AI$6,"")</f>
        <v/>
      </c>
      <c r="AJ398" s="63" t="str">
        <f aca="false">IF($AE398=Constants!$B$7,IF(AND(T398,U398,W398),IF($AH$6=0,Constants!$B$9,Constants!$B$9*AH398/$AH$6), 0),"")</f>
        <v/>
      </c>
      <c r="AK398" s="63" t="str">
        <f aca="false">IF(AJ398&lt;&gt;"", AJ398*AG398,"")</f>
        <v/>
      </c>
      <c r="AL398" s="63" t="str">
        <f aca="false">IF(AND($AE398=Constants!$B$7, T398, U398) ,IF($Z398="", "", MAX(0,1-ABS($AA398-$Z398)/$AA398)),"")</f>
        <v/>
      </c>
      <c r="AM398" s="63" t="str">
        <f aca="false">IF(AND(NOT(ISERROR(AH398)),ISERROR(AL398)),$AM$6,"")</f>
        <v/>
      </c>
      <c r="AN398" s="63" t="str">
        <f aca="false">IF($AE398=Constants!$B$7 ,IF(AND(T398,U398,W398,ISNUMBER(Z398)),IF($AL$6=0,Constants!$B$10,Constants!$B$10*AL398/$AL$6), 0),"")</f>
        <v/>
      </c>
      <c r="AO398" s="63" t="str">
        <f aca="false">IF(AN398&lt;&gt;"", AN398*AG398,"")</f>
        <v/>
      </c>
      <c r="AP398" s="63" t="str">
        <f aca="false">IF($AE398=Constants!$B$7,IF($AP$6=0,Constants!$B$8,Constants!$B$8*AB398/$AP$6),"")</f>
        <v/>
      </c>
      <c r="AQ398" s="63" t="str">
        <f aca="false">IF($AE398&lt;&gt;Constants!$B$7,$AE398,AK398+AO398+AP398)</f>
        <v/>
      </c>
      <c r="AR398" s="63" t="str">
        <f aca="false">IF(ISBLANK($C398),"",IF($AE398=Constants!$B$7,RANK(AQ398,$AQ$8:$AQ$507),$AE398))</f>
        <v/>
      </c>
      <c r="AS398" s="63" t="str">
        <f aca="false">IF(ISBLANK($C398), "",AK398)</f>
        <v/>
      </c>
      <c r="AT398" s="63" t="str">
        <f aca="false">IF(ISBLANK($C398),"",IF($AE398=Constants!$B$7,RANK(AS398,AS$8:AS$507),$AE398))</f>
        <v/>
      </c>
      <c r="AU398" s="63" t="str">
        <f aca="false">IF(ISBLANK($C398), "",AP398)</f>
        <v/>
      </c>
      <c r="AV398" s="63" t="str">
        <f aca="false">IF(ISBLANK($C398),"",IF($AE398=Constants!$B$7,RANK(AU398,AU$8:AU$507),$AE398))</f>
        <v/>
      </c>
      <c r="AW398" s="63" t="str">
        <f aca="false">IF(ISBLANK($C398), "",AC398)</f>
        <v/>
      </c>
      <c r="AX398" s="63" t="str">
        <f aca="false">IF(ISBLANK($C398),"",
IF($AE398=Constants!$B$7,
  COUNTIFS($AR$8:$AR$507,"&lt;"&amp;$AR398)
  + COUNTIFS($AR$8:$AR$507,$AR398,$AT$8:$AT$507,"&lt;"&amp;$AT398)
  + COUNTIFS($AR$8:$AR$507,$AR398,$AT$8:$AT$507,$AT398,$AV$8:$AV$507,"&lt;"&amp;$AV398)
  + COUNTIFS($AR$8:$AR$507,$AR398,$AT$8:$AT$507,$AT398,$AV$8:$AV$507,$AV398,$AW$8:$AW$507,"&lt;"&amp;$AW398)
  + 1,
$AE398))</f>
        <v/>
      </c>
      <c r="AY398" s="63" t="str">
        <f aca="false">IF(ISBLANK(C398),"",IF($AE398=Constants!$B$7, AR398-AX398,$AE398))</f>
        <v/>
      </c>
      <c r="AZ398" s="67"/>
      <c r="BA398" s="81" t="str">
        <f aca="false">IF(ISBLANK($C398),"",TRIM(AI398&amp;" "&amp;AM398))</f>
        <v/>
      </c>
      <c r="BB398" s="69" t="str">
        <f aca="false">IF(ISBLANK($C398),"",IF($AE398&lt;&gt;Constants!$B$7, $AE398 ,AQ398))</f>
        <v/>
      </c>
      <c r="BC398" s="70" t="str">
        <f aca="false">IF(ISBLANK($C398),"",IF($AE398&lt;&gt;Constants!$B$7, $AE398 ,AF398))</f>
        <v/>
      </c>
      <c r="BD398" s="71" t="str">
        <f aca="false">IF(ISBLANK(C398),"",AY398)</f>
        <v/>
      </c>
      <c r="BE398" s="71" t="str">
        <f aca="false">IF(ISBLANK(C398),"",AX398)</f>
        <v/>
      </c>
      <c r="BF398" s="72" t="str">
        <f aca="false">IF(ISBLANK(C398),"",IFERROR(_xlfn.SWITCH(BE398, Constants!$B$4, COUNTA($C$8:$C897)+2, Constants!$B$5, COUNTA($C$8:$C897)+1, Constants!$B$6, COUNTA($C$8:$C897)),BE398))</f>
        <v/>
      </c>
      <c r="BG398" s="5"/>
      <c r="BH398" s="73" t="n">
        <f aca="false">IF(OR(ISNUMBER(BE398),BE398="DQ",BE398="P",BE398="NS"),
    1,
    0
)</f>
        <v>0</v>
      </c>
      <c r="BI398" s="73" t="n">
        <v>391</v>
      </c>
      <c r="BJ398" s="73" t="str">
        <f aca="false">IF(ISBLANK($C398),
    "",
   BF398+ROW($B398)/1000
)</f>
        <v/>
      </c>
      <c r="BK398" s="73" t="str">
        <f aca="false">IF(ISNUMBER(BJ398), RANK(BJ398,BJ$8:BJ$507,1), "")</f>
        <v/>
      </c>
      <c r="BL398" s="73" t="str">
        <f aca="false">IF(ISBLANK($C398),
    "",
    $B398
)</f>
        <v/>
      </c>
      <c r="BM398" s="73" t="str">
        <f aca="false">IF(ISBLANK($C398),
    "",
    $C398
)</f>
        <v/>
      </c>
      <c r="BN398" s="73" t="str">
        <f aca="false">IF(ISBLANK($C398),
    "",
    $D398
)</f>
        <v/>
      </c>
      <c r="BO398" s="74" t="str">
        <f aca="false">BC398</f>
        <v/>
      </c>
      <c r="BP398" s="75" t="str">
        <f aca="false">BB398</f>
        <v/>
      </c>
      <c r="BQ398" s="73" t="str">
        <f aca="false">IF(ISBLANK($C398),
    "",
    BE398
)</f>
        <v/>
      </c>
      <c r="BR398" s="76" t="str">
        <f aca="false">IF(BI398&gt;BH$7,
    "",
    VLOOKUP(BI398,BK$8:BQ897,7,FALSE())
)</f>
        <v/>
      </c>
      <c r="BS398" s="77" t="str">
        <f aca="false">IF(BI398&gt;BH$7,
    "",
    VLOOKUP(BI398,BK$8:BQ897,2,FALSE())
)</f>
        <v/>
      </c>
      <c r="BT398" s="77" t="str">
        <f aca="false">IF(BI398&gt;BH$7,
    "",
    VLOOKUP(BI398,BK$8:BQ897,3,FALSE())
)</f>
        <v/>
      </c>
      <c r="BU398" s="77" t="str">
        <f aca="false">IF(BI398&gt;BH$7,
    "",
    VLOOKUP(BI398,BK$8:BQ897,4,FALSE())
)</f>
        <v/>
      </c>
      <c r="BV398" s="77" t="str">
        <f aca="false">IF(BI398&gt;BH$7,
    "",
    VLOOKUP(BI398,BK$8:BQ897,5,FALSE())
)</f>
        <v/>
      </c>
      <c r="BW398" s="78" t="str">
        <f aca="false">IF(BI398&gt;BH$7,
    "",
    VLOOKUP(BI398,BK$8:BQ897,6,FALSE())
)</f>
        <v/>
      </c>
      <c r="BX398" s="50"/>
    </row>
    <row r="399" customFormat="false" ht="15.75" hidden="false" customHeight="false" outlineLevel="0" collapsed="false">
      <c r="A399" s="5"/>
      <c r="B399" s="126"/>
      <c r="C399" s="52"/>
      <c r="D399" s="53"/>
      <c r="E399" s="120"/>
      <c r="F399" s="120"/>
      <c r="G399" s="55"/>
      <c r="H399" s="56"/>
      <c r="I399" s="80"/>
      <c r="J399" s="80"/>
      <c r="K399" s="80"/>
      <c r="L399" s="58"/>
      <c r="M399" s="58"/>
      <c r="N399" s="58"/>
      <c r="O399" s="59"/>
      <c r="P399" s="60"/>
      <c r="Q399" s="80"/>
      <c r="R399" s="62"/>
      <c r="S399" s="63"/>
      <c r="T399" s="63" t="str">
        <f aca="false">IF(ISBLANK($C399),"",IF(G399=Constants!$B$2, TRUE(), IF(G399=Constants!$B$3, FALSE(), TRUE())))</f>
        <v/>
      </c>
      <c r="U399" s="63" t="str">
        <f aca="false">IF(ISBLANK($C399),"",IF(H399=Constants!$B$2, TRUE(), IF(H399=Constants!$B$3, FALSE(), TRUE())))</f>
        <v/>
      </c>
      <c r="V399" s="63" t="str">
        <f aca="false">IF(ISBLANK($C399),"",IF(I399=Constants!$B$2, TRUE(), IF(I399=Constants!$B$3, FALSE(), TRUE())))</f>
        <v/>
      </c>
      <c r="W399" s="63" t="str">
        <f aca="false">IF(ISBLANK($C399),"",IF(J399=Constants!$B$2, TRUE(), IF(J399=Constants!$B$3, FALSE(), TRUE())))</f>
        <v/>
      </c>
      <c r="X399" s="63" t="str">
        <f aca="false">IF(ISBLANK($C399),"",IF(K399=Constants!$B$2, TRUE(), IF(K399=Constants!$B$3, FALSE(), TRUE())))</f>
        <v/>
      </c>
      <c r="Y399" s="65" t="str">
        <f aca="false">IF(ISBLANK($C399),"",IF(ISNUMBER(L399), L399, ""))</f>
        <v/>
      </c>
      <c r="Z399" s="65" t="str">
        <f aca="false">IF(ISBLANK($C399),"",IF(ISNUMBER(M399), M399, ""))</f>
        <v/>
      </c>
      <c r="AA399" s="65" t="str">
        <f aca="false">IF(ISBLANK($C399),"",IF(ISNUMBER(N399), N399, ""))</f>
        <v/>
      </c>
      <c r="AB399" s="66" t="str">
        <f aca="false">IF(ISBLANK($C399),"",IF(ISNUMBER(O399), O399, ""))</f>
        <v/>
      </c>
      <c r="AC399" s="66" t="str">
        <f aca="false">IF(ISBLANK($C399),"",IF(ISNUMBER(P399), P399, Constants!$B$13))</f>
        <v/>
      </c>
      <c r="AD399" s="63" t="str">
        <f aca="false">IF(ISBLANK($C399),"",IF(Q399=Constants!$B$2, TRUE(), IF(Q399=Constants!$B$3, FALSE(), FALSE())))</f>
        <v/>
      </c>
      <c r="AE399" s="63" t="str">
        <f aca="false">IF(ISBLANK(C399), "", IF(AD399, Constants!$B$4,IF(COUNTA(G399:O399)=0, Constants!$B$5, Constants!$B$7)))</f>
        <v/>
      </c>
      <c r="AF399" s="63" t="str">
        <f aca="false">IF(ISBLANK($C399), "",IF($AE399=Constants!$B$7,1,$AE399))</f>
        <v/>
      </c>
      <c r="AG399" s="63" t="str">
        <f aca="false">IF($AE399=Constants!$B$7,IF(V399, 1, Constants!$B$11) * IF(X399, 1, Constants!$B$12),"")</f>
        <v/>
      </c>
      <c r="AH399" s="63" t="str">
        <f aca="false">IF(AND($AE399=Constants!$B$7, T399, U399) ,MAX(0, $AA399-$Y399),"")</f>
        <v/>
      </c>
      <c r="AI399" s="63" t="str">
        <f aca="false">IF(ISERROR(AH399),$AI$6,"")</f>
        <v/>
      </c>
      <c r="AJ399" s="63" t="str">
        <f aca="false">IF($AE399=Constants!$B$7,IF(AND(T399,U399,W399),IF($AH$6=0,Constants!$B$9,Constants!$B$9*AH399/$AH$6), 0),"")</f>
        <v/>
      </c>
      <c r="AK399" s="63" t="str">
        <f aca="false">IF(AJ399&lt;&gt;"", AJ399*AG399,"")</f>
        <v/>
      </c>
      <c r="AL399" s="63" t="str">
        <f aca="false">IF(AND($AE399=Constants!$B$7, T399, U399) ,IF($Z399="", "", MAX(0,1-ABS($AA399-$Z399)/$AA399)),"")</f>
        <v/>
      </c>
      <c r="AM399" s="63" t="str">
        <f aca="false">IF(AND(NOT(ISERROR(AH399)),ISERROR(AL399)),$AM$6,"")</f>
        <v/>
      </c>
      <c r="AN399" s="63" t="str">
        <f aca="false">IF($AE399=Constants!$B$7 ,IF(AND(T399,U399,W399,ISNUMBER(Z399)),IF($AL$6=0,Constants!$B$10,Constants!$B$10*AL399/$AL$6), 0),"")</f>
        <v/>
      </c>
      <c r="AO399" s="63" t="str">
        <f aca="false">IF(AN399&lt;&gt;"", AN399*AG399,"")</f>
        <v/>
      </c>
      <c r="AP399" s="63" t="str">
        <f aca="false">IF($AE399=Constants!$B$7,IF($AP$6=0,Constants!$B$8,Constants!$B$8*AB399/$AP$6),"")</f>
        <v/>
      </c>
      <c r="AQ399" s="63" t="str">
        <f aca="false">IF($AE399&lt;&gt;Constants!$B$7,$AE399,AK399+AO399+AP399)</f>
        <v/>
      </c>
      <c r="AR399" s="63" t="str">
        <f aca="false">IF(ISBLANK($C399),"",IF($AE399=Constants!$B$7,RANK(AQ399,$AQ$8:$AQ$507),$AE399))</f>
        <v/>
      </c>
      <c r="AS399" s="63" t="str">
        <f aca="false">IF(ISBLANK($C399), "",AK399)</f>
        <v/>
      </c>
      <c r="AT399" s="63" t="str">
        <f aca="false">IF(ISBLANK($C399),"",IF($AE399=Constants!$B$7,RANK(AS399,AS$8:AS$507),$AE399))</f>
        <v/>
      </c>
      <c r="AU399" s="63" t="str">
        <f aca="false">IF(ISBLANK($C399), "",AP399)</f>
        <v/>
      </c>
      <c r="AV399" s="63" t="str">
        <f aca="false">IF(ISBLANK($C399),"",IF($AE399=Constants!$B$7,RANK(AU399,AU$8:AU$507),$AE399))</f>
        <v/>
      </c>
      <c r="AW399" s="63" t="str">
        <f aca="false">IF(ISBLANK($C399), "",AC399)</f>
        <v/>
      </c>
      <c r="AX399" s="63" t="str">
        <f aca="false">IF(ISBLANK($C399),"",
IF($AE399=Constants!$B$7,
  COUNTIFS($AR$8:$AR$507,"&lt;"&amp;$AR399)
  + COUNTIFS($AR$8:$AR$507,$AR399,$AT$8:$AT$507,"&lt;"&amp;$AT399)
  + COUNTIFS($AR$8:$AR$507,$AR399,$AT$8:$AT$507,$AT399,$AV$8:$AV$507,"&lt;"&amp;$AV399)
  + COUNTIFS($AR$8:$AR$507,$AR399,$AT$8:$AT$507,$AT399,$AV$8:$AV$507,$AV399,$AW$8:$AW$507,"&lt;"&amp;$AW399)
  + 1,
$AE399))</f>
        <v/>
      </c>
      <c r="AY399" s="63" t="str">
        <f aca="false">IF(ISBLANK(C399),"",IF($AE399=Constants!$B$7, AR399-AX399,$AE399))</f>
        <v/>
      </c>
      <c r="AZ399" s="67"/>
      <c r="BA399" s="81" t="str">
        <f aca="false">IF(ISBLANK($C399),"",TRIM(AI399&amp;" "&amp;AM399))</f>
        <v/>
      </c>
      <c r="BB399" s="69" t="str">
        <f aca="false">IF(ISBLANK($C399),"",IF($AE399&lt;&gt;Constants!$B$7, $AE399 ,AQ399))</f>
        <v/>
      </c>
      <c r="BC399" s="70" t="str">
        <f aca="false">IF(ISBLANK($C399),"",IF($AE399&lt;&gt;Constants!$B$7, $AE399 ,AF399))</f>
        <v/>
      </c>
      <c r="BD399" s="71" t="str">
        <f aca="false">IF(ISBLANK(C399),"",AY399)</f>
        <v/>
      </c>
      <c r="BE399" s="71" t="str">
        <f aca="false">IF(ISBLANK(C399),"",AX399)</f>
        <v/>
      </c>
      <c r="BF399" s="72" t="str">
        <f aca="false">IF(ISBLANK(C399),"",IFERROR(_xlfn.SWITCH(BE399, Constants!$B$4, COUNTA($C$8:$C898)+2, Constants!$B$5, COUNTA($C$8:$C898)+1, Constants!$B$6, COUNTA($C$8:$C898)),BE399))</f>
        <v/>
      </c>
      <c r="BG399" s="5"/>
      <c r="BH399" s="73" t="n">
        <f aca="false">IF(OR(ISNUMBER(BE399),BE399="DQ",BE399="P",BE399="NS"),
    1,
    0
)</f>
        <v>0</v>
      </c>
      <c r="BI399" s="73" t="n">
        <v>392</v>
      </c>
      <c r="BJ399" s="73" t="str">
        <f aca="false">IF(ISBLANK($C399),
    "",
   BF399+ROW($B399)/1000
)</f>
        <v/>
      </c>
      <c r="BK399" s="73" t="str">
        <f aca="false">IF(ISNUMBER(BJ399), RANK(BJ399,BJ$8:BJ$507,1), "")</f>
        <v/>
      </c>
      <c r="BL399" s="73" t="str">
        <f aca="false">IF(ISBLANK($C399),
    "",
    $B399
)</f>
        <v/>
      </c>
      <c r="BM399" s="73" t="str">
        <f aca="false">IF(ISBLANK($C399),
    "",
    $C399
)</f>
        <v/>
      </c>
      <c r="BN399" s="73" t="str">
        <f aca="false">IF(ISBLANK($C399),
    "",
    $D399
)</f>
        <v/>
      </c>
      <c r="BO399" s="74" t="str">
        <f aca="false">BC399</f>
        <v/>
      </c>
      <c r="BP399" s="75" t="str">
        <f aca="false">BB399</f>
        <v/>
      </c>
      <c r="BQ399" s="73" t="str">
        <f aca="false">IF(ISBLANK($C399),
    "",
    BE399
)</f>
        <v/>
      </c>
      <c r="BR399" s="76" t="str">
        <f aca="false">IF(BI399&gt;BH$7,
    "",
    VLOOKUP(BI399,BK$8:BQ898,7,FALSE())
)</f>
        <v/>
      </c>
      <c r="BS399" s="77" t="str">
        <f aca="false">IF(BI399&gt;BH$7,
    "",
    VLOOKUP(BI399,BK$8:BQ898,2,FALSE())
)</f>
        <v/>
      </c>
      <c r="BT399" s="77" t="str">
        <f aca="false">IF(BI399&gt;BH$7,
    "",
    VLOOKUP(BI399,BK$8:BQ898,3,FALSE())
)</f>
        <v/>
      </c>
      <c r="BU399" s="77" t="str">
        <f aca="false">IF(BI399&gt;BH$7,
    "",
    VLOOKUP(BI399,BK$8:BQ898,4,FALSE())
)</f>
        <v/>
      </c>
      <c r="BV399" s="77" t="str">
        <f aca="false">IF(BI399&gt;BH$7,
    "",
    VLOOKUP(BI399,BK$8:BQ898,5,FALSE())
)</f>
        <v/>
      </c>
      <c r="BW399" s="78" t="str">
        <f aca="false">IF(BI399&gt;BH$7,
    "",
    VLOOKUP(BI399,BK$8:BQ898,6,FALSE())
)</f>
        <v/>
      </c>
      <c r="BX399" s="50"/>
    </row>
    <row r="400" customFormat="false" ht="15.75" hidden="false" customHeight="false" outlineLevel="0" collapsed="false">
      <c r="A400" s="5"/>
      <c r="B400" s="126"/>
      <c r="C400" s="52"/>
      <c r="D400" s="53"/>
      <c r="E400" s="120"/>
      <c r="F400" s="120"/>
      <c r="G400" s="55"/>
      <c r="H400" s="56"/>
      <c r="I400" s="80"/>
      <c r="J400" s="80"/>
      <c r="K400" s="80"/>
      <c r="L400" s="58"/>
      <c r="M400" s="58"/>
      <c r="N400" s="58"/>
      <c r="O400" s="59"/>
      <c r="P400" s="60"/>
      <c r="Q400" s="80"/>
      <c r="R400" s="62"/>
      <c r="S400" s="63"/>
      <c r="T400" s="63" t="str">
        <f aca="false">IF(ISBLANK($C400),"",IF(G400=Constants!$B$2, TRUE(), IF(G400=Constants!$B$3, FALSE(), TRUE())))</f>
        <v/>
      </c>
      <c r="U400" s="63" t="str">
        <f aca="false">IF(ISBLANK($C400),"",IF(H400=Constants!$B$2, TRUE(), IF(H400=Constants!$B$3, FALSE(), TRUE())))</f>
        <v/>
      </c>
      <c r="V400" s="63" t="str">
        <f aca="false">IF(ISBLANK($C400),"",IF(I400=Constants!$B$2, TRUE(), IF(I400=Constants!$B$3, FALSE(), TRUE())))</f>
        <v/>
      </c>
      <c r="W400" s="63" t="str">
        <f aca="false">IF(ISBLANK($C400),"",IF(J400=Constants!$B$2, TRUE(), IF(J400=Constants!$B$3, FALSE(), TRUE())))</f>
        <v/>
      </c>
      <c r="X400" s="63" t="str">
        <f aca="false">IF(ISBLANK($C400),"",IF(K400=Constants!$B$2, TRUE(), IF(K400=Constants!$B$3, FALSE(), TRUE())))</f>
        <v/>
      </c>
      <c r="Y400" s="65" t="str">
        <f aca="false">IF(ISBLANK($C400),"",IF(ISNUMBER(L400), L400, ""))</f>
        <v/>
      </c>
      <c r="Z400" s="65" t="str">
        <f aca="false">IF(ISBLANK($C400),"",IF(ISNUMBER(M400), M400, ""))</f>
        <v/>
      </c>
      <c r="AA400" s="65" t="str">
        <f aca="false">IF(ISBLANK($C400),"",IF(ISNUMBER(N400), N400, ""))</f>
        <v/>
      </c>
      <c r="AB400" s="66" t="str">
        <f aca="false">IF(ISBLANK($C400),"",IF(ISNUMBER(O400), O400, ""))</f>
        <v/>
      </c>
      <c r="AC400" s="66" t="str">
        <f aca="false">IF(ISBLANK($C400),"",IF(ISNUMBER(P400), P400, Constants!$B$13))</f>
        <v/>
      </c>
      <c r="AD400" s="63" t="str">
        <f aca="false">IF(ISBLANK($C400),"",IF(Q400=Constants!$B$2, TRUE(), IF(Q400=Constants!$B$3, FALSE(), FALSE())))</f>
        <v/>
      </c>
      <c r="AE400" s="63" t="str">
        <f aca="false">IF(ISBLANK(C400), "", IF(AD400, Constants!$B$4,IF(COUNTA(G400:O400)=0, Constants!$B$5, Constants!$B$7)))</f>
        <v/>
      </c>
      <c r="AF400" s="63" t="str">
        <f aca="false">IF(ISBLANK($C400), "",IF($AE400=Constants!$B$7,1,$AE400))</f>
        <v/>
      </c>
      <c r="AG400" s="63" t="str">
        <f aca="false">IF($AE400=Constants!$B$7,IF(V400, 1, Constants!$B$11) * IF(X400, 1, Constants!$B$12),"")</f>
        <v/>
      </c>
      <c r="AH400" s="63" t="str">
        <f aca="false">IF(AND($AE400=Constants!$B$7, T400, U400) ,MAX(0, $AA400-$Y400),"")</f>
        <v/>
      </c>
      <c r="AI400" s="63" t="str">
        <f aca="false">IF(ISERROR(AH400),$AI$6,"")</f>
        <v/>
      </c>
      <c r="AJ400" s="63" t="str">
        <f aca="false">IF($AE400=Constants!$B$7,IF(AND(T400,U400,W400),IF($AH$6=0,Constants!$B$9,Constants!$B$9*AH400/$AH$6), 0),"")</f>
        <v/>
      </c>
      <c r="AK400" s="63" t="str">
        <f aca="false">IF(AJ400&lt;&gt;"", AJ400*AG400,"")</f>
        <v/>
      </c>
      <c r="AL400" s="63" t="str">
        <f aca="false">IF(AND($AE400=Constants!$B$7, T400, U400) ,IF($Z400="", "", MAX(0,1-ABS($AA400-$Z400)/$AA400)),"")</f>
        <v/>
      </c>
      <c r="AM400" s="63" t="str">
        <f aca="false">IF(AND(NOT(ISERROR(AH400)),ISERROR(AL400)),$AM$6,"")</f>
        <v/>
      </c>
      <c r="AN400" s="63" t="str">
        <f aca="false">IF($AE400=Constants!$B$7 ,IF(AND(T400,U400,W400,ISNUMBER(Z400)),IF($AL$6=0,Constants!$B$10,Constants!$B$10*AL400/$AL$6), 0),"")</f>
        <v/>
      </c>
      <c r="AO400" s="63" t="str">
        <f aca="false">IF(AN400&lt;&gt;"", AN400*AG400,"")</f>
        <v/>
      </c>
      <c r="AP400" s="63" t="str">
        <f aca="false">IF($AE400=Constants!$B$7,IF($AP$6=0,Constants!$B$8,Constants!$B$8*AB400/$AP$6),"")</f>
        <v/>
      </c>
      <c r="AQ400" s="63" t="str">
        <f aca="false">IF($AE400&lt;&gt;Constants!$B$7,$AE400,AK400+AO400+AP400)</f>
        <v/>
      </c>
      <c r="AR400" s="63" t="str">
        <f aca="false">IF(ISBLANK($C400),"",IF($AE400=Constants!$B$7,RANK(AQ400,$AQ$8:$AQ$507),$AE400))</f>
        <v/>
      </c>
      <c r="AS400" s="63" t="str">
        <f aca="false">IF(ISBLANK($C400), "",AK400)</f>
        <v/>
      </c>
      <c r="AT400" s="63" t="str">
        <f aca="false">IF(ISBLANK($C400),"",IF($AE400=Constants!$B$7,RANK(AS400,AS$8:AS$507),$AE400))</f>
        <v/>
      </c>
      <c r="AU400" s="63" t="str">
        <f aca="false">IF(ISBLANK($C400), "",AP400)</f>
        <v/>
      </c>
      <c r="AV400" s="63" t="str">
        <f aca="false">IF(ISBLANK($C400),"",IF($AE400=Constants!$B$7,RANK(AU400,AU$8:AU$507),$AE400))</f>
        <v/>
      </c>
      <c r="AW400" s="63" t="str">
        <f aca="false">IF(ISBLANK($C400), "",AC400)</f>
        <v/>
      </c>
      <c r="AX400" s="63" t="str">
        <f aca="false">IF(ISBLANK($C400),"",
IF($AE400=Constants!$B$7,
  COUNTIFS($AR$8:$AR$507,"&lt;"&amp;$AR400)
  + COUNTIFS($AR$8:$AR$507,$AR400,$AT$8:$AT$507,"&lt;"&amp;$AT400)
  + COUNTIFS($AR$8:$AR$507,$AR400,$AT$8:$AT$507,$AT400,$AV$8:$AV$507,"&lt;"&amp;$AV400)
  + COUNTIFS($AR$8:$AR$507,$AR400,$AT$8:$AT$507,$AT400,$AV$8:$AV$507,$AV400,$AW$8:$AW$507,"&lt;"&amp;$AW400)
  + 1,
$AE400))</f>
        <v/>
      </c>
      <c r="AY400" s="63" t="str">
        <f aca="false">IF(ISBLANK(C400),"",IF($AE400=Constants!$B$7, AR400-AX400,$AE400))</f>
        <v/>
      </c>
      <c r="AZ400" s="67"/>
      <c r="BA400" s="81" t="str">
        <f aca="false">IF(ISBLANK($C400),"",TRIM(AI400&amp;" "&amp;AM400))</f>
        <v/>
      </c>
      <c r="BB400" s="69" t="str">
        <f aca="false">IF(ISBLANK($C400),"",IF($AE400&lt;&gt;Constants!$B$7, $AE400 ,AQ400))</f>
        <v/>
      </c>
      <c r="BC400" s="70" t="str">
        <f aca="false">IF(ISBLANK($C400),"",IF($AE400&lt;&gt;Constants!$B$7, $AE400 ,AF400))</f>
        <v/>
      </c>
      <c r="BD400" s="71" t="str">
        <f aca="false">IF(ISBLANK(C400),"",AY400)</f>
        <v/>
      </c>
      <c r="BE400" s="71" t="str">
        <f aca="false">IF(ISBLANK(C400),"",AX400)</f>
        <v/>
      </c>
      <c r="BF400" s="72" t="str">
        <f aca="false">IF(ISBLANK(C400),"",IFERROR(_xlfn.SWITCH(BE400, Constants!$B$4, COUNTA($C$8:$C899)+2, Constants!$B$5, COUNTA($C$8:$C899)+1, Constants!$B$6, COUNTA($C$8:$C899)),BE400))</f>
        <v/>
      </c>
      <c r="BG400" s="5"/>
      <c r="BH400" s="73" t="n">
        <f aca="false">IF(OR(ISNUMBER(BE400),BE400="DQ",BE400="P",BE400="NS"),
    1,
    0
)</f>
        <v>0</v>
      </c>
      <c r="BI400" s="73" t="n">
        <v>393</v>
      </c>
      <c r="BJ400" s="73" t="str">
        <f aca="false">IF(ISBLANK($C400),
    "",
   BF400+ROW($B400)/1000
)</f>
        <v/>
      </c>
      <c r="BK400" s="73" t="str">
        <f aca="false">IF(ISNUMBER(BJ400), RANK(BJ400,BJ$8:BJ$507,1), "")</f>
        <v/>
      </c>
      <c r="BL400" s="73" t="str">
        <f aca="false">IF(ISBLANK($C400),
    "",
    $B400
)</f>
        <v/>
      </c>
      <c r="BM400" s="73" t="str">
        <f aca="false">IF(ISBLANK($C400),
    "",
    $C400
)</f>
        <v/>
      </c>
      <c r="BN400" s="73" t="str">
        <f aca="false">IF(ISBLANK($C400),
    "",
    $D400
)</f>
        <v/>
      </c>
      <c r="BO400" s="74" t="str">
        <f aca="false">BC400</f>
        <v/>
      </c>
      <c r="BP400" s="75" t="str">
        <f aca="false">BB400</f>
        <v/>
      </c>
      <c r="BQ400" s="73" t="str">
        <f aca="false">IF(ISBLANK($C400),
    "",
    BE400
)</f>
        <v/>
      </c>
      <c r="BR400" s="76" t="str">
        <f aca="false">IF(BI400&gt;BH$7,
    "",
    VLOOKUP(BI400,BK$8:BQ899,7,FALSE())
)</f>
        <v/>
      </c>
      <c r="BS400" s="77" t="str">
        <f aca="false">IF(BI400&gt;BH$7,
    "",
    VLOOKUP(BI400,BK$8:BQ899,2,FALSE())
)</f>
        <v/>
      </c>
      <c r="BT400" s="77" t="str">
        <f aca="false">IF(BI400&gt;BH$7,
    "",
    VLOOKUP(BI400,BK$8:BQ899,3,FALSE())
)</f>
        <v/>
      </c>
      <c r="BU400" s="77" t="str">
        <f aca="false">IF(BI400&gt;BH$7,
    "",
    VLOOKUP(BI400,BK$8:BQ899,4,FALSE())
)</f>
        <v/>
      </c>
      <c r="BV400" s="77" t="str">
        <f aca="false">IF(BI400&gt;BH$7,
    "",
    VLOOKUP(BI400,BK$8:BQ899,5,FALSE())
)</f>
        <v/>
      </c>
      <c r="BW400" s="78" t="str">
        <f aca="false">IF(BI400&gt;BH$7,
    "",
    VLOOKUP(BI400,BK$8:BQ899,6,FALSE())
)</f>
        <v/>
      </c>
      <c r="BX400" s="50"/>
    </row>
    <row r="401" customFormat="false" ht="15.75" hidden="false" customHeight="false" outlineLevel="0" collapsed="false">
      <c r="A401" s="5"/>
      <c r="B401" s="122"/>
      <c r="C401" s="123"/>
      <c r="D401" s="112"/>
      <c r="E401" s="116"/>
      <c r="F401" s="116"/>
      <c r="G401" s="88"/>
      <c r="H401" s="89"/>
      <c r="I401" s="125"/>
      <c r="J401" s="125"/>
      <c r="K401" s="125"/>
      <c r="L401" s="91"/>
      <c r="M401" s="91"/>
      <c r="N401" s="91"/>
      <c r="O401" s="92"/>
      <c r="P401" s="93"/>
      <c r="Q401" s="125"/>
      <c r="R401" s="95"/>
      <c r="S401" s="96"/>
      <c r="T401" s="96" t="str">
        <f aca="false">IF(ISBLANK($C401),"",IF(G401=Constants!$B$2, TRUE(), IF(G401=Constants!$B$3, FALSE(), TRUE())))</f>
        <v/>
      </c>
      <c r="U401" s="96" t="str">
        <f aca="false">IF(ISBLANK($C401),"",IF(H401=Constants!$B$2, TRUE(), IF(H401=Constants!$B$3, FALSE(), TRUE())))</f>
        <v/>
      </c>
      <c r="V401" s="96" t="str">
        <f aca="false">IF(ISBLANK($C401),"",IF(I401=Constants!$B$2, TRUE(), IF(I401=Constants!$B$3, FALSE(), TRUE())))</f>
        <v/>
      </c>
      <c r="W401" s="96" t="str">
        <f aca="false">IF(ISBLANK($C401),"",IF(J401=Constants!$B$2, TRUE(), IF(J401=Constants!$B$3, FALSE(), TRUE())))</f>
        <v/>
      </c>
      <c r="X401" s="97" t="str">
        <f aca="false">IF(ISBLANK($C401),"",IF(K401=Constants!$B$2, TRUE(), IF(K401=Constants!$B$3, FALSE(), TRUE())))</f>
        <v/>
      </c>
      <c r="Y401" s="98" t="str">
        <f aca="false">IF(ISBLANK($C401),"",IF(ISNUMBER(L401), L401, ""))</f>
        <v/>
      </c>
      <c r="Z401" s="98" t="str">
        <f aca="false">IF(ISBLANK($C401),"",IF(ISNUMBER(M401), M401, ""))</f>
        <v/>
      </c>
      <c r="AA401" s="98" t="str">
        <f aca="false">IF(ISBLANK($C401),"",IF(ISNUMBER(N401), N401, ""))</f>
        <v/>
      </c>
      <c r="AB401" s="99" t="str">
        <f aca="false">IF(ISBLANK($C401),"",IF(ISNUMBER(O401), O401, ""))</f>
        <v/>
      </c>
      <c r="AC401" s="99" t="str">
        <f aca="false">IF(ISBLANK($C401),"",IF(ISNUMBER(P401), P401, Constants!$B$13))</f>
        <v/>
      </c>
      <c r="AD401" s="96" t="str">
        <f aca="false">IF(ISBLANK($C401),"",IF(Q401=Constants!$B$2, TRUE(), IF(Q401=Constants!$B$3, FALSE(), FALSE())))</f>
        <v/>
      </c>
      <c r="AE401" s="96" t="str">
        <f aca="false">IF(ISBLANK(C401), "", IF(AD401, Constants!$B$4,IF(COUNTA(G401:O401)=0, Constants!$B$5, Constants!$B$7)))</f>
        <v/>
      </c>
      <c r="AF401" s="96" t="str">
        <f aca="false">IF(ISBLANK($C401), "",IF($AE401=Constants!$B$7,1,$AE401))</f>
        <v/>
      </c>
      <c r="AG401" s="96" t="str">
        <f aca="false">IF($AE401=Constants!$B$7,IF(V401, 1, Constants!$B$11) * IF(X401, 1, Constants!$B$12),"")</f>
        <v/>
      </c>
      <c r="AH401" s="96" t="str">
        <f aca="false">IF(AND($AE401=Constants!$B$7, T401, U401) ,MAX(0, $AA401-$Y401),"")</f>
        <v/>
      </c>
      <c r="AI401" s="96" t="str">
        <f aca="false">IF(ISERROR(AH401),$AI$6,"")</f>
        <v/>
      </c>
      <c r="AJ401" s="96" t="str">
        <f aca="false">IF($AE401=Constants!$B$7,IF(AND(T401,U401,W401),IF($AH$6=0,Constants!$B$9,Constants!$B$9*AH401/$AH$6), 0),"")</f>
        <v/>
      </c>
      <c r="AK401" s="96" t="str">
        <f aca="false">IF(AJ401&lt;&gt;"", AJ401*AG401,"")</f>
        <v/>
      </c>
      <c r="AL401" s="96" t="str">
        <f aca="false">IF(AND($AE401=Constants!$B$7, T401, U401) ,IF($Z401="", "", MAX(0,1-ABS($AA401-$Z401)/$AA401)),"")</f>
        <v/>
      </c>
      <c r="AM401" s="96" t="str">
        <f aca="false">IF(AND(NOT(ISERROR(AH401)),ISERROR(AL401)),$AM$6,"")</f>
        <v/>
      </c>
      <c r="AN401" s="96" t="str">
        <f aca="false">IF($AE401=Constants!$B$7 ,IF(AND(T401,U401,W401,ISNUMBER(Z401)),IF($AL$6=0,Constants!$B$10,Constants!$B$10*AL401/$AL$6), 0),"")</f>
        <v/>
      </c>
      <c r="AO401" s="96" t="str">
        <f aca="false">IF(AN401&lt;&gt;"", AN401*AG401,"")</f>
        <v/>
      </c>
      <c r="AP401" s="96" t="str">
        <f aca="false">IF($AE401=Constants!$B$7,IF($AP$6=0,Constants!$B$8,Constants!$B$8*AB401/$AP$6),"")</f>
        <v/>
      </c>
      <c r="AQ401" s="96" t="str">
        <f aca="false">IF($AE401&lt;&gt;Constants!$B$7,$AE401,AK401+AO401+AP401)</f>
        <v/>
      </c>
      <c r="AR401" s="96" t="str">
        <f aca="false">IF(ISBLANK($C401),"",IF($AE401=Constants!$B$7,RANK(AQ401,$AQ$8:$AQ$507),$AE401))</f>
        <v/>
      </c>
      <c r="AS401" s="96" t="str">
        <f aca="false">IF(ISBLANK($C401), "",AK401)</f>
        <v/>
      </c>
      <c r="AT401" s="96" t="str">
        <f aca="false">IF(ISBLANK($C401),"",IF($AE401=Constants!$B$7,RANK(AS401,AS$8:AS$507),$AE401))</f>
        <v/>
      </c>
      <c r="AU401" s="96" t="str">
        <f aca="false">IF(ISBLANK($C401), "",AP401)</f>
        <v/>
      </c>
      <c r="AV401" s="96" t="str">
        <f aca="false">IF(ISBLANK($C401),"",IF($AE401=Constants!$B$7,RANK(AU401,AU$8:AU$507),$AE401))</f>
        <v/>
      </c>
      <c r="AW401" s="96" t="str">
        <f aca="false">IF(ISBLANK($C401), "",AC401)</f>
        <v/>
      </c>
      <c r="AX401" s="96" t="str">
        <f aca="false">IF(ISBLANK($C401),"",
IF($AE401=Constants!$B$7,
  COUNTIFS($AR$8:$AR$507,"&lt;"&amp;$AR401)
  + COUNTIFS($AR$8:$AR$507,$AR401,$AT$8:$AT$507,"&lt;"&amp;$AT401)
  + COUNTIFS($AR$8:$AR$507,$AR401,$AT$8:$AT$507,$AT401,$AV$8:$AV$507,"&lt;"&amp;$AV401)
  + COUNTIFS($AR$8:$AR$507,$AR401,$AT$8:$AT$507,$AT401,$AV$8:$AV$507,$AV401,$AW$8:$AW$507,"&lt;"&amp;$AW401)
  + 1,
$AE401))</f>
        <v/>
      </c>
      <c r="AY401" s="96" t="str">
        <f aca="false">IF(ISBLANK(C401),"",IF($AE401=Constants!$B$7, AR401-AX401,$AE401))</f>
        <v/>
      </c>
      <c r="AZ401" s="100"/>
      <c r="BA401" s="101" t="str">
        <f aca="false">IF(ISBLANK($C401),"",TRIM(AI401&amp;" "&amp;AM401))</f>
        <v/>
      </c>
      <c r="BB401" s="102" t="str">
        <f aca="false">IF(ISBLANK($C401),"",IF($AE401&lt;&gt;Constants!$B$7, $AE401 ,AQ401))</f>
        <v/>
      </c>
      <c r="BC401" s="103" t="str">
        <f aca="false">IF(ISBLANK($C401),"",IF($AE401&lt;&gt;Constants!$B$7, $AE401 ,AF401))</f>
        <v/>
      </c>
      <c r="BD401" s="104" t="str">
        <f aca="false">IF(ISBLANK(C401),"",AY401)</f>
        <v/>
      </c>
      <c r="BE401" s="104" t="str">
        <f aca="false">IF(ISBLANK(C401),"",AX401)</f>
        <v/>
      </c>
      <c r="BF401" s="105" t="str">
        <f aca="false">IF(ISBLANK(C401),"",IFERROR(_xlfn.SWITCH(BE401, Constants!$B$4, COUNTA($C$8:$C900)+2, Constants!$B$5, COUNTA($C$8:$C900)+1, Constants!$B$6, COUNTA($C$8:$C900)),BE401))</f>
        <v/>
      </c>
      <c r="BG401" s="5"/>
      <c r="BH401" s="106" t="n">
        <f aca="false">IF(OR(ISNUMBER(BE401),BE401="DQ",BE401="P",BE401="NS"),
    1,
    0
)</f>
        <v>0</v>
      </c>
      <c r="BI401" s="106" t="n">
        <v>394</v>
      </c>
      <c r="BJ401" s="106" t="str">
        <f aca="false">IF(ISBLANK($C401),
    "",
   BF401+ROW($B401)/1000
)</f>
        <v/>
      </c>
      <c r="BK401" s="106" t="str">
        <f aca="false">IF(ISNUMBER(BJ401), RANK(BJ401,BJ$8:BJ$507,1), "")</f>
        <v/>
      </c>
      <c r="BL401" s="106" t="str">
        <f aca="false">IF(ISBLANK($C401),
    "",
    $B401
)</f>
        <v/>
      </c>
      <c r="BM401" s="106" t="str">
        <f aca="false">IF(ISBLANK($C401),
    "",
    $C401
)</f>
        <v/>
      </c>
      <c r="BN401" s="106" t="str">
        <f aca="false">IF(ISBLANK($C401),
    "",
    $D401
)</f>
        <v/>
      </c>
      <c r="BO401" s="107" t="str">
        <f aca="false">BC401</f>
        <v/>
      </c>
      <c r="BP401" s="108" t="str">
        <f aca="false">BB401</f>
        <v/>
      </c>
      <c r="BQ401" s="106" t="str">
        <f aca="false">IF(ISBLANK($C401),
    "",
    BE401
)</f>
        <v/>
      </c>
      <c r="BR401" s="109" t="str">
        <f aca="false">IF(BI401&gt;BH$7,
    "",
    VLOOKUP(BI401,BK$8:BQ900,7,FALSE())
)</f>
        <v/>
      </c>
      <c r="BS401" s="110" t="str">
        <f aca="false">IF(BI401&gt;BH$7,
    "",
    VLOOKUP(BI401,BK$8:BQ900,2,FALSE())
)</f>
        <v/>
      </c>
      <c r="BT401" s="110" t="str">
        <f aca="false">IF(BI401&gt;BH$7,
    "",
    VLOOKUP(BI401,BK$8:BQ900,3,FALSE())
)</f>
        <v/>
      </c>
      <c r="BU401" s="110" t="str">
        <f aca="false">IF(BI401&gt;BH$7,
    "",
    VLOOKUP(BI401,BK$8:BQ900,4,FALSE())
)</f>
        <v/>
      </c>
      <c r="BV401" s="110" t="str">
        <f aca="false">IF(BI401&gt;BH$7,
    "",
    VLOOKUP(BI401,BK$8:BQ900,5,FALSE())
)</f>
        <v/>
      </c>
      <c r="BW401" s="111" t="str">
        <f aca="false">IF(BI401&gt;BH$7,
    "",
    VLOOKUP(BI401,BK$8:BQ900,6,FALSE())
)</f>
        <v/>
      </c>
      <c r="BX401" s="50"/>
    </row>
    <row r="402" customFormat="false" ht="15.75" hidden="false" customHeight="false" outlineLevel="0" collapsed="false">
      <c r="A402" s="5"/>
      <c r="B402" s="122"/>
      <c r="C402" s="123"/>
      <c r="D402" s="112"/>
      <c r="E402" s="116"/>
      <c r="F402" s="116"/>
      <c r="G402" s="88"/>
      <c r="H402" s="89"/>
      <c r="I402" s="125"/>
      <c r="J402" s="125"/>
      <c r="K402" s="125"/>
      <c r="L402" s="91"/>
      <c r="M402" s="91"/>
      <c r="N402" s="91"/>
      <c r="O402" s="92"/>
      <c r="P402" s="93"/>
      <c r="Q402" s="125"/>
      <c r="R402" s="95"/>
      <c r="S402" s="96"/>
      <c r="T402" s="96" t="str">
        <f aca="false">IF(ISBLANK($C402),"",IF(G402=Constants!$B$2, TRUE(), IF(G402=Constants!$B$3, FALSE(), TRUE())))</f>
        <v/>
      </c>
      <c r="U402" s="96" t="str">
        <f aca="false">IF(ISBLANK($C402),"",IF(H402=Constants!$B$2, TRUE(), IF(H402=Constants!$B$3, FALSE(), TRUE())))</f>
        <v/>
      </c>
      <c r="V402" s="96" t="str">
        <f aca="false">IF(ISBLANK($C402),"",IF(I402=Constants!$B$2, TRUE(), IF(I402=Constants!$B$3, FALSE(), TRUE())))</f>
        <v/>
      </c>
      <c r="W402" s="96" t="str">
        <f aca="false">IF(ISBLANK($C402),"",IF(J402=Constants!$B$2, TRUE(), IF(J402=Constants!$B$3, FALSE(), TRUE())))</f>
        <v/>
      </c>
      <c r="X402" s="97" t="str">
        <f aca="false">IF(ISBLANK($C402),"",IF(K402=Constants!$B$2, TRUE(), IF(K402=Constants!$B$3, FALSE(), TRUE())))</f>
        <v/>
      </c>
      <c r="Y402" s="98" t="str">
        <f aca="false">IF(ISBLANK($C402),"",IF(ISNUMBER(L402), L402, ""))</f>
        <v/>
      </c>
      <c r="Z402" s="98" t="str">
        <f aca="false">IF(ISBLANK($C402),"",IF(ISNUMBER(M402), M402, ""))</f>
        <v/>
      </c>
      <c r="AA402" s="98" t="str">
        <f aca="false">IF(ISBLANK($C402),"",IF(ISNUMBER(N402), N402, ""))</f>
        <v/>
      </c>
      <c r="AB402" s="99" t="str">
        <f aca="false">IF(ISBLANK($C402),"",IF(ISNUMBER(O402), O402, ""))</f>
        <v/>
      </c>
      <c r="AC402" s="99" t="str">
        <f aca="false">IF(ISBLANK($C402),"",IF(ISNUMBER(P402), P402, Constants!$B$13))</f>
        <v/>
      </c>
      <c r="AD402" s="96" t="str">
        <f aca="false">IF(ISBLANK($C402),"",IF(Q402=Constants!$B$2, TRUE(), IF(Q402=Constants!$B$3, FALSE(), FALSE())))</f>
        <v/>
      </c>
      <c r="AE402" s="96" t="str">
        <f aca="false">IF(ISBLANK(C402), "", IF(AD402, Constants!$B$4,IF(COUNTA(G402:O402)=0, Constants!$B$5, Constants!$B$7)))</f>
        <v/>
      </c>
      <c r="AF402" s="96" t="str">
        <f aca="false">IF(ISBLANK($C402), "",IF($AE402=Constants!$B$7,1,$AE402))</f>
        <v/>
      </c>
      <c r="AG402" s="96" t="str">
        <f aca="false">IF($AE402=Constants!$B$7,IF(V402, 1, Constants!$B$11) * IF(X402, 1, Constants!$B$12),"")</f>
        <v/>
      </c>
      <c r="AH402" s="96" t="str">
        <f aca="false">IF(AND($AE402=Constants!$B$7, T402, U402) ,MAX(0, $AA402-$Y402),"")</f>
        <v/>
      </c>
      <c r="AI402" s="96" t="str">
        <f aca="false">IF(ISERROR(AH402),$AI$6,"")</f>
        <v/>
      </c>
      <c r="AJ402" s="96" t="str">
        <f aca="false">IF($AE402=Constants!$B$7,IF(AND(T402,U402,W402),IF($AH$6=0,Constants!$B$9,Constants!$B$9*AH402/$AH$6), 0),"")</f>
        <v/>
      </c>
      <c r="AK402" s="96" t="str">
        <f aca="false">IF(AJ402&lt;&gt;"", AJ402*AG402,"")</f>
        <v/>
      </c>
      <c r="AL402" s="96" t="str">
        <f aca="false">IF(AND($AE402=Constants!$B$7, T402, U402) ,IF($Z402="", "", MAX(0,1-ABS($AA402-$Z402)/$AA402)),"")</f>
        <v/>
      </c>
      <c r="AM402" s="96" t="str">
        <f aca="false">IF(AND(NOT(ISERROR(AH402)),ISERROR(AL402)),$AM$6,"")</f>
        <v/>
      </c>
      <c r="AN402" s="96" t="str">
        <f aca="false">IF($AE402=Constants!$B$7 ,IF(AND(T402,U402,W402,ISNUMBER(Z402)),IF($AL$6=0,Constants!$B$10,Constants!$B$10*AL402/$AL$6), 0),"")</f>
        <v/>
      </c>
      <c r="AO402" s="96" t="str">
        <f aca="false">IF(AN402&lt;&gt;"", AN402*AG402,"")</f>
        <v/>
      </c>
      <c r="AP402" s="96" t="str">
        <f aca="false">IF($AE402=Constants!$B$7,IF($AP$6=0,Constants!$B$8,Constants!$B$8*AB402/$AP$6),"")</f>
        <v/>
      </c>
      <c r="AQ402" s="96" t="str">
        <f aca="false">IF($AE402&lt;&gt;Constants!$B$7,$AE402,AK402+AO402+AP402)</f>
        <v/>
      </c>
      <c r="AR402" s="96" t="str">
        <f aca="false">IF(ISBLANK($C402),"",IF($AE402=Constants!$B$7,RANK(AQ402,$AQ$8:$AQ$507),$AE402))</f>
        <v/>
      </c>
      <c r="AS402" s="96" t="str">
        <f aca="false">IF(ISBLANK($C402), "",AK402)</f>
        <v/>
      </c>
      <c r="AT402" s="96" t="str">
        <f aca="false">IF(ISBLANK($C402),"",IF($AE402=Constants!$B$7,RANK(AS402,AS$8:AS$507),$AE402))</f>
        <v/>
      </c>
      <c r="AU402" s="96" t="str">
        <f aca="false">IF(ISBLANK($C402), "",AP402)</f>
        <v/>
      </c>
      <c r="AV402" s="96" t="str">
        <f aca="false">IF(ISBLANK($C402),"",IF($AE402=Constants!$B$7,RANK(AU402,AU$8:AU$507),$AE402))</f>
        <v/>
      </c>
      <c r="AW402" s="96" t="str">
        <f aca="false">IF(ISBLANK($C402), "",AC402)</f>
        <v/>
      </c>
      <c r="AX402" s="96" t="str">
        <f aca="false">IF(ISBLANK($C402),"",
IF($AE402=Constants!$B$7,
  COUNTIFS($AR$8:$AR$507,"&lt;"&amp;$AR402)
  + COUNTIFS($AR$8:$AR$507,$AR402,$AT$8:$AT$507,"&lt;"&amp;$AT402)
  + COUNTIFS($AR$8:$AR$507,$AR402,$AT$8:$AT$507,$AT402,$AV$8:$AV$507,"&lt;"&amp;$AV402)
  + COUNTIFS($AR$8:$AR$507,$AR402,$AT$8:$AT$507,$AT402,$AV$8:$AV$507,$AV402,$AW$8:$AW$507,"&lt;"&amp;$AW402)
  + 1,
$AE402))</f>
        <v/>
      </c>
      <c r="AY402" s="96" t="str">
        <f aca="false">IF(ISBLANK(C402),"",IF($AE402=Constants!$B$7, AR402-AX402,$AE402))</f>
        <v/>
      </c>
      <c r="AZ402" s="100"/>
      <c r="BA402" s="101" t="str">
        <f aca="false">IF(ISBLANK($C402),"",TRIM(AI402&amp;" "&amp;AM402))</f>
        <v/>
      </c>
      <c r="BB402" s="102" t="str">
        <f aca="false">IF(ISBLANK($C402),"",IF($AE402&lt;&gt;Constants!$B$7, $AE402 ,AQ402))</f>
        <v/>
      </c>
      <c r="BC402" s="103" t="str">
        <f aca="false">IF(ISBLANK($C402),"",IF($AE402&lt;&gt;Constants!$B$7, $AE402 ,AF402))</f>
        <v/>
      </c>
      <c r="BD402" s="104" t="str">
        <f aca="false">IF(ISBLANK(C402),"",AY402)</f>
        <v/>
      </c>
      <c r="BE402" s="104" t="str">
        <f aca="false">IF(ISBLANK(C402),"",AX402)</f>
        <v/>
      </c>
      <c r="BF402" s="105" t="str">
        <f aca="false">IF(ISBLANK(C402),"",IFERROR(_xlfn.SWITCH(BE402, Constants!$B$4, COUNTA($C$8:$C901)+2, Constants!$B$5, COUNTA($C$8:$C901)+1, Constants!$B$6, COUNTA($C$8:$C901)),BE402))</f>
        <v/>
      </c>
      <c r="BG402" s="5"/>
      <c r="BH402" s="106" t="n">
        <f aca="false">IF(OR(ISNUMBER(BE402),BE402="DQ",BE402="P",BE402="NS"),
    1,
    0
)</f>
        <v>0</v>
      </c>
      <c r="BI402" s="106" t="n">
        <v>395</v>
      </c>
      <c r="BJ402" s="106" t="str">
        <f aca="false">IF(ISBLANK($C402),
    "",
   BF402+ROW($B402)/1000
)</f>
        <v/>
      </c>
      <c r="BK402" s="106" t="str">
        <f aca="false">IF(ISNUMBER(BJ402), RANK(BJ402,BJ$8:BJ$507,1), "")</f>
        <v/>
      </c>
      <c r="BL402" s="106" t="str">
        <f aca="false">IF(ISBLANK($C402),
    "",
    $B402
)</f>
        <v/>
      </c>
      <c r="BM402" s="106" t="str">
        <f aca="false">IF(ISBLANK($C402),
    "",
    $C402
)</f>
        <v/>
      </c>
      <c r="BN402" s="106" t="str">
        <f aca="false">IF(ISBLANK($C402),
    "",
    $D402
)</f>
        <v/>
      </c>
      <c r="BO402" s="107" t="str">
        <f aca="false">BC402</f>
        <v/>
      </c>
      <c r="BP402" s="108" t="str">
        <f aca="false">BB402</f>
        <v/>
      </c>
      <c r="BQ402" s="106" t="str">
        <f aca="false">IF(ISBLANK($C402),
    "",
    BE402
)</f>
        <v/>
      </c>
      <c r="BR402" s="109" t="str">
        <f aca="false">IF(BI402&gt;BH$7,
    "",
    VLOOKUP(BI402,BK$8:BQ901,7,FALSE())
)</f>
        <v/>
      </c>
      <c r="BS402" s="110" t="str">
        <f aca="false">IF(BI402&gt;BH$7,
    "",
    VLOOKUP(BI402,BK$8:BQ901,2,FALSE())
)</f>
        <v/>
      </c>
      <c r="BT402" s="110" t="str">
        <f aca="false">IF(BI402&gt;BH$7,
    "",
    VLOOKUP(BI402,BK$8:BQ901,3,FALSE())
)</f>
        <v/>
      </c>
      <c r="BU402" s="110" t="str">
        <f aca="false">IF(BI402&gt;BH$7,
    "",
    VLOOKUP(BI402,BK$8:BQ901,4,FALSE())
)</f>
        <v/>
      </c>
      <c r="BV402" s="110" t="str">
        <f aca="false">IF(BI402&gt;BH$7,
    "",
    VLOOKUP(BI402,BK$8:BQ901,5,FALSE())
)</f>
        <v/>
      </c>
      <c r="BW402" s="111" t="str">
        <f aca="false">IF(BI402&gt;BH$7,
    "",
    VLOOKUP(BI402,BK$8:BQ901,6,FALSE())
)</f>
        <v/>
      </c>
      <c r="BX402" s="50"/>
    </row>
    <row r="403" customFormat="false" ht="15.75" hidden="false" customHeight="false" outlineLevel="0" collapsed="false">
      <c r="A403" s="5"/>
      <c r="B403" s="122"/>
      <c r="C403" s="123"/>
      <c r="D403" s="112"/>
      <c r="E403" s="116"/>
      <c r="F403" s="116"/>
      <c r="G403" s="88"/>
      <c r="H403" s="89"/>
      <c r="I403" s="125"/>
      <c r="J403" s="125"/>
      <c r="K403" s="125"/>
      <c r="L403" s="91"/>
      <c r="M403" s="91"/>
      <c r="N403" s="91"/>
      <c r="O403" s="92"/>
      <c r="P403" s="93"/>
      <c r="Q403" s="125"/>
      <c r="R403" s="95"/>
      <c r="S403" s="96"/>
      <c r="T403" s="96" t="str">
        <f aca="false">IF(ISBLANK($C403),"",IF(G403=Constants!$B$2, TRUE(), IF(G403=Constants!$B$3, FALSE(), TRUE())))</f>
        <v/>
      </c>
      <c r="U403" s="96" t="str">
        <f aca="false">IF(ISBLANK($C403),"",IF(H403=Constants!$B$2, TRUE(), IF(H403=Constants!$B$3, FALSE(), TRUE())))</f>
        <v/>
      </c>
      <c r="V403" s="96" t="str">
        <f aca="false">IF(ISBLANK($C403),"",IF(I403=Constants!$B$2, TRUE(), IF(I403=Constants!$B$3, FALSE(), TRUE())))</f>
        <v/>
      </c>
      <c r="W403" s="96" t="str">
        <f aca="false">IF(ISBLANK($C403),"",IF(J403=Constants!$B$2, TRUE(), IF(J403=Constants!$B$3, FALSE(), TRUE())))</f>
        <v/>
      </c>
      <c r="X403" s="97" t="str">
        <f aca="false">IF(ISBLANK($C403),"",IF(K403=Constants!$B$2, TRUE(), IF(K403=Constants!$B$3, FALSE(), TRUE())))</f>
        <v/>
      </c>
      <c r="Y403" s="98" t="str">
        <f aca="false">IF(ISBLANK($C403),"",IF(ISNUMBER(L403), L403, ""))</f>
        <v/>
      </c>
      <c r="Z403" s="98" t="str">
        <f aca="false">IF(ISBLANK($C403),"",IF(ISNUMBER(M403), M403, ""))</f>
        <v/>
      </c>
      <c r="AA403" s="98" t="str">
        <f aca="false">IF(ISBLANK($C403),"",IF(ISNUMBER(N403), N403, ""))</f>
        <v/>
      </c>
      <c r="AB403" s="99" t="str">
        <f aca="false">IF(ISBLANK($C403),"",IF(ISNUMBER(O403), O403, ""))</f>
        <v/>
      </c>
      <c r="AC403" s="99" t="str">
        <f aca="false">IF(ISBLANK($C403),"",IF(ISNUMBER(P403), P403, Constants!$B$13))</f>
        <v/>
      </c>
      <c r="AD403" s="96" t="str">
        <f aca="false">IF(ISBLANK($C403),"",IF(Q403=Constants!$B$2, TRUE(), IF(Q403=Constants!$B$3, FALSE(), FALSE())))</f>
        <v/>
      </c>
      <c r="AE403" s="96" t="str">
        <f aca="false">IF(ISBLANK(C403), "", IF(AD403, Constants!$B$4,IF(COUNTA(G403:O403)=0, Constants!$B$5, Constants!$B$7)))</f>
        <v/>
      </c>
      <c r="AF403" s="96" t="str">
        <f aca="false">IF(ISBLANK($C403), "",IF($AE403=Constants!$B$7,1,$AE403))</f>
        <v/>
      </c>
      <c r="AG403" s="96" t="str">
        <f aca="false">IF($AE403=Constants!$B$7,IF(V403, 1, Constants!$B$11) * IF(X403, 1, Constants!$B$12),"")</f>
        <v/>
      </c>
      <c r="AH403" s="96" t="str">
        <f aca="false">IF(AND($AE403=Constants!$B$7, T403, U403) ,MAX(0, $AA403-$Y403),"")</f>
        <v/>
      </c>
      <c r="AI403" s="96" t="str">
        <f aca="false">IF(ISERROR(AH403),$AI$6,"")</f>
        <v/>
      </c>
      <c r="AJ403" s="96" t="str">
        <f aca="false">IF($AE403=Constants!$B$7,IF(AND(T403,U403,W403),IF($AH$6=0,Constants!$B$9,Constants!$B$9*AH403/$AH$6), 0),"")</f>
        <v/>
      </c>
      <c r="AK403" s="96" t="str">
        <f aca="false">IF(AJ403&lt;&gt;"", AJ403*AG403,"")</f>
        <v/>
      </c>
      <c r="AL403" s="96" t="str">
        <f aca="false">IF(AND($AE403=Constants!$B$7, T403, U403) ,IF($Z403="", "", MAX(0,1-ABS($AA403-$Z403)/$AA403)),"")</f>
        <v/>
      </c>
      <c r="AM403" s="96" t="str">
        <f aca="false">IF(AND(NOT(ISERROR(AH403)),ISERROR(AL403)),$AM$6,"")</f>
        <v/>
      </c>
      <c r="AN403" s="96" t="str">
        <f aca="false">IF($AE403=Constants!$B$7 ,IF(AND(T403,U403,W403,ISNUMBER(Z403)),IF($AL$6=0,Constants!$B$10,Constants!$B$10*AL403/$AL$6), 0),"")</f>
        <v/>
      </c>
      <c r="AO403" s="96" t="str">
        <f aca="false">IF(AN403&lt;&gt;"", AN403*AG403,"")</f>
        <v/>
      </c>
      <c r="AP403" s="96" t="str">
        <f aca="false">IF($AE403=Constants!$B$7,IF($AP$6=0,Constants!$B$8,Constants!$B$8*AB403/$AP$6),"")</f>
        <v/>
      </c>
      <c r="AQ403" s="96" t="str">
        <f aca="false">IF($AE403&lt;&gt;Constants!$B$7,$AE403,AK403+AO403+AP403)</f>
        <v/>
      </c>
      <c r="AR403" s="96" t="str">
        <f aca="false">IF(ISBLANK($C403),"",IF($AE403=Constants!$B$7,RANK(AQ403,$AQ$8:$AQ$507),$AE403))</f>
        <v/>
      </c>
      <c r="AS403" s="96" t="str">
        <f aca="false">IF(ISBLANK($C403), "",AK403)</f>
        <v/>
      </c>
      <c r="AT403" s="96" t="str">
        <f aca="false">IF(ISBLANK($C403),"",IF($AE403=Constants!$B$7,RANK(AS403,AS$8:AS$507),$AE403))</f>
        <v/>
      </c>
      <c r="AU403" s="96" t="str">
        <f aca="false">IF(ISBLANK($C403), "",AP403)</f>
        <v/>
      </c>
      <c r="AV403" s="96" t="str">
        <f aca="false">IF(ISBLANK($C403),"",IF($AE403=Constants!$B$7,RANK(AU403,AU$8:AU$507),$AE403))</f>
        <v/>
      </c>
      <c r="AW403" s="96" t="str">
        <f aca="false">IF(ISBLANK($C403), "",AC403)</f>
        <v/>
      </c>
      <c r="AX403" s="96" t="str">
        <f aca="false">IF(ISBLANK($C403),"",
IF($AE403=Constants!$B$7,
  COUNTIFS($AR$8:$AR$507,"&lt;"&amp;$AR403)
  + COUNTIFS($AR$8:$AR$507,$AR403,$AT$8:$AT$507,"&lt;"&amp;$AT403)
  + COUNTIFS($AR$8:$AR$507,$AR403,$AT$8:$AT$507,$AT403,$AV$8:$AV$507,"&lt;"&amp;$AV403)
  + COUNTIFS($AR$8:$AR$507,$AR403,$AT$8:$AT$507,$AT403,$AV$8:$AV$507,$AV403,$AW$8:$AW$507,"&lt;"&amp;$AW403)
  + 1,
$AE403))</f>
        <v/>
      </c>
      <c r="AY403" s="96" t="str">
        <f aca="false">IF(ISBLANK(C403),"",IF($AE403=Constants!$B$7, AR403-AX403,$AE403))</f>
        <v/>
      </c>
      <c r="AZ403" s="100"/>
      <c r="BA403" s="101" t="str">
        <f aca="false">IF(ISBLANK($C403),"",TRIM(AI403&amp;" "&amp;AM403))</f>
        <v/>
      </c>
      <c r="BB403" s="102" t="str">
        <f aca="false">IF(ISBLANK($C403),"",IF($AE403&lt;&gt;Constants!$B$7, $AE403 ,AQ403))</f>
        <v/>
      </c>
      <c r="BC403" s="103" t="str">
        <f aca="false">IF(ISBLANK($C403),"",IF($AE403&lt;&gt;Constants!$B$7, $AE403 ,AF403))</f>
        <v/>
      </c>
      <c r="BD403" s="104" t="str">
        <f aca="false">IF(ISBLANK(C403),"",AY403)</f>
        <v/>
      </c>
      <c r="BE403" s="104" t="str">
        <f aca="false">IF(ISBLANK(C403),"",AX403)</f>
        <v/>
      </c>
      <c r="BF403" s="105" t="str">
        <f aca="false">IF(ISBLANK(C403),"",IFERROR(_xlfn.SWITCH(BE403, Constants!$B$4, COUNTA($C$8:$C902)+2, Constants!$B$5, COUNTA($C$8:$C902)+1, Constants!$B$6, COUNTA($C$8:$C902)),BE403))</f>
        <v/>
      </c>
      <c r="BG403" s="5"/>
      <c r="BH403" s="106" t="n">
        <f aca="false">IF(OR(ISNUMBER(BE403),BE403="DQ",BE403="P",BE403="NS"),
    1,
    0
)</f>
        <v>0</v>
      </c>
      <c r="BI403" s="106" t="n">
        <v>396</v>
      </c>
      <c r="BJ403" s="106" t="str">
        <f aca="false">IF(ISBLANK($C403),
    "",
   BF403+ROW($B403)/1000
)</f>
        <v/>
      </c>
      <c r="BK403" s="106" t="str">
        <f aca="false">IF(ISNUMBER(BJ403), RANK(BJ403,BJ$8:BJ$507,1), "")</f>
        <v/>
      </c>
      <c r="BL403" s="106" t="str">
        <f aca="false">IF(ISBLANK($C403),
    "",
    $B403
)</f>
        <v/>
      </c>
      <c r="BM403" s="106" t="str">
        <f aca="false">IF(ISBLANK($C403),
    "",
    $C403
)</f>
        <v/>
      </c>
      <c r="BN403" s="106" t="str">
        <f aca="false">IF(ISBLANK($C403),
    "",
    $D403
)</f>
        <v/>
      </c>
      <c r="BO403" s="107" t="str">
        <f aca="false">BC403</f>
        <v/>
      </c>
      <c r="BP403" s="108" t="str">
        <f aca="false">BB403</f>
        <v/>
      </c>
      <c r="BQ403" s="106" t="str">
        <f aca="false">IF(ISBLANK($C403),
    "",
    BE403
)</f>
        <v/>
      </c>
      <c r="BR403" s="109" t="str">
        <f aca="false">IF(BI403&gt;BH$7,
    "",
    VLOOKUP(BI403,BK$8:BQ902,7,FALSE())
)</f>
        <v/>
      </c>
      <c r="BS403" s="110" t="str">
        <f aca="false">IF(BI403&gt;BH$7,
    "",
    VLOOKUP(BI403,BK$8:BQ902,2,FALSE())
)</f>
        <v/>
      </c>
      <c r="BT403" s="110" t="str">
        <f aca="false">IF(BI403&gt;BH$7,
    "",
    VLOOKUP(BI403,BK$8:BQ902,3,FALSE())
)</f>
        <v/>
      </c>
      <c r="BU403" s="110" t="str">
        <f aca="false">IF(BI403&gt;BH$7,
    "",
    VLOOKUP(BI403,BK$8:BQ902,4,FALSE())
)</f>
        <v/>
      </c>
      <c r="BV403" s="110" t="str">
        <f aca="false">IF(BI403&gt;BH$7,
    "",
    VLOOKUP(BI403,BK$8:BQ902,5,FALSE())
)</f>
        <v/>
      </c>
      <c r="BW403" s="111" t="str">
        <f aca="false">IF(BI403&gt;BH$7,
    "",
    VLOOKUP(BI403,BK$8:BQ902,6,FALSE())
)</f>
        <v/>
      </c>
      <c r="BX403" s="50"/>
    </row>
    <row r="404" customFormat="false" ht="15.75" hidden="false" customHeight="false" outlineLevel="0" collapsed="false">
      <c r="A404" s="5"/>
      <c r="B404" s="126"/>
      <c r="C404" s="52"/>
      <c r="D404" s="53"/>
      <c r="E404" s="120"/>
      <c r="F404" s="120"/>
      <c r="G404" s="55"/>
      <c r="H404" s="56"/>
      <c r="I404" s="80"/>
      <c r="J404" s="80"/>
      <c r="K404" s="80"/>
      <c r="L404" s="58"/>
      <c r="M404" s="58"/>
      <c r="N404" s="58"/>
      <c r="O404" s="59"/>
      <c r="P404" s="60"/>
      <c r="Q404" s="80"/>
      <c r="R404" s="62"/>
      <c r="S404" s="63"/>
      <c r="T404" s="63" t="str">
        <f aca="false">IF(ISBLANK($C404),"",IF(G404=Constants!$B$2, TRUE(), IF(G404=Constants!$B$3, FALSE(), TRUE())))</f>
        <v/>
      </c>
      <c r="U404" s="63" t="str">
        <f aca="false">IF(ISBLANK($C404),"",IF(H404=Constants!$B$2, TRUE(), IF(H404=Constants!$B$3, FALSE(), TRUE())))</f>
        <v/>
      </c>
      <c r="V404" s="63" t="str">
        <f aca="false">IF(ISBLANK($C404),"",IF(I404=Constants!$B$2, TRUE(), IF(I404=Constants!$B$3, FALSE(), TRUE())))</f>
        <v/>
      </c>
      <c r="W404" s="63" t="str">
        <f aca="false">IF(ISBLANK($C404),"",IF(J404=Constants!$B$2, TRUE(), IF(J404=Constants!$B$3, FALSE(), TRUE())))</f>
        <v/>
      </c>
      <c r="X404" s="63" t="str">
        <f aca="false">IF(ISBLANK($C404),"",IF(K404=Constants!$B$2, TRUE(), IF(K404=Constants!$B$3, FALSE(), TRUE())))</f>
        <v/>
      </c>
      <c r="Y404" s="65" t="str">
        <f aca="false">IF(ISBLANK($C404),"",IF(ISNUMBER(L404), L404, ""))</f>
        <v/>
      </c>
      <c r="Z404" s="65" t="str">
        <f aca="false">IF(ISBLANK($C404),"",IF(ISNUMBER(M404), M404, ""))</f>
        <v/>
      </c>
      <c r="AA404" s="65" t="str">
        <f aca="false">IF(ISBLANK($C404),"",IF(ISNUMBER(N404), N404, ""))</f>
        <v/>
      </c>
      <c r="AB404" s="66" t="str">
        <f aca="false">IF(ISBLANK($C404),"",IF(ISNUMBER(O404), O404, ""))</f>
        <v/>
      </c>
      <c r="AC404" s="66" t="str">
        <f aca="false">IF(ISBLANK($C404),"",IF(ISNUMBER(P404), P404, Constants!$B$13))</f>
        <v/>
      </c>
      <c r="AD404" s="63" t="str">
        <f aca="false">IF(ISBLANK($C404),"",IF(Q404=Constants!$B$2, TRUE(), IF(Q404=Constants!$B$3, FALSE(), FALSE())))</f>
        <v/>
      </c>
      <c r="AE404" s="63" t="str">
        <f aca="false">IF(ISBLANK(C404), "", IF(AD404, Constants!$B$4,IF(COUNTA(G404:O404)=0, Constants!$B$5, Constants!$B$7)))</f>
        <v/>
      </c>
      <c r="AF404" s="63" t="str">
        <f aca="false">IF(ISBLANK($C404), "",IF($AE404=Constants!$B$7,1,$AE404))</f>
        <v/>
      </c>
      <c r="AG404" s="63" t="str">
        <f aca="false">IF($AE404=Constants!$B$7,IF(V404, 1, Constants!$B$11) * IF(X404, 1, Constants!$B$12),"")</f>
        <v/>
      </c>
      <c r="AH404" s="63" t="str">
        <f aca="false">IF(AND($AE404=Constants!$B$7, T404, U404) ,MAX(0, $AA404-$Y404),"")</f>
        <v/>
      </c>
      <c r="AI404" s="63" t="str">
        <f aca="false">IF(ISERROR(AH404),$AI$6,"")</f>
        <v/>
      </c>
      <c r="AJ404" s="63" t="str">
        <f aca="false">IF($AE404=Constants!$B$7,IF(AND(T404,U404,W404),IF($AH$6=0,Constants!$B$9,Constants!$B$9*AH404/$AH$6), 0),"")</f>
        <v/>
      </c>
      <c r="AK404" s="63" t="str">
        <f aca="false">IF(AJ404&lt;&gt;"", AJ404*AG404,"")</f>
        <v/>
      </c>
      <c r="AL404" s="63" t="str">
        <f aca="false">IF(AND($AE404=Constants!$B$7, T404, U404) ,IF($Z404="", "", MAX(0,1-ABS($AA404-$Z404)/$AA404)),"")</f>
        <v/>
      </c>
      <c r="AM404" s="63" t="str">
        <f aca="false">IF(AND(NOT(ISERROR(AH404)),ISERROR(AL404)),$AM$6,"")</f>
        <v/>
      </c>
      <c r="AN404" s="63" t="str">
        <f aca="false">IF($AE404=Constants!$B$7 ,IF(AND(T404,U404,W404,ISNUMBER(Z404)),IF($AL$6=0,Constants!$B$10,Constants!$B$10*AL404/$AL$6), 0),"")</f>
        <v/>
      </c>
      <c r="AO404" s="63" t="str">
        <f aca="false">IF(AN404&lt;&gt;"", AN404*AG404,"")</f>
        <v/>
      </c>
      <c r="AP404" s="63" t="str">
        <f aca="false">IF($AE404=Constants!$B$7,IF($AP$6=0,Constants!$B$8,Constants!$B$8*AB404/$AP$6),"")</f>
        <v/>
      </c>
      <c r="AQ404" s="63" t="str">
        <f aca="false">IF($AE404&lt;&gt;Constants!$B$7,$AE404,AK404+AO404+AP404)</f>
        <v/>
      </c>
      <c r="AR404" s="63" t="str">
        <f aca="false">IF(ISBLANK($C404),"",IF($AE404=Constants!$B$7,RANK(AQ404,$AQ$8:$AQ$507),$AE404))</f>
        <v/>
      </c>
      <c r="AS404" s="63" t="str">
        <f aca="false">IF(ISBLANK($C404), "",AK404)</f>
        <v/>
      </c>
      <c r="AT404" s="63" t="str">
        <f aca="false">IF(ISBLANK($C404),"",IF($AE404=Constants!$B$7,RANK(AS404,AS$8:AS$507),$AE404))</f>
        <v/>
      </c>
      <c r="AU404" s="63" t="str">
        <f aca="false">IF(ISBLANK($C404), "",AP404)</f>
        <v/>
      </c>
      <c r="AV404" s="63" t="str">
        <f aca="false">IF(ISBLANK($C404),"",IF($AE404=Constants!$B$7,RANK(AU404,AU$8:AU$507),$AE404))</f>
        <v/>
      </c>
      <c r="AW404" s="63" t="str">
        <f aca="false">IF(ISBLANK($C404), "",AC404)</f>
        <v/>
      </c>
      <c r="AX404" s="63" t="str">
        <f aca="false">IF(ISBLANK($C404),"",
IF($AE404=Constants!$B$7,
  COUNTIFS($AR$8:$AR$507,"&lt;"&amp;$AR404)
  + COUNTIFS($AR$8:$AR$507,$AR404,$AT$8:$AT$507,"&lt;"&amp;$AT404)
  + COUNTIFS($AR$8:$AR$507,$AR404,$AT$8:$AT$507,$AT404,$AV$8:$AV$507,"&lt;"&amp;$AV404)
  + COUNTIFS($AR$8:$AR$507,$AR404,$AT$8:$AT$507,$AT404,$AV$8:$AV$507,$AV404,$AW$8:$AW$507,"&lt;"&amp;$AW404)
  + 1,
$AE404))</f>
        <v/>
      </c>
      <c r="AY404" s="63" t="str">
        <f aca="false">IF(ISBLANK(C404),"",IF($AE404=Constants!$B$7, AR404-AX404,$AE404))</f>
        <v/>
      </c>
      <c r="AZ404" s="67"/>
      <c r="BA404" s="81" t="str">
        <f aca="false">IF(ISBLANK($C404),"",TRIM(AI404&amp;" "&amp;AM404))</f>
        <v/>
      </c>
      <c r="BB404" s="69" t="str">
        <f aca="false">IF(ISBLANK($C404),"",IF($AE404&lt;&gt;Constants!$B$7, $AE404 ,AQ404))</f>
        <v/>
      </c>
      <c r="BC404" s="70" t="str">
        <f aca="false">IF(ISBLANK($C404),"",IF($AE404&lt;&gt;Constants!$B$7, $AE404 ,AF404))</f>
        <v/>
      </c>
      <c r="BD404" s="71" t="str">
        <f aca="false">IF(ISBLANK(C404),"",AY404)</f>
        <v/>
      </c>
      <c r="BE404" s="71" t="str">
        <f aca="false">IF(ISBLANK(C404),"",AX404)</f>
        <v/>
      </c>
      <c r="BF404" s="72" t="str">
        <f aca="false">IF(ISBLANK(C404),"",IFERROR(_xlfn.SWITCH(BE404, Constants!$B$4, COUNTA($C$8:$C903)+2, Constants!$B$5, COUNTA($C$8:$C903)+1, Constants!$B$6, COUNTA($C$8:$C903)),BE404))</f>
        <v/>
      </c>
      <c r="BG404" s="5"/>
      <c r="BH404" s="73" t="n">
        <f aca="false">IF(OR(ISNUMBER(BE404),BE404="DQ",BE404="P",BE404="NS"),
    1,
    0
)</f>
        <v>0</v>
      </c>
      <c r="BI404" s="73" t="n">
        <v>397</v>
      </c>
      <c r="BJ404" s="73" t="str">
        <f aca="false">IF(ISBLANK($C404),
    "",
   BF404+ROW($B404)/1000
)</f>
        <v/>
      </c>
      <c r="BK404" s="73" t="str">
        <f aca="false">IF(ISNUMBER(BJ404), RANK(BJ404,BJ$8:BJ$507,1), "")</f>
        <v/>
      </c>
      <c r="BL404" s="73" t="str">
        <f aca="false">IF(ISBLANK($C404),
    "",
    $B404
)</f>
        <v/>
      </c>
      <c r="BM404" s="73" t="str">
        <f aca="false">IF(ISBLANK($C404),
    "",
    $C404
)</f>
        <v/>
      </c>
      <c r="BN404" s="73" t="str">
        <f aca="false">IF(ISBLANK($C404),
    "",
    $D404
)</f>
        <v/>
      </c>
      <c r="BO404" s="74" t="str">
        <f aca="false">BC404</f>
        <v/>
      </c>
      <c r="BP404" s="75" t="str">
        <f aca="false">BB404</f>
        <v/>
      </c>
      <c r="BQ404" s="73" t="str">
        <f aca="false">IF(ISBLANK($C404),
    "",
    BE404
)</f>
        <v/>
      </c>
      <c r="BR404" s="76" t="str">
        <f aca="false">IF(BI404&gt;BH$7,
    "",
    VLOOKUP(BI404,BK$8:BQ903,7,FALSE())
)</f>
        <v/>
      </c>
      <c r="BS404" s="77" t="str">
        <f aca="false">IF(BI404&gt;BH$7,
    "",
    VLOOKUP(BI404,BK$8:BQ903,2,FALSE())
)</f>
        <v/>
      </c>
      <c r="BT404" s="77" t="str">
        <f aca="false">IF(BI404&gt;BH$7,
    "",
    VLOOKUP(BI404,BK$8:BQ903,3,FALSE())
)</f>
        <v/>
      </c>
      <c r="BU404" s="77" t="str">
        <f aca="false">IF(BI404&gt;BH$7,
    "",
    VLOOKUP(BI404,BK$8:BQ903,4,FALSE())
)</f>
        <v/>
      </c>
      <c r="BV404" s="77" t="str">
        <f aca="false">IF(BI404&gt;BH$7,
    "",
    VLOOKUP(BI404,BK$8:BQ903,5,FALSE())
)</f>
        <v/>
      </c>
      <c r="BW404" s="78" t="str">
        <f aca="false">IF(BI404&gt;BH$7,
    "",
    VLOOKUP(BI404,BK$8:BQ903,6,FALSE())
)</f>
        <v/>
      </c>
      <c r="BX404" s="50"/>
    </row>
    <row r="405" customFormat="false" ht="15.75" hidden="false" customHeight="false" outlineLevel="0" collapsed="false">
      <c r="A405" s="5"/>
      <c r="B405" s="126"/>
      <c r="C405" s="52"/>
      <c r="D405" s="53"/>
      <c r="E405" s="120"/>
      <c r="F405" s="120"/>
      <c r="G405" s="55"/>
      <c r="H405" s="56"/>
      <c r="I405" s="80"/>
      <c r="J405" s="80"/>
      <c r="K405" s="80"/>
      <c r="L405" s="58"/>
      <c r="M405" s="58"/>
      <c r="N405" s="58"/>
      <c r="O405" s="59"/>
      <c r="P405" s="60"/>
      <c r="Q405" s="80"/>
      <c r="R405" s="62"/>
      <c r="S405" s="63"/>
      <c r="T405" s="63" t="str">
        <f aca="false">IF(ISBLANK($C405),"",IF(G405=Constants!$B$2, TRUE(), IF(G405=Constants!$B$3, FALSE(), TRUE())))</f>
        <v/>
      </c>
      <c r="U405" s="63" t="str">
        <f aca="false">IF(ISBLANK($C405),"",IF(H405=Constants!$B$2, TRUE(), IF(H405=Constants!$B$3, FALSE(), TRUE())))</f>
        <v/>
      </c>
      <c r="V405" s="63" t="str">
        <f aca="false">IF(ISBLANK($C405),"",IF(I405=Constants!$B$2, TRUE(), IF(I405=Constants!$B$3, FALSE(), TRUE())))</f>
        <v/>
      </c>
      <c r="W405" s="63" t="str">
        <f aca="false">IF(ISBLANK($C405),"",IF(J405=Constants!$B$2, TRUE(), IF(J405=Constants!$B$3, FALSE(), TRUE())))</f>
        <v/>
      </c>
      <c r="X405" s="63" t="str">
        <f aca="false">IF(ISBLANK($C405),"",IF(K405=Constants!$B$2, TRUE(), IF(K405=Constants!$B$3, FALSE(), TRUE())))</f>
        <v/>
      </c>
      <c r="Y405" s="65" t="str">
        <f aca="false">IF(ISBLANK($C405),"",IF(ISNUMBER(L405), L405, ""))</f>
        <v/>
      </c>
      <c r="Z405" s="65" t="str">
        <f aca="false">IF(ISBLANK($C405),"",IF(ISNUMBER(M405), M405, ""))</f>
        <v/>
      </c>
      <c r="AA405" s="65" t="str">
        <f aca="false">IF(ISBLANK($C405),"",IF(ISNUMBER(N405), N405, ""))</f>
        <v/>
      </c>
      <c r="AB405" s="66" t="str">
        <f aca="false">IF(ISBLANK($C405),"",IF(ISNUMBER(O405), O405, ""))</f>
        <v/>
      </c>
      <c r="AC405" s="66" t="str">
        <f aca="false">IF(ISBLANK($C405),"",IF(ISNUMBER(P405), P405, Constants!$B$13))</f>
        <v/>
      </c>
      <c r="AD405" s="63" t="str">
        <f aca="false">IF(ISBLANK($C405),"",IF(Q405=Constants!$B$2, TRUE(), IF(Q405=Constants!$B$3, FALSE(), FALSE())))</f>
        <v/>
      </c>
      <c r="AE405" s="63" t="str">
        <f aca="false">IF(ISBLANK(C405), "", IF(AD405, Constants!$B$4,IF(COUNTA(G405:O405)=0, Constants!$B$5, Constants!$B$7)))</f>
        <v/>
      </c>
      <c r="AF405" s="63" t="str">
        <f aca="false">IF(ISBLANK($C405), "",IF($AE405=Constants!$B$7,1,$AE405))</f>
        <v/>
      </c>
      <c r="AG405" s="63" t="str">
        <f aca="false">IF($AE405=Constants!$B$7,IF(V405, 1, Constants!$B$11) * IF(X405, 1, Constants!$B$12),"")</f>
        <v/>
      </c>
      <c r="AH405" s="63" t="str">
        <f aca="false">IF(AND($AE405=Constants!$B$7, T405, U405) ,MAX(0, $AA405-$Y405),"")</f>
        <v/>
      </c>
      <c r="AI405" s="63" t="str">
        <f aca="false">IF(ISERROR(AH405),$AI$6,"")</f>
        <v/>
      </c>
      <c r="AJ405" s="63" t="str">
        <f aca="false">IF($AE405=Constants!$B$7,IF(AND(T405,U405,W405),IF($AH$6=0,Constants!$B$9,Constants!$B$9*AH405/$AH$6), 0),"")</f>
        <v/>
      </c>
      <c r="AK405" s="63" t="str">
        <f aca="false">IF(AJ405&lt;&gt;"", AJ405*AG405,"")</f>
        <v/>
      </c>
      <c r="AL405" s="63" t="str">
        <f aca="false">IF(AND($AE405=Constants!$B$7, T405, U405) ,IF($Z405="", "", MAX(0,1-ABS($AA405-$Z405)/$AA405)),"")</f>
        <v/>
      </c>
      <c r="AM405" s="63" t="str">
        <f aca="false">IF(AND(NOT(ISERROR(AH405)),ISERROR(AL405)),$AM$6,"")</f>
        <v/>
      </c>
      <c r="AN405" s="63" t="str">
        <f aca="false">IF($AE405=Constants!$B$7 ,IF(AND(T405,U405,W405,ISNUMBER(Z405)),IF($AL$6=0,Constants!$B$10,Constants!$B$10*AL405/$AL$6), 0),"")</f>
        <v/>
      </c>
      <c r="AO405" s="63" t="str">
        <f aca="false">IF(AN405&lt;&gt;"", AN405*AG405,"")</f>
        <v/>
      </c>
      <c r="AP405" s="63" t="str">
        <f aca="false">IF($AE405=Constants!$B$7,IF($AP$6=0,Constants!$B$8,Constants!$B$8*AB405/$AP$6),"")</f>
        <v/>
      </c>
      <c r="AQ405" s="63" t="str">
        <f aca="false">IF($AE405&lt;&gt;Constants!$B$7,$AE405,AK405+AO405+AP405)</f>
        <v/>
      </c>
      <c r="AR405" s="63" t="str">
        <f aca="false">IF(ISBLANK($C405),"",IF($AE405=Constants!$B$7,RANK(AQ405,$AQ$8:$AQ$507),$AE405))</f>
        <v/>
      </c>
      <c r="AS405" s="63" t="str">
        <f aca="false">IF(ISBLANK($C405), "",AK405)</f>
        <v/>
      </c>
      <c r="AT405" s="63" t="str">
        <f aca="false">IF(ISBLANK($C405),"",IF($AE405=Constants!$B$7,RANK(AS405,AS$8:AS$507),$AE405))</f>
        <v/>
      </c>
      <c r="AU405" s="63" t="str">
        <f aca="false">IF(ISBLANK($C405), "",AP405)</f>
        <v/>
      </c>
      <c r="AV405" s="63" t="str">
        <f aca="false">IF(ISBLANK($C405),"",IF($AE405=Constants!$B$7,RANK(AU405,AU$8:AU$507),$AE405))</f>
        <v/>
      </c>
      <c r="AW405" s="63" t="str">
        <f aca="false">IF(ISBLANK($C405), "",AC405)</f>
        <v/>
      </c>
      <c r="AX405" s="63" t="str">
        <f aca="false">IF(ISBLANK($C405),"",
IF($AE405=Constants!$B$7,
  COUNTIFS($AR$8:$AR$507,"&lt;"&amp;$AR405)
  + COUNTIFS($AR$8:$AR$507,$AR405,$AT$8:$AT$507,"&lt;"&amp;$AT405)
  + COUNTIFS($AR$8:$AR$507,$AR405,$AT$8:$AT$507,$AT405,$AV$8:$AV$507,"&lt;"&amp;$AV405)
  + COUNTIFS($AR$8:$AR$507,$AR405,$AT$8:$AT$507,$AT405,$AV$8:$AV$507,$AV405,$AW$8:$AW$507,"&lt;"&amp;$AW405)
  + 1,
$AE405))</f>
        <v/>
      </c>
      <c r="AY405" s="63" t="str">
        <f aca="false">IF(ISBLANK(C405),"",IF($AE405=Constants!$B$7, AR405-AX405,$AE405))</f>
        <v/>
      </c>
      <c r="AZ405" s="67"/>
      <c r="BA405" s="81" t="str">
        <f aca="false">IF(ISBLANK($C405),"",TRIM(AI405&amp;" "&amp;AM405))</f>
        <v/>
      </c>
      <c r="BB405" s="69" t="str">
        <f aca="false">IF(ISBLANK($C405),"",IF($AE405&lt;&gt;Constants!$B$7, $AE405 ,AQ405))</f>
        <v/>
      </c>
      <c r="BC405" s="70" t="str">
        <f aca="false">IF(ISBLANK($C405),"",IF($AE405&lt;&gt;Constants!$B$7, $AE405 ,AF405))</f>
        <v/>
      </c>
      <c r="BD405" s="71" t="str">
        <f aca="false">IF(ISBLANK(C405),"",AY405)</f>
        <v/>
      </c>
      <c r="BE405" s="71" t="str">
        <f aca="false">IF(ISBLANK(C405),"",AX405)</f>
        <v/>
      </c>
      <c r="BF405" s="72" t="str">
        <f aca="false">IF(ISBLANK(C405),"",IFERROR(_xlfn.SWITCH(BE405, Constants!$B$4, COUNTA($C$8:$C904)+2, Constants!$B$5, COUNTA($C$8:$C904)+1, Constants!$B$6, COUNTA($C$8:$C904)),BE405))</f>
        <v/>
      </c>
      <c r="BG405" s="5"/>
      <c r="BH405" s="73" t="n">
        <f aca="false">IF(OR(ISNUMBER(BE405),BE405="DQ",BE405="P",BE405="NS"),
    1,
    0
)</f>
        <v>0</v>
      </c>
      <c r="BI405" s="73" t="n">
        <v>398</v>
      </c>
      <c r="BJ405" s="73" t="str">
        <f aca="false">IF(ISBLANK($C405),
    "",
   BF405+ROW($B405)/1000
)</f>
        <v/>
      </c>
      <c r="BK405" s="73" t="str">
        <f aca="false">IF(ISNUMBER(BJ405), RANK(BJ405,BJ$8:BJ$507,1), "")</f>
        <v/>
      </c>
      <c r="BL405" s="73" t="str">
        <f aca="false">IF(ISBLANK($C405),
    "",
    $B405
)</f>
        <v/>
      </c>
      <c r="BM405" s="73" t="str">
        <f aca="false">IF(ISBLANK($C405),
    "",
    $C405
)</f>
        <v/>
      </c>
      <c r="BN405" s="73" t="str">
        <f aca="false">IF(ISBLANK($C405),
    "",
    $D405
)</f>
        <v/>
      </c>
      <c r="BO405" s="74" t="str">
        <f aca="false">BC405</f>
        <v/>
      </c>
      <c r="BP405" s="75" t="str">
        <f aca="false">BB405</f>
        <v/>
      </c>
      <c r="BQ405" s="73" t="str">
        <f aca="false">IF(ISBLANK($C405),
    "",
    BE405
)</f>
        <v/>
      </c>
      <c r="BR405" s="76" t="str">
        <f aca="false">IF(BI405&gt;BH$7,
    "",
    VLOOKUP(BI405,BK$8:BQ904,7,FALSE())
)</f>
        <v/>
      </c>
      <c r="BS405" s="77" t="str">
        <f aca="false">IF(BI405&gt;BH$7,
    "",
    VLOOKUP(BI405,BK$8:BQ904,2,FALSE())
)</f>
        <v/>
      </c>
      <c r="BT405" s="77" t="str">
        <f aca="false">IF(BI405&gt;BH$7,
    "",
    VLOOKUP(BI405,BK$8:BQ904,3,FALSE())
)</f>
        <v/>
      </c>
      <c r="BU405" s="77" t="str">
        <f aca="false">IF(BI405&gt;BH$7,
    "",
    VLOOKUP(BI405,BK$8:BQ904,4,FALSE())
)</f>
        <v/>
      </c>
      <c r="BV405" s="77" t="str">
        <f aca="false">IF(BI405&gt;BH$7,
    "",
    VLOOKUP(BI405,BK$8:BQ904,5,FALSE())
)</f>
        <v/>
      </c>
      <c r="BW405" s="78" t="str">
        <f aca="false">IF(BI405&gt;BH$7,
    "",
    VLOOKUP(BI405,BK$8:BQ904,6,FALSE())
)</f>
        <v/>
      </c>
      <c r="BX405" s="50"/>
    </row>
    <row r="406" customFormat="false" ht="15.75" hidden="false" customHeight="false" outlineLevel="0" collapsed="false">
      <c r="A406" s="5"/>
      <c r="B406" s="126"/>
      <c r="C406" s="52"/>
      <c r="D406" s="53"/>
      <c r="E406" s="120"/>
      <c r="F406" s="120"/>
      <c r="G406" s="55"/>
      <c r="H406" s="56"/>
      <c r="I406" s="80"/>
      <c r="J406" s="80"/>
      <c r="K406" s="80"/>
      <c r="L406" s="58"/>
      <c r="M406" s="58"/>
      <c r="N406" s="58"/>
      <c r="O406" s="59"/>
      <c r="P406" s="60"/>
      <c r="Q406" s="80"/>
      <c r="R406" s="62"/>
      <c r="S406" s="63"/>
      <c r="T406" s="63" t="str">
        <f aca="false">IF(ISBLANK($C406),"",IF(G406=Constants!$B$2, TRUE(), IF(G406=Constants!$B$3, FALSE(), TRUE())))</f>
        <v/>
      </c>
      <c r="U406" s="63" t="str">
        <f aca="false">IF(ISBLANK($C406),"",IF(H406=Constants!$B$2, TRUE(), IF(H406=Constants!$B$3, FALSE(), TRUE())))</f>
        <v/>
      </c>
      <c r="V406" s="63" t="str">
        <f aca="false">IF(ISBLANK($C406),"",IF(I406=Constants!$B$2, TRUE(), IF(I406=Constants!$B$3, FALSE(), TRUE())))</f>
        <v/>
      </c>
      <c r="W406" s="63" t="str">
        <f aca="false">IF(ISBLANK($C406),"",IF(J406=Constants!$B$2, TRUE(), IF(J406=Constants!$B$3, FALSE(), TRUE())))</f>
        <v/>
      </c>
      <c r="X406" s="63" t="str">
        <f aca="false">IF(ISBLANK($C406),"",IF(K406=Constants!$B$2, TRUE(), IF(K406=Constants!$B$3, FALSE(), TRUE())))</f>
        <v/>
      </c>
      <c r="Y406" s="65" t="str">
        <f aca="false">IF(ISBLANK($C406),"",IF(ISNUMBER(L406), L406, ""))</f>
        <v/>
      </c>
      <c r="Z406" s="65" t="str">
        <f aca="false">IF(ISBLANK($C406),"",IF(ISNUMBER(M406), M406, ""))</f>
        <v/>
      </c>
      <c r="AA406" s="65" t="str">
        <f aca="false">IF(ISBLANK($C406),"",IF(ISNUMBER(N406), N406, ""))</f>
        <v/>
      </c>
      <c r="AB406" s="66" t="str">
        <f aca="false">IF(ISBLANK($C406),"",IF(ISNUMBER(O406), O406, ""))</f>
        <v/>
      </c>
      <c r="AC406" s="66" t="str">
        <f aca="false">IF(ISBLANK($C406),"",IF(ISNUMBER(P406), P406, Constants!$B$13))</f>
        <v/>
      </c>
      <c r="AD406" s="63" t="str">
        <f aca="false">IF(ISBLANK($C406),"",IF(Q406=Constants!$B$2, TRUE(), IF(Q406=Constants!$B$3, FALSE(), FALSE())))</f>
        <v/>
      </c>
      <c r="AE406" s="63" t="str">
        <f aca="false">IF(ISBLANK(C406), "", IF(AD406, Constants!$B$4,IF(COUNTA(G406:O406)=0, Constants!$B$5, Constants!$B$7)))</f>
        <v/>
      </c>
      <c r="AF406" s="63" t="str">
        <f aca="false">IF(ISBLANK($C406), "",IF($AE406=Constants!$B$7,1,$AE406))</f>
        <v/>
      </c>
      <c r="AG406" s="63" t="str">
        <f aca="false">IF($AE406=Constants!$B$7,IF(V406, 1, Constants!$B$11) * IF(X406, 1, Constants!$B$12),"")</f>
        <v/>
      </c>
      <c r="AH406" s="63" t="str">
        <f aca="false">IF(AND($AE406=Constants!$B$7, T406, U406) ,MAX(0, $AA406-$Y406),"")</f>
        <v/>
      </c>
      <c r="AI406" s="63" t="str">
        <f aca="false">IF(ISERROR(AH406),$AI$6,"")</f>
        <v/>
      </c>
      <c r="AJ406" s="63" t="str">
        <f aca="false">IF($AE406=Constants!$B$7,IF(AND(T406,U406,W406),IF($AH$6=0,Constants!$B$9,Constants!$B$9*AH406/$AH$6), 0),"")</f>
        <v/>
      </c>
      <c r="AK406" s="63" t="str">
        <f aca="false">IF(AJ406&lt;&gt;"", AJ406*AG406,"")</f>
        <v/>
      </c>
      <c r="AL406" s="63" t="str">
        <f aca="false">IF(AND($AE406=Constants!$B$7, T406, U406) ,IF($Z406="", "", MAX(0,1-ABS($AA406-$Z406)/$AA406)),"")</f>
        <v/>
      </c>
      <c r="AM406" s="63" t="str">
        <f aca="false">IF(AND(NOT(ISERROR(AH406)),ISERROR(AL406)),$AM$6,"")</f>
        <v/>
      </c>
      <c r="AN406" s="63" t="str">
        <f aca="false">IF($AE406=Constants!$B$7 ,IF(AND(T406,U406,W406,ISNUMBER(Z406)),IF($AL$6=0,Constants!$B$10,Constants!$B$10*AL406/$AL$6), 0),"")</f>
        <v/>
      </c>
      <c r="AO406" s="63" t="str">
        <f aca="false">IF(AN406&lt;&gt;"", AN406*AG406,"")</f>
        <v/>
      </c>
      <c r="AP406" s="63" t="str">
        <f aca="false">IF($AE406=Constants!$B$7,IF($AP$6=0,Constants!$B$8,Constants!$B$8*AB406/$AP$6),"")</f>
        <v/>
      </c>
      <c r="AQ406" s="63" t="str">
        <f aca="false">IF($AE406&lt;&gt;Constants!$B$7,$AE406,AK406+AO406+AP406)</f>
        <v/>
      </c>
      <c r="AR406" s="63" t="str">
        <f aca="false">IF(ISBLANK($C406),"",IF($AE406=Constants!$B$7,RANK(AQ406,$AQ$8:$AQ$507),$AE406))</f>
        <v/>
      </c>
      <c r="AS406" s="63" t="str">
        <f aca="false">IF(ISBLANK($C406), "",AK406)</f>
        <v/>
      </c>
      <c r="AT406" s="63" t="str">
        <f aca="false">IF(ISBLANK($C406),"",IF($AE406=Constants!$B$7,RANK(AS406,AS$8:AS$507),$AE406))</f>
        <v/>
      </c>
      <c r="AU406" s="63" t="str">
        <f aca="false">IF(ISBLANK($C406), "",AP406)</f>
        <v/>
      </c>
      <c r="AV406" s="63" t="str">
        <f aca="false">IF(ISBLANK($C406),"",IF($AE406=Constants!$B$7,RANK(AU406,AU$8:AU$507),$AE406))</f>
        <v/>
      </c>
      <c r="AW406" s="63" t="str">
        <f aca="false">IF(ISBLANK($C406), "",AC406)</f>
        <v/>
      </c>
      <c r="AX406" s="63" t="str">
        <f aca="false">IF(ISBLANK($C406),"",
IF($AE406=Constants!$B$7,
  COUNTIFS($AR$8:$AR$507,"&lt;"&amp;$AR406)
  + COUNTIFS($AR$8:$AR$507,$AR406,$AT$8:$AT$507,"&lt;"&amp;$AT406)
  + COUNTIFS($AR$8:$AR$507,$AR406,$AT$8:$AT$507,$AT406,$AV$8:$AV$507,"&lt;"&amp;$AV406)
  + COUNTIFS($AR$8:$AR$507,$AR406,$AT$8:$AT$507,$AT406,$AV$8:$AV$507,$AV406,$AW$8:$AW$507,"&lt;"&amp;$AW406)
  + 1,
$AE406))</f>
        <v/>
      </c>
      <c r="AY406" s="63" t="str">
        <f aca="false">IF(ISBLANK(C406),"",IF($AE406=Constants!$B$7, AR406-AX406,$AE406))</f>
        <v/>
      </c>
      <c r="AZ406" s="67"/>
      <c r="BA406" s="81" t="str">
        <f aca="false">IF(ISBLANK($C406),"",TRIM(AI406&amp;" "&amp;AM406))</f>
        <v/>
      </c>
      <c r="BB406" s="69" t="str">
        <f aca="false">IF(ISBLANK($C406),"",IF($AE406&lt;&gt;Constants!$B$7, $AE406 ,AQ406))</f>
        <v/>
      </c>
      <c r="BC406" s="70" t="str">
        <f aca="false">IF(ISBLANK($C406),"",IF($AE406&lt;&gt;Constants!$B$7, $AE406 ,AF406))</f>
        <v/>
      </c>
      <c r="BD406" s="71" t="str">
        <f aca="false">IF(ISBLANK(C406),"",AY406)</f>
        <v/>
      </c>
      <c r="BE406" s="71" t="str">
        <f aca="false">IF(ISBLANK(C406),"",AX406)</f>
        <v/>
      </c>
      <c r="BF406" s="72" t="str">
        <f aca="false">IF(ISBLANK(C406),"",IFERROR(_xlfn.SWITCH(BE406, Constants!$B$4, COUNTA($C$8:$C905)+2, Constants!$B$5, COUNTA($C$8:$C905)+1, Constants!$B$6, COUNTA($C$8:$C905)),BE406))</f>
        <v/>
      </c>
      <c r="BG406" s="5"/>
      <c r="BH406" s="73" t="n">
        <f aca="false">IF(OR(ISNUMBER(BE406),BE406="DQ",BE406="P",BE406="NS"),
    1,
    0
)</f>
        <v>0</v>
      </c>
      <c r="BI406" s="73" t="n">
        <v>399</v>
      </c>
      <c r="BJ406" s="73" t="str">
        <f aca="false">IF(ISBLANK($C406),
    "",
   BF406+ROW($B406)/1000
)</f>
        <v/>
      </c>
      <c r="BK406" s="73" t="str">
        <f aca="false">IF(ISNUMBER(BJ406), RANK(BJ406,BJ$8:BJ$507,1), "")</f>
        <v/>
      </c>
      <c r="BL406" s="73" t="str">
        <f aca="false">IF(ISBLANK($C406),
    "",
    $B406
)</f>
        <v/>
      </c>
      <c r="BM406" s="73" t="str">
        <f aca="false">IF(ISBLANK($C406),
    "",
    $C406
)</f>
        <v/>
      </c>
      <c r="BN406" s="73" t="str">
        <f aca="false">IF(ISBLANK($C406),
    "",
    $D406
)</f>
        <v/>
      </c>
      <c r="BO406" s="74" t="str">
        <f aca="false">BC406</f>
        <v/>
      </c>
      <c r="BP406" s="75" t="str">
        <f aca="false">BB406</f>
        <v/>
      </c>
      <c r="BQ406" s="73" t="str">
        <f aca="false">IF(ISBLANK($C406),
    "",
    BE406
)</f>
        <v/>
      </c>
      <c r="BR406" s="76" t="str">
        <f aca="false">IF(BI406&gt;BH$7,
    "",
    VLOOKUP(BI406,BK$8:BQ905,7,FALSE())
)</f>
        <v/>
      </c>
      <c r="BS406" s="77" t="str">
        <f aca="false">IF(BI406&gt;BH$7,
    "",
    VLOOKUP(BI406,BK$8:BQ905,2,FALSE())
)</f>
        <v/>
      </c>
      <c r="BT406" s="77" t="str">
        <f aca="false">IF(BI406&gt;BH$7,
    "",
    VLOOKUP(BI406,BK$8:BQ905,3,FALSE())
)</f>
        <v/>
      </c>
      <c r="BU406" s="77" t="str">
        <f aca="false">IF(BI406&gt;BH$7,
    "",
    VLOOKUP(BI406,BK$8:BQ905,4,FALSE())
)</f>
        <v/>
      </c>
      <c r="BV406" s="77" t="str">
        <f aca="false">IF(BI406&gt;BH$7,
    "",
    VLOOKUP(BI406,BK$8:BQ905,5,FALSE())
)</f>
        <v/>
      </c>
      <c r="BW406" s="78" t="str">
        <f aca="false">IF(BI406&gt;BH$7,
    "",
    VLOOKUP(BI406,BK$8:BQ905,6,FALSE())
)</f>
        <v/>
      </c>
      <c r="BX406" s="50"/>
    </row>
    <row r="407" customFormat="false" ht="15.75" hidden="false" customHeight="false" outlineLevel="0" collapsed="false">
      <c r="A407" s="5"/>
      <c r="B407" s="122"/>
      <c r="C407" s="123"/>
      <c r="D407" s="112"/>
      <c r="E407" s="116"/>
      <c r="F407" s="116"/>
      <c r="G407" s="88"/>
      <c r="H407" s="89"/>
      <c r="I407" s="125"/>
      <c r="J407" s="125"/>
      <c r="K407" s="125"/>
      <c r="L407" s="91"/>
      <c r="M407" s="91"/>
      <c r="N407" s="91"/>
      <c r="O407" s="92"/>
      <c r="P407" s="93"/>
      <c r="Q407" s="125"/>
      <c r="R407" s="95"/>
      <c r="S407" s="96"/>
      <c r="T407" s="96" t="str">
        <f aca="false">IF(ISBLANK($C407),"",IF(G407=Constants!$B$2, TRUE(), IF(G407=Constants!$B$3, FALSE(), TRUE())))</f>
        <v/>
      </c>
      <c r="U407" s="96" t="str">
        <f aca="false">IF(ISBLANK($C407),"",IF(H407=Constants!$B$2, TRUE(), IF(H407=Constants!$B$3, FALSE(), TRUE())))</f>
        <v/>
      </c>
      <c r="V407" s="96" t="str">
        <f aca="false">IF(ISBLANK($C407),"",IF(I407=Constants!$B$2, TRUE(), IF(I407=Constants!$B$3, FALSE(), TRUE())))</f>
        <v/>
      </c>
      <c r="W407" s="96" t="str">
        <f aca="false">IF(ISBLANK($C407),"",IF(J407=Constants!$B$2, TRUE(), IF(J407=Constants!$B$3, FALSE(), TRUE())))</f>
        <v/>
      </c>
      <c r="X407" s="97" t="str">
        <f aca="false">IF(ISBLANK($C407),"",IF(K407=Constants!$B$2, TRUE(), IF(K407=Constants!$B$3, FALSE(), TRUE())))</f>
        <v/>
      </c>
      <c r="Y407" s="98" t="str">
        <f aca="false">IF(ISBLANK($C407),"",IF(ISNUMBER(L407), L407, ""))</f>
        <v/>
      </c>
      <c r="Z407" s="98" t="str">
        <f aca="false">IF(ISBLANK($C407),"",IF(ISNUMBER(M407), M407, ""))</f>
        <v/>
      </c>
      <c r="AA407" s="98" t="str">
        <f aca="false">IF(ISBLANK($C407),"",IF(ISNUMBER(N407), N407, ""))</f>
        <v/>
      </c>
      <c r="AB407" s="99" t="str">
        <f aca="false">IF(ISBLANK($C407),"",IF(ISNUMBER(O407), O407, ""))</f>
        <v/>
      </c>
      <c r="AC407" s="99" t="str">
        <f aca="false">IF(ISBLANK($C407),"",IF(ISNUMBER(P407), P407, Constants!$B$13))</f>
        <v/>
      </c>
      <c r="AD407" s="96" t="str">
        <f aca="false">IF(ISBLANK($C407),"",IF(Q407=Constants!$B$2, TRUE(), IF(Q407=Constants!$B$3, FALSE(), FALSE())))</f>
        <v/>
      </c>
      <c r="AE407" s="96" t="str">
        <f aca="false">IF(ISBLANK(C407), "", IF(AD407, Constants!$B$4,IF(COUNTA(G407:O407)=0, Constants!$B$5, Constants!$B$7)))</f>
        <v/>
      </c>
      <c r="AF407" s="96" t="str">
        <f aca="false">IF(ISBLANK($C407), "",IF($AE407=Constants!$B$7,1,$AE407))</f>
        <v/>
      </c>
      <c r="AG407" s="96" t="str">
        <f aca="false">IF($AE407=Constants!$B$7,IF(V407, 1, Constants!$B$11) * IF(X407, 1, Constants!$B$12),"")</f>
        <v/>
      </c>
      <c r="AH407" s="96" t="str">
        <f aca="false">IF(AND($AE407=Constants!$B$7, T407, U407) ,MAX(0, $AA407-$Y407),"")</f>
        <v/>
      </c>
      <c r="AI407" s="96" t="str">
        <f aca="false">IF(ISERROR(AH407),$AI$6,"")</f>
        <v/>
      </c>
      <c r="AJ407" s="96" t="str">
        <f aca="false">IF($AE407=Constants!$B$7,IF(AND(T407,U407,W407),IF($AH$6=0,Constants!$B$9,Constants!$B$9*AH407/$AH$6), 0),"")</f>
        <v/>
      </c>
      <c r="AK407" s="96" t="str">
        <f aca="false">IF(AJ407&lt;&gt;"", AJ407*AG407,"")</f>
        <v/>
      </c>
      <c r="AL407" s="96" t="str">
        <f aca="false">IF(AND($AE407=Constants!$B$7, T407, U407) ,IF($Z407="", "", MAX(0,1-ABS($AA407-$Z407)/$AA407)),"")</f>
        <v/>
      </c>
      <c r="AM407" s="96" t="str">
        <f aca="false">IF(AND(NOT(ISERROR(AH407)),ISERROR(AL407)),$AM$6,"")</f>
        <v/>
      </c>
      <c r="AN407" s="96" t="str">
        <f aca="false">IF($AE407=Constants!$B$7 ,IF(AND(T407,U407,W407,ISNUMBER(Z407)),IF($AL$6=0,Constants!$B$10,Constants!$B$10*AL407/$AL$6), 0),"")</f>
        <v/>
      </c>
      <c r="AO407" s="96" t="str">
        <f aca="false">IF(AN407&lt;&gt;"", AN407*AG407,"")</f>
        <v/>
      </c>
      <c r="AP407" s="96" t="str">
        <f aca="false">IF($AE407=Constants!$B$7,IF($AP$6=0,Constants!$B$8,Constants!$B$8*AB407/$AP$6),"")</f>
        <v/>
      </c>
      <c r="AQ407" s="96" t="str">
        <f aca="false">IF($AE407&lt;&gt;Constants!$B$7,$AE407,AK407+AO407+AP407)</f>
        <v/>
      </c>
      <c r="AR407" s="96" t="str">
        <f aca="false">IF(ISBLANK($C407),"",IF($AE407=Constants!$B$7,RANK(AQ407,$AQ$8:$AQ$507),$AE407))</f>
        <v/>
      </c>
      <c r="AS407" s="96" t="str">
        <f aca="false">IF(ISBLANK($C407), "",AK407)</f>
        <v/>
      </c>
      <c r="AT407" s="96" t="str">
        <f aca="false">IF(ISBLANK($C407),"",IF($AE407=Constants!$B$7,RANK(AS407,AS$8:AS$507),$AE407))</f>
        <v/>
      </c>
      <c r="AU407" s="96" t="str">
        <f aca="false">IF(ISBLANK($C407), "",AP407)</f>
        <v/>
      </c>
      <c r="AV407" s="96" t="str">
        <f aca="false">IF(ISBLANK($C407),"",IF($AE407=Constants!$B$7,RANK(AU407,AU$8:AU$507),$AE407))</f>
        <v/>
      </c>
      <c r="AW407" s="96" t="str">
        <f aca="false">IF(ISBLANK($C407), "",AC407)</f>
        <v/>
      </c>
      <c r="AX407" s="96" t="str">
        <f aca="false">IF(ISBLANK($C407),"",
IF($AE407=Constants!$B$7,
  COUNTIFS($AR$8:$AR$507,"&lt;"&amp;$AR407)
  + COUNTIFS($AR$8:$AR$507,$AR407,$AT$8:$AT$507,"&lt;"&amp;$AT407)
  + COUNTIFS($AR$8:$AR$507,$AR407,$AT$8:$AT$507,$AT407,$AV$8:$AV$507,"&lt;"&amp;$AV407)
  + COUNTIFS($AR$8:$AR$507,$AR407,$AT$8:$AT$507,$AT407,$AV$8:$AV$507,$AV407,$AW$8:$AW$507,"&lt;"&amp;$AW407)
  + 1,
$AE407))</f>
        <v/>
      </c>
      <c r="AY407" s="96" t="str">
        <f aca="false">IF(ISBLANK(C407),"",IF($AE407=Constants!$B$7, AR407-AX407,$AE407))</f>
        <v/>
      </c>
      <c r="AZ407" s="100"/>
      <c r="BA407" s="101" t="str">
        <f aca="false">IF(ISBLANK($C407),"",TRIM(AI407&amp;" "&amp;AM407))</f>
        <v/>
      </c>
      <c r="BB407" s="102" t="str">
        <f aca="false">IF(ISBLANK($C407),"",IF($AE407&lt;&gt;Constants!$B$7, $AE407 ,AQ407))</f>
        <v/>
      </c>
      <c r="BC407" s="103" t="str">
        <f aca="false">IF(ISBLANK($C407),"",IF($AE407&lt;&gt;Constants!$B$7, $AE407 ,AF407))</f>
        <v/>
      </c>
      <c r="BD407" s="104" t="str">
        <f aca="false">IF(ISBLANK(C407),"",AY407)</f>
        <v/>
      </c>
      <c r="BE407" s="104" t="str">
        <f aca="false">IF(ISBLANK(C407),"",AX407)</f>
        <v/>
      </c>
      <c r="BF407" s="105" t="str">
        <f aca="false">IF(ISBLANK(C407),"",IFERROR(_xlfn.SWITCH(BE407, Constants!$B$4, COUNTA($C$8:$C906)+2, Constants!$B$5, COUNTA($C$8:$C906)+1, Constants!$B$6, COUNTA($C$8:$C906)),BE407))</f>
        <v/>
      </c>
      <c r="BG407" s="5"/>
      <c r="BH407" s="106" t="n">
        <f aca="false">IF(OR(ISNUMBER(BE407),BE407="DQ",BE407="P",BE407="NS"),
    1,
    0
)</f>
        <v>0</v>
      </c>
      <c r="BI407" s="106" t="n">
        <v>400</v>
      </c>
      <c r="BJ407" s="106" t="str">
        <f aca="false">IF(ISBLANK($C407),
    "",
   BF407+ROW($B407)/1000
)</f>
        <v/>
      </c>
      <c r="BK407" s="106" t="str">
        <f aca="false">IF(ISNUMBER(BJ407), RANK(BJ407,BJ$8:BJ$507,1), "")</f>
        <v/>
      </c>
      <c r="BL407" s="106" t="str">
        <f aca="false">IF(ISBLANK($C407),
    "",
    $B407
)</f>
        <v/>
      </c>
      <c r="BM407" s="106" t="str">
        <f aca="false">IF(ISBLANK($C407),
    "",
    $C407
)</f>
        <v/>
      </c>
      <c r="BN407" s="106" t="str">
        <f aca="false">IF(ISBLANK($C407),
    "",
    $D407
)</f>
        <v/>
      </c>
      <c r="BO407" s="107" t="str">
        <f aca="false">BC407</f>
        <v/>
      </c>
      <c r="BP407" s="108" t="str">
        <f aca="false">BB407</f>
        <v/>
      </c>
      <c r="BQ407" s="106" t="str">
        <f aca="false">IF(ISBLANK($C407),
    "",
    BE407
)</f>
        <v/>
      </c>
      <c r="BR407" s="109" t="str">
        <f aca="false">IF(BI407&gt;BH$7,
    "",
    VLOOKUP(BI407,BK$8:BQ906,7,FALSE())
)</f>
        <v/>
      </c>
      <c r="BS407" s="110" t="str">
        <f aca="false">IF(BI407&gt;BH$7,
    "",
    VLOOKUP(BI407,BK$8:BQ906,2,FALSE())
)</f>
        <v/>
      </c>
      <c r="BT407" s="110" t="str">
        <f aca="false">IF(BI407&gt;BH$7,
    "",
    VLOOKUP(BI407,BK$8:BQ906,3,FALSE())
)</f>
        <v/>
      </c>
      <c r="BU407" s="110" t="str">
        <f aca="false">IF(BI407&gt;BH$7,
    "",
    VLOOKUP(BI407,BK$8:BQ906,4,FALSE())
)</f>
        <v/>
      </c>
      <c r="BV407" s="110" t="str">
        <f aca="false">IF(BI407&gt;BH$7,
    "",
    VLOOKUP(BI407,BK$8:BQ906,5,FALSE())
)</f>
        <v/>
      </c>
      <c r="BW407" s="111" t="str">
        <f aca="false">IF(BI407&gt;BH$7,
    "",
    VLOOKUP(BI407,BK$8:BQ906,6,FALSE())
)</f>
        <v/>
      </c>
      <c r="BX407" s="50"/>
    </row>
    <row r="408" customFormat="false" ht="15.75" hidden="false" customHeight="false" outlineLevel="0" collapsed="false">
      <c r="A408" s="5"/>
      <c r="B408" s="122"/>
      <c r="C408" s="123"/>
      <c r="D408" s="112"/>
      <c r="E408" s="116"/>
      <c r="F408" s="116"/>
      <c r="G408" s="88"/>
      <c r="H408" s="89"/>
      <c r="I408" s="125"/>
      <c r="J408" s="125"/>
      <c r="K408" s="125"/>
      <c r="L408" s="91"/>
      <c r="M408" s="91"/>
      <c r="N408" s="91"/>
      <c r="O408" s="92"/>
      <c r="P408" s="93"/>
      <c r="Q408" s="125"/>
      <c r="R408" s="95"/>
      <c r="S408" s="96"/>
      <c r="T408" s="96" t="str">
        <f aca="false">IF(ISBLANK($C408),"",IF(G408=Constants!$B$2, TRUE(), IF(G408=Constants!$B$3, FALSE(), TRUE())))</f>
        <v/>
      </c>
      <c r="U408" s="96" t="str">
        <f aca="false">IF(ISBLANK($C408),"",IF(H408=Constants!$B$2, TRUE(), IF(H408=Constants!$B$3, FALSE(), TRUE())))</f>
        <v/>
      </c>
      <c r="V408" s="96" t="str">
        <f aca="false">IF(ISBLANK($C408),"",IF(I408=Constants!$B$2, TRUE(), IF(I408=Constants!$B$3, FALSE(), TRUE())))</f>
        <v/>
      </c>
      <c r="W408" s="96" t="str">
        <f aca="false">IF(ISBLANK($C408),"",IF(J408=Constants!$B$2, TRUE(), IF(J408=Constants!$B$3, FALSE(), TRUE())))</f>
        <v/>
      </c>
      <c r="X408" s="97" t="str">
        <f aca="false">IF(ISBLANK($C408),"",IF(K408=Constants!$B$2, TRUE(), IF(K408=Constants!$B$3, FALSE(), TRUE())))</f>
        <v/>
      </c>
      <c r="Y408" s="98" t="str">
        <f aca="false">IF(ISBLANK($C408),"",IF(ISNUMBER(L408), L408, ""))</f>
        <v/>
      </c>
      <c r="Z408" s="98" t="str">
        <f aca="false">IF(ISBLANK($C408),"",IF(ISNUMBER(M408), M408, ""))</f>
        <v/>
      </c>
      <c r="AA408" s="98" t="str">
        <f aca="false">IF(ISBLANK($C408),"",IF(ISNUMBER(N408), N408, ""))</f>
        <v/>
      </c>
      <c r="AB408" s="99" t="str">
        <f aca="false">IF(ISBLANK($C408),"",IF(ISNUMBER(O408), O408, ""))</f>
        <v/>
      </c>
      <c r="AC408" s="99" t="str">
        <f aca="false">IF(ISBLANK($C408),"",IF(ISNUMBER(P408), P408, Constants!$B$13))</f>
        <v/>
      </c>
      <c r="AD408" s="96" t="str">
        <f aca="false">IF(ISBLANK($C408),"",IF(Q408=Constants!$B$2, TRUE(), IF(Q408=Constants!$B$3, FALSE(), FALSE())))</f>
        <v/>
      </c>
      <c r="AE408" s="96" t="str">
        <f aca="false">IF(ISBLANK(C408), "", IF(AD408, Constants!$B$4,IF(COUNTA(G408:O408)=0, Constants!$B$5, Constants!$B$7)))</f>
        <v/>
      </c>
      <c r="AF408" s="96" t="str">
        <f aca="false">IF(ISBLANK($C408), "",IF($AE408=Constants!$B$7,1,$AE408))</f>
        <v/>
      </c>
      <c r="AG408" s="96" t="str">
        <f aca="false">IF($AE408=Constants!$B$7,IF(V408, 1, Constants!$B$11) * IF(X408, 1, Constants!$B$12),"")</f>
        <v/>
      </c>
      <c r="AH408" s="96" t="str">
        <f aca="false">IF(AND($AE408=Constants!$B$7, T408, U408) ,MAX(0, $AA408-$Y408),"")</f>
        <v/>
      </c>
      <c r="AI408" s="96" t="str">
        <f aca="false">IF(ISERROR(AH408),$AI$6,"")</f>
        <v/>
      </c>
      <c r="AJ408" s="96" t="str">
        <f aca="false">IF($AE408=Constants!$B$7,IF(AND(T408,U408,W408),IF($AH$6=0,Constants!$B$9,Constants!$B$9*AH408/$AH$6), 0),"")</f>
        <v/>
      </c>
      <c r="AK408" s="96" t="str">
        <f aca="false">IF(AJ408&lt;&gt;"", AJ408*AG408,"")</f>
        <v/>
      </c>
      <c r="AL408" s="96" t="str">
        <f aca="false">IF(AND($AE408=Constants!$B$7, T408, U408) ,IF($Z408="", "", MAX(0,1-ABS($AA408-$Z408)/$AA408)),"")</f>
        <v/>
      </c>
      <c r="AM408" s="96" t="str">
        <f aca="false">IF(AND(NOT(ISERROR(AH408)),ISERROR(AL408)),$AM$6,"")</f>
        <v/>
      </c>
      <c r="AN408" s="96" t="str">
        <f aca="false">IF($AE408=Constants!$B$7 ,IF(AND(T408,U408,W408,ISNUMBER(Z408)),IF($AL$6=0,Constants!$B$10,Constants!$B$10*AL408/$AL$6), 0),"")</f>
        <v/>
      </c>
      <c r="AO408" s="96" t="str">
        <f aca="false">IF(AN408&lt;&gt;"", AN408*AG408,"")</f>
        <v/>
      </c>
      <c r="AP408" s="96" t="str">
        <f aca="false">IF($AE408=Constants!$B$7,IF($AP$6=0,Constants!$B$8,Constants!$B$8*AB408/$AP$6),"")</f>
        <v/>
      </c>
      <c r="AQ408" s="96" t="str">
        <f aca="false">IF($AE408&lt;&gt;Constants!$B$7,$AE408,AK408+AO408+AP408)</f>
        <v/>
      </c>
      <c r="AR408" s="96" t="str">
        <f aca="false">IF(ISBLANK($C408),"",IF($AE408=Constants!$B$7,RANK(AQ408,$AQ$8:$AQ$507),$AE408))</f>
        <v/>
      </c>
      <c r="AS408" s="96" t="str">
        <f aca="false">IF(ISBLANK($C408), "",AK408)</f>
        <v/>
      </c>
      <c r="AT408" s="96" t="str">
        <f aca="false">IF(ISBLANK($C408),"",IF($AE408=Constants!$B$7,RANK(AS408,AS$8:AS$507),$AE408))</f>
        <v/>
      </c>
      <c r="AU408" s="96" t="str">
        <f aca="false">IF(ISBLANK($C408), "",AP408)</f>
        <v/>
      </c>
      <c r="AV408" s="96" t="str">
        <f aca="false">IF(ISBLANK($C408),"",IF($AE408=Constants!$B$7,RANK(AU408,AU$8:AU$507),$AE408))</f>
        <v/>
      </c>
      <c r="AW408" s="96" t="str">
        <f aca="false">IF(ISBLANK($C408), "",AC408)</f>
        <v/>
      </c>
      <c r="AX408" s="96" t="str">
        <f aca="false">IF(ISBLANK($C408),"",
IF($AE408=Constants!$B$7,
  COUNTIFS($AR$8:$AR$507,"&lt;"&amp;$AR408)
  + COUNTIFS($AR$8:$AR$507,$AR408,$AT$8:$AT$507,"&lt;"&amp;$AT408)
  + COUNTIFS($AR$8:$AR$507,$AR408,$AT$8:$AT$507,$AT408,$AV$8:$AV$507,"&lt;"&amp;$AV408)
  + COUNTIFS($AR$8:$AR$507,$AR408,$AT$8:$AT$507,$AT408,$AV$8:$AV$507,$AV408,$AW$8:$AW$507,"&lt;"&amp;$AW408)
  + 1,
$AE408))</f>
        <v/>
      </c>
      <c r="AY408" s="96" t="str">
        <f aca="false">IF(ISBLANK(C408),"",IF($AE408=Constants!$B$7, AR408-AX408,$AE408))</f>
        <v/>
      </c>
      <c r="AZ408" s="100"/>
      <c r="BA408" s="101" t="str">
        <f aca="false">IF(ISBLANK($C408),"",TRIM(AI408&amp;" "&amp;AM408))</f>
        <v/>
      </c>
      <c r="BB408" s="102" t="str">
        <f aca="false">IF(ISBLANK($C408),"",IF($AE408&lt;&gt;Constants!$B$7, $AE408 ,AQ408))</f>
        <v/>
      </c>
      <c r="BC408" s="103" t="str">
        <f aca="false">IF(ISBLANK($C408),"",IF($AE408&lt;&gt;Constants!$B$7, $AE408 ,AF408))</f>
        <v/>
      </c>
      <c r="BD408" s="104" t="str">
        <f aca="false">IF(ISBLANK(C408),"",AY408)</f>
        <v/>
      </c>
      <c r="BE408" s="104" t="str">
        <f aca="false">IF(ISBLANK(C408),"",AX408)</f>
        <v/>
      </c>
      <c r="BF408" s="105" t="str">
        <f aca="false">IF(ISBLANK(C408),"",IFERROR(_xlfn.SWITCH(BE408, Constants!$B$4, COUNTA($C$8:$C907)+2, Constants!$B$5, COUNTA($C$8:$C907)+1, Constants!$B$6, COUNTA($C$8:$C907)),BE408))</f>
        <v/>
      </c>
      <c r="BG408" s="5"/>
      <c r="BH408" s="106" t="n">
        <f aca="false">IF(OR(ISNUMBER(BE408),BE408="DQ",BE408="P",BE408="NS"),
    1,
    0
)</f>
        <v>0</v>
      </c>
      <c r="BI408" s="106" t="n">
        <v>401</v>
      </c>
      <c r="BJ408" s="106" t="str">
        <f aca="false">IF(ISBLANK($C408),
    "",
   BF408+ROW($B408)/1000
)</f>
        <v/>
      </c>
      <c r="BK408" s="106" t="str">
        <f aca="false">IF(ISNUMBER(BJ408), RANK(BJ408,BJ$8:BJ$507,1), "")</f>
        <v/>
      </c>
      <c r="BL408" s="106" t="str">
        <f aca="false">IF(ISBLANK($C408),
    "",
    $B408
)</f>
        <v/>
      </c>
      <c r="BM408" s="106" t="str">
        <f aca="false">IF(ISBLANK($C408),
    "",
    $C408
)</f>
        <v/>
      </c>
      <c r="BN408" s="106" t="str">
        <f aca="false">IF(ISBLANK($C408),
    "",
    $D408
)</f>
        <v/>
      </c>
      <c r="BO408" s="107" t="str">
        <f aca="false">BC408</f>
        <v/>
      </c>
      <c r="BP408" s="108" t="str">
        <f aca="false">BB408</f>
        <v/>
      </c>
      <c r="BQ408" s="106" t="str">
        <f aca="false">IF(ISBLANK($C408),
    "",
    BE408
)</f>
        <v/>
      </c>
      <c r="BR408" s="109" t="str">
        <f aca="false">IF(BI408&gt;BH$7,
    "",
    VLOOKUP(BI408,BK$8:BQ907,7,FALSE())
)</f>
        <v/>
      </c>
      <c r="BS408" s="110" t="str">
        <f aca="false">IF(BI408&gt;BH$7,
    "",
    VLOOKUP(BI408,BK$8:BQ907,2,FALSE())
)</f>
        <v/>
      </c>
      <c r="BT408" s="110" t="str">
        <f aca="false">IF(BI408&gt;BH$7,
    "",
    VLOOKUP(BI408,BK$8:BQ907,3,FALSE())
)</f>
        <v/>
      </c>
      <c r="BU408" s="110" t="str">
        <f aca="false">IF(BI408&gt;BH$7,
    "",
    VLOOKUP(BI408,BK$8:BQ907,4,FALSE())
)</f>
        <v/>
      </c>
      <c r="BV408" s="110" t="str">
        <f aca="false">IF(BI408&gt;BH$7,
    "",
    VLOOKUP(BI408,BK$8:BQ907,5,FALSE())
)</f>
        <v/>
      </c>
      <c r="BW408" s="111" t="str">
        <f aca="false">IF(BI408&gt;BH$7,
    "",
    VLOOKUP(BI408,BK$8:BQ907,6,FALSE())
)</f>
        <v/>
      </c>
      <c r="BX408" s="50"/>
    </row>
    <row r="409" customFormat="false" ht="15.75" hidden="false" customHeight="false" outlineLevel="0" collapsed="false">
      <c r="A409" s="5"/>
      <c r="B409" s="122"/>
      <c r="C409" s="123"/>
      <c r="D409" s="112"/>
      <c r="E409" s="116"/>
      <c r="F409" s="116"/>
      <c r="G409" s="88"/>
      <c r="H409" s="89"/>
      <c r="I409" s="125"/>
      <c r="J409" s="125"/>
      <c r="K409" s="125"/>
      <c r="L409" s="91"/>
      <c r="M409" s="91"/>
      <c r="N409" s="91"/>
      <c r="O409" s="92"/>
      <c r="P409" s="93"/>
      <c r="Q409" s="125"/>
      <c r="R409" s="95"/>
      <c r="S409" s="96"/>
      <c r="T409" s="96" t="str">
        <f aca="false">IF(ISBLANK($C409),"",IF(G409=Constants!$B$2, TRUE(), IF(G409=Constants!$B$3, FALSE(), TRUE())))</f>
        <v/>
      </c>
      <c r="U409" s="96" t="str">
        <f aca="false">IF(ISBLANK($C409),"",IF(H409=Constants!$B$2, TRUE(), IF(H409=Constants!$B$3, FALSE(), TRUE())))</f>
        <v/>
      </c>
      <c r="V409" s="96" t="str">
        <f aca="false">IF(ISBLANK($C409),"",IF(I409=Constants!$B$2, TRUE(), IF(I409=Constants!$B$3, FALSE(), TRUE())))</f>
        <v/>
      </c>
      <c r="W409" s="96" t="str">
        <f aca="false">IF(ISBLANK($C409),"",IF(J409=Constants!$B$2, TRUE(), IF(J409=Constants!$B$3, FALSE(), TRUE())))</f>
        <v/>
      </c>
      <c r="X409" s="97" t="str">
        <f aca="false">IF(ISBLANK($C409),"",IF(K409=Constants!$B$2, TRUE(), IF(K409=Constants!$B$3, FALSE(), TRUE())))</f>
        <v/>
      </c>
      <c r="Y409" s="98" t="str">
        <f aca="false">IF(ISBLANK($C409),"",IF(ISNUMBER(L409), L409, ""))</f>
        <v/>
      </c>
      <c r="Z409" s="98" t="str">
        <f aca="false">IF(ISBLANK($C409),"",IF(ISNUMBER(M409), M409, ""))</f>
        <v/>
      </c>
      <c r="AA409" s="98" t="str">
        <f aca="false">IF(ISBLANK($C409),"",IF(ISNUMBER(N409), N409, ""))</f>
        <v/>
      </c>
      <c r="AB409" s="99" t="str">
        <f aca="false">IF(ISBLANK($C409),"",IF(ISNUMBER(O409), O409, ""))</f>
        <v/>
      </c>
      <c r="AC409" s="99" t="str">
        <f aca="false">IF(ISBLANK($C409),"",IF(ISNUMBER(P409), P409, Constants!$B$13))</f>
        <v/>
      </c>
      <c r="AD409" s="96" t="str">
        <f aca="false">IF(ISBLANK($C409),"",IF(Q409=Constants!$B$2, TRUE(), IF(Q409=Constants!$B$3, FALSE(), FALSE())))</f>
        <v/>
      </c>
      <c r="AE409" s="96" t="str">
        <f aca="false">IF(ISBLANK(C409), "", IF(AD409, Constants!$B$4,IF(COUNTA(G409:O409)=0, Constants!$B$5, Constants!$B$7)))</f>
        <v/>
      </c>
      <c r="AF409" s="96" t="str">
        <f aca="false">IF(ISBLANK($C409), "",IF($AE409=Constants!$B$7,1,$AE409))</f>
        <v/>
      </c>
      <c r="AG409" s="96" t="str">
        <f aca="false">IF($AE409=Constants!$B$7,IF(V409, 1, Constants!$B$11) * IF(X409, 1, Constants!$B$12),"")</f>
        <v/>
      </c>
      <c r="AH409" s="96" t="str">
        <f aca="false">IF(AND($AE409=Constants!$B$7, T409, U409) ,MAX(0, $AA409-$Y409),"")</f>
        <v/>
      </c>
      <c r="AI409" s="96" t="str">
        <f aca="false">IF(ISERROR(AH409),$AI$6,"")</f>
        <v/>
      </c>
      <c r="AJ409" s="96" t="str">
        <f aca="false">IF($AE409=Constants!$B$7,IF(AND(T409,U409,W409),IF($AH$6=0,Constants!$B$9,Constants!$B$9*AH409/$AH$6), 0),"")</f>
        <v/>
      </c>
      <c r="AK409" s="96" t="str">
        <f aca="false">IF(AJ409&lt;&gt;"", AJ409*AG409,"")</f>
        <v/>
      </c>
      <c r="AL409" s="96" t="str">
        <f aca="false">IF(AND($AE409=Constants!$B$7, T409, U409) ,IF($Z409="", "", MAX(0,1-ABS($AA409-$Z409)/$AA409)),"")</f>
        <v/>
      </c>
      <c r="AM409" s="96" t="str">
        <f aca="false">IF(AND(NOT(ISERROR(AH409)),ISERROR(AL409)),$AM$6,"")</f>
        <v/>
      </c>
      <c r="AN409" s="96" t="str">
        <f aca="false">IF($AE409=Constants!$B$7 ,IF(AND(T409,U409,W409,ISNUMBER(Z409)),IF($AL$6=0,Constants!$B$10,Constants!$B$10*AL409/$AL$6), 0),"")</f>
        <v/>
      </c>
      <c r="AO409" s="96" t="str">
        <f aca="false">IF(AN409&lt;&gt;"", AN409*AG409,"")</f>
        <v/>
      </c>
      <c r="AP409" s="96" t="str">
        <f aca="false">IF($AE409=Constants!$B$7,IF($AP$6=0,Constants!$B$8,Constants!$B$8*AB409/$AP$6),"")</f>
        <v/>
      </c>
      <c r="AQ409" s="96" t="str">
        <f aca="false">IF($AE409&lt;&gt;Constants!$B$7,$AE409,AK409+AO409+AP409)</f>
        <v/>
      </c>
      <c r="AR409" s="96" t="str">
        <f aca="false">IF(ISBLANK($C409),"",IF($AE409=Constants!$B$7,RANK(AQ409,$AQ$8:$AQ$507),$AE409))</f>
        <v/>
      </c>
      <c r="AS409" s="96" t="str">
        <f aca="false">IF(ISBLANK($C409), "",AK409)</f>
        <v/>
      </c>
      <c r="AT409" s="96" t="str">
        <f aca="false">IF(ISBLANK($C409),"",IF($AE409=Constants!$B$7,RANK(AS409,AS$8:AS$507),$AE409))</f>
        <v/>
      </c>
      <c r="AU409" s="96" t="str">
        <f aca="false">IF(ISBLANK($C409), "",AP409)</f>
        <v/>
      </c>
      <c r="AV409" s="96" t="str">
        <f aca="false">IF(ISBLANK($C409),"",IF($AE409=Constants!$B$7,RANK(AU409,AU$8:AU$507),$AE409))</f>
        <v/>
      </c>
      <c r="AW409" s="96" t="str">
        <f aca="false">IF(ISBLANK($C409), "",AC409)</f>
        <v/>
      </c>
      <c r="AX409" s="96" t="str">
        <f aca="false">IF(ISBLANK($C409),"",
IF($AE409=Constants!$B$7,
  COUNTIFS($AR$8:$AR$507,"&lt;"&amp;$AR409)
  + COUNTIFS($AR$8:$AR$507,$AR409,$AT$8:$AT$507,"&lt;"&amp;$AT409)
  + COUNTIFS($AR$8:$AR$507,$AR409,$AT$8:$AT$507,$AT409,$AV$8:$AV$507,"&lt;"&amp;$AV409)
  + COUNTIFS($AR$8:$AR$507,$AR409,$AT$8:$AT$507,$AT409,$AV$8:$AV$507,$AV409,$AW$8:$AW$507,"&lt;"&amp;$AW409)
  + 1,
$AE409))</f>
        <v/>
      </c>
      <c r="AY409" s="96" t="str">
        <f aca="false">IF(ISBLANK(C409),"",IF($AE409=Constants!$B$7, AR409-AX409,$AE409))</f>
        <v/>
      </c>
      <c r="AZ409" s="100"/>
      <c r="BA409" s="101" t="str">
        <f aca="false">IF(ISBLANK($C409),"",TRIM(AI409&amp;" "&amp;AM409))</f>
        <v/>
      </c>
      <c r="BB409" s="102" t="str">
        <f aca="false">IF(ISBLANK($C409),"",IF($AE409&lt;&gt;Constants!$B$7, $AE409 ,AQ409))</f>
        <v/>
      </c>
      <c r="BC409" s="103" t="str">
        <f aca="false">IF(ISBLANK($C409),"",IF($AE409&lt;&gt;Constants!$B$7, $AE409 ,AF409))</f>
        <v/>
      </c>
      <c r="BD409" s="104" t="str">
        <f aca="false">IF(ISBLANK(C409),"",AY409)</f>
        <v/>
      </c>
      <c r="BE409" s="104" t="str">
        <f aca="false">IF(ISBLANK(C409),"",AX409)</f>
        <v/>
      </c>
      <c r="BF409" s="105" t="str">
        <f aca="false">IF(ISBLANK(C409),"",IFERROR(_xlfn.SWITCH(BE409, Constants!$B$4, COUNTA($C$8:$C908)+2, Constants!$B$5, COUNTA($C$8:$C908)+1, Constants!$B$6, COUNTA($C$8:$C908)),BE409))</f>
        <v/>
      </c>
      <c r="BG409" s="5"/>
      <c r="BH409" s="106" t="n">
        <f aca="false">IF(OR(ISNUMBER(BE409),BE409="DQ",BE409="P",BE409="NS"),
    1,
    0
)</f>
        <v>0</v>
      </c>
      <c r="BI409" s="106" t="n">
        <v>402</v>
      </c>
      <c r="BJ409" s="106" t="str">
        <f aca="false">IF(ISBLANK($C409),
    "",
   BF409+ROW($B409)/1000
)</f>
        <v/>
      </c>
      <c r="BK409" s="106" t="str">
        <f aca="false">IF(ISNUMBER(BJ409), RANK(BJ409,BJ$8:BJ$507,1), "")</f>
        <v/>
      </c>
      <c r="BL409" s="106" t="str">
        <f aca="false">IF(ISBLANK($C409),
    "",
    $B409
)</f>
        <v/>
      </c>
      <c r="BM409" s="106" t="str">
        <f aca="false">IF(ISBLANK($C409),
    "",
    $C409
)</f>
        <v/>
      </c>
      <c r="BN409" s="106" t="str">
        <f aca="false">IF(ISBLANK($C409),
    "",
    $D409
)</f>
        <v/>
      </c>
      <c r="BO409" s="107" t="str">
        <f aca="false">BC409</f>
        <v/>
      </c>
      <c r="BP409" s="108" t="str">
        <f aca="false">BB409</f>
        <v/>
      </c>
      <c r="BQ409" s="106" t="str">
        <f aca="false">IF(ISBLANK($C409),
    "",
    BE409
)</f>
        <v/>
      </c>
      <c r="BR409" s="109" t="str">
        <f aca="false">IF(BI409&gt;BH$7,
    "",
    VLOOKUP(BI409,BK$8:BQ908,7,FALSE())
)</f>
        <v/>
      </c>
      <c r="BS409" s="110" t="str">
        <f aca="false">IF(BI409&gt;BH$7,
    "",
    VLOOKUP(BI409,BK$8:BQ908,2,FALSE())
)</f>
        <v/>
      </c>
      <c r="BT409" s="110" t="str">
        <f aca="false">IF(BI409&gt;BH$7,
    "",
    VLOOKUP(BI409,BK$8:BQ908,3,FALSE())
)</f>
        <v/>
      </c>
      <c r="BU409" s="110" t="str">
        <f aca="false">IF(BI409&gt;BH$7,
    "",
    VLOOKUP(BI409,BK$8:BQ908,4,FALSE())
)</f>
        <v/>
      </c>
      <c r="BV409" s="110" t="str">
        <f aca="false">IF(BI409&gt;BH$7,
    "",
    VLOOKUP(BI409,BK$8:BQ908,5,FALSE())
)</f>
        <v/>
      </c>
      <c r="BW409" s="111" t="str">
        <f aca="false">IF(BI409&gt;BH$7,
    "",
    VLOOKUP(BI409,BK$8:BQ908,6,FALSE())
)</f>
        <v/>
      </c>
      <c r="BX409" s="50"/>
    </row>
    <row r="410" customFormat="false" ht="15.75" hidden="false" customHeight="false" outlineLevel="0" collapsed="false">
      <c r="A410" s="5"/>
      <c r="B410" s="126"/>
      <c r="C410" s="52"/>
      <c r="D410" s="53"/>
      <c r="E410" s="120"/>
      <c r="F410" s="120"/>
      <c r="G410" s="55"/>
      <c r="H410" s="56"/>
      <c r="I410" s="80"/>
      <c r="J410" s="80"/>
      <c r="K410" s="80"/>
      <c r="L410" s="58"/>
      <c r="M410" s="58"/>
      <c r="N410" s="58"/>
      <c r="O410" s="59"/>
      <c r="P410" s="60"/>
      <c r="Q410" s="80"/>
      <c r="R410" s="62"/>
      <c r="S410" s="63"/>
      <c r="T410" s="63" t="str">
        <f aca="false">IF(ISBLANK($C410),"",IF(G410=Constants!$B$2, TRUE(), IF(G410=Constants!$B$3, FALSE(), TRUE())))</f>
        <v/>
      </c>
      <c r="U410" s="63" t="str">
        <f aca="false">IF(ISBLANK($C410),"",IF(H410=Constants!$B$2, TRUE(), IF(H410=Constants!$B$3, FALSE(), TRUE())))</f>
        <v/>
      </c>
      <c r="V410" s="63" t="str">
        <f aca="false">IF(ISBLANK($C410),"",IF(I410=Constants!$B$2, TRUE(), IF(I410=Constants!$B$3, FALSE(), TRUE())))</f>
        <v/>
      </c>
      <c r="W410" s="63" t="str">
        <f aca="false">IF(ISBLANK($C410),"",IF(J410=Constants!$B$2, TRUE(), IF(J410=Constants!$B$3, FALSE(), TRUE())))</f>
        <v/>
      </c>
      <c r="X410" s="63" t="str">
        <f aca="false">IF(ISBLANK($C410),"",IF(K410=Constants!$B$2, TRUE(), IF(K410=Constants!$B$3, FALSE(), TRUE())))</f>
        <v/>
      </c>
      <c r="Y410" s="65" t="str">
        <f aca="false">IF(ISBLANK($C410),"",IF(ISNUMBER(L410), L410, ""))</f>
        <v/>
      </c>
      <c r="Z410" s="65" t="str">
        <f aca="false">IF(ISBLANK($C410),"",IF(ISNUMBER(M410), M410, ""))</f>
        <v/>
      </c>
      <c r="AA410" s="65" t="str">
        <f aca="false">IF(ISBLANK($C410),"",IF(ISNUMBER(N410), N410, ""))</f>
        <v/>
      </c>
      <c r="AB410" s="66" t="str">
        <f aca="false">IF(ISBLANK($C410),"",IF(ISNUMBER(O410), O410, ""))</f>
        <v/>
      </c>
      <c r="AC410" s="66" t="str">
        <f aca="false">IF(ISBLANK($C410),"",IF(ISNUMBER(P410), P410, Constants!$B$13))</f>
        <v/>
      </c>
      <c r="AD410" s="63" t="str">
        <f aca="false">IF(ISBLANK($C410),"",IF(Q410=Constants!$B$2, TRUE(), IF(Q410=Constants!$B$3, FALSE(), FALSE())))</f>
        <v/>
      </c>
      <c r="AE410" s="63" t="str">
        <f aca="false">IF(ISBLANK(C410), "", IF(AD410, Constants!$B$4,IF(COUNTA(G410:O410)=0, Constants!$B$5, Constants!$B$7)))</f>
        <v/>
      </c>
      <c r="AF410" s="63" t="str">
        <f aca="false">IF(ISBLANK($C410), "",IF($AE410=Constants!$B$7,1,$AE410))</f>
        <v/>
      </c>
      <c r="AG410" s="63" t="str">
        <f aca="false">IF($AE410=Constants!$B$7,IF(V410, 1, Constants!$B$11) * IF(X410, 1, Constants!$B$12),"")</f>
        <v/>
      </c>
      <c r="AH410" s="63" t="str">
        <f aca="false">IF(AND($AE410=Constants!$B$7, T410, U410) ,MAX(0, $AA410-$Y410),"")</f>
        <v/>
      </c>
      <c r="AI410" s="63" t="str">
        <f aca="false">IF(ISERROR(AH410),$AI$6,"")</f>
        <v/>
      </c>
      <c r="AJ410" s="63" t="str">
        <f aca="false">IF($AE410=Constants!$B$7,IF(AND(T410,U410,W410),IF($AH$6=0,Constants!$B$9,Constants!$B$9*AH410/$AH$6), 0),"")</f>
        <v/>
      </c>
      <c r="AK410" s="63" t="str">
        <f aca="false">IF(AJ410&lt;&gt;"", AJ410*AG410,"")</f>
        <v/>
      </c>
      <c r="AL410" s="63" t="str">
        <f aca="false">IF(AND($AE410=Constants!$B$7, T410, U410) ,IF($Z410="", "", MAX(0,1-ABS($AA410-$Z410)/$AA410)),"")</f>
        <v/>
      </c>
      <c r="AM410" s="63" t="str">
        <f aca="false">IF(AND(NOT(ISERROR(AH410)),ISERROR(AL410)),$AM$6,"")</f>
        <v/>
      </c>
      <c r="AN410" s="63" t="str">
        <f aca="false">IF($AE410=Constants!$B$7 ,IF(AND(T410,U410,W410,ISNUMBER(Z410)),IF($AL$6=0,Constants!$B$10,Constants!$B$10*AL410/$AL$6), 0),"")</f>
        <v/>
      </c>
      <c r="AO410" s="63" t="str">
        <f aca="false">IF(AN410&lt;&gt;"", AN410*AG410,"")</f>
        <v/>
      </c>
      <c r="AP410" s="63" t="str">
        <f aca="false">IF($AE410=Constants!$B$7,IF($AP$6=0,Constants!$B$8,Constants!$B$8*AB410/$AP$6),"")</f>
        <v/>
      </c>
      <c r="AQ410" s="63" t="str">
        <f aca="false">IF($AE410&lt;&gt;Constants!$B$7,$AE410,AK410+AO410+AP410)</f>
        <v/>
      </c>
      <c r="AR410" s="63" t="str">
        <f aca="false">IF(ISBLANK($C410),"",IF($AE410=Constants!$B$7,RANK(AQ410,$AQ$8:$AQ$507),$AE410))</f>
        <v/>
      </c>
      <c r="AS410" s="63" t="str">
        <f aca="false">IF(ISBLANK($C410), "",AK410)</f>
        <v/>
      </c>
      <c r="AT410" s="63" t="str">
        <f aca="false">IF(ISBLANK($C410),"",IF($AE410=Constants!$B$7,RANK(AS410,AS$8:AS$507),$AE410))</f>
        <v/>
      </c>
      <c r="AU410" s="63" t="str">
        <f aca="false">IF(ISBLANK($C410), "",AP410)</f>
        <v/>
      </c>
      <c r="AV410" s="63" t="str">
        <f aca="false">IF(ISBLANK($C410),"",IF($AE410=Constants!$B$7,RANK(AU410,AU$8:AU$507),$AE410))</f>
        <v/>
      </c>
      <c r="AW410" s="63" t="str">
        <f aca="false">IF(ISBLANK($C410), "",AC410)</f>
        <v/>
      </c>
      <c r="AX410" s="63" t="str">
        <f aca="false">IF(ISBLANK($C410),"",
IF($AE410=Constants!$B$7,
  COUNTIFS($AR$8:$AR$507,"&lt;"&amp;$AR410)
  + COUNTIFS($AR$8:$AR$507,$AR410,$AT$8:$AT$507,"&lt;"&amp;$AT410)
  + COUNTIFS($AR$8:$AR$507,$AR410,$AT$8:$AT$507,$AT410,$AV$8:$AV$507,"&lt;"&amp;$AV410)
  + COUNTIFS($AR$8:$AR$507,$AR410,$AT$8:$AT$507,$AT410,$AV$8:$AV$507,$AV410,$AW$8:$AW$507,"&lt;"&amp;$AW410)
  + 1,
$AE410))</f>
        <v/>
      </c>
      <c r="AY410" s="63" t="str">
        <f aca="false">IF(ISBLANK(C410),"",IF($AE410=Constants!$B$7, AR410-AX410,$AE410))</f>
        <v/>
      </c>
      <c r="AZ410" s="67"/>
      <c r="BA410" s="81" t="str">
        <f aca="false">IF(ISBLANK($C410),"",TRIM(AI410&amp;" "&amp;AM410))</f>
        <v/>
      </c>
      <c r="BB410" s="69" t="str">
        <f aca="false">IF(ISBLANK($C410),"",IF($AE410&lt;&gt;Constants!$B$7, $AE410 ,AQ410))</f>
        <v/>
      </c>
      <c r="BC410" s="70" t="str">
        <f aca="false">IF(ISBLANK($C410),"",IF($AE410&lt;&gt;Constants!$B$7, $AE410 ,AF410))</f>
        <v/>
      </c>
      <c r="BD410" s="71" t="str">
        <f aca="false">IF(ISBLANK(C410),"",AY410)</f>
        <v/>
      </c>
      <c r="BE410" s="71" t="str">
        <f aca="false">IF(ISBLANK(C410),"",AX410)</f>
        <v/>
      </c>
      <c r="BF410" s="72" t="str">
        <f aca="false">IF(ISBLANK(C410),"",IFERROR(_xlfn.SWITCH(BE410, Constants!$B$4, COUNTA($C$8:$C909)+2, Constants!$B$5, COUNTA($C$8:$C909)+1, Constants!$B$6, COUNTA($C$8:$C909)),BE410))</f>
        <v/>
      </c>
      <c r="BG410" s="5"/>
      <c r="BH410" s="73" t="n">
        <f aca="false">IF(OR(ISNUMBER(BE410),BE410="DQ",BE410="P",BE410="NS"),
    1,
    0
)</f>
        <v>0</v>
      </c>
      <c r="BI410" s="73" t="n">
        <v>403</v>
      </c>
      <c r="BJ410" s="73" t="str">
        <f aca="false">IF(ISBLANK($C410),
    "",
   BF410+ROW($B410)/1000
)</f>
        <v/>
      </c>
      <c r="BK410" s="73" t="str">
        <f aca="false">IF(ISNUMBER(BJ410), RANK(BJ410,BJ$8:BJ$507,1), "")</f>
        <v/>
      </c>
      <c r="BL410" s="73" t="str">
        <f aca="false">IF(ISBLANK($C410),
    "",
    $B410
)</f>
        <v/>
      </c>
      <c r="BM410" s="73" t="str">
        <f aca="false">IF(ISBLANK($C410),
    "",
    $C410
)</f>
        <v/>
      </c>
      <c r="BN410" s="73" t="str">
        <f aca="false">IF(ISBLANK($C410),
    "",
    $D410
)</f>
        <v/>
      </c>
      <c r="BO410" s="74" t="str">
        <f aca="false">BC410</f>
        <v/>
      </c>
      <c r="BP410" s="75" t="str">
        <f aca="false">BB410</f>
        <v/>
      </c>
      <c r="BQ410" s="73" t="str">
        <f aca="false">IF(ISBLANK($C410),
    "",
    BE410
)</f>
        <v/>
      </c>
      <c r="BR410" s="76" t="str">
        <f aca="false">IF(BI410&gt;BH$7,
    "",
    VLOOKUP(BI410,BK$8:BQ909,7,FALSE())
)</f>
        <v/>
      </c>
      <c r="BS410" s="77" t="str">
        <f aca="false">IF(BI410&gt;BH$7,
    "",
    VLOOKUP(BI410,BK$8:BQ909,2,FALSE())
)</f>
        <v/>
      </c>
      <c r="BT410" s="77" t="str">
        <f aca="false">IF(BI410&gt;BH$7,
    "",
    VLOOKUP(BI410,BK$8:BQ909,3,FALSE())
)</f>
        <v/>
      </c>
      <c r="BU410" s="77" t="str">
        <f aca="false">IF(BI410&gt;BH$7,
    "",
    VLOOKUP(BI410,BK$8:BQ909,4,FALSE())
)</f>
        <v/>
      </c>
      <c r="BV410" s="77" t="str">
        <f aca="false">IF(BI410&gt;BH$7,
    "",
    VLOOKUP(BI410,BK$8:BQ909,5,FALSE())
)</f>
        <v/>
      </c>
      <c r="BW410" s="78" t="str">
        <f aca="false">IF(BI410&gt;BH$7,
    "",
    VLOOKUP(BI410,BK$8:BQ909,6,FALSE())
)</f>
        <v/>
      </c>
      <c r="BX410" s="50"/>
    </row>
    <row r="411" customFormat="false" ht="15.75" hidden="false" customHeight="false" outlineLevel="0" collapsed="false">
      <c r="A411" s="5"/>
      <c r="B411" s="126"/>
      <c r="C411" s="52"/>
      <c r="D411" s="53"/>
      <c r="E411" s="120"/>
      <c r="F411" s="120"/>
      <c r="G411" s="55"/>
      <c r="H411" s="56"/>
      <c r="I411" s="80"/>
      <c r="J411" s="80"/>
      <c r="K411" s="80"/>
      <c r="L411" s="58"/>
      <c r="M411" s="58"/>
      <c r="N411" s="58"/>
      <c r="O411" s="59"/>
      <c r="P411" s="60"/>
      <c r="Q411" s="80"/>
      <c r="R411" s="62"/>
      <c r="S411" s="63"/>
      <c r="T411" s="63" t="str">
        <f aca="false">IF(ISBLANK($C411),"",IF(G411=Constants!$B$2, TRUE(), IF(G411=Constants!$B$3, FALSE(), TRUE())))</f>
        <v/>
      </c>
      <c r="U411" s="63" t="str">
        <f aca="false">IF(ISBLANK($C411),"",IF(H411=Constants!$B$2, TRUE(), IF(H411=Constants!$B$3, FALSE(), TRUE())))</f>
        <v/>
      </c>
      <c r="V411" s="63" t="str">
        <f aca="false">IF(ISBLANK($C411),"",IF(I411=Constants!$B$2, TRUE(), IF(I411=Constants!$B$3, FALSE(), TRUE())))</f>
        <v/>
      </c>
      <c r="W411" s="63" t="str">
        <f aca="false">IF(ISBLANK($C411),"",IF(J411=Constants!$B$2, TRUE(), IF(J411=Constants!$B$3, FALSE(), TRUE())))</f>
        <v/>
      </c>
      <c r="X411" s="63" t="str">
        <f aca="false">IF(ISBLANK($C411),"",IF(K411=Constants!$B$2, TRUE(), IF(K411=Constants!$B$3, FALSE(), TRUE())))</f>
        <v/>
      </c>
      <c r="Y411" s="65" t="str">
        <f aca="false">IF(ISBLANK($C411),"",IF(ISNUMBER(L411), L411, ""))</f>
        <v/>
      </c>
      <c r="Z411" s="65" t="str">
        <f aca="false">IF(ISBLANK($C411),"",IF(ISNUMBER(M411), M411, ""))</f>
        <v/>
      </c>
      <c r="AA411" s="65" t="str">
        <f aca="false">IF(ISBLANK($C411),"",IF(ISNUMBER(N411), N411, ""))</f>
        <v/>
      </c>
      <c r="AB411" s="66" t="str">
        <f aca="false">IF(ISBLANK($C411),"",IF(ISNUMBER(O411), O411, ""))</f>
        <v/>
      </c>
      <c r="AC411" s="66" t="str">
        <f aca="false">IF(ISBLANK($C411),"",IF(ISNUMBER(P411), P411, Constants!$B$13))</f>
        <v/>
      </c>
      <c r="AD411" s="63" t="str">
        <f aca="false">IF(ISBLANK($C411),"",IF(Q411=Constants!$B$2, TRUE(), IF(Q411=Constants!$B$3, FALSE(), FALSE())))</f>
        <v/>
      </c>
      <c r="AE411" s="63" t="str">
        <f aca="false">IF(ISBLANK(C411), "", IF(AD411, Constants!$B$4,IF(COUNTA(G411:O411)=0, Constants!$B$5, Constants!$B$7)))</f>
        <v/>
      </c>
      <c r="AF411" s="63" t="str">
        <f aca="false">IF(ISBLANK($C411), "",IF($AE411=Constants!$B$7,1,$AE411))</f>
        <v/>
      </c>
      <c r="AG411" s="63" t="str">
        <f aca="false">IF($AE411=Constants!$B$7,IF(V411, 1, Constants!$B$11) * IF(X411, 1, Constants!$B$12),"")</f>
        <v/>
      </c>
      <c r="AH411" s="63" t="str">
        <f aca="false">IF(AND($AE411=Constants!$B$7, T411, U411) ,MAX(0, $AA411-$Y411),"")</f>
        <v/>
      </c>
      <c r="AI411" s="63" t="str">
        <f aca="false">IF(ISERROR(AH411),$AI$6,"")</f>
        <v/>
      </c>
      <c r="AJ411" s="63" t="str">
        <f aca="false">IF($AE411=Constants!$B$7,IF(AND(T411,U411,W411),IF($AH$6=0,Constants!$B$9,Constants!$B$9*AH411/$AH$6), 0),"")</f>
        <v/>
      </c>
      <c r="AK411" s="63" t="str">
        <f aca="false">IF(AJ411&lt;&gt;"", AJ411*AG411,"")</f>
        <v/>
      </c>
      <c r="AL411" s="63" t="str">
        <f aca="false">IF(AND($AE411=Constants!$B$7, T411, U411) ,IF($Z411="", "", MAX(0,1-ABS($AA411-$Z411)/$AA411)),"")</f>
        <v/>
      </c>
      <c r="AM411" s="63" t="str">
        <f aca="false">IF(AND(NOT(ISERROR(AH411)),ISERROR(AL411)),$AM$6,"")</f>
        <v/>
      </c>
      <c r="AN411" s="63" t="str">
        <f aca="false">IF($AE411=Constants!$B$7 ,IF(AND(T411,U411,W411,ISNUMBER(Z411)),IF($AL$6=0,Constants!$B$10,Constants!$B$10*AL411/$AL$6), 0),"")</f>
        <v/>
      </c>
      <c r="AO411" s="63" t="str">
        <f aca="false">IF(AN411&lt;&gt;"", AN411*AG411,"")</f>
        <v/>
      </c>
      <c r="AP411" s="63" t="str">
        <f aca="false">IF($AE411=Constants!$B$7,IF($AP$6=0,Constants!$B$8,Constants!$B$8*AB411/$AP$6),"")</f>
        <v/>
      </c>
      <c r="AQ411" s="63" t="str">
        <f aca="false">IF($AE411&lt;&gt;Constants!$B$7,$AE411,AK411+AO411+AP411)</f>
        <v/>
      </c>
      <c r="AR411" s="63" t="str">
        <f aca="false">IF(ISBLANK($C411),"",IF($AE411=Constants!$B$7,RANK(AQ411,$AQ$8:$AQ$507),$AE411))</f>
        <v/>
      </c>
      <c r="AS411" s="63" t="str">
        <f aca="false">IF(ISBLANK($C411), "",AK411)</f>
        <v/>
      </c>
      <c r="AT411" s="63" t="str">
        <f aca="false">IF(ISBLANK($C411),"",IF($AE411=Constants!$B$7,RANK(AS411,AS$8:AS$507),$AE411))</f>
        <v/>
      </c>
      <c r="AU411" s="63" t="str">
        <f aca="false">IF(ISBLANK($C411), "",AP411)</f>
        <v/>
      </c>
      <c r="AV411" s="63" t="str">
        <f aca="false">IF(ISBLANK($C411),"",IF($AE411=Constants!$B$7,RANK(AU411,AU$8:AU$507),$AE411))</f>
        <v/>
      </c>
      <c r="AW411" s="63" t="str">
        <f aca="false">IF(ISBLANK($C411), "",AC411)</f>
        <v/>
      </c>
      <c r="AX411" s="63" t="str">
        <f aca="false">IF(ISBLANK($C411),"",
IF($AE411=Constants!$B$7,
  COUNTIFS($AR$8:$AR$507,"&lt;"&amp;$AR411)
  + COUNTIFS($AR$8:$AR$507,$AR411,$AT$8:$AT$507,"&lt;"&amp;$AT411)
  + COUNTIFS($AR$8:$AR$507,$AR411,$AT$8:$AT$507,$AT411,$AV$8:$AV$507,"&lt;"&amp;$AV411)
  + COUNTIFS($AR$8:$AR$507,$AR411,$AT$8:$AT$507,$AT411,$AV$8:$AV$507,$AV411,$AW$8:$AW$507,"&lt;"&amp;$AW411)
  + 1,
$AE411))</f>
        <v/>
      </c>
      <c r="AY411" s="63" t="str">
        <f aca="false">IF(ISBLANK(C411),"",IF($AE411=Constants!$B$7, AR411-AX411,$AE411))</f>
        <v/>
      </c>
      <c r="AZ411" s="67"/>
      <c r="BA411" s="81" t="str">
        <f aca="false">IF(ISBLANK($C411),"",TRIM(AI411&amp;" "&amp;AM411))</f>
        <v/>
      </c>
      <c r="BB411" s="69" t="str">
        <f aca="false">IF(ISBLANK($C411),"",IF($AE411&lt;&gt;Constants!$B$7, $AE411 ,AQ411))</f>
        <v/>
      </c>
      <c r="BC411" s="70" t="str">
        <f aca="false">IF(ISBLANK($C411),"",IF($AE411&lt;&gt;Constants!$B$7, $AE411 ,AF411))</f>
        <v/>
      </c>
      <c r="BD411" s="71" t="str">
        <f aca="false">IF(ISBLANK(C411),"",AY411)</f>
        <v/>
      </c>
      <c r="BE411" s="71" t="str">
        <f aca="false">IF(ISBLANK(C411),"",AX411)</f>
        <v/>
      </c>
      <c r="BF411" s="72" t="str">
        <f aca="false">IF(ISBLANK(C411),"",IFERROR(_xlfn.SWITCH(BE411, Constants!$B$4, COUNTA($C$8:$C910)+2, Constants!$B$5, COUNTA($C$8:$C910)+1, Constants!$B$6, COUNTA($C$8:$C910)),BE411))</f>
        <v/>
      </c>
      <c r="BG411" s="5"/>
      <c r="BH411" s="73" t="n">
        <f aca="false">IF(OR(ISNUMBER(BE411),BE411="DQ",BE411="P",BE411="NS"),
    1,
    0
)</f>
        <v>0</v>
      </c>
      <c r="BI411" s="73" t="n">
        <v>404</v>
      </c>
      <c r="BJ411" s="73" t="str">
        <f aca="false">IF(ISBLANK($C411),
    "",
   BF411+ROW($B411)/1000
)</f>
        <v/>
      </c>
      <c r="BK411" s="73" t="str">
        <f aca="false">IF(ISNUMBER(BJ411), RANK(BJ411,BJ$8:BJ$507,1), "")</f>
        <v/>
      </c>
      <c r="BL411" s="73" t="str">
        <f aca="false">IF(ISBLANK($C411),
    "",
    $B411
)</f>
        <v/>
      </c>
      <c r="BM411" s="73" t="str">
        <f aca="false">IF(ISBLANK($C411),
    "",
    $C411
)</f>
        <v/>
      </c>
      <c r="BN411" s="73" t="str">
        <f aca="false">IF(ISBLANK($C411),
    "",
    $D411
)</f>
        <v/>
      </c>
      <c r="BO411" s="74" t="str">
        <f aca="false">BC411</f>
        <v/>
      </c>
      <c r="BP411" s="75" t="str">
        <f aca="false">BB411</f>
        <v/>
      </c>
      <c r="BQ411" s="73" t="str">
        <f aca="false">IF(ISBLANK($C411),
    "",
    BE411
)</f>
        <v/>
      </c>
      <c r="BR411" s="76" t="str">
        <f aca="false">IF(BI411&gt;BH$7,
    "",
    VLOOKUP(BI411,BK$8:BQ910,7,FALSE())
)</f>
        <v/>
      </c>
      <c r="BS411" s="77" t="str">
        <f aca="false">IF(BI411&gt;BH$7,
    "",
    VLOOKUP(BI411,BK$8:BQ910,2,FALSE())
)</f>
        <v/>
      </c>
      <c r="BT411" s="77" t="str">
        <f aca="false">IF(BI411&gt;BH$7,
    "",
    VLOOKUP(BI411,BK$8:BQ910,3,FALSE())
)</f>
        <v/>
      </c>
      <c r="BU411" s="77" t="str">
        <f aca="false">IF(BI411&gt;BH$7,
    "",
    VLOOKUP(BI411,BK$8:BQ910,4,FALSE())
)</f>
        <v/>
      </c>
      <c r="BV411" s="77" t="str">
        <f aca="false">IF(BI411&gt;BH$7,
    "",
    VLOOKUP(BI411,BK$8:BQ910,5,FALSE())
)</f>
        <v/>
      </c>
      <c r="BW411" s="78" t="str">
        <f aca="false">IF(BI411&gt;BH$7,
    "",
    VLOOKUP(BI411,BK$8:BQ910,6,FALSE())
)</f>
        <v/>
      </c>
      <c r="BX411" s="50"/>
    </row>
    <row r="412" customFormat="false" ht="15.75" hidden="false" customHeight="false" outlineLevel="0" collapsed="false">
      <c r="A412" s="5"/>
      <c r="B412" s="126"/>
      <c r="C412" s="52"/>
      <c r="D412" s="53"/>
      <c r="E412" s="120"/>
      <c r="F412" s="120"/>
      <c r="G412" s="55"/>
      <c r="H412" s="56"/>
      <c r="I412" s="80"/>
      <c r="J412" s="80"/>
      <c r="K412" s="80"/>
      <c r="L412" s="58"/>
      <c r="M412" s="58"/>
      <c r="N412" s="58"/>
      <c r="O412" s="59"/>
      <c r="P412" s="60"/>
      <c r="Q412" s="80"/>
      <c r="R412" s="62"/>
      <c r="S412" s="63"/>
      <c r="T412" s="63" t="str">
        <f aca="false">IF(ISBLANK($C412),"",IF(G412=Constants!$B$2, TRUE(), IF(G412=Constants!$B$3, FALSE(), TRUE())))</f>
        <v/>
      </c>
      <c r="U412" s="63" t="str">
        <f aca="false">IF(ISBLANK($C412),"",IF(H412=Constants!$B$2, TRUE(), IF(H412=Constants!$B$3, FALSE(), TRUE())))</f>
        <v/>
      </c>
      <c r="V412" s="63" t="str">
        <f aca="false">IF(ISBLANK($C412),"",IF(I412=Constants!$B$2, TRUE(), IF(I412=Constants!$B$3, FALSE(), TRUE())))</f>
        <v/>
      </c>
      <c r="W412" s="63" t="str">
        <f aca="false">IF(ISBLANK($C412),"",IF(J412=Constants!$B$2, TRUE(), IF(J412=Constants!$B$3, FALSE(), TRUE())))</f>
        <v/>
      </c>
      <c r="X412" s="63" t="str">
        <f aca="false">IF(ISBLANK($C412),"",IF(K412=Constants!$B$2, TRUE(), IF(K412=Constants!$B$3, FALSE(), TRUE())))</f>
        <v/>
      </c>
      <c r="Y412" s="65" t="str">
        <f aca="false">IF(ISBLANK($C412),"",IF(ISNUMBER(L412), L412, ""))</f>
        <v/>
      </c>
      <c r="Z412" s="65" t="str">
        <f aca="false">IF(ISBLANK($C412),"",IF(ISNUMBER(M412), M412, ""))</f>
        <v/>
      </c>
      <c r="AA412" s="65" t="str">
        <f aca="false">IF(ISBLANK($C412),"",IF(ISNUMBER(N412), N412, ""))</f>
        <v/>
      </c>
      <c r="AB412" s="66" t="str">
        <f aca="false">IF(ISBLANK($C412),"",IF(ISNUMBER(O412), O412, ""))</f>
        <v/>
      </c>
      <c r="AC412" s="66" t="str">
        <f aca="false">IF(ISBLANK($C412),"",IF(ISNUMBER(P412), P412, Constants!$B$13))</f>
        <v/>
      </c>
      <c r="AD412" s="63" t="str">
        <f aca="false">IF(ISBLANK($C412),"",IF(Q412=Constants!$B$2, TRUE(), IF(Q412=Constants!$B$3, FALSE(), FALSE())))</f>
        <v/>
      </c>
      <c r="AE412" s="63" t="str">
        <f aca="false">IF(ISBLANK(C412), "", IF(AD412, Constants!$B$4,IF(COUNTA(G412:O412)=0, Constants!$B$5, Constants!$B$7)))</f>
        <v/>
      </c>
      <c r="AF412" s="63" t="str">
        <f aca="false">IF(ISBLANK($C412), "",IF($AE412=Constants!$B$7,1,$AE412))</f>
        <v/>
      </c>
      <c r="AG412" s="63" t="str">
        <f aca="false">IF($AE412=Constants!$B$7,IF(V412, 1, Constants!$B$11) * IF(X412, 1, Constants!$B$12),"")</f>
        <v/>
      </c>
      <c r="AH412" s="63" t="str">
        <f aca="false">IF(AND($AE412=Constants!$B$7, T412, U412) ,MAX(0, $AA412-$Y412),"")</f>
        <v/>
      </c>
      <c r="AI412" s="63" t="str">
        <f aca="false">IF(ISERROR(AH412),$AI$6,"")</f>
        <v/>
      </c>
      <c r="AJ412" s="63" t="str">
        <f aca="false">IF($AE412=Constants!$B$7,IF(AND(T412,U412,W412),IF($AH$6=0,Constants!$B$9,Constants!$B$9*AH412/$AH$6), 0),"")</f>
        <v/>
      </c>
      <c r="AK412" s="63" t="str">
        <f aca="false">IF(AJ412&lt;&gt;"", AJ412*AG412,"")</f>
        <v/>
      </c>
      <c r="AL412" s="63" t="str">
        <f aca="false">IF(AND($AE412=Constants!$B$7, T412, U412) ,IF($Z412="", "", MAX(0,1-ABS($AA412-$Z412)/$AA412)),"")</f>
        <v/>
      </c>
      <c r="AM412" s="63" t="str">
        <f aca="false">IF(AND(NOT(ISERROR(AH412)),ISERROR(AL412)),$AM$6,"")</f>
        <v/>
      </c>
      <c r="AN412" s="63" t="str">
        <f aca="false">IF($AE412=Constants!$B$7 ,IF(AND(T412,U412,W412,ISNUMBER(Z412)),IF($AL$6=0,Constants!$B$10,Constants!$B$10*AL412/$AL$6), 0),"")</f>
        <v/>
      </c>
      <c r="AO412" s="63" t="str">
        <f aca="false">IF(AN412&lt;&gt;"", AN412*AG412,"")</f>
        <v/>
      </c>
      <c r="AP412" s="63" t="str">
        <f aca="false">IF($AE412=Constants!$B$7,IF($AP$6=0,Constants!$B$8,Constants!$B$8*AB412/$AP$6),"")</f>
        <v/>
      </c>
      <c r="AQ412" s="63" t="str">
        <f aca="false">IF($AE412&lt;&gt;Constants!$B$7,$AE412,AK412+AO412+AP412)</f>
        <v/>
      </c>
      <c r="AR412" s="63" t="str">
        <f aca="false">IF(ISBLANK($C412),"",IF($AE412=Constants!$B$7,RANK(AQ412,$AQ$8:$AQ$507),$AE412))</f>
        <v/>
      </c>
      <c r="AS412" s="63" t="str">
        <f aca="false">IF(ISBLANK($C412), "",AK412)</f>
        <v/>
      </c>
      <c r="AT412" s="63" t="str">
        <f aca="false">IF(ISBLANK($C412),"",IF($AE412=Constants!$B$7,RANK(AS412,AS$8:AS$507),$AE412))</f>
        <v/>
      </c>
      <c r="AU412" s="63" t="str">
        <f aca="false">IF(ISBLANK($C412), "",AP412)</f>
        <v/>
      </c>
      <c r="AV412" s="63" t="str">
        <f aca="false">IF(ISBLANK($C412),"",IF($AE412=Constants!$B$7,RANK(AU412,AU$8:AU$507),$AE412))</f>
        <v/>
      </c>
      <c r="AW412" s="63" t="str">
        <f aca="false">IF(ISBLANK($C412), "",AC412)</f>
        <v/>
      </c>
      <c r="AX412" s="63" t="str">
        <f aca="false">IF(ISBLANK($C412),"",
IF($AE412=Constants!$B$7,
  COUNTIFS($AR$8:$AR$507,"&lt;"&amp;$AR412)
  + COUNTIFS($AR$8:$AR$507,$AR412,$AT$8:$AT$507,"&lt;"&amp;$AT412)
  + COUNTIFS($AR$8:$AR$507,$AR412,$AT$8:$AT$507,$AT412,$AV$8:$AV$507,"&lt;"&amp;$AV412)
  + COUNTIFS($AR$8:$AR$507,$AR412,$AT$8:$AT$507,$AT412,$AV$8:$AV$507,$AV412,$AW$8:$AW$507,"&lt;"&amp;$AW412)
  + 1,
$AE412))</f>
        <v/>
      </c>
      <c r="AY412" s="63" t="str">
        <f aca="false">IF(ISBLANK(C412),"",IF($AE412=Constants!$B$7, AR412-AX412,$AE412))</f>
        <v/>
      </c>
      <c r="AZ412" s="67"/>
      <c r="BA412" s="81" t="str">
        <f aca="false">IF(ISBLANK($C412),"",TRIM(AI412&amp;" "&amp;AM412))</f>
        <v/>
      </c>
      <c r="BB412" s="69" t="str">
        <f aca="false">IF(ISBLANK($C412),"",IF($AE412&lt;&gt;Constants!$B$7, $AE412 ,AQ412))</f>
        <v/>
      </c>
      <c r="BC412" s="70" t="str">
        <f aca="false">IF(ISBLANK($C412),"",IF($AE412&lt;&gt;Constants!$B$7, $AE412 ,AF412))</f>
        <v/>
      </c>
      <c r="BD412" s="71" t="str">
        <f aca="false">IF(ISBLANK(C412),"",AY412)</f>
        <v/>
      </c>
      <c r="BE412" s="71" t="str">
        <f aca="false">IF(ISBLANK(C412),"",AX412)</f>
        <v/>
      </c>
      <c r="BF412" s="72" t="str">
        <f aca="false">IF(ISBLANK(C412),"",IFERROR(_xlfn.SWITCH(BE412, Constants!$B$4, COUNTA($C$8:$C911)+2, Constants!$B$5, COUNTA($C$8:$C911)+1, Constants!$B$6, COUNTA($C$8:$C911)),BE412))</f>
        <v/>
      </c>
      <c r="BG412" s="5"/>
      <c r="BH412" s="73" t="n">
        <f aca="false">IF(OR(ISNUMBER(BE412),BE412="DQ",BE412="P",BE412="NS"),
    1,
    0
)</f>
        <v>0</v>
      </c>
      <c r="BI412" s="73" t="n">
        <v>405</v>
      </c>
      <c r="BJ412" s="73" t="str">
        <f aca="false">IF(ISBLANK($C412),
    "",
   BF412+ROW($B412)/1000
)</f>
        <v/>
      </c>
      <c r="BK412" s="73" t="str">
        <f aca="false">IF(ISNUMBER(BJ412), RANK(BJ412,BJ$8:BJ$507,1), "")</f>
        <v/>
      </c>
      <c r="BL412" s="73" t="str">
        <f aca="false">IF(ISBLANK($C412),
    "",
    $B412
)</f>
        <v/>
      </c>
      <c r="BM412" s="73" t="str">
        <f aca="false">IF(ISBLANK($C412),
    "",
    $C412
)</f>
        <v/>
      </c>
      <c r="BN412" s="73" t="str">
        <f aca="false">IF(ISBLANK($C412),
    "",
    $D412
)</f>
        <v/>
      </c>
      <c r="BO412" s="74" t="str">
        <f aca="false">BC412</f>
        <v/>
      </c>
      <c r="BP412" s="75" t="str">
        <f aca="false">BB412</f>
        <v/>
      </c>
      <c r="BQ412" s="73" t="str">
        <f aca="false">IF(ISBLANK($C412),
    "",
    BE412
)</f>
        <v/>
      </c>
      <c r="BR412" s="76" t="str">
        <f aca="false">IF(BI412&gt;BH$7,
    "",
    VLOOKUP(BI412,BK$8:BQ911,7,FALSE())
)</f>
        <v/>
      </c>
      <c r="BS412" s="77" t="str">
        <f aca="false">IF(BI412&gt;BH$7,
    "",
    VLOOKUP(BI412,BK$8:BQ911,2,FALSE())
)</f>
        <v/>
      </c>
      <c r="BT412" s="77" t="str">
        <f aca="false">IF(BI412&gt;BH$7,
    "",
    VLOOKUP(BI412,BK$8:BQ911,3,FALSE())
)</f>
        <v/>
      </c>
      <c r="BU412" s="77" t="str">
        <f aca="false">IF(BI412&gt;BH$7,
    "",
    VLOOKUP(BI412,BK$8:BQ911,4,FALSE())
)</f>
        <v/>
      </c>
      <c r="BV412" s="77" t="str">
        <f aca="false">IF(BI412&gt;BH$7,
    "",
    VLOOKUP(BI412,BK$8:BQ911,5,FALSE())
)</f>
        <v/>
      </c>
      <c r="BW412" s="78" t="str">
        <f aca="false">IF(BI412&gt;BH$7,
    "",
    VLOOKUP(BI412,BK$8:BQ911,6,FALSE())
)</f>
        <v/>
      </c>
      <c r="BX412" s="50"/>
    </row>
    <row r="413" customFormat="false" ht="15.75" hidden="false" customHeight="false" outlineLevel="0" collapsed="false">
      <c r="A413" s="5"/>
      <c r="B413" s="122"/>
      <c r="C413" s="123"/>
      <c r="D413" s="112"/>
      <c r="E413" s="116"/>
      <c r="F413" s="116"/>
      <c r="G413" s="88"/>
      <c r="H413" s="89"/>
      <c r="I413" s="125"/>
      <c r="J413" s="125"/>
      <c r="K413" s="125"/>
      <c r="L413" s="91"/>
      <c r="M413" s="91"/>
      <c r="N413" s="91"/>
      <c r="O413" s="92"/>
      <c r="P413" s="93"/>
      <c r="Q413" s="125"/>
      <c r="R413" s="95"/>
      <c r="S413" s="96"/>
      <c r="T413" s="96" t="str">
        <f aca="false">IF(ISBLANK($C413),"",IF(G413=Constants!$B$2, TRUE(), IF(G413=Constants!$B$3, FALSE(), TRUE())))</f>
        <v/>
      </c>
      <c r="U413" s="96" t="str">
        <f aca="false">IF(ISBLANK($C413),"",IF(H413=Constants!$B$2, TRUE(), IF(H413=Constants!$B$3, FALSE(), TRUE())))</f>
        <v/>
      </c>
      <c r="V413" s="96" t="str">
        <f aca="false">IF(ISBLANK($C413),"",IF(I413=Constants!$B$2, TRUE(), IF(I413=Constants!$B$3, FALSE(), TRUE())))</f>
        <v/>
      </c>
      <c r="W413" s="96" t="str">
        <f aca="false">IF(ISBLANK($C413),"",IF(J413=Constants!$B$2, TRUE(), IF(J413=Constants!$B$3, FALSE(), TRUE())))</f>
        <v/>
      </c>
      <c r="X413" s="97" t="str">
        <f aca="false">IF(ISBLANK($C413),"",IF(K413=Constants!$B$2, TRUE(), IF(K413=Constants!$B$3, FALSE(), TRUE())))</f>
        <v/>
      </c>
      <c r="Y413" s="98" t="str">
        <f aca="false">IF(ISBLANK($C413),"",IF(ISNUMBER(L413), L413, ""))</f>
        <v/>
      </c>
      <c r="Z413" s="98" t="str">
        <f aca="false">IF(ISBLANK($C413),"",IF(ISNUMBER(M413), M413, ""))</f>
        <v/>
      </c>
      <c r="AA413" s="98" t="str">
        <f aca="false">IF(ISBLANK($C413),"",IF(ISNUMBER(N413), N413, ""))</f>
        <v/>
      </c>
      <c r="AB413" s="99" t="str">
        <f aca="false">IF(ISBLANK($C413),"",IF(ISNUMBER(O413), O413, ""))</f>
        <v/>
      </c>
      <c r="AC413" s="99" t="str">
        <f aca="false">IF(ISBLANK($C413),"",IF(ISNUMBER(P413), P413, Constants!$B$13))</f>
        <v/>
      </c>
      <c r="AD413" s="96" t="str">
        <f aca="false">IF(ISBLANK($C413),"",IF(Q413=Constants!$B$2, TRUE(), IF(Q413=Constants!$B$3, FALSE(), FALSE())))</f>
        <v/>
      </c>
      <c r="AE413" s="96" t="str">
        <f aca="false">IF(ISBLANK(C413), "", IF(AD413, Constants!$B$4,IF(COUNTA(G413:O413)=0, Constants!$B$5, Constants!$B$7)))</f>
        <v/>
      </c>
      <c r="AF413" s="96" t="str">
        <f aca="false">IF(ISBLANK($C413), "",IF($AE413=Constants!$B$7,1,$AE413))</f>
        <v/>
      </c>
      <c r="AG413" s="96" t="str">
        <f aca="false">IF($AE413=Constants!$B$7,IF(V413, 1, Constants!$B$11) * IF(X413, 1, Constants!$B$12),"")</f>
        <v/>
      </c>
      <c r="AH413" s="96" t="str">
        <f aca="false">IF(AND($AE413=Constants!$B$7, T413, U413) ,MAX(0, $AA413-$Y413),"")</f>
        <v/>
      </c>
      <c r="AI413" s="96" t="str">
        <f aca="false">IF(ISERROR(AH413),$AI$6,"")</f>
        <v/>
      </c>
      <c r="AJ413" s="96" t="str">
        <f aca="false">IF($AE413=Constants!$B$7,IF(AND(T413,U413,W413),IF($AH$6=0,Constants!$B$9,Constants!$B$9*AH413/$AH$6), 0),"")</f>
        <v/>
      </c>
      <c r="AK413" s="96" t="str">
        <f aca="false">IF(AJ413&lt;&gt;"", AJ413*AG413,"")</f>
        <v/>
      </c>
      <c r="AL413" s="96" t="str">
        <f aca="false">IF(AND($AE413=Constants!$B$7, T413, U413) ,IF($Z413="", "", MAX(0,1-ABS($AA413-$Z413)/$AA413)),"")</f>
        <v/>
      </c>
      <c r="AM413" s="96" t="str">
        <f aca="false">IF(AND(NOT(ISERROR(AH413)),ISERROR(AL413)),$AM$6,"")</f>
        <v/>
      </c>
      <c r="AN413" s="96" t="str">
        <f aca="false">IF($AE413=Constants!$B$7 ,IF(AND(T413,U413,W413,ISNUMBER(Z413)),IF($AL$6=0,Constants!$B$10,Constants!$B$10*AL413/$AL$6), 0),"")</f>
        <v/>
      </c>
      <c r="AO413" s="96" t="str">
        <f aca="false">IF(AN413&lt;&gt;"", AN413*AG413,"")</f>
        <v/>
      </c>
      <c r="AP413" s="96" t="str">
        <f aca="false">IF($AE413=Constants!$B$7,IF($AP$6=0,Constants!$B$8,Constants!$B$8*AB413/$AP$6),"")</f>
        <v/>
      </c>
      <c r="AQ413" s="96" t="str">
        <f aca="false">IF($AE413&lt;&gt;Constants!$B$7,$AE413,AK413+AO413+AP413)</f>
        <v/>
      </c>
      <c r="AR413" s="96" t="str">
        <f aca="false">IF(ISBLANK($C413),"",IF($AE413=Constants!$B$7,RANK(AQ413,$AQ$8:$AQ$507),$AE413))</f>
        <v/>
      </c>
      <c r="AS413" s="96" t="str">
        <f aca="false">IF(ISBLANK($C413), "",AK413)</f>
        <v/>
      </c>
      <c r="AT413" s="96" t="str">
        <f aca="false">IF(ISBLANK($C413),"",IF($AE413=Constants!$B$7,RANK(AS413,AS$8:AS$507),$AE413))</f>
        <v/>
      </c>
      <c r="AU413" s="96" t="str">
        <f aca="false">IF(ISBLANK($C413), "",AP413)</f>
        <v/>
      </c>
      <c r="AV413" s="96" t="str">
        <f aca="false">IF(ISBLANK($C413),"",IF($AE413=Constants!$B$7,RANK(AU413,AU$8:AU$507),$AE413))</f>
        <v/>
      </c>
      <c r="AW413" s="96" t="str">
        <f aca="false">IF(ISBLANK($C413), "",AC413)</f>
        <v/>
      </c>
      <c r="AX413" s="96" t="str">
        <f aca="false">IF(ISBLANK($C413),"",
IF($AE413=Constants!$B$7,
  COUNTIFS($AR$8:$AR$507,"&lt;"&amp;$AR413)
  + COUNTIFS($AR$8:$AR$507,$AR413,$AT$8:$AT$507,"&lt;"&amp;$AT413)
  + COUNTIFS($AR$8:$AR$507,$AR413,$AT$8:$AT$507,$AT413,$AV$8:$AV$507,"&lt;"&amp;$AV413)
  + COUNTIFS($AR$8:$AR$507,$AR413,$AT$8:$AT$507,$AT413,$AV$8:$AV$507,$AV413,$AW$8:$AW$507,"&lt;"&amp;$AW413)
  + 1,
$AE413))</f>
        <v/>
      </c>
      <c r="AY413" s="96" t="str">
        <f aca="false">IF(ISBLANK(C413),"",IF($AE413=Constants!$B$7, AR413-AX413,$AE413))</f>
        <v/>
      </c>
      <c r="AZ413" s="100"/>
      <c r="BA413" s="101" t="str">
        <f aca="false">IF(ISBLANK($C413),"",TRIM(AI413&amp;" "&amp;AM413))</f>
        <v/>
      </c>
      <c r="BB413" s="102" t="str">
        <f aca="false">IF(ISBLANK($C413),"",IF($AE413&lt;&gt;Constants!$B$7, $AE413 ,AQ413))</f>
        <v/>
      </c>
      <c r="BC413" s="103" t="str">
        <f aca="false">IF(ISBLANK($C413),"",IF($AE413&lt;&gt;Constants!$B$7, $AE413 ,AF413))</f>
        <v/>
      </c>
      <c r="BD413" s="104" t="str">
        <f aca="false">IF(ISBLANK(C413),"",AY413)</f>
        <v/>
      </c>
      <c r="BE413" s="104" t="str">
        <f aca="false">IF(ISBLANK(C413),"",AX413)</f>
        <v/>
      </c>
      <c r="BF413" s="105" t="str">
        <f aca="false">IF(ISBLANK(C413),"",IFERROR(_xlfn.SWITCH(BE413, Constants!$B$4, COUNTA($C$8:$C912)+2, Constants!$B$5, COUNTA($C$8:$C912)+1, Constants!$B$6, COUNTA($C$8:$C912)),BE413))</f>
        <v/>
      </c>
      <c r="BG413" s="5"/>
      <c r="BH413" s="106" t="n">
        <f aca="false">IF(OR(ISNUMBER(BE413),BE413="DQ",BE413="P",BE413="NS"),
    1,
    0
)</f>
        <v>0</v>
      </c>
      <c r="BI413" s="106" t="n">
        <v>406</v>
      </c>
      <c r="BJ413" s="106" t="str">
        <f aca="false">IF(ISBLANK($C413),
    "",
   BF413+ROW($B413)/1000
)</f>
        <v/>
      </c>
      <c r="BK413" s="106" t="str">
        <f aca="false">IF(ISNUMBER(BJ413), RANK(BJ413,BJ$8:BJ$507,1), "")</f>
        <v/>
      </c>
      <c r="BL413" s="106" t="str">
        <f aca="false">IF(ISBLANK($C413),
    "",
    $B413
)</f>
        <v/>
      </c>
      <c r="BM413" s="106" t="str">
        <f aca="false">IF(ISBLANK($C413),
    "",
    $C413
)</f>
        <v/>
      </c>
      <c r="BN413" s="106" t="str">
        <f aca="false">IF(ISBLANK($C413),
    "",
    $D413
)</f>
        <v/>
      </c>
      <c r="BO413" s="107" t="str">
        <f aca="false">BC413</f>
        <v/>
      </c>
      <c r="BP413" s="108" t="str">
        <f aca="false">BB413</f>
        <v/>
      </c>
      <c r="BQ413" s="106" t="str">
        <f aca="false">IF(ISBLANK($C413),
    "",
    BE413
)</f>
        <v/>
      </c>
      <c r="BR413" s="109" t="str">
        <f aca="false">IF(BI413&gt;BH$7,
    "",
    VLOOKUP(BI413,BK$8:BQ912,7,FALSE())
)</f>
        <v/>
      </c>
      <c r="BS413" s="110" t="str">
        <f aca="false">IF(BI413&gt;BH$7,
    "",
    VLOOKUP(BI413,BK$8:BQ912,2,FALSE())
)</f>
        <v/>
      </c>
      <c r="BT413" s="110" t="str">
        <f aca="false">IF(BI413&gt;BH$7,
    "",
    VLOOKUP(BI413,BK$8:BQ912,3,FALSE())
)</f>
        <v/>
      </c>
      <c r="BU413" s="110" t="str">
        <f aca="false">IF(BI413&gt;BH$7,
    "",
    VLOOKUP(BI413,BK$8:BQ912,4,FALSE())
)</f>
        <v/>
      </c>
      <c r="BV413" s="110" t="str">
        <f aca="false">IF(BI413&gt;BH$7,
    "",
    VLOOKUP(BI413,BK$8:BQ912,5,FALSE())
)</f>
        <v/>
      </c>
      <c r="BW413" s="111" t="str">
        <f aca="false">IF(BI413&gt;BH$7,
    "",
    VLOOKUP(BI413,BK$8:BQ912,6,FALSE())
)</f>
        <v/>
      </c>
      <c r="BX413" s="50"/>
    </row>
    <row r="414" customFormat="false" ht="15.75" hidden="false" customHeight="false" outlineLevel="0" collapsed="false">
      <c r="A414" s="5"/>
      <c r="B414" s="122"/>
      <c r="C414" s="123"/>
      <c r="D414" s="112"/>
      <c r="E414" s="116"/>
      <c r="F414" s="116"/>
      <c r="G414" s="88"/>
      <c r="H414" s="89"/>
      <c r="I414" s="125"/>
      <c r="J414" s="125"/>
      <c r="K414" s="125"/>
      <c r="L414" s="91"/>
      <c r="M414" s="91"/>
      <c r="N414" s="91"/>
      <c r="O414" s="92"/>
      <c r="P414" s="93"/>
      <c r="Q414" s="125"/>
      <c r="R414" s="95"/>
      <c r="S414" s="96"/>
      <c r="T414" s="96" t="str">
        <f aca="false">IF(ISBLANK($C414),"",IF(G414=Constants!$B$2, TRUE(), IF(G414=Constants!$B$3, FALSE(), TRUE())))</f>
        <v/>
      </c>
      <c r="U414" s="96" t="str">
        <f aca="false">IF(ISBLANK($C414),"",IF(H414=Constants!$B$2, TRUE(), IF(H414=Constants!$B$3, FALSE(), TRUE())))</f>
        <v/>
      </c>
      <c r="V414" s="96" t="str">
        <f aca="false">IF(ISBLANK($C414),"",IF(I414=Constants!$B$2, TRUE(), IF(I414=Constants!$B$3, FALSE(), TRUE())))</f>
        <v/>
      </c>
      <c r="W414" s="96" t="str">
        <f aca="false">IF(ISBLANK($C414),"",IF(J414=Constants!$B$2, TRUE(), IF(J414=Constants!$B$3, FALSE(), TRUE())))</f>
        <v/>
      </c>
      <c r="X414" s="97" t="str">
        <f aca="false">IF(ISBLANK($C414),"",IF(K414=Constants!$B$2, TRUE(), IF(K414=Constants!$B$3, FALSE(), TRUE())))</f>
        <v/>
      </c>
      <c r="Y414" s="98" t="str">
        <f aca="false">IF(ISBLANK($C414),"",IF(ISNUMBER(L414), L414, ""))</f>
        <v/>
      </c>
      <c r="Z414" s="98" t="str">
        <f aca="false">IF(ISBLANK($C414),"",IF(ISNUMBER(M414), M414, ""))</f>
        <v/>
      </c>
      <c r="AA414" s="98" t="str">
        <f aca="false">IF(ISBLANK($C414),"",IF(ISNUMBER(N414), N414, ""))</f>
        <v/>
      </c>
      <c r="AB414" s="99" t="str">
        <f aca="false">IF(ISBLANK($C414),"",IF(ISNUMBER(O414), O414, ""))</f>
        <v/>
      </c>
      <c r="AC414" s="99" t="str">
        <f aca="false">IF(ISBLANK($C414),"",IF(ISNUMBER(P414), P414, Constants!$B$13))</f>
        <v/>
      </c>
      <c r="AD414" s="96" t="str">
        <f aca="false">IF(ISBLANK($C414),"",IF(Q414=Constants!$B$2, TRUE(), IF(Q414=Constants!$B$3, FALSE(), FALSE())))</f>
        <v/>
      </c>
      <c r="AE414" s="96" t="str">
        <f aca="false">IF(ISBLANK(C414), "", IF(AD414, Constants!$B$4,IF(COUNTA(G414:O414)=0, Constants!$B$5, Constants!$B$7)))</f>
        <v/>
      </c>
      <c r="AF414" s="96" t="str">
        <f aca="false">IF(ISBLANK($C414), "",IF($AE414=Constants!$B$7,1,$AE414))</f>
        <v/>
      </c>
      <c r="AG414" s="96" t="str">
        <f aca="false">IF($AE414=Constants!$B$7,IF(V414, 1, Constants!$B$11) * IF(X414, 1, Constants!$B$12),"")</f>
        <v/>
      </c>
      <c r="AH414" s="96" t="str">
        <f aca="false">IF(AND($AE414=Constants!$B$7, T414, U414) ,MAX(0, $AA414-$Y414),"")</f>
        <v/>
      </c>
      <c r="AI414" s="96" t="str">
        <f aca="false">IF(ISERROR(AH414),$AI$6,"")</f>
        <v/>
      </c>
      <c r="AJ414" s="96" t="str">
        <f aca="false">IF($AE414=Constants!$B$7,IF(AND(T414,U414,W414),IF($AH$6=0,Constants!$B$9,Constants!$B$9*AH414/$AH$6), 0),"")</f>
        <v/>
      </c>
      <c r="AK414" s="96" t="str">
        <f aca="false">IF(AJ414&lt;&gt;"", AJ414*AG414,"")</f>
        <v/>
      </c>
      <c r="AL414" s="96" t="str">
        <f aca="false">IF(AND($AE414=Constants!$B$7, T414, U414) ,IF($Z414="", "", MAX(0,1-ABS($AA414-$Z414)/$AA414)),"")</f>
        <v/>
      </c>
      <c r="AM414" s="96" t="str">
        <f aca="false">IF(AND(NOT(ISERROR(AH414)),ISERROR(AL414)),$AM$6,"")</f>
        <v/>
      </c>
      <c r="AN414" s="96" t="str">
        <f aca="false">IF($AE414=Constants!$B$7 ,IF(AND(T414,U414,W414,ISNUMBER(Z414)),IF($AL$6=0,Constants!$B$10,Constants!$B$10*AL414/$AL$6), 0),"")</f>
        <v/>
      </c>
      <c r="AO414" s="96" t="str">
        <f aca="false">IF(AN414&lt;&gt;"", AN414*AG414,"")</f>
        <v/>
      </c>
      <c r="AP414" s="96" t="str">
        <f aca="false">IF($AE414=Constants!$B$7,IF($AP$6=0,Constants!$B$8,Constants!$B$8*AB414/$AP$6),"")</f>
        <v/>
      </c>
      <c r="AQ414" s="96" t="str">
        <f aca="false">IF($AE414&lt;&gt;Constants!$B$7,$AE414,AK414+AO414+AP414)</f>
        <v/>
      </c>
      <c r="AR414" s="96" t="str">
        <f aca="false">IF(ISBLANK($C414),"",IF($AE414=Constants!$B$7,RANK(AQ414,$AQ$8:$AQ$507),$AE414))</f>
        <v/>
      </c>
      <c r="AS414" s="96" t="str">
        <f aca="false">IF(ISBLANK($C414), "",AK414)</f>
        <v/>
      </c>
      <c r="AT414" s="96" t="str">
        <f aca="false">IF(ISBLANK($C414),"",IF($AE414=Constants!$B$7,RANK(AS414,AS$8:AS$507),$AE414))</f>
        <v/>
      </c>
      <c r="AU414" s="96" t="str">
        <f aca="false">IF(ISBLANK($C414), "",AP414)</f>
        <v/>
      </c>
      <c r="AV414" s="96" t="str">
        <f aca="false">IF(ISBLANK($C414),"",IF($AE414=Constants!$B$7,RANK(AU414,AU$8:AU$507),$AE414))</f>
        <v/>
      </c>
      <c r="AW414" s="96" t="str">
        <f aca="false">IF(ISBLANK($C414), "",AC414)</f>
        <v/>
      </c>
      <c r="AX414" s="96" t="str">
        <f aca="false">IF(ISBLANK($C414),"",
IF($AE414=Constants!$B$7,
  COUNTIFS($AR$8:$AR$507,"&lt;"&amp;$AR414)
  + COUNTIFS($AR$8:$AR$507,$AR414,$AT$8:$AT$507,"&lt;"&amp;$AT414)
  + COUNTIFS($AR$8:$AR$507,$AR414,$AT$8:$AT$507,$AT414,$AV$8:$AV$507,"&lt;"&amp;$AV414)
  + COUNTIFS($AR$8:$AR$507,$AR414,$AT$8:$AT$507,$AT414,$AV$8:$AV$507,$AV414,$AW$8:$AW$507,"&lt;"&amp;$AW414)
  + 1,
$AE414))</f>
        <v/>
      </c>
      <c r="AY414" s="96" t="str">
        <f aca="false">IF(ISBLANK(C414),"",IF($AE414=Constants!$B$7, AR414-AX414,$AE414))</f>
        <v/>
      </c>
      <c r="AZ414" s="100"/>
      <c r="BA414" s="101" t="str">
        <f aca="false">IF(ISBLANK($C414),"",TRIM(AI414&amp;" "&amp;AM414))</f>
        <v/>
      </c>
      <c r="BB414" s="102" t="str">
        <f aca="false">IF(ISBLANK($C414),"",IF($AE414&lt;&gt;Constants!$B$7, $AE414 ,AQ414))</f>
        <v/>
      </c>
      <c r="BC414" s="103" t="str">
        <f aca="false">IF(ISBLANK($C414),"",IF($AE414&lt;&gt;Constants!$B$7, $AE414 ,AF414))</f>
        <v/>
      </c>
      <c r="BD414" s="104" t="str">
        <f aca="false">IF(ISBLANK(C414),"",AY414)</f>
        <v/>
      </c>
      <c r="BE414" s="104" t="str">
        <f aca="false">IF(ISBLANK(C414),"",AX414)</f>
        <v/>
      </c>
      <c r="BF414" s="105" t="str">
        <f aca="false">IF(ISBLANK(C414),"",IFERROR(_xlfn.SWITCH(BE414, Constants!$B$4, COUNTA($C$8:$C913)+2, Constants!$B$5, COUNTA($C$8:$C913)+1, Constants!$B$6, COUNTA($C$8:$C913)),BE414))</f>
        <v/>
      </c>
      <c r="BG414" s="5"/>
      <c r="BH414" s="106" t="n">
        <f aca="false">IF(OR(ISNUMBER(BE414),BE414="DQ",BE414="P",BE414="NS"),
    1,
    0
)</f>
        <v>0</v>
      </c>
      <c r="BI414" s="106" t="n">
        <v>407</v>
      </c>
      <c r="BJ414" s="106" t="str">
        <f aca="false">IF(ISBLANK($C414),
    "",
   BF414+ROW($B414)/1000
)</f>
        <v/>
      </c>
      <c r="BK414" s="106" t="str">
        <f aca="false">IF(ISNUMBER(BJ414), RANK(BJ414,BJ$8:BJ$507,1), "")</f>
        <v/>
      </c>
      <c r="BL414" s="106" t="str">
        <f aca="false">IF(ISBLANK($C414),
    "",
    $B414
)</f>
        <v/>
      </c>
      <c r="BM414" s="106" t="str">
        <f aca="false">IF(ISBLANK($C414),
    "",
    $C414
)</f>
        <v/>
      </c>
      <c r="BN414" s="106" t="str">
        <f aca="false">IF(ISBLANK($C414),
    "",
    $D414
)</f>
        <v/>
      </c>
      <c r="BO414" s="107" t="str">
        <f aca="false">BC414</f>
        <v/>
      </c>
      <c r="BP414" s="108" t="str">
        <f aca="false">BB414</f>
        <v/>
      </c>
      <c r="BQ414" s="106" t="str">
        <f aca="false">IF(ISBLANK($C414),
    "",
    BE414
)</f>
        <v/>
      </c>
      <c r="BR414" s="109" t="str">
        <f aca="false">IF(BI414&gt;BH$7,
    "",
    VLOOKUP(BI414,BK$8:BQ913,7,FALSE())
)</f>
        <v/>
      </c>
      <c r="BS414" s="110" t="str">
        <f aca="false">IF(BI414&gt;BH$7,
    "",
    VLOOKUP(BI414,BK$8:BQ913,2,FALSE())
)</f>
        <v/>
      </c>
      <c r="BT414" s="110" t="str">
        <f aca="false">IF(BI414&gt;BH$7,
    "",
    VLOOKUP(BI414,BK$8:BQ913,3,FALSE())
)</f>
        <v/>
      </c>
      <c r="BU414" s="110" t="str">
        <f aca="false">IF(BI414&gt;BH$7,
    "",
    VLOOKUP(BI414,BK$8:BQ913,4,FALSE())
)</f>
        <v/>
      </c>
      <c r="BV414" s="110" t="str">
        <f aca="false">IF(BI414&gt;BH$7,
    "",
    VLOOKUP(BI414,BK$8:BQ913,5,FALSE())
)</f>
        <v/>
      </c>
      <c r="BW414" s="111" t="str">
        <f aca="false">IF(BI414&gt;BH$7,
    "",
    VLOOKUP(BI414,BK$8:BQ913,6,FALSE())
)</f>
        <v/>
      </c>
      <c r="BX414" s="50"/>
    </row>
    <row r="415" customFormat="false" ht="15.75" hidden="false" customHeight="false" outlineLevel="0" collapsed="false">
      <c r="A415" s="5"/>
      <c r="B415" s="122"/>
      <c r="C415" s="123"/>
      <c r="D415" s="112"/>
      <c r="E415" s="116"/>
      <c r="F415" s="116"/>
      <c r="G415" s="88"/>
      <c r="H415" s="89"/>
      <c r="I415" s="125"/>
      <c r="J415" s="125"/>
      <c r="K415" s="125"/>
      <c r="L415" s="91"/>
      <c r="M415" s="91"/>
      <c r="N415" s="91"/>
      <c r="O415" s="92"/>
      <c r="P415" s="93"/>
      <c r="Q415" s="125"/>
      <c r="R415" s="95"/>
      <c r="S415" s="96"/>
      <c r="T415" s="96" t="str">
        <f aca="false">IF(ISBLANK($C415),"",IF(G415=Constants!$B$2, TRUE(), IF(G415=Constants!$B$3, FALSE(), TRUE())))</f>
        <v/>
      </c>
      <c r="U415" s="96" t="str">
        <f aca="false">IF(ISBLANK($C415),"",IF(H415=Constants!$B$2, TRUE(), IF(H415=Constants!$B$3, FALSE(), TRUE())))</f>
        <v/>
      </c>
      <c r="V415" s="96" t="str">
        <f aca="false">IF(ISBLANK($C415),"",IF(I415=Constants!$B$2, TRUE(), IF(I415=Constants!$B$3, FALSE(), TRUE())))</f>
        <v/>
      </c>
      <c r="W415" s="96" t="str">
        <f aca="false">IF(ISBLANK($C415),"",IF(J415=Constants!$B$2, TRUE(), IF(J415=Constants!$B$3, FALSE(), TRUE())))</f>
        <v/>
      </c>
      <c r="X415" s="97" t="str">
        <f aca="false">IF(ISBLANK($C415),"",IF(K415=Constants!$B$2, TRUE(), IF(K415=Constants!$B$3, FALSE(), TRUE())))</f>
        <v/>
      </c>
      <c r="Y415" s="98" t="str">
        <f aca="false">IF(ISBLANK($C415),"",IF(ISNUMBER(L415), L415, ""))</f>
        <v/>
      </c>
      <c r="Z415" s="98" t="str">
        <f aca="false">IF(ISBLANK($C415),"",IF(ISNUMBER(M415), M415, ""))</f>
        <v/>
      </c>
      <c r="AA415" s="98" t="str">
        <f aca="false">IF(ISBLANK($C415),"",IF(ISNUMBER(N415), N415, ""))</f>
        <v/>
      </c>
      <c r="AB415" s="99" t="str">
        <f aca="false">IF(ISBLANK($C415),"",IF(ISNUMBER(O415), O415, ""))</f>
        <v/>
      </c>
      <c r="AC415" s="99" t="str">
        <f aca="false">IF(ISBLANK($C415),"",IF(ISNUMBER(P415), P415, Constants!$B$13))</f>
        <v/>
      </c>
      <c r="AD415" s="96" t="str">
        <f aca="false">IF(ISBLANK($C415),"",IF(Q415=Constants!$B$2, TRUE(), IF(Q415=Constants!$B$3, FALSE(), FALSE())))</f>
        <v/>
      </c>
      <c r="AE415" s="96" t="str">
        <f aca="false">IF(ISBLANK(C415), "", IF(AD415, Constants!$B$4,IF(COUNTA(G415:O415)=0, Constants!$B$5, Constants!$B$7)))</f>
        <v/>
      </c>
      <c r="AF415" s="96" t="str">
        <f aca="false">IF(ISBLANK($C415), "",IF($AE415=Constants!$B$7,1,$AE415))</f>
        <v/>
      </c>
      <c r="AG415" s="96" t="str">
        <f aca="false">IF($AE415=Constants!$B$7,IF(V415, 1, Constants!$B$11) * IF(X415, 1, Constants!$B$12),"")</f>
        <v/>
      </c>
      <c r="AH415" s="96" t="str">
        <f aca="false">IF(AND($AE415=Constants!$B$7, T415, U415) ,MAX(0, $AA415-$Y415),"")</f>
        <v/>
      </c>
      <c r="AI415" s="96" t="str">
        <f aca="false">IF(ISERROR(AH415),$AI$6,"")</f>
        <v/>
      </c>
      <c r="AJ415" s="96" t="str">
        <f aca="false">IF($AE415=Constants!$B$7,IF(AND(T415,U415,W415),IF($AH$6=0,Constants!$B$9,Constants!$B$9*AH415/$AH$6), 0),"")</f>
        <v/>
      </c>
      <c r="AK415" s="96" t="str">
        <f aca="false">IF(AJ415&lt;&gt;"", AJ415*AG415,"")</f>
        <v/>
      </c>
      <c r="AL415" s="96" t="str">
        <f aca="false">IF(AND($AE415=Constants!$B$7, T415, U415) ,IF($Z415="", "", MAX(0,1-ABS($AA415-$Z415)/$AA415)),"")</f>
        <v/>
      </c>
      <c r="AM415" s="96" t="str">
        <f aca="false">IF(AND(NOT(ISERROR(AH415)),ISERROR(AL415)),$AM$6,"")</f>
        <v/>
      </c>
      <c r="AN415" s="96" t="str">
        <f aca="false">IF($AE415=Constants!$B$7 ,IF(AND(T415,U415,W415,ISNUMBER(Z415)),IF($AL$6=0,Constants!$B$10,Constants!$B$10*AL415/$AL$6), 0),"")</f>
        <v/>
      </c>
      <c r="AO415" s="96" t="str">
        <f aca="false">IF(AN415&lt;&gt;"", AN415*AG415,"")</f>
        <v/>
      </c>
      <c r="AP415" s="96" t="str">
        <f aca="false">IF($AE415=Constants!$B$7,IF($AP$6=0,Constants!$B$8,Constants!$B$8*AB415/$AP$6),"")</f>
        <v/>
      </c>
      <c r="AQ415" s="96" t="str">
        <f aca="false">IF($AE415&lt;&gt;Constants!$B$7,$AE415,AK415+AO415+AP415)</f>
        <v/>
      </c>
      <c r="AR415" s="96" t="str">
        <f aca="false">IF(ISBLANK($C415),"",IF($AE415=Constants!$B$7,RANK(AQ415,$AQ$8:$AQ$507),$AE415))</f>
        <v/>
      </c>
      <c r="AS415" s="96" t="str">
        <f aca="false">IF(ISBLANK($C415), "",AK415)</f>
        <v/>
      </c>
      <c r="AT415" s="96" t="str">
        <f aca="false">IF(ISBLANK($C415),"",IF($AE415=Constants!$B$7,RANK(AS415,AS$8:AS$507),$AE415))</f>
        <v/>
      </c>
      <c r="AU415" s="96" t="str">
        <f aca="false">IF(ISBLANK($C415), "",AP415)</f>
        <v/>
      </c>
      <c r="AV415" s="96" t="str">
        <f aca="false">IF(ISBLANK($C415),"",IF($AE415=Constants!$B$7,RANK(AU415,AU$8:AU$507),$AE415))</f>
        <v/>
      </c>
      <c r="AW415" s="96" t="str">
        <f aca="false">IF(ISBLANK($C415), "",AC415)</f>
        <v/>
      </c>
      <c r="AX415" s="96" t="str">
        <f aca="false">IF(ISBLANK($C415),"",
IF($AE415=Constants!$B$7,
  COUNTIFS($AR$8:$AR$507,"&lt;"&amp;$AR415)
  + COUNTIFS($AR$8:$AR$507,$AR415,$AT$8:$AT$507,"&lt;"&amp;$AT415)
  + COUNTIFS($AR$8:$AR$507,$AR415,$AT$8:$AT$507,$AT415,$AV$8:$AV$507,"&lt;"&amp;$AV415)
  + COUNTIFS($AR$8:$AR$507,$AR415,$AT$8:$AT$507,$AT415,$AV$8:$AV$507,$AV415,$AW$8:$AW$507,"&lt;"&amp;$AW415)
  + 1,
$AE415))</f>
        <v/>
      </c>
      <c r="AY415" s="96" t="str">
        <f aca="false">IF(ISBLANK(C415),"",IF($AE415=Constants!$B$7, AR415-AX415,$AE415))</f>
        <v/>
      </c>
      <c r="AZ415" s="100"/>
      <c r="BA415" s="101" t="str">
        <f aca="false">IF(ISBLANK($C415),"",TRIM(AI415&amp;" "&amp;AM415))</f>
        <v/>
      </c>
      <c r="BB415" s="102" t="str">
        <f aca="false">IF(ISBLANK($C415),"",IF($AE415&lt;&gt;Constants!$B$7, $AE415 ,AQ415))</f>
        <v/>
      </c>
      <c r="BC415" s="103" t="str">
        <f aca="false">IF(ISBLANK($C415),"",IF($AE415&lt;&gt;Constants!$B$7, $AE415 ,AF415))</f>
        <v/>
      </c>
      <c r="BD415" s="104" t="str">
        <f aca="false">IF(ISBLANK(C415),"",AY415)</f>
        <v/>
      </c>
      <c r="BE415" s="104" t="str">
        <f aca="false">IF(ISBLANK(C415),"",AX415)</f>
        <v/>
      </c>
      <c r="BF415" s="105" t="str">
        <f aca="false">IF(ISBLANK(C415),"",IFERROR(_xlfn.SWITCH(BE415, Constants!$B$4, COUNTA($C$8:$C914)+2, Constants!$B$5, COUNTA($C$8:$C914)+1, Constants!$B$6, COUNTA($C$8:$C914)),BE415))</f>
        <v/>
      </c>
      <c r="BG415" s="5"/>
      <c r="BH415" s="106" t="n">
        <f aca="false">IF(OR(ISNUMBER(BE415),BE415="DQ",BE415="P",BE415="NS"),
    1,
    0
)</f>
        <v>0</v>
      </c>
      <c r="BI415" s="106" t="n">
        <v>408</v>
      </c>
      <c r="BJ415" s="106" t="str">
        <f aca="false">IF(ISBLANK($C415),
    "",
   BF415+ROW($B415)/1000
)</f>
        <v/>
      </c>
      <c r="BK415" s="106" t="str">
        <f aca="false">IF(ISNUMBER(BJ415), RANK(BJ415,BJ$8:BJ$507,1), "")</f>
        <v/>
      </c>
      <c r="BL415" s="106" t="str">
        <f aca="false">IF(ISBLANK($C415),
    "",
    $B415
)</f>
        <v/>
      </c>
      <c r="BM415" s="106" t="str">
        <f aca="false">IF(ISBLANK($C415),
    "",
    $C415
)</f>
        <v/>
      </c>
      <c r="BN415" s="106" t="str">
        <f aca="false">IF(ISBLANK($C415),
    "",
    $D415
)</f>
        <v/>
      </c>
      <c r="BO415" s="107" t="str">
        <f aca="false">BC415</f>
        <v/>
      </c>
      <c r="BP415" s="108" t="str">
        <f aca="false">BB415</f>
        <v/>
      </c>
      <c r="BQ415" s="106" t="str">
        <f aca="false">IF(ISBLANK($C415),
    "",
    BE415
)</f>
        <v/>
      </c>
      <c r="BR415" s="109" t="str">
        <f aca="false">IF(BI415&gt;BH$7,
    "",
    VLOOKUP(BI415,BK$8:BQ914,7,FALSE())
)</f>
        <v/>
      </c>
      <c r="BS415" s="110" t="str">
        <f aca="false">IF(BI415&gt;BH$7,
    "",
    VLOOKUP(BI415,BK$8:BQ914,2,FALSE())
)</f>
        <v/>
      </c>
      <c r="BT415" s="110" t="str">
        <f aca="false">IF(BI415&gt;BH$7,
    "",
    VLOOKUP(BI415,BK$8:BQ914,3,FALSE())
)</f>
        <v/>
      </c>
      <c r="BU415" s="110" t="str">
        <f aca="false">IF(BI415&gt;BH$7,
    "",
    VLOOKUP(BI415,BK$8:BQ914,4,FALSE())
)</f>
        <v/>
      </c>
      <c r="BV415" s="110" t="str">
        <f aca="false">IF(BI415&gt;BH$7,
    "",
    VLOOKUP(BI415,BK$8:BQ914,5,FALSE())
)</f>
        <v/>
      </c>
      <c r="BW415" s="111" t="str">
        <f aca="false">IF(BI415&gt;BH$7,
    "",
    VLOOKUP(BI415,BK$8:BQ914,6,FALSE())
)</f>
        <v/>
      </c>
      <c r="BX415" s="50"/>
    </row>
    <row r="416" customFormat="false" ht="15.75" hidden="false" customHeight="false" outlineLevel="0" collapsed="false">
      <c r="A416" s="5"/>
      <c r="B416" s="126"/>
      <c r="C416" s="52"/>
      <c r="D416" s="53"/>
      <c r="E416" s="120"/>
      <c r="F416" s="120"/>
      <c r="G416" s="55"/>
      <c r="H416" s="56"/>
      <c r="I416" s="80"/>
      <c r="J416" s="80"/>
      <c r="K416" s="80"/>
      <c r="L416" s="58"/>
      <c r="M416" s="58"/>
      <c r="N416" s="58"/>
      <c r="O416" s="59"/>
      <c r="P416" s="60"/>
      <c r="Q416" s="80"/>
      <c r="R416" s="62"/>
      <c r="S416" s="63"/>
      <c r="T416" s="63" t="str">
        <f aca="false">IF(ISBLANK($C416),"",IF(G416=Constants!$B$2, TRUE(), IF(G416=Constants!$B$3, FALSE(), TRUE())))</f>
        <v/>
      </c>
      <c r="U416" s="63" t="str">
        <f aca="false">IF(ISBLANK($C416),"",IF(H416=Constants!$B$2, TRUE(), IF(H416=Constants!$B$3, FALSE(), TRUE())))</f>
        <v/>
      </c>
      <c r="V416" s="63" t="str">
        <f aca="false">IF(ISBLANK($C416),"",IF(I416=Constants!$B$2, TRUE(), IF(I416=Constants!$B$3, FALSE(), TRUE())))</f>
        <v/>
      </c>
      <c r="W416" s="63" t="str">
        <f aca="false">IF(ISBLANK($C416),"",IF(J416=Constants!$B$2, TRUE(), IF(J416=Constants!$B$3, FALSE(), TRUE())))</f>
        <v/>
      </c>
      <c r="X416" s="63" t="str">
        <f aca="false">IF(ISBLANK($C416),"",IF(K416=Constants!$B$2, TRUE(), IF(K416=Constants!$B$3, FALSE(), TRUE())))</f>
        <v/>
      </c>
      <c r="Y416" s="65" t="str">
        <f aca="false">IF(ISBLANK($C416),"",IF(ISNUMBER(L416), L416, ""))</f>
        <v/>
      </c>
      <c r="Z416" s="65" t="str">
        <f aca="false">IF(ISBLANK($C416),"",IF(ISNUMBER(M416), M416, ""))</f>
        <v/>
      </c>
      <c r="AA416" s="65" t="str">
        <f aca="false">IF(ISBLANK($C416),"",IF(ISNUMBER(N416), N416, ""))</f>
        <v/>
      </c>
      <c r="AB416" s="66" t="str">
        <f aca="false">IF(ISBLANK($C416),"",IF(ISNUMBER(O416), O416, ""))</f>
        <v/>
      </c>
      <c r="AC416" s="66" t="str">
        <f aca="false">IF(ISBLANK($C416),"",IF(ISNUMBER(P416), P416, Constants!$B$13))</f>
        <v/>
      </c>
      <c r="AD416" s="63" t="str">
        <f aca="false">IF(ISBLANK($C416),"",IF(Q416=Constants!$B$2, TRUE(), IF(Q416=Constants!$B$3, FALSE(), FALSE())))</f>
        <v/>
      </c>
      <c r="AE416" s="63" t="str">
        <f aca="false">IF(ISBLANK(C416), "", IF(AD416, Constants!$B$4,IF(COUNTA(G416:O416)=0, Constants!$B$5, Constants!$B$7)))</f>
        <v/>
      </c>
      <c r="AF416" s="63" t="str">
        <f aca="false">IF(ISBLANK($C416), "",IF($AE416=Constants!$B$7,1,$AE416))</f>
        <v/>
      </c>
      <c r="AG416" s="63" t="str">
        <f aca="false">IF($AE416=Constants!$B$7,IF(V416, 1, Constants!$B$11) * IF(X416, 1, Constants!$B$12),"")</f>
        <v/>
      </c>
      <c r="AH416" s="63" t="str">
        <f aca="false">IF(AND($AE416=Constants!$B$7, T416, U416) ,MAX(0, $AA416-$Y416),"")</f>
        <v/>
      </c>
      <c r="AI416" s="63" t="str">
        <f aca="false">IF(ISERROR(AH416),$AI$6,"")</f>
        <v/>
      </c>
      <c r="AJ416" s="63" t="str">
        <f aca="false">IF($AE416=Constants!$B$7,IF(AND(T416,U416,W416),IF($AH$6=0,Constants!$B$9,Constants!$B$9*AH416/$AH$6), 0),"")</f>
        <v/>
      </c>
      <c r="AK416" s="63" t="str">
        <f aca="false">IF(AJ416&lt;&gt;"", AJ416*AG416,"")</f>
        <v/>
      </c>
      <c r="AL416" s="63" t="str">
        <f aca="false">IF(AND($AE416=Constants!$B$7, T416, U416) ,IF($Z416="", "", MAX(0,1-ABS($AA416-$Z416)/$AA416)),"")</f>
        <v/>
      </c>
      <c r="AM416" s="63" t="str">
        <f aca="false">IF(AND(NOT(ISERROR(AH416)),ISERROR(AL416)),$AM$6,"")</f>
        <v/>
      </c>
      <c r="AN416" s="63" t="str">
        <f aca="false">IF($AE416=Constants!$B$7 ,IF(AND(T416,U416,W416,ISNUMBER(Z416)),IF($AL$6=0,Constants!$B$10,Constants!$B$10*AL416/$AL$6), 0),"")</f>
        <v/>
      </c>
      <c r="AO416" s="63" t="str">
        <f aca="false">IF(AN416&lt;&gt;"", AN416*AG416,"")</f>
        <v/>
      </c>
      <c r="AP416" s="63" t="str">
        <f aca="false">IF($AE416=Constants!$B$7,IF($AP$6=0,Constants!$B$8,Constants!$B$8*AB416/$AP$6),"")</f>
        <v/>
      </c>
      <c r="AQ416" s="63" t="str">
        <f aca="false">IF($AE416&lt;&gt;Constants!$B$7,$AE416,AK416+AO416+AP416)</f>
        <v/>
      </c>
      <c r="AR416" s="63" t="str">
        <f aca="false">IF(ISBLANK($C416),"",IF($AE416=Constants!$B$7,RANK(AQ416,$AQ$8:$AQ$507),$AE416))</f>
        <v/>
      </c>
      <c r="AS416" s="63" t="str">
        <f aca="false">IF(ISBLANK($C416), "",AK416)</f>
        <v/>
      </c>
      <c r="AT416" s="63" t="str">
        <f aca="false">IF(ISBLANK($C416),"",IF($AE416=Constants!$B$7,RANK(AS416,AS$8:AS$507),$AE416))</f>
        <v/>
      </c>
      <c r="AU416" s="63" t="str">
        <f aca="false">IF(ISBLANK($C416), "",AP416)</f>
        <v/>
      </c>
      <c r="AV416" s="63" t="str">
        <f aca="false">IF(ISBLANK($C416),"",IF($AE416=Constants!$B$7,RANK(AU416,AU$8:AU$507),$AE416))</f>
        <v/>
      </c>
      <c r="AW416" s="63" t="str">
        <f aca="false">IF(ISBLANK($C416), "",AC416)</f>
        <v/>
      </c>
      <c r="AX416" s="63" t="str">
        <f aca="false">IF(ISBLANK($C416),"",
IF($AE416=Constants!$B$7,
  COUNTIFS($AR$8:$AR$507,"&lt;"&amp;$AR416)
  + COUNTIFS($AR$8:$AR$507,$AR416,$AT$8:$AT$507,"&lt;"&amp;$AT416)
  + COUNTIFS($AR$8:$AR$507,$AR416,$AT$8:$AT$507,$AT416,$AV$8:$AV$507,"&lt;"&amp;$AV416)
  + COUNTIFS($AR$8:$AR$507,$AR416,$AT$8:$AT$507,$AT416,$AV$8:$AV$507,$AV416,$AW$8:$AW$507,"&lt;"&amp;$AW416)
  + 1,
$AE416))</f>
        <v/>
      </c>
      <c r="AY416" s="63" t="str">
        <f aca="false">IF(ISBLANK(C416),"",IF($AE416=Constants!$B$7, AR416-AX416,$AE416))</f>
        <v/>
      </c>
      <c r="AZ416" s="67"/>
      <c r="BA416" s="81" t="str">
        <f aca="false">IF(ISBLANK($C416),"",TRIM(AI416&amp;" "&amp;AM416))</f>
        <v/>
      </c>
      <c r="BB416" s="69" t="str">
        <f aca="false">IF(ISBLANK($C416),"",IF($AE416&lt;&gt;Constants!$B$7, $AE416 ,AQ416))</f>
        <v/>
      </c>
      <c r="BC416" s="70" t="str">
        <f aca="false">IF(ISBLANK($C416),"",IF($AE416&lt;&gt;Constants!$B$7, $AE416 ,AF416))</f>
        <v/>
      </c>
      <c r="BD416" s="71" t="str">
        <f aca="false">IF(ISBLANK(C416),"",AY416)</f>
        <v/>
      </c>
      <c r="BE416" s="71" t="str">
        <f aca="false">IF(ISBLANK(C416),"",AX416)</f>
        <v/>
      </c>
      <c r="BF416" s="72" t="str">
        <f aca="false">IF(ISBLANK(C416),"",IFERROR(_xlfn.SWITCH(BE416, Constants!$B$4, COUNTA($C$8:$C915)+2, Constants!$B$5, COUNTA($C$8:$C915)+1, Constants!$B$6, COUNTA($C$8:$C915)),BE416))</f>
        <v/>
      </c>
      <c r="BG416" s="5"/>
      <c r="BH416" s="73" t="n">
        <f aca="false">IF(OR(ISNUMBER(BE416),BE416="DQ",BE416="P",BE416="NS"),
    1,
    0
)</f>
        <v>0</v>
      </c>
      <c r="BI416" s="73" t="n">
        <v>409</v>
      </c>
      <c r="BJ416" s="73" t="str">
        <f aca="false">IF(ISBLANK($C416),
    "",
   BF416+ROW($B416)/1000
)</f>
        <v/>
      </c>
      <c r="BK416" s="73" t="str">
        <f aca="false">IF(ISNUMBER(BJ416), RANK(BJ416,BJ$8:BJ$507,1), "")</f>
        <v/>
      </c>
      <c r="BL416" s="73" t="str">
        <f aca="false">IF(ISBLANK($C416),
    "",
    $B416
)</f>
        <v/>
      </c>
      <c r="BM416" s="73" t="str">
        <f aca="false">IF(ISBLANK($C416),
    "",
    $C416
)</f>
        <v/>
      </c>
      <c r="BN416" s="73" t="str">
        <f aca="false">IF(ISBLANK($C416),
    "",
    $D416
)</f>
        <v/>
      </c>
      <c r="BO416" s="74" t="str">
        <f aca="false">BC416</f>
        <v/>
      </c>
      <c r="BP416" s="75" t="str">
        <f aca="false">BB416</f>
        <v/>
      </c>
      <c r="BQ416" s="73" t="str">
        <f aca="false">IF(ISBLANK($C416),
    "",
    BE416
)</f>
        <v/>
      </c>
      <c r="BR416" s="76" t="str">
        <f aca="false">IF(BI416&gt;BH$7,
    "",
    VLOOKUP(BI416,BK$8:BQ915,7,FALSE())
)</f>
        <v/>
      </c>
      <c r="BS416" s="77" t="str">
        <f aca="false">IF(BI416&gt;BH$7,
    "",
    VLOOKUP(BI416,BK$8:BQ915,2,FALSE())
)</f>
        <v/>
      </c>
      <c r="BT416" s="77" t="str">
        <f aca="false">IF(BI416&gt;BH$7,
    "",
    VLOOKUP(BI416,BK$8:BQ915,3,FALSE())
)</f>
        <v/>
      </c>
      <c r="BU416" s="77" t="str">
        <f aca="false">IF(BI416&gt;BH$7,
    "",
    VLOOKUP(BI416,BK$8:BQ915,4,FALSE())
)</f>
        <v/>
      </c>
      <c r="BV416" s="77" t="str">
        <f aca="false">IF(BI416&gt;BH$7,
    "",
    VLOOKUP(BI416,BK$8:BQ915,5,FALSE())
)</f>
        <v/>
      </c>
      <c r="BW416" s="78" t="str">
        <f aca="false">IF(BI416&gt;BH$7,
    "",
    VLOOKUP(BI416,BK$8:BQ915,6,FALSE())
)</f>
        <v/>
      </c>
      <c r="BX416" s="50"/>
    </row>
    <row r="417" customFormat="false" ht="15.75" hidden="false" customHeight="false" outlineLevel="0" collapsed="false">
      <c r="A417" s="5"/>
      <c r="B417" s="126"/>
      <c r="C417" s="52"/>
      <c r="D417" s="53"/>
      <c r="E417" s="120"/>
      <c r="F417" s="120"/>
      <c r="G417" s="55"/>
      <c r="H417" s="56"/>
      <c r="I417" s="80"/>
      <c r="J417" s="80"/>
      <c r="K417" s="80"/>
      <c r="L417" s="58"/>
      <c r="M417" s="58"/>
      <c r="N417" s="58"/>
      <c r="O417" s="59"/>
      <c r="P417" s="60"/>
      <c r="Q417" s="80"/>
      <c r="R417" s="62"/>
      <c r="S417" s="63"/>
      <c r="T417" s="63" t="str">
        <f aca="false">IF(ISBLANK($C417),"",IF(G417=Constants!$B$2, TRUE(), IF(G417=Constants!$B$3, FALSE(), TRUE())))</f>
        <v/>
      </c>
      <c r="U417" s="63" t="str">
        <f aca="false">IF(ISBLANK($C417),"",IF(H417=Constants!$B$2, TRUE(), IF(H417=Constants!$B$3, FALSE(), TRUE())))</f>
        <v/>
      </c>
      <c r="V417" s="63" t="str">
        <f aca="false">IF(ISBLANK($C417),"",IF(I417=Constants!$B$2, TRUE(), IF(I417=Constants!$B$3, FALSE(), TRUE())))</f>
        <v/>
      </c>
      <c r="W417" s="63" t="str">
        <f aca="false">IF(ISBLANK($C417),"",IF(J417=Constants!$B$2, TRUE(), IF(J417=Constants!$B$3, FALSE(), TRUE())))</f>
        <v/>
      </c>
      <c r="X417" s="63" t="str">
        <f aca="false">IF(ISBLANK($C417),"",IF(K417=Constants!$B$2, TRUE(), IF(K417=Constants!$B$3, FALSE(), TRUE())))</f>
        <v/>
      </c>
      <c r="Y417" s="65" t="str">
        <f aca="false">IF(ISBLANK($C417),"",IF(ISNUMBER(L417), L417, ""))</f>
        <v/>
      </c>
      <c r="Z417" s="65" t="str">
        <f aca="false">IF(ISBLANK($C417),"",IF(ISNUMBER(M417), M417, ""))</f>
        <v/>
      </c>
      <c r="AA417" s="65" t="str">
        <f aca="false">IF(ISBLANK($C417),"",IF(ISNUMBER(N417), N417, ""))</f>
        <v/>
      </c>
      <c r="AB417" s="66" t="str">
        <f aca="false">IF(ISBLANK($C417),"",IF(ISNUMBER(O417), O417, ""))</f>
        <v/>
      </c>
      <c r="AC417" s="66" t="str">
        <f aca="false">IF(ISBLANK($C417),"",IF(ISNUMBER(P417), P417, Constants!$B$13))</f>
        <v/>
      </c>
      <c r="AD417" s="63" t="str">
        <f aca="false">IF(ISBLANK($C417),"",IF(Q417=Constants!$B$2, TRUE(), IF(Q417=Constants!$B$3, FALSE(), FALSE())))</f>
        <v/>
      </c>
      <c r="AE417" s="63" t="str">
        <f aca="false">IF(ISBLANK(C417), "", IF(AD417, Constants!$B$4,IF(COUNTA(G417:O417)=0, Constants!$B$5, Constants!$B$7)))</f>
        <v/>
      </c>
      <c r="AF417" s="63" t="str">
        <f aca="false">IF(ISBLANK($C417), "",IF($AE417=Constants!$B$7,1,$AE417))</f>
        <v/>
      </c>
      <c r="AG417" s="63" t="str">
        <f aca="false">IF($AE417=Constants!$B$7,IF(V417, 1, Constants!$B$11) * IF(X417, 1, Constants!$B$12),"")</f>
        <v/>
      </c>
      <c r="AH417" s="63" t="str">
        <f aca="false">IF(AND($AE417=Constants!$B$7, T417, U417) ,MAX(0, $AA417-$Y417),"")</f>
        <v/>
      </c>
      <c r="AI417" s="63" t="str">
        <f aca="false">IF(ISERROR(AH417),$AI$6,"")</f>
        <v/>
      </c>
      <c r="AJ417" s="63" t="str">
        <f aca="false">IF($AE417=Constants!$B$7,IF(AND(T417,U417,W417),IF($AH$6=0,Constants!$B$9,Constants!$B$9*AH417/$AH$6), 0),"")</f>
        <v/>
      </c>
      <c r="AK417" s="63" t="str">
        <f aca="false">IF(AJ417&lt;&gt;"", AJ417*AG417,"")</f>
        <v/>
      </c>
      <c r="AL417" s="63" t="str">
        <f aca="false">IF(AND($AE417=Constants!$B$7, T417, U417) ,IF($Z417="", "", MAX(0,1-ABS($AA417-$Z417)/$AA417)),"")</f>
        <v/>
      </c>
      <c r="AM417" s="63" t="str">
        <f aca="false">IF(AND(NOT(ISERROR(AH417)),ISERROR(AL417)),$AM$6,"")</f>
        <v/>
      </c>
      <c r="AN417" s="63" t="str">
        <f aca="false">IF($AE417=Constants!$B$7 ,IF(AND(T417,U417,W417,ISNUMBER(Z417)),IF($AL$6=0,Constants!$B$10,Constants!$B$10*AL417/$AL$6), 0),"")</f>
        <v/>
      </c>
      <c r="AO417" s="63" t="str">
        <f aca="false">IF(AN417&lt;&gt;"", AN417*AG417,"")</f>
        <v/>
      </c>
      <c r="AP417" s="63" t="str">
        <f aca="false">IF($AE417=Constants!$B$7,IF($AP$6=0,Constants!$B$8,Constants!$B$8*AB417/$AP$6),"")</f>
        <v/>
      </c>
      <c r="AQ417" s="63" t="str">
        <f aca="false">IF($AE417&lt;&gt;Constants!$B$7,$AE417,AK417+AO417+AP417)</f>
        <v/>
      </c>
      <c r="AR417" s="63" t="str">
        <f aca="false">IF(ISBLANK($C417),"",IF($AE417=Constants!$B$7,RANK(AQ417,$AQ$8:$AQ$507),$AE417))</f>
        <v/>
      </c>
      <c r="AS417" s="63" t="str">
        <f aca="false">IF(ISBLANK($C417), "",AK417)</f>
        <v/>
      </c>
      <c r="AT417" s="63" t="str">
        <f aca="false">IF(ISBLANK($C417),"",IF($AE417=Constants!$B$7,RANK(AS417,AS$8:AS$507),$AE417))</f>
        <v/>
      </c>
      <c r="AU417" s="63" t="str">
        <f aca="false">IF(ISBLANK($C417), "",AP417)</f>
        <v/>
      </c>
      <c r="AV417" s="63" t="str">
        <f aca="false">IF(ISBLANK($C417),"",IF($AE417=Constants!$B$7,RANK(AU417,AU$8:AU$507),$AE417))</f>
        <v/>
      </c>
      <c r="AW417" s="63" t="str">
        <f aca="false">IF(ISBLANK($C417), "",AC417)</f>
        <v/>
      </c>
      <c r="AX417" s="63" t="str">
        <f aca="false">IF(ISBLANK($C417),"",
IF($AE417=Constants!$B$7,
  COUNTIFS($AR$8:$AR$507,"&lt;"&amp;$AR417)
  + COUNTIFS($AR$8:$AR$507,$AR417,$AT$8:$AT$507,"&lt;"&amp;$AT417)
  + COUNTIFS($AR$8:$AR$507,$AR417,$AT$8:$AT$507,$AT417,$AV$8:$AV$507,"&lt;"&amp;$AV417)
  + COUNTIFS($AR$8:$AR$507,$AR417,$AT$8:$AT$507,$AT417,$AV$8:$AV$507,$AV417,$AW$8:$AW$507,"&lt;"&amp;$AW417)
  + 1,
$AE417))</f>
        <v/>
      </c>
      <c r="AY417" s="63" t="str">
        <f aca="false">IF(ISBLANK(C417),"",IF($AE417=Constants!$B$7, AR417-AX417,$AE417))</f>
        <v/>
      </c>
      <c r="AZ417" s="67"/>
      <c r="BA417" s="81" t="str">
        <f aca="false">IF(ISBLANK($C417),"",TRIM(AI417&amp;" "&amp;AM417))</f>
        <v/>
      </c>
      <c r="BB417" s="69" t="str">
        <f aca="false">IF(ISBLANK($C417),"",IF($AE417&lt;&gt;Constants!$B$7, $AE417 ,AQ417))</f>
        <v/>
      </c>
      <c r="BC417" s="70" t="str">
        <f aca="false">IF(ISBLANK($C417),"",IF($AE417&lt;&gt;Constants!$B$7, $AE417 ,AF417))</f>
        <v/>
      </c>
      <c r="BD417" s="71" t="str">
        <f aca="false">IF(ISBLANK(C417),"",AY417)</f>
        <v/>
      </c>
      <c r="BE417" s="71" t="str">
        <f aca="false">IF(ISBLANK(C417),"",AX417)</f>
        <v/>
      </c>
      <c r="BF417" s="72" t="str">
        <f aca="false">IF(ISBLANK(C417),"",IFERROR(_xlfn.SWITCH(BE417, Constants!$B$4, COUNTA($C$8:$C916)+2, Constants!$B$5, COUNTA($C$8:$C916)+1, Constants!$B$6, COUNTA($C$8:$C916)),BE417))</f>
        <v/>
      </c>
      <c r="BG417" s="5"/>
      <c r="BH417" s="73" t="n">
        <f aca="false">IF(OR(ISNUMBER(BE417),BE417="DQ",BE417="P",BE417="NS"),
    1,
    0
)</f>
        <v>0</v>
      </c>
      <c r="BI417" s="73" t="n">
        <v>410</v>
      </c>
      <c r="BJ417" s="73" t="str">
        <f aca="false">IF(ISBLANK($C417),
    "",
   BF417+ROW($B417)/1000
)</f>
        <v/>
      </c>
      <c r="BK417" s="73" t="str">
        <f aca="false">IF(ISNUMBER(BJ417), RANK(BJ417,BJ$8:BJ$507,1), "")</f>
        <v/>
      </c>
      <c r="BL417" s="73" t="str">
        <f aca="false">IF(ISBLANK($C417),
    "",
    $B417
)</f>
        <v/>
      </c>
      <c r="BM417" s="73" t="str">
        <f aca="false">IF(ISBLANK($C417),
    "",
    $C417
)</f>
        <v/>
      </c>
      <c r="BN417" s="73" t="str">
        <f aca="false">IF(ISBLANK($C417),
    "",
    $D417
)</f>
        <v/>
      </c>
      <c r="BO417" s="74" t="str">
        <f aca="false">BC417</f>
        <v/>
      </c>
      <c r="BP417" s="75" t="str">
        <f aca="false">BB417</f>
        <v/>
      </c>
      <c r="BQ417" s="73" t="str">
        <f aca="false">IF(ISBLANK($C417),
    "",
    BE417
)</f>
        <v/>
      </c>
      <c r="BR417" s="76" t="str">
        <f aca="false">IF(BI417&gt;BH$7,
    "",
    VLOOKUP(BI417,BK$8:BQ916,7,FALSE())
)</f>
        <v/>
      </c>
      <c r="BS417" s="77" t="str">
        <f aca="false">IF(BI417&gt;BH$7,
    "",
    VLOOKUP(BI417,BK$8:BQ916,2,FALSE())
)</f>
        <v/>
      </c>
      <c r="BT417" s="77" t="str">
        <f aca="false">IF(BI417&gt;BH$7,
    "",
    VLOOKUP(BI417,BK$8:BQ916,3,FALSE())
)</f>
        <v/>
      </c>
      <c r="BU417" s="77" t="str">
        <f aca="false">IF(BI417&gt;BH$7,
    "",
    VLOOKUP(BI417,BK$8:BQ916,4,FALSE())
)</f>
        <v/>
      </c>
      <c r="BV417" s="77" t="str">
        <f aca="false">IF(BI417&gt;BH$7,
    "",
    VLOOKUP(BI417,BK$8:BQ916,5,FALSE())
)</f>
        <v/>
      </c>
      <c r="BW417" s="78" t="str">
        <f aca="false">IF(BI417&gt;BH$7,
    "",
    VLOOKUP(BI417,BK$8:BQ916,6,FALSE())
)</f>
        <v/>
      </c>
      <c r="BX417" s="50"/>
    </row>
    <row r="418" customFormat="false" ht="15.75" hidden="false" customHeight="false" outlineLevel="0" collapsed="false">
      <c r="A418" s="5"/>
      <c r="B418" s="126"/>
      <c r="C418" s="52"/>
      <c r="D418" s="53"/>
      <c r="E418" s="120"/>
      <c r="F418" s="120"/>
      <c r="G418" s="55"/>
      <c r="H418" s="56"/>
      <c r="I418" s="80"/>
      <c r="J418" s="80"/>
      <c r="K418" s="80"/>
      <c r="L418" s="58"/>
      <c r="M418" s="58"/>
      <c r="N418" s="58"/>
      <c r="O418" s="59"/>
      <c r="P418" s="60"/>
      <c r="Q418" s="80"/>
      <c r="R418" s="62"/>
      <c r="S418" s="63"/>
      <c r="T418" s="63" t="str">
        <f aca="false">IF(ISBLANK($C418),"",IF(G418=Constants!$B$2, TRUE(), IF(G418=Constants!$B$3, FALSE(), TRUE())))</f>
        <v/>
      </c>
      <c r="U418" s="63" t="str">
        <f aca="false">IF(ISBLANK($C418),"",IF(H418=Constants!$B$2, TRUE(), IF(H418=Constants!$B$3, FALSE(), TRUE())))</f>
        <v/>
      </c>
      <c r="V418" s="63" t="str">
        <f aca="false">IF(ISBLANK($C418),"",IF(I418=Constants!$B$2, TRUE(), IF(I418=Constants!$B$3, FALSE(), TRUE())))</f>
        <v/>
      </c>
      <c r="W418" s="63" t="str">
        <f aca="false">IF(ISBLANK($C418),"",IF(J418=Constants!$B$2, TRUE(), IF(J418=Constants!$B$3, FALSE(), TRUE())))</f>
        <v/>
      </c>
      <c r="X418" s="63" t="str">
        <f aca="false">IF(ISBLANK($C418),"",IF(K418=Constants!$B$2, TRUE(), IF(K418=Constants!$B$3, FALSE(), TRUE())))</f>
        <v/>
      </c>
      <c r="Y418" s="65" t="str">
        <f aca="false">IF(ISBLANK($C418),"",IF(ISNUMBER(L418), L418, ""))</f>
        <v/>
      </c>
      <c r="Z418" s="65" t="str">
        <f aca="false">IF(ISBLANK($C418),"",IF(ISNUMBER(M418), M418, ""))</f>
        <v/>
      </c>
      <c r="AA418" s="65" t="str">
        <f aca="false">IF(ISBLANK($C418),"",IF(ISNUMBER(N418), N418, ""))</f>
        <v/>
      </c>
      <c r="AB418" s="66" t="str">
        <f aca="false">IF(ISBLANK($C418),"",IF(ISNUMBER(O418), O418, ""))</f>
        <v/>
      </c>
      <c r="AC418" s="66" t="str">
        <f aca="false">IF(ISBLANK($C418),"",IF(ISNUMBER(P418), P418, Constants!$B$13))</f>
        <v/>
      </c>
      <c r="AD418" s="63" t="str">
        <f aca="false">IF(ISBLANK($C418),"",IF(Q418=Constants!$B$2, TRUE(), IF(Q418=Constants!$B$3, FALSE(), FALSE())))</f>
        <v/>
      </c>
      <c r="AE418" s="63" t="str">
        <f aca="false">IF(ISBLANK(C418), "", IF(AD418, Constants!$B$4,IF(COUNTA(G418:O418)=0, Constants!$B$5, Constants!$B$7)))</f>
        <v/>
      </c>
      <c r="AF418" s="63" t="str">
        <f aca="false">IF(ISBLANK($C418), "",IF($AE418=Constants!$B$7,1,$AE418))</f>
        <v/>
      </c>
      <c r="AG418" s="63" t="str">
        <f aca="false">IF($AE418=Constants!$B$7,IF(V418, 1, Constants!$B$11) * IF(X418, 1, Constants!$B$12),"")</f>
        <v/>
      </c>
      <c r="AH418" s="63" t="str">
        <f aca="false">IF(AND($AE418=Constants!$B$7, T418, U418) ,MAX(0, $AA418-$Y418),"")</f>
        <v/>
      </c>
      <c r="AI418" s="63" t="str">
        <f aca="false">IF(ISERROR(AH418),$AI$6,"")</f>
        <v/>
      </c>
      <c r="AJ418" s="63" t="str">
        <f aca="false">IF($AE418=Constants!$B$7,IF(AND(T418,U418,W418),IF($AH$6=0,Constants!$B$9,Constants!$B$9*AH418/$AH$6), 0),"")</f>
        <v/>
      </c>
      <c r="AK418" s="63" t="str">
        <f aca="false">IF(AJ418&lt;&gt;"", AJ418*AG418,"")</f>
        <v/>
      </c>
      <c r="AL418" s="63" t="str">
        <f aca="false">IF(AND($AE418=Constants!$B$7, T418, U418) ,IF($Z418="", "", MAX(0,1-ABS($AA418-$Z418)/$AA418)),"")</f>
        <v/>
      </c>
      <c r="AM418" s="63" t="str">
        <f aca="false">IF(AND(NOT(ISERROR(AH418)),ISERROR(AL418)),$AM$6,"")</f>
        <v/>
      </c>
      <c r="AN418" s="63" t="str">
        <f aca="false">IF($AE418=Constants!$B$7 ,IF(AND(T418,U418,W418,ISNUMBER(Z418)),IF($AL$6=0,Constants!$B$10,Constants!$B$10*AL418/$AL$6), 0),"")</f>
        <v/>
      </c>
      <c r="AO418" s="63" t="str">
        <f aca="false">IF(AN418&lt;&gt;"", AN418*AG418,"")</f>
        <v/>
      </c>
      <c r="AP418" s="63" t="str">
        <f aca="false">IF($AE418=Constants!$B$7,IF($AP$6=0,Constants!$B$8,Constants!$B$8*AB418/$AP$6),"")</f>
        <v/>
      </c>
      <c r="AQ418" s="63" t="str">
        <f aca="false">IF($AE418&lt;&gt;Constants!$B$7,$AE418,AK418+AO418+AP418)</f>
        <v/>
      </c>
      <c r="AR418" s="63" t="str">
        <f aca="false">IF(ISBLANK($C418),"",IF($AE418=Constants!$B$7,RANK(AQ418,$AQ$8:$AQ$507),$AE418))</f>
        <v/>
      </c>
      <c r="AS418" s="63" t="str">
        <f aca="false">IF(ISBLANK($C418), "",AK418)</f>
        <v/>
      </c>
      <c r="AT418" s="63" t="str">
        <f aca="false">IF(ISBLANK($C418),"",IF($AE418=Constants!$B$7,RANK(AS418,AS$8:AS$507),$AE418))</f>
        <v/>
      </c>
      <c r="AU418" s="63" t="str">
        <f aca="false">IF(ISBLANK($C418), "",AP418)</f>
        <v/>
      </c>
      <c r="AV418" s="63" t="str">
        <f aca="false">IF(ISBLANK($C418),"",IF($AE418=Constants!$B$7,RANK(AU418,AU$8:AU$507),$AE418))</f>
        <v/>
      </c>
      <c r="AW418" s="63" t="str">
        <f aca="false">IF(ISBLANK($C418), "",AC418)</f>
        <v/>
      </c>
      <c r="AX418" s="63" t="str">
        <f aca="false">IF(ISBLANK($C418),"",
IF($AE418=Constants!$B$7,
  COUNTIFS($AR$8:$AR$507,"&lt;"&amp;$AR418)
  + COUNTIFS($AR$8:$AR$507,$AR418,$AT$8:$AT$507,"&lt;"&amp;$AT418)
  + COUNTIFS($AR$8:$AR$507,$AR418,$AT$8:$AT$507,$AT418,$AV$8:$AV$507,"&lt;"&amp;$AV418)
  + COUNTIFS($AR$8:$AR$507,$AR418,$AT$8:$AT$507,$AT418,$AV$8:$AV$507,$AV418,$AW$8:$AW$507,"&lt;"&amp;$AW418)
  + 1,
$AE418))</f>
        <v/>
      </c>
      <c r="AY418" s="63" t="str">
        <f aca="false">IF(ISBLANK(C418),"",IF($AE418=Constants!$B$7, AR418-AX418,$AE418))</f>
        <v/>
      </c>
      <c r="AZ418" s="67"/>
      <c r="BA418" s="81" t="str">
        <f aca="false">IF(ISBLANK($C418),"",TRIM(AI418&amp;" "&amp;AM418))</f>
        <v/>
      </c>
      <c r="BB418" s="69" t="str">
        <f aca="false">IF(ISBLANK($C418),"",IF($AE418&lt;&gt;Constants!$B$7, $AE418 ,AQ418))</f>
        <v/>
      </c>
      <c r="BC418" s="70" t="str">
        <f aca="false">IF(ISBLANK($C418),"",IF($AE418&lt;&gt;Constants!$B$7, $AE418 ,AF418))</f>
        <v/>
      </c>
      <c r="BD418" s="71" t="str">
        <f aca="false">IF(ISBLANK(C418),"",AY418)</f>
        <v/>
      </c>
      <c r="BE418" s="71" t="str">
        <f aca="false">IF(ISBLANK(C418),"",AX418)</f>
        <v/>
      </c>
      <c r="BF418" s="72" t="str">
        <f aca="false">IF(ISBLANK(C418),"",IFERROR(_xlfn.SWITCH(BE418, Constants!$B$4, COUNTA($C$8:$C917)+2, Constants!$B$5, COUNTA($C$8:$C917)+1, Constants!$B$6, COUNTA($C$8:$C917)),BE418))</f>
        <v/>
      </c>
      <c r="BG418" s="5"/>
      <c r="BH418" s="73" t="n">
        <f aca="false">IF(OR(ISNUMBER(BE418),BE418="DQ",BE418="P",BE418="NS"),
    1,
    0
)</f>
        <v>0</v>
      </c>
      <c r="BI418" s="73" t="n">
        <v>411</v>
      </c>
      <c r="BJ418" s="73" t="str">
        <f aca="false">IF(ISBLANK($C418),
    "",
   BF418+ROW($B418)/1000
)</f>
        <v/>
      </c>
      <c r="BK418" s="73" t="str">
        <f aca="false">IF(ISNUMBER(BJ418), RANK(BJ418,BJ$8:BJ$507,1), "")</f>
        <v/>
      </c>
      <c r="BL418" s="73" t="str">
        <f aca="false">IF(ISBLANK($C418),
    "",
    $B418
)</f>
        <v/>
      </c>
      <c r="BM418" s="73" t="str">
        <f aca="false">IF(ISBLANK($C418),
    "",
    $C418
)</f>
        <v/>
      </c>
      <c r="BN418" s="73" t="str">
        <f aca="false">IF(ISBLANK($C418),
    "",
    $D418
)</f>
        <v/>
      </c>
      <c r="BO418" s="74" t="str">
        <f aca="false">BC418</f>
        <v/>
      </c>
      <c r="BP418" s="75" t="str">
        <f aca="false">BB418</f>
        <v/>
      </c>
      <c r="BQ418" s="73" t="str">
        <f aca="false">IF(ISBLANK($C418),
    "",
    BE418
)</f>
        <v/>
      </c>
      <c r="BR418" s="76" t="str">
        <f aca="false">IF(BI418&gt;BH$7,
    "",
    VLOOKUP(BI418,BK$8:BQ917,7,FALSE())
)</f>
        <v/>
      </c>
      <c r="BS418" s="77" t="str">
        <f aca="false">IF(BI418&gt;BH$7,
    "",
    VLOOKUP(BI418,BK$8:BQ917,2,FALSE())
)</f>
        <v/>
      </c>
      <c r="BT418" s="77" t="str">
        <f aca="false">IF(BI418&gt;BH$7,
    "",
    VLOOKUP(BI418,BK$8:BQ917,3,FALSE())
)</f>
        <v/>
      </c>
      <c r="BU418" s="77" t="str">
        <f aca="false">IF(BI418&gt;BH$7,
    "",
    VLOOKUP(BI418,BK$8:BQ917,4,FALSE())
)</f>
        <v/>
      </c>
      <c r="BV418" s="77" t="str">
        <f aca="false">IF(BI418&gt;BH$7,
    "",
    VLOOKUP(BI418,BK$8:BQ917,5,FALSE())
)</f>
        <v/>
      </c>
      <c r="BW418" s="78" t="str">
        <f aca="false">IF(BI418&gt;BH$7,
    "",
    VLOOKUP(BI418,BK$8:BQ917,6,FALSE())
)</f>
        <v/>
      </c>
      <c r="BX418" s="50"/>
    </row>
    <row r="419" customFormat="false" ht="15.75" hidden="false" customHeight="false" outlineLevel="0" collapsed="false">
      <c r="A419" s="5"/>
      <c r="B419" s="122"/>
      <c r="C419" s="123"/>
      <c r="D419" s="112"/>
      <c r="E419" s="116"/>
      <c r="F419" s="116"/>
      <c r="G419" s="88"/>
      <c r="H419" s="89"/>
      <c r="I419" s="125"/>
      <c r="J419" s="125"/>
      <c r="K419" s="125"/>
      <c r="L419" s="91"/>
      <c r="M419" s="91"/>
      <c r="N419" s="91"/>
      <c r="O419" s="92"/>
      <c r="P419" s="93"/>
      <c r="Q419" s="125"/>
      <c r="R419" s="95"/>
      <c r="S419" s="96"/>
      <c r="T419" s="96" t="str">
        <f aca="false">IF(ISBLANK($C419),"",IF(G419=Constants!$B$2, TRUE(), IF(G419=Constants!$B$3, FALSE(), TRUE())))</f>
        <v/>
      </c>
      <c r="U419" s="96" t="str">
        <f aca="false">IF(ISBLANK($C419),"",IF(H419=Constants!$B$2, TRUE(), IF(H419=Constants!$B$3, FALSE(), TRUE())))</f>
        <v/>
      </c>
      <c r="V419" s="96" t="str">
        <f aca="false">IF(ISBLANK($C419),"",IF(I419=Constants!$B$2, TRUE(), IF(I419=Constants!$B$3, FALSE(), TRUE())))</f>
        <v/>
      </c>
      <c r="W419" s="96" t="str">
        <f aca="false">IF(ISBLANK($C419),"",IF(J419=Constants!$B$2, TRUE(), IF(J419=Constants!$B$3, FALSE(), TRUE())))</f>
        <v/>
      </c>
      <c r="X419" s="97" t="str">
        <f aca="false">IF(ISBLANK($C419),"",IF(K419=Constants!$B$2, TRUE(), IF(K419=Constants!$B$3, FALSE(), TRUE())))</f>
        <v/>
      </c>
      <c r="Y419" s="98" t="str">
        <f aca="false">IF(ISBLANK($C419),"",IF(ISNUMBER(L419), L419, ""))</f>
        <v/>
      </c>
      <c r="Z419" s="98" t="str">
        <f aca="false">IF(ISBLANK($C419),"",IF(ISNUMBER(M419), M419, ""))</f>
        <v/>
      </c>
      <c r="AA419" s="98" t="str">
        <f aca="false">IF(ISBLANK($C419),"",IF(ISNUMBER(N419), N419, ""))</f>
        <v/>
      </c>
      <c r="AB419" s="99" t="str">
        <f aca="false">IF(ISBLANK($C419),"",IF(ISNUMBER(O419), O419, ""))</f>
        <v/>
      </c>
      <c r="AC419" s="99" t="str">
        <f aca="false">IF(ISBLANK($C419),"",IF(ISNUMBER(P419), P419, Constants!$B$13))</f>
        <v/>
      </c>
      <c r="AD419" s="96" t="str">
        <f aca="false">IF(ISBLANK($C419),"",IF(Q419=Constants!$B$2, TRUE(), IF(Q419=Constants!$B$3, FALSE(), FALSE())))</f>
        <v/>
      </c>
      <c r="AE419" s="96" t="str">
        <f aca="false">IF(ISBLANK(C419), "", IF(AD419, Constants!$B$4,IF(COUNTA(G419:O419)=0, Constants!$B$5, Constants!$B$7)))</f>
        <v/>
      </c>
      <c r="AF419" s="96" t="str">
        <f aca="false">IF(ISBLANK($C419), "",IF($AE419=Constants!$B$7,1,$AE419))</f>
        <v/>
      </c>
      <c r="AG419" s="96" t="str">
        <f aca="false">IF($AE419=Constants!$B$7,IF(V419, 1, Constants!$B$11) * IF(X419, 1, Constants!$B$12),"")</f>
        <v/>
      </c>
      <c r="AH419" s="96" t="str">
        <f aca="false">IF(AND($AE419=Constants!$B$7, T419, U419) ,MAX(0, $AA419-$Y419),"")</f>
        <v/>
      </c>
      <c r="AI419" s="96" t="str">
        <f aca="false">IF(ISERROR(AH419),$AI$6,"")</f>
        <v/>
      </c>
      <c r="AJ419" s="96" t="str">
        <f aca="false">IF($AE419=Constants!$B$7,IF(AND(T419,U419,W419),IF($AH$6=0,Constants!$B$9,Constants!$B$9*AH419/$AH$6), 0),"")</f>
        <v/>
      </c>
      <c r="AK419" s="96" t="str">
        <f aca="false">IF(AJ419&lt;&gt;"", AJ419*AG419,"")</f>
        <v/>
      </c>
      <c r="AL419" s="96" t="str">
        <f aca="false">IF(AND($AE419=Constants!$B$7, T419, U419) ,IF($Z419="", "", MAX(0,1-ABS($AA419-$Z419)/$AA419)),"")</f>
        <v/>
      </c>
      <c r="AM419" s="96" t="str">
        <f aca="false">IF(AND(NOT(ISERROR(AH419)),ISERROR(AL419)),$AM$6,"")</f>
        <v/>
      </c>
      <c r="AN419" s="96" t="str">
        <f aca="false">IF($AE419=Constants!$B$7 ,IF(AND(T419,U419,W419,ISNUMBER(Z419)),IF($AL$6=0,Constants!$B$10,Constants!$B$10*AL419/$AL$6), 0),"")</f>
        <v/>
      </c>
      <c r="AO419" s="96" t="str">
        <f aca="false">IF(AN419&lt;&gt;"", AN419*AG419,"")</f>
        <v/>
      </c>
      <c r="AP419" s="96" t="str">
        <f aca="false">IF($AE419=Constants!$B$7,IF($AP$6=0,Constants!$B$8,Constants!$B$8*AB419/$AP$6),"")</f>
        <v/>
      </c>
      <c r="AQ419" s="96" t="str">
        <f aca="false">IF($AE419&lt;&gt;Constants!$B$7,$AE419,AK419+AO419+AP419)</f>
        <v/>
      </c>
      <c r="AR419" s="96" t="str">
        <f aca="false">IF(ISBLANK($C419),"",IF($AE419=Constants!$B$7,RANK(AQ419,$AQ$8:$AQ$507),$AE419))</f>
        <v/>
      </c>
      <c r="AS419" s="96" t="str">
        <f aca="false">IF(ISBLANK($C419), "",AK419)</f>
        <v/>
      </c>
      <c r="AT419" s="96" t="str">
        <f aca="false">IF(ISBLANK($C419),"",IF($AE419=Constants!$B$7,RANK(AS419,AS$8:AS$507),$AE419))</f>
        <v/>
      </c>
      <c r="AU419" s="96" t="str">
        <f aca="false">IF(ISBLANK($C419), "",AP419)</f>
        <v/>
      </c>
      <c r="AV419" s="96" t="str">
        <f aca="false">IF(ISBLANK($C419),"",IF($AE419=Constants!$B$7,RANK(AU419,AU$8:AU$507),$AE419))</f>
        <v/>
      </c>
      <c r="AW419" s="96" t="str">
        <f aca="false">IF(ISBLANK($C419), "",AC419)</f>
        <v/>
      </c>
      <c r="AX419" s="96" t="str">
        <f aca="false">IF(ISBLANK($C419),"",
IF($AE419=Constants!$B$7,
  COUNTIFS($AR$8:$AR$507,"&lt;"&amp;$AR419)
  + COUNTIFS($AR$8:$AR$507,$AR419,$AT$8:$AT$507,"&lt;"&amp;$AT419)
  + COUNTIFS($AR$8:$AR$507,$AR419,$AT$8:$AT$507,$AT419,$AV$8:$AV$507,"&lt;"&amp;$AV419)
  + COUNTIFS($AR$8:$AR$507,$AR419,$AT$8:$AT$507,$AT419,$AV$8:$AV$507,$AV419,$AW$8:$AW$507,"&lt;"&amp;$AW419)
  + 1,
$AE419))</f>
        <v/>
      </c>
      <c r="AY419" s="96" t="str">
        <f aca="false">IF(ISBLANK(C419),"",IF($AE419=Constants!$B$7, AR419-AX419,$AE419))</f>
        <v/>
      </c>
      <c r="AZ419" s="100"/>
      <c r="BA419" s="101" t="str">
        <f aca="false">IF(ISBLANK($C419),"",TRIM(AI419&amp;" "&amp;AM419))</f>
        <v/>
      </c>
      <c r="BB419" s="102" t="str">
        <f aca="false">IF(ISBLANK($C419),"",IF($AE419&lt;&gt;Constants!$B$7, $AE419 ,AQ419))</f>
        <v/>
      </c>
      <c r="BC419" s="103" t="str">
        <f aca="false">IF(ISBLANK($C419),"",IF($AE419&lt;&gt;Constants!$B$7, $AE419 ,AF419))</f>
        <v/>
      </c>
      <c r="BD419" s="104" t="str">
        <f aca="false">IF(ISBLANK(C419),"",AY419)</f>
        <v/>
      </c>
      <c r="BE419" s="104" t="str">
        <f aca="false">IF(ISBLANK(C419),"",AX419)</f>
        <v/>
      </c>
      <c r="BF419" s="105" t="str">
        <f aca="false">IF(ISBLANK(C419),"",IFERROR(_xlfn.SWITCH(BE419, Constants!$B$4, COUNTA($C$8:$C918)+2, Constants!$B$5, COUNTA($C$8:$C918)+1, Constants!$B$6, COUNTA($C$8:$C918)),BE419))</f>
        <v/>
      </c>
      <c r="BG419" s="5"/>
      <c r="BH419" s="106" t="n">
        <f aca="false">IF(OR(ISNUMBER(BE419),BE419="DQ",BE419="P",BE419="NS"),
    1,
    0
)</f>
        <v>0</v>
      </c>
      <c r="BI419" s="106" t="n">
        <v>412</v>
      </c>
      <c r="BJ419" s="106" t="str">
        <f aca="false">IF(ISBLANK($C419),
    "",
   BF419+ROW($B419)/1000
)</f>
        <v/>
      </c>
      <c r="BK419" s="106" t="str">
        <f aca="false">IF(ISNUMBER(BJ419), RANK(BJ419,BJ$8:BJ$507,1), "")</f>
        <v/>
      </c>
      <c r="BL419" s="106" t="str">
        <f aca="false">IF(ISBLANK($C419),
    "",
    $B419
)</f>
        <v/>
      </c>
      <c r="BM419" s="106" t="str">
        <f aca="false">IF(ISBLANK($C419),
    "",
    $C419
)</f>
        <v/>
      </c>
      <c r="BN419" s="106" t="str">
        <f aca="false">IF(ISBLANK($C419),
    "",
    $D419
)</f>
        <v/>
      </c>
      <c r="BO419" s="107" t="str">
        <f aca="false">BC419</f>
        <v/>
      </c>
      <c r="BP419" s="108" t="str">
        <f aca="false">BB419</f>
        <v/>
      </c>
      <c r="BQ419" s="106" t="str">
        <f aca="false">IF(ISBLANK($C419),
    "",
    BE419
)</f>
        <v/>
      </c>
      <c r="BR419" s="109" t="str">
        <f aca="false">IF(BI419&gt;BH$7,
    "",
    VLOOKUP(BI419,BK$8:BQ918,7,FALSE())
)</f>
        <v/>
      </c>
      <c r="BS419" s="110" t="str">
        <f aca="false">IF(BI419&gt;BH$7,
    "",
    VLOOKUP(BI419,BK$8:BQ918,2,FALSE())
)</f>
        <v/>
      </c>
      <c r="BT419" s="110" t="str">
        <f aca="false">IF(BI419&gt;BH$7,
    "",
    VLOOKUP(BI419,BK$8:BQ918,3,FALSE())
)</f>
        <v/>
      </c>
      <c r="BU419" s="110" t="str">
        <f aca="false">IF(BI419&gt;BH$7,
    "",
    VLOOKUP(BI419,BK$8:BQ918,4,FALSE())
)</f>
        <v/>
      </c>
      <c r="BV419" s="110" t="str">
        <f aca="false">IF(BI419&gt;BH$7,
    "",
    VLOOKUP(BI419,BK$8:BQ918,5,FALSE())
)</f>
        <v/>
      </c>
      <c r="BW419" s="111" t="str">
        <f aca="false">IF(BI419&gt;BH$7,
    "",
    VLOOKUP(BI419,BK$8:BQ918,6,FALSE())
)</f>
        <v/>
      </c>
      <c r="BX419" s="50"/>
    </row>
    <row r="420" customFormat="false" ht="15.75" hidden="false" customHeight="false" outlineLevel="0" collapsed="false">
      <c r="A420" s="5"/>
      <c r="B420" s="122"/>
      <c r="C420" s="123"/>
      <c r="D420" s="112"/>
      <c r="E420" s="116"/>
      <c r="F420" s="116"/>
      <c r="G420" s="88"/>
      <c r="H420" s="89"/>
      <c r="I420" s="125"/>
      <c r="J420" s="125"/>
      <c r="K420" s="125"/>
      <c r="L420" s="91"/>
      <c r="M420" s="91"/>
      <c r="N420" s="91"/>
      <c r="O420" s="92"/>
      <c r="P420" s="93"/>
      <c r="Q420" s="125"/>
      <c r="R420" s="95"/>
      <c r="S420" s="96"/>
      <c r="T420" s="96" t="str">
        <f aca="false">IF(ISBLANK($C420),"",IF(G420=Constants!$B$2, TRUE(), IF(G420=Constants!$B$3, FALSE(), TRUE())))</f>
        <v/>
      </c>
      <c r="U420" s="96" t="str">
        <f aca="false">IF(ISBLANK($C420),"",IF(H420=Constants!$B$2, TRUE(), IF(H420=Constants!$B$3, FALSE(), TRUE())))</f>
        <v/>
      </c>
      <c r="V420" s="96" t="str">
        <f aca="false">IF(ISBLANK($C420),"",IF(I420=Constants!$B$2, TRUE(), IF(I420=Constants!$B$3, FALSE(), TRUE())))</f>
        <v/>
      </c>
      <c r="W420" s="96" t="str">
        <f aca="false">IF(ISBLANK($C420),"",IF(J420=Constants!$B$2, TRUE(), IF(J420=Constants!$B$3, FALSE(), TRUE())))</f>
        <v/>
      </c>
      <c r="X420" s="97" t="str">
        <f aca="false">IF(ISBLANK($C420),"",IF(K420=Constants!$B$2, TRUE(), IF(K420=Constants!$B$3, FALSE(), TRUE())))</f>
        <v/>
      </c>
      <c r="Y420" s="98" t="str">
        <f aca="false">IF(ISBLANK($C420),"",IF(ISNUMBER(L420), L420, ""))</f>
        <v/>
      </c>
      <c r="Z420" s="98" t="str">
        <f aca="false">IF(ISBLANK($C420),"",IF(ISNUMBER(M420), M420, ""))</f>
        <v/>
      </c>
      <c r="AA420" s="98" t="str">
        <f aca="false">IF(ISBLANK($C420),"",IF(ISNUMBER(N420), N420, ""))</f>
        <v/>
      </c>
      <c r="AB420" s="99" t="str">
        <f aca="false">IF(ISBLANK($C420),"",IF(ISNUMBER(O420), O420, ""))</f>
        <v/>
      </c>
      <c r="AC420" s="99" t="str">
        <f aca="false">IF(ISBLANK($C420),"",IF(ISNUMBER(P420), P420, Constants!$B$13))</f>
        <v/>
      </c>
      <c r="AD420" s="96" t="str">
        <f aca="false">IF(ISBLANK($C420),"",IF(Q420=Constants!$B$2, TRUE(), IF(Q420=Constants!$B$3, FALSE(), FALSE())))</f>
        <v/>
      </c>
      <c r="AE420" s="96" t="str">
        <f aca="false">IF(ISBLANK(C420), "", IF(AD420, Constants!$B$4,IF(COUNTA(G420:O420)=0, Constants!$B$5, Constants!$B$7)))</f>
        <v/>
      </c>
      <c r="AF420" s="96" t="str">
        <f aca="false">IF(ISBLANK($C420), "",IF($AE420=Constants!$B$7,1,$AE420))</f>
        <v/>
      </c>
      <c r="AG420" s="96" t="str">
        <f aca="false">IF($AE420=Constants!$B$7,IF(V420, 1, Constants!$B$11) * IF(X420, 1, Constants!$B$12),"")</f>
        <v/>
      </c>
      <c r="AH420" s="96" t="str">
        <f aca="false">IF(AND($AE420=Constants!$B$7, T420, U420) ,MAX(0, $AA420-$Y420),"")</f>
        <v/>
      </c>
      <c r="AI420" s="96" t="str">
        <f aca="false">IF(ISERROR(AH420),$AI$6,"")</f>
        <v/>
      </c>
      <c r="AJ420" s="96" t="str">
        <f aca="false">IF($AE420=Constants!$B$7,IF(AND(T420,U420,W420),IF($AH$6=0,Constants!$B$9,Constants!$B$9*AH420/$AH$6), 0),"")</f>
        <v/>
      </c>
      <c r="AK420" s="96" t="str">
        <f aca="false">IF(AJ420&lt;&gt;"", AJ420*AG420,"")</f>
        <v/>
      </c>
      <c r="AL420" s="96" t="str">
        <f aca="false">IF(AND($AE420=Constants!$B$7, T420, U420) ,IF($Z420="", "", MAX(0,1-ABS($AA420-$Z420)/$AA420)),"")</f>
        <v/>
      </c>
      <c r="AM420" s="96" t="str">
        <f aca="false">IF(AND(NOT(ISERROR(AH420)),ISERROR(AL420)),$AM$6,"")</f>
        <v/>
      </c>
      <c r="AN420" s="96" t="str">
        <f aca="false">IF($AE420=Constants!$B$7 ,IF(AND(T420,U420,W420,ISNUMBER(Z420)),IF($AL$6=0,Constants!$B$10,Constants!$B$10*AL420/$AL$6), 0),"")</f>
        <v/>
      </c>
      <c r="AO420" s="96" t="str">
        <f aca="false">IF(AN420&lt;&gt;"", AN420*AG420,"")</f>
        <v/>
      </c>
      <c r="AP420" s="96" t="str">
        <f aca="false">IF($AE420=Constants!$B$7,IF($AP$6=0,Constants!$B$8,Constants!$B$8*AB420/$AP$6),"")</f>
        <v/>
      </c>
      <c r="AQ420" s="96" t="str">
        <f aca="false">IF($AE420&lt;&gt;Constants!$B$7,$AE420,AK420+AO420+AP420)</f>
        <v/>
      </c>
      <c r="AR420" s="96" t="str">
        <f aca="false">IF(ISBLANK($C420),"",IF($AE420=Constants!$B$7,RANK(AQ420,$AQ$8:$AQ$507),$AE420))</f>
        <v/>
      </c>
      <c r="AS420" s="96" t="str">
        <f aca="false">IF(ISBLANK($C420), "",AK420)</f>
        <v/>
      </c>
      <c r="AT420" s="96" t="str">
        <f aca="false">IF(ISBLANK($C420),"",IF($AE420=Constants!$B$7,RANK(AS420,AS$8:AS$507),$AE420))</f>
        <v/>
      </c>
      <c r="AU420" s="96" t="str">
        <f aca="false">IF(ISBLANK($C420), "",AP420)</f>
        <v/>
      </c>
      <c r="AV420" s="96" t="str">
        <f aca="false">IF(ISBLANK($C420),"",IF($AE420=Constants!$B$7,RANK(AU420,AU$8:AU$507),$AE420))</f>
        <v/>
      </c>
      <c r="AW420" s="96" t="str">
        <f aca="false">IF(ISBLANK($C420), "",AC420)</f>
        <v/>
      </c>
      <c r="AX420" s="96" t="str">
        <f aca="false">IF(ISBLANK($C420),"",
IF($AE420=Constants!$B$7,
  COUNTIFS($AR$8:$AR$507,"&lt;"&amp;$AR420)
  + COUNTIFS($AR$8:$AR$507,$AR420,$AT$8:$AT$507,"&lt;"&amp;$AT420)
  + COUNTIFS($AR$8:$AR$507,$AR420,$AT$8:$AT$507,$AT420,$AV$8:$AV$507,"&lt;"&amp;$AV420)
  + COUNTIFS($AR$8:$AR$507,$AR420,$AT$8:$AT$507,$AT420,$AV$8:$AV$507,$AV420,$AW$8:$AW$507,"&lt;"&amp;$AW420)
  + 1,
$AE420))</f>
        <v/>
      </c>
      <c r="AY420" s="96" t="str">
        <f aca="false">IF(ISBLANK(C420),"",IF($AE420=Constants!$B$7, AR420-AX420,$AE420))</f>
        <v/>
      </c>
      <c r="AZ420" s="100"/>
      <c r="BA420" s="101" t="str">
        <f aca="false">IF(ISBLANK($C420),"",TRIM(AI420&amp;" "&amp;AM420))</f>
        <v/>
      </c>
      <c r="BB420" s="102" t="str">
        <f aca="false">IF(ISBLANK($C420),"",IF($AE420&lt;&gt;Constants!$B$7, $AE420 ,AQ420))</f>
        <v/>
      </c>
      <c r="BC420" s="103" t="str">
        <f aca="false">IF(ISBLANK($C420),"",IF($AE420&lt;&gt;Constants!$B$7, $AE420 ,AF420))</f>
        <v/>
      </c>
      <c r="BD420" s="104" t="str">
        <f aca="false">IF(ISBLANK(C420),"",AY420)</f>
        <v/>
      </c>
      <c r="BE420" s="104" t="str">
        <f aca="false">IF(ISBLANK(C420),"",AX420)</f>
        <v/>
      </c>
      <c r="BF420" s="105" t="str">
        <f aca="false">IF(ISBLANK(C420),"",IFERROR(_xlfn.SWITCH(BE420, Constants!$B$4, COUNTA($C$8:$C919)+2, Constants!$B$5, COUNTA($C$8:$C919)+1, Constants!$B$6, COUNTA($C$8:$C919)),BE420))</f>
        <v/>
      </c>
      <c r="BG420" s="5"/>
      <c r="BH420" s="106" t="n">
        <f aca="false">IF(OR(ISNUMBER(BE420),BE420="DQ",BE420="P",BE420="NS"),
    1,
    0
)</f>
        <v>0</v>
      </c>
      <c r="BI420" s="106" t="n">
        <v>413</v>
      </c>
      <c r="BJ420" s="106" t="str">
        <f aca="false">IF(ISBLANK($C420),
    "",
   BF420+ROW($B420)/1000
)</f>
        <v/>
      </c>
      <c r="BK420" s="106" t="str">
        <f aca="false">IF(ISNUMBER(BJ420), RANK(BJ420,BJ$8:BJ$507,1), "")</f>
        <v/>
      </c>
      <c r="BL420" s="106" t="str">
        <f aca="false">IF(ISBLANK($C420),
    "",
    $B420
)</f>
        <v/>
      </c>
      <c r="BM420" s="106" t="str">
        <f aca="false">IF(ISBLANK($C420),
    "",
    $C420
)</f>
        <v/>
      </c>
      <c r="BN420" s="106" t="str">
        <f aca="false">IF(ISBLANK($C420),
    "",
    $D420
)</f>
        <v/>
      </c>
      <c r="BO420" s="107" t="str">
        <f aca="false">BC420</f>
        <v/>
      </c>
      <c r="BP420" s="108" t="str">
        <f aca="false">BB420</f>
        <v/>
      </c>
      <c r="BQ420" s="106" t="str">
        <f aca="false">IF(ISBLANK($C420),
    "",
    BE420
)</f>
        <v/>
      </c>
      <c r="BR420" s="109" t="str">
        <f aca="false">IF(BI420&gt;BH$7,
    "",
    VLOOKUP(BI420,BK$8:BQ919,7,FALSE())
)</f>
        <v/>
      </c>
      <c r="BS420" s="110" t="str">
        <f aca="false">IF(BI420&gt;BH$7,
    "",
    VLOOKUP(BI420,BK$8:BQ919,2,FALSE())
)</f>
        <v/>
      </c>
      <c r="BT420" s="110" t="str">
        <f aca="false">IF(BI420&gt;BH$7,
    "",
    VLOOKUP(BI420,BK$8:BQ919,3,FALSE())
)</f>
        <v/>
      </c>
      <c r="BU420" s="110" t="str">
        <f aca="false">IF(BI420&gt;BH$7,
    "",
    VLOOKUP(BI420,BK$8:BQ919,4,FALSE())
)</f>
        <v/>
      </c>
      <c r="BV420" s="110" t="str">
        <f aca="false">IF(BI420&gt;BH$7,
    "",
    VLOOKUP(BI420,BK$8:BQ919,5,FALSE())
)</f>
        <v/>
      </c>
      <c r="BW420" s="111" t="str">
        <f aca="false">IF(BI420&gt;BH$7,
    "",
    VLOOKUP(BI420,BK$8:BQ919,6,FALSE())
)</f>
        <v/>
      </c>
      <c r="BX420" s="50"/>
    </row>
    <row r="421" customFormat="false" ht="15.75" hidden="false" customHeight="false" outlineLevel="0" collapsed="false">
      <c r="A421" s="5"/>
      <c r="B421" s="122"/>
      <c r="C421" s="123"/>
      <c r="D421" s="112"/>
      <c r="E421" s="116"/>
      <c r="F421" s="116"/>
      <c r="G421" s="88"/>
      <c r="H421" s="89"/>
      <c r="I421" s="125"/>
      <c r="J421" s="125"/>
      <c r="K421" s="125"/>
      <c r="L421" s="91"/>
      <c r="M421" s="91"/>
      <c r="N421" s="91"/>
      <c r="O421" s="92"/>
      <c r="P421" s="93"/>
      <c r="Q421" s="125"/>
      <c r="R421" s="95"/>
      <c r="S421" s="96"/>
      <c r="T421" s="96" t="str">
        <f aca="false">IF(ISBLANK($C421),"",IF(G421=Constants!$B$2, TRUE(), IF(G421=Constants!$B$3, FALSE(), TRUE())))</f>
        <v/>
      </c>
      <c r="U421" s="96" t="str">
        <f aca="false">IF(ISBLANK($C421),"",IF(H421=Constants!$B$2, TRUE(), IF(H421=Constants!$B$3, FALSE(), TRUE())))</f>
        <v/>
      </c>
      <c r="V421" s="96" t="str">
        <f aca="false">IF(ISBLANK($C421),"",IF(I421=Constants!$B$2, TRUE(), IF(I421=Constants!$B$3, FALSE(), TRUE())))</f>
        <v/>
      </c>
      <c r="W421" s="96" t="str">
        <f aca="false">IF(ISBLANK($C421),"",IF(J421=Constants!$B$2, TRUE(), IF(J421=Constants!$B$3, FALSE(), TRUE())))</f>
        <v/>
      </c>
      <c r="X421" s="97" t="str">
        <f aca="false">IF(ISBLANK($C421),"",IF(K421=Constants!$B$2, TRUE(), IF(K421=Constants!$B$3, FALSE(), TRUE())))</f>
        <v/>
      </c>
      <c r="Y421" s="98" t="str">
        <f aca="false">IF(ISBLANK($C421),"",IF(ISNUMBER(L421), L421, ""))</f>
        <v/>
      </c>
      <c r="Z421" s="98" t="str">
        <f aca="false">IF(ISBLANK($C421),"",IF(ISNUMBER(M421), M421, ""))</f>
        <v/>
      </c>
      <c r="AA421" s="98" t="str">
        <f aca="false">IF(ISBLANK($C421),"",IF(ISNUMBER(N421), N421, ""))</f>
        <v/>
      </c>
      <c r="AB421" s="99" t="str">
        <f aca="false">IF(ISBLANK($C421),"",IF(ISNUMBER(O421), O421, ""))</f>
        <v/>
      </c>
      <c r="AC421" s="99" t="str">
        <f aca="false">IF(ISBLANK($C421),"",IF(ISNUMBER(P421), P421, Constants!$B$13))</f>
        <v/>
      </c>
      <c r="AD421" s="96" t="str">
        <f aca="false">IF(ISBLANK($C421),"",IF(Q421=Constants!$B$2, TRUE(), IF(Q421=Constants!$B$3, FALSE(), FALSE())))</f>
        <v/>
      </c>
      <c r="AE421" s="96" t="str">
        <f aca="false">IF(ISBLANK(C421), "", IF(AD421, Constants!$B$4,IF(COUNTA(G421:O421)=0, Constants!$B$5, Constants!$B$7)))</f>
        <v/>
      </c>
      <c r="AF421" s="96" t="str">
        <f aca="false">IF(ISBLANK($C421), "",IF($AE421=Constants!$B$7,1,$AE421))</f>
        <v/>
      </c>
      <c r="AG421" s="96" t="str">
        <f aca="false">IF($AE421=Constants!$B$7,IF(V421, 1, Constants!$B$11) * IF(X421, 1, Constants!$B$12),"")</f>
        <v/>
      </c>
      <c r="AH421" s="96" t="str">
        <f aca="false">IF(AND($AE421=Constants!$B$7, T421, U421) ,MAX(0, $AA421-$Y421),"")</f>
        <v/>
      </c>
      <c r="AI421" s="96" t="str">
        <f aca="false">IF(ISERROR(AH421),$AI$6,"")</f>
        <v/>
      </c>
      <c r="AJ421" s="96" t="str">
        <f aca="false">IF($AE421=Constants!$B$7,IF(AND(T421,U421,W421),IF($AH$6=0,Constants!$B$9,Constants!$B$9*AH421/$AH$6), 0),"")</f>
        <v/>
      </c>
      <c r="AK421" s="96" t="str">
        <f aca="false">IF(AJ421&lt;&gt;"", AJ421*AG421,"")</f>
        <v/>
      </c>
      <c r="AL421" s="96" t="str">
        <f aca="false">IF(AND($AE421=Constants!$B$7, T421, U421) ,IF($Z421="", "", MAX(0,1-ABS($AA421-$Z421)/$AA421)),"")</f>
        <v/>
      </c>
      <c r="AM421" s="96" t="str">
        <f aca="false">IF(AND(NOT(ISERROR(AH421)),ISERROR(AL421)),$AM$6,"")</f>
        <v/>
      </c>
      <c r="AN421" s="96" t="str">
        <f aca="false">IF($AE421=Constants!$B$7 ,IF(AND(T421,U421,W421,ISNUMBER(Z421)),IF($AL$6=0,Constants!$B$10,Constants!$B$10*AL421/$AL$6), 0),"")</f>
        <v/>
      </c>
      <c r="AO421" s="96" t="str">
        <f aca="false">IF(AN421&lt;&gt;"", AN421*AG421,"")</f>
        <v/>
      </c>
      <c r="AP421" s="96" t="str">
        <f aca="false">IF($AE421=Constants!$B$7,IF($AP$6=0,Constants!$B$8,Constants!$B$8*AB421/$AP$6),"")</f>
        <v/>
      </c>
      <c r="AQ421" s="96" t="str">
        <f aca="false">IF($AE421&lt;&gt;Constants!$B$7,$AE421,AK421+AO421+AP421)</f>
        <v/>
      </c>
      <c r="AR421" s="96" t="str">
        <f aca="false">IF(ISBLANK($C421),"",IF($AE421=Constants!$B$7,RANK(AQ421,$AQ$8:$AQ$507),$AE421))</f>
        <v/>
      </c>
      <c r="AS421" s="96" t="str">
        <f aca="false">IF(ISBLANK($C421), "",AK421)</f>
        <v/>
      </c>
      <c r="AT421" s="96" t="str">
        <f aca="false">IF(ISBLANK($C421),"",IF($AE421=Constants!$B$7,RANK(AS421,AS$8:AS$507),$AE421))</f>
        <v/>
      </c>
      <c r="AU421" s="96" t="str">
        <f aca="false">IF(ISBLANK($C421), "",AP421)</f>
        <v/>
      </c>
      <c r="AV421" s="96" t="str">
        <f aca="false">IF(ISBLANK($C421),"",IF($AE421=Constants!$B$7,RANK(AU421,AU$8:AU$507),$AE421))</f>
        <v/>
      </c>
      <c r="AW421" s="96" t="str">
        <f aca="false">IF(ISBLANK($C421), "",AC421)</f>
        <v/>
      </c>
      <c r="AX421" s="96" t="str">
        <f aca="false">IF(ISBLANK($C421),"",
IF($AE421=Constants!$B$7,
  COUNTIFS($AR$8:$AR$507,"&lt;"&amp;$AR421)
  + COUNTIFS($AR$8:$AR$507,$AR421,$AT$8:$AT$507,"&lt;"&amp;$AT421)
  + COUNTIFS($AR$8:$AR$507,$AR421,$AT$8:$AT$507,$AT421,$AV$8:$AV$507,"&lt;"&amp;$AV421)
  + COUNTIFS($AR$8:$AR$507,$AR421,$AT$8:$AT$507,$AT421,$AV$8:$AV$507,$AV421,$AW$8:$AW$507,"&lt;"&amp;$AW421)
  + 1,
$AE421))</f>
        <v/>
      </c>
      <c r="AY421" s="96" t="str">
        <f aca="false">IF(ISBLANK(C421),"",IF($AE421=Constants!$B$7, AR421-AX421,$AE421))</f>
        <v/>
      </c>
      <c r="AZ421" s="100"/>
      <c r="BA421" s="101" t="str">
        <f aca="false">IF(ISBLANK($C421),"",TRIM(AI421&amp;" "&amp;AM421))</f>
        <v/>
      </c>
      <c r="BB421" s="102" t="str">
        <f aca="false">IF(ISBLANK($C421),"",IF($AE421&lt;&gt;Constants!$B$7, $AE421 ,AQ421))</f>
        <v/>
      </c>
      <c r="BC421" s="103" t="str">
        <f aca="false">IF(ISBLANK($C421),"",IF($AE421&lt;&gt;Constants!$B$7, $AE421 ,AF421))</f>
        <v/>
      </c>
      <c r="BD421" s="104" t="str">
        <f aca="false">IF(ISBLANK(C421),"",AY421)</f>
        <v/>
      </c>
      <c r="BE421" s="104" t="str">
        <f aca="false">IF(ISBLANK(C421),"",AX421)</f>
        <v/>
      </c>
      <c r="BF421" s="105" t="str">
        <f aca="false">IF(ISBLANK(C421),"",IFERROR(_xlfn.SWITCH(BE421, Constants!$B$4, COUNTA($C$8:$C920)+2, Constants!$B$5, COUNTA($C$8:$C920)+1, Constants!$B$6, COUNTA($C$8:$C920)),BE421))</f>
        <v/>
      </c>
      <c r="BG421" s="5"/>
      <c r="BH421" s="106" t="n">
        <f aca="false">IF(OR(ISNUMBER(BE421),BE421="DQ",BE421="P",BE421="NS"),
    1,
    0
)</f>
        <v>0</v>
      </c>
      <c r="BI421" s="106" t="n">
        <v>414</v>
      </c>
      <c r="BJ421" s="106" t="str">
        <f aca="false">IF(ISBLANK($C421),
    "",
   BF421+ROW($B421)/1000
)</f>
        <v/>
      </c>
      <c r="BK421" s="106" t="str">
        <f aca="false">IF(ISNUMBER(BJ421), RANK(BJ421,BJ$8:BJ$507,1), "")</f>
        <v/>
      </c>
      <c r="BL421" s="106" t="str">
        <f aca="false">IF(ISBLANK($C421),
    "",
    $B421
)</f>
        <v/>
      </c>
      <c r="BM421" s="106" t="str">
        <f aca="false">IF(ISBLANK($C421),
    "",
    $C421
)</f>
        <v/>
      </c>
      <c r="BN421" s="106" t="str">
        <f aca="false">IF(ISBLANK($C421),
    "",
    $D421
)</f>
        <v/>
      </c>
      <c r="BO421" s="107" t="str">
        <f aca="false">BC421</f>
        <v/>
      </c>
      <c r="BP421" s="108" t="str">
        <f aca="false">BB421</f>
        <v/>
      </c>
      <c r="BQ421" s="106" t="str">
        <f aca="false">IF(ISBLANK($C421),
    "",
    BE421
)</f>
        <v/>
      </c>
      <c r="BR421" s="109" t="str">
        <f aca="false">IF(BI421&gt;BH$7,
    "",
    VLOOKUP(BI421,BK$8:BQ920,7,FALSE())
)</f>
        <v/>
      </c>
      <c r="BS421" s="110" t="str">
        <f aca="false">IF(BI421&gt;BH$7,
    "",
    VLOOKUP(BI421,BK$8:BQ920,2,FALSE())
)</f>
        <v/>
      </c>
      <c r="BT421" s="110" t="str">
        <f aca="false">IF(BI421&gt;BH$7,
    "",
    VLOOKUP(BI421,BK$8:BQ920,3,FALSE())
)</f>
        <v/>
      </c>
      <c r="BU421" s="110" t="str">
        <f aca="false">IF(BI421&gt;BH$7,
    "",
    VLOOKUP(BI421,BK$8:BQ920,4,FALSE())
)</f>
        <v/>
      </c>
      <c r="BV421" s="110" t="str">
        <f aca="false">IF(BI421&gt;BH$7,
    "",
    VLOOKUP(BI421,BK$8:BQ920,5,FALSE())
)</f>
        <v/>
      </c>
      <c r="BW421" s="111" t="str">
        <f aca="false">IF(BI421&gt;BH$7,
    "",
    VLOOKUP(BI421,BK$8:BQ920,6,FALSE())
)</f>
        <v/>
      </c>
      <c r="BX421" s="50"/>
    </row>
    <row r="422" customFormat="false" ht="15.75" hidden="false" customHeight="false" outlineLevel="0" collapsed="false">
      <c r="A422" s="5"/>
      <c r="B422" s="126"/>
      <c r="C422" s="52"/>
      <c r="D422" s="53"/>
      <c r="E422" s="120"/>
      <c r="F422" s="120"/>
      <c r="G422" s="55"/>
      <c r="H422" s="56"/>
      <c r="I422" s="80"/>
      <c r="J422" s="80"/>
      <c r="K422" s="80"/>
      <c r="L422" s="58"/>
      <c r="M422" s="58"/>
      <c r="N422" s="58"/>
      <c r="O422" s="59"/>
      <c r="P422" s="60"/>
      <c r="Q422" s="80"/>
      <c r="R422" s="62"/>
      <c r="S422" s="63"/>
      <c r="T422" s="63" t="str">
        <f aca="false">IF(ISBLANK($C422),"",IF(G422=Constants!$B$2, TRUE(), IF(G422=Constants!$B$3, FALSE(), TRUE())))</f>
        <v/>
      </c>
      <c r="U422" s="63" t="str">
        <f aca="false">IF(ISBLANK($C422),"",IF(H422=Constants!$B$2, TRUE(), IF(H422=Constants!$B$3, FALSE(), TRUE())))</f>
        <v/>
      </c>
      <c r="V422" s="63" t="str">
        <f aca="false">IF(ISBLANK($C422),"",IF(I422=Constants!$B$2, TRUE(), IF(I422=Constants!$B$3, FALSE(), TRUE())))</f>
        <v/>
      </c>
      <c r="W422" s="63" t="str">
        <f aca="false">IF(ISBLANK($C422),"",IF(J422=Constants!$B$2, TRUE(), IF(J422=Constants!$B$3, FALSE(), TRUE())))</f>
        <v/>
      </c>
      <c r="X422" s="63" t="str">
        <f aca="false">IF(ISBLANK($C422),"",IF(K422=Constants!$B$2, TRUE(), IF(K422=Constants!$B$3, FALSE(), TRUE())))</f>
        <v/>
      </c>
      <c r="Y422" s="65" t="str">
        <f aca="false">IF(ISBLANK($C422),"",IF(ISNUMBER(L422), L422, ""))</f>
        <v/>
      </c>
      <c r="Z422" s="65" t="str">
        <f aca="false">IF(ISBLANK($C422),"",IF(ISNUMBER(M422), M422, ""))</f>
        <v/>
      </c>
      <c r="AA422" s="65" t="str">
        <f aca="false">IF(ISBLANK($C422),"",IF(ISNUMBER(N422), N422, ""))</f>
        <v/>
      </c>
      <c r="AB422" s="66" t="str">
        <f aca="false">IF(ISBLANK($C422),"",IF(ISNUMBER(O422), O422, ""))</f>
        <v/>
      </c>
      <c r="AC422" s="66" t="str">
        <f aca="false">IF(ISBLANK($C422),"",IF(ISNUMBER(P422), P422, Constants!$B$13))</f>
        <v/>
      </c>
      <c r="AD422" s="63" t="str">
        <f aca="false">IF(ISBLANK($C422),"",IF(Q422=Constants!$B$2, TRUE(), IF(Q422=Constants!$B$3, FALSE(), FALSE())))</f>
        <v/>
      </c>
      <c r="AE422" s="63" t="str">
        <f aca="false">IF(ISBLANK(C422), "", IF(AD422, Constants!$B$4,IF(COUNTA(G422:O422)=0, Constants!$B$5, Constants!$B$7)))</f>
        <v/>
      </c>
      <c r="AF422" s="63" t="str">
        <f aca="false">IF(ISBLANK($C422), "",IF($AE422=Constants!$B$7,1,$AE422))</f>
        <v/>
      </c>
      <c r="AG422" s="63" t="str">
        <f aca="false">IF($AE422=Constants!$B$7,IF(V422, 1, Constants!$B$11) * IF(X422, 1, Constants!$B$12),"")</f>
        <v/>
      </c>
      <c r="AH422" s="63" t="str">
        <f aca="false">IF(AND($AE422=Constants!$B$7, T422, U422) ,MAX(0, $AA422-$Y422),"")</f>
        <v/>
      </c>
      <c r="AI422" s="63" t="str">
        <f aca="false">IF(ISERROR(AH422),$AI$6,"")</f>
        <v/>
      </c>
      <c r="AJ422" s="63" t="str">
        <f aca="false">IF($AE422=Constants!$B$7,IF(AND(T422,U422,W422),IF($AH$6=0,Constants!$B$9,Constants!$B$9*AH422/$AH$6), 0),"")</f>
        <v/>
      </c>
      <c r="AK422" s="63" t="str">
        <f aca="false">IF(AJ422&lt;&gt;"", AJ422*AG422,"")</f>
        <v/>
      </c>
      <c r="AL422" s="63" t="str">
        <f aca="false">IF(AND($AE422=Constants!$B$7, T422, U422) ,IF($Z422="", "", MAX(0,1-ABS($AA422-$Z422)/$AA422)),"")</f>
        <v/>
      </c>
      <c r="AM422" s="63" t="str">
        <f aca="false">IF(AND(NOT(ISERROR(AH422)),ISERROR(AL422)),$AM$6,"")</f>
        <v/>
      </c>
      <c r="AN422" s="63" t="str">
        <f aca="false">IF($AE422=Constants!$B$7 ,IF(AND(T422,U422,W422,ISNUMBER(Z422)),IF($AL$6=0,Constants!$B$10,Constants!$B$10*AL422/$AL$6), 0),"")</f>
        <v/>
      </c>
      <c r="AO422" s="63" t="str">
        <f aca="false">IF(AN422&lt;&gt;"", AN422*AG422,"")</f>
        <v/>
      </c>
      <c r="AP422" s="63" t="str">
        <f aca="false">IF($AE422=Constants!$B$7,IF($AP$6=0,Constants!$B$8,Constants!$B$8*AB422/$AP$6),"")</f>
        <v/>
      </c>
      <c r="AQ422" s="63" t="str">
        <f aca="false">IF($AE422&lt;&gt;Constants!$B$7,$AE422,AK422+AO422+AP422)</f>
        <v/>
      </c>
      <c r="AR422" s="63" t="str">
        <f aca="false">IF(ISBLANK($C422),"",IF($AE422=Constants!$B$7,RANK(AQ422,$AQ$8:$AQ$507),$AE422))</f>
        <v/>
      </c>
      <c r="AS422" s="63" t="str">
        <f aca="false">IF(ISBLANK($C422), "",AK422)</f>
        <v/>
      </c>
      <c r="AT422" s="63" t="str">
        <f aca="false">IF(ISBLANK($C422),"",IF($AE422=Constants!$B$7,RANK(AS422,AS$8:AS$507),$AE422))</f>
        <v/>
      </c>
      <c r="AU422" s="63" t="str">
        <f aca="false">IF(ISBLANK($C422), "",AP422)</f>
        <v/>
      </c>
      <c r="AV422" s="63" t="str">
        <f aca="false">IF(ISBLANK($C422),"",IF($AE422=Constants!$B$7,RANK(AU422,AU$8:AU$507),$AE422))</f>
        <v/>
      </c>
      <c r="AW422" s="63" t="str">
        <f aca="false">IF(ISBLANK($C422), "",AC422)</f>
        <v/>
      </c>
      <c r="AX422" s="63" t="str">
        <f aca="false">IF(ISBLANK($C422),"",
IF($AE422=Constants!$B$7,
  COUNTIFS($AR$8:$AR$507,"&lt;"&amp;$AR422)
  + COUNTIFS($AR$8:$AR$507,$AR422,$AT$8:$AT$507,"&lt;"&amp;$AT422)
  + COUNTIFS($AR$8:$AR$507,$AR422,$AT$8:$AT$507,$AT422,$AV$8:$AV$507,"&lt;"&amp;$AV422)
  + COUNTIFS($AR$8:$AR$507,$AR422,$AT$8:$AT$507,$AT422,$AV$8:$AV$507,$AV422,$AW$8:$AW$507,"&lt;"&amp;$AW422)
  + 1,
$AE422))</f>
        <v/>
      </c>
      <c r="AY422" s="63" t="str">
        <f aca="false">IF(ISBLANK(C422),"",IF($AE422=Constants!$B$7, AR422-AX422,$AE422))</f>
        <v/>
      </c>
      <c r="AZ422" s="67"/>
      <c r="BA422" s="81" t="str">
        <f aca="false">IF(ISBLANK($C422),"",TRIM(AI422&amp;" "&amp;AM422))</f>
        <v/>
      </c>
      <c r="BB422" s="69" t="str">
        <f aca="false">IF(ISBLANK($C422),"",IF($AE422&lt;&gt;Constants!$B$7, $AE422 ,AQ422))</f>
        <v/>
      </c>
      <c r="BC422" s="70" t="str">
        <f aca="false">IF(ISBLANK($C422),"",IF($AE422&lt;&gt;Constants!$B$7, $AE422 ,AF422))</f>
        <v/>
      </c>
      <c r="BD422" s="71" t="str">
        <f aca="false">IF(ISBLANK(C422),"",AY422)</f>
        <v/>
      </c>
      <c r="BE422" s="71" t="str">
        <f aca="false">IF(ISBLANK(C422),"",AX422)</f>
        <v/>
      </c>
      <c r="BF422" s="72" t="str">
        <f aca="false">IF(ISBLANK(C422),"",IFERROR(_xlfn.SWITCH(BE422, Constants!$B$4, COUNTA($C$8:$C921)+2, Constants!$B$5, COUNTA($C$8:$C921)+1, Constants!$B$6, COUNTA($C$8:$C921)),BE422))</f>
        <v/>
      </c>
      <c r="BG422" s="5"/>
      <c r="BH422" s="73" t="n">
        <f aca="false">IF(OR(ISNUMBER(BE422),BE422="DQ",BE422="P",BE422="NS"),
    1,
    0
)</f>
        <v>0</v>
      </c>
      <c r="BI422" s="73" t="n">
        <v>415</v>
      </c>
      <c r="BJ422" s="73" t="str">
        <f aca="false">IF(ISBLANK($C422),
    "",
   BF422+ROW($B422)/1000
)</f>
        <v/>
      </c>
      <c r="BK422" s="73" t="str">
        <f aca="false">IF(ISNUMBER(BJ422), RANK(BJ422,BJ$8:BJ$507,1), "")</f>
        <v/>
      </c>
      <c r="BL422" s="73" t="str">
        <f aca="false">IF(ISBLANK($C422),
    "",
    $B422
)</f>
        <v/>
      </c>
      <c r="BM422" s="73" t="str">
        <f aca="false">IF(ISBLANK($C422),
    "",
    $C422
)</f>
        <v/>
      </c>
      <c r="BN422" s="73" t="str">
        <f aca="false">IF(ISBLANK($C422),
    "",
    $D422
)</f>
        <v/>
      </c>
      <c r="BO422" s="74" t="str">
        <f aca="false">BC422</f>
        <v/>
      </c>
      <c r="BP422" s="75" t="str">
        <f aca="false">BB422</f>
        <v/>
      </c>
      <c r="BQ422" s="73" t="str">
        <f aca="false">IF(ISBLANK($C422),
    "",
    BE422
)</f>
        <v/>
      </c>
      <c r="BR422" s="76" t="str">
        <f aca="false">IF(BI422&gt;BH$7,
    "",
    VLOOKUP(BI422,BK$8:BQ921,7,FALSE())
)</f>
        <v/>
      </c>
      <c r="BS422" s="77" t="str">
        <f aca="false">IF(BI422&gt;BH$7,
    "",
    VLOOKUP(BI422,BK$8:BQ921,2,FALSE())
)</f>
        <v/>
      </c>
      <c r="BT422" s="77" t="str">
        <f aca="false">IF(BI422&gt;BH$7,
    "",
    VLOOKUP(BI422,BK$8:BQ921,3,FALSE())
)</f>
        <v/>
      </c>
      <c r="BU422" s="77" t="str">
        <f aca="false">IF(BI422&gt;BH$7,
    "",
    VLOOKUP(BI422,BK$8:BQ921,4,FALSE())
)</f>
        <v/>
      </c>
      <c r="BV422" s="77" t="str">
        <f aca="false">IF(BI422&gt;BH$7,
    "",
    VLOOKUP(BI422,BK$8:BQ921,5,FALSE())
)</f>
        <v/>
      </c>
      <c r="BW422" s="78" t="str">
        <f aca="false">IF(BI422&gt;BH$7,
    "",
    VLOOKUP(BI422,BK$8:BQ921,6,FALSE())
)</f>
        <v/>
      </c>
      <c r="BX422" s="50"/>
    </row>
    <row r="423" customFormat="false" ht="15.75" hidden="false" customHeight="false" outlineLevel="0" collapsed="false">
      <c r="A423" s="5"/>
      <c r="B423" s="126"/>
      <c r="C423" s="52"/>
      <c r="D423" s="53"/>
      <c r="E423" s="120"/>
      <c r="F423" s="120"/>
      <c r="G423" s="55"/>
      <c r="H423" s="56"/>
      <c r="I423" s="80"/>
      <c r="J423" s="80"/>
      <c r="K423" s="80"/>
      <c r="L423" s="58"/>
      <c r="M423" s="58"/>
      <c r="N423" s="58"/>
      <c r="O423" s="59"/>
      <c r="P423" s="60"/>
      <c r="Q423" s="80"/>
      <c r="R423" s="62"/>
      <c r="S423" s="63"/>
      <c r="T423" s="63" t="str">
        <f aca="false">IF(ISBLANK($C423),"",IF(G423=Constants!$B$2, TRUE(), IF(G423=Constants!$B$3, FALSE(), TRUE())))</f>
        <v/>
      </c>
      <c r="U423" s="63" t="str">
        <f aca="false">IF(ISBLANK($C423),"",IF(H423=Constants!$B$2, TRUE(), IF(H423=Constants!$B$3, FALSE(), TRUE())))</f>
        <v/>
      </c>
      <c r="V423" s="63" t="str">
        <f aca="false">IF(ISBLANK($C423),"",IF(I423=Constants!$B$2, TRUE(), IF(I423=Constants!$B$3, FALSE(), TRUE())))</f>
        <v/>
      </c>
      <c r="W423" s="63" t="str">
        <f aca="false">IF(ISBLANK($C423),"",IF(J423=Constants!$B$2, TRUE(), IF(J423=Constants!$B$3, FALSE(), TRUE())))</f>
        <v/>
      </c>
      <c r="X423" s="63" t="str">
        <f aca="false">IF(ISBLANK($C423),"",IF(K423=Constants!$B$2, TRUE(), IF(K423=Constants!$B$3, FALSE(), TRUE())))</f>
        <v/>
      </c>
      <c r="Y423" s="65" t="str">
        <f aca="false">IF(ISBLANK($C423),"",IF(ISNUMBER(L423), L423, ""))</f>
        <v/>
      </c>
      <c r="Z423" s="65" t="str">
        <f aca="false">IF(ISBLANK($C423),"",IF(ISNUMBER(M423), M423, ""))</f>
        <v/>
      </c>
      <c r="AA423" s="65" t="str">
        <f aca="false">IF(ISBLANK($C423),"",IF(ISNUMBER(N423), N423, ""))</f>
        <v/>
      </c>
      <c r="AB423" s="66" t="str">
        <f aca="false">IF(ISBLANK($C423),"",IF(ISNUMBER(O423), O423, ""))</f>
        <v/>
      </c>
      <c r="AC423" s="66" t="str">
        <f aca="false">IF(ISBLANK($C423),"",IF(ISNUMBER(P423), P423, Constants!$B$13))</f>
        <v/>
      </c>
      <c r="AD423" s="63" t="str">
        <f aca="false">IF(ISBLANK($C423),"",IF(Q423=Constants!$B$2, TRUE(), IF(Q423=Constants!$B$3, FALSE(), FALSE())))</f>
        <v/>
      </c>
      <c r="AE423" s="63" t="str">
        <f aca="false">IF(ISBLANK(C423), "", IF(AD423, Constants!$B$4,IF(COUNTA(G423:O423)=0, Constants!$B$5, Constants!$B$7)))</f>
        <v/>
      </c>
      <c r="AF423" s="63" t="str">
        <f aca="false">IF(ISBLANK($C423), "",IF($AE423=Constants!$B$7,1,$AE423))</f>
        <v/>
      </c>
      <c r="AG423" s="63" t="str">
        <f aca="false">IF($AE423=Constants!$B$7,IF(V423, 1, Constants!$B$11) * IF(X423, 1, Constants!$B$12),"")</f>
        <v/>
      </c>
      <c r="AH423" s="63" t="str">
        <f aca="false">IF(AND($AE423=Constants!$B$7, T423, U423) ,MAX(0, $AA423-$Y423),"")</f>
        <v/>
      </c>
      <c r="AI423" s="63" t="str">
        <f aca="false">IF(ISERROR(AH423),$AI$6,"")</f>
        <v/>
      </c>
      <c r="AJ423" s="63" t="str">
        <f aca="false">IF($AE423=Constants!$B$7,IF(AND(T423,U423,W423),IF($AH$6=0,Constants!$B$9,Constants!$B$9*AH423/$AH$6), 0),"")</f>
        <v/>
      </c>
      <c r="AK423" s="63" t="str">
        <f aca="false">IF(AJ423&lt;&gt;"", AJ423*AG423,"")</f>
        <v/>
      </c>
      <c r="AL423" s="63" t="str">
        <f aca="false">IF(AND($AE423=Constants!$B$7, T423, U423) ,IF($Z423="", "", MAX(0,1-ABS($AA423-$Z423)/$AA423)),"")</f>
        <v/>
      </c>
      <c r="AM423" s="63" t="str">
        <f aca="false">IF(AND(NOT(ISERROR(AH423)),ISERROR(AL423)),$AM$6,"")</f>
        <v/>
      </c>
      <c r="AN423" s="63" t="str">
        <f aca="false">IF($AE423=Constants!$B$7 ,IF(AND(T423,U423,W423,ISNUMBER(Z423)),IF($AL$6=0,Constants!$B$10,Constants!$B$10*AL423/$AL$6), 0),"")</f>
        <v/>
      </c>
      <c r="AO423" s="63" t="str">
        <f aca="false">IF(AN423&lt;&gt;"", AN423*AG423,"")</f>
        <v/>
      </c>
      <c r="AP423" s="63" t="str">
        <f aca="false">IF($AE423=Constants!$B$7,IF($AP$6=0,Constants!$B$8,Constants!$B$8*AB423/$AP$6),"")</f>
        <v/>
      </c>
      <c r="AQ423" s="63" t="str">
        <f aca="false">IF($AE423&lt;&gt;Constants!$B$7,$AE423,AK423+AO423+AP423)</f>
        <v/>
      </c>
      <c r="AR423" s="63" t="str">
        <f aca="false">IF(ISBLANK($C423),"",IF($AE423=Constants!$B$7,RANK(AQ423,$AQ$8:$AQ$507),$AE423))</f>
        <v/>
      </c>
      <c r="AS423" s="63" t="str">
        <f aca="false">IF(ISBLANK($C423), "",AK423)</f>
        <v/>
      </c>
      <c r="AT423" s="63" t="str">
        <f aca="false">IF(ISBLANK($C423),"",IF($AE423=Constants!$B$7,RANK(AS423,AS$8:AS$507),$AE423))</f>
        <v/>
      </c>
      <c r="AU423" s="63" t="str">
        <f aca="false">IF(ISBLANK($C423), "",AP423)</f>
        <v/>
      </c>
      <c r="AV423" s="63" t="str">
        <f aca="false">IF(ISBLANK($C423),"",IF($AE423=Constants!$B$7,RANK(AU423,AU$8:AU$507),$AE423))</f>
        <v/>
      </c>
      <c r="AW423" s="63" t="str">
        <f aca="false">IF(ISBLANK($C423), "",AC423)</f>
        <v/>
      </c>
      <c r="AX423" s="63" t="str">
        <f aca="false">IF(ISBLANK($C423),"",
IF($AE423=Constants!$B$7,
  COUNTIFS($AR$8:$AR$507,"&lt;"&amp;$AR423)
  + COUNTIFS($AR$8:$AR$507,$AR423,$AT$8:$AT$507,"&lt;"&amp;$AT423)
  + COUNTIFS($AR$8:$AR$507,$AR423,$AT$8:$AT$507,$AT423,$AV$8:$AV$507,"&lt;"&amp;$AV423)
  + COUNTIFS($AR$8:$AR$507,$AR423,$AT$8:$AT$507,$AT423,$AV$8:$AV$507,$AV423,$AW$8:$AW$507,"&lt;"&amp;$AW423)
  + 1,
$AE423))</f>
        <v/>
      </c>
      <c r="AY423" s="63" t="str">
        <f aca="false">IF(ISBLANK(C423),"",IF($AE423=Constants!$B$7, AR423-AX423,$AE423))</f>
        <v/>
      </c>
      <c r="AZ423" s="67"/>
      <c r="BA423" s="81" t="str">
        <f aca="false">IF(ISBLANK($C423),"",TRIM(AI423&amp;" "&amp;AM423))</f>
        <v/>
      </c>
      <c r="BB423" s="69" t="str">
        <f aca="false">IF(ISBLANK($C423),"",IF($AE423&lt;&gt;Constants!$B$7, $AE423 ,AQ423))</f>
        <v/>
      </c>
      <c r="BC423" s="70" t="str">
        <f aca="false">IF(ISBLANK($C423),"",IF($AE423&lt;&gt;Constants!$B$7, $AE423 ,AF423))</f>
        <v/>
      </c>
      <c r="BD423" s="71" t="str">
        <f aca="false">IF(ISBLANK(C423),"",AY423)</f>
        <v/>
      </c>
      <c r="BE423" s="71" t="str">
        <f aca="false">IF(ISBLANK(C423),"",AX423)</f>
        <v/>
      </c>
      <c r="BF423" s="72" t="str">
        <f aca="false">IF(ISBLANK(C423),"",IFERROR(_xlfn.SWITCH(BE423, Constants!$B$4, COUNTA($C$8:$C922)+2, Constants!$B$5, COUNTA($C$8:$C922)+1, Constants!$B$6, COUNTA($C$8:$C922)),BE423))</f>
        <v/>
      </c>
      <c r="BG423" s="5"/>
      <c r="BH423" s="73" t="n">
        <f aca="false">IF(OR(ISNUMBER(BE423),BE423="DQ",BE423="P",BE423="NS"),
    1,
    0
)</f>
        <v>0</v>
      </c>
      <c r="BI423" s="73" t="n">
        <v>416</v>
      </c>
      <c r="BJ423" s="73" t="str">
        <f aca="false">IF(ISBLANK($C423),
    "",
   BF423+ROW($B423)/1000
)</f>
        <v/>
      </c>
      <c r="BK423" s="73" t="str">
        <f aca="false">IF(ISNUMBER(BJ423), RANK(BJ423,BJ$8:BJ$507,1), "")</f>
        <v/>
      </c>
      <c r="BL423" s="73" t="str">
        <f aca="false">IF(ISBLANK($C423),
    "",
    $B423
)</f>
        <v/>
      </c>
      <c r="BM423" s="73" t="str">
        <f aca="false">IF(ISBLANK($C423),
    "",
    $C423
)</f>
        <v/>
      </c>
      <c r="BN423" s="73" t="str">
        <f aca="false">IF(ISBLANK($C423),
    "",
    $D423
)</f>
        <v/>
      </c>
      <c r="BO423" s="74" t="str">
        <f aca="false">BC423</f>
        <v/>
      </c>
      <c r="BP423" s="75" t="str">
        <f aca="false">BB423</f>
        <v/>
      </c>
      <c r="BQ423" s="73" t="str">
        <f aca="false">IF(ISBLANK($C423),
    "",
    BE423
)</f>
        <v/>
      </c>
      <c r="BR423" s="76" t="str">
        <f aca="false">IF(BI423&gt;BH$7,
    "",
    VLOOKUP(BI423,BK$8:BQ922,7,FALSE())
)</f>
        <v/>
      </c>
      <c r="BS423" s="77" t="str">
        <f aca="false">IF(BI423&gt;BH$7,
    "",
    VLOOKUP(BI423,BK$8:BQ922,2,FALSE())
)</f>
        <v/>
      </c>
      <c r="BT423" s="77" t="str">
        <f aca="false">IF(BI423&gt;BH$7,
    "",
    VLOOKUP(BI423,BK$8:BQ922,3,FALSE())
)</f>
        <v/>
      </c>
      <c r="BU423" s="77" t="str">
        <f aca="false">IF(BI423&gt;BH$7,
    "",
    VLOOKUP(BI423,BK$8:BQ922,4,FALSE())
)</f>
        <v/>
      </c>
      <c r="BV423" s="77" t="str">
        <f aca="false">IF(BI423&gt;BH$7,
    "",
    VLOOKUP(BI423,BK$8:BQ922,5,FALSE())
)</f>
        <v/>
      </c>
      <c r="BW423" s="78" t="str">
        <f aca="false">IF(BI423&gt;BH$7,
    "",
    VLOOKUP(BI423,BK$8:BQ922,6,FALSE())
)</f>
        <v/>
      </c>
      <c r="BX423" s="50"/>
    </row>
    <row r="424" customFormat="false" ht="15.75" hidden="false" customHeight="false" outlineLevel="0" collapsed="false">
      <c r="A424" s="5"/>
      <c r="B424" s="126"/>
      <c r="C424" s="52"/>
      <c r="D424" s="53"/>
      <c r="E424" s="120"/>
      <c r="F424" s="120"/>
      <c r="G424" s="55"/>
      <c r="H424" s="56"/>
      <c r="I424" s="80"/>
      <c r="J424" s="80"/>
      <c r="K424" s="80"/>
      <c r="L424" s="58"/>
      <c r="M424" s="58"/>
      <c r="N424" s="58"/>
      <c r="O424" s="59"/>
      <c r="P424" s="60"/>
      <c r="Q424" s="80"/>
      <c r="R424" s="62"/>
      <c r="S424" s="63"/>
      <c r="T424" s="63" t="str">
        <f aca="false">IF(ISBLANK($C424),"",IF(G424=Constants!$B$2, TRUE(), IF(G424=Constants!$B$3, FALSE(), TRUE())))</f>
        <v/>
      </c>
      <c r="U424" s="63" t="str">
        <f aca="false">IF(ISBLANK($C424),"",IF(H424=Constants!$B$2, TRUE(), IF(H424=Constants!$B$3, FALSE(), TRUE())))</f>
        <v/>
      </c>
      <c r="V424" s="63" t="str">
        <f aca="false">IF(ISBLANK($C424),"",IF(I424=Constants!$B$2, TRUE(), IF(I424=Constants!$B$3, FALSE(), TRUE())))</f>
        <v/>
      </c>
      <c r="W424" s="63" t="str">
        <f aca="false">IF(ISBLANK($C424),"",IF(J424=Constants!$B$2, TRUE(), IF(J424=Constants!$B$3, FALSE(), TRUE())))</f>
        <v/>
      </c>
      <c r="X424" s="63" t="str">
        <f aca="false">IF(ISBLANK($C424),"",IF(K424=Constants!$B$2, TRUE(), IF(K424=Constants!$B$3, FALSE(), TRUE())))</f>
        <v/>
      </c>
      <c r="Y424" s="65" t="str">
        <f aca="false">IF(ISBLANK($C424),"",IF(ISNUMBER(L424), L424, ""))</f>
        <v/>
      </c>
      <c r="Z424" s="65" t="str">
        <f aca="false">IF(ISBLANK($C424),"",IF(ISNUMBER(M424), M424, ""))</f>
        <v/>
      </c>
      <c r="AA424" s="65" t="str">
        <f aca="false">IF(ISBLANK($C424),"",IF(ISNUMBER(N424), N424, ""))</f>
        <v/>
      </c>
      <c r="AB424" s="66" t="str">
        <f aca="false">IF(ISBLANK($C424),"",IF(ISNUMBER(O424), O424, ""))</f>
        <v/>
      </c>
      <c r="AC424" s="66" t="str">
        <f aca="false">IF(ISBLANK($C424),"",IF(ISNUMBER(P424), P424, Constants!$B$13))</f>
        <v/>
      </c>
      <c r="AD424" s="63" t="str">
        <f aca="false">IF(ISBLANK($C424),"",IF(Q424=Constants!$B$2, TRUE(), IF(Q424=Constants!$B$3, FALSE(), FALSE())))</f>
        <v/>
      </c>
      <c r="AE424" s="63" t="str">
        <f aca="false">IF(ISBLANK(C424), "", IF(AD424, Constants!$B$4,IF(COUNTA(G424:O424)=0, Constants!$B$5, Constants!$B$7)))</f>
        <v/>
      </c>
      <c r="AF424" s="63" t="str">
        <f aca="false">IF(ISBLANK($C424), "",IF($AE424=Constants!$B$7,1,$AE424))</f>
        <v/>
      </c>
      <c r="AG424" s="63" t="str">
        <f aca="false">IF($AE424=Constants!$B$7,IF(V424, 1, Constants!$B$11) * IF(X424, 1, Constants!$B$12),"")</f>
        <v/>
      </c>
      <c r="AH424" s="63" t="str">
        <f aca="false">IF(AND($AE424=Constants!$B$7, T424, U424) ,MAX(0, $AA424-$Y424),"")</f>
        <v/>
      </c>
      <c r="AI424" s="63" t="str">
        <f aca="false">IF(ISERROR(AH424),$AI$6,"")</f>
        <v/>
      </c>
      <c r="AJ424" s="63" t="str">
        <f aca="false">IF($AE424=Constants!$B$7,IF(AND(T424,U424,W424),IF($AH$6=0,Constants!$B$9,Constants!$B$9*AH424/$AH$6), 0),"")</f>
        <v/>
      </c>
      <c r="AK424" s="63" t="str">
        <f aca="false">IF(AJ424&lt;&gt;"", AJ424*AG424,"")</f>
        <v/>
      </c>
      <c r="AL424" s="63" t="str">
        <f aca="false">IF(AND($AE424=Constants!$B$7, T424, U424) ,IF($Z424="", "", MAX(0,1-ABS($AA424-$Z424)/$AA424)),"")</f>
        <v/>
      </c>
      <c r="AM424" s="63" t="str">
        <f aca="false">IF(AND(NOT(ISERROR(AH424)),ISERROR(AL424)),$AM$6,"")</f>
        <v/>
      </c>
      <c r="AN424" s="63" t="str">
        <f aca="false">IF($AE424=Constants!$B$7 ,IF(AND(T424,U424,W424,ISNUMBER(Z424)),IF($AL$6=0,Constants!$B$10,Constants!$B$10*AL424/$AL$6), 0),"")</f>
        <v/>
      </c>
      <c r="AO424" s="63" t="str">
        <f aca="false">IF(AN424&lt;&gt;"", AN424*AG424,"")</f>
        <v/>
      </c>
      <c r="AP424" s="63" t="str">
        <f aca="false">IF($AE424=Constants!$B$7,IF($AP$6=0,Constants!$B$8,Constants!$B$8*AB424/$AP$6),"")</f>
        <v/>
      </c>
      <c r="AQ424" s="63" t="str">
        <f aca="false">IF($AE424&lt;&gt;Constants!$B$7,$AE424,AK424+AO424+AP424)</f>
        <v/>
      </c>
      <c r="AR424" s="63" t="str">
        <f aca="false">IF(ISBLANK($C424),"",IF($AE424=Constants!$B$7,RANK(AQ424,$AQ$8:$AQ$507),$AE424))</f>
        <v/>
      </c>
      <c r="AS424" s="63" t="str">
        <f aca="false">IF(ISBLANK($C424), "",AK424)</f>
        <v/>
      </c>
      <c r="AT424" s="63" t="str">
        <f aca="false">IF(ISBLANK($C424),"",IF($AE424=Constants!$B$7,RANK(AS424,AS$8:AS$507),$AE424))</f>
        <v/>
      </c>
      <c r="AU424" s="63" t="str">
        <f aca="false">IF(ISBLANK($C424), "",AP424)</f>
        <v/>
      </c>
      <c r="AV424" s="63" t="str">
        <f aca="false">IF(ISBLANK($C424),"",IF($AE424=Constants!$B$7,RANK(AU424,AU$8:AU$507),$AE424))</f>
        <v/>
      </c>
      <c r="AW424" s="63" t="str">
        <f aca="false">IF(ISBLANK($C424), "",AC424)</f>
        <v/>
      </c>
      <c r="AX424" s="63" t="str">
        <f aca="false">IF(ISBLANK($C424),"",
IF($AE424=Constants!$B$7,
  COUNTIFS($AR$8:$AR$507,"&lt;"&amp;$AR424)
  + COUNTIFS($AR$8:$AR$507,$AR424,$AT$8:$AT$507,"&lt;"&amp;$AT424)
  + COUNTIFS($AR$8:$AR$507,$AR424,$AT$8:$AT$507,$AT424,$AV$8:$AV$507,"&lt;"&amp;$AV424)
  + COUNTIFS($AR$8:$AR$507,$AR424,$AT$8:$AT$507,$AT424,$AV$8:$AV$507,$AV424,$AW$8:$AW$507,"&lt;"&amp;$AW424)
  + 1,
$AE424))</f>
        <v/>
      </c>
      <c r="AY424" s="63" t="str">
        <f aca="false">IF(ISBLANK(C424),"",IF($AE424=Constants!$B$7, AR424-AX424,$AE424))</f>
        <v/>
      </c>
      <c r="AZ424" s="67"/>
      <c r="BA424" s="81" t="str">
        <f aca="false">IF(ISBLANK($C424),"",TRIM(AI424&amp;" "&amp;AM424))</f>
        <v/>
      </c>
      <c r="BB424" s="69" t="str">
        <f aca="false">IF(ISBLANK($C424),"",IF($AE424&lt;&gt;Constants!$B$7, $AE424 ,AQ424))</f>
        <v/>
      </c>
      <c r="BC424" s="70" t="str">
        <f aca="false">IF(ISBLANK($C424),"",IF($AE424&lt;&gt;Constants!$B$7, $AE424 ,AF424))</f>
        <v/>
      </c>
      <c r="BD424" s="71" t="str">
        <f aca="false">IF(ISBLANK(C424),"",AY424)</f>
        <v/>
      </c>
      <c r="BE424" s="71" t="str">
        <f aca="false">IF(ISBLANK(C424),"",AX424)</f>
        <v/>
      </c>
      <c r="BF424" s="72" t="str">
        <f aca="false">IF(ISBLANK(C424),"",IFERROR(_xlfn.SWITCH(BE424, Constants!$B$4, COUNTA($C$8:$C923)+2, Constants!$B$5, COUNTA($C$8:$C923)+1, Constants!$B$6, COUNTA($C$8:$C923)),BE424))</f>
        <v/>
      </c>
      <c r="BG424" s="5"/>
      <c r="BH424" s="73" t="n">
        <f aca="false">IF(OR(ISNUMBER(BE424),BE424="DQ",BE424="P",BE424="NS"),
    1,
    0
)</f>
        <v>0</v>
      </c>
      <c r="BI424" s="73" t="n">
        <v>417</v>
      </c>
      <c r="BJ424" s="73" t="str">
        <f aca="false">IF(ISBLANK($C424),
    "",
   BF424+ROW($B424)/1000
)</f>
        <v/>
      </c>
      <c r="BK424" s="73" t="str">
        <f aca="false">IF(ISNUMBER(BJ424), RANK(BJ424,BJ$8:BJ$507,1), "")</f>
        <v/>
      </c>
      <c r="BL424" s="73" t="str">
        <f aca="false">IF(ISBLANK($C424),
    "",
    $B424
)</f>
        <v/>
      </c>
      <c r="BM424" s="73" t="str">
        <f aca="false">IF(ISBLANK($C424),
    "",
    $C424
)</f>
        <v/>
      </c>
      <c r="BN424" s="73" t="str">
        <f aca="false">IF(ISBLANK($C424),
    "",
    $D424
)</f>
        <v/>
      </c>
      <c r="BO424" s="74" t="str">
        <f aca="false">BC424</f>
        <v/>
      </c>
      <c r="BP424" s="75" t="str">
        <f aca="false">BB424</f>
        <v/>
      </c>
      <c r="BQ424" s="73" t="str">
        <f aca="false">IF(ISBLANK($C424),
    "",
    BE424
)</f>
        <v/>
      </c>
      <c r="BR424" s="76" t="str">
        <f aca="false">IF(BI424&gt;BH$7,
    "",
    VLOOKUP(BI424,BK$8:BQ923,7,FALSE())
)</f>
        <v/>
      </c>
      <c r="BS424" s="77" t="str">
        <f aca="false">IF(BI424&gt;BH$7,
    "",
    VLOOKUP(BI424,BK$8:BQ923,2,FALSE())
)</f>
        <v/>
      </c>
      <c r="BT424" s="77" t="str">
        <f aca="false">IF(BI424&gt;BH$7,
    "",
    VLOOKUP(BI424,BK$8:BQ923,3,FALSE())
)</f>
        <v/>
      </c>
      <c r="BU424" s="77" t="str">
        <f aca="false">IF(BI424&gt;BH$7,
    "",
    VLOOKUP(BI424,BK$8:BQ923,4,FALSE())
)</f>
        <v/>
      </c>
      <c r="BV424" s="77" t="str">
        <f aca="false">IF(BI424&gt;BH$7,
    "",
    VLOOKUP(BI424,BK$8:BQ923,5,FALSE())
)</f>
        <v/>
      </c>
      <c r="BW424" s="78" t="str">
        <f aca="false">IF(BI424&gt;BH$7,
    "",
    VLOOKUP(BI424,BK$8:BQ923,6,FALSE())
)</f>
        <v/>
      </c>
      <c r="BX424" s="50"/>
    </row>
    <row r="425" customFormat="false" ht="15.75" hidden="false" customHeight="false" outlineLevel="0" collapsed="false">
      <c r="A425" s="5"/>
      <c r="B425" s="122"/>
      <c r="C425" s="123"/>
      <c r="D425" s="112"/>
      <c r="E425" s="116"/>
      <c r="F425" s="116"/>
      <c r="G425" s="88"/>
      <c r="H425" s="89"/>
      <c r="I425" s="125"/>
      <c r="J425" s="125"/>
      <c r="K425" s="125"/>
      <c r="L425" s="91"/>
      <c r="M425" s="91"/>
      <c r="N425" s="91"/>
      <c r="O425" s="92"/>
      <c r="P425" s="93"/>
      <c r="Q425" s="125"/>
      <c r="R425" s="95"/>
      <c r="S425" s="96"/>
      <c r="T425" s="96" t="str">
        <f aca="false">IF(ISBLANK($C425),"",IF(G425=Constants!$B$2, TRUE(), IF(G425=Constants!$B$3, FALSE(), TRUE())))</f>
        <v/>
      </c>
      <c r="U425" s="96" t="str">
        <f aca="false">IF(ISBLANK($C425),"",IF(H425=Constants!$B$2, TRUE(), IF(H425=Constants!$B$3, FALSE(), TRUE())))</f>
        <v/>
      </c>
      <c r="V425" s="96" t="str">
        <f aca="false">IF(ISBLANK($C425),"",IF(I425=Constants!$B$2, TRUE(), IF(I425=Constants!$B$3, FALSE(), TRUE())))</f>
        <v/>
      </c>
      <c r="W425" s="96" t="str">
        <f aca="false">IF(ISBLANK($C425),"",IF(J425=Constants!$B$2, TRUE(), IF(J425=Constants!$B$3, FALSE(), TRUE())))</f>
        <v/>
      </c>
      <c r="X425" s="97" t="str">
        <f aca="false">IF(ISBLANK($C425),"",IF(K425=Constants!$B$2, TRUE(), IF(K425=Constants!$B$3, FALSE(), TRUE())))</f>
        <v/>
      </c>
      <c r="Y425" s="98" t="str">
        <f aca="false">IF(ISBLANK($C425),"",IF(ISNUMBER(L425), L425, ""))</f>
        <v/>
      </c>
      <c r="Z425" s="98" t="str">
        <f aca="false">IF(ISBLANK($C425),"",IF(ISNUMBER(M425), M425, ""))</f>
        <v/>
      </c>
      <c r="AA425" s="98" t="str">
        <f aca="false">IF(ISBLANK($C425),"",IF(ISNUMBER(N425), N425, ""))</f>
        <v/>
      </c>
      <c r="AB425" s="99" t="str">
        <f aca="false">IF(ISBLANK($C425),"",IF(ISNUMBER(O425), O425, ""))</f>
        <v/>
      </c>
      <c r="AC425" s="99" t="str">
        <f aca="false">IF(ISBLANK($C425),"",IF(ISNUMBER(P425), P425, Constants!$B$13))</f>
        <v/>
      </c>
      <c r="AD425" s="96" t="str">
        <f aca="false">IF(ISBLANK($C425),"",IF(Q425=Constants!$B$2, TRUE(), IF(Q425=Constants!$B$3, FALSE(), FALSE())))</f>
        <v/>
      </c>
      <c r="AE425" s="96" t="str">
        <f aca="false">IF(ISBLANK(C425), "", IF(AD425, Constants!$B$4,IF(COUNTA(G425:O425)=0, Constants!$B$5, Constants!$B$7)))</f>
        <v/>
      </c>
      <c r="AF425" s="96" t="str">
        <f aca="false">IF(ISBLANK($C425), "",IF($AE425=Constants!$B$7,1,$AE425))</f>
        <v/>
      </c>
      <c r="AG425" s="96" t="str">
        <f aca="false">IF($AE425=Constants!$B$7,IF(V425, 1, Constants!$B$11) * IF(X425, 1, Constants!$B$12),"")</f>
        <v/>
      </c>
      <c r="AH425" s="96" t="str">
        <f aca="false">IF(AND($AE425=Constants!$B$7, T425, U425) ,MAX(0, $AA425-$Y425),"")</f>
        <v/>
      </c>
      <c r="AI425" s="96" t="str">
        <f aca="false">IF(ISERROR(AH425),$AI$6,"")</f>
        <v/>
      </c>
      <c r="AJ425" s="96" t="str">
        <f aca="false">IF($AE425=Constants!$B$7,IF(AND(T425,U425,W425),IF($AH$6=0,Constants!$B$9,Constants!$B$9*AH425/$AH$6), 0),"")</f>
        <v/>
      </c>
      <c r="AK425" s="96" t="str">
        <f aca="false">IF(AJ425&lt;&gt;"", AJ425*AG425,"")</f>
        <v/>
      </c>
      <c r="AL425" s="96" t="str">
        <f aca="false">IF(AND($AE425=Constants!$B$7, T425, U425) ,IF($Z425="", "", MAX(0,1-ABS($AA425-$Z425)/$AA425)),"")</f>
        <v/>
      </c>
      <c r="AM425" s="96" t="str">
        <f aca="false">IF(AND(NOT(ISERROR(AH425)),ISERROR(AL425)),$AM$6,"")</f>
        <v/>
      </c>
      <c r="AN425" s="96" t="str">
        <f aca="false">IF($AE425=Constants!$B$7 ,IF(AND(T425,U425,W425,ISNUMBER(Z425)),IF($AL$6=0,Constants!$B$10,Constants!$B$10*AL425/$AL$6), 0),"")</f>
        <v/>
      </c>
      <c r="AO425" s="96" t="str">
        <f aca="false">IF(AN425&lt;&gt;"", AN425*AG425,"")</f>
        <v/>
      </c>
      <c r="AP425" s="96" t="str">
        <f aca="false">IF($AE425=Constants!$B$7,IF($AP$6=0,Constants!$B$8,Constants!$B$8*AB425/$AP$6),"")</f>
        <v/>
      </c>
      <c r="AQ425" s="96" t="str">
        <f aca="false">IF($AE425&lt;&gt;Constants!$B$7,$AE425,AK425+AO425+AP425)</f>
        <v/>
      </c>
      <c r="AR425" s="96" t="str">
        <f aca="false">IF(ISBLANK($C425),"",IF($AE425=Constants!$B$7,RANK(AQ425,$AQ$8:$AQ$507),$AE425))</f>
        <v/>
      </c>
      <c r="AS425" s="96" t="str">
        <f aca="false">IF(ISBLANK($C425), "",AK425)</f>
        <v/>
      </c>
      <c r="AT425" s="96" t="str">
        <f aca="false">IF(ISBLANK($C425),"",IF($AE425=Constants!$B$7,RANK(AS425,AS$8:AS$507),$AE425))</f>
        <v/>
      </c>
      <c r="AU425" s="96" t="str">
        <f aca="false">IF(ISBLANK($C425), "",AP425)</f>
        <v/>
      </c>
      <c r="AV425" s="96" t="str">
        <f aca="false">IF(ISBLANK($C425),"",IF($AE425=Constants!$B$7,RANK(AU425,AU$8:AU$507),$AE425))</f>
        <v/>
      </c>
      <c r="AW425" s="96" t="str">
        <f aca="false">IF(ISBLANK($C425), "",AC425)</f>
        <v/>
      </c>
      <c r="AX425" s="96" t="str">
        <f aca="false">IF(ISBLANK($C425),"",
IF($AE425=Constants!$B$7,
  COUNTIFS($AR$8:$AR$507,"&lt;"&amp;$AR425)
  + COUNTIFS($AR$8:$AR$507,$AR425,$AT$8:$AT$507,"&lt;"&amp;$AT425)
  + COUNTIFS($AR$8:$AR$507,$AR425,$AT$8:$AT$507,$AT425,$AV$8:$AV$507,"&lt;"&amp;$AV425)
  + COUNTIFS($AR$8:$AR$507,$AR425,$AT$8:$AT$507,$AT425,$AV$8:$AV$507,$AV425,$AW$8:$AW$507,"&lt;"&amp;$AW425)
  + 1,
$AE425))</f>
        <v/>
      </c>
      <c r="AY425" s="96" t="str">
        <f aca="false">IF(ISBLANK(C425),"",IF($AE425=Constants!$B$7, AR425-AX425,$AE425))</f>
        <v/>
      </c>
      <c r="AZ425" s="100"/>
      <c r="BA425" s="101" t="str">
        <f aca="false">IF(ISBLANK($C425),"",TRIM(AI425&amp;" "&amp;AM425))</f>
        <v/>
      </c>
      <c r="BB425" s="102" t="str">
        <f aca="false">IF(ISBLANK($C425),"",IF($AE425&lt;&gt;Constants!$B$7, $AE425 ,AQ425))</f>
        <v/>
      </c>
      <c r="BC425" s="103" t="str">
        <f aca="false">IF(ISBLANK($C425),"",IF($AE425&lt;&gt;Constants!$B$7, $AE425 ,AF425))</f>
        <v/>
      </c>
      <c r="BD425" s="104" t="str">
        <f aca="false">IF(ISBLANK(C425),"",AY425)</f>
        <v/>
      </c>
      <c r="BE425" s="104" t="str">
        <f aca="false">IF(ISBLANK(C425),"",AX425)</f>
        <v/>
      </c>
      <c r="BF425" s="105" t="str">
        <f aca="false">IF(ISBLANK(C425),"",IFERROR(_xlfn.SWITCH(BE425, Constants!$B$4, COUNTA($C$8:$C924)+2, Constants!$B$5, COUNTA($C$8:$C924)+1, Constants!$B$6, COUNTA($C$8:$C924)),BE425))</f>
        <v/>
      </c>
      <c r="BG425" s="5"/>
      <c r="BH425" s="106" t="n">
        <f aca="false">IF(OR(ISNUMBER(BE425),BE425="DQ",BE425="P",BE425="NS"),
    1,
    0
)</f>
        <v>0</v>
      </c>
      <c r="BI425" s="106" t="n">
        <v>418</v>
      </c>
      <c r="BJ425" s="106" t="str">
        <f aca="false">IF(ISBLANK($C425),
    "",
   BF425+ROW($B425)/1000
)</f>
        <v/>
      </c>
      <c r="BK425" s="106" t="str">
        <f aca="false">IF(ISNUMBER(BJ425), RANK(BJ425,BJ$8:BJ$507,1), "")</f>
        <v/>
      </c>
      <c r="BL425" s="106" t="str">
        <f aca="false">IF(ISBLANK($C425),
    "",
    $B425
)</f>
        <v/>
      </c>
      <c r="BM425" s="106" t="str">
        <f aca="false">IF(ISBLANK($C425),
    "",
    $C425
)</f>
        <v/>
      </c>
      <c r="BN425" s="106" t="str">
        <f aca="false">IF(ISBLANK($C425),
    "",
    $D425
)</f>
        <v/>
      </c>
      <c r="BO425" s="107" t="str">
        <f aca="false">BC425</f>
        <v/>
      </c>
      <c r="BP425" s="108" t="str">
        <f aca="false">BB425</f>
        <v/>
      </c>
      <c r="BQ425" s="106" t="str">
        <f aca="false">IF(ISBLANK($C425),
    "",
    BE425
)</f>
        <v/>
      </c>
      <c r="BR425" s="109" t="str">
        <f aca="false">IF(BI425&gt;BH$7,
    "",
    VLOOKUP(BI425,BK$8:BQ924,7,FALSE())
)</f>
        <v/>
      </c>
      <c r="BS425" s="110" t="str">
        <f aca="false">IF(BI425&gt;BH$7,
    "",
    VLOOKUP(BI425,BK$8:BQ924,2,FALSE())
)</f>
        <v/>
      </c>
      <c r="BT425" s="110" t="str">
        <f aca="false">IF(BI425&gt;BH$7,
    "",
    VLOOKUP(BI425,BK$8:BQ924,3,FALSE())
)</f>
        <v/>
      </c>
      <c r="BU425" s="110" t="str">
        <f aca="false">IF(BI425&gt;BH$7,
    "",
    VLOOKUP(BI425,BK$8:BQ924,4,FALSE())
)</f>
        <v/>
      </c>
      <c r="BV425" s="110" t="str">
        <f aca="false">IF(BI425&gt;BH$7,
    "",
    VLOOKUP(BI425,BK$8:BQ924,5,FALSE())
)</f>
        <v/>
      </c>
      <c r="BW425" s="111" t="str">
        <f aca="false">IF(BI425&gt;BH$7,
    "",
    VLOOKUP(BI425,BK$8:BQ924,6,FALSE())
)</f>
        <v/>
      </c>
      <c r="BX425" s="50"/>
    </row>
    <row r="426" customFormat="false" ht="15.75" hidden="false" customHeight="false" outlineLevel="0" collapsed="false">
      <c r="A426" s="5"/>
      <c r="B426" s="122"/>
      <c r="C426" s="123"/>
      <c r="D426" s="112"/>
      <c r="E426" s="116"/>
      <c r="F426" s="116"/>
      <c r="G426" s="88"/>
      <c r="H426" s="89"/>
      <c r="I426" s="125"/>
      <c r="J426" s="125"/>
      <c r="K426" s="125"/>
      <c r="L426" s="91"/>
      <c r="M426" s="91"/>
      <c r="N426" s="91"/>
      <c r="O426" s="92"/>
      <c r="P426" s="93"/>
      <c r="Q426" s="125"/>
      <c r="R426" s="95"/>
      <c r="S426" s="96"/>
      <c r="T426" s="96" t="str">
        <f aca="false">IF(ISBLANK($C426),"",IF(G426=Constants!$B$2, TRUE(), IF(G426=Constants!$B$3, FALSE(), TRUE())))</f>
        <v/>
      </c>
      <c r="U426" s="96" t="str">
        <f aca="false">IF(ISBLANK($C426),"",IF(H426=Constants!$B$2, TRUE(), IF(H426=Constants!$B$3, FALSE(), TRUE())))</f>
        <v/>
      </c>
      <c r="V426" s="96" t="str">
        <f aca="false">IF(ISBLANK($C426),"",IF(I426=Constants!$B$2, TRUE(), IF(I426=Constants!$B$3, FALSE(), TRUE())))</f>
        <v/>
      </c>
      <c r="W426" s="96" t="str">
        <f aca="false">IF(ISBLANK($C426),"",IF(J426=Constants!$B$2, TRUE(), IF(J426=Constants!$B$3, FALSE(), TRUE())))</f>
        <v/>
      </c>
      <c r="X426" s="97" t="str">
        <f aca="false">IF(ISBLANK($C426),"",IF(K426=Constants!$B$2, TRUE(), IF(K426=Constants!$B$3, FALSE(), TRUE())))</f>
        <v/>
      </c>
      <c r="Y426" s="98" t="str">
        <f aca="false">IF(ISBLANK($C426),"",IF(ISNUMBER(L426), L426, ""))</f>
        <v/>
      </c>
      <c r="Z426" s="98" t="str">
        <f aca="false">IF(ISBLANK($C426),"",IF(ISNUMBER(M426), M426, ""))</f>
        <v/>
      </c>
      <c r="AA426" s="98" t="str">
        <f aca="false">IF(ISBLANK($C426),"",IF(ISNUMBER(N426), N426, ""))</f>
        <v/>
      </c>
      <c r="AB426" s="99" t="str">
        <f aca="false">IF(ISBLANK($C426),"",IF(ISNUMBER(O426), O426, ""))</f>
        <v/>
      </c>
      <c r="AC426" s="99" t="str">
        <f aca="false">IF(ISBLANK($C426),"",IF(ISNUMBER(P426), P426, Constants!$B$13))</f>
        <v/>
      </c>
      <c r="AD426" s="96" t="str">
        <f aca="false">IF(ISBLANK($C426),"",IF(Q426=Constants!$B$2, TRUE(), IF(Q426=Constants!$B$3, FALSE(), FALSE())))</f>
        <v/>
      </c>
      <c r="AE426" s="96" t="str">
        <f aca="false">IF(ISBLANK(C426), "", IF(AD426, Constants!$B$4,IF(COUNTA(G426:O426)=0, Constants!$B$5, Constants!$B$7)))</f>
        <v/>
      </c>
      <c r="AF426" s="96" t="str">
        <f aca="false">IF(ISBLANK($C426), "",IF($AE426=Constants!$B$7,1,$AE426))</f>
        <v/>
      </c>
      <c r="AG426" s="96" t="str">
        <f aca="false">IF($AE426=Constants!$B$7,IF(V426, 1, Constants!$B$11) * IF(X426, 1, Constants!$B$12),"")</f>
        <v/>
      </c>
      <c r="AH426" s="96" t="str">
        <f aca="false">IF(AND($AE426=Constants!$B$7, T426, U426) ,MAX(0, $AA426-$Y426),"")</f>
        <v/>
      </c>
      <c r="AI426" s="96" t="str">
        <f aca="false">IF(ISERROR(AH426),$AI$6,"")</f>
        <v/>
      </c>
      <c r="AJ426" s="96" t="str">
        <f aca="false">IF($AE426=Constants!$B$7,IF(AND(T426,U426,W426),IF($AH$6=0,Constants!$B$9,Constants!$B$9*AH426/$AH$6), 0),"")</f>
        <v/>
      </c>
      <c r="AK426" s="96" t="str">
        <f aca="false">IF(AJ426&lt;&gt;"", AJ426*AG426,"")</f>
        <v/>
      </c>
      <c r="AL426" s="96" t="str">
        <f aca="false">IF(AND($AE426=Constants!$B$7, T426, U426) ,IF($Z426="", "", MAX(0,1-ABS($AA426-$Z426)/$AA426)),"")</f>
        <v/>
      </c>
      <c r="AM426" s="96" t="str">
        <f aca="false">IF(AND(NOT(ISERROR(AH426)),ISERROR(AL426)),$AM$6,"")</f>
        <v/>
      </c>
      <c r="AN426" s="96" t="str">
        <f aca="false">IF($AE426=Constants!$B$7 ,IF(AND(T426,U426,W426,ISNUMBER(Z426)),IF($AL$6=0,Constants!$B$10,Constants!$B$10*AL426/$AL$6), 0),"")</f>
        <v/>
      </c>
      <c r="AO426" s="96" t="str">
        <f aca="false">IF(AN426&lt;&gt;"", AN426*AG426,"")</f>
        <v/>
      </c>
      <c r="AP426" s="96" t="str">
        <f aca="false">IF($AE426=Constants!$B$7,IF($AP$6=0,Constants!$B$8,Constants!$B$8*AB426/$AP$6),"")</f>
        <v/>
      </c>
      <c r="AQ426" s="96" t="str">
        <f aca="false">IF($AE426&lt;&gt;Constants!$B$7,$AE426,AK426+AO426+AP426)</f>
        <v/>
      </c>
      <c r="AR426" s="96" t="str">
        <f aca="false">IF(ISBLANK($C426),"",IF($AE426=Constants!$B$7,RANK(AQ426,$AQ$8:$AQ$507),$AE426))</f>
        <v/>
      </c>
      <c r="AS426" s="96" t="str">
        <f aca="false">IF(ISBLANK($C426), "",AK426)</f>
        <v/>
      </c>
      <c r="AT426" s="96" t="str">
        <f aca="false">IF(ISBLANK($C426),"",IF($AE426=Constants!$B$7,RANK(AS426,AS$8:AS$507),$AE426))</f>
        <v/>
      </c>
      <c r="AU426" s="96" t="str">
        <f aca="false">IF(ISBLANK($C426), "",AP426)</f>
        <v/>
      </c>
      <c r="AV426" s="96" t="str">
        <f aca="false">IF(ISBLANK($C426),"",IF($AE426=Constants!$B$7,RANK(AU426,AU$8:AU$507),$AE426))</f>
        <v/>
      </c>
      <c r="AW426" s="96" t="str">
        <f aca="false">IF(ISBLANK($C426), "",AC426)</f>
        <v/>
      </c>
      <c r="AX426" s="96" t="str">
        <f aca="false">IF(ISBLANK($C426),"",
IF($AE426=Constants!$B$7,
  COUNTIFS($AR$8:$AR$507,"&lt;"&amp;$AR426)
  + COUNTIFS($AR$8:$AR$507,$AR426,$AT$8:$AT$507,"&lt;"&amp;$AT426)
  + COUNTIFS($AR$8:$AR$507,$AR426,$AT$8:$AT$507,$AT426,$AV$8:$AV$507,"&lt;"&amp;$AV426)
  + COUNTIFS($AR$8:$AR$507,$AR426,$AT$8:$AT$507,$AT426,$AV$8:$AV$507,$AV426,$AW$8:$AW$507,"&lt;"&amp;$AW426)
  + 1,
$AE426))</f>
        <v/>
      </c>
      <c r="AY426" s="96" t="str">
        <f aca="false">IF(ISBLANK(C426),"",IF($AE426=Constants!$B$7, AR426-AX426,$AE426))</f>
        <v/>
      </c>
      <c r="AZ426" s="100"/>
      <c r="BA426" s="101" t="str">
        <f aca="false">IF(ISBLANK($C426),"",TRIM(AI426&amp;" "&amp;AM426))</f>
        <v/>
      </c>
      <c r="BB426" s="102" t="str">
        <f aca="false">IF(ISBLANK($C426),"",IF($AE426&lt;&gt;Constants!$B$7, $AE426 ,AQ426))</f>
        <v/>
      </c>
      <c r="BC426" s="103" t="str">
        <f aca="false">IF(ISBLANK($C426),"",IF($AE426&lt;&gt;Constants!$B$7, $AE426 ,AF426))</f>
        <v/>
      </c>
      <c r="BD426" s="104" t="str">
        <f aca="false">IF(ISBLANK(C426),"",AY426)</f>
        <v/>
      </c>
      <c r="BE426" s="104" t="str">
        <f aca="false">IF(ISBLANK(C426),"",AX426)</f>
        <v/>
      </c>
      <c r="BF426" s="105" t="str">
        <f aca="false">IF(ISBLANK(C426),"",IFERROR(_xlfn.SWITCH(BE426, Constants!$B$4, COUNTA($C$8:$C925)+2, Constants!$B$5, COUNTA($C$8:$C925)+1, Constants!$B$6, COUNTA($C$8:$C925)),BE426))</f>
        <v/>
      </c>
      <c r="BG426" s="5"/>
      <c r="BH426" s="106" t="n">
        <f aca="false">IF(OR(ISNUMBER(BE426),BE426="DQ",BE426="P",BE426="NS"),
    1,
    0
)</f>
        <v>0</v>
      </c>
      <c r="BI426" s="106" t="n">
        <v>419</v>
      </c>
      <c r="BJ426" s="106" t="str">
        <f aca="false">IF(ISBLANK($C426),
    "",
   BF426+ROW($B426)/1000
)</f>
        <v/>
      </c>
      <c r="BK426" s="106" t="str">
        <f aca="false">IF(ISNUMBER(BJ426), RANK(BJ426,BJ$8:BJ$507,1), "")</f>
        <v/>
      </c>
      <c r="BL426" s="106" t="str">
        <f aca="false">IF(ISBLANK($C426),
    "",
    $B426
)</f>
        <v/>
      </c>
      <c r="BM426" s="106" t="str">
        <f aca="false">IF(ISBLANK($C426),
    "",
    $C426
)</f>
        <v/>
      </c>
      <c r="BN426" s="106" t="str">
        <f aca="false">IF(ISBLANK($C426),
    "",
    $D426
)</f>
        <v/>
      </c>
      <c r="BO426" s="107" t="str">
        <f aca="false">BC426</f>
        <v/>
      </c>
      <c r="BP426" s="108" t="str">
        <f aca="false">BB426</f>
        <v/>
      </c>
      <c r="BQ426" s="106" t="str">
        <f aca="false">IF(ISBLANK($C426),
    "",
    BE426
)</f>
        <v/>
      </c>
      <c r="BR426" s="109" t="str">
        <f aca="false">IF(BI426&gt;BH$7,
    "",
    VLOOKUP(BI426,BK$8:BQ925,7,FALSE())
)</f>
        <v/>
      </c>
      <c r="BS426" s="110" t="str">
        <f aca="false">IF(BI426&gt;BH$7,
    "",
    VLOOKUP(BI426,BK$8:BQ925,2,FALSE())
)</f>
        <v/>
      </c>
      <c r="BT426" s="110" t="str">
        <f aca="false">IF(BI426&gt;BH$7,
    "",
    VLOOKUP(BI426,BK$8:BQ925,3,FALSE())
)</f>
        <v/>
      </c>
      <c r="BU426" s="110" t="str">
        <f aca="false">IF(BI426&gt;BH$7,
    "",
    VLOOKUP(BI426,BK$8:BQ925,4,FALSE())
)</f>
        <v/>
      </c>
      <c r="BV426" s="110" t="str">
        <f aca="false">IF(BI426&gt;BH$7,
    "",
    VLOOKUP(BI426,BK$8:BQ925,5,FALSE())
)</f>
        <v/>
      </c>
      <c r="BW426" s="111" t="str">
        <f aca="false">IF(BI426&gt;BH$7,
    "",
    VLOOKUP(BI426,BK$8:BQ925,6,FALSE())
)</f>
        <v/>
      </c>
      <c r="BX426" s="50"/>
    </row>
    <row r="427" customFormat="false" ht="15.75" hidden="false" customHeight="false" outlineLevel="0" collapsed="false">
      <c r="A427" s="5"/>
      <c r="B427" s="122"/>
      <c r="C427" s="123"/>
      <c r="D427" s="112"/>
      <c r="E427" s="116"/>
      <c r="F427" s="116"/>
      <c r="G427" s="88"/>
      <c r="H427" s="89"/>
      <c r="I427" s="125"/>
      <c r="J427" s="125"/>
      <c r="K427" s="125"/>
      <c r="L427" s="91"/>
      <c r="M427" s="91"/>
      <c r="N427" s="91"/>
      <c r="O427" s="92"/>
      <c r="P427" s="93"/>
      <c r="Q427" s="125"/>
      <c r="R427" s="95"/>
      <c r="S427" s="96"/>
      <c r="T427" s="96" t="str">
        <f aca="false">IF(ISBLANK($C427),"",IF(G427=Constants!$B$2, TRUE(), IF(G427=Constants!$B$3, FALSE(), TRUE())))</f>
        <v/>
      </c>
      <c r="U427" s="96" t="str">
        <f aca="false">IF(ISBLANK($C427),"",IF(H427=Constants!$B$2, TRUE(), IF(H427=Constants!$B$3, FALSE(), TRUE())))</f>
        <v/>
      </c>
      <c r="V427" s="96" t="str">
        <f aca="false">IF(ISBLANK($C427),"",IF(I427=Constants!$B$2, TRUE(), IF(I427=Constants!$B$3, FALSE(), TRUE())))</f>
        <v/>
      </c>
      <c r="W427" s="96" t="str">
        <f aca="false">IF(ISBLANK($C427),"",IF(J427=Constants!$B$2, TRUE(), IF(J427=Constants!$B$3, FALSE(), TRUE())))</f>
        <v/>
      </c>
      <c r="X427" s="97" t="str">
        <f aca="false">IF(ISBLANK($C427),"",IF(K427=Constants!$B$2, TRUE(), IF(K427=Constants!$B$3, FALSE(), TRUE())))</f>
        <v/>
      </c>
      <c r="Y427" s="98" t="str">
        <f aca="false">IF(ISBLANK($C427),"",IF(ISNUMBER(L427), L427, ""))</f>
        <v/>
      </c>
      <c r="Z427" s="98" t="str">
        <f aca="false">IF(ISBLANK($C427),"",IF(ISNUMBER(M427), M427, ""))</f>
        <v/>
      </c>
      <c r="AA427" s="98" t="str">
        <f aca="false">IF(ISBLANK($C427),"",IF(ISNUMBER(N427), N427, ""))</f>
        <v/>
      </c>
      <c r="AB427" s="99" t="str">
        <f aca="false">IF(ISBLANK($C427),"",IF(ISNUMBER(O427), O427, ""))</f>
        <v/>
      </c>
      <c r="AC427" s="99" t="str">
        <f aca="false">IF(ISBLANK($C427),"",IF(ISNUMBER(P427), P427, Constants!$B$13))</f>
        <v/>
      </c>
      <c r="AD427" s="96" t="str">
        <f aca="false">IF(ISBLANK($C427),"",IF(Q427=Constants!$B$2, TRUE(), IF(Q427=Constants!$B$3, FALSE(), FALSE())))</f>
        <v/>
      </c>
      <c r="AE427" s="96" t="str">
        <f aca="false">IF(ISBLANK(C427), "", IF(AD427, Constants!$B$4,IF(COUNTA(G427:O427)=0, Constants!$B$5, Constants!$B$7)))</f>
        <v/>
      </c>
      <c r="AF427" s="96" t="str">
        <f aca="false">IF(ISBLANK($C427), "",IF($AE427=Constants!$B$7,1,$AE427))</f>
        <v/>
      </c>
      <c r="AG427" s="96" t="str">
        <f aca="false">IF($AE427=Constants!$B$7,IF(V427, 1, Constants!$B$11) * IF(X427, 1, Constants!$B$12),"")</f>
        <v/>
      </c>
      <c r="AH427" s="96" t="str">
        <f aca="false">IF(AND($AE427=Constants!$B$7, T427, U427) ,MAX(0, $AA427-$Y427),"")</f>
        <v/>
      </c>
      <c r="AI427" s="96" t="str">
        <f aca="false">IF(ISERROR(AH427),$AI$6,"")</f>
        <v/>
      </c>
      <c r="AJ427" s="96" t="str">
        <f aca="false">IF($AE427=Constants!$B$7,IF(AND(T427,U427,W427),IF($AH$6=0,Constants!$B$9,Constants!$B$9*AH427/$AH$6), 0),"")</f>
        <v/>
      </c>
      <c r="AK427" s="96" t="str">
        <f aca="false">IF(AJ427&lt;&gt;"", AJ427*AG427,"")</f>
        <v/>
      </c>
      <c r="AL427" s="96" t="str">
        <f aca="false">IF(AND($AE427=Constants!$B$7, T427, U427) ,IF($Z427="", "", MAX(0,1-ABS($AA427-$Z427)/$AA427)),"")</f>
        <v/>
      </c>
      <c r="AM427" s="96" t="str">
        <f aca="false">IF(AND(NOT(ISERROR(AH427)),ISERROR(AL427)),$AM$6,"")</f>
        <v/>
      </c>
      <c r="AN427" s="96" t="str">
        <f aca="false">IF($AE427=Constants!$B$7 ,IF(AND(T427,U427,W427,ISNUMBER(Z427)),IF($AL$6=0,Constants!$B$10,Constants!$B$10*AL427/$AL$6), 0),"")</f>
        <v/>
      </c>
      <c r="AO427" s="96" t="str">
        <f aca="false">IF(AN427&lt;&gt;"", AN427*AG427,"")</f>
        <v/>
      </c>
      <c r="AP427" s="96" t="str">
        <f aca="false">IF($AE427=Constants!$B$7,IF($AP$6=0,Constants!$B$8,Constants!$B$8*AB427/$AP$6),"")</f>
        <v/>
      </c>
      <c r="AQ427" s="96" t="str">
        <f aca="false">IF($AE427&lt;&gt;Constants!$B$7,$AE427,AK427+AO427+AP427)</f>
        <v/>
      </c>
      <c r="AR427" s="96" t="str">
        <f aca="false">IF(ISBLANK($C427),"",IF($AE427=Constants!$B$7,RANK(AQ427,$AQ$8:$AQ$507),$AE427))</f>
        <v/>
      </c>
      <c r="AS427" s="96" t="str">
        <f aca="false">IF(ISBLANK($C427), "",AK427)</f>
        <v/>
      </c>
      <c r="AT427" s="96" t="str">
        <f aca="false">IF(ISBLANK($C427),"",IF($AE427=Constants!$B$7,RANK(AS427,AS$8:AS$507),$AE427))</f>
        <v/>
      </c>
      <c r="AU427" s="96" t="str">
        <f aca="false">IF(ISBLANK($C427), "",AP427)</f>
        <v/>
      </c>
      <c r="AV427" s="96" t="str">
        <f aca="false">IF(ISBLANK($C427),"",IF($AE427=Constants!$B$7,RANK(AU427,AU$8:AU$507),$AE427))</f>
        <v/>
      </c>
      <c r="AW427" s="96" t="str">
        <f aca="false">IF(ISBLANK($C427), "",AC427)</f>
        <v/>
      </c>
      <c r="AX427" s="96" t="str">
        <f aca="false">IF(ISBLANK($C427),"",
IF($AE427=Constants!$B$7,
  COUNTIFS($AR$8:$AR$507,"&lt;"&amp;$AR427)
  + COUNTIFS($AR$8:$AR$507,$AR427,$AT$8:$AT$507,"&lt;"&amp;$AT427)
  + COUNTIFS($AR$8:$AR$507,$AR427,$AT$8:$AT$507,$AT427,$AV$8:$AV$507,"&lt;"&amp;$AV427)
  + COUNTIFS($AR$8:$AR$507,$AR427,$AT$8:$AT$507,$AT427,$AV$8:$AV$507,$AV427,$AW$8:$AW$507,"&lt;"&amp;$AW427)
  + 1,
$AE427))</f>
        <v/>
      </c>
      <c r="AY427" s="96" t="str">
        <f aca="false">IF(ISBLANK(C427),"",IF($AE427=Constants!$B$7, AR427-AX427,$AE427))</f>
        <v/>
      </c>
      <c r="AZ427" s="100"/>
      <c r="BA427" s="101" t="str">
        <f aca="false">IF(ISBLANK($C427),"",TRIM(AI427&amp;" "&amp;AM427))</f>
        <v/>
      </c>
      <c r="BB427" s="102" t="str">
        <f aca="false">IF(ISBLANK($C427),"",IF($AE427&lt;&gt;Constants!$B$7, $AE427 ,AQ427))</f>
        <v/>
      </c>
      <c r="BC427" s="103" t="str">
        <f aca="false">IF(ISBLANK($C427),"",IF($AE427&lt;&gt;Constants!$B$7, $AE427 ,AF427))</f>
        <v/>
      </c>
      <c r="BD427" s="104" t="str">
        <f aca="false">IF(ISBLANK(C427),"",AY427)</f>
        <v/>
      </c>
      <c r="BE427" s="104" t="str">
        <f aca="false">IF(ISBLANK(C427),"",AX427)</f>
        <v/>
      </c>
      <c r="BF427" s="105" t="str">
        <f aca="false">IF(ISBLANK(C427),"",IFERROR(_xlfn.SWITCH(BE427, Constants!$B$4, COUNTA($C$8:$C926)+2, Constants!$B$5, COUNTA($C$8:$C926)+1, Constants!$B$6, COUNTA($C$8:$C926)),BE427))</f>
        <v/>
      </c>
      <c r="BG427" s="5"/>
      <c r="BH427" s="106" t="n">
        <f aca="false">IF(OR(ISNUMBER(BE427),BE427="DQ",BE427="P",BE427="NS"),
    1,
    0
)</f>
        <v>0</v>
      </c>
      <c r="BI427" s="106" t="n">
        <v>420</v>
      </c>
      <c r="BJ427" s="106" t="str">
        <f aca="false">IF(ISBLANK($C427),
    "",
   BF427+ROW($B427)/1000
)</f>
        <v/>
      </c>
      <c r="BK427" s="106" t="str">
        <f aca="false">IF(ISNUMBER(BJ427), RANK(BJ427,BJ$8:BJ$507,1), "")</f>
        <v/>
      </c>
      <c r="BL427" s="106" t="str">
        <f aca="false">IF(ISBLANK($C427),
    "",
    $B427
)</f>
        <v/>
      </c>
      <c r="BM427" s="106" t="str">
        <f aca="false">IF(ISBLANK($C427),
    "",
    $C427
)</f>
        <v/>
      </c>
      <c r="BN427" s="106" t="str">
        <f aca="false">IF(ISBLANK($C427),
    "",
    $D427
)</f>
        <v/>
      </c>
      <c r="BO427" s="107" t="str">
        <f aca="false">BC427</f>
        <v/>
      </c>
      <c r="BP427" s="108" t="str">
        <f aca="false">BB427</f>
        <v/>
      </c>
      <c r="BQ427" s="106" t="str">
        <f aca="false">IF(ISBLANK($C427),
    "",
    BE427
)</f>
        <v/>
      </c>
      <c r="BR427" s="109" t="str">
        <f aca="false">IF(BI427&gt;BH$7,
    "",
    VLOOKUP(BI427,BK$8:BQ926,7,FALSE())
)</f>
        <v/>
      </c>
      <c r="BS427" s="110" t="str">
        <f aca="false">IF(BI427&gt;BH$7,
    "",
    VLOOKUP(BI427,BK$8:BQ926,2,FALSE())
)</f>
        <v/>
      </c>
      <c r="BT427" s="110" t="str">
        <f aca="false">IF(BI427&gt;BH$7,
    "",
    VLOOKUP(BI427,BK$8:BQ926,3,FALSE())
)</f>
        <v/>
      </c>
      <c r="BU427" s="110" t="str">
        <f aca="false">IF(BI427&gt;BH$7,
    "",
    VLOOKUP(BI427,BK$8:BQ926,4,FALSE())
)</f>
        <v/>
      </c>
      <c r="BV427" s="110" t="str">
        <f aca="false">IF(BI427&gt;BH$7,
    "",
    VLOOKUP(BI427,BK$8:BQ926,5,FALSE())
)</f>
        <v/>
      </c>
      <c r="BW427" s="111" t="str">
        <f aca="false">IF(BI427&gt;BH$7,
    "",
    VLOOKUP(BI427,BK$8:BQ926,6,FALSE())
)</f>
        <v/>
      </c>
      <c r="BX427" s="50"/>
    </row>
    <row r="428" customFormat="false" ht="15.75" hidden="false" customHeight="false" outlineLevel="0" collapsed="false">
      <c r="A428" s="5"/>
      <c r="B428" s="126"/>
      <c r="C428" s="52"/>
      <c r="D428" s="53"/>
      <c r="E428" s="120"/>
      <c r="F428" s="120"/>
      <c r="G428" s="55"/>
      <c r="H428" s="56"/>
      <c r="I428" s="80"/>
      <c r="J428" s="80"/>
      <c r="K428" s="80"/>
      <c r="L428" s="58"/>
      <c r="M428" s="58"/>
      <c r="N428" s="58"/>
      <c r="O428" s="59"/>
      <c r="P428" s="60"/>
      <c r="Q428" s="80"/>
      <c r="R428" s="62"/>
      <c r="S428" s="63"/>
      <c r="T428" s="63" t="str">
        <f aca="false">IF(ISBLANK($C428),"",IF(G428=Constants!$B$2, TRUE(), IF(G428=Constants!$B$3, FALSE(), TRUE())))</f>
        <v/>
      </c>
      <c r="U428" s="63" t="str">
        <f aca="false">IF(ISBLANK($C428),"",IF(H428=Constants!$B$2, TRUE(), IF(H428=Constants!$B$3, FALSE(), TRUE())))</f>
        <v/>
      </c>
      <c r="V428" s="63" t="str">
        <f aca="false">IF(ISBLANK($C428),"",IF(I428=Constants!$B$2, TRUE(), IF(I428=Constants!$B$3, FALSE(), TRUE())))</f>
        <v/>
      </c>
      <c r="W428" s="63" t="str">
        <f aca="false">IF(ISBLANK($C428),"",IF(J428=Constants!$B$2, TRUE(), IF(J428=Constants!$B$3, FALSE(), TRUE())))</f>
        <v/>
      </c>
      <c r="X428" s="63" t="str">
        <f aca="false">IF(ISBLANK($C428),"",IF(K428=Constants!$B$2, TRUE(), IF(K428=Constants!$B$3, FALSE(), TRUE())))</f>
        <v/>
      </c>
      <c r="Y428" s="65" t="str">
        <f aca="false">IF(ISBLANK($C428),"",IF(ISNUMBER(L428), L428, ""))</f>
        <v/>
      </c>
      <c r="Z428" s="65" t="str">
        <f aca="false">IF(ISBLANK($C428),"",IF(ISNUMBER(M428), M428, ""))</f>
        <v/>
      </c>
      <c r="AA428" s="65" t="str">
        <f aca="false">IF(ISBLANK($C428),"",IF(ISNUMBER(N428), N428, ""))</f>
        <v/>
      </c>
      <c r="AB428" s="66" t="str">
        <f aca="false">IF(ISBLANK($C428),"",IF(ISNUMBER(O428), O428, ""))</f>
        <v/>
      </c>
      <c r="AC428" s="66" t="str">
        <f aca="false">IF(ISBLANK($C428),"",IF(ISNUMBER(P428), P428, Constants!$B$13))</f>
        <v/>
      </c>
      <c r="AD428" s="63" t="str">
        <f aca="false">IF(ISBLANK($C428),"",IF(Q428=Constants!$B$2, TRUE(), IF(Q428=Constants!$B$3, FALSE(), FALSE())))</f>
        <v/>
      </c>
      <c r="AE428" s="63" t="str">
        <f aca="false">IF(ISBLANK(C428), "", IF(AD428, Constants!$B$4,IF(COUNTA(G428:O428)=0, Constants!$B$5, Constants!$B$7)))</f>
        <v/>
      </c>
      <c r="AF428" s="63" t="str">
        <f aca="false">IF(ISBLANK($C428), "",IF($AE428=Constants!$B$7,1,$AE428))</f>
        <v/>
      </c>
      <c r="AG428" s="63" t="str">
        <f aca="false">IF($AE428=Constants!$B$7,IF(V428, 1, Constants!$B$11) * IF(X428, 1, Constants!$B$12),"")</f>
        <v/>
      </c>
      <c r="AH428" s="63" t="str">
        <f aca="false">IF(AND($AE428=Constants!$B$7, T428, U428) ,MAX(0, $AA428-$Y428),"")</f>
        <v/>
      </c>
      <c r="AI428" s="63" t="str">
        <f aca="false">IF(ISERROR(AH428),$AI$6,"")</f>
        <v/>
      </c>
      <c r="AJ428" s="63" t="str">
        <f aca="false">IF($AE428=Constants!$B$7,IF(AND(T428,U428,W428),IF($AH$6=0,Constants!$B$9,Constants!$B$9*AH428/$AH$6), 0),"")</f>
        <v/>
      </c>
      <c r="AK428" s="63" t="str">
        <f aca="false">IF(AJ428&lt;&gt;"", AJ428*AG428,"")</f>
        <v/>
      </c>
      <c r="AL428" s="63" t="str">
        <f aca="false">IF(AND($AE428=Constants!$B$7, T428, U428) ,IF($Z428="", "", MAX(0,1-ABS($AA428-$Z428)/$AA428)),"")</f>
        <v/>
      </c>
      <c r="AM428" s="63" t="str">
        <f aca="false">IF(AND(NOT(ISERROR(AH428)),ISERROR(AL428)),$AM$6,"")</f>
        <v/>
      </c>
      <c r="AN428" s="63" t="str">
        <f aca="false">IF($AE428=Constants!$B$7 ,IF(AND(T428,U428,W428,ISNUMBER(Z428)),IF($AL$6=0,Constants!$B$10,Constants!$B$10*AL428/$AL$6), 0),"")</f>
        <v/>
      </c>
      <c r="AO428" s="63" t="str">
        <f aca="false">IF(AN428&lt;&gt;"", AN428*AG428,"")</f>
        <v/>
      </c>
      <c r="AP428" s="63" t="str">
        <f aca="false">IF($AE428=Constants!$B$7,IF($AP$6=0,Constants!$B$8,Constants!$B$8*AB428/$AP$6),"")</f>
        <v/>
      </c>
      <c r="AQ428" s="63" t="str">
        <f aca="false">IF($AE428&lt;&gt;Constants!$B$7,$AE428,AK428+AO428+AP428)</f>
        <v/>
      </c>
      <c r="AR428" s="63" t="str">
        <f aca="false">IF(ISBLANK($C428),"",IF($AE428=Constants!$B$7,RANK(AQ428,$AQ$8:$AQ$507),$AE428))</f>
        <v/>
      </c>
      <c r="AS428" s="63" t="str">
        <f aca="false">IF(ISBLANK($C428), "",AK428)</f>
        <v/>
      </c>
      <c r="AT428" s="63" t="str">
        <f aca="false">IF(ISBLANK($C428),"",IF($AE428=Constants!$B$7,RANK(AS428,AS$8:AS$507),$AE428))</f>
        <v/>
      </c>
      <c r="AU428" s="63" t="str">
        <f aca="false">IF(ISBLANK($C428), "",AP428)</f>
        <v/>
      </c>
      <c r="AV428" s="63" t="str">
        <f aca="false">IF(ISBLANK($C428),"",IF($AE428=Constants!$B$7,RANK(AU428,AU$8:AU$507),$AE428))</f>
        <v/>
      </c>
      <c r="AW428" s="63" t="str">
        <f aca="false">IF(ISBLANK($C428), "",AC428)</f>
        <v/>
      </c>
      <c r="AX428" s="63" t="str">
        <f aca="false">IF(ISBLANK($C428),"",
IF($AE428=Constants!$B$7,
  COUNTIFS($AR$8:$AR$507,"&lt;"&amp;$AR428)
  + COUNTIFS($AR$8:$AR$507,$AR428,$AT$8:$AT$507,"&lt;"&amp;$AT428)
  + COUNTIFS($AR$8:$AR$507,$AR428,$AT$8:$AT$507,$AT428,$AV$8:$AV$507,"&lt;"&amp;$AV428)
  + COUNTIFS($AR$8:$AR$507,$AR428,$AT$8:$AT$507,$AT428,$AV$8:$AV$507,$AV428,$AW$8:$AW$507,"&lt;"&amp;$AW428)
  + 1,
$AE428))</f>
        <v/>
      </c>
      <c r="AY428" s="63" t="str">
        <f aca="false">IF(ISBLANK(C428),"",IF($AE428=Constants!$B$7, AR428-AX428,$AE428))</f>
        <v/>
      </c>
      <c r="AZ428" s="67"/>
      <c r="BA428" s="81" t="str">
        <f aca="false">IF(ISBLANK($C428),"",TRIM(AI428&amp;" "&amp;AM428))</f>
        <v/>
      </c>
      <c r="BB428" s="69" t="str">
        <f aca="false">IF(ISBLANK($C428),"",IF($AE428&lt;&gt;Constants!$B$7, $AE428 ,AQ428))</f>
        <v/>
      </c>
      <c r="BC428" s="70" t="str">
        <f aca="false">IF(ISBLANK($C428),"",IF($AE428&lt;&gt;Constants!$B$7, $AE428 ,AF428))</f>
        <v/>
      </c>
      <c r="BD428" s="71" t="str">
        <f aca="false">IF(ISBLANK(C428),"",AY428)</f>
        <v/>
      </c>
      <c r="BE428" s="71" t="str">
        <f aca="false">IF(ISBLANK(C428),"",AX428)</f>
        <v/>
      </c>
      <c r="BF428" s="72" t="str">
        <f aca="false">IF(ISBLANK(C428),"",IFERROR(_xlfn.SWITCH(BE428, Constants!$B$4, COUNTA($C$8:$C927)+2, Constants!$B$5, COUNTA($C$8:$C927)+1, Constants!$B$6, COUNTA($C$8:$C927)),BE428))</f>
        <v/>
      </c>
      <c r="BG428" s="5"/>
      <c r="BH428" s="73" t="n">
        <f aca="false">IF(OR(ISNUMBER(BE428),BE428="DQ",BE428="P",BE428="NS"),
    1,
    0
)</f>
        <v>0</v>
      </c>
      <c r="BI428" s="73" t="n">
        <v>421</v>
      </c>
      <c r="BJ428" s="73" t="str">
        <f aca="false">IF(ISBLANK($C428),
    "",
   BF428+ROW($B428)/1000
)</f>
        <v/>
      </c>
      <c r="BK428" s="73" t="str">
        <f aca="false">IF(ISNUMBER(BJ428), RANK(BJ428,BJ$8:BJ$507,1), "")</f>
        <v/>
      </c>
      <c r="BL428" s="73" t="str">
        <f aca="false">IF(ISBLANK($C428),
    "",
    $B428
)</f>
        <v/>
      </c>
      <c r="BM428" s="73" t="str">
        <f aca="false">IF(ISBLANK($C428),
    "",
    $C428
)</f>
        <v/>
      </c>
      <c r="BN428" s="73" t="str">
        <f aca="false">IF(ISBLANK($C428),
    "",
    $D428
)</f>
        <v/>
      </c>
      <c r="BO428" s="74" t="str">
        <f aca="false">BC428</f>
        <v/>
      </c>
      <c r="BP428" s="75" t="str">
        <f aca="false">BB428</f>
        <v/>
      </c>
      <c r="BQ428" s="73" t="str">
        <f aca="false">IF(ISBLANK($C428),
    "",
    BE428
)</f>
        <v/>
      </c>
      <c r="BR428" s="76" t="str">
        <f aca="false">IF(BI428&gt;BH$7,
    "",
    VLOOKUP(BI428,BK$8:BQ927,7,FALSE())
)</f>
        <v/>
      </c>
      <c r="BS428" s="77" t="str">
        <f aca="false">IF(BI428&gt;BH$7,
    "",
    VLOOKUP(BI428,BK$8:BQ927,2,FALSE())
)</f>
        <v/>
      </c>
      <c r="BT428" s="77" t="str">
        <f aca="false">IF(BI428&gt;BH$7,
    "",
    VLOOKUP(BI428,BK$8:BQ927,3,FALSE())
)</f>
        <v/>
      </c>
      <c r="BU428" s="77" t="str">
        <f aca="false">IF(BI428&gt;BH$7,
    "",
    VLOOKUP(BI428,BK$8:BQ927,4,FALSE())
)</f>
        <v/>
      </c>
      <c r="BV428" s="77" t="str">
        <f aca="false">IF(BI428&gt;BH$7,
    "",
    VLOOKUP(BI428,BK$8:BQ927,5,FALSE())
)</f>
        <v/>
      </c>
      <c r="BW428" s="78" t="str">
        <f aca="false">IF(BI428&gt;BH$7,
    "",
    VLOOKUP(BI428,BK$8:BQ927,6,FALSE())
)</f>
        <v/>
      </c>
      <c r="BX428" s="50"/>
    </row>
    <row r="429" customFormat="false" ht="15.75" hidden="false" customHeight="false" outlineLevel="0" collapsed="false">
      <c r="A429" s="5"/>
      <c r="B429" s="126"/>
      <c r="C429" s="52"/>
      <c r="D429" s="53"/>
      <c r="E429" s="120"/>
      <c r="F429" s="120"/>
      <c r="G429" s="55"/>
      <c r="H429" s="56"/>
      <c r="I429" s="80"/>
      <c r="J429" s="80"/>
      <c r="K429" s="80"/>
      <c r="L429" s="58"/>
      <c r="M429" s="58"/>
      <c r="N429" s="58"/>
      <c r="O429" s="59"/>
      <c r="P429" s="60"/>
      <c r="Q429" s="80"/>
      <c r="R429" s="62"/>
      <c r="S429" s="63"/>
      <c r="T429" s="63" t="str">
        <f aca="false">IF(ISBLANK($C429),"",IF(G429=Constants!$B$2, TRUE(), IF(G429=Constants!$B$3, FALSE(), TRUE())))</f>
        <v/>
      </c>
      <c r="U429" s="63" t="str">
        <f aca="false">IF(ISBLANK($C429),"",IF(H429=Constants!$B$2, TRUE(), IF(H429=Constants!$B$3, FALSE(), TRUE())))</f>
        <v/>
      </c>
      <c r="V429" s="63" t="str">
        <f aca="false">IF(ISBLANK($C429),"",IF(I429=Constants!$B$2, TRUE(), IF(I429=Constants!$B$3, FALSE(), TRUE())))</f>
        <v/>
      </c>
      <c r="W429" s="63" t="str">
        <f aca="false">IF(ISBLANK($C429),"",IF(J429=Constants!$B$2, TRUE(), IF(J429=Constants!$B$3, FALSE(), TRUE())))</f>
        <v/>
      </c>
      <c r="X429" s="63" t="str">
        <f aca="false">IF(ISBLANK($C429),"",IF(K429=Constants!$B$2, TRUE(), IF(K429=Constants!$B$3, FALSE(), TRUE())))</f>
        <v/>
      </c>
      <c r="Y429" s="65" t="str">
        <f aca="false">IF(ISBLANK($C429),"",IF(ISNUMBER(L429), L429, ""))</f>
        <v/>
      </c>
      <c r="Z429" s="65" t="str">
        <f aca="false">IF(ISBLANK($C429),"",IF(ISNUMBER(M429), M429, ""))</f>
        <v/>
      </c>
      <c r="AA429" s="65" t="str">
        <f aca="false">IF(ISBLANK($C429),"",IF(ISNUMBER(N429), N429, ""))</f>
        <v/>
      </c>
      <c r="AB429" s="66" t="str">
        <f aca="false">IF(ISBLANK($C429),"",IF(ISNUMBER(O429), O429, ""))</f>
        <v/>
      </c>
      <c r="AC429" s="66" t="str">
        <f aca="false">IF(ISBLANK($C429),"",IF(ISNUMBER(P429), P429, Constants!$B$13))</f>
        <v/>
      </c>
      <c r="AD429" s="63" t="str">
        <f aca="false">IF(ISBLANK($C429),"",IF(Q429=Constants!$B$2, TRUE(), IF(Q429=Constants!$B$3, FALSE(), FALSE())))</f>
        <v/>
      </c>
      <c r="AE429" s="63" t="str">
        <f aca="false">IF(ISBLANK(C429), "", IF(AD429, Constants!$B$4,IF(COUNTA(G429:O429)=0, Constants!$B$5, Constants!$B$7)))</f>
        <v/>
      </c>
      <c r="AF429" s="63" t="str">
        <f aca="false">IF(ISBLANK($C429), "",IF($AE429=Constants!$B$7,1,$AE429))</f>
        <v/>
      </c>
      <c r="AG429" s="63" t="str">
        <f aca="false">IF($AE429=Constants!$B$7,IF(V429, 1, Constants!$B$11) * IF(X429, 1, Constants!$B$12),"")</f>
        <v/>
      </c>
      <c r="AH429" s="63" t="str">
        <f aca="false">IF(AND($AE429=Constants!$B$7, T429, U429) ,MAX(0, $AA429-$Y429),"")</f>
        <v/>
      </c>
      <c r="AI429" s="63" t="str">
        <f aca="false">IF(ISERROR(AH429),$AI$6,"")</f>
        <v/>
      </c>
      <c r="AJ429" s="63" t="str">
        <f aca="false">IF($AE429=Constants!$B$7,IF(AND(T429,U429,W429),IF($AH$6=0,Constants!$B$9,Constants!$B$9*AH429/$AH$6), 0),"")</f>
        <v/>
      </c>
      <c r="AK429" s="63" t="str">
        <f aca="false">IF(AJ429&lt;&gt;"", AJ429*AG429,"")</f>
        <v/>
      </c>
      <c r="AL429" s="63" t="str">
        <f aca="false">IF(AND($AE429=Constants!$B$7, T429, U429) ,IF($Z429="", "", MAX(0,1-ABS($AA429-$Z429)/$AA429)),"")</f>
        <v/>
      </c>
      <c r="AM429" s="63" t="str">
        <f aca="false">IF(AND(NOT(ISERROR(AH429)),ISERROR(AL429)),$AM$6,"")</f>
        <v/>
      </c>
      <c r="AN429" s="63" t="str">
        <f aca="false">IF($AE429=Constants!$B$7 ,IF(AND(T429,U429,W429,ISNUMBER(Z429)),IF($AL$6=0,Constants!$B$10,Constants!$B$10*AL429/$AL$6), 0),"")</f>
        <v/>
      </c>
      <c r="AO429" s="63" t="str">
        <f aca="false">IF(AN429&lt;&gt;"", AN429*AG429,"")</f>
        <v/>
      </c>
      <c r="AP429" s="63" t="str">
        <f aca="false">IF($AE429=Constants!$B$7,IF($AP$6=0,Constants!$B$8,Constants!$B$8*AB429/$AP$6),"")</f>
        <v/>
      </c>
      <c r="AQ429" s="63" t="str">
        <f aca="false">IF($AE429&lt;&gt;Constants!$B$7,$AE429,AK429+AO429+AP429)</f>
        <v/>
      </c>
      <c r="AR429" s="63" t="str">
        <f aca="false">IF(ISBLANK($C429),"",IF($AE429=Constants!$B$7,RANK(AQ429,$AQ$8:$AQ$507),$AE429))</f>
        <v/>
      </c>
      <c r="AS429" s="63" t="str">
        <f aca="false">IF(ISBLANK($C429), "",AK429)</f>
        <v/>
      </c>
      <c r="AT429" s="63" t="str">
        <f aca="false">IF(ISBLANK($C429),"",IF($AE429=Constants!$B$7,RANK(AS429,AS$8:AS$507),$AE429))</f>
        <v/>
      </c>
      <c r="AU429" s="63" t="str">
        <f aca="false">IF(ISBLANK($C429), "",AP429)</f>
        <v/>
      </c>
      <c r="AV429" s="63" t="str">
        <f aca="false">IF(ISBLANK($C429),"",IF($AE429=Constants!$B$7,RANK(AU429,AU$8:AU$507),$AE429))</f>
        <v/>
      </c>
      <c r="AW429" s="63" t="str">
        <f aca="false">IF(ISBLANK($C429), "",AC429)</f>
        <v/>
      </c>
      <c r="AX429" s="63" t="str">
        <f aca="false">IF(ISBLANK($C429),"",
IF($AE429=Constants!$B$7,
  COUNTIFS($AR$8:$AR$507,"&lt;"&amp;$AR429)
  + COUNTIFS($AR$8:$AR$507,$AR429,$AT$8:$AT$507,"&lt;"&amp;$AT429)
  + COUNTIFS($AR$8:$AR$507,$AR429,$AT$8:$AT$507,$AT429,$AV$8:$AV$507,"&lt;"&amp;$AV429)
  + COUNTIFS($AR$8:$AR$507,$AR429,$AT$8:$AT$507,$AT429,$AV$8:$AV$507,$AV429,$AW$8:$AW$507,"&lt;"&amp;$AW429)
  + 1,
$AE429))</f>
        <v/>
      </c>
      <c r="AY429" s="63" t="str">
        <f aca="false">IF(ISBLANK(C429),"",IF($AE429=Constants!$B$7, AR429-AX429,$AE429))</f>
        <v/>
      </c>
      <c r="AZ429" s="67"/>
      <c r="BA429" s="81" t="str">
        <f aca="false">IF(ISBLANK($C429),"",TRIM(AI429&amp;" "&amp;AM429))</f>
        <v/>
      </c>
      <c r="BB429" s="69" t="str">
        <f aca="false">IF(ISBLANK($C429),"",IF($AE429&lt;&gt;Constants!$B$7, $AE429 ,AQ429))</f>
        <v/>
      </c>
      <c r="BC429" s="70" t="str">
        <f aca="false">IF(ISBLANK($C429),"",IF($AE429&lt;&gt;Constants!$B$7, $AE429 ,AF429))</f>
        <v/>
      </c>
      <c r="BD429" s="71" t="str">
        <f aca="false">IF(ISBLANK(C429),"",AY429)</f>
        <v/>
      </c>
      <c r="BE429" s="71" t="str">
        <f aca="false">IF(ISBLANK(C429),"",AX429)</f>
        <v/>
      </c>
      <c r="BF429" s="72" t="str">
        <f aca="false">IF(ISBLANK(C429),"",IFERROR(_xlfn.SWITCH(BE429, Constants!$B$4, COUNTA($C$8:$C928)+2, Constants!$B$5, COUNTA($C$8:$C928)+1, Constants!$B$6, COUNTA($C$8:$C928)),BE429))</f>
        <v/>
      </c>
      <c r="BG429" s="5"/>
      <c r="BH429" s="73" t="n">
        <f aca="false">IF(OR(ISNUMBER(BE429),BE429="DQ",BE429="P",BE429="NS"),
    1,
    0
)</f>
        <v>0</v>
      </c>
      <c r="BI429" s="73" t="n">
        <v>422</v>
      </c>
      <c r="BJ429" s="73" t="str">
        <f aca="false">IF(ISBLANK($C429),
    "",
   BF429+ROW($B429)/1000
)</f>
        <v/>
      </c>
      <c r="BK429" s="73" t="str">
        <f aca="false">IF(ISNUMBER(BJ429), RANK(BJ429,BJ$8:BJ$507,1), "")</f>
        <v/>
      </c>
      <c r="BL429" s="73" t="str">
        <f aca="false">IF(ISBLANK($C429),
    "",
    $B429
)</f>
        <v/>
      </c>
      <c r="BM429" s="73" t="str">
        <f aca="false">IF(ISBLANK($C429),
    "",
    $C429
)</f>
        <v/>
      </c>
      <c r="BN429" s="73" t="str">
        <f aca="false">IF(ISBLANK($C429),
    "",
    $D429
)</f>
        <v/>
      </c>
      <c r="BO429" s="74" t="str">
        <f aca="false">BC429</f>
        <v/>
      </c>
      <c r="BP429" s="75" t="str">
        <f aca="false">BB429</f>
        <v/>
      </c>
      <c r="BQ429" s="73" t="str">
        <f aca="false">IF(ISBLANK($C429),
    "",
    BE429
)</f>
        <v/>
      </c>
      <c r="BR429" s="76" t="str">
        <f aca="false">IF(BI429&gt;BH$7,
    "",
    VLOOKUP(BI429,BK$8:BQ928,7,FALSE())
)</f>
        <v/>
      </c>
      <c r="BS429" s="77" t="str">
        <f aca="false">IF(BI429&gt;BH$7,
    "",
    VLOOKUP(BI429,BK$8:BQ928,2,FALSE())
)</f>
        <v/>
      </c>
      <c r="BT429" s="77" t="str">
        <f aca="false">IF(BI429&gt;BH$7,
    "",
    VLOOKUP(BI429,BK$8:BQ928,3,FALSE())
)</f>
        <v/>
      </c>
      <c r="BU429" s="77" t="str">
        <f aca="false">IF(BI429&gt;BH$7,
    "",
    VLOOKUP(BI429,BK$8:BQ928,4,FALSE())
)</f>
        <v/>
      </c>
      <c r="BV429" s="77" t="str">
        <f aca="false">IF(BI429&gt;BH$7,
    "",
    VLOOKUP(BI429,BK$8:BQ928,5,FALSE())
)</f>
        <v/>
      </c>
      <c r="BW429" s="78" t="str">
        <f aca="false">IF(BI429&gt;BH$7,
    "",
    VLOOKUP(BI429,BK$8:BQ928,6,FALSE())
)</f>
        <v/>
      </c>
      <c r="BX429" s="50"/>
    </row>
    <row r="430" customFormat="false" ht="15.75" hidden="false" customHeight="false" outlineLevel="0" collapsed="false">
      <c r="A430" s="5"/>
      <c r="B430" s="126"/>
      <c r="C430" s="52"/>
      <c r="D430" s="53"/>
      <c r="E430" s="120"/>
      <c r="F430" s="120"/>
      <c r="G430" s="55"/>
      <c r="H430" s="56"/>
      <c r="I430" s="80"/>
      <c r="J430" s="80"/>
      <c r="K430" s="80"/>
      <c r="L430" s="58"/>
      <c r="M430" s="58"/>
      <c r="N430" s="58"/>
      <c r="O430" s="59"/>
      <c r="P430" s="60"/>
      <c r="Q430" s="80"/>
      <c r="R430" s="62"/>
      <c r="S430" s="63"/>
      <c r="T430" s="63" t="str">
        <f aca="false">IF(ISBLANK($C430),"",IF(G430=Constants!$B$2, TRUE(), IF(G430=Constants!$B$3, FALSE(), TRUE())))</f>
        <v/>
      </c>
      <c r="U430" s="63" t="str">
        <f aca="false">IF(ISBLANK($C430),"",IF(H430=Constants!$B$2, TRUE(), IF(H430=Constants!$B$3, FALSE(), TRUE())))</f>
        <v/>
      </c>
      <c r="V430" s="63" t="str">
        <f aca="false">IF(ISBLANK($C430),"",IF(I430=Constants!$B$2, TRUE(), IF(I430=Constants!$B$3, FALSE(), TRUE())))</f>
        <v/>
      </c>
      <c r="W430" s="63" t="str">
        <f aca="false">IF(ISBLANK($C430),"",IF(J430=Constants!$B$2, TRUE(), IF(J430=Constants!$B$3, FALSE(), TRUE())))</f>
        <v/>
      </c>
      <c r="X430" s="63" t="str">
        <f aca="false">IF(ISBLANK($C430),"",IF(K430=Constants!$B$2, TRUE(), IF(K430=Constants!$B$3, FALSE(), TRUE())))</f>
        <v/>
      </c>
      <c r="Y430" s="65" t="str">
        <f aca="false">IF(ISBLANK($C430),"",IF(ISNUMBER(L430), L430, ""))</f>
        <v/>
      </c>
      <c r="Z430" s="65" t="str">
        <f aca="false">IF(ISBLANK($C430),"",IF(ISNUMBER(M430), M430, ""))</f>
        <v/>
      </c>
      <c r="AA430" s="65" t="str">
        <f aca="false">IF(ISBLANK($C430),"",IF(ISNUMBER(N430), N430, ""))</f>
        <v/>
      </c>
      <c r="AB430" s="66" t="str">
        <f aca="false">IF(ISBLANK($C430),"",IF(ISNUMBER(O430), O430, ""))</f>
        <v/>
      </c>
      <c r="AC430" s="66" t="str">
        <f aca="false">IF(ISBLANK($C430),"",IF(ISNUMBER(P430), P430, Constants!$B$13))</f>
        <v/>
      </c>
      <c r="AD430" s="63" t="str">
        <f aca="false">IF(ISBLANK($C430),"",IF(Q430=Constants!$B$2, TRUE(), IF(Q430=Constants!$B$3, FALSE(), FALSE())))</f>
        <v/>
      </c>
      <c r="AE430" s="63" t="str">
        <f aca="false">IF(ISBLANK(C430), "", IF(AD430, Constants!$B$4,IF(COUNTA(G430:O430)=0, Constants!$B$5, Constants!$B$7)))</f>
        <v/>
      </c>
      <c r="AF430" s="63" t="str">
        <f aca="false">IF(ISBLANK($C430), "",IF($AE430=Constants!$B$7,1,$AE430))</f>
        <v/>
      </c>
      <c r="AG430" s="63" t="str">
        <f aca="false">IF($AE430=Constants!$B$7,IF(V430, 1, Constants!$B$11) * IF(X430, 1, Constants!$B$12),"")</f>
        <v/>
      </c>
      <c r="AH430" s="63" t="str">
        <f aca="false">IF(AND($AE430=Constants!$B$7, T430, U430) ,MAX(0, $AA430-$Y430),"")</f>
        <v/>
      </c>
      <c r="AI430" s="63" t="str">
        <f aca="false">IF(ISERROR(AH430),$AI$6,"")</f>
        <v/>
      </c>
      <c r="AJ430" s="63" t="str">
        <f aca="false">IF($AE430=Constants!$B$7,IF(AND(T430,U430,W430),IF($AH$6=0,Constants!$B$9,Constants!$B$9*AH430/$AH$6), 0),"")</f>
        <v/>
      </c>
      <c r="AK430" s="63" t="str">
        <f aca="false">IF(AJ430&lt;&gt;"", AJ430*AG430,"")</f>
        <v/>
      </c>
      <c r="AL430" s="63" t="str">
        <f aca="false">IF(AND($AE430=Constants!$B$7, T430, U430) ,IF($Z430="", "", MAX(0,1-ABS($AA430-$Z430)/$AA430)),"")</f>
        <v/>
      </c>
      <c r="AM430" s="63" t="str">
        <f aca="false">IF(AND(NOT(ISERROR(AH430)),ISERROR(AL430)),$AM$6,"")</f>
        <v/>
      </c>
      <c r="AN430" s="63" t="str">
        <f aca="false">IF($AE430=Constants!$B$7 ,IF(AND(T430,U430,W430,ISNUMBER(Z430)),IF($AL$6=0,Constants!$B$10,Constants!$B$10*AL430/$AL$6), 0),"")</f>
        <v/>
      </c>
      <c r="AO430" s="63" t="str">
        <f aca="false">IF(AN430&lt;&gt;"", AN430*AG430,"")</f>
        <v/>
      </c>
      <c r="AP430" s="63" t="str">
        <f aca="false">IF($AE430=Constants!$B$7,IF($AP$6=0,Constants!$B$8,Constants!$B$8*AB430/$AP$6),"")</f>
        <v/>
      </c>
      <c r="AQ430" s="63" t="str">
        <f aca="false">IF($AE430&lt;&gt;Constants!$B$7,$AE430,AK430+AO430+AP430)</f>
        <v/>
      </c>
      <c r="AR430" s="63" t="str">
        <f aca="false">IF(ISBLANK($C430),"",IF($AE430=Constants!$B$7,RANK(AQ430,$AQ$8:$AQ$507),$AE430))</f>
        <v/>
      </c>
      <c r="AS430" s="63" t="str">
        <f aca="false">IF(ISBLANK($C430), "",AK430)</f>
        <v/>
      </c>
      <c r="AT430" s="63" t="str">
        <f aca="false">IF(ISBLANK($C430),"",IF($AE430=Constants!$B$7,RANK(AS430,AS$8:AS$507),$AE430))</f>
        <v/>
      </c>
      <c r="AU430" s="63" t="str">
        <f aca="false">IF(ISBLANK($C430), "",AP430)</f>
        <v/>
      </c>
      <c r="AV430" s="63" t="str">
        <f aca="false">IF(ISBLANK($C430),"",IF($AE430=Constants!$B$7,RANK(AU430,AU$8:AU$507),$AE430))</f>
        <v/>
      </c>
      <c r="AW430" s="63" t="str">
        <f aca="false">IF(ISBLANK($C430), "",AC430)</f>
        <v/>
      </c>
      <c r="AX430" s="63" t="str">
        <f aca="false">IF(ISBLANK($C430),"",
IF($AE430=Constants!$B$7,
  COUNTIFS($AR$8:$AR$507,"&lt;"&amp;$AR430)
  + COUNTIFS($AR$8:$AR$507,$AR430,$AT$8:$AT$507,"&lt;"&amp;$AT430)
  + COUNTIFS($AR$8:$AR$507,$AR430,$AT$8:$AT$507,$AT430,$AV$8:$AV$507,"&lt;"&amp;$AV430)
  + COUNTIFS($AR$8:$AR$507,$AR430,$AT$8:$AT$507,$AT430,$AV$8:$AV$507,$AV430,$AW$8:$AW$507,"&lt;"&amp;$AW430)
  + 1,
$AE430))</f>
        <v/>
      </c>
      <c r="AY430" s="63" t="str">
        <f aca="false">IF(ISBLANK(C430),"",IF($AE430=Constants!$B$7, AR430-AX430,$AE430))</f>
        <v/>
      </c>
      <c r="AZ430" s="67"/>
      <c r="BA430" s="81" t="str">
        <f aca="false">IF(ISBLANK($C430),"",TRIM(AI430&amp;" "&amp;AM430))</f>
        <v/>
      </c>
      <c r="BB430" s="69" t="str">
        <f aca="false">IF(ISBLANK($C430),"",IF($AE430&lt;&gt;Constants!$B$7, $AE430 ,AQ430))</f>
        <v/>
      </c>
      <c r="BC430" s="70" t="str">
        <f aca="false">IF(ISBLANK($C430),"",IF($AE430&lt;&gt;Constants!$B$7, $AE430 ,AF430))</f>
        <v/>
      </c>
      <c r="BD430" s="71" t="str">
        <f aca="false">IF(ISBLANK(C430),"",AY430)</f>
        <v/>
      </c>
      <c r="BE430" s="71" t="str">
        <f aca="false">IF(ISBLANK(C430),"",AX430)</f>
        <v/>
      </c>
      <c r="BF430" s="72" t="str">
        <f aca="false">IF(ISBLANK(C430),"",IFERROR(_xlfn.SWITCH(BE430, Constants!$B$4, COUNTA($C$8:$C929)+2, Constants!$B$5, COUNTA($C$8:$C929)+1, Constants!$B$6, COUNTA($C$8:$C929)),BE430))</f>
        <v/>
      </c>
      <c r="BG430" s="5"/>
      <c r="BH430" s="73" t="n">
        <f aca="false">IF(OR(ISNUMBER(BE430),BE430="DQ",BE430="P",BE430="NS"),
    1,
    0
)</f>
        <v>0</v>
      </c>
      <c r="BI430" s="73" t="n">
        <v>423</v>
      </c>
      <c r="BJ430" s="73" t="str">
        <f aca="false">IF(ISBLANK($C430),
    "",
   BF430+ROW($B430)/1000
)</f>
        <v/>
      </c>
      <c r="BK430" s="73" t="str">
        <f aca="false">IF(ISNUMBER(BJ430), RANK(BJ430,BJ$8:BJ$507,1), "")</f>
        <v/>
      </c>
      <c r="BL430" s="73" t="str">
        <f aca="false">IF(ISBLANK($C430),
    "",
    $B430
)</f>
        <v/>
      </c>
      <c r="BM430" s="73" t="str">
        <f aca="false">IF(ISBLANK($C430),
    "",
    $C430
)</f>
        <v/>
      </c>
      <c r="BN430" s="73" t="str">
        <f aca="false">IF(ISBLANK($C430),
    "",
    $D430
)</f>
        <v/>
      </c>
      <c r="BO430" s="74" t="str">
        <f aca="false">BC430</f>
        <v/>
      </c>
      <c r="BP430" s="75" t="str">
        <f aca="false">BB430</f>
        <v/>
      </c>
      <c r="BQ430" s="73" t="str">
        <f aca="false">IF(ISBLANK($C430),
    "",
    BE430
)</f>
        <v/>
      </c>
      <c r="BR430" s="76" t="str">
        <f aca="false">IF(BI430&gt;BH$7,
    "",
    VLOOKUP(BI430,BK$8:BQ929,7,FALSE())
)</f>
        <v/>
      </c>
      <c r="BS430" s="77" t="str">
        <f aca="false">IF(BI430&gt;BH$7,
    "",
    VLOOKUP(BI430,BK$8:BQ929,2,FALSE())
)</f>
        <v/>
      </c>
      <c r="BT430" s="77" t="str">
        <f aca="false">IF(BI430&gt;BH$7,
    "",
    VLOOKUP(BI430,BK$8:BQ929,3,FALSE())
)</f>
        <v/>
      </c>
      <c r="BU430" s="77" t="str">
        <f aca="false">IF(BI430&gt;BH$7,
    "",
    VLOOKUP(BI430,BK$8:BQ929,4,FALSE())
)</f>
        <v/>
      </c>
      <c r="BV430" s="77" t="str">
        <f aca="false">IF(BI430&gt;BH$7,
    "",
    VLOOKUP(BI430,BK$8:BQ929,5,FALSE())
)</f>
        <v/>
      </c>
      <c r="BW430" s="78" t="str">
        <f aca="false">IF(BI430&gt;BH$7,
    "",
    VLOOKUP(BI430,BK$8:BQ929,6,FALSE())
)</f>
        <v/>
      </c>
      <c r="BX430" s="50"/>
    </row>
    <row r="431" customFormat="false" ht="15.75" hidden="false" customHeight="false" outlineLevel="0" collapsed="false">
      <c r="A431" s="5"/>
      <c r="B431" s="122"/>
      <c r="C431" s="123"/>
      <c r="D431" s="112"/>
      <c r="E431" s="116"/>
      <c r="F431" s="116"/>
      <c r="G431" s="88"/>
      <c r="H431" s="89"/>
      <c r="I431" s="125"/>
      <c r="J431" s="125"/>
      <c r="K431" s="125"/>
      <c r="L431" s="91"/>
      <c r="M431" s="91"/>
      <c r="N431" s="91"/>
      <c r="O431" s="92"/>
      <c r="P431" s="93"/>
      <c r="Q431" s="125"/>
      <c r="R431" s="95"/>
      <c r="S431" s="96"/>
      <c r="T431" s="96" t="str">
        <f aca="false">IF(ISBLANK($C431),"",IF(G431=Constants!$B$2, TRUE(), IF(G431=Constants!$B$3, FALSE(), TRUE())))</f>
        <v/>
      </c>
      <c r="U431" s="96" t="str">
        <f aca="false">IF(ISBLANK($C431),"",IF(H431=Constants!$B$2, TRUE(), IF(H431=Constants!$B$3, FALSE(), TRUE())))</f>
        <v/>
      </c>
      <c r="V431" s="96" t="str">
        <f aca="false">IF(ISBLANK($C431),"",IF(I431=Constants!$B$2, TRUE(), IF(I431=Constants!$B$3, FALSE(), TRUE())))</f>
        <v/>
      </c>
      <c r="W431" s="96" t="str">
        <f aca="false">IF(ISBLANK($C431),"",IF(J431=Constants!$B$2, TRUE(), IF(J431=Constants!$B$3, FALSE(), TRUE())))</f>
        <v/>
      </c>
      <c r="X431" s="97" t="str">
        <f aca="false">IF(ISBLANK($C431),"",IF(K431=Constants!$B$2, TRUE(), IF(K431=Constants!$B$3, FALSE(), TRUE())))</f>
        <v/>
      </c>
      <c r="Y431" s="98" t="str">
        <f aca="false">IF(ISBLANK($C431),"",IF(ISNUMBER(L431), L431, ""))</f>
        <v/>
      </c>
      <c r="Z431" s="98" t="str">
        <f aca="false">IF(ISBLANK($C431),"",IF(ISNUMBER(M431), M431, ""))</f>
        <v/>
      </c>
      <c r="AA431" s="98" t="str">
        <f aca="false">IF(ISBLANK($C431),"",IF(ISNUMBER(N431), N431, ""))</f>
        <v/>
      </c>
      <c r="AB431" s="99" t="str">
        <f aca="false">IF(ISBLANK($C431),"",IF(ISNUMBER(O431), O431, ""))</f>
        <v/>
      </c>
      <c r="AC431" s="99" t="str">
        <f aca="false">IF(ISBLANK($C431),"",IF(ISNUMBER(P431), P431, Constants!$B$13))</f>
        <v/>
      </c>
      <c r="AD431" s="96" t="str">
        <f aca="false">IF(ISBLANK($C431),"",IF(Q431=Constants!$B$2, TRUE(), IF(Q431=Constants!$B$3, FALSE(), FALSE())))</f>
        <v/>
      </c>
      <c r="AE431" s="96" t="str">
        <f aca="false">IF(ISBLANK(C431), "", IF(AD431, Constants!$B$4,IF(COUNTA(G431:O431)=0, Constants!$B$5, Constants!$B$7)))</f>
        <v/>
      </c>
      <c r="AF431" s="96" t="str">
        <f aca="false">IF(ISBLANK($C431), "",IF($AE431=Constants!$B$7,1,$AE431))</f>
        <v/>
      </c>
      <c r="AG431" s="96" t="str">
        <f aca="false">IF($AE431=Constants!$B$7,IF(V431, 1, Constants!$B$11) * IF(X431, 1, Constants!$B$12),"")</f>
        <v/>
      </c>
      <c r="AH431" s="96" t="str">
        <f aca="false">IF(AND($AE431=Constants!$B$7, T431, U431) ,MAX(0, $AA431-$Y431),"")</f>
        <v/>
      </c>
      <c r="AI431" s="96" t="str">
        <f aca="false">IF(ISERROR(AH431),$AI$6,"")</f>
        <v/>
      </c>
      <c r="AJ431" s="96" t="str">
        <f aca="false">IF($AE431=Constants!$B$7,IF(AND(T431,U431,W431),IF($AH$6=0,Constants!$B$9,Constants!$B$9*AH431/$AH$6), 0),"")</f>
        <v/>
      </c>
      <c r="AK431" s="96" t="str">
        <f aca="false">IF(AJ431&lt;&gt;"", AJ431*AG431,"")</f>
        <v/>
      </c>
      <c r="AL431" s="96" t="str">
        <f aca="false">IF(AND($AE431=Constants!$B$7, T431, U431) ,IF($Z431="", "", MAX(0,1-ABS($AA431-$Z431)/$AA431)),"")</f>
        <v/>
      </c>
      <c r="AM431" s="96" t="str">
        <f aca="false">IF(AND(NOT(ISERROR(AH431)),ISERROR(AL431)),$AM$6,"")</f>
        <v/>
      </c>
      <c r="AN431" s="96" t="str">
        <f aca="false">IF($AE431=Constants!$B$7 ,IF(AND(T431,U431,W431,ISNUMBER(Z431)),IF($AL$6=0,Constants!$B$10,Constants!$B$10*AL431/$AL$6), 0),"")</f>
        <v/>
      </c>
      <c r="AO431" s="96" t="str">
        <f aca="false">IF(AN431&lt;&gt;"", AN431*AG431,"")</f>
        <v/>
      </c>
      <c r="AP431" s="96" t="str">
        <f aca="false">IF($AE431=Constants!$B$7,IF($AP$6=0,Constants!$B$8,Constants!$B$8*AB431/$AP$6),"")</f>
        <v/>
      </c>
      <c r="AQ431" s="96" t="str">
        <f aca="false">IF($AE431&lt;&gt;Constants!$B$7,$AE431,AK431+AO431+AP431)</f>
        <v/>
      </c>
      <c r="AR431" s="96" t="str">
        <f aca="false">IF(ISBLANK($C431),"",IF($AE431=Constants!$B$7,RANK(AQ431,$AQ$8:$AQ$507),$AE431))</f>
        <v/>
      </c>
      <c r="AS431" s="96" t="str">
        <f aca="false">IF(ISBLANK($C431), "",AK431)</f>
        <v/>
      </c>
      <c r="AT431" s="96" t="str">
        <f aca="false">IF(ISBLANK($C431),"",IF($AE431=Constants!$B$7,RANK(AS431,AS$8:AS$507),$AE431))</f>
        <v/>
      </c>
      <c r="AU431" s="96" t="str">
        <f aca="false">IF(ISBLANK($C431), "",AP431)</f>
        <v/>
      </c>
      <c r="AV431" s="96" t="str">
        <f aca="false">IF(ISBLANK($C431),"",IF($AE431=Constants!$B$7,RANK(AU431,AU$8:AU$507),$AE431))</f>
        <v/>
      </c>
      <c r="AW431" s="96" t="str">
        <f aca="false">IF(ISBLANK($C431), "",AC431)</f>
        <v/>
      </c>
      <c r="AX431" s="96" t="str">
        <f aca="false">IF(ISBLANK($C431),"",
IF($AE431=Constants!$B$7,
  COUNTIFS($AR$8:$AR$507,"&lt;"&amp;$AR431)
  + COUNTIFS($AR$8:$AR$507,$AR431,$AT$8:$AT$507,"&lt;"&amp;$AT431)
  + COUNTIFS($AR$8:$AR$507,$AR431,$AT$8:$AT$507,$AT431,$AV$8:$AV$507,"&lt;"&amp;$AV431)
  + COUNTIFS($AR$8:$AR$507,$AR431,$AT$8:$AT$507,$AT431,$AV$8:$AV$507,$AV431,$AW$8:$AW$507,"&lt;"&amp;$AW431)
  + 1,
$AE431))</f>
        <v/>
      </c>
      <c r="AY431" s="96" t="str">
        <f aca="false">IF(ISBLANK(C431),"",IF($AE431=Constants!$B$7, AR431-AX431,$AE431))</f>
        <v/>
      </c>
      <c r="AZ431" s="100"/>
      <c r="BA431" s="101" t="str">
        <f aca="false">IF(ISBLANK($C431),"",TRIM(AI431&amp;" "&amp;AM431))</f>
        <v/>
      </c>
      <c r="BB431" s="102" t="str">
        <f aca="false">IF(ISBLANK($C431),"",IF($AE431&lt;&gt;Constants!$B$7, $AE431 ,AQ431))</f>
        <v/>
      </c>
      <c r="BC431" s="103" t="str">
        <f aca="false">IF(ISBLANK($C431),"",IF($AE431&lt;&gt;Constants!$B$7, $AE431 ,AF431))</f>
        <v/>
      </c>
      <c r="BD431" s="104" t="str">
        <f aca="false">IF(ISBLANK(C431),"",AY431)</f>
        <v/>
      </c>
      <c r="BE431" s="104" t="str">
        <f aca="false">IF(ISBLANK(C431),"",AX431)</f>
        <v/>
      </c>
      <c r="BF431" s="105" t="str">
        <f aca="false">IF(ISBLANK(C431),"",IFERROR(_xlfn.SWITCH(BE431, Constants!$B$4, COUNTA($C$8:$C930)+2, Constants!$B$5, COUNTA($C$8:$C930)+1, Constants!$B$6, COUNTA($C$8:$C930)),BE431))</f>
        <v/>
      </c>
      <c r="BG431" s="5"/>
      <c r="BH431" s="106" t="n">
        <f aca="false">IF(OR(ISNUMBER(BE431),BE431="DQ",BE431="P",BE431="NS"),
    1,
    0
)</f>
        <v>0</v>
      </c>
      <c r="BI431" s="106" t="n">
        <v>424</v>
      </c>
      <c r="BJ431" s="106" t="str">
        <f aca="false">IF(ISBLANK($C431),
    "",
   BF431+ROW($B431)/1000
)</f>
        <v/>
      </c>
      <c r="BK431" s="106" t="str">
        <f aca="false">IF(ISNUMBER(BJ431), RANK(BJ431,BJ$8:BJ$507,1), "")</f>
        <v/>
      </c>
      <c r="BL431" s="106" t="str">
        <f aca="false">IF(ISBLANK($C431),
    "",
    $B431
)</f>
        <v/>
      </c>
      <c r="BM431" s="106" t="str">
        <f aca="false">IF(ISBLANK($C431),
    "",
    $C431
)</f>
        <v/>
      </c>
      <c r="BN431" s="106" t="str">
        <f aca="false">IF(ISBLANK($C431),
    "",
    $D431
)</f>
        <v/>
      </c>
      <c r="BO431" s="107" t="str">
        <f aca="false">BC431</f>
        <v/>
      </c>
      <c r="BP431" s="108" t="str">
        <f aca="false">BB431</f>
        <v/>
      </c>
      <c r="BQ431" s="106" t="str">
        <f aca="false">IF(ISBLANK($C431),
    "",
    BE431
)</f>
        <v/>
      </c>
      <c r="BR431" s="109" t="str">
        <f aca="false">IF(BI431&gt;BH$7,
    "",
    VLOOKUP(BI431,BK$8:BQ930,7,FALSE())
)</f>
        <v/>
      </c>
      <c r="BS431" s="110" t="str">
        <f aca="false">IF(BI431&gt;BH$7,
    "",
    VLOOKUP(BI431,BK$8:BQ930,2,FALSE())
)</f>
        <v/>
      </c>
      <c r="BT431" s="110" t="str">
        <f aca="false">IF(BI431&gt;BH$7,
    "",
    VLOOKUP(BI431,BK$8:BQ930,3,FALSE())
)</f>
        <v/>
      </c>
      <c r="BU431" s="110" t="str">
        <f aca="false">IF(BI431&gt;BH$7,
    "",
    VLOOKUP(BI431,BK$8:BQ930,4,FALSE())
)</f>
        <v/>
      </c>
      <c r="BV431" s="110" t="str">
        <f aca="false">IF(BI431&gt;BH$7,
    "",
    VLOOKUP(BI431,BK$8:BQ930,5,FALSE())
)</f>
        <v/>
      </c>
      <c r="BW431" s="111" t="str">
        <f aca="false">IF(BI431&gt;BH$7,
    "",
    VLOOKUP(BI431,BK$8:BQ930,6,FALSE())
)</f>
        <v/>
      </c>
      <c r="BX431" s="50"/>
    </row>
    <row r="432" customFormat="false" ht="15.75" hidden="false" customHeight="false" outlineLevel="0" collapsed="false">
      <c r="A432" s="5"/>
      <c r="B432" s="122"/>
      <c r="C432" s="123"/>
      <c r="D432" s="112"/>
      <c r="E432" s="116"/>
      <c r="F432" s="116"/>
      <c r="G432" s="88"/>
      <c r="H432" s="89"/>
      <c r="I432" s="125"/>
      <c r="J432" s="125"/>
      <c r="K432" s="125"/>
      <c r="L432" s="91"/>
      <c r="M432" s="91"/>
      <c r="N432" s="91"/>
      <c r="O432" s="92"/>
      <c r="P432" s="93"/>
      <c r="Q432" s="125"/>
      <c r="R432" s="95"/>
      <c r="S432" s="96"/>
      <c r="T432" s="96" t="str">
        <f aca="false">IF(ISBLANK($C432),"",IF(G432=Constants!$B$2, TRUE(), IF(G432=Constants!$B$3, FALSE(), TRUE())))</f>
        <v/>
      </c>
      <c r="U432" s="96" t="str">
        <f aca="false">IF(ISBLANK($C432),"",IF(H432=Constants!$B$2, TRUE(), IF(H432=Constants!$B$3, FALSE(), TRUE())))</f>
        <v/>
      </c>
      <c r="V432" s="96" t="str">
        <f aca="false">IF(ISBLANK($C432),"",IF(I432=Constants!$B$2, TRUE(), IF(I432=Constants!$B$3, FALSE(), TRUE())))</f>
        <v/>
      </c>
      <c r="W432" s="96" t="str">
        <f aca="false">IF(ISBLANK($C432),"",IF(J432=Constants!$B$2, TRUE(), IF(J432=Constants!$B$3, FALSE(), TRUE())))</f>
        <v/>
      </c>
      <c r="X432" s="97" t="str">
        <f aca="false">IF(ISBLANK($C432),"",IF(K432=Constants!$B$2, TRUE(), IF(K432=Constants!$B$3, FALSE(), TRUE())))</f>
        <v/>
      </c>
      <c r="Y432" s="98" t="str">
        <f aca="false">IF(ISBLANK($C432),"",IF(ISNUMBER(L432), L432, ""))</f>
        <v/>
      </c>
      <c r="Z432" s="98" t="str">
        <f aca="false">IF(ISBLANK($C432),"",IF(ISNUMBER(M432), M432, ""))</f>
        <v/>
      </c>
      <c r="AA432" s="98" t="str">
        <f aca="false">IF(ISBLANK($C432),"",IF(ISNUMBER(N432), N432, ""))</f>
        <v/>
      </c>
      <c r="AB432" s="99" t="str">
        <f aca="false">IF(ISBLANK($C432),"",IF(ISNUMBER(O432), O432, ""))</f>
        <v/>
      </c>
      <c r="AC432" s="99" t="str">
        <f aca="false">IF(ISBLANK($C432),"",IF(ISNUMBER(P432), P432, Constants!$B$13))</f>
        <v/>
      </c>
      <c r="AD432" s="96" t="str">
        <f aca="false">IF(ISBLANK($C432),"",IF(Q432=Constants!$B$2, TRUE(), IF(Q432=Constants!$B$3, FALSE(), FALSE())))</f>
        <v/>
      </c>
      <c r="AE432" s="96" t="str">
        <f aca="false">IF(ISBLANK(C432), "", IF(AD432, Constants!$B$4,IF(COUNTA(G432:O432)=0, Constants!$B$5, Constants!$B$7)))</f>
        <v/>
      </c>
      <c r="AF432" s="96" t="str">
        <f aca="false">IF(ISBLANK($C432), "",IF($AE432=Constants!$B$7,1,$AE432))</f>
        <v/>
      </c>
      <c r="AG432" s="96" t="str">
        <f aca="false">IF($AE432=Constants!$B$7,IF(V432, 1, Constants!$B$11) * IF(X432, 1, Constants!$B$12),"")</f>
        <v/>
      </c>
      <c r="AH432" s="96" t="str">
        <f aca="false">IF(AND($AE432=Constants!$B$7, T432, U432) ,MAX(0, $AA432-$Y432),"")</f>
        <v/>
      </c>
      <c r="AI432" s="96" t="str">
        <f aca="false">IF(ISERROR(AH432),$AI$6,"")</f>
        <v/>
      </c>
      <c r="AJ432" s="96" t="str">
        <f aca="false">IF($AE432=Constants!$B$7,IF(AND(T432,U432,W432),IF($AH$6=0,Constants!$B$9,Constants!$B$9*AH432/$AH$6), 0),"")</f>
        <v/>
      </c>
      <c r="AK432" s="96" t="str">
        <f aca="false">IF(AJ432&lt;&gt;"", AJ432*AG432,"")</f>
        <v/>
      </c>
      <c r="AL432" s="96" t="str">
        <f aca="false">IF(AND($AE432=Constants!$B$7, T432, U432) ,IF($Z432="", "", MAX(0,1-ABS($AA432-$Z432)/$AA432)),"")</f>
        <v/>
      </c>
      <c r="AM432" s="96" t="str">
        <f aca="false">IF(AND(NOT(ISERROR(AH432)),ISERROR(AL432)),$AM$6,"")</f>
        <v/>
      </c>
      <c r="AN432" s="96" t="str">
        <f aca="false">IF($AE432=Constants!$B$7 ,IF(AND(T432,U432,W432,ISNUMBER(Z432)),IF($AL$6=0,Constants!$B$10,Constants!$B$10*AL432/$AL$6), 0),"")</f>
        <v/>
      </c>
      <c r="AO432" s="96" t="str">
        <f aca="false">IF(AN432&lt;&gt;"", AN432*AG432,"")</f>
        <v/>
      </c>
      <c r="AP432" s="96" t="str">
        <f aca="false">IF($AE432=Constants!$B$7,IF($AP$6=0,Constants!$B$8,Constants!$B$8*AB432/$AP$6),"")</f>
        <v/>
      </c>
      <c r="AQ432" s="96" t="str">
        <f aca="false">IF($AE432&lt;&gt;Constants!$B$7,$AE432,AK432+AO432+AP432)</f>
        <v/>
      </c>
      <c r="AR432" s="96" t="str">
        <f aca="false">IF(ISBLANK($C432),"",IF($AE432=Constants!$B$7,RANK(AQ432,$AQ$8:$AQ$507),$AE432))</f>
        <v/>
      </c>
      <c r="AS432" s="96" t="str">
        <f aca="false">IF(ISBLANK($C432), "",AK432)</f>
        <v/>
      </c>
      <c r="AT432" s="96" t="str">
        <f aca="false">IF(ISBLANK($C432),"",IF($AE432=Constants!$B$7,RANK(AS432,AS$8:AS$507),$AE432))</f>
        <v/>
      </c>
      <c r="AU432" s="96" t="str">
        <f aca="false">IF(ISBLANK($C432), "",AP432)</f>
        <v/>
      </c>
      <c r="AV432" s="96" t="str">
        <f aca="false">IF(ISBLANK($C432),"",IF($AE432=Constants!$B$7,RANK(AU432,AU$8:AU$507),$AE432))</f>
        <v/>
      </c>
      <c r="AW432" s="96" t="str">
        <f aca="false">IF(ISBLANK($C432), "",AC432)</f>
        <v/>
      </c>
      <c r="AX432" s="96" t="str">
        <f aca="false">IF(ISBLANK($C432),"",
IF($AE432=Constants!$B$7,
  COUNTIFS($AR$8:$AR$507,"&lt;"&amp;$AR432)
  + COUNTIFS($AR$8:$AR$507,$AR432,$AT$8:$AT$507,"&lt;"&amp;$AT432)
  + COUNTIFS($AR$8:$AR$507,$AR432,$AT$8:$AT$507,$AT432,$AV$8:$AV$507,"&lt;"&amp;$AV432)
  + COUNTIFS($AR$8:$AR$507,$AR432,$AT$8:$AT$507,$AT432,$AV$8:$AV$507,$AV432,$AW$8:$AW$507,"&lt;"&amp;$AW432)
  + 1,
$AE432))</f>
        <v/>
      </c>
      <c r="AY432" s="96" t="str">
        <f aca="false">IF(ISBLANK(C432),"",IF($AE432=Constants!$B$7, AR432-AX432,$AE432))</f>
        <v/>
      </c>
      <c r="AZ432" s="100"/>
      <c r="BA432" s="101" t="str">
        <f aca="false">IF(ISBLANK($C432),"",TRIM(AI432&amp;" "&amp;AM432))</f>
        <v/>
      </c>
      <c r="BB432" s="102" t="str">
        <f aca="false">IF(ISBLANK($C432),"",IF($AE432&lt;&gt;Constants!$B$7, $AE432 ,AQ432))</f>
        <v/>
      </c>
      <c r="BC432" s="103" t="str">
        <f aca="false">IF(ISBLANK($C432),"",IF($AE432&lt;&gt;Constants!$B$7, $AE432 ,AF432))</f>
        <v/>
      </c>
      <c r="BD432" s="104" t="str">
        <f aca="false">IF(ISBLANK(C432),"",AY432)</f>
        <v/>
      </c>
      <c r="BE432" s="104" t="str">
        <f aca="false">IF(ISBLANK(C432),"",AX432)</f>
        <v/>
      </c>
      <c r="BF432" s="105" t="str">
        <f aca="false">IF(ISBLANK(C432),"",IFERROR(_xlfn.SWITCH(BE432, Constants!$B$4, COUNTA($C$8:$C931)+2, Constants!$B$5, COUNTA($C$8:$C931)+1, Constants!$B$6, COUNTA($C$8:$C931)),BE432))</f>
        <v/>
      </c>
      <c r="BG432" s="5"/>
      <c r="BH432" s="106" t="n">
        <f aca="false">IF(OR(ISNUMBER(BE432),BE432="DQ",BE432="P",BE432="NS"),
    1,
    0
)</f>
        <v>0</v>
      </c>
      <c r="BI432" s="106" t="n">
        <v>425</v>
      </c>
      <c r="BJ432" s="106" t="str">
        <f aca="false">IF(ISBLANK($C432),
    "",
   BF432+ROW($B432)/1000
)</f>
        <v/>
      </c>
      <c r="BK432" s="106" t="str">
        <f aca="false">IF(ISNUMBER(BJ432), RANK(BJ432,BJ$8:BJ$507,1), "")</f>
        <v/>
      </c>
      <c r="BL432" s="106" t="str">
        <f aca="false">IF(ISBLANK($C432),
    "",
    $B432
)</f>
        <v/>
      </c>
      <c r="BM432" s="106" t="str">
        <f aca="false">IF(ISBLANK($C432),
    "",
    $C432
)</f>
        <v/>
      </c>
      <c r="BN432" s="106" t="str">
        <f aca="false">IF(ISBLANK($C432),
    "",
    $D432
)</f>
        <v/>
      </c>
      <c r="BO432" s="107" t="str">
        <f aca="false">BC432</f>
        <v/>
      </c>
      <c r="BP432" s="108" t="str">
        <f aca="false">BB432</f>
        <v/>
      </c>
      <c r="BQ432" s="106" t="str">
        <f aca="false">IF(ISBLANK($C432),
    "",
    BE432
)</f>
        <v/>
      </c>
      <c r="BR432" s="109" t="str">
        <f aca="false">IF(BI432&gt;BH$7,
    "",
    VLOOKUP(BI432,BK$8:BQ931,7,FALSE())
)</f>
        <v/>
      </c>
      <c r="BS432" s="110" t="str">
        <f aca="false">IF(BI432&gt;BH$7,
    "",
    VLOOKUP(BI432,BK$8:BQ931,2,FALSE())
)</f>
        <v/>
      </c>
      <c r="BT432" s="110" t="str">
        <f aca="false">IF(BI432&gt;BH$7,
    "",
    VLOOKUP(BI432,BK$8:BQ931,3,FALSE())
)</f>
        <v/>
      </c>
      <c r="BU432" s="110" t="str">
        <f aca="false">IF(BI432&gt;BH$7,
    "",
    VLOOKUP(BI432,BK$8:BQ931,4,FALSE())
)</f>
        <v/>
      </c>
      <c r="BV432" s="110" t="str">
        <f aca="false">IF(BI432&gt;BH$7,
    "",
    VLOOKUP(BI432,BK$8:BQ931,5,FALSE())
)</f>
        <v/>
      </c>
      <c r="BW432" s="111" t="str">
        <f aca="false">IF(BI432&gt;BH$7,
    "",
    VLOOKUP(BI432,BK$8:BQ931,6,FALSE())
)</f>
        <v/>
      </c>
      <c r="BX432" s="50"/>
    </row>
    <row r="433" customFormat="false" ht="15.75" hidden="false" customHeight="false" outlineLevel="0" collapsed="false">
      <c r="A433" s="5"/>
      <c r="B433" s="122"/>
      <c r="C433" s="123"/>
      <c r="D433" s="112"/>
      <c r="E433" s="116"/>
      <c r="F433" s="116"/>
      <c r="G433" s="88"/>
      <c r="H433" s="89"/>
      <c r="I433" s="125"/>
      <c r="J433" s="125"/>
      <c r="K433" s="125"/>
      <c r="L433" s="91"/>
      <c r="M433" s="91"/>
      <c r="N433" s="91"/>
      <c r="O433" s="92"/>
      <c r="P433" s="93"/>
      <c r="Q433" s="125"/>
      <c r="R433" s="95"/>
      <c r="S433" s="96"/>
      <c r="T433" s="96" t="str">
        <f aca="false">IF(ISBLANK($C433),"",IF(G433=Constants!$B$2, TRUE(), IF(G433=Constants!$B$3, FALSE(), TRUE())))</f>
        <v/>
      </c>
      <c r="U433" s="96" t="str">
        <f aca="false">IF(ISBLANK($C433),"",IF(H433=Constants!$B$2, TRUE(), IF(H433=Constants!$B$3, FALSE(), TRUE())))</f>
        <v/>
      </c>
      <c r="V433" s="96" t="str">
        <f aca="false">IF(ISBLANK($C433),"",IF(I433=Constants!$B$2, TRUE(), IF(I433=Constants!$B$3, FALSE(), TRUE())))</f>
        <v/>
      </c>
      <c r="W433" s="96" t="str">
        <f aca="false">IF(ISBLANK($C433),"",IF(J433=Constants!$B$2, TRUE(), IF(J433=Constants!$B$3, FALSE(), TRUE())))</f>
        <v/>
      </c>
      <c r="X433" s="97" t="str">
        <f aca="false">IF(ISBLANK($C433),"",IF(K433=Constants!$B$2, TRUE(), IF(K433=Constants!$B$3, FALSE(), TRUE())))</f>
        <v/>
      </c>
      <c r="Y433" s="98" t="str">
        <f aca="false">IF(ISBLANK($C433),"",IF(ISNUMBER(L433), L433, ""))</f>
        <v/>
      </c>
      <c r="Z433" s="98" t="str">
        <f aca="false">IF(ISBLANK($C433),"",IF(ISNUMBER(M433), M433, ""))</f>
        <v/>
      </c>
      <c r="AA433" s="98" t="str">
        <f aca="false">IF(ISBLANK($C433),"",IF(ISNUMBER(N433), N433, ""))</f>
        <v/>
      </c>
      <c r="AB433" s="99" t="str">
        <f aca="false">IF(ISBLANK($C433),"",IF(ISNUMBER(O433), O433, ""))</f>
        <v/>
      </c>
      <c r="AC433" s="99" t="str">
        <f aca="false">IF(ISBLANK($C433),"",IF(ISNUMBER(P433), P433, Constants!$B$13))</f>
        <v/>
      </c>
      <c r="AD433" s="96" t="str">
        <f aca="false">IF(ISBLANK($C433),"",IF(Q433=Constants!$B$2, TRUE(), IF(Q433=Constants!$B$3, FALSE(), FALSE())))</f>
        <v/>
      </c>
      <c r="AE433" s="96" t="str">
        <f aca="false">IF(ISBLANK(C433), "", IF(AD433, Constants!$B$4,IF(COUNTA(G433:O433)=0, Constants!$B$5, Constants!$B$7)))</f>
        <v/>
      </c>
      <c r="AF433" s="96" t="str">
        <f aca="false">IF(ISBLANK($C433), "",IF($AE433=Constants!$B$7,1,$AE433))</f>
        <v/>
      </c>
      <c r="AG433" s="96" t="str">
        <f aca="false">IF($AE433=Constants!$B$7,IF(V433, 1, Constants!$B$11) * IF(X433, 1, Constants!$B$12),"")</f>
        <v/>
      </c>
      <c r="AH433" s="96" t="str">
        <f aca="false">IF(AND($AE433=Constants!$B$7, T433, U433) ,MAX(0, $AA433-$Y433),"")</f>
        <v/>
      </c>
      <c r="AI433" s="96" t="str">
        <f aca="false">IF(ISERROR(AH433),$AI$6,"")</f>
        <v/>
      </c>
      <c r="AJ433" s="96" t="str">
        <f aca="false">IF($AE433=Constants!$B$7,IF(AND(T433,U433,W433),IF($AH$6=0,Constants!$B$9,Constants!$B$9*AH433/$AH$6), 0),"")</f>
        <v/>
      </c>
      <c r="AK433" s="96" t="str">
        <f aca="false">IF(AJ433&lt;&gt;"", AJ433*AG433,"")</f>
        <v/>
      </c>
      <c r="AL433" s="96" t="str">
        <f aca="false">IF(AND($AE433=Constants!$B$7, T433, U433) ,IF($Z433="", "", MAX(0,1-ABS($AA433-$Z433)/$AA433)),"")</f>
        <v/>
      </c>
      <c r="AM433" s="96" t="str">
        <f aca="false">IF(AND(NOT(ISERROR(AH433)),ISERROR(AL433)),$AM$6,"")</f>
        <v/>
      </c>
      <c r="AN433" s="96" t="str">
        <f aca="false">IF($AE433=Constants!$B$7 ,IF(AND(T433,U433,W433,ISNUMBER(Z433)),IF($AL$6=0,Constants!$B$10,Constants!$B$10*AL433/$AL$6), 0),"")</f>
        <v/>
      </c>
      <c r="AO433" s="96" t="str">
        <f aca="false">IF(AN433&lt;&gt;"", AN433*AG433,"")</f>
        <v/>
      </c>
      <c r="AP433" s="96" t="str">
        <f aca="false">IF($AE433=Constants!$B$7,IF($AP$6=0,Constants!$B$8,Constants!$B$8*AB433/$AP$6),"")</f>
        <v/>
      </c>
      <c r="AQ433" s="96" t="str">
        <f aca="false">IF($AE433&lt;&gt;Constants!$B$7,$AE433,AK433+AO433+AP433)</f>
        <v/>
      </c>
      <c r="AR433" s="96" t="str">
        <f aca="false">IF(ISBLANK($C433),"",IF($AE433=Constants!$B$7,RANK(AQ433,$AQ$8:$AQ$507),$AE433))</f>
        <v/>
      </c>
      <c r="AS433" s="96" t="str">
        <f aca="false">IF(ISBLANK($C433), "",AK433)</f>
        <v/>
      </c>
      <c r="AT433" s="96" t="str">
        <f aca="false">IF(ISBLANK($C433),"",IF($AE433=Constants!$B$7,RANK(AS433,AS$8:AS$507),$AE433))</f>
        <v/>
      </c>
      <c r="AU433" s="96" t="str">
        <f aca="false">IF(ISBLANK($C433), "",AP433)</f>
        <v/>
      </c>
      <c r="AV433" s="96" t="str">
        <f aca="false">IF(ISBLANK($C433),"",IF($AE433=Constants!$B$7,RANK(AU433,AU$8:AU$507),$AE433))</f>
        <v/>
      </c>
      <c r="AW433" s="96" t="str">
        <f aca="false">IF(ISBLANK($C433), "",AC433)</f>
        <v/>
      </c>
      <c r="AX433" s="96" t="str">
        <f aca="false">IF(ISBLANK($C433),"",
IF($AE433=Constants!$B$7,
  COUNTIFS($AR$8:$AR$507,"&lt;"&amp;$AR433)
  + COUNTIFS($AR$8:$AR$507,$AR433,$AT$8:$AT$507,"&lt;"&amp;$AT433)
  + COUNTIFS($AR$8:$AR$507,$AR433,$AT$8:$AT$507,$AT433,$AV$8:$AV$507,"&lt;"&amp;$AV433)
  + COUNTIFS($AR$8:$AR$507,$AR433,$AT$8:$AT$507,$AT433,$AV$8:$AV$507,$AV433,$AW$8:$AW$507,"&lt;"&amp;$AW433)
  + 1,
$AE433))</f>
        <v/>
      </c>
      <c r="AY433" s="96" t="str">
        <f aca="false">IF(ISBLANK(C433),"",IF($AE433=Constants!$B$7, AR433-AX433,$AE433))</f>
        <v/>
      </c>
      <c r="AZ433" s="100"/>
      <c r="BA433" s="101" t="str">
        <f aca="false">IF(ISBLANK($C433),"",TRIM(AI433&amp;" "&amp;AM433))</f>
        <v/>
      </c>
      <c r="BB433" s="102" t="str">
        <f aca="false">IF(ISBLANK($C433),"",IF($AE433&lt;&gt;Constants!$B$7, $AE433 ,AQ433))</f>
        <v/>
      </c>
      <c r="BC433" s="103" t="str">
        <f aca="false">IF(ISBLANK($C433),"",IF($AE433&lt;&gt;Constants!$B$7, $AE433 ,AF433))</f>
        <v/>
      </c>
      <c r="BD433" s="104" t="str">
        <f aca="false">IF(ISBLANK(C433),"",AY433)</f>
        <v/>
      </c>
      <c r="BE433" s="104" t="str">
        <f aca="false">IF(ISBLANK(C433),"",AX433)</f>
        <v/>
      </c>
      <c r="BF433" s="105" t="str">
        <f aca="false">IF(ISBLANK(C433),"",IFERROR(_xlfn.SWITCH(BE433, Constants!$B$4, COUNTA($C$8:$C932)+2, Constants!$B$5, COUNTA($C$8:$C932)+1, Constants!$B$6, COUNTA($C$8:$C932)),BE433))</f>
        <v/>
      </c>
      <c r="BG433" s="5"/>
      <c r="BH433" s="106" t="n">
        <f aca="false">IF(OR(ISNUMBER(BE433),BE433="DQ",BE433="P",BE433="NS"),
    1,
    0
)</f>
        <v>0</v>
      </c>
      <c r="BI433" s="106" t="n">
        <v>426</v>
      </c>
      <c r="BJ433" s="106" t="str">
        <f aca="false">IF(ISBLANK($C433),
    "",
   BF433+ROW($B433)/1000
)</f>
        <v/>
      </c>
      <c r="BK433" s="106" t="str">
        <f aca="false">IF(ISNUMBER(BJ433), RANK(BJ433,BJ$8:BJ$507,1), "")</f>
        <v/>
      </c>
      <c r="BL433" s="106" t="str">
        <f aca="false">IF(ISBLANK($C433),
    "",
    $B433
)</f>
        <v/>
      </c>
      <c r="BM433" s="106" t="str">
        <f aca="false">IF(ISBLANK($C433),
    "",
    $C433
)</f>
        <v/>
      </c>
      <c r="BN433" s="106" t="str">
        <f aca="false">IF(ISBLANK($C433),
    "",
    $D433
)</f>
        <v/>
      </c>
      <c r="BO433" s="107" t="str">
        <f aca="false">BC433</f>
        <v/>
      </c>
      <c r="BP433" s="108" t="str">
        <f aca="false">BB433</f>
        <v/>
      </c>
      <c r="BQ433" s="106" t="str">
        <f aca="false">IF(ISBLANK($C433),
    "",
    BE433
)</f>
        <v/>
      </c>
      <c r="BR433" s="109" t="str">
        <f aca="false">IF(BI433&gt;BH$7,
    "",
    VLOOKUP(BI433,BK$8:BQ932,7,FALSE())
)</f>
        <v/>
      </c>
      <c r="BS433" s="110" t="str">
        <f aca="false">IF(BI433&gt;BH$7,
    "",
    VLOOKUP(BI433,BK$8:BQ932,2,FALSE())
)</f>
        <v/>
      </c>
      <c r="BT433" s="110" t="str">
        <f aca="false">IF(BI433&gt;BH$7,
    "",
    VLOOKUP(BI433,BK$8:BQ932,3,FALSE())
)</f>
        <v/>
      </c>
      <c r="BU433" s="110" t="str">
        <f aca="false">IF(BI433&gt;BH$7,
    "",
    VLOOKUP(BI433,BK$8:BQ932,4,FALSE())
)</f>
        <v/>
      </c>
      <c r="BV433" s="110" t="str">
        <f aca="false">IF(BI433&gt;BH$7,
    "",
    VLOOKUP(BI433,BK$8:BQ932,5,FALSE())
)</f>
        <v/>
      </c>
      <c r="BW433" s="111" t="str">
        <f aca="false">IF(BI433&gt;BH$7,
    "",
    VLOOKUP(BI433,BK$8:BQ932,6,FALSE())
)</f>
        <v/>
      </c>
      <c r="BX433" s="50"/>
    </row>
    <row r="434" customFormat="false" ht="15.75" hidden="false" customHeight="false" outlineLevel="0" collapsed="false">
      <c r="A434" s="5"/>
      <c r="B434" s="126"/>
      <c r="C434" s="52"/>
      <c r="D434" s="53"/>
      <c r="E434" s="120"/>
      <c r="F434" s="120"/>
      <c r="G434" s="55"/>
      <c r="H434" s="56"/>
      <c r="I434" s="80"/>
      <c r="J434" s="80"/>
      <c r="K434" s="80"/>
      <c r="L434" s="58"/>
      <c r="M434" s="58"/>
      <c r="N434" s="58"/>
      <c r="O434" s="59"/>
      <c r="P434" s="60"/>
      <c r="Q434" s="80"/>
      <c r="R434" s="62"/>
      <c r="S434" s="63"/>
      <c r="T434" s="63" t="str">
        <f aca="false">IF(ISBLANK($C434),"",IF(G434=Constants!$B$2, TRUE(), IF(G434=Constants!$B$3, FALSE(), TRUE())))</f>
        <v/>
      </c>
      <c r="U434" s="63" t="str">
        <f aca="false">IF(ISBLANK($C434),"",IF(H434=Constants!$B$2, TRUE(), IF(H434=Constants!$B$3, FALSE(), TRUE())))</f>
        <v/>
      </c>
      <c r="V434" s="63" t="str">
        <f aca="false">IF(ISBLANK($C434),"",IF(I434=Constants!$B$2, TRUE(), IF(I434=Constants!$B$3, FALSE(), TRUE())))</f>
        <v/>
      </c>
      <c r="W434" s="63" t="str">
        <f aca="false">IF(ISBLANK($C434),"",IF(J434=Constants!$B$2, TRUE(), IF(J434=Constants!$B$3, FALSE(), TRUE())))</f>
        <v/>
      </c>
      <c r="X434" s="63" t="str">
        <f aca="false">IF(ISBLANK($C434),"",IF(K434=Constants!$B$2, TRUE(), IF(K434=Constants!$B$3, FALSE(), TRUE())))</f>
        <v/>
      </c>
      <c r="Y434" s="65" t="str">
        <f aca="false">IF(ISBLANK($C434),"",IF(ISNUMBER(L434), L434, ""))</f>
        <v/>
      </c>
      <c r="Z434" s="65" t="str">
        <f aca="false">IF(ISBLANK($C434),"",IF(ISNUMBER(M434), M434, ""))</f>
        <v/>
      </c>
      <c r="AA434" s="65" t="str">
        <f aca="false">IF(ISBLANK($C434),"",IF(ISNUMBER(N434), N434, ""))</f>
        <v/>
      </c>
      <c r="AB434" s="66" t="str">
        <f aca="false">IF(ISBLANK($C434),"",IF(ISNUMBER(O434), O434, ""))</f>
        <v/>
      </c>
      <c r="AC434" s="66" t="str">
        <f aca="false">IF(ISBLANK($C434),"",IF(ISNUMBER(P434), P434, Constants!$B$13))</f>
        <v/>
      </c>
      <c r="AD434" s="63" t="str">
        <f aca="false">IF(ISBLANK($C434),"",IF(Q434=Constants!$B$2, TRUE(), IF(Q434=Constants!$B$3, FALSE(), FALSE())))</f>
        <v/>
      </c>
      <c r="AE434" s="63" t="str">
        <f aca="false">IF(ISBLANK(C434), "", IF(AD434, Constants!$B$4,IF(COUNTA(G434:O434)=0, Constants!$B$5, Constants!$B$7)))</f>
        <v/>
      </c>
      <c r="AF434" s="63" t="str">
        <f aca="false">IF(ISBLANK($C434), "",IF($AE434=Constants!$B$7,1,$AE434))</f>
        <v/>
      </c>
      <c r="AG434" s="63" t="str">
        <f aca="false">IF($AE434=Constants!$B$7,IF(V434, 1, Constants!$B$11) * IF(X434, 1, Constants!$B$12),"")</f>
        <v/>
      </c>
      <c r="AH434" s="63" t="str">
        <f aca="false">IF(AND($AE434=Constants!$B$7, T434, U434) ,MAX(0, $AA434-$Y434),"")</f>
        <v/>
      </c>
      <c r="AI434" s="63" t="str">
        <f aca="false">IF(ISERROR(AH434),$AI$6,"")</f>
        <v/>
      </c>
      <c r="AJ434" s="63" t="str">
        <f aca="false">IF($AE434=Constants!$B$7,IF(AND(T434,U434,W434),IF($AH$6=0,Constants!$B$9,Constants!$B$9*AH434/$AH$6), 0),"")</f>
        <v/>
      </c>
      <c r="AK434" s="63" t="str">
        <f aca="false">IF(AJ434&lt;&gt;"", AJ434*AG434,"")</f>
        <v/>
      </c>
      <c r="AL434" s="63" t="str">
        <f aca="false">IF(AND($AE434=Constants!$B$7, T434, U434) ,IF($Z434="", "", MAX(0,1-ABS($AA434-$Z434)/$AA434)),"")</f>
        <v/>
      </c>
      <c r="AM434" s="63" t="str">
        <f aca="false">IF(AND(NOT(ISERROR(AH434)),ISERROR(AL434)),$AM$6,"")</f>
        <v/>
      </c>
      <c r="AN434" s="63" t="str">
        <f aca="false">IF($AE434=Constants!$B$7 ,IF(AND(T434,U434,W434,ISNUMBER(Z434)),IF($AL$6=0,Constants!$B$10,Constants!$B$10*AL434/$AL$6), 0),"")</f>
        <v/>
      </c>
      <c r="AO434" s="63" t="str">
        <f aca="false">IF(AN434&lt;&gt;"", AN434*AG434,"")</f>
        <v/>
      </c>
      <c r="AP434" s="63" t="str">
        <f aca="false">IF($AE434=Constants!$B$7,IF($AP$6=0,Constants!$B$8,Constants!$B$8*AB434/$AP$6),"")</f>
        <v/>
      </c>
      <c r="AQ434" s="63" t="str">
        <f aca="false">IF($AE434&lt;&gt;Constants!$B$7,$AE434,AK434+AO434+AP434)</f>
        <v/>
      </c>
      <c r="AR434" s="63" t="str">
        <f aca="false">IF(ISBLANK($C434),"",IF($AE434=Constants!$B$7,RANK(AQ434,$AQ$8:$AQ$507),$AE434))</f>
        <v/>
      </c>
      <c r="AS434" s="63" t="str">
        <f aca="false">IF(ISBLANK($C434), "",AK434)</f>
        <v/>
      </c>
      <c r="AT434" s="63" t="str">
        <f aca="false">IF(ISBLANK($C434),"",IF($AE434=Constants!$B$7,RANK(AS434,AS$8:AS$507),$AE434))</f>
        <v/>
      </c>
      <c r="AU434" s="63" t="str">
        <f aca="false">IF(ISBLANK($C434), "",AP434)</f>
        <v/>
      </c>
      <c r="AV434" s="63" t="str">
        <f aca="false">IF(ISBLANK($C434),"",IF($AE434=Constants!$B$7,RANK(AU434,AU$8:AU$507),$AE434))</f>
        <v/>
      </c>
      <c r="AW434" s="63" t="str">
        <f aca="false">IF(ISBLANK($C434), "",AC434)</f>
        <v/>
      </c>
      <c r="AX434" s="63" t="str">
        <f aca="false">IF(ISBLANK($C434),"",
IF($AE434=Constants!$B$7,
  COUNTIFS($AR$8:$AR$507,"&lt;"&amp;$AR434)
  + COUNTIFS($AR$8:$AR$507,$AR434,$AT$8:$AT$507,"&lt;"&amp;$AT434)
  + COUNTIFS($AR$8:$AR$507,$AR434,$AT$8:$AT$507,$AT434,$AV$8:$AV$507,"&lt;"&amp;$AV434)
  + COUNTIFS($AR$8:$AR$507,$AR434,$AT$8:$AT$507,$AT434,$AV$8:$AV$507,$AV434,$AW$8:$AW$507,"&lt;"&amp;$AW434)
  + 1,
$AE434))</f>
        <v/>
      </c>
      <c r="AY434" s="63" t="str">
        <f aca="false">IF(ISBLANK(C434),"",IF($AE434=Constants!$B$7, AR434-AX434,$AE434))</f>
        <v/>
      </c>
      <c r="AZ434" s="67"/>
      <c r="BA434" s="81" t="str">
        <f aca="false">IF(ISBLANK($C434),"",TRIM(AI434&amp;" "&amp;AM434))</f>
        <v/>
      </c>
      <c r="BB434" s="69" t="str">
        <f aca="false">IF(ISBLANK($C434),"",IF($AE434&lt;&gt;Constants!$B$7, $AE434 ,AQ434))</f>
        <v/>
      </c>
      <c r="BC434" s="70" t="str">
        <f aca="false">IF(ISBLANK($C434),"",IF($AE434&lt;&gt;Constants!$B$7, $AE434 ,AF434))</f>
        <v/>
      </c>
      <c r="BD434" s="71" t="str">
        <f aca="false">IF(ISBLANK(C434),"",AY434)</f>
        <v/>
      </c>
      <c r="BE434" s="71" t="str">
        <f aca="false">IF(ISBLANK(C434),"",AX434)</f>
        <v/>
      </c>
      <c r="BF434" s="72" t="str">
        <f aca="false">IF(ISBLANK(C434),"",IFERROR(_xlfn.SWITCH(BE434, Constants!$B$4, COUNTA($C$8:$C933)+2, Constants!$B$5, COUNTA($C$8:$C933)+1, Constants!$B$6, COUNTA($C$8:$C933)),BE434))</f>
        <v/>
      </c>
      <c r="BG434" s="5"/>
      <c r="BH434" s="73" t="n">
        <f aca="false">IF(OR(ISNUMBER(BE434),BE434="DQ",BE434="P",BE434="NS"),
    1,
    0
)</f>
        <v>0</v>
      </c>
      <c r="BI434" s="73" t="n">
        <v>427</v>
      </c>
      <c r="BJ434" s="73" t="str">
        <f aca="false">IF(ISBLANK($C434),
    "",
   BF434+ROW($B434)/1000
)</f>
        <v/>
      </c>
      <c r="BK434" s="73" t="str">
        <f aca="false">IF(ISNUMBER(BJ434), RANK(BJ434,BJ$8:BJ$507,1), "")</f>
        <v/>
      </c>
      <c r="BL434" s="73" t="str">
        <f aca="false">IF(ISBLANK($C434),
    "",
    $B434
)</f>
        <v/>
      </c>
      <c r="BM434" s="73" t="str">
        <f aca="false">IF(ISBLANK($C434),
    "",
    $C434
)</f>
        <v/>
      </c>
      <c r="BN434" s="73" t="str">
        <f aca="false">IF(ISBLANK($C434),
    "",
    $D434
)</f>
        <v/>
      </c>
      <c r="BO434" s="74" t="str">
        <f aca="false">BC434</f>
        <v/>
      </c>
      <c r="BP434" s="75" t="str">
        <f aca="false">BB434</f>
        <v/>
      </c>
      <c r="BQ434" s="73" t="str">
        <f aca="false">IF(ISBLANK($C434),
    "",
    BE434
)</f>
        <v/>
      </c>
      <c r="BR434" s="76" t="str">
        <f aca="false">IF(BI434&gt;BH$7,
    "",
    VLOOKUP(BI434,BK$8:BQ933,7,FALSE())
)</f>
        <v/>
      </c>
      <c r="BS434" s="77" t="str">
        <f aca="false">IF(BI434&gt;BH$7,
    "",
    VLOOKUP(BI434,BK$8:BQ933,2,FALSE())
)</f>
        <v/>
      </c>
      <c r="BT434" s="77" t="str">
        <f aca="false">IF(BI434&gt;BH$7,
    "",
    VLOOKUP(BI434,BK$8:BQ933,3,FALSE())
)</f>
        <v/>
      </c>
      <c r="BU434" s="77" t="str">
        <f aca="false">IF(BI434&gt;BH$7,
    "",
    VLOOKUP(BI434,BK$8:BQ933,4,FALSE())
)</f>
        <v/>
      </c>
      <c r="BV434" s="77" t="str">
        <f aca="false">IF(BI434&gt;BH$7,
    "",
    VLOOKUP(BI434,BK$8:BQ933,5,FALSE())
)</f>
        <v/>
      </c>
      <c r="BW434" s="78" t="str">
        <f aca="false">IF(BI434&gt;BH$7,
    "",
    VLOOKUP(BI434,BK$8:BQ933,6,FALSE())
)</f>
        <v/>
      </c>
      <c r="BX434" s="50"/>
    </row>
    <row r="435" customFormat="false" ht="15.75" hidden="false" customHeight="false" outlineLevel="0" collapsed="false">
      <c r="A435" s="5"/>
      <c r="B435" s="126"/>
      <c r="C435" s="52"/>
      <c r="D435" s="53"/>
      <c r="E435" s="120"/>
      <c r="F435" s="120"/>
      <c r="G435" s="55"/>
      <c r="H435" s="56"/>
      <c r="I435" s="80"/>
      <c r="J435" s="80"/>
      <c r="K435" s="80"/>
      <c r="L435" s="58"/>
      <c r="M435" s="58"/>
      <c r="N435" s="58"/>
      <c r="O435" s="59"/>
      <c r="P435" s="60"/>
      <c r="Q435" s="80"/>
      <c r="R435" s="62"/>
      <c r="S435" s="63"/>
      <c r="T435" s="63" t="str">
        <f aca="false">IF(ISBLANK($C435),"",IF(G435=Constants!$B$2, TRUE(), IF(G435=Constants!$B$3, FALSE(), TRUE())))</f>
        <v/>
      </c>
      <c r="U435" s="63" t="str">
        <f aca="false">IF(ISBLANK($C435),"",IF(H435=Constants!$B$2, TRUE(), IF(H435=Constants!$B$3, FALSE(), TRUE())))</f>
        <v/>
      </c>
      <c r="V435" s="63" t="str">
        <f aca="false">IF(ISBLANK($C435),"",IF(I435=Constants!$B$2, TRUE(), IF(I435=Constants!$B$3, FALSE(), TRUE())))</f>
        <v/>
      </c>
      <c r="W435" s="63" t="str">
        <f aca="false">IF(ISBLANK($C435),"",IF(J435=Constants!$B$2, TRUE(), IF(J435=Constants!$B$3, FALSE(), TRUE())))</f>
        <v/>
      </c>
      <c r="X435" s="63" t="str">
        <f aca="false">IF(ISBLANK($C435),"",IF(K435=Constants!$B$2, TRUE(), IF(K435=Constants!$B$3, FALSE(), TRUE())))</f>
        <v/>
      </c>
      <c r="Y435" s="65" t="str">
        <f aca="false">IF(ISBLANK($C435),"",IF(ISNUMBER(L435), L435, ""))</f>
        <v/>
      </c>
      <c r="Z435" s="65" t="str">
        <f aca="false">IF(ISBLANK($C435),"",IF(ISNUMBER(M435), M435, ""))</f>
        <v/>
      </c>
      <c r="AA435" s="65" t="str">
        <f aca="false">IF(ISBLANK($C435),"",IF(ISNUMBER(N435), N435, ""))</f>
        <v/>
      </c>
      <c r="AB435" s="66" t="str">
        <f aca="false">IF(ISBLANK($C435),"",IF(ISNUMBER(O435), O435, ""))</f>
        <v/>
      </c>
      <c r="AC435" s="66" t="str">
        <f aca="false">IF(ISBLANK($C435),"",IF(ISNUMBER(P435), P435, Constants!$B$13))</f>
        <v/>
      </c>
      <c r="AD435" s="63" t="str">
        <f aca="false">IF(ISBLANK($C435),"",IF(Q435=Constants!$B$2, TRUE(), IF(Q435=Constants!$B$3, FALSE(), FALSE())))</f>
        <v/>
      </c>
      <c r="AE435" s="63" t="str">
        <f aca="false">IF(ISBLANK(C435), "", IF(AD435, Constants!$B$4,IF(COUNTA(G435:O435)=0, Constants!$B$5, Constants!$B$7)))</f>
        <v/>
      </c>
      <c r="AF435" s="63" t="str">
        <f aca="false">IF(ISBLANK($C435), "",IF($AE435=Constants!$B$7,1,$AE435))</f>
        <v/>
      </c>
      <c r="AG435" s="63" t="str">
        <f aca="false">IF($AE435=Constants!$B$7,IF(V435, 1, Constants!$B$11) * IF(X435, 1, Constants!$B$12),"")</f>
        <v/>
      </c>
      <c r="AH435" s="63" t="str">
        <f aca="false">IF(AND($AE435=Constants!$B$7, T435, U435) ,MAX(0, $AA435-$Y435),"")</f>
        <v/>
      </c>
      <c r="AI435" s="63" t="str">
        <f aca="false">IF(ISERROR(AH435),$AI$6,"")</f>
        <v/>
      </c>
      <c r="AJ435" s="63" t="str">
        <f aca="false">IF($AE435=Constants!$B$7,IF(AND(T435,U435,W435),IF($AH$6=0,Constants!$B$9,Constants!$B$9*AH435/$AH$6), 0),"")</f>
        <v/>
      </c>
      <c r="AK435" s="63" t="str">
        <f aca="false">IF(AJ435&lt;&gt;"", AJ435*AG435,"")</f>
        <v/>
      </c>
      <c r="AL435" s="63" t="str">
        <f aca="false">IF(AND($AE435=Constants!$B$7, T435, U435) ,IF($Z435="", "", MAX(0,1-ABS($AA435-$Z435)/$AA435)),"")</f>
        <v/>
      </c>
      <c r="AM435" s="63" t="str">
        <f aca="false">IF(AND(NOT(ISERROR(AH435)),ISERROR(AL435)),$AM$6,"")</f>
        <v/>
      </c>
      <c r="AN435" s="63" t="str">
        <f aca="false">IF($AE435=Constants!$B$7 ,IF(AND(T435,U435,W435,ISNUMBER(Z435)),IF($AL$6=0,Constants!$B$10,Constants!$B$10*AL435/$AL$6), 0),"")</f>
        <v/>
      </c>
      <c r="AO435" s="63" t="str">
        <f aca="false">IF(AN435&lt;&gt;"", AN435*AG435,"")</f>
        <v/>
      </c>
      <c r="AP435" s="63" t="str">
        <f aca="false">IF($AE435=Constants!$B$7,IF($AP$6=0,Constants!$B$8,Constants!$B$8*AB435/$AP$6),"")</f>
        <v/>
      </c>
      <c r="AQ435" s="63" t="str">
        <f aca="false">IF($AE435&lt;&gt;Constants!$B$7,$AE435,AK435+AO435+AP435)</f>
        <v/>
      </c>
      <c r="AR435" s="63" t="str">
        <f aca="false">IF(ISBLANK($C435),"",IF($AE435=Constants!$B$7,RANK(AQ435,$AQ$8:$AQ$507),$AE435))</f>
        <v/>
      </c>
      <c r="AS435" s="63" t="str">
        <f aca="false">IF(ISBLANK($C435), "",AK435)</f>
        <v/>
      </c>
      <c r="AT435" s="63" t="str">
        <f aca="false">IF(ISBLANK($C435),"",IF($AE435=Constants!$B$7,RANK(AS435,AS$8:AS$507),$AE435))</f>
        <v/>
      </c>
      <c r="AU435" s="63" t="str">
        <f aca="false">IF(ISBLANK($C435), "",AP435)</f>
        <v/>
      </c>
      <c r="AV435" s="63" t="str">
        <f aca="false">IF(ISBLANK($C435),"",IF($AE435=Constants!$B$7,RANK(AU435,AU$8:AU$507),$AE435))</f>
        <v/>
      </c>
      <c r="AW435" s="63" t="str">
        <f aca="false">IF(ISBLANK($C435), "",AC435)</f>
        <v/>
      </c>
      <c r="AX435" s="63" t="str">
        <f aca="false">IF(ISBLANK($C435),"",
IF($AE435=Constants!$B$7,
  COUNTIFS($AR$8:$AR$507,"&lt;"&amp;$AR435)
  + COUNTIFS($AR$8:$AR$507,$AR435,$AT$8:$AT$507,"&lt;"&amp;$AT435)
  + COUNTIFS($AR$8:$AR$507,$AR435,$AT$8:$AT$507,$AT435,$AV$8:$AV$507,"&lt;"&amp;$AV435)
  + COUNTIFS($AR$8:$AR$507,$AR435,$AT$8:$AT$507,$AT435,$AV$8:$AV$507,$AV435,$AW$8:$AW$507,"&lt;"&amp;$AW435)
  + 1,
$AE435))</f>
        <v/>
      </c>
      <c r="AY435" s="63" t="str">
        <f aca="false">IF(ISBLANK(C435),"",IF($AE435=Constants!$B$7, AR435-AX435,$AE435))</f>
        <v/>
      </c>
      <c r="AZ435" s="67"/>
      <c r="BA435" s="81" t="str">
        <f aca="false">IF(ISBLANK($C435),"",TRIM(AI435&amp;" "&amp;AM435))</f>
        <v/>
      </c>
      <c r="BB435" s="69" t="str">
        <f aca="false">IF(ISBLANK($C435),"",IF($AE435&lt;&gt;Constants!$B$7, $AE435 ,AQ435))</f>
        <v/>
      </c>
      <c r="BC435" s="70" t="str">
        <f aca="false">IF(ISBLANK($C435),"",IF($AE435&lt;&gt;Constants!$B$7, $AE435 ,AF435))</f>
        <v/>
      </c>
      <c r="BD435" s="71" t="str">
        <f aca="false">IF(ISBLANK(C435),"",AY435)</f>
        <v/>
      </c>
      <c r="BE435" s="71" t="str">
        <f aca="false">IF(ISBLANK(C435),"",AX435)</f>
        <v/>
      </c>
      <c r="BF435" s="72" t="str">
        <f aca="false">IF(ISBLANK(C435),"",IFERROR(_xlfn.SWITCH(BE435, Constants!$B$4, COUNTA($C$8:$C934)+2, Constants!$B$5, COUNTA($C$8:$C934)+1, Constants!$B$6, COUNTA($C$8:$C934)),BE435))</f>
        <v/>
      </c>
      <c r="BG435" s="5"/>
      <c r="BH435" s="73" t="n">
        <f aca="false">IF(OR(ISNUMBER(BE435),BE435="DQ",BE435="P",BE435="NS"),
    1,
    0
)</f>
        <v>0</v>
      </c>
      <c r="BI435" s="73" t="n">
        <v>428</v>
      </c>
      <c r="BJ435" s="73" t="str">
        <f aca="false">IF(ISBLANK($C435),
    "",
   BF435+ROW($B435)/1000
)</f>
        <v/>
      </c>
      <c r="BK435" s="73" t="str">
        <f aca="false">IF(ISNUMBER(BJ435), RANK(BJ435,BJ$8:BJ$507,1), "")</f>
        <v/>
      </c>
      <c r="BL435" s="73" t="str">
        <f aca="false">IF(ISBLANK($C435),
    "",
    $B435
)</f>
        <v/>
      </c>
      <c r="BM435" s="73" t="str">
        <f aca="false">IF(ISBLANK($C435),
    "",
    $C435
)</f>
        <v/>
      </c>
      <c r="BN435" s="73" t="str">
        <f aca="false">IF(ISBLANK($C435),
    "",
    $D435
)</f>
        <v/>
      </c>
      <c r="BO435" s="74" t="str">
        <f aca="false">BC435</f>
        <v/>
      </c>
      <c r="BP435" s="75" t="str">
        <f aca="false">BB435</f>
        <v/>
      </c>
      <c r="BQ435" s="73" t="str">
        <f aca="false">IF(ISBLANK($C435),
    "",
    BE435
)</f>
        <v/>
      </c>
      <c r="BR435" s="76" t="str">
        <f aca="false">IF(BI435&gt;BH$7,
    "",
    VLOOKUP(BI435,BK$8:BQ934,7,FALSE())
)</f>
        <v/>
      </c>
      <c r="BS435" s="77" t="str">
        <f aca="false">IF(BI435&gt;BH$7,
    "",
    VLOOKUP(BI435,BK$8:BQ934,2,FALSE())
)</f>
        <v/>
      </c>
      <c r="BT435" s="77" t="str">
        <f aca="false">IF(BI435&gt;BH$7,
    "",
    VLOOKUP(BI435,BK$8:BQ934,3,FALSE())
)</f>
        <v/>
      </c>
      <c r="BU435" s="77" t="str">
        <f aca="false">IF(BI435&gt;BH$7,
    "",
    VLOOKUP(BI435,BK$8:BQ934,4,FALSE())
)</f>
        <v/>
      </c>
      <c r="BV435" s="77" t="str">
        <f aca="false">IF(BI435&gt;BH$7,
    "",
    VLOOKUP(BI435,BK$8:BQ934,5,FALSE())
)</f>
        <v/>
      </c>
      <c r="BW435" s="78" t="str">
        <f aca="false">IF(BI435&gt;BH$7,
    "",
    VLOOKUP(BI435,BK$8:BQ934,6,FALSE())
)</f>
        <v/>
      </c>
      <c r="BX435" s="50"/>
    </row>
    <row r="436" customFormat="false" ht="15.75" hidden="false" customHeight="false" outlineLevel="0" collapsed="false">
      <c r="A436" s="5"/>
      <c r="B436" s="126"/>
      <c r="C436" s="52"/>
      <c r="D436" s="53"/>
      <c r="E436" s="120"/>
      <c r="F436" s="120"/>
      <c r="G436" s="55"/>
      <c r="H436" s="56"/>
      <c r="I436" s="80"/>
      <c r="J436" s="80"/>
      <c r="K436" s="80"/>
      <c r="L436" s="58"/>
      <c r="M436" s="58"/>
      <c r="N436" s="58"/>
      <c r="O436" s="59"/>
      <c r="P436" s="60"/>
      <c r="Q436" s="80"/>
      <c r="R436" s="62"/>
      <c r="S436" s="63"/>
      <c r="T436" s="63" t="str">
        <f aca="false">IF(ISBLANK($C436),"",IF(G436=Constants!$B$2, TRUE(), IF(G436=Constants!$B$3, FALSE(), TRUE())))</f>
        <v/>
      </c>
      <c r="U436" s="63" t="str">
        <f aca="false">IF(ISBLANK($C436),"",IF(H436=Constants!$B$2, TRUE(), IF(H436=Constants!$B$3, FALSE(), TRUE())))</f>
        <v/>
      </c>
      <c r="V436" s="63" t="str">
        <f aca="false">IF(ISBLANK($C436),"",IF(I436=Constants!$B$2, TRUE(), IF(I436=Constants!$B$3, FALSE(), TRUE())))</f>
        <v/>
      </c>
      <c r="W436" s="63" t="str">
        <f aca="false">IF(ISBLANK($C436),"",IF(J436=Constants!$B$2, TRUE(), IF(J436=Constants!$B$3, FALSE(), TRUE())))</f>
        <v/>
      </c>
      <c r="X436" s="63" t="str">
        <f aca="false">IF(ISBLANK($C436),"",IF(K436=Constants!$B$2, TRUE(), IF(K436=Constants!$B$3, FALSE(), TRUE())))</f>
        <v/>
      </c>
      <c r="Y436" s="65" t="str">
        <f aca="false">IF(ISBLANK($C436),"",IF(ISNUMBER(L436), L436, ""))</f>
        <v/>
      </c>
      <c r="Z436" s="65" t="str">
        <f aca="false">IF(ISBLANK($C436),"",IF(ISNUMBER(M436), M436, ""))</f>
        <v/>
      </c>
      <c r="AA436" s="65" t="str">
        <f aca="false">IF(ISBLANK($C436),"",IF(ISNUMBER(N436), N436, ""))</f>
        <v/>
      </c>
      <c r="AB436" s="66" t="str">
        <f aca="false">IF(ISBLANK($C436),"",IF(ISNUMBER(O436), O436, ""))</f>
        <v/>
      </c>
      <c r="AC436" s="66" t="str">
        <f aca="false">IF(ISBLANK($C436),"",IF(ISNUMBER(P436), P436, Constants!$B$13))</f>
        <v/>
      </c>
      <c r="AD436" s="63" t="str">
        <f aca="false">IF(ISBLANK($C436),"",IF(Q436=Constants!$B$2, TRUE(), IF(Q436=Constants!$B$3, FALSE(), FALSE())))</f>
        <v/>
      </c>
      <c r="AE436" s="63" t="str">
        <f aca="false">IF(ISBLANK(C436), "", IF(AD436, Constants!$B$4,IF(COUNTA(G436:O436)=0, Constants!$B$5, Constants!$B$7)))</f>
        <v/>
      </c>
      <c r="AF436" s="63" t="str">
        <f aca="false">IF(ISBLANK($C436), "",IF($AE436=Constants!$B$7,1,$AE436))</f>
        <v/>
      </c>
      <c r="AG436" s="63" t="str">
        <f aca="false">IF($AE436=Constants!$B$7,IF(V436, 1, Constants!$B$11) * IF(X436, 1, Constants!$B$12),"")</f>
        <v/>
      </c>
      <c r="AH436" s="63" t="str">
        <f aca="false">IF(AND($AE436=Constants!$B$7, T436, U436) ,MAX(0, $AA436-$Y436),"")</f>
        <v/>
      </c>
      <c r="AI436" s="63" t="str">
        <f aca="false">IF(ISERROR(AH436),$AI$6,"")</f>
        <v/>
      </c>
      <c r="AJ436" s="63" t="str">
        <f aca="false">IF($AE436=Constants!$B$7,IF(AND(T436,U436,W436),IF($AH$6=0,Constants!$B$9,Constants!$B$9*AH436/$AH$6), 0),"")</f>
        <v/>
      </c>
      <c r="AK436" s="63" t="str">
        <f aca="false">IF(AJ436&lt;&gt;"", AJ436*AG436,"")</f>
        <v/>
      </c>
      <c r="AL436" s="63" t="str">
        <f aca="false">IF(AND($AE436=Constants!$B$7, T436, U436) ,IF($Z436="", "", MAX(0,1-ABS($AA436-$Z436)/$AA436)),"")</f>
        <v/>
      </c>
      <c r="AM436" s="63" t="str">
        <f aca="false">IF(AND(NOT(ISERROR(AH436)),ISERROR(AL436)),$AM$6,"")</f>
        <v/>
      </c>
      <c r="AN436" s="63" t="str">
        <f aca="false">IF($AE436=Constants!$B$7 ,IF(AND(T436,U436,W436,ISNUMBER(Z436)),IF($AL$6=0,Constants!$B$10,Constants!$B$10*AL436/$AL$6), 0),"")</f>
        <v/>
      </c>
      <c r="AO436" s="63" t="str">
        <f aca="false">IF(AN436&lt;&gt;"", AN436*AG436,"")</f>
        <v/>
      </c>
      <c r="AP436" s="63" t="str">
        <f aca="false">IF($AE436=Constants!$B$7,IF($AP$6=0,Constants!$B$8,Constants!$B$8*AB436/$AP$6),"")</f>
        <v/>
      </c>
      <c r="AQ436" s="63" t="str">
        <f aca="false">IF($AE436&lt;&gt;Constants!$B$7,$AE436,AK436+AO436+AP436)</f>
        <v/>
      </c>
      <c r="AR436" s="63" t="str">
        <f aca="false">IF(ISBLANK($C436),"",IF($AE436=Constants!$B$7,RANK(AQ436,$AQ$8:$AQ$507),$AE436))</f>
        <v/>
      </c>
      <c r="AS436" s="63" t="str">
        <f aca="false">IF(ISBLANK($C436), "",AK436)</f>
        <v/>
      </c>
      <c r="AT436" s="63" t="str">
        <f aca="false">IF(ISBLANK($C436),"",IF($AE436=Constants!$B$7,RANK(AS436,AS$8:AS$507),$AE436))</f>
        <v/>
      </c>
      <c r="AU436" s="63" t="str">
        <f aca="false">IF(ISBLANK($C436), "",AP436)</f>
        <v/>
      </c>
      <c r="AV436" s="63" t="str">
        <f aca="false">IF(ISBLANK($C436),"",IF($AE436=Constants!$B$7,RANK(AU436,AU$8:AU$507),$AE436))</f>
        <v/>
      </c>
      <c r="AW436" s="63" t="str">
        <f aca="false">IF(ISBLANK($C436), "",AC436)</f>
        <v/>
      </c>
      <c r="AX436" s="63" t="str">
        <f aca="false">IF(ISBLANK($C436),"",
IF($AE436=Constants!$B$7,
  COUNTIFS($AR$8:$AR$507,"&lt;"&amp;$AR436)
  + COUNTIFS($AR$8:$AR$507,$AR436,$AT$8:$AT$507,"&lt;"&amp;$AT436)
  + COUNTIFS($AR$8:$AR$507,$AR436,$AT$8:$AT$507,$AT436,$AV$8:$AV$507,"&lt;"&amp;$AV436)
  + COUNTIFS($AR$8:$AR$507,$AR436,$AT$8:$AT$507,$AT436,$AV$8:$AV$507,$AV436,$AW$8:$AW$507,"&lt;"&amp;$AW436)
  + 1,
$AE436))</f>
        <v/>
      </c>
      <c r="AY436" s="63" t="str">
        <f aca="false">IF(ISBLANK(C436),"",IF($AE436=Constants!$B$7, AR436-AX436,$AE436))</f>
        <v/>
      </c>
      <c r="AZ436" s="67"/>
      <c r="BA436" s="81" t="str">
        <f aca="false">IF(ISBLANK($C436),"",TRIM(AI436&amp;" "&amp;AM436))</f>
        <v/>
      </c>
      <c r="BB436" s="69" t="str">
        <f aca="false">IF(ISBLANK($C436),"",IF($AE436&lt;&gt;Constants!$B$7, $AE436 ,AQ436))</f>
        <v/>
      </c>
      <c r="BC436" s="70" t="str">
        <f aca="false">IF(ISBLANK($C436),"",IF($AE436&lt;&gt;Constants!$B$7, $AE436 ,AF436))</f>
        <v/>
      </c>
      <c r="BD436" s="71" t="str">
        <f aca="false">IF(ISBLANK(C436),"",AY436)</f>
        <v/>
      </c>
      <c r="BE436" s="71" t="str">
        <f aca="false">IF(ISBLANK(C436),"",AX436)</f>
        <v/>
      </c>
      <c r="BF436" s="72" t="str">
        <f aca="false">IF(ISBLANK(C436),"",IFERROR(_xlfn.SWITCH(BE436, Constants!$B$4, COUNTA($C$8:$C935)+2, Constants!$B$5, COUNTA($C$8:$C935)+1, Constants!$B$6, COUNTA($C$8:$C935)),BE436))</f>
        <v/>
      </c>
      <c r="BG436" s="5"/>
      <c r="BH436" s="73" t="n">
        <f aca="false">IF(OR(ISNUMBER(BE436),BE436="DQ",BE436="P",BE436="NS"),
    1,
    0
)</f>
        <v>0</v>
      </c>
      <c r="BI436" s="73" t="n">
        <v>429</v>
      </c>
      <c r="BJ436" s="73" t="str">
        <f aca="false">IF(ISBLANK($C436),
    "",
   BF436+ROW($B436)/1000
)</f>
        <v/>
      </c>
      <c r="BK436" s="73" t="str">
        <f aca="false">IF(ISNUMBER(BJ436), RANK(BJ436,BJ$8:BJ$507,1), "")</f>
        <v/>
      </c>
      <c r="BL436" s="73" t="str">
        <f aca="false">IF(ISBLANK($C436),
    "",
    $B436
)</f>
        <v/>
      </c>
      <c r="BM436" s="73" t="str">
        <f aca="false">IF(ISBLANK($C436),
    "",
    $C436
)</f>
        <v/>
      </c>
      <c r="BN436" s="73" t="str">
        <f aca="false">IF(ISBLANK($C436),
    "",
    $D436
)</f>
        <v/>
      </c>
      <c r="BO436" s="74" t="str">
        <f aca="false">BC436</f>
        <v/>
      </c>
      <c r="BP436" s="75" t="str">
        <f aca="false">BB436</f>
        <v/>
      </c>
      <c r="BQ436" s="73" t="str">
        <f aca="false">IF(ISBLANK($C436),
    "",
    BE436
)</f>
        <v/>
      </c>
      <c r="BR436" s="76" t="str">
        <f aca="false">IF(BI436&gt;BH$7,
    "",
    VLOOKUP(BI436,BK$8:BQ935,7,FALSE())
)</f>
        <v/>
      </c>
      <c r="BS436" s="77" t="str">
        <f aca="false">IF(BI436&gt;BH$7,
    "",
    VLOOKUP(BI436,BK$8:BQ935,2,FALSE())
)</f>
        <v/>
      </c>
      <c r="BT436" s="77" t="str">
        <f aca="false">IF(BI436&gt;BH$7,
    "",
    VLOOKUP(BI436,BK$8:BQ935,3,FALSE())
)</f>
        <v/>
      </c>
      <c r="BU436" s="77" t="str">
        <f aca="false">IF(BI436&gt;BH$7,
    "",
    VLOOKUP(BI436,BK$8:BQ935,4,FALSE())
)</f>
        <v/>
      </c>
      <c r="BV436" s="77" t="str">
        <f aca="false">IF(BI436&gt;BH$7,
    "",
    VLOOKUP(BI436,BK$8:BQ935,5,FALSE())
)</f>
        <v/>
      </c>
      <c r="BW436" s="78" t="str">
        <f aca="false">IF(BI436&gt;BH$7,
    "",
    VLOOKUP(BI436,BK$8:BQ935,6,FALSE())
)</f>
        <v/>
      </c>
      <c r="BX436" s="50"/>
    </row>
    <row r="437" customFormat="false" ht="15.75" hidden="false" customHeight="false" outlineLevel="0" collapsed="false">
      <c r="A437" s="5"/>
      <c r="B437" s="122"/>
      <c r="C437" s="123"/>
      <c r="D437" s="112"/>
      <c r="E437" s="116"/>
      <c r="F437" s="116"/>
      <c r="G437" s="88"/>
      <c r="H437" s="89"/>
      <c r="I437" s="125"/>
      <c r="J437" s="125"/>
      <c r="K437" s="125"/>
      <c r="L437" s="91"/>
      <c r="M437" s="91"/>
      <c r="N437" s="91"/>
      <c r="O437" s="92"/>
      <c r="P437" s="93"/>
      <c r="Q437" s="125"/>
      <c r="R437" s="95"/>
      <c r="S437" s="96"/>
      <c r="T437" s="96" t="str">
        <f aca="false">IF(ISBLANK($C437),"",IF(G437=Constants!$B$2, TRUE(), IF(G437=Constants!$B$3, FALSE(), TRUE())))</f>
        <v/>
      </c>
      <c r="U437" s="96" t="str">
        <f aca="false">IF(ISBLANK($C437),"",IF(H437=Constants!$B$2, TRUE(), IF(H437=Constants!$B$3, FALSE(), TRUE())))</f>
        <v/>
      </c>
      <c r="V437" s="96" t="str">
        <f aca="false">IF(ISBLANK($C437),"",IF(I437=Constants!$B$2, TRUE(), IF(I437=Constants!$B$3, FALSE(), TRUE())))</f>
        <v/>
      </c>
      <c r="W437" s="96" t="str">
        <f aca="false">IF(ISBLANK($C437),"",IF(J437=Constants!$B$2, TRUE(), IF(J437=Constants!$B$3, FALSE(), TRUE())))</f>
        <v/>
      </c>
      <c r="X437" s="97" t="str">
        <f aca="false">IF(ISBLANK($C437),"",IF(K437=Constants!$B$2, TRUE(), IF(K437=Constants!$B$3, FALSE(), TRUE())))</f>
        <v/>
      </c>
      <c r="Y437" s="98" t="str">
        <f aca="false">IF(ISBLANK($C437),"",IF(ISNUMBER(L437), L437, ""))</f>
        <v/>
      </c>
      <c r="Z437" s="98" t="str">
        <f aca="false">IF(ISBLANK($C437),"",IF(ISNUMBER(M437), M437, ""))</f>
        <v/>
      </c>
      <c r="AA437" s="98" t="str">
        <f aca="false">IF(ISBLANK($C437),"",IF(ISNUMBER(N437), N437, ""))</f>
        <v/>
      </c>
      <c r="AB437" s="99" t="str">
        <f aca="false">IF(ISBLANK($C437),"",IF(ISNUMBER(O437), O437, ""))</f>
        <v/>
      </c>
      <c r="AC437" s="99" t="str">
        <f aca="false">IF(ISBLANK($C437),"",IF(ISNUMBER(P437), P437, Constants!$B$13))</f>
        <v/>
      </c>
      <c r="AD437" s="96" t="str">
        <f aca="false">IF(ISBLANK($C437),"",IF(Q437=Constants!$B$2, TRUE(), IF(Q437=Constants!$B$3, FALSE(), FALSE())))</f>
        <v/>
      </c>
      <c r="AE437" s="96" t="str">
        <f aca="false">IF(ISBLANK(C437), "", IF(AD437, Constants!$B$4,IF(COUNTA(G437:O437)=0, Constants!$B$5, Constants!$B$7)))</f>
        <v/>
      </c>
      <c r="AF437" s="96" t="str">
        <f aca="false">IF(ISBLANK($C437), "",IF($AE437=Constants!$B$7,1,$AE437))</f>
        <v/>
      </c>
      <c r="AG437" s="96" t="str">
        <f aca="false">IF($AE437=Constants!$B$7,IF(V437, 1, Constants!$B$11) * IF(X437, 1, Constants!$B$12),"")</f>
        <v/>
      </c>
      <c r="AH437" s="96" t="str">
        <f aca="false">IF(AND($AE437=Constants!$B$7, T437, U437) ,MAX(0, $AA437-$Y437),"")</f>
        <v/>
      </c>
      <c r="AI437" s="96" t="str">
        <f aca="false">IF(ISERROR(AH437),$AI$6,"")</f>
        <v/>
      </c>
      <c r="AJ437" s="96" t="str">
        <f aca="false">IF($AE437=Constants!$B$7,IF(AND(T437,U437,W437),IF($AH$6=0,Constants!$B$9,Constants!$B$9*AH437/$AH$6), 0),"")</f>
        <v/>
      </c>
      <c r="AK437" s="96" t="str">
        <f aca="false">IF(AJ437&lt;&gt;"", AJ437*AG437,"")</f>
        <v/>
      </c>
      <c r="AL437" s="96" t="str">
        <f aca="false">IF(AND($AE437=Constants!$B$7, T437, U437) ,IF($Z437="", "", MAX(0,1-ABS($AA437-$Z437)/$AA437)),"")</f>
        <v/>
      </c>
      <c r="AM437" s="96" t="str">
        <f aca="false">IF(AND(NOT(ISERROR(AH437)),ISERROR(AL437)),$AM$6,"")</f>
        <v/>
      </c>
      <c r="AN437" s="96" t="str">
        <f aca="false">IF($AE437=Constants!$B$7 ,IF(AND(T437,U437,W437,ISNUMBER(Z437)),IF($AL$6=0,Constants!$B$10,Constants!$B$10*AL437/$AL$6), 0),"")</f>
        <v/>
      </c>
      <c r="AO437" s="96" t="str">
        <f aca="false">IF(AN437&lt;&gt;"", AN437*AG437,"")</f>
        <v/>
      </c>
      <c r="AP437" s="96" t="str">
        <f aca="false">IF($AE437=Constants!$B$7,IF($AP$6=0,Constants!$B$8,Constants!$B$8*AB437/$AP$6),"")</f>
        <v/>
      </c>
      <c r="AQ437" s="96" t="str">
        <f aca="false">IF($AE437&lt;&gt;Constants!$B$7,$AE437,AK437+AO437+AP437)</f>
        <v/>
      </c>
      <c r="AR437" s="96" t="str">
        <f aca="false">IF(ISBLANK($C437),"",IF($AE437=Constants!$B$7,RANK(AQ437,$AQ$8:$AQ$507),$AE437))</f>
        <v/>
      </c>
      <c r="AS437" s="96" t="str">
        <f aca="false">IF(ISBLANK($C437), "",AK437)</f>
        <v/>
      </c>
      <c r="AT437" s="96" t="str">
        <f aca="false">IF(ISBLANK($C437),"",IF($AE437=Constants!$B$7,RANK(AS437,AS$8:AS$507),$AE437))</f>
        <v/>
      </c>
      <c r="AU437" s="96" t="str">
        <f aca="false">IF(ISBLANK($C437), "",AP437)</f>
        <v/>
      </c>
      <c r="AV437" s="96" t="str">
        <f aca="false">IF(ISBLANK($C437),"",IF($AE437=Constants!$B$7,RANK(AU437,AU$8:AU$507),$AE437))</f>
        <v/>
      </c>
      <c r="AW437" s="96" t="str">
        <f aca="false">IF(ISBLANK($C437), "",AC437)</f>
        <v/>
      </c>
      <c r="AX437" s="96" t="str">
        <f aca="false">IF(ISBLANK($C437),"",
IF($AE437=Constants!$B$7,
  COUNTIFS($AR$8:$AR$507,"&lt;"&amp;$AR437)
  + COUNTIFS($AR$8:$AR$507,$AR437,$AT$8:$AT$507,"&lt;"&amp;$AT437)
  + COUNTIFS($AR$8:$AR$507,$AR437,$AT$8:$AT$507,$AT437,$AV$8:$AV$507,"&lt;"&amp;$AV437)
  + COUNTIFS($AR$8:$AR$507,$AR437,$AT$8:$AT$507,$AT437,$AV$8:$AV$507,$AV437,$AW$8:$AW$507,"&lt;"&amp;$AW437)
  + 1,
$AE437))</f>
        <v/>
      </c>
      <c r="AY437" s="96" t="str">
        <f aca="false">IF(ISBLANK(C437),"",IF($AE437=Constants!$B$7, AR437-AX437,$AE437))</f>
        <v/>
      </c>
      <c r="AZ437" s="100"/>
      <c r="BA437" s="101" t="str">
        <f aca="false">IF(ISBLANK($C437),"",TRIM(AI437&amp;" "&amp;AM437))</f>
        <v/>
      </c>
      <c r="BB437" s="102" t="str">
        <f aca="false">IF(ISBLANK($C437),"",IF($AE437&lt;&gt;Constants!$B$7, $AE437 ,AQ437))</f>
        <v/>
      </c>
      <c r="BC437" s="103" t="str">
        <f aca="false">IF(ISBLANK($C437),"",IF($AE437&lt;&gt;Constants!$B$7, $AE437 ,AF437))</f>
        <v/>
      </c>
      <c r="BD437" s="104" t="str">
        <f aca="false">IF(ISBLANK(C437),"",AY437)</f>
        <v/>
      </c>
      <c r="BE437" s="104" t="str">
        <f aca="false">IF(ISBLANK(C437),"",AX437)</f>
        <v/>
      </c>
      <c r="BF437" s="105" t="str">
        <f aca="false">IF(ISBLANK(C437),"",IFERROR(_xlfn.SWITCH(BE437, Constants!$B$4, COUNTA($C$8:$C936)+2, Constants!$B$5, COUNTA($C$8:$C936)+1, Constants!$B$6, COUNTA($C$8:$C936)),BE437))</f>
        <v/>
      </c>
      <c r="BG437" s="5"/>
      <c r="BH437" s="106" t="n">
        <f aca="false">IF(OR(ISNUMBER(BE437),BE437="DQ",BE437="P",BE437="NS"),
    1,
    0
)</f>
        <v>0</v>
      </c>
      <c r="BI437" s="106" t="n">
        <v>430</v>
      </c>
      <c r="BJ437" s="106" t="str">
        <f aca="false">IF(ISBLANK($C437),
    "",
   BF437+ROW($B437)/1000
)</f>
        <v/>
      </c>
      <c r="BK437" s="106" t="str">
        <f aca="false">IF(ISNUMBER(BJ437), RANK(BJ437,BJ$8:BJ$507,1), "")</f>
        <v/>
      </c>
      <c r="BL437" s="106" t="str">
        <f aca="false">IF(ISBLANK($C437),
    "",
    $B437
)</f>
        <v/>
      </c>
      <c r="BM437" s="106" t="str">
        <f aca="false">IF(ISBLANK($C437),
    "",
    $C437
)</f>
        <v/>
      </c>
      <c r="BN437" s="106" t="str">
        <f aca="false">IF(ISBLANK($C437),
    "",
    $D437
)</f>
        <v/>
      </c>
      <c r="BO437" s="107" t="str">
        <f aca="false">BC437</f>
        <v/>
      </c>
      <c r="BP437" s="108" t="str">
        <f aca="false">BB437</f>
        <v/>
      </c>
      <c r="BQ437" s="106" t="str">
        <f aca="false">IF(ISBLANK($C437),
    "",
    BE437
)</f>
        <v/>
      </c>
      <c r="BR437" s="109" t="str">
        <f aca="false">IF(BI437&gt;BH$7,
    "",
    VLOOKUP(BI437,BK$8:BQ936,7,FALSE())
)</f>
        <v/>
      </c>
      <c r="BS437" s="110" t="str">
        <f aca="false">IF(BI437&gt;BH$7,
    "",
    VLOOKUP(BI437,BK$8:BQ936,2,FALSE())
)</f>
        <v/>
      </c>
      <c r="BT437" s="110" t="str">
        <f aca="false">IF(BI437&gt;BH$7,
    "",
    VLOOKUP(BI437,BK$8:BQ936,3,FALSE())
)</f>
        <v/>
      </c>
      <c r="BU437" s="110" t="str">
        <f aca="false">IF(BI437&gt;BH$7,
    "",
    VLOOKUP(BI437,BK$8:BQ936,4,FALSE())
)</f>
        <v/>
      </c>
      <c r="BV437" s="110" t="str">
        <f aca="false">IF(BI437&gt;BH$7,
    "",
    VLOOKUP(BI437,BK$8:BQ936,5,FALSE())
)</f>
        <v/>
      </c>
      <c r="BW437" s="111" t="str">
        <f aca="false">IF(BI437&gt;BH$7,
    "",
    VLOOKUP(BI437,BK$8:BQ936,6,FALSE())
)</f>
        <v/>
      </c>
      <c r="BX437" s="50"/>
    </row>
    <row r="438" customFormat="false" ht="15.75" hidden="false" customHeight="false" outlineLevel="0" collapsed="false">
      <c r="A438" s="5"/>
      <c r="B438" s="122"/>
      <c r="C438" s="123"/>
      <c r="D438" s="112"/>
      <c r="E438" s="116"/>
      <c r="F438" s="116"/>
      <c r="G438" s="88"/>
      <c r="H438" s="89"/>
      <c r="I438" s="125"/>
      <c r="J438" s="125"/>
      <c r="K438" s="125"/>
      <c r="L438" s="91"/>
      <c r="M438" s="91"/>
      <c r="N438" s="91"/>
      <c r="O438" s="92"/>
      <c r="P438" s="93"/>
      <c r="Q438" s="125"/>
      <c r="R438" s="95"/>
      <c r="S438" s="96"/>
      <c r="T438" s="96" t="str">
        <f aca="false">IF(ISBLANK($C438),"",IF(G438=Constants!$B$2, TRUE(), IF(G438=Constants!$B$3, FALSE(), TRUE())))</f>
        <v/>
      </c>
      <c r="U438" s="96" t="str">
        <f aca="false">IF(ISBLANK($C438),"",IF(H438=Constants!$B$2, TRUE(), IF(H438=Constants!$B$3, FALSE(), TRUE())))</f>
        <v/>
      </c>
      <c r="V438" s="96" t="str">
        <f aca="false">IF(ISBLANK($C438),"",IF(I438=Constants!$B$2, TRUE(), IF(I438=Constants!$B$3, FALSE(), TRUE())))</f>
        <v/>
      </c>
      <c r="W438" s="96" t="str">
        <f aca="false">IF(ISBLANK($C438),"",IF(J438=Constants!$B$2, TRUE(), IF(J438=Constants!$B$3, FALSE(), TRUE())))</f>
        <v/>
      </c>
      <c r="X438" s="97" t="str">
        <f aca="false">IF(ISBLANK($C438),"",IF(K438=Constants!$B$2, TRUE(), IF(K438=Constants!$B$3, FALSE(), TRUE())))</f>
        <v/>
      </c>
      <c r="Y438" s="98" t="str">
        <f aca="false">IF(ISBLANK($C438),"",IF(ISNUMBER(L438), L438, ""))</f>
        <v/>
      </c>
      <c r="Z438" s="98" t="str">
        <f aca="false">IF(ISBLANK($C438),"",IF(ISNUMBER(M438), M438, ""))</f>
        <v/>
      </c>
      <c r="AA438" s="98" t="str">
        <f aca="false">IF(ISBLANK($C438),"",IF(ISNUMBER(N438), N438, ""))</f>
        <v/>
      </c>
      <c r="AB438" s="99" t="str">
        <f aca="false">IF(ISBLANK($C438),"",IF(ISNUMBER(O438), O438, ""))</f>
        <v/>
      </c>
      <c r="AC438" s="99" t="str">
        <f aca="false">IF(ISBLANK($C438),"",IF(ISNUMBER(P438), P438, Constants!$B$13))</f>
        <v/>
      </c>
      <c r="AD438" s="96" t="str">
        <f aca="false">IF(ISBLANK($C438),"",IF(Q438=Constants!$B$2, TRUE(), IF(Q438=Constants!$B$3, FALSE(), FALSE())))</f>
        <v/>
      </c>
      <c r="AE438" s="96" t="str">
        <f aca="false">IF(ISBLANK(C438), "", IF(AD438, Constants!$B$4,IF(COUNTA(G438:O438)=0, Constants!$B$5, Constants!$B$7)))</f>
        <v/>
      </c>
      <c r="AF438" s="96" t="str">
        <f aca="false">IF(ISBLANK($C438), "",IF($AE438=Constants!$B$7,1,$AE438))</f>
        <v/>
      </c>
      <c r="AG438" s="96" t="str">
        <f aca="false">IF($AE438=Constants!$B$7,IF(V438, 1, Constants!$B$11) * IF(X438, 1, Constants!$B$12),"")</f>
        <v/>
      </c>
      <c r="AH438" s="96" t="str">
        <f aca="false">IF(AND($AE438=Constants!$B$7, T438, U438) ,MAX(0, $AA438-$Y438),"")</f>
        <v/>
      </c>
      <c r="AI438" s="96" t="str">
        <f aca="false">IF(ISERROR(AH438),$AI$6,"")</f>
        <v/>
      </c>
      <c r="AJ438" s="96" t="str">
        <f aca="false">IF($AE438=Constants!$B$7,IF(AND(T438,U438,W438),IF($AH$6=0,Constants!$B$9,Constants!$B$9*AH438/$AH$6), 0),"")</f>
        <v/>
      </c>
      <c r="AK438" s="96" t="str">
        <f aca="false">IF(AJ438&lt;&gt;"", AJ438*AG438,"")</f>
        <v/>
      </c>
      <c r="AL438" s="96" t="str">
        <f aca="false">IF(AND($AE438=Constants!$B$7, T438, U438) ,IF($Z438="", "", MAX(0,1-ABS($AA438-$Z438)/$AA438)),"")</f>
        <v/>
      </c>
      <c r="AM438" s="96" t="str">
        <f aca="false">IF(AND(NOT(ISERROR(AH438)),ISERROR(AL438)),$AM$6,"")</f>
        <v/>
      </c>
      <c r="AN438" s="96" t="str">
        <f aca="false">IF($AE438=Constants!$B$7 ,IF(AND(T438,U438,W438,ISNUMBER(Z438)),IF($AL$6=0,Constants!$B$10,Constants!$B$10*AL438/$AL$6), 0),"")</f>
        <v/>
      </c>
      <c r="AO438" s="96" t="str">
        <f aca="false">IF(AN438&lt;&gt;"", AN438*AG438,"")</f>
        <v/>
      </c>
      <c r="AP438" s="96" t="str">
        <f aca="false">IF($AE438=Constants!$B$7,IF($AP$6=0,Constants!$B$8,Constants!$B$8*AB438/$AP$6),"")</f>
        <v/>
      </c>
      <c r="AQ438" s="96" t="str">
        <f aca="false">IF($AE438&lt;&gt;Constants!$B$7,$AE438,AK438+AO438+AP438)</f>
        <v/>
      </c>
      <c r="AR438" s="96" t="str">
        <f aca="false">IF(ISBLANK($C438),"",IF($AE438=Constants!$B$7,RANK(AQ438,$AQ$8:$AQ$507),$AE438))</f>
        <v/>
      </c>
      <c r="AS438" s="96" t="str">
        <f aca="false">IF(ISBLANK($C438), "",AK438)</f>
        <v/>
      </c>
      <c r="AT438" s="96" t="str">
        <f aca="false">IF(ISBLANK($C438),"",IF($AE438=Constants!$B$7,RANK(AS438,AS$8:AS$507),$AE438))</f>
        <v/>
      </c>
      <c r="AU438" s="96" t="str">
        <f aca="false">IF(ISBLANK($C438), "",AP438)</f>
        <v/>
      </c>
      <c r="AV438" s="96" t="str">
        <f aca="false">IF(ISBLANK($C438),"",IF($AE438=Constants!$B$7,RANK(AU438,AU$8:AU$507),$AE438))</f>
        <v/>
      </c>
      <c r="AW438" s="96" t="str">
        <f aca="false">IF(ISBLANK($C438), "",AC438)</f>
        <v/>
      </c>
      <c r="AX438" s="96" t="str">
        <f aca="false">IF(ISBLANK($C438),"",
IF($AE438=Constants!$B$7,
  COUNTIFS($AR$8:$AR$507,"&lt;"&amp;$AR438)
  + COUNTIFS($AR$8:$AR$507,$AR438,$AT$8:$AT$507,"&lt;"&amp;$AT438)
  + COUNTIFS($AR$8:$AR$507,$AR438,$AT$8:$AT$507,$AT438,$AV$8:$AV$507,"&lt;"&amp;$AV438)
  + COUNTIFS($AR$8:$AR$507,$AR438,$AT$8:$AT$507,$AT438,$AV$8:$AV$507,$AV438,$AW$8:$AW$507,"&lt;"&amp;$AW438)
  + 1,
$AE438))</f>
        <v/>
      </c>
      <c r="AY438" s="96" t="str">
        <f aca="false">IF(ISBLANK(C438),"",IF($AE438=Constants!$B$7, AR438-AX438,$AE438))</f>
        <v/>
      </c>
      <c r="AZ438" s="100"/>
      <c r="BA438" s="101" t="str">
        <f aca="false">IF(ISBLANK($C438),"",TRIM(AI438&amp;" "&amp;AM438))</f>
        <v/>
      </c>
      <c r="BB438" s="102" t="str">
        <f aca="false">IF(ISBLANK($C438),"",IF($AE438&lt;&gt;Constants!$B$7, $AE438 ,AQ438))</f>
        <v/>
      </c>
      <c r="BC438" s="103" t="str">
        <f aca="false">IF(ISBLANK($C438),"",IF($AE438&lt;&gt;Constants!$B$7, $AE438 ,AF438))</f>
        <v/>
      </c>
      <c r="BD438" s="104" t="str">
        <f aca="false">IF(ISBLANK(C438),"",AY438)</f>
        <v/>
      </c>
      <c r="BE438" s="104" t="str">
        <f aca="false">IF(ISBLANK(C438),"",AX438)</f>
        <v/>
      </c>
      <c r="BF438" s="105" t="str">
        <f aca="false">IF(ISBLANK(C438),"",IFERROR(_xlfn.SWITCH(BE438, Constants!$B$4, COUNTA($C$8:$C937)+2, Constants!$B$5, COUNTA($C$8:$C937)+1, Constants!$B$6, COUNTA($C$8:$C937)),BE438))</f>
        <v/>
      </c>
      <c r="BG438" s="5"/>
      <c r="BH438" s="106" t="n">
        <f aca="false">IF(OR(ISNUMBER(BE438),BE438="DQ",BE438="P",BE438="NS"),
    1,
    0
)</f>
        <v>0</v>
      </c>
      <c r="BI438" s="106" t="n">
        <v>431</v>
      </c>
      <c r="BJ438" s="106" t="str">
        <f aca="false">IF(ISBLANK($C438),
    "",
   BF438+ROW($B438)/1000
)</f>
        <v/>
      </c>
      <c r="BK438" s="106" t="str">
        <f aca="false">IF(ISNUMBER(BJ438), RANK(BJ438,BJ$8:BJ$507,1), "")</f>
        <v/>
      </c>
      <c r="BL438" s="106" t="str">
        <f aca="false">IF(ISBLANK($C438),
    "",
    $B438
)</f>
        <v/>
      </c>
      <c r="BM438" s="106" t="str">
        <f aca="false">IF(ISBLANK($C438),
    "",
    $C438
)</f>
        <v/>
      </c>
      <c r="BN438" s="106" t="str">
        <f aca="false">IF(ISBLANK($C438),
    "",
    $D438
)</f>
        <v/>
      </c>
      <c r="BO438" s="107" t="str">
        <f aca="false">BC438</f>
        <v/>
      </c>
      <c r="BP438" s="108" t="str">
        <f aca="false">BB438</f>
        <v/>
      </c>
      <c r="BQ438" s="106" t="str">
        <f aca="false">IF(ISBLANK($C438),
    "",
    BE438
)</f>
        <v/>
      </c>
      <c r="BR438" s="109" t="str">
        <f aca="false">IF(BI438&gt;BH$7,
    "",
    VLOOKUP(BI438,BK$8:BQ937,7,FALSE())
)</f>
        <v/>
      </c>
      <c r="BS438" s="110" t="str">
        <f aca="false">IF(BI438&gt;BH$7,
    "",
    VLOOKUP(BI438,BK$8:BQ937,2,FALSE())
)</f>
        <v/>
      </c>
      <c r="BT438" s="110" t="str">
        <f aca="false">IF(BI438&gt;BH$7,
    "",
    VLOOKUP(BI438,BK$8:BQ937,3,FALSE())
)</f>
        <v/>
      </c>
      <c r="BU438" s="110" t="str">
        <f aca="false">IF(BI438&gt;BH$7,
    "",
    VLOOKUP(BI438,BK$8:BQ937,4,FALSE())
)</f>
        <v/>
      </c>
      <c r="BV438" s="110" t="str">
        <f aca="false">IF(BI438&gt;BH$7,
    "",
    VLOOKUP(BI438,BK$8:BQ937,5,FALSE())
)</f>
        <v/>
      </c>
      <c r="BW438" s="111" t="str">
        <f aca="false">IF(BI438&gt;BH$7,
    "",
    VLOOKUP(BI438,BK$8:BQ937,6,FALSE())
)</f>
        <v/>
      </c>
      <c r="BX438" s="50"/>
    </row>
    <row r="439" customFormat="false" ht="15.75" hidden="false" customHeight="false" outlineLevel="0" collapsed="false">
      <c r="A439" s="5"/>
      <c r="B439" s="122"/>
      <c r="C439" s="123"/>
      <c r="D439" s="112"/>
      <c r="E439" s="116"/>
      <c r="F439" s="116"/>
      <c r="G439" s="88"/>
      <c r="H439" s="89"/>
      <c r="I439" s="125"/>
      <c r="J439" s="125"/>
      <c r="K439" s="125"/>
      <c r="L439" s="91"/>
      <c r="M439" s="91"/>
      <c r="N439" s="91"/>
      <c r="O439" s="92"/>
      <c r="P439" s="93"/>
      <c r="Q439" s="125"/>
      <c r="R439" s="95"/>
      <c r="S439" s="96"/>
      <c r="T439" s="96" t="str">
        <f aca="false">IF(ISBLANK($C439),"",IF(G439=Constants!$B$2, TRUE(), IF(G439=Constants!$B$3, FALSE(), TRUE())))</f>
        <v/>
      </c>
      <c r="U439" s="96" t="str">
        <f aca="false">IF(ISBLANK($C439),"",IF(H439=Constants!$B$2, TRUE(), IF(H439=Constants!$B$3, FALSE(), TRUE())))</f>
        <v/>
      </c>
      <c r="V439" s="96" t="str">
        <f aca="false">IF(ISBLANK($C439),"",IF(I439=Constants!$B$2, TRUE(), IF(I439=Constants!$B$3, FALSE(), TRUE())))</f>
        <v/>
      </c>
      <c r="W439" s="96" t="str">
        <f aca="false">IF(ISBLANK($C439),"",IF(J439=Constants!$B$2, TRUE(), IF(J439=Constants!$B$3, FALSE(), TRUE())))</f>
        <v/>
      </c>
      <c r="X439" s="97" t="str">
        <f aca="false">IF(ISBLANK($C439),"",IF(K439=Constants!$B$2, TRUE(), IF(K439=Constants!$B$3, FALSE(), TRUE())))</f>
        <v/>
      </c>
      <c r="Y439" s="98" t="str">
        <f aca="false">IF(ISBLANK($C439),"",IF(ISNUMBER(L439), L439, ""))</f>
        <v/>
      </c>
      <c r="Z439" s="98" t="str">
        <f aca="false">IF(ISBLANK($C439),"",IF(ISNUMBER(M439), M439, ""))</f>
        <v/>
      </c>
      <c r="AA439" s="98" t="str">
        <f aca="false">IF(ISBLANK($C439),"",IF(ISNUMBER(N439), N439, ""))</f>
        <v/>
      </c>
      <c r="AB439" s="99" t="str">
        <f aca="false">IF(ISBLANK($C439),"",IF(ISNUMBER(O439), O439, ""))</f>
        <v/>
      </c>
      <c r="AC439" s="99" t="str">
        <f aca="false">IF(ISBLANK($C439),"",IF(ISNUMBER(P439), P439, Constants!$B$13))</f>
        <v/>
      </c>
      <c r="AD439" s="96" t="str">
        <f aca="false">IF(ISBLANK($C439),"",IF(Q439=Constants!$B$2, TRUE(), IF(Q439=Constants!$B$3, FALSE(), FALSE())))</f>
        <v/>
      </c>
      <c r="AE439" s="96" t="str">
        <f aca="false">IF(ISBLANK(C439), "", IF(AD439, Constants!$B$4,IF(COUNTA(G439:O439)=0, Constants!$B$5, Constants!$B$7)))</f>
        <v/>
      </c>
      <c r="AF439" s="96" t="str">
        <f aca="false">IF(ISBLANK($C439), "",IF($AE439=Constants!$B$7,1,$AE439))</f>
        <v/>
      </c>
      <c r="AG439" s="96" t="str">
        <f aca="false">IF($AE439=Constants!$B$7,IF(V439, 1, Constants!$B$11) * IF(X439, 1, Constants!$B$12),"")</f>
        <v/>
      </c>
      <c r="AH439" s="96" t="str">
        <f aca="false">IF(AND($AE439=Constants!$B$7, T439, U439) ,MAX(0, $AA439-$Y439),"")</f>
        <v/>
      </c>
      <c r="AI439" s="96" t="str">
        <f aca="false">IF(ISERROR(AH439),$AI$6,"")</f>
        <v/>
      </c>
      <c r="AJ439" s="96" t="str">
        <f aca="false">IF($AE439=Constants!$B$7,IF(AND(T439,U439,W439),IF($AH$6=0,Constants!$B$9,Constants!$B$9*AH439/$AH$6), 0),"")</f>
        <v/>
      </c>
      <c r="AK439" s="96" t="str">
        <f aca="false">IF(AJ439&lt;&gt;"", AJ439*AG439,"")</f>
        <v/>
      </c>
      <c r="AL439" s="96" t="str">
        <f aca="false">IF(AND($AE439=Constants!$B$7, T439, U439) ,IF($Z439="", "", MAX(0,1-ABS($AA439-$Z439)/$AA439)),"")</f>
        <v/>
      </c>
      <c r="AM439" s="96" t="str">
        <f aca="false">IF(AND(NOT(ISERROR(AH439)),ISERROR(AL439)),$AM$6,"")</f>
        <v/>
      </c>
      <c r="AN439" s="96" t="str">
        <f aca="false">IF($AE439=Constants!$B$7 ,IF(AND(T439,U439,W439,ISNUMBER(Z439)),IF($AL$6=0,Constants!$B$10,Constants!$B$10*AL439/$AL$6), 0),"")</f>
        <v/>
      </c>
      <c r="AO439" s="96" t="str">
        <f aca="false">IF(AN439&lt;&gt;"", AN439*AG439,"")</f>
        <v/>
      </c>
      <c r="AP439" s="96" t="str">
        <f aca="false">IF($AE439=Constants!$B$7,IF($AP$6=0,Constants!$B$8,Constants!$B$8*AB439/$AP$6),"")</f>
        <v/>
      </c>
      <c r="AQ439" s="96" t="str">
        <f aca="false">IF($AE439&lt;&gt;Constants!$B$7,$AE439,AK439+AO439+AP439)</f>
        <v/>
      </c>
      <c r="AR439" s="96" t="str">
        <f aca="false">IF(ISBLANK($C439),"",IF($AE439=Constants!$B$7,RANK(AQ439,$AQ$8:$AQ$507),$AE439))</f>
        <v/>
      </c>
      <c r="AS439" s="96" t="str">
        <f aca="false">IF(ISBLANK($C439), "",AK439)</f>
        <v/>
      </c>
      <c r="AT439" s="96" t="str">
        <f aca="false">IF(ISBLANK($C439),"",IF($AE439=Constants!$B$7,RANK(AS439,AS$8:AS$507),$AE439))</f>
        <v/>
      </c>
      <c r="AU439" s="96" t="str">
        <f aca="false">IF(ISBLANK($C439), "",AP439)</f>
        <v/>
      </c>
      <c r="AV439" s="96" t="str">
        <f aca="false">IF(ISBLANK($C439),"",IF($AE439=Constants!$B$7,RANK(AU439,AU$8:AU$507),$AE439))</f>
        <v/>
      </c>
      <c r="AW439" s="96" t="str">
        <f aca="false">IF(ISBLANK($C439), "",AC439)</f>
        <v/>
      </c>
      <c r="AX439" s="96" t="str">
        <f aca="false">IF(ISBLANK($C439),"",
IF($AE439=Constants!$B$7,
  COUNTIFS($AR$8:$AR$507,"&lt;"&amp;$AR439)
  + COUNTIFS($AR$8:$AR$507,$AR439,$AT$8:$AT$507,"&lt;"&amp;$AT439)
  + COUNTIFS($AR$8:$AR$507,$AR439,$AT$8:$AT$507,$AT439,$AV$8:$AV$507,"&lt;"&amp;$AV439)
  + COUNTIFS($AR$8:$AR$507,$AR439,$AT$8:$AT$507,$AT439,$AV$8:$AV$507,$AV439,$AW$8:$AW$507,"&lt;"&amp;$AW439)
  + 1,
$AE439))</f>
        <v/>
      </c>
      <c r="AY439" s="96" t="str">
        <f aca="false">IF(ISBLANK(C439),"",IF($AE439=Constants!$B$7, AR439-AX439,$AE439))</f>
        <v/>
      </c>
      <c r="AZ439" s="100"/>
      <c r="BA439" s="101" t="str">
        <f aca="false">IF(ISBLANK($C439),"",TRIM(AI439&amp;" "&amp;AM439))</f>
        <v/>
      </c>
      <c r="BB439" s="102" t="str">
        <f aca="false">IF(ISBLANK($C439),"",IF($AE439&lt;&gt;Constants!$B$7, $AE439 ,AQ439))</f>
        <v/>
      </c>
      <c r="BC439" s="103" t="str">
        <f aca="false">IF(ISBLANK($C439),"",IF($AE439&lt;&gt;Constants!$B$7, $AE439 ,AF439))</f>
        <v/>
      </c>
      <c r="BD439" s="104" t="str">
        <f aca="false">IF(ISBLANK(C439),"",AY439)</f>
        <v/>
      </c>
      <c r="BE439" s="104" t="str">
        <f aca="false">IF(ISBLANK(C439),"",AX439)</f>
        <v/>
      </c>
      <c r="BF439" s="105" t="str">
        <f aca="false">IF(ISBLANK(C439),"",IFERROR(_xlfn.SWITCH(BE439, Constants!$B$4, COUNTA($C$8:$C938)+2, Constants!$B$5, COUNTA($C$8:$C938)+1, Constants!$B$6, COUNTA($C$8:$C938)),BE439))</f>
        <v/>
      </c>
      <c r="BG439" s="5"/>
      <c r="BH439" s="106" t="n">
        <f aca="false">IF(OR(ISNUMBER(BE439),BE439="DQ",BE439="P",BE439="NS"),
    1,
    0
)</f>
        <v>0</v>
      </c>
      <c r="BI439" s="106" t="n">
        <v>432</v>
      </c>
      <c r="BJ439" s="106" t="str">
        <f aca="false">IF(ISBLANK($C439),
    "",
   BF439+ROW($B439)/1000
)</f>
        <v/>
      </c>
      <c r="BK439" s="106" t="str">
        <f aca="false">IF(ISNUMBER(BJ439), RANK(BJ439,BJ$8:BJ$507,1), "")</f>
        <v/>
      </c>
      <c r="BL439" s="106" t="str">
        <f aca="false">IF(ISBLANK($C439),
    "",
    $B439
)</f>
        <v/>
      </c>
      <c r="BM439" s="106" t="str">
        <f aca="false">IF(ISBLANK($C439),
    "",
    $C439
)</f>
        <v/>
      </c>
      <c r="BN439" s="106" t="str">
        <f aca="false">IF(ISBLANK($C439),
    "",
    $D439
)</f>
        <v/>
      </c>
      <c r="BO439" s="107" t="str">
        <f aca="false">BC439</f>
        <v/>
      </c>
      <c r="BP439" s="108" t="str">
        <f aca="false">BB439</f>
        <v/>
      </c>
      <c r="BQ439" s="106" t="str">
        <f aca="false">IF(ISBLANK($C439),
    "",
    BE439
)</f>
        <v/>
      </c>
      <c r="BR439" s="109" t="str">
        <f aca="false">IF(BI439&gt;BH$7,
    "",
    VLOOKUP(BI439,BK$8:BQ938,7,FALSE())
)</f>
        <v/>
      </c>
      <c r="BS439" s="110" t="str">
        <f aca="false">IF(BI439&gt;BH$7,
    "",
    VLOOKUP(BI439,BK$8:BQ938,2,FALSE())
)</f>
        <v/>
      </c>
      <c r="BT439" s="110" t="str">
        <f aca="false">IF(BI439&gt;BH$7,
    "",
    VLOOKUP(BI439,BK$8:BQ938,3,FALSE())
)</f>
        <v/>
      </c>
      <c r="BU439" s="110" t="str">
        <f aca="false">IF(BI439&gt;BH$7,
    "",
    VLOOKUP(BI439,BK$8:BQ938,4,FALSE())
)</f>
        <v/>
      </c>
      <c r="BV439" s="110" t="str">
        <f aca="false">IF(BI439&gt;BH$7,
    "",
    VLOOKUP(BI439,BK$8:BQ938,5,FALSE())
)</f>
        <v/>
      </c>
      <c r="BW439" s="111" t="str">
        <f aca="false">IF(BI439&gt;BH$7,
    "",
    VLOOKUP(BI439,BK$8:BQ938,6,FALSE())
)</f>
        <v/>
      </c>
      <c r="BX439" s="50"/>
    </row>
    <row r="440" customFormat="false" ht="15.75" hidden="false" customHeight="false" outlineLevel="0" collapsed="false">
      <c r="A440" s="5"/>
      <c r="B440" s="126"/>
      <c r="C440" s="52"/>
      <c r="D440" s="53"/>
      <c r="E440" s="120"/>
      <c r="F440" s="120"/>
      <c r="G440" s="55"/>
      <c r="H440" s="56"/>
      <c r="I440" s="80"/>
      <c r="J440" s="80"/>
      <c r="K440" s="80"/>
      <c r="L440" s="58"/>
      <c r="M440" s="58"/>
      <c r="N440" s="58"/>
      <c r="O440" s="59"/>
      <c r="P440" s="60"/>
      <c r="Q440" s="80"/>
      <c r="R440" s="62"/>
      <c r="S440" s="63"/>
      <c r="T440" s="63" t="str">
        <f aca="false">IF(ISBLANK($C440),"",IF(G440=Constants!$B$2, TRUE(), IF(G440=Constants!$B$3, FALSE(), TRUE())))</f>
        <v/>
      </c>
      <c r="U440" s="63" t="str">
        <f aca="false">IF(ISBLANK($C440),"",IF(H440=Constants!$B$2, TRUE(), IF(H440=Constants!$B$3, FALSE(), TRUE())))</f>
        <v/>
      </c>
      <c r="V440" s="63" t="str">
        <f aca="false">IF(ISBLANK($C440),"",IF(I440=Constants!$B$2, TRUE(), IF(I440=Constants!$B$3, FALSE(), TRUE())))</f>
        <v/>
      </c>
      <c r="W440" s="63" t="str">
        <f aca="false">IF(ISBLANK($C440),"",IF(J440=Constants!$B$2, TRUE(), IF(J440=Constants!$B$3, FALSE(), TRUE())))</f>
        <v/>
      </c>
      <c r="X440" s="63" t="str">
        <f aca="false">IF(ISBLANK($C440),"",IF(K440=Constants!$B$2, TRUE(), IF(K440=Constants!$B$3, FALSE(), TRUE())))</f>
        <v/>
      </c>
      <c r="Y440" s="65" t="str">
        <f aca="false">IF(ISBLANK($C440),"",IF(ISNUMBER(L440), L440, ""))</f>
        <v/>
      </c>
      <c r="Z440" s="65" t="str">
        <f aca="false">IF(ISBLANK($C440),"",IF(ISNUMBER(M440), M440, ""))</f>
        <v/>
      </c>
      <c r="AA440" s="65" t="str">
        <f aca="false">IF(ISBLANK($C440),"",IF(ISNUMBER(N440), N440, ""))</f>
        <v/>
      </c>
      <c r="AB440" s="66" t="str">
        <f aca="false">IF(ISBLANK($C440),"",IF(ISNUMBER(O440), O440, ""))</f>
        <v/>
      </c>
      <c r="AC440" s="66" t="str">
        <f aca="false">IF(ISBLANK($C440),"",IF(ISNUMBER(P440), P440, Constants!$B$13))</f>
        <v/>
      </c>
      <c r="AD440" s="63" t="str">
        <f aca="false">IF(ISBLANK($C440),"",IF(Q440=Constants!$B$2, TRUE(), IF(Q440=Constants!$B$3, FALSE(), FALSE())))</f>
        <v/>
      </c>
      <c r="AE440" s="63" t="str">
        <f aca="false">IF(ISBLANK(C440), "", IF(AD440, Constants!$B$4,IF(COUNTA(G440:O440)=0, Constants!$B$5, Constants!$B$7)))</f>
        <v/>
      </c>
      <c r="AF440" s="63" t="str">
        <f aca="false">IF(ISBLANK($C440), "",IF($AE440=Constants!$B$7,1,$AE440))</f>
        <v/>
      </c>
      <c r="AG440" s="63" t="str">
        <f aca="false">IF($AE440=Constants!$B$7,IF(V440, 1, Constants!$B$11) * IF(X440, 1, Constants!$B$12),"")</f>
        <v/>
      </c>
      <c r="AH440" s="63" t="str">
        <f aca="false">IF(AND($AE440=Constants!$B$7, T440, U440) ,MAX(0, $AA440-$Y440),"")</f>
        <v/>
      </c>
      <c r="AI440" s="63" t="str">
        <f aca="false">IF(ISERROR(AH440),$AI$6,"")</f>
        <v/>
      </c>
      <c r="AJ440" s="63" t="str">
        <f aca="false">IF($AE440=Constants!$B$7,IF(AND(T440,U440,W440),IF($AH$6=0,Constants!$B$9,Constants!$B$9*AH440/$AH$6), 0),"")</f>
        <v/>
      </c>
      <c r="AK440" s="63" t="str">
        <f aca="false">IF(AJ440&lt;&gt;"", AJ440*AG440,"")</f>
        <v/>
      </c>
      <c r="AL440" s="63" t="str">
        <f aca="false">IF(AND($AE440=Constants!$B$7, T440, U440) ,IF($Z440="", "", MAX(0,1-ABS($AA440-$Z440)/$AA440)),"")</f>
        <v/>
      </c>
      <c r="AM440" s="63" t="str">
        <f aca="false">IF(AND(NOT(ISERROR(AH440)),ISERROR(AL440)),$AM$6,"")</f>
        <v/>
      </c>
      <c r="AN440" s="63" t="str">
        <f aca="false">IF($AE440=Constants!$B$7 ,IF(AND(T440,U440,W440,ISNUMBER(Z440)),IF($AL$6=0,Constants!$B$10,Constants!$B$10*AL440/$AL$6), 0),"")</f>
        <v/>
      </c>
      <c r="AO440" s="63" t="str">
        <f aca="false">IF(AN440&lt;&gt;"", AN440*AG440,"")</f>
        <v/>
      </c>
      <c r="AP440" s="63" t="str">
        <f aca="false">IF($AE440=Constants!$B$7,IF($AP$6=0,Constants!$B$8,Constants!$B$8*AB440/$AP$6),"")</f>
        <v/>
      </c>
      <c r="AQ440" s="63" t="str">
        <f aca="false">IF($AE440&lt;&gt;Constants!$B$7,$AE440,AK440+AO440+AP440)</f>
        <v/>
      </c>
      <c r="AR440" s="63" t="str">
        <f aca="false">IF(ISBLANK($C440),"",IF($AE440=Constants!$B$7,RANK(AQ440,$AQ$8:$AQ$507),$AE440))</f>
        <v/>
      </c>
      <c r="AS440" s="63" t="str">
        <f aca="false">IF(ISBLANK($C440), "",AK440)</f>
        <v/>
      </c>
      <c r="AT440" s="63" t="str">
        <f aca="false">IF(ISBLANK($C440),"",IF($AE440=Constants!$B$7,RANK(AS440,AS$8:AS$507),$AE440))</f>
        <v/>
      </c>
      <c r="AU440" s="63" t="str">
        <f aca="false">IF(ISBLANK($C440), "",AP440)</f>
        <v/>
      </c>
      <c r="AV440" s="63" t="str">
        <f aca="false">IF(ISBLANK($C440),"",IF($AE440=Constants!$B$7,RANK(AU440,AU$8:AU$507),$AE440))</f>
        <v/>
      </c>
      <c r="AW440" s="63" t="str">
        <f aca="false">IF(ISBLANK($C440), "",AC440)</f>
        <v/>
      </c>
      <c r="AX440" s="63" t="str">
        <f aca="false">IF(ISBLANK($C440),"",
IF($AE440=Constants!$B$7,
  COUNTIFS($AR$8:$AR$507,"&lt;"&amp;$AR440)
  + COUNTIFS($AR$8:$AR$507,$AR440,$AT$8:$AT$507,"&lt;"&amp;$AT440)
  + COUNTIFS($AR$8:$AR$507,$AR440,$AT$8:$AT$507,$AT440,$AV$8:$AV$507,"&lt;"&amp;$AV440)
  + COUNTIFS($AR$8:$AR$507,$AR440,$AT$8:$AT$507,$AT440,$AV$8:$AV$507,$AV440,$AW$8:$AW$507,"&lt;"&amp;$AW440)
  + 1,
$AE440))</f>
        <v/>
      </c>
      <c r="AY440" s="63" t="str">
        <f aca="false">IF(ISBLANK(C440),"",IF($AE440=Constants!$B$7, AR440-AX440,$AE440))</f>
        <v/>
      </c>
      <c r="AZ440" s="67"/>
      <c r="BA440" s="81" t="str">
        <f aca="false">IF(ISBLANK($C440),"",TRIM(AI440&amp;" "&amp;AM440))</f>
        <v/>
      </c>
      <c r="BB440" s="69" t="str">
        <f aca="false">IF(ISBLANK($C440),"",IF($AE440&lt;&gt;Constants!$B$7, $AE440 ,AQ440))</f>
        <v/>
      </c>
      <c r="BC440" s="70" t="str">
        <f aca="false">IF(ISBLANK($C440),"",IF($AE440&lt;&gt;Constants!$B$7, $AE440 ,AF440))</f>
        <v/>
      </c>
      <c r="BD440" s="71" t="str">
        <f aca="false">IF(ISBLANK(C440),"",AY440)</f>
        <v/>
      </c>
      <c r="BE440" s="71" t="str">
        <f aca="false">IF(ISBLANK(C440),"",AX440)</f>
        <v/>
      </c>
      <c r="BF440" s="72" t="str">
        <f aca="false">IF(ISBLANK(C440),"",IFERROR(_xlfn.SWITCH(BE440, Constants!$B$4, COUNTA($C$8:$C939)+2, Constants!$B$5, COUNTA($C$8:$C939)+1, Constants!$B$6, COUNTA($C$8:$C939)),BE440))</f>
        <v/>
      </c>
      <c r="BG440" s="5"/>
      <c r="BH440" s="73" t="n">
        <f aca="false">IF(OR(ISNUMBER(BE440),BE440="DQ",BE440="P",BE440="NS"),
    1,
    0
)</f>
        <v>0</v>
      </c>
      <c r="BI440" s="73" t="n">
        <v>433</v>
      </c>
      <c r="BJ440" s="73" t="str">
        <f aca="false">IF(ISBLANK($C440),
    "",
   BF440+ROW($B440)/1000
)</f>
        <v/>
      </c>
      <c r="BK440" s="73" t="str">
        <f aca="false">IF(ISNUMBER(BJ440), RANK(BJ440,BJ$8:BJ$507,1), "")</f>
        <v/>
      </c>
      <c r="BL440" s="73" t="str">
        <f aca="false">IF(ISBLANK($C440),
    "",
    $B440
)</f>
        <v/>
      </c>
      <c r="BM440" s="73" t="str">
        <f aca="false">IF(ISBLANK($C440),
    "",
    $C440
)</f>
        <v/>
      </c>
      <c r="BN440" s="73" t="str">
        <f aca="false">IF(ISBLANK($C440),
    "",
    $D440
)</f>
        <v/>
      </c>
      <c r="BO440" s="74" t="str">
        <f aca="false">BC440</f>
        <v/>
      </c>
      <c r="BP440" s="75" t="str">
        <f aca="false">BB440</f>
        <v/>
      </c>
      <c r="BQ440" s="73" t="str">
        <f aca="false">IF(ISBLANK($C440),
    "",
    BE440
)</f>
        <v/>
      </c>
      <c r="BR440" s="76" t="str">
        <f aca="false">IF(BI440&gt;BH$7,
    "",
    VLOOKUP(BI440,BK$8:BQ939,7,FALSE())
)</f>
        <v/>
      </c>
      <c r="BS440" s="77" t="str">
        <f aca="false">IF(BI440&gt;BH$7,
    "",
    VLOOKUP(BI440,BK$8:BQ939,2,FALSE())
)</f>
        <v/>
      </c>
      <c r="BT440" s="77" t="str">
        <f aca="false">IF(BI440&gt;BH$7,
    "",
    VLOOKUP(BI440,BK$8:BQ939,3,FALSE())
)</f>
        <v/>
      </c>
      <c r="BU440" s="77" t="str">
        <f aca="false">IF(BI440&gt;BH$7,
    "",
    VLOOKUP(BI440,BK$8:BQ939,4,FALSE())
)</f>
        <v/>
      </c>
      <c r="BV440" s="77" t="str">
        <f aca="false">IF(BI440&gt;BH$7,
    "",
    VLOOKUP(BI440,BK$8:BQ939,5,FALSE())
)</f>
        <v/>
      </c>
      <c r="BW440" s="78" t="str">
        <f aca="false">IF(BI440&gt;BH$7,
    "",
    VLOOKUP(BI440,BK$8:BQ939,6,FALSE())
)</f>
        <v/>
      </c>
      <c r="BX440" s="50"/>
    </row>
    <row r="441" customFormat="false" ht="15.75" hidden="false" customHeight="false" outlineLevel="0" collapsed="false">
      <c r="A441" s="5"/>
      <c r="B441" s="126"/>
      <c r="C441" s="52"/>
      <c r="D441" s="53"/>
      <c r="E441" s="120"/>
      <c r="F441" s="120"/>
      <c r="G441" s="55"/>
      <c r="H441" s="56"/>
      <c r="I441" s="80"/>
      <c r="J441" s="80"/>
      <c r="K441" s="80"/>
      <c r="L441" s="58"/>
      <c r="M441" s="58"/>
      <c r="N441" s="58"/>
      <c r="O441" s="59"/>
      <c r="P441" s="60"/>
      <c r="Q441" s="80"/>
      <c r="R441" s="62"/>
      <c r="S441" s="63"/>
      <c r="T441" s="63" t="str">
        <f aca="false">IF(ISBLANK($C441),"",IF(G441=Constants!$B$2, TRUE(), IF(G441=Constants!$B$3, FALSE(), TRUE())))</f>
        <v/>
      </c>
      <c r="U441" s="63" t="str">
        <f aca="false">IF(ISBLANK($C441),"",IF(H441=Constants!$B$2, TRUE(), IF(H441=Constants!$B$3, FALSE(), TRUE())))</f>
        <v/>
      </c>
      <c r="V441" s="63" t="str">
        <f aca="false">IF(ISBLANK($C441),"",IF(I441=Constants!$B$2, TRUE(), IF(I441=Constants!$B$3, FALSE(), TRUE())))</f>
        <v/>
      </c>
      <c r="W441" s="63" t="str">
        <f aca="false">IF(ISBLANK($C441),"",IF(J441=Constants!$B$2, TRUE(), IF(J441=Constants!$B$3, FALSE(), TRUE())))</f>
        <v/>
      </c>
      <c r="X441" s="63" t="str">
        <f aca="false">IF(ISBLANK($C441),"",IF(K441=Constants!$B$2, TRUE(), IF(K441=Constants!$B$3, FALSE(), TRUE())))</f>
        <v/>
      </c>
      <c r="Y441" s="65" t="str">
        <f aca="false">IF(ISBLANK($C441),"",IF(ISNUMBER(L441), L441, ""))</f>
        <v/>
      </c>
      <c r="Z441" s="65" t="str">
        <f aca="false">IF(ISBLANK($C441),"",IF(ISNUMBER(M441), M441, ""))</f>
        <v/>
      </c>
      <c r="AA441" s="65" t="str">
        <f aca="false">IF(ISBLANK($C441),"",IF(ISNUMBER(N441), N441, ""))</f>
        <v/>
      </c>
      <c r="AB441" s="66" t="str">
        <f aca="false">IF(ISBLANK($C441),"",IF(ISNUMBER(O441), O441, ""))</f>
        <v/>
      </c>
      <c r="AC441" s="66" t="str">
        <f aca="false">IF(ISBLANK($C441),"",IF(ISNUMBER(P441), P441, Constants!$B$13))</f>
        <v/>
      </c>
      <c r="AD441" s="63" t="str">
        <f aca="false">IF(ISBLANK($C441),"",IF(Q441=Constants!$B$2, TRUE(), IF(Q441=Constants!$B$3, FALSE(), FALSE())))</f>
        <v/>
      </c>
      <c r="AE441" s="63" t="str">
        <f aca="false">IF(ISBLANK(C441), "", IF(AD441, Constants!$B$4,IF(COUNTA(G441:O441)=0, Constants!$B$5, Constants!$B$7)))</f>
        <v/>
      </c>
      <c r="AF441" s="63" t="str">
        <f aca="false">IF(ISBLANK($C441), "",IF($AE441=Constants!$B$7,1,$AE441))</f>
        <v/>
      </c>
      <c r="AG441" s="63" t="str">
        <f aca="false">IF($AE441=Constants!$B$7,IF(V441, 1, Constants!$B$11) * IF(X441, 1, Constants!$B$12),"")</f>
        <v/>
      </c>
      <c r="AH441" s="63" t="str">
        <f aca="false">IF(AND($AE441=Constants!$B$7, T441, U441) ,MAX(0, $AA441-$Y441),"")</f>
        <v/>
      </c>
      <c r="AI441" s="63" t="str">
        <f aca="false">IF(ISERROR(AH441),$AI$6,"")</f>
        <v/>
      </c>
      <c r="AJ441" s="63" t="str">
        <f aca="false">IF($AE441=Constants!$B$7,IF(AND(T441,U441,W441),IF($AH$6=0,Constants!$B$9,Constants!$B$9*AH441/$AH$6), 0),"")</f>
        <v/>
      </c>
      <c r="AK441" s="63" t="str">
        <f aca="false">IF(AJ441&lt;&gt;"", AJ441*AG441,"")</f>
        <v/>
      </c>
      <c r="AL441" s="63" t="str">
        <f aca="false">IF(AND($AE441=Constants!$B$7, T441, U441) ,IF($Z441="", "", MAX(0,1-ABS($AA441-$Z441)/$AA441)),"")</f>
        <v/>
      </c>
      <c r="AM441" s="63" t="str">
        <f aca="false">IF(AND(NOT(ISERROR(AH441)),ISERROR(AL441)),$AM$6,"")</f>
        <v/>
      </c>
      <c r="AN441" s="63" t="str">
        <f aca="false">IF($AE441=Constants!$B$7 ,IF(AND(T441,U441,W441,ISNUMBER(Z441)),IF($AL$6=0,Constants!$B$10,Constants!$B$10*AL441/$AL$6), 0),"")</f>
        <v/>
      </c>
      <c r="AO441" s="63" t="str">
        <f aca="false">IF(AN441&lt;&gt;"", AN441*AG441,"")</f>
        <v/>
      </c>
      <c r="AP441" s="63" t="str">
        <f aca="false">IF($AE441=Constants!$B$7,IF($AP$6=0,Constants!$B$8,Constants!$B$8*AB441/$AP$6),"")</f>
        <v/>
      </c>
      <c r="AQ441" s="63" t="str">
        <f aca="false">IF($AE441&lt;&gt;Constants!$B$7,$AE441,AK441+AO441+AP441)</f>
        <v/>
      </c>
      <c r="AR441" s="63" t="str">
        <f aca="false">IF(ISBLANK($C441),"",IF($AE441=Constants!$B$7,RANK(AQ441,$AQ$8:$AQ$507),$AE441))</f>
        <v/>
      </c>
      <c r="AS441" s="63" t="str">
        <f aca="false">IF(ISBLANK($C441), "",AK441)</f>
        <v/>
      </c>
      <c r="AT441" s="63" t="str">
        <f aca="false">IF(ISBLANK($C441),"",IF($AE441=Constants!$B$7,RANK(AS441,AS$8:AS$507),$AE441))</f>
        <v/>
      </c>
      <c r="AU441" s="63" t="str">
        <f aca="false">IF(ISBLANK($C441), "",AP441)</f>
        <v/>
      </c>
      <c r="AV441" s="63" t="str">
        <f aca="false">IF(ISBLANK($C441),"",IF($AE441=Constants!$B$7,RANK(AU441,AU$8:AU$507),$AE441))</f>
        <v/>
      </c>
      <c r="AW441" s="63" t="str">
        <f aca="false">IF(ISBLANK($C441), "",AC441)</f>
        <v/>
      </c>
      <c r="AX441" s="63" t="str">
        <f aca="false">IF(ISBLANK($C441),"",
IF($AE441=Constants!$B$7,
  COUNTIFS($AR$8:$AR$507,"&lt;"&amp;$AR441)
  + COUNTIFS($AR$8:$AR$507,$AR441,$AT$8:$AT$507,"&lt;"&amp;$AT441)
  + COUNTIFS($AR$8:$AR$507,$AR441,$AT$8:$AT$507,$AT441,$AV$8:$AV$507,"&lt;"&amp;$AV441)
  + COUNTIFS($AR$8:$AR$507,$AR441,$AT$8:$AT$507,$AT441,$AV$8:$AV$507,$AV441,$AW$8:$AW$507,"&lt;"&amp;$AW441)
  + 1,
$AE441))</f>
        <v/>
      </c>
      <c r="AY441" s="63" t="str">
        <f aca="false">IF(ISBLANK(C441),"",IF($AE441=Constants!$B$7, AR441-AX441,$AE441))</f>
        <v/>
      </c>
      <c r="AZ441" s="67"/>
      <c r="BA441" s="81" t="str">
        <f aca="false">IF(ISBLANK($C441),"",TRIM(AI441&amp;" "&amp;AM441))</f>
        <v/>
      </c>
      <c r="BB441" s="69" t="str">
        <f aca="false">IF(ISBLANK($C441),"",IF($AE441&lt;&gt;Constants!$B$7, $AE441 ,AQ441))</f>
        <v/>
      </c>
      <c r="BC441" s="70" t="str">
        <f aca="false">IF(ISBLANK($C441),"",IF($AE441&lt;&gt;Constants!$B$7, $AE441 ,AF441))</f>
        <v/>
      </c>
      <c r="BD441" s="71" t="str">
        <f aca="false">IF(ISBLANK(C441),"",AY441)</f>
        <v/>
      </c>
      <c r="BE441" s="71" t="str">
        <f aca="false">IF(ISBLANK(C441),"",AX441)</f>
        <v/>
      </c>
      <c r="BF441" s="72" t="str">
        <f aca="false">IF(ISBLANK(C441),"",IFERROR(_xlfn.SWITCH(BE441, Constants!$B$4, COUNTA($C$8:$C940)+2, Constants!$B$5, COUNTA($C$8:$C940)+1, Constants!$B$6, COUNTA($C$8:$C940)),BE441))</f>
        <v/>
      </c>
      <c r="BG441" s="5"/>
      <c r="BH441" s="73" t="n">
        <f aca="false">IF(OR(ISNUMBER(BE441),BE441="DQ",BE441="P",BE441="NS"),
    1,
    0
)</f>
        <v>0</v>
      </c>
      <c r="BI441" s="73" t="n">
        <v>434</v>
      </c>
      <c r="BJ441" s="73" t="str">
        <f aca="false">IF(ISBLANK($C441),
    "",
   BF441+ROW($B441)/1000
)</f>
        <v/>
      </c>
      <c r="BK441" s="73" t="str">
        <f aca="false">IF(ISNUMBER(BJ441), RANK(BJ441,BJ$8:BJ$507,1), "")</f>
        <v/>
      </c>
      <c r="BL441" s="73" t="str">
        <f aca="false">IF(ISBLANK($C441),
    "",
    $B441
)</f>
        <v/>
      </c>
      <c r="BM441" s="73" t="str">
        <f aca="false">IF(ISBLANK($C441),
    "",
    $C441
)</f>
        <v/>
      </c>
      <c r="BN441" s="73" t="str">
        <f aca="false">IF(ISBLANK($C441),
    "",
    $D441
)</f>
        <v/>
      </c>
      <c r="BO441" s="74" t="str">
        <f aca="false">BC441</f>
        <v/>
      </c>
      <c r="BP441" s="75" t="str">
        <f aca="false">BB441</f>
        <v/>
      </c>
      <c r="BQ441" s="73" t="str">
        <f aca="false">IF(ISBLANK($C441),
    "",
    BE441
)</f>
        <v/>
      </c>
      <c r="BR441" s="76" t="str">
        <f aca="false">IF(BI441&gt;BH$7,
    "",
    VLOOKUP(BI441,BK$8:BQ940,7,FALSE())
)</f>
        <v/>
      </c>
      <c r="BS441" s="77" t="str">
        <f aca="false">IF(BI441&gt;BH$7,
    "",
    VLOOKUP(BI441,BK$8:BQ940,2,FALSE())
)</f>
        <v/>
      </c>
      <c r="BT441" s="77" t="str">
        <f aca="false">IF(BI441&gt;BH$7,
    "",
    VLOOKUP(BI441,BK$8:BQ940,3,FALSE())
)</f>
        <v/>
      </c>
      <c r="BU441" s="77" t="str">
        <f aca="false">IF(BI441&gt;BH$7,
    "",
    VLOOKUP(BI441,BK$8:BQ940,4,FALSE())
)</f>
        <v/>
      </c>
      <c r="BV441" s="77" t="str">
        <f aca="false">IF(BI441&gt;BH$7,
    "",
    VLOOKUP(BI441,BK$8:BQ940,5,FALSE())
)</f>
        <v/>
      </c>
      <c r="BW441" s="78" t="str">
        <f aca="false">IF(BI441&gt;BH$7,
    "",
    VLOOKUP(BI441,BK$8:BQ940,6,FALSE())
)</f>
        <v/>
      </c>
      <c r="BX441" s="50"/>
    </row>
    <row r="442" customFormat="false" ht="15.75" hidden="false" customHeight="false" outlineLevel="0" collapsed="false">
      <c r="A442" s="5"/>
      <c r="B442" s="126"/>
      <c r="C442" s="52"/>
      <c r="D442" s="53"/>
      <c r="E442" s="120"/>
      <c r="F442" s="120"/>
      <c r="G442" s="55"/>
      <c r="H442" s="56"/>
      <c r="I442" s="80"/>
      <c r="J442" s="80"/>
      <c r="K442" s="80"/>
      <c r="L442" s="58"/>
      <c r="M442" s="58"/>
      <c r="N442" s="58"/>
      <c r="O442" s="59"/>
      <c r="P442" s="60"/>
      <c r="Q442" s="80"/>
      <c r="R442" s="62"/>
      <c r="S442" s="63"/>
      <c r="T442" s="63" t="str">
        <f aca="false">IF(ISBLANK($C442),"",IF(G442=Constants!$B$2, TRUE(), IF(G442=Constants!$B$3, FALSE(), TRUE())))</f>
        <v/>
      </c>
      <c r="U442" s="63" t="str">
        <f aca="false">IF(ISBLANK($C442),"",IF(H442=Constants!$B$2, TRUE(), IF(H442=Constants!$B$3, FALSE(), TRUE())))</f>
        <v/>
      </c>
      <c r="V442" s="63" t="str">
        <f aca="false">IF(ISBLANK($C442),"",IF(I442=Constants!$B$2, TRUE(), IF(I442=Constants!$B$3, FALSE(), TRUE())))</f>
        <v/>
      </c>
      <c r="W442" s="63" t="str">
        <f aca="false">IF(ISBLANK($C442),"",IF(J442=Constants!$B$2, TRUE(), IF(J442=Constants!$B$3, FALSE(), TRUE())))</f>
        <v/>
      </c>
      <c r="X442" s="63" t="str">
        <f aca="false">IF(ISBLANK($C442),"",IF(K442=Constants!$B$2, TRUE(), IF(K442=Constants!$B$3, FALSE(), TRUE())))</f>
        <v/>
      </c>
      <c r="Y442" s="65" t="str">
        <f aca="false">IF(ISBLANK($C442),"",IF(ISNUMBER(L442), L442, ""))</f>
        <v/>
      </c>
      <c r="Z442" s="65" t="str">
        <f aca="false">IF(ISBLANK($C442),"",IF(ISNUMBER(M442), M442, ""))</f>
        <v/>
      </c>
      <c r="AA442" s="65" t="str">
        <f aca="false">IF(ISBLANK($C442),"",IF(ISNUMBER(N442), N442, ""))</f>
        <v/>
      </c>
      <c r="AB442" s="66" t="str">
        <f aca="false">IF(ISBLANK($C442),"",IF(ISNUMBER(O442), O442, ""))</f>
        <v/>
      </c>
      <c r="AC442" s="66" t="str">
        <f aca="false">IF(ISBLANK($C442),"",IF(ISNUMBER(P442), P442, Constants!$B$13))</f>
        <v/>
      </c>
      <c r="AD442" s="63" t="str">
        <f aca="false">IF(ISBLANK($C442),"",IF(Q442=Constants!$B$2, TRUE(), IF(Q442=Constants!$B$3, FALSE(), FALSE())))</f>
        <v/>
      </c>
      <c r="AE442" s="63" t="str">
        <f aca="false">IF(ISBLANK(C442), "", IF(AD442, Constants!$B$4,IF(COUNTA(G442:O442)=0, Constants!$B$5, Constants!$B$7)))</f>
        <v/>
      </c>
      <c r="AF442" s="63" t="str">
        <f aca="false">IF(ISBLANK($C442), "",IF($AE442=Constants!$B$7,1,$AE442))</f>
        <v/>
      </c>
      <c r="AG442" s="63" t="str">
        <f aca="false">IF($AE442=Constants!$B$7,IF(V442, 1, Constants!$B$11) * IF(X442, 1, Constants!$B$12),"")</f>
        <v/>
      </c>
      <c r="AH442" s="63" t="str">
        <f aca="false">IF(AND($AE442=Constants!$B$7, T442, U442) ,MAX(0, $AA442-$Y442),"")</f>
        <v/>
      </c>
      <c r="AI442" s="63" t="str">
        <f aca="false">IF(ISERROR(AH442),$AI$6,"")</f>
        <v/>
      </c>
      <c r="AJ442" s="63" t="str">
        <f aca="false">IF($AE442=Constants!$B$7,IF(AND(T442,U442,W442),IF($AH$6=0,Constants!$B$9,Constants!$B$9*AH442/$AH$6), 0),"")</f>
        <v/>
      </c>
      <c r="AK442" s="63" t="str">
        <f aca="false">IF(AJ442&lt;&gt;"", AJ442*AG442,"")</f>
        <v/>
      </c>
      <c r="AL442" s="63" t="str">
        <f aca="false">IF(AND($AE442=Constants!$B$7, T442, U442) ,IF($Z442="", "", MAX(0,1-ABS($AA442-$Z442)/$AA442)),"")</f>
        <v/>
      </c>
      <c r="AM442" s="63" t="str">
        <f aca="false">IF(AND(NOT(ISERROR(AH442)),ISERROR(AL442)),$AM$6,"")</f>
        <v/>
      </c>
      <c r="AN442" s="63" t="str">
        <f aca="false">IF($AE442=Constants!$B$7 ,IF(AND(T442,U442,W442,ISNUMBER(Z442)),IF($AL$6=0,Constants!$B$10,Constants!$B$10*AL442/$AL$6), 0),"")</f>
        <v/>
      </c>
      <c r="AO442" s="63" t="str">
        <f aca="false">IF(AN442&lt;&gt;"", AN442*AG442,"")</f>
        <v/>
      </c>
      <c r="AP442" s="63" t="str">
        <f aca="false">IF($AE442=Constants!$B$7,IF($AP$6=0,Constants!$B$8,Constants!$B$8*AB442/$AP$6),"")</f>
        <v/>
      </c>
      <c r="AQ442" s="63" t="str">
        <f aca="false">IF($AE442&lt;&gt;Constants!$B$7,$AE442,AK442+AO442+AP442)</f>
        <v/>
      </c>
      <c r="AR442" s="63" t="str">
        <f aca="false">IF(ISBLANK($C442),"",IF($AE442=Constants!$B$7,RANK(AQ442,$AQ$8:$AQ$507),$AE442))</f>
        <v/>
      </c>
      <c r="AS442" s="63" t="str">
        <f aca="false">IF(ISBLANK($C442), "",AK442)</f>
        <v/>
      </c>
      <c r="AT442" s="63" t="str">
        <f aca="false">IF(ISBLANK($C442),"",IF($AE442=Constants!$B$7,RANK(AS442,AS$8:AS$507),$AE442))</f>
        <v/>
      </c>
      <c r="AU442" s="63" t="str">
        <f aca="false">IF(ISBLANK($C442), "",AP442)</f>
        <v/>
      </c>
      <c r="AV442" s="63" t="str">
        <f aca="false">IF(ISBLANK($C442),"",IF($AE442=Constants!$B$7,RANK(AU442,AU$8:AU$507),$AE442))</f>
        <v/>
      </c>
      <c r="AW442" s="63" t="str">
        <f aca="false">IF(ISBLANK($C442), "",AC442)</f>
        <v/>
      </c>
      <c r="AX442" s="63" t="str">
        <f aca="false">IF(ISBLANK($C442),"",
IF($AE442=Constants!$B$7,
  COUNTIFS($AR$8:$AR$507,"&lt;"&amp;$AR442)
  + COUNTIFS($AR$8:$AR$507,$AR442,$AT$8:$AT$507,"&lt;"&amp;$AT442)
  + COUNTIFS($AR$8:$AR$507,$AR442,$AT$8:$AT$507,$AT442,$AV$8:$AV$507,"&lt;"&amp;$AV442)
  + COUNTIFS($AR$8:$AR$507,$AR442,$AT$8:$AT$507,$AT442,$AV$8:$AV$507,$AV442,$AW$8:$AW$507,"&lt;"&amp;$AW442)
  + 1,
$AE442))</f>
        <v/>
      </c>
      <c r="AY442" s="63" t="str">
        <f aca="false">IF(ISBLANK(C442),"",IF($AE442=Constants!$B$7, AR442-AX442,$AE442))</f>
        <v/>
      </c>
      <c r="AZ442" s="67"/>
      <c r="BA442" s="81" t="str">
        <f aca="false">IF(ISBLANK($C442),"",TRIM(AI442&amp;" "&amp;AM442))</f>
        <v/>
      </c>
      <c r="BB442" s="69" t="str">
        <f aca="false">IF(ISBLANK($C442),"",IF($AE442&lt;&gt;Constants!$B$7, $AE442 ,AQ442))</f>
        <v/>
      </c>
      <c r="BC442" s="70" t="str">
        <f aca="false">IF(ISBLANK($C442),"",IF($AE442&lt;&gt;Constants!$B$7, $AE442 ,AF442))</f>
        <v/>
      </c>
      <c r="BD442" s="71" t="str">
        <f aca="false">IF(ISBLANK(C442),"",AY442)</f>
        <v/>
      </c>
      <c r="BE442" s="71" t="str">
        <f aca="false">IF(ISBLANK(C442),"",AX442)</f>
        <v/>
      </c>
      <c r="BF442" s="72" t="str">
        <f aca="false">IF(ISBLANK(C442),"",IFERROR(_xlfn.SWITCH(BE442, Constants!$B$4, COUNTA($C$8:$C941)+2, Constants!$B$5, COUNTA($C$8:$C941)+1, Constants!$B$6, COUNTA($C$8:$C941)),BE442))</f>
        <v/>
      </c>
      <c r="BG442" s="5"/>
      <c r="BH442" s="73" t="n">
        <f aca="false">IF(OR(ISNUMBER(BE442),BE442="DQ",BE442="P",BE442="NS"),
    1,
    0
)</f>
        <v>0</v>
      </c>
      <c r="BI442" s="73" t="n">
        <v>435</v>
      </c>
      <c r="BJ442" s="73" t="str">
        <f aca="false">IF(ISBLANK($C442),
    "",
   BF442+ROW($B442)/1000
)</f>
        <v/>
      </c>
      <c r="BK442" s="73" t="str">
        <f aca="false">IF(ISNUMBER(BJ442), RANK(BJ442,BJ$8:BJ$507,1), "")</f>
        <v/>
      </c>
      <c r="BL442" s="73" t="str">
        <f aca="false">IF(ISBLANK($C442),
    "",
    $B442
)</f>
        <v/>
      </c>
      <c r="BM442" s="73" t="str">
        <f aca="false">IF(ISBLANK($C442),
    "",
    $C442
)</f>
        <v/>
      </c>
      <c r="BN442" s="73" t="str">
        <f aca="false">IF(ISBLANK($C442),
    "",
    $D442
)</f>
        <v/>
      </c>
      <c r="BO442" s="74" t="str">
        <f aca="false">BC442</f>
        <v/>
      </c>
      <c r="BP442" s="75" t="str">
        <f aca="false">BB442</f>
        <v/>
      </c>
      <c r="BQ442" s="73" t="str">
        <f aca="false">IF(ISBLANK($C442),
    "",
    BE442
)</f>
        <v/>
      </c>
      <c r="BR442" s="76" t="str">
        <f aca="false">IF(BI442&gt;BH$7,
    "",
    VLOOKUP(BI442,BK$8:BQ941,7,FALSE())
)</f>
        <v/>
      </c>
      <c r="BS442" s="77" t="str">
        <f aca="false">IF(BI442&gt;BH$7,
    "",
    VLOOKUP(BI442,BK$8:BQ941,2,FALSE())
)</f>
        <v/>
      </c>
      <c r="BT442" s="77" t="str">
        <f aca="false">IF(BI442&gt;BH$7,
    "",
    VLOOKUP(BI442,BK$8:BQ941,3,FALSE())
)</f>
        <v/>
      </c>
      <c r="BU442" s="77" t="str">
        <f aca="false">IF(BI442&gt;BH$7,
    "",
    VLOOKUP(BI442,BK$8:BQ941,4,FALSE())
)</f>
        <v/>
      </c>
      <c r="BV442" s="77" t="str">
        <f aca="false">IF(BI442&gt;BH$7,
    "",
    VLOOKUP(BI442,BK$8:BQ941,5,FALSE())
)</f>
        <v/>
      </c>
      <c r="BW442" s="78" t="str">
        <f aca="false">IF(BI442&gt;BH$7,
    "",
    VLOOKUP(BI442,BK$8:BQ941,6,FALSE())
)</f>
        <v/>
      </c>
      <c r="BX442" s="50"/>
    </row>
    <row r="443" customFormat="false" ht="15.75" hidden="false" customHeight="false" outlineLevel="0" collapsed="false">
      <c r="A443" s="5"/>
      <c r="B443" s="122"/>
      <c r="C443" s="123"/>
      <c r="D443" s="112"/>
      <c r="E443" s="116"/>
      <c r="F443" s="116"/>
      <c r="G443" s="88"/>
      <c r="H443" s="89"/>
      <c r="I443" s="125"/>
      <c r="J443" s="125"/>
      <c r="K443" s="125"/>
      <c r="L443" s="91"/>
      <c r="M443" s="91"/>
      <c r="N443" s="91"/>
      <c r="O443" s="92"/>
      <c r="P443" s="93"/>
      <c r="Q443" s="125"/>
      <c r="R443" s="95"/>
      <c r="S443" s="96"/>
      <c r="T443" s="96" t="str">
        <f aca="false">IF(ISBLANK($C443),"",IF(G443=Constants!$B$2, TRUE(), IF(G443=Constants!$B$3, FALSE(), TRUE())))</f>
        <v/>
      </c>
      <c r="U443" s="96" t="str">
        <f aca="false">IF(ISBLANK($C443),"",IF(H443=Constants!$B$2, TRUE(), IF(H443=Constants!$B$3, FALSE(), TRUE())))</f>
        <v/>
      </c>
      <c r="V443" s="96" t="str">
        <f aca="false">IF(ISBLANK($C443),"",IF(I443=Constants!$B$2, TRUE(), IF(I443=Constants!$B$3, FALSE(), TRUE())))</f>
        <v/>
      </c>
      <c r="W443" s="96" t="str">
        <f aca="false">IF(ISBLANK($C443),"",IF(J443=Constants!$B$2, TRUE(), IF(J443=Constants!$B$3, FALSE(), TRUE())))</f>
        <v/>
      </c>
      <c r="X443" s="97" t="str">
        <f aca="false">IF(ISBLANK($C443),"",IF(K443=Constants!$B$2, TRUE(), IF(K443=Constants!$B$3, FALSE(), TRUE())))</f>
        <v/>
      </c>
      <c r="Y443" s="98" t="str">
        <f aca="false">IF(ISBLANK($C443),"",IF(ISNUMBER(L443), L443, ""))</f>
        <v/>
      </c>
      <c r="Z443" s="98" t="str">
        <f aca="false">IF(ISBLANK($C443),"",IF(ISNUMBER(M443), M443, ""))</f>
        <v/>
      </c>
      <c r="AA443" s="98" t="str">
        <f aca="false">IF(ISBLANK($C443),"",IF(ISNUMBER(N443), N443, ""))</f>
        <v/>
      </c>
      <c r="AB443" s="99" t="str">
        <f aca="false">IF(ISBLANK($C443),"",IF(ISNUMBER(O443), O443, ""))</f>
        <v/>
      </c>
      <c r="AC443" s="99" t="str">
        <f aca="false">IF(ISBLANK($C443),"",IF(ISNUMBER(P443), P443, Constants!$B$13))</f>
        <v/>
      </c>
      <c r="AD443" s="96" t="str">
        <f aca="false">IF(ISBLANK($C443),"",IF(Q443=Constants!$B$2, TRUE(), IF(Q443=Constants!$B$3, FALSE(), FALSE())))</f>
        <v/>
      </c>
      <c r="AE443" s="96" t="str">
        <f aca="false">IF(ISBLANK(C443), "", IF(AD443, Constants!$B$4,IF(COUNTA(G443:O443)=0, Constants!$B$5, Constants!$B$7)))</f>
        <v/>
      </c>
      <c r="AF443" s="96" t="str">
        <f aca="false">IF(ISBLANK($C443), "",IF($AE443=Constants!$B$7,1,$AE443))</f>
        <v/>
      </c>
      <c r="AG443" s="96" t="str">
        <f aca="false">IF($AE443=Constants!$B$7,IF(V443, 1, Constants!$B$11) * IF(X443, 1, Constants!$B$12),"")</f>
        <v/>
      </c>
      <c r="AH443" s="96" t="str">
        <f aca="false">IF(AND($AE443=Constants!$B$7, T443, U443) ,MAX(0, $AA443-$Y443),"")</f>
        <v/>
      </c>
      <c r="AI443" s="96" t="str">
        <f aca="false">IF(ISERROR(AH443),$AI$6,"")</f>
        <v/>
      </c>
      <c r="AJ443" s="96" t="str">
        <f aca="false">IF($AE443=Constants!$B$7,IF(AND(T443,U443,W443),IF($AH$6=0,Constants!$B$9,Constants!$B$9*AH443/$AH$6), 0),"")</f>
        <v/>
      </c>
      <c r="AK443" s="96" t="str">
        <f aca="false">IF(AJ443&lt;&gt;"", AJ443*AG443,"")</f>
        <v/>
      </c>
      <c r="AL443" s="96" t="str">
        <f aca="false">IF(AND($AE443=Constants!$B$7, T443, U443) ,IF($Z443="", "", MAX(0,1-ABS($AA443-$Z443)/$AA443)),"")</f>
        <v/>
      </c>
      <c r="AM443" s="96" t="str">
        <f aca="false">IF(AND(NOT(ISERROR(AH443)),ISERROR(AL443)),$AM$6,"")</f>
        <v/>
      </c>
      <c r="AN443" s="96" t="str">
        <f aca="false">IF($AE443=Constants!$B$7 ,IF(AND(T443,U443,W443,ISNUMBER(Z443)),IF($AL$6=0,Constants!$B$10,Constants!$B$10*AL443/$AL$6), 0),"")</f>
        <v/>
      </c>
      <c r="AO443" s="96" t="str">
        <f aca="false">IF(AN443&lt;&gt;"", AN443*AG443,"")</f>
        <v/>
      </c>
      <c r="AP443" s="96" t="str">
        <f aca="false">IF($AE443=Constants!$B$7,IF($AP$6=0,Constants!$B$8,Constants!$B$8*AB443/$AP$6),"")</f>
        <v/>
      </c>
      <c r="AQ443" s="96" t="str">
        <f aca="false">IF($AE443&lt;&gt;Constants!$B$7,$AE443,AK443+AO443+AP443)</f>
        <v/>
      </c>
      <c r="AR443" s="96" t="str">
        <f aca="false">IF(ISBLANK($C443),"",IF($AE443=Constants!$B$7,RANK(AQ443,$AQ$8:$AQ$507),$AE443))</f>
        <v/>
      </c>
      <c r="AS443" s="96" t="str">
        <f aca="false">IF(ISBLANK($C443), "",AK443)</f>
        <v/>
      </c>
      <c r="AT443" s="96" t="str">
        <f aca="false">IF(ISBLANK($C443),"",IF($AE443=Constants!$B$7,RANK(AS443,AS$8:AS$507),$AE443))</f>
        <v/>
      </c>
      <c r="AU443" s="96" t="str">
        <f aca="false">IF(ISBLANK($C443), "",AP443)</f>
        <v/>
      </c>
      <c r="AV443" s="96" t="str">
        <f aca="false">IF(ISBLANK($C443),"",IF($AE443=Constants!$B$7,RANK(AU443,AU$8:AU$507),$AE443))</f>
        <v/>
      </c>
      <c r="AW443" s="96" t="str">
        <f aca="false">IF(ISBLANK($C443), "",AC443)</f>
        <v/>
      </c>
      <c r="AX443" s="96" t="str">
        <f aca="false">IF(ISBLANK($C443),"",
IF($AE443=Constants!$B$7,
  COUNTIFS($AR$8:$AR$507,"&lt;"&amp;$AR443)
  + COUNTIFS($AR$8:$AR$507,$AR443,$AT$8:$AT$507,"&lt;"&amp;$AT443)
  + COUNTIFS($AR$8:$AR$507,$AR443,$AT$8:$AT$507,$AT443,$AV$8:$AV$507,"&lt;"&amp;$AV443)
  + COUNTIFS($AR$8:$AR$507,$AR443,$AT$8:$AT$507,$AT443,$AV$8:$AV$507,$AV443,$AW$8:$AW$507,"&lt;"&amp;$AW443)
  + 1,
$AE443))</f>
        <v/>
      </c>
      <c r="AY443" s="96" t="str">
        <f aca="false">IF(ISBLANK(C443),"",IF($AE443=Constants!$B$7, AR443-AX443,$AE443))</f>
        <v/>
      </c>
      <c r="AZ443" s="100"/>
      <c r="BA443" s="101" t="str">
        <f aca="false">IF(ISBLANK($C443),"",TRIM(AI443&amp;" "&amp;AM443))</f>
        <v/>
      </c>
      <c r="BB443" s="102" t="str">
        <f aca="false">IF(ISBLANK($C443),"",IF($AE443&lt;&gt;Constants!$B$7, $AE443 ,AQ443))</f>
        <v/>
      </c>
      <c r="BC443" s="103" t="str">
        <f aca="false">IF(ISBLANK($C443),"",IF($AE443&lt;&gt;Constants!$B$7, $AE443 ,AF443))</f>
        <v/>
      </c>
      <c r="BD443" s="104" t="str">
        <f aca="false">IF(ISBLANK(C443),"",AY443)</f>
        <v/>
      </c>
      <c r="BE443" s="104" t="str">
        <f aca="false">IF(ISBLANK(C443),"",AX443)</f>
        <v/>
      </c>
      <c r="BF443" s="105" t="str">
        <f aca="false">IF(ISBLANK(C443),"",IFERROR(_xlfn.SWITCH(BE443, Constants!$B$4, COUNTA($C$8:$C942)+2, Constants!$B$5, COUNTA($C$8:$C942)+1, Constants!$B$6, COUNTA($C$8:$C942)),BE443))</f>
        <v/>
      </c>
      <c r="BG443" s="5"/>
      <c r="BH443" s="106" t="n">
        <f aca="false">IF(OR(ISNUMBER(BE443),BE443="DQ",BE443="P",BE443="NS"),
    1,
    0
)</f>
        <v>0</v>
      </c>
      <c r="BI443" s="106" t="n">
        <v>436</v>
      </c>
      <c r="BJ443" s="106" t="str">
        <f aca="false">IF(ISBLANK($C443),
    "",
   BF443+ROW($B443)/1000
)</f>
        <v/>
      </c>
      <c r="BK443" s="106" t="str">
        <f aca="false">IF(ISNUMBER(BJ443), RANK(BJ443,BJ$8:BJ$507,1), "")</f>
        <v/>
      </c>
      <c r="BL443" s="106" t="str">
        <f aca="false">IF(ISBLANK($C443),
    "",
    $B443
)</f>
        <v/>
      </c>
      <c r="BM443" s="106" t="str">
        <f aca="false">IF(ISBLANK($C443),
    "",
    $C443
)</f>
        <v/>
      </c>
      <c r="BN443" s="106" t="str">
        <f aca="false">IF(ISBLANK($C443),
    "",
    $D443
)</f>
        <v/>
      </c>
      <c r="BO443" s="107" t="str">
        <f aca="false">BC443</f>
        <v/>
      </c>
      <c r="BP443" s="108" t="str">
        <f aca="false">BB443</f>
        <v/>
      </c>
      <c r="BQ443" s="106" t="str">
        <f aca="false">IF(ISBLANK($C443),
    "",
    BE443
)</f>
        <v/>
      </c>
      <c r="BR443" s="109" t="str">
        <f aca="false">IF(BI443&gt;BH$7,
    "",
    VLOOKUP(BI443,BK$8:BQ942,7,FALSE())
)</f>
        <v/>
      </c>
      <c r="BS443" s="110" t="str">
        <f aca="false">IF(BI443&gt;BH$7,
    "",
    VLOOKUP(BI443,BK$8:BQ942,2,FALSE())
)</f>
        <v/>
      </c>
      <c r="BT443" s="110" t="str">
        <f aca="false">IF(BI443&gt;BH$7,
    "",
    VLOOKUP(BI443,BK$8:BQ942,3,FALSE())
)</f>
        <v/>
      </c>
      <c r="BU443" s="110" t="str">
        <f aca="false">IF(BI443&gt;BH$7,
    "",
    VLOOKUP(BI443,BK$8:BQ942,4,FALSE())
)</f>
        <v/>
      </c>
      <c r="BV443" s="110" t="str">
        <f aca="false">IF(BI443&gt;BH$7,
    "",
    VLOOKUP(BI443,BK$8:BQ942,5,FALSE())
)</f>
        <v/>
      </c>
      <c r="BW443" s="111" t="str">
        <f aca="false">IF(BI443&gt;BH$7,
    "",
    VLOOKUP(BI443,BK$8:BQ942,6,FALSE())
)</f>
        <v/>
      </c>
      <c r="BX443" s="50"/>
    </row>
    <row r="444" customFormat="false" ht="15.75" hidden="false" customHeight="false" outlineLevel="0" collapsed="false">
      <c r="A444" s="5"/>
      <c r="B444" s="122"/>
      <c r="C444" s="123"/>
      <c r="D444" s="112"/>
      <c r="E444" s="116"/>
      <c r="F444" s="116"/>
      <c r="G444" s="88"/>
      <c r="H444" s="89"/>
      <c r="I444" s="125"/>
      <c r="J444" s="125"/>
      <c r="K444" s="125"/>
      <c r="L444" s="91"/>
      <c r="M444" s="91"/>
      <c r="N444" s="91"/>
      <c r="O444" s="92"/>
      <c r="P444" s="93"/>
      <c r="Q444" s="125"/>
      <c r="R444" s="95"/>
      <c r="S444" s="96"/>
      <c r="T444" s="96" t="str">
        <f aca="false">IF(ISBLANK($C444),"",IF(G444=Constants!$B$2, TRUE(), IF(G444=Constants!$B$3, FALSE(), TRUE())))</f>
        <v/>
      </c>
      <c r="U444" s="96" t="str">
        <f aca="false">IF(ISBLANK($C444),"",IF(H444=Constants!$B$2, TRUE(), IF(H444=Constants!$B$3, FALSE(), TRUE())))</f>
        <v/>
      </c>
      <c r="V444" s="96" t="str">
        <f aca="false">IF(ISBLANK($C444),"",IF(I444=Constants!$B$2, TRUE(), IF(I444=Constants!$B$3, FALSE(), TRUE())))</f>
        <v/>
      </c>
      <c r="W444" s="96" t="str">
        <f aca="false">IF(ISBLANK($C444),"",IF(J444=Constants!$B$2, TRUE(), IF(J444=Constants!$B$3, FALSE(), TRUE())))</f>
        <v/>
      </c>
      <c r="X444" s="97" t="str">
        <f aca="false">IF(ISBLANK($C444),"",IF(K444=Constants!$B$2, TRUE(), IF(K444=Constants!$B$3, FALSE(), TRUE())))</f>
        <v/>
      </c>
      <c r="Y444" s="98" t="str">
        <f aca="false">IF(ISBLANK($C444),"",IF(ISNUMBER(L444), L444, ""))</f>
        <v/>
      </c>
      <c r="Z444" s="98" t="str">
        <f aca="false">IF(ISBLANK($C444),"",IF(ISNUMBER(M444), M444, ""))</f>
        <v/>
      </c>
      <c r="AA444" s="98" t="str">
        <f aca="false">IF(ISBLANK($C444),"",IF(ISNUMBER(N444), N444, ""))</f>
        <v/>
      </c>
      <c r="AB444" s="99" t="str">
        <f aca="false">IF(ISBLANK($C444),"",IF(ISNUMBER(O444), O444, ""))</f>
        <v/>
      </c>
      <c r="AC444" s="99" t="str">
        <f aca="false">IF(ISBLANK($C444),"",IF(ISNUMBER(P444), P444, Constants!$B$13))</f>
        <v/>
      </c>
      <c r="AD444" s="96" t="str">
        <f aca="false">IF(ISBLANK($C444),"",IF(Q444=Constants!$B$2, TRUE(), IF(Q444=Constants!$B$3, FALSE(), FALSE())))</f>
        <v/>
      </c>
      <c r="AE444" s="96" t="str">
        <f aca="false">IF(ISBLANK(C444), "", IF(AD444, Constants!$B$4,IF(COUNTA(G444:O444)=0, Constants!$B$5, Constants!$B$7)))</f>
        <v/>
      </c>
      <c r="AF444" s="96" t="str">
        <f aca="false">IF(ISBLANK($C444), "",IF($AE444=Constants!$B$7,1,$AE444))</f>
        <v/>
      </c>
      <c r="AG444" s="96" t="str">
        <f aca="false">IF($AE444=Constants!$B$7,IF(V444, 1, Constants!$B$11) * IF(X444, 1, Constants!$B$12),"")</f>
        <v/>
      </c>
      <c r="AH444" s="96" t="str">
        <f aca="false">IF(AND($AE444=Constants!$B$7, T444, U444) ,MAX(0, $AA444-$Y444),"")</f>
        <v/>
      </c>
      <c r="AI444" s="96" t="str">
        <f aca="false">IF(ISERROR(AH444),$AI$6,"")</f>
        <v/>
      </c>
      <c r="AJ444" s="96" t="str">
        <f aca="false">IF($AE444=Constants!$B$7,IF(AND(T444,U444,W444),IF($AH$6=0,Constants!$B$9,Constants!$B$9*AH444/$AH$6), 0),"")</f>
        <v/>
      </c>
      <c r="AK444" s="96" t="str">
        <f aca="false">IF(AJ444&lt;&gt;"", AJ444*AG444,"")</f>
        <v/>
      </c>
      <c r="AL444" s="96" t="str">
        <f aca="false">IF(AND($AE444=Constants!$B$7, T444, U444) ,IF($Z444="", "", MAX(0,1-ABS($AA444-$Z444)/$AA444)),"")</f>
        <v/>
      </c>
      <c r="AM444" s="96" t="str">
        <f aca="false">IF(AND(NOT(ISERROR(AH444)),ISERROR(AL444)),$AM$6,"")</f>
        <v/>
      </c>
      <c r="AN444" s="96" t="str">
        <f aca="false">IF($AE444=Constants!$B$7 ,IF(AND(T444,U444,W444,ISNUMBER(Z444)),IF($AL$6=0,Constants!$B$10,Constants!$B$10*AL444/$AL$6), 0),"")</f>
        <v/>
      </c>
      <c r="AO444" s="96" t="str">
        <f aca="false">IF(AN444&lt;&gt;"", AN444*AG444,"")</f>
        <v/>
      </c>
      <c r="AP444" s="96" t="str">
        <f aca="false">IF($AE444=Constants!$B$7,IF($AP$6=0,Constants!$B$8,Constants!$B$8*AB444/$AP$6),"")</f>
        <v/>
      </c>
      <c r="AQ444" s="96" t="str">
        <f aca="false">IF($AE444&lt;&gt;Constants!$B$7,$AE444,AK444+AO444+AP444)</f>
        <v/>
      </c>
      <c r="AR444" s="96" t="str">
        <f aca="false">IF(ISBLANK($C444),"",IF($AE444=Constants!$B$7,RANK(AQ444,$AQ$8:$AQ$507),$AE444))</f>
        <v/>
      </c>
      <c r="AS444" s="96" t="str">
        <f aca="false">IF(ISBLANK($C444), "",AK444)</f>
        <v/>
      </c>
      <c r="AT444" s="96" t="str">
        <f aca="false">IF(ISBLANK($C444),"",IF($AE444=Constants!$B$7,RANK(AS444,AS$8:AS$507),$AE444))</f>
        <v/>
      </c>
      <c r="AU444" s="96" t="str">
        <f aca="false">IF(ISBLANK($C444), "",AP444)</f>
        <v/>
      </c>
      <c r="AV444" s="96" t="str">
        <f aca="false">IF(ISBLANK($C444),"",IF($AE444=Constants!$B$7,RANK(AU444,AU$8:AU$507),$AE444))</f>
        <v/>
      </c>
      <c r="AW444" s="96" t="str">
        <f aca="false">IF(ISBLANK($C444), "",AC444)</f>
        <v/>
      </c>
      <c r="AX444" s="96" t="str">
        <f aca="false">IF(ISBLANK($C444),"",
IF($AE444=Constants!$B$7,
  COUNTIFS($AR$8:$AR$507,"&lt;"&amp;$AR444)
  + COUNTIFS($AR$8:$AR$507,$AR444,$AT$8:$AT$507,"&lt;"&amp;$AT444)
  + COUNTIFS($AR$8:$AR$507,$AR444,$AT$8:$AT$507,$AT444,$AV$8:$AV$507,"&lt;"&amp;$AV444)
  + COUNTIFS($AR$8:$AR$507,$AR444,$AT$8:$AT$507,$AT444,$AV$8:$AV$507,$AV444,$AW$8:$AW$507,"&lt;"&amp;$AW444)
  + 1,
$AE444))</f>
        <v/>
      </c>
      <c r="AY444" s="96" t="str">
        <f aca="false">IF(ISBLANK(C444),"",IF($AE444=Constants!$B$7, AR444-AX444,$AE444))</f>
        <v/>
      </c>
      <c r="AZ444" s="100"/>
      <c r="BA444" s="101" t="str">
        <f aca="false">IF(ISBLANK($C444),"",TRIM(AI444&amp;" "&amp;AM444))</f>
        <v/>
      </c>
      <c r="BB444" s="102" t="str">
        <f aca="false">IF(ISBLANK($C444),"",IF($AE444&lt;&gt;Constants!$B$7, $AE444 ,AQ444))</f>
        <v/>
      </c>
      <c r="BC444" s="103" t="str">
        <f aca="false">IF(ISBLANK($C444),"",IF($AE444&lt;&gt;Constants!$B$7, $AE444 ,AF444))</f>
        <v/>
      </c>
      <c r="BD444" s="104" t="str">
        <f aca="false">IF(ISBLANK(C444),"",AY444)</f>
        <v/>
      </c>
      <c r="BE444" s="104" t="str">
        <f aca="false">IF(ISBLANK(C444),"",AX444)</f>
        <v/>
      </c>
      <c r="BF444" s="105" t="str">
        <f aca="false">IF(ISBLANK(C444),"",IFERROR(_xlfn.SWITCH(BE444, Constants!$B$4, COUNTA($C$8:$C943)+2, Constants!$B$5, COUNTA($C$8:$C943)+1, Constants!$B$6, COUNTA($C$8:$C943)),BE444))</f>
        <v/>
      </c>
      <c r="BG444" s="5"/>
      <c r="BH444" s="106" t="n">
        <f aca="false">IF(OR(ISNUMBER(BE444),BE444="DQ",BE444="P",BE444="NS"),
    1,
    0
)</f>
        <v>0</v>
      </c>
      <c r="BI444" s="106" t="n">
        <v>437</v>
      </c>
      <c r="BJ444" s="106" t="str">
        <f aca="false">IF(ISBLANK($C444),
    "",
   BF444+ROW($B444)/1000
)</f>
        <v/>
      </c>
      <c r="BK444" s="106" t="str">
        <f aca="false">IF(ISNUMBER(BJ444), RANK(BJ444,BJ$8:BJ$507,1), "")</f>
        <v/>
      </c>
      <c r="BL444" s="106" t="str">
        <f aca="false">IF(ISBLANK($C444),
    "",
    $B444
)</f>
        <v/>
      </c>
      <c r="BM444" s="106" t="str">
        <f aca="false">IF(ISBLANK($C444),
    "",
    $C444
)</f>
        <v/>
      </c>
      <c r="BN444" s="106" t="str">
        <f aca="false">IF(ISBLANK($C444),
    "",
    $D444
)</f>
        <v/>
      </c>
      <c r="BO444" s="107" t="str">
        <f aca="false">BC444</f>
        <v/>
      </c>
      <c r="BP444" s="108" t="str">
        <f aca="false">BB444</f>
        <v/>
      </c>
      <c r="BQ444" s="106" t="str">
        <f aca="false">IF(ISBLANK($C444),
    "",
    BE444
)</f>
        <v/>
      </c>
      <c r="BR444" s="109" t="str">
        <f aca="false">IF(BI444&gt;BH$7,
    "",
    VLOOKUP(BI444,BK$8:BQ943,7,FALSE())
)</f>
        <v/>
      </c>
      <c r="BS444" s="110" t="str">
        <f aca="false">IF(BI444&gt;BH$7,
    "",
    VLOOKUP(BI444,BK$8:BQ943,2,FALSE())
)</f>
        <v/>
      </c>
      <c r="BT444" s="110" t="str">
        <f aca="false">IF(BI444&gt;BH$7,
    "",
    VLOOKUP(BI444,BK$8:BQ943,3,FALSE())
)</f>
        <v/>
      </c>
      <c r="BU444" s="110" t="str">
        <f aca="false">IF(BI444&gt;BH$7,
    "",
    VLOOKUP(BI444,BK$8:BQ943,4,FALSE())
)</f>
        <v/>
      </c>
      <c r="BV444" s="110" t="str">
        <f aca="false">IF(BI444&gt;BH$7,
    "",
    VLOOKUP(BI444,BK$8:BQ943,5,FALSE())
)</f>
        <v/>
      </c>
      <c r="BW444" s="111" t="str">
        <f aca="false">IF(BI444&gt;BH$7,
    "",
    VLOOKUP(BI444,BK$8:BQ943,6,FALSE())
)</f>
        <v/>
      </c>
      <c r="BX444" s="50"/>
    </row>
    <row r="445" customFormat="false" ht="15.75" hidden="false" customHeight="false" outlineLevel="0" collapsed="false">
      <c r="A445" s="5"/>
      <c r="B445" s="122"/>
      <c r="C445" s="123"/>
      <c r="D445" s="112"/>
      <c r="E445" s="116"/>
      <c r="F445" s="116"/>
      <c r="G445" s="88"/>
      <c r="H445" s="89"/>
      <c r="I445" s="125"/>
      <c r="J445" s="125"/>
      <c r="K445" s="125"/>
      <c r="L445" s="91"/>
      <c r="M445" s="91"/>
      <c r="N445" s="91"/>
      <c r="O445" s="92"/>
      <c r="P445" s="93"/>
      <c r="Q445" s="125"/>
      <c r="R445" s="95"/>
      <c r="S445" s="96"/>
      <c r="T445" s="96" t="str">
        <f aca="false">IF(ISBLANK($C445),"",IF(G445=Constants!$B$2, TRUE(), IF(G445=Constants!$B$3, FALSE(), TRUE())))</f>
        <v/>
      </c>
      <c r="U445" s="96" t="str">
        <f aca="false">IF(ISBLANK($C445),"",IF(H445=Constants!$B$2, TRUE(), IF(H445=Constants!$B$3, FALSE(), TRUE())))</f>
        <v/>
      </c>
      <c r="V445" s="96" t="str">
        <f aca="false">IF(ISBLANK($C445),"",IF(I445=Constants!$B$2, TRUE(), IF(I445=Constants!$B$3, FALSE(), TRUE())))</f>
        <v/>
      </c>
      <c r="W445" s="96" t="str">
        <f aca="false">IF(ISBLANK($C445),"",IF(J445=Constants!$B$2, TRUE(), IF(J445=Constants!$B$3, FALSE(), TRUE())))</f>
        <v/>
      </c>
      <c r="X445" s="97" t="str">
        <f aca="false">IF(ISBLANK($C445),"",IF(K445=Constants!$B$2, TRUE(), IF(K445=Constants!$B$3, FALSE(), TRUE())))</f>
        <v/>
      </c>
      <c r="Y445" s="98" t="str">
        <f aca="false">IF(ISBLANK($C445),"",IF(ISNUMBER(L445), L445, ""))</f>
        <v/>
      </c>
      <c r="Z445" s="98" t="str">
        <f aca="false">IF(ISBLANK($C445),"",IF(ISNUMBER(M445), M445, ""))</f>
        <v/>
      </c>
      <c r="AA445" s="98" t="str">
        <f aca="false">IF(ISBLANK($C445),"",IF(ISNUMBER(N445), N445, ""))</f>
        <v/>
      </c>
      <c r="AB445" s="99" t="str">
        <f aca="false">IF(ISBLANK($C445),"",IF(ISNUMBER(O445), O445, ""))</f>
        <v/>
      </c>
      <c r="AC445" s="99" t="str">
        <f aca="false">IF(ISBLANK($C445),"",IF(ISNUMBER(P445), P445, Constants!$B$13))</f>
        <v/>
      </c>
      <c r="AD445" s="96" t="str">
        <f aca="false">IF(ISBLANK($C445),"",IF(Q445=Constants!$B$2, TRUE(), IF(Q445=Constants!$B$3, FALSE(), FALSE())))</f>
        <v/>
      </c>
      <c r="AE445" s="96" t="str">
        <f aca="false">IF(ISBLANK(C445), "", IF(AD445, Constants!$B$4,IF(COUNTA(G445:O445)=0, Constants!$B$5, Constants!$B$7)))</f>
        <v/>
      </c>
      <c r="AF445" s="96" t="str">
        <f aca="false">IF(ISBLANK($C445), "",IF($AE445=Constants!$B$7,1,$AE445))</f>
        <v/>
      </c>
      <c r="AG445" s="96" t="str">
        <f aca="false">IF($AE445=Constants!$B$7,IF(V445, 1, Constants!$B$11) * IF(X445, 1, Constants!$B$12),"")</f>
        <v/>
      </c>
      <c r="AH445" s="96" t="str">
        <f aca="false">IF(AND($AE445=Constants!$B$7, T445, U445) ,MAX(0, $AA445-$Y445),"")</f>
        <v/>
      </c>
      <c r="AI445" s="96" t="str">
        <f aca="false">IF(ISERROR(AH445),$AI$6,"")</f>
        <v/>
      </c>
      <c r="AJ445" s="96" t="str">
        <f aca="false">IF($AE445=Constants!$B$7,IF(AND(T445,U445,W445),IF($AH$6=0,Constants!$B$9,Constants!$B$9*AH445/$AH$6), 0),"")</f>
        <v/>
      </c>
      <c r="AK445" s="96" t="str">
        <f aca="false">IF(AJ445&lt;&gt;"", AJ445*AG445,"")</f>
        <v/>
      </c>
      <c r="AL445" s="96" t="str">
        <f aca="false">IF(AND($AE445=Constants!$B$7, T445, U445) ,IF($Z445="", "", MAX(0,1-ABS($AA445-$Z445)/$AA445)),"")</f>
        <v/>
      </c>
      <c r="AM445" s="96" t="str">
        <f aca="false">IF(AND(NOT(ISERROR(AH445)),ISERROR(AL445)),$AM$6,"")</f>
        <v/>
      </c>
      <c r="AN445" s="96" t="str">
        <f aca="false">IF($AE445=Constants!$B$7 ,IF(AND(T445,U445,W445,ISNUMBER(Z445)),IF($AL$6=0,Constants!$B$10,Constants!$B$10*AL445/$AL$6), 0),"")</f>
        <v/>
      </c>
      <c r="AO445" s="96" t="str">
        <f aca="false">IF(AN445&lt;&gt;"", AN445*AG445,"")</f>
        <v/>
      </c>
      <c r="AP445" s="96" t="str">
        <f aca="false">IF($AE445=Constants!$B$7,IF($AP$6=0,Constants!$B$8,Constants!$B$8*AB445/$AP$6),"")</f>
        <v/>
      </c>
      <c r="AQ445" s="96" t="str">
        <f aca="false">IF($AE445&lt;&gt;Constants!$B$7,$AE445,AK445+AO445+AP445)</f>
        <v/>
      </c>
      <c r="AR445" s="96" t="str">
        <f aca="false">IF(ISBLANK($C445),"",IF($AE445=Constants!$B$7,RANK(AQ445,$AQ$8:$AQ$507),$AE445))</f>
        <v/>
      </c>
      <c r="AS445" s="96" t="str">
        <f aca="false">IF(ISBLANK($C445), "",AK445)</f>
        <v/>
      </c>
      <c r="AT445" s="96" t="str">
        <f aca="false">IF(ISBLANK($C445),"",IF($AE445=Constants!$B$7,RANK(AS445,AS$8:AS$507),$AE445))</f>
        <v/>
      </c>
      <c r="AU445" s="96" t="str">
        <f aca="false">IF(ISBLANK($C445), "",AP445)</f>
        <v/>
      </c>
      <c r="AV445" s="96" t="str">
        <f aca="false">IF(ISBLANK($C445),"",IF($AE445=Constants!$B$7,RANK(AU445,AU$8:AU$507),$AE445))</f>
        <v/>
      </c>
      <c r="AW445" s="96" t="str">
        <f aca="false">IF(ISBLANK($C445), "",AC445)</f>
        <v/>
      </c>
      <c r="AX445" s="96" t="str">
        <f aca="false">IF(ISBLANK($C445),"",
IF($AE445=Constants!$B$7,
  COUNTIFS($AR$8:$AR$507,"&lt;"&amp;$AR445)
  + COUNTIFS($AR$8:$AR$507,$AR445,$AT$8:$AT$507,"&lt;"&amp;$AT445)
  + COUNTIFS($AR$8:$AR$507,$AR445,$AT$8:$AT$507,$AT445,$AV$8:$AV$507,"&lt;"&amp;$AV445)
  + COUNTIFS($AR$8:$AR$507,$AR445,$AT$8:$AT$507,$AT445,$AV$8:$AV$507,$AV445,$AW$8:$AW$507,"&lt;"&amp;$AW445)
  + 1,
$AE445))</f>
        <v/>
      </c>
      <c r="AY445" s="96" t="str">
        <f aca="false">IF(ISBLANK(C445),"",IF($AE445=Constants!$B$7, AR445-AX445,$AE445))</f>
        <v/>
      </c>
      <c r="AZ445" s="100"/>
      <c r="BA445" s="101" t="str">
        <f aca="false">IF(ISBLANK($C445),"",TRIM(AI445&amp;" "&amp;AM445))</f>
        <v/>
      </c>
      <c r="BB445" s="102" t="str">
        <f aca="false">IF(ISBLANK($C445),"",IF($AE445&lt;&gt;Constants!$B$7, $AE445 ,AQ445))</f>
        <v/>
      </c>
      <c r="BC445" s="103" t="str">
        <f aca="false">IF(ISBLANK($C445),"",IF($AE445&lt;&gt;Constants!$B$7, $AE445 ,AF445))</f>
        <v/>
      </c>
      <c r="BD445" s="104" t="str">
        <f aca="false">IF(ISBLANK(C445),"",AY445)</f>
        <v/>
      </c>
      <c r="BE445" s="104" t="str">
        <f aca="false">IF(ISBLANK(C445),"",AX445)</f>
        <v/>
      </c>
      <c r="BF445" s="105" t="str">
        <f aca="false">IF(ISBLANK(C445),"",IFERROR(_xlfn.SWITCH(BE445, Constants!$B$4, COUNTA($C$8:$C944)+2, Constants!$B$5, COUNTA($C$8:$C944)+1, Constants!$B$6, COUNTA($C$8:$C944)),BE445))</f>
        <v/>
      </c>
      <c r="BG445" s="5"/>
      <c r="BH445" s="106" t="n">
        <f aca="false">IF(OR(ISNUMBER(BE445),BE445="DQ",BE445="P",BE445="NS"),
    1,
    0
)</f>
        <v>0</v>
      </c>
      <c r="BI445" s="106" t="n">
        <v>438</v>
      </c>
      <c r="BJ445" s="106" t="str">
        <f aca="false">IF(ISBLANK($C445),
    "",
   BF445+ROW($B445)/1000
)</f>
        <v/>
      </c>
      <c r="BK445" s="106" t="str">
        <f aca="false">IF(ISNUMBER(BJ445), RANK(BJ445,BJ$8:BJ$507,1), "")</f>
        <v/>
      </c>
      <c r="BL445" s="106" t="str">
        <f aca="false">IF(ISBLANK($C445),
    "",
    $B445
)</f>
        <v/>
      </c>
      <c r="BM445" s="106" t="str">
        <f aca="false">IF(ISBLANK($C445),
    "",
    $C445
)</f>
        <v/>
      </c>
      <c r="BN445" s="106" t="str">
        <f aca="false">IF(ISBLANK($C445),
    "",
    $D445
)</f>
        <v/>
      </c>
      <c r="BO445" s="107" t="str">
        <f aca="false">BC445</f>
        <v/>
      </c>
      <c r="BP445" s="108" t="str">
        <f aca="false">BB445</f>
        <v/>
      </c>
      <c r="BQ445" s="106" t="str">
        <f aca="false">IF(ISBLANK($C445),
    "",
    BE445
)</f>
        <v/>
      </c>
      <c r="BR445" s="109" t="str">
        <f aca="false">IF(BI445&gt;BH$7,
    "",
    VLOOKUP(BI445,BK$8:BQ944,7,FALSE())
)</f>
        <v/>
      </c>
      <c r="BS445" s="110" t="str">
        <f aca="false">IF(BI445&gt;BH$7,
    "",
    VLOOKUP(BI445,BK$8:BQ944,2,FALSE())
)</f>
        <v/>
      </c>
      <c r="BT445" s="110" t="str">
        <f aca="false">IF(BI445&gt;BH$7,
    "",
    VLOOKUP(BI445,BK$8:BQ944,3,FALSE())
)</f>
        <v/>
      </c>
      <c r="BU445" s="110" t="str">
        <f aca="false">IF(BI445&gt;BH$7,
    "",
    VLOOKUP(BI445,BK$8:BQ944,4,FALSE())
)</f>
        <v/>
      </c>
      <c r="BV445" s="110" t="str">
        <f aca="false">IF(BI445&gt;BH$7,
    "",
    VLOOKUP(BI445,BK$8:BQ944,5,FALSE())
)</f>
        <v/>
      </c>
      <c r="BW445" s="111" t="str">
        <f aca="false">IF(BI445&gt;BH$7,
    "",
    VLOOKUP(BI445,BK$8:BQ944,6,FALSE())
)</f>
        <v/>
      </c>
      <c r="BX445" s="50"/>
    </row>
    <row r="446" customFormat="false" ht="15.75" hidden="false" customHeight="false" outlineLevel="0" collapsed="false">
      <c r="A446" s="5"/>
      <c r="B446" s="126"/>
      <c r="C446" s="52"/>
      <c r="D446" s="53"/>
      <c r="E446" s="120"/>
      <c r="F446" s="120"/>
      <c r="G446" s="55"/>
      <c r="H446" s="56"/>
      <c r="I446" s="80"/>
      <c r="J446" s="80"/>
      <c r="K446" s="80"/>
      <c r="L446" s="58"/>
      <c r="M446" s="58"/>
      <c r="N446" s="58"/>
      <c r="O446" s="59"/>
      <c r="P446" s="60"/>
      <c r="Q446" s="80"/>
      <c r="R446" s="62"/>
      <c r="S446" s="63"/>
      <c r="T446" s="63" t="str">
        <f aca="false">IF(ISBLANK($C446),"",IF(G446=Constants!$B$2, TRUE(), IF(G446=Constants!$B$3, FALSE(), TRUE())))</f>
        <v/>
      </c>
      <c r="U446" s="63" t="str">
        <f aca="false">IF(ISBLANK($C446),"",IF(H446=Constants!$B$2, TRUE(), IF(H446=Constants!$B$3, FALSE(), TRUE())))</f>
        <v/>
      </c>
      <c r="V446" s="63" t="str">
        <f aca="false">IF(ISBLANK($C446),"",IF(I446=Constants!$B$2, TRUE(), IF(I446=Constants!$B$3, FALSE(), TRUE())))</f>
        <v/>
      </c>
      <c r="W446" s="63" t="str">
        <f aca="false">IF(ISBLANK($C446),"",IF(J446=Constants!$B$2, TRUE(), IF(J446=Constants!$B$3, FALSE(), TRUE())))</f>
        <v/>
      </c>
      <c r="X446" s="63" t="str">
        <f aca="false">IF(ISBLANK($C446),"",IF(K446=Constants!$B$2, TRUE(), IF(K446=Constants!$B$3, FALSE(), TRUE())))</f>
        <v/>
      </c>
      <c r="Y446" s="65" t="str">
        <f aca="false">IF(ISBLANK($C446),"",IF(ISNUMBER(L446), L446, ""))</f>
        <v/>
      </c>
      <c r="Z446" s="65" t="str">
        <f aca="false">IF(ISBLANK($C446),"",IF(ISNUMBER(M446), M446, ""))</f>
        <v/>
      </c>
      <c r="AA446" s="65" t="str">
        <f aca="false">IF(ISBLANK($C446),"",IF(ISNUMBER(N446), N446, ""))</f>
        <v/>
      </c>
      <c r="AB446" s="66" t="str">
        <f aca="false">IF(ISBLANK($C446),"",IF(ISNUMBER(O446), O446, ""))</f>
        <v/>
      </c>
      <c r="AC446" s="66" t="str">
        <f aca="false">IF(ISBLANK($C446),"",IF(ISNUMBER(P446), P446, Constants!$B$13))</f>
        <v/>
      </c>
      <c r="AD446" s="63" t="str">
        <f aca="false">IF(ISBLANK($C446),"",IF(Q446=Constants!$B$2, TRUE(), IF(Q446=Constants!$B$3, FALSE(), FALSE())))</f>
        <v/>
      </c>
      <c r="AE446" s="63" t="str">
        <f aca="false">IF(ISBLANK(C446), "", IF(AD446, Constants!$B$4,IF(COUNTA(G446:O446)=0, Constants!$B$5, Constants!$B$7)))</f>
        <v/>
      </c>
      <c r="AF446" s="63" t="str">
        <f aca="false">IF(ISBLANK($C446), "",IF($AE446=Constants!$B$7,1,$AE446))</f>
        <v/>
      </c>
      <c r="AG446" s="63" t="str">
        <f aca="false">IF($AE446=Constants!$B$7,IF(V446, 1, Constants!$B$11) * IF(X446, 1, Constants!$B$12),"")</f>
        <v/>
      </c>
      <c r="AH446" s="63" t="str">
        <f aca="false">IF(AND($AE446=Constants!$B$7, T446, U446) ,MAX(0, $AA446-$Y446),"")</f>
        <v/>
      </c>
      <c r="AI446" s="63" t="str">
        <f aca="false">IF(ISERROR(AH446),$AI$6,"")</f>
        <v/>
      </c>
      <c r="AJ446" s="63" t="str">
        <f aca="false">IF($AE446=Constants!$B$7,IF(AND(T446,U446,W446),IF($AH$6=0,Constants!$B$9,Constants!$B$9*AH446/$AH$6), 0),"")</f>
        <v/>
      </c>
      <c r="AK446" s="63" t="str">
        <f aca="false">IF(AJ446&lt;&gt;"", AJ446*AG446,"")</f>
        <v/>
      </c>
      <c r="AL446" s="63" t="str">
        <f aca="false">IF(AND($AE446=Constants!$B$7, T446, U446) ,IF($Z446="", "", MAX(0,1-ABS($AA446-$Z446)/$AA446)),"")</f>
        <v/>
      </c>
      <c r="AM446" s="63" t="str">
        <f aca="false">IF(AND(NOT(ISERROR(AH446)),ISERROR(AL446)),$AM$6,"")</f>
        <v/>
      </c>
      <c r="AN446" s="63" t="str">
        <f aca="false">IF($AE446=Constants!$B$7 ,IF(AND(T446,U446,W446,ISNUMBER(Z446)),IF($AL$6=0,Constants!$B$10,Constants!$B$10*AL446/$AL$6), 0),"")</f>
        <v/>
      </c>
      <c r="AO446" s="63" t="str">
        <f aca="false">IF(AN446&lt;&gt;"", AN446*AG446,"")</f>
        <v/>
      </c>
      <c r="AP446" s="63" t="str">
        <f aca="false">IF($AE446=Constants!$B$7,IF($AP$6=0,Constants!$B$8,Constants!$B$8*AB446/$AP$6),"")</f>
        <v/>
      </c>
      <c r="AQ446" s="63" t="str">
        <f aca="false">IF($AE446&lt;&gt;Constants!$B$7,$AE446,AK446+AO446+AP446)</f>
        <v/>
      </c>
      <c r="AR446" s="63" t="str">
        <f aca="false">IF(ISBLANK($C446),"",IF($AE446=Constants!$B$7,RANK(AQ446,$AQ$8:$AQ$507),$AE446))</f>
        <v/>
      </c>
      <c r="AS446" s="63" t="str">
        <f aca="false">IF(ISBLANK($C446), "",AK446)</f>
        <v/>
      </c>
      <c r="AT446" s="63" t="str">
        <f aca="false">IF(ISBLANK($C446),"",IF($AE446=Constants!$B$7,RANK(AS446,AS$8:AS$507),$AE446))</f>
        <v/>
      </c>
      <c r="AU446" s="63" t="str">
        <f aca="false">IF(ISBLANK($C446), "",AP446)</f>
        <v/>
      </c>
      <c r="AV446" s="63" t="str">
        <f aca="false">IF(ISBLANK($C446),"",IF($AE446=Constants!$B$7,RANK(AU446,AU$8:AU$507),$AE446))</f>
        <v/>
      </c>
      <c r="AW446" s="63" t="str">
        <f aca="false">IF(ISBLANK($C446), "",AC446)</f>
        <v/>
      </c>
      <c r="AX446" s="63" t="str">
        <f aca="false">IF(ISBLANK($C446),"",
IF($AE446=Constants!$B$7,
  COUNTIFS($AR$8:$AR$507,"&lt;"&amp;$AR446)
  + COUNTIFS($AR$8:$AR$507,$AR446,$AT$8:$AT$507,"&lt;"&amp;$AT446)
  + COUNTIFS($AR$8:$AR$507,$AR446,$AT$8:$AT$507,$AT446,$AV$8:$AV$507,"&lt;"&amp;$AV446)
  + COUNTIFS($AR$8:$AR$507,$AR446,$AT$8:$AT$507,$AT446,$AV$8:$AV$507,$AV446,$AW$8:$AW$507,"&lt;"&amp;$AW446)
  + 1,
$AE446))</f>
        <v/>
      </c>
      <c r="AY446" s="63" t="str">
        <f aca="false">IF(ISBLANK(C446),"",IF($AE446=Constants!$B$7, AR446-AX446,$AE446))</f>
        <v/>
      </c>
      <c r="AZ446" s="67"/>
      <c r="BA446" s="81" t="str">
        <f aca="false">IF(ISBLANK($C446),"",TRIM(AI446&amp;" "&amp;AM446))</f>
        <v/>
      </c>
      <c r="BB446" s="69" t="str">
        <f aca="false">IF(ISBLANK($C446),"",IF($AE446&lt;&gt;Constants!$B$7, $AE446 ,AQ446))</f>
        <v/>
      </c>
      <c r="BC446" s="70" t="str">
        <f aca="false">IF(ISBLANK($C446),"",IF($AE446&lt;&gt;Constants!$B$7, $AE446 ,AF446))</f>
        <v/>
      </c>
      <c r="BD446" s="71" t="str">
        <f aca="false">IF(ISBLANK(C446),"",AY446)</f>
        <v/>
      </c>
      <c r="BE446" s="71" t="str">
        <f aca="false">IF(ISBLANK(C446),"",AX446)</f>
        <v/>
      </c>
      <c r="BF446" s="72" t="str">
        <f aca="false">IF(ISBLANK(C446),"",IFERROR(_xlfn.SWITCH(BE446, Constants!$B$4, COUNTA($C$8:$C945)+2, Constants!$B$5, COUNTA($C$8:$C945)+1, Constants!$B$6, COUNTA($C$8:$C945)),BE446))</f>
        <v/>
      </c>
      <c r="BG446" s="5"/>
      <c r="BH446" s="73" t="n">
        <f aca="false">IF(OR(ISNUMBER(BE446),BE446="DQ",BE446="P",BE446="NS"),
    1,
    0
)</f>
        <v>0</v>
      </c>
      <c r="BI446" s="73" t="n">
        <v>439</v>
      </c>
      <c r="BJ446" s="73" t="str">
        <f aca="false">IF(ISBLANK($C446),
    "",
   BF446+ROW($B446)/1000
)</f>
        <v/>
      </c>
      <c r="BK446" s="73" t="str">
        <f aca="false">IF(ISNUMBER(BJ446), RANK(BJ446,BJ$8:BJ$507,1), "")</f>
        <v/>
      </c>
      <c r="BL446" s="73" t="str">
        <f aca="false">IF(ISBLANK($C446),
    "",
    $B446
)</f>
        <v/>
      </c>
      <c r="BM446" s="73" t="str">
        <f aca="false">IF(ISBLANK($C446),
    "",
    $C446
)</f>
        <v/>
      </c>
      <c r="BN446" s="73" t="str">
        <f aca="false">IF(ISBLANK($C446),
    "",
    $D446
)</f>
        <v/>
      </c>
      <c r="BO446" s="74" t="str">
        <f aca="false">BC446</f>
        <v/>
      </c>
      <c r="BP446" s="75" t="str">
        <f aca="false">BB446</f>
        <v/>
      </c>
      <c r="BQ446" s="73" t="str">
        <f aca="false">IF(ISBLANK($C446),
    "",
    BE446
)</f>
        <v/>
      </c>
      <c r="BR446" s="76" t="str">
        <f aca="false">IF(BI446&gt;BH$7,
    "",
    VLOOKUP(BI446,BK$8:BQ945,7,FALSE())
)</f>
        <v/>
      </c>
      <c r="BS446" s="77" t="str">
        <f aca="false">IF(BI446&gt;BH$7,
    "",
    VLOOKUP(BI446,BK$8:BQ945,2,FALSE())
)</f>
        <v/>
      </c>
      <c r="BT446" s="77" t="str">
        <f aca="false">IF(BI446&gt;BH$7,
    "",
    VLOOKUP(BI446,BK$8:BQ945,3,FALSE())
)</f>
        <v/>
      </c>
      <c r="BU446" s="77" t="str">
        <f aca="false">IF(BI446&gt;BH$7,
    "",
    VLOOKUP(BI446,BK$8:BQ945,4,FALSE())
)</f>
        <v/>
      </c>
      <c r="BV446" s="77" t="str">
        <f aca="false">IF(BI446&gt;BH$7,
    "",
    VLOOKUP(BI446,BK$8:BQ945,5,FALSE())
)</f>
        <v/>
      </c>
      <c r="BW446" s="78" t="str">
        <f aca="false">IF(BI446&gt;BH$7,
    "",
    VLOOKUP(BI446,BK$8:BQ945,6,FALSE())
)</f>
        <v/>
      </c>
      <c r="BX446" s="50"/>
    </row>
    <row r="447" customFormat="false" ht="15.75" hidden="false" customHeight="false" outlineLevel="0" collapsed="false">
      <c r="A447" s="5"/>
      <c r="B447" s="126"/>
      <c r="C447" s="52"/>
      <c r="D447" s="53"/>
      <c r="E447" s="120"/>
      <c r="F447" s="120"/>
      <c r="G447" s="55"/>
      <c r="H447" s="56"/>
      <c r="I447" s="80"/>
      <c r="J447" s="80"/>
      <c r="K447" s="80"/>
      <c r="L447" s="58"/>
      <c r="M447" s="58"/>
      <c r="N447" s="58"/>
      <c r="O447" s="59"/>
      <c r="P447" s="60"/>
      <c r="Q447" s="80"/>
      <c r="R447" s="62"/>
      <c r="S447" s="63"/>
      <c r="T447" s="63" t="str">
        <f aca="false">IF(ISBLANK($C447),"",IF(G447=Constants!$B$2, TRUE(), IF(G447=Constants!$B$3, FALSE(), TRUE())))</f>
        <v/>
      </c>
      <c r="U447" s="63" t="str">
        <f aca="false">IF(ISBLANK($C447),"",IF(H447=Constants!$B$2, TRUE(), IF(H447=Constants!$B$3, FALSE(), TRUE())))</f>
        <v/>
      </c>
      <c r="V447" s="63" t="str">
        <f aca="false">IF(ISBLANK($C447),"",IF(I447=Constants!$B$2, TRUE(), IF(I447=Constants!$B$3, FALSE(), TRUE())))</f>
        <v/>
      </c>
      <c r="W447" s="63" t="str">
        <f aca="false">IF(ISBLANK($C447),"",IF(J447=Constants!$B$2, TRUE(), IF(J447=Constants!$B$3, FALSE(), TRUE())))</f>
        <v/>
      </c>
      <c r="X447" s="63" t="str">
        <f aca="false">IF(ISBLANK($C447),"",IF(K447=Constants!$B$2, TRUE(), IF(K447=Constants!$B$3, FALSE(), TRUE())))</f>
        <v/>
      </c>
      <c r="Y447" s="65" t="str">
        <f aca="false">IF(ISBLANK($C447),"",IF(ISNUMBER(L447), L447, ""))</f>
        <v/>
      </c>
      <c r="Z447" s="65" t="str">
        <f aca="false">IF(ISBLANK($C447),"",IF(ISNUMBER(M447), M447, ""))</f>
        <v/>
      </c>
      <c r="AA447" s="65" t="str">
        <f aca="false">IF(ISBLANK($C447),"",IF(ISNUMBER(N447), N447, ""))</f>
        <v/>
      </c>
      <c r="AB447" s="66" t="str">
        <f aca="false">IF(ISBLANK($C447),"",IF(ISNUMBER(O447), O447, ""))</f>
        <v/>
      </c>
      <c r="AC447" s="66" t="str">
        <f aca="false">IF(ISBLANK($C447),"",IF(ISNUMBER(P447), P447, Constants!$B$13))</f>
        <v/>
      </c>
      <c r="AD447" s="63" t="str">
        <f aca="false">IF(ISBLANK($C447),"",IF(Q447=Constants!$B$2, TRUE(), IF(Q447=Constants!$B$3, FALSE(), FALSE())))</f>
        <v/>
      </c>
      <c r="AE447" s="63" t="str">
        <f aca="false">IF(ISBLANK(C447), "", IF(AD447, Constants!$B$4,IF(COUNTA(G447:O447)=0, Constants!$B$5, Constants!$B$7)))</f>
        <v/>
      </c>
      <c r="AF447" s="63" t="str">
        <f aca="false">IF(ISBLANK($C447), "",IF($AE447=Constants!$B$7,1,$AE447))</f>
        <v/>
      </c>
      <c r="AG447" s="63" t="str">
        <f aca="false">IF($AE447=Constants!$B$7,IF(V447, 1, Constants!$B$11) * IF(X447, 1, Constants!$B$12),"")</f>
        <v/>
      </c>
      <c r="AH447" s="63" t="str">
        <f aca="false">IF(AND($AE447=Constants!$B$7, T447, U447) ,MAX(0, $AA447-$Y447),"")</f>
        <v/>
      </c>
      <c r="AI447" s="63" t="str">
        <f aca="false">IF(ISERROR(AH447),$AI$6,"")</f>
        <v/>
      </c>
      <c r="AJ447" s="63" t="str">
        <f aca="false">IF($AE447=Constants!$B$7,IF(AND(T447,U447,W447),IF($AH$6=0,Constants!$B$9,Constants!$B$9*AH447/$AH$6), 0),"")</f>
        <v/>
      </c>
      <c r="AK447" s="63" t="str">
        <f aca="false">IF(AJ447&lt;&gt;"", AJ447*AG447,"")</f>
        <v/>
      </c>
      <c r="AL447" s="63" t="str">
        <f aca="false">IF(AND($AE447=Constants!$B$7, T447, U447) ,IF($Z447="", "", MAX(0,1-ABS($AA447-$Z447)/$AA447)),"")</f>
        <v/>
      </c>
      <c r="AM447" s="63" t="str">
        <f aca="false">IF(AND(NOT(ISERROR(AH447)),ISERROR(AL447)),$AM$6,"")</f>
        <v/>
      </c>
      <c r="AN447" s="63" t="str">
        <f aca="false">IF($AE447=Constants!$B$7 ,IF(AND(T447,U447,W447,ISNUMBER(Z447)),IF($AL$6=0,Constants!$B$10,Constants!$B$10*AL447/$AL$6), 0),"")</f>
        <v/>
      </c>
      <c r="AO447" s="63" t="str">
        <f aca="false">IF(AN447&lt;&gt;"", AN447*AG447,"")</f>
        <v/>
      </c>
      <c r="AP447" s="63" t="str">
        <f aca="false">IF($AE447=Constants!$B$7,IF($AP$6=0,Constants!$B$8,Constants!$B$8*AB447/$AP$6),"")</f>
        <v/>
      </c>
      <c r="AQ447" s="63" t="str">
        <f aca="false">IF($AE447&lt;&gt;Constants!$B$7,$AE447,AK447+AO447+AP447)</f>
        <v/>
      </c>
      <c r="AR447" s="63" t="str">
        <f aca="false">IF(ISBLANK($C447),"",IF($AE447=Constants!$B$7,RANK(AQ447,$AQ$8:$AQ$507),$AE447))</f>
        <v/>
      </c>
      <c r="AS447" s="63" t="str">
        <f aca="false">IF(ISBLANK($C447), "",AK447)</f>
        <v/>
      </c>
      <c r="AT447" s="63" t="str">
        <f aca="false">IF(ISBLANK($C447),"",IF($AE447=Constants!$B$7,RANK(AS447,AS$8:AS$507),$AE447))</f>
        <v/>
      </c>
      <c r="AU447" s="63" t="str">
        <f aca="false">IF(ISBLANK($C447), "",AP447)</f>
        <v/>
      </c>
      <c r="AV447" s="63" t="str">
        <f aca="false">IF(ISBLANK($C447),"",IF($AE447=Constants!$B$7,RANK(AU447,AU$8:AU$507),$AE447))</f>
        <v/>
      </c>
      <c r="AW447" s="63" t="str">
        <f aca="false">IF(ISBLANK($C447), "",AC447)</f>
        <v/>
      </c>
      <c r="AX447" s="63" t="str">
        <f aca="false">IF(ISBLANK($C447),"",
IF($AE447=Constants!$B$7,
  COUNTIFS($AR$8:$AR$507,"&lt;"&amp;$AR447)
  + COUNTIFS($AR$8:$AR$507,$AR447,$AT$8:$AT$507,"&lt;"&amp;$AT447)
  + COUNTIFS($AR$8:$AR$507,$AR447,$AT$8:$AT$507,$AT447,$AV$8:$AV$507,"&lt;"&amp;$AV447)
  + COUNTIFS($AR$8:$AR$507,$AR447,$AT$8:$AT$507,$AT447,$AV$8:$AV$507,$AV447,$AW$8:$AW$507,"&lt;"&amp;$AW447)
  + 1,
$AE447))</f>
        <v/>
      </c>
      <c r="AY447" s="63" t="str">
        <f aca="false">IF(ISBLANK(C447),"",IF($AE447=Constants!$B$7, AR447-AX447,$AE447))</f>
        <v/>
      </c>
      <c r="AZ447" s="67"/>
      <c r="BA447" s="81" t="str">
        <f aca="false">IF(ISBLANK($C447),"",TRIM(AI447&amp;" "&amp;AM447))</f>
        <v/>
      </c>
      <c r="BB447" s="69" t="str">
        <f aca="false">IF(ISBLANK($C447),"",IF($AE447&lt;&gt;Constants!$B$7, $AE447 ,AQ447))</f>
        <v/>
      </c>
      <c r="BC447" s="70" t="str">
        <f aca="false">IF(ISBLANK($C447),"",IF($AE447&lt;&gt;Constants!$B$7, $AE447 ,AF447))</f>
        <v/>
      </c>
      <c r="BD447" s="71" t="str">
        <f aca="false">IF(ISBLANK(C447),"",AY447)</f>
        <v/>
      </c>
      <c r="BE447" s="71" t="str">
        <f aca="false">IF(ISBLANK(C447),"",AX447)</f>
        <v/>
      </c>
      <c r="BF447" s="72" t="str">
        <f aca="false">IF(ISBLANK(C447),"",IFERROR(_xlfn.SWITCH(BE447, Constants!$B$4, COUNTA($C$8:$C946)+2, Constants!$B$5, COUNTA($C$8:$C946)+1, Constants!$B$6, COUNTA($C$8:$C946)),BE447))</f>
        <v/>
      </c>
      <c r="BG447" s="5"/>
      <c r="BH447" s="73" t="n">
        <f aca="false">IF(OR(ISNUMBER(BE447),BE447="DQ",BE447="P",BE447="NS"),
    1,
    0
)</f>
        <v>0</v>
      </c>
      <c r="BI447" s="73" t="n">
        <v>440</v>
      </c>
      <c r="BJ447" s="73" t="str">
        <f aca="false">IF(ISBLANK($C447),
    "",
   BF447+ROW($B447)/1000
)</f>
        <v/>
      </c>
      <c r="BK447" s="73" t="str">
        <f aca="false">IF(ISNUMBER(BJ447), RANK(BJ447,BJ$8:BJ$507,1), "")</f>
        <v/>
      </c>
      <c r="BL447" s="73" t="str">
        <f aca="false">IF(ISBLANK($C447),
    "",
    $B447
)</f>
        <v/>
      </c>
      <c r="BM447" s="73" t="str">
        <f aca="false">IF(ISBLANK($C447),
    "",
    $C447
)</f>
        <v/>
      </c>
      <c r="BN447" s="73" t="str">
        <f aca="false">IF(ISBLANK($C447),
    "",
    $D447
)</f>
        <v/>
      </c>
      <c r="BO447" s="74" t="str">
        <f aca="false">BC447</f>
        <v/>
      </c>
      <c r="BP447" s="75" t="str">
        <f aca="false">BB447</f>
        <v/>
      </c>
      <c r="BQ447" s="73" t="str">
        <f aca="false">IF(ISBLANK($C447),
    "",
    BE447
)</f>
        <v/>
      </c>
      <c r="BR447" s="76" t="str">
        <f aca="false">IF(BI447&gt;BH$7,
    "",
    VLOOKUP(BI447,BK$8:BQ946,7,FALSE())
)</f>
        <v/>
      </c>
      <c r="BS447" s="77" t="str">
        <f aca="false">IF(BI447&gt;BH$7,
    "",
    VLOOKUP(BI447,BK$8:BQ946,2,FALSE())
)</f>
        <v/>
      </c>
      <c r="BT447" s="77" t="str">
        <f aca="false">IF(BI447&gt;BH$7,
    "",
    VLOOKUP(BI447,BK$8:BQ946,3,FALSE())
)</f>
        <v/>
      </c>
      <c r="BU447" s="77" t="str">
        <f aca="false">IF(BI447&gt;BH$7,
    "",
    VLOOKUP(BI447,BK$8:BQ946,4,FALSE())
)</f>
        <v/>
      </c>
      <c r="BV447" s="77" t="str">
        <f aca="false">IF(BI447&gt;BH$7,
    "",
    VLOOKUP(BI447,BK$8:BQ946,5,FALSE())
)</f>
        <v/>
      </c>
      <c r="BW447" s="78" t="str">
        <f aca="false">IF(BI447&gt;BH$7,
    "",
    VLOOKUP(BI447,BK$8:BQ946,6,FALSE())
)</f>
        <v/>
      </c>
      <c r="BX447" s="50"/>
    </row>
    <row r="448" customFormat="false" ht="15.75" hidden="false" customHeight="false" outlineLevel="0" collapsed="false">
      <c r="A448" s="5"/>
      <c r="B448" s="126"/>
      <c r="C448" s="52"/>
      <c r="D448" s="53"/>
      <c r="E448" s="120"/>
      <c r="F448" s="120"/>
      <c r="G448" s="55"/>
      <c r="H448" s="56"/>
      <c r="I448" s="80"/>
      <c r="J448" s="80"/>
      <c r="K448" s="80"/>
      <c r="L448" s="58"/>
      <c r="M448" s="58"/>
      <c r="N448" s="58"/>
      <c r="O448" s="59"/>
      <c r="P448" s="60"/>
      <c r="Q448" s="80"/>
      <c r="R448" s="62"/>
      <c r="S448" s="63"/>
      <c r="T448" s="63" t="str">
        <f aca="false">IF(ISBLANK($C448),"",IF(G448=Constants!$B$2, TRUE(), IF(G448=Constants!$B$3, FALSE(), TRUE())))</f>
        <v/>
      </c>
      <c r="U448" s="63" t="str">
        <f aca="false">IF(ISBLANK($C448),"",IF(H448=Constants!$B$2, TRUE(), IF(H448=Constants!$B$3, FALSE(), TRUE())))</f>
        <v/>
      </c>
      <c r="V448" s="63" t="str">
        <f aca="false">IF(ISBLANK($C448),"",IF(I448=Constants!$B$2, TRUE(), IF(I448=Constants!$B$3, FALSE(), TRUE())))</f>
        <v/>
      </c>
      <c r="W448" s="63" t="str">
        <f aca="false">IF(ISBLANK($C448),"",IF(J448=Constants!$B$2, TRUE(), IF(J448=Constants!$B$3, FALSE(), TRUE())))</f>
        <v/>
      </c>
      <c r="X448" s="63" t="str">
        <f aca="false">IF(ISBLANK($C448),"",IF(K448=Constants!$B$2, TRUE(), IF(K448=Constants!$B$3, FALSE(), TRUE())))</f>
        <v/>
      </c>
      <c r="Y448" s="65" t="str">
        <f aca="false">IF(ISBLANK($C448),"",IF(ISNUMBER(L448), L448, ""))</f>
        <v/>
      </c>
      <c r="Z448" s="65" t="str">
        <f aca="false">IF(ISBLANK($C448),"",IF(ISNUMBER(M448), M448, ""))</f>
        <v/>
      </c>
      <c r="AA448" s="65" t="str">
        <f aca="false">IF(ISBLANK($C448),"",IF(ISNUMBER(N448), N448, ""))</f>
        <v/>
      </c>
      <c r="AB448" s="66" t="str">
        <f aca="false">IF(ISBLANK($C448),"",IF(ISNUMBER(O448), O448, ""))</f>
        <v/>
      </c>
      <c r="AC448" s="66" t="str">
        <f aca="false">IF(ISBLANK($C448),"",IF(ISNUMBER(P448), P448, Constants!$B$13))</f>
        <v/>
      </c>
      <c r="AD448" s="63" t="str">
        <f aca="false">IF(ISBLANK($C448),"",IF(Q448=Constants!$B$2, TRUE(), IF(Q448=Constants!$B$3, FALSE(), FALSE())))</f>
        <v/>
      </c>
      <c r="AE448" s="63" t="str">
        <f aca="false">IF(ISBLANK(C448), "", IF(AD448, Constants!$B$4,IF(COUNTA(G448:O448)=0, Constants!$B$5, Constants!$B$7)))</f>
        <v/>
      </c>
      <c r="AF448" s="63" t="str">
        <f aca="false">IF(ISBLANK($C448), "",IF($AE448=Constants!$B$7,1,$AE448))</f>
        <v/>
      </c>
      <c r="AG448" s="63" t="str">
        <f aca="false">IF($AE448=Constants!$B$7,IF(V448, 1, Constants!$B$11) * IF(X448, 1, Constants!$B$12),"")</f>
        <v/>
      </c>
      <c r="AH448" s="63" t="str">
        <f aca="false">IF(AND($AE448=Constants!$B$7, T448, U448) ,MAX(0, $AA448-$Y448),"")</f>
        <v/>
      </c>
      <c r="AI448" s="63" t="str">
        <f aca="false">IF(ISERROR(AH448),$AI$6,"")</f>
        <v/>
      </c>
      <c r="AJ448" s="63" t="str">
        <f aca="false">IF($AE448=Constants!$B$7,IF(AND(T448,U448,W448),IF($AH$6=0,Constants!$B$9,Constants!$B$9*AH448/$AH$6), 0),"")</f>
        <v/>
      </c>
      <c r="AK448" s="63" t="str">
        <f aca="false">IF(AJ448&lt;&gt;"", AJ448*AG448,"")</f>
        <v/>
      </c>
      <c r="AL448" s="63" t="str">
        <f aca="false">IF(AND($AE448=Constants!$B$7, T448, U448) ,IF($Z448="", "", MAX(0,1-ABS($AA448-$Z448)/$AA448)),"")</f>
        <v/>
      </c>
      <c r="AM448" s="63" t="str">
        <f aca="false">IF(AND(NOT(ISERROR(AH448)),ISERROR(AL448)),$AM$6,"")</f>
        <v/>
      </c>
      <c r="AN448" s="63" t="str">
        <f aca="false">IF($AE448=Constants!$B$7 ,IF(AND(T448,U448,W448,ISNUMBER(Z448)),IF($AL$6=0,Constants!$B$10,Constants!$B$10*AL448/$AL$6), 0),"")</f>
        <v/>
      </c>
      <c r="AO448" s="63" t="str">
        <f aca="false">IF(AN448&lt;&gt;"", AN448*AG448,"")</f>
        <v/>
      </c>
      <c r="AP448" s="63" t="str">
        <f aca="false">IF($AE448=Constants!$B$7,IF($AP$6=0,Constants!$B$8,Constants!$B$8*AB448/$AP$6),"")</f>
        <v/>
      </c>
      <c r="AQ448" s="63" t="str">
        <f aca="false">IF($AE448&lt;&gt;Constants!$B$7,$AE448,AK448+AO448+AP448)</f>
        <v/>
      </c>
      <c r="AR448" s="63" t="str">
        <f aca="false">IF(ISBLANK($C448),"",IF($AE448=Constants!$B$7,RANK(AQ448,$AQ$8:$AQ$507),$AE448))</f>
        <v/>
      </c>
      <c r="AS448" s="63" t="str">
        <f aca="false">IF(ISBLANK($C448), "",AK448)</f>
        <v/>
      </c>
      <c r="AT448" s="63" t="str">
        <f aca="false">IF(ISBLANK($C448),"",IF($AE448=Constants!$B$7,RANK(AS448,AS$8:AS$507),$AE448))</f>
        <v/>
      </c>
      <c r="AU448" s="63" t="str">
        <f aca="false">IF(ISBLANK($C448), "",AP448)</f>
        <v/>
      </c>
      <c r="AV448" s="63" t="str">
        <f aca="false">IF(ISBLANK($C448),"",IF($AE448=Constants!$B$7,RANK(AU448,AU$8:AU$507),$AE448))</f>
        <v/>
      </c>
      <c r="AW448" s="63" t="str">
        <f aca="false">IF(ISBLANK($C448), "",AC448)</f>
        <v/>
      </c>
      <c r="AX448" s="63" t="str">
        <f aca="false">IF(ISBLANK($C448),"",
IF($AE448=Constants!$B$7,
  COUNTIFS($AR$8:$AR$507,"&lt;"&amp;$AR448)
  + COUNTIFS($AR$8:$AR$507,$AR448,$AT$8:$AT$507,"&lt;"&amp;$AT448)
  + COUNTIFS($AR$8:$AR$507,$AR448,$AT$8:$AT$507,$AT448,$AV$8:$AV$507,"&lt;"&amp;$AV448)
  + COUNTIFS($AR$8:$AR$507,$AR448,$AT$8:$AT$507,$AT448,$AV$8:$AV$507,$AV448,$AW$8:$AW$507,"&lt;"&amp;$AW448)
  + 1,
$AE448))</f>
        <v/>
      </c>
      <c r="AY448" s="63" t="str">
        <f aca="false">IF(ISBLANK(C448),"",IF($AE448=Constants!$B$7, AR448-AX448,$AE448))</f>
        <v/>
      </c>
      <c r="AZ448" s="67"/>
      <c r="BA448" s="81" t="str">
        <f aca="false">IF(ISBLANK($C448),"",TRIM(AI448&amp;" "&amp;AM448))</f>
        <v/>
      </c>
      <c r="BB448" s="69" t="str">
        <f aca="false">IF(ISBLANK($C448),"",IF($AE448&lt;&gt;Constants!$B$7, $AE448 ,AQ448))</f>
        <v/>
      </c>
      <c r="BC448" s="70" t="str">
        <f aca="false">IF(ISBLANK($C448),"",IF($AE448&lt;&gt;Constants!$B$7, $AE448 ,AF448))</f>
        <v/>
      </c>
      <c r="BD448" s="71" t="str">
        <f aca="false">IF(ISBLANK(C448),"",AY448)</f>
        <v/>
      </c>
      <c r="BE448" s="71" t="str">
        <f aca="false">IF(ISBLANK(C448),"",AX448)</f>
        <v/>
      </c>
      <c r="BF448" s="72" t="str">
        <f aca="false">IF(ISBLANK(C448),"",IFERROR(_xlfn.SWITCH(BE448, Constants!$B$4, COUNTA($C$8:$C947)+2, Constants!$B$5, COUNTA($C$8:$C947)+1, Constants!$B$6, COUNTA($C$8:$C947)),BE448))</f>
        <v/>
      </c>
      <c r="BG448" s="5"/>
      <c r="BH448" s="73" t="n">
        <f aca="false">IF(OR(ISNUMBER(BE448),BE448="DQ",BE448="P",BE448="NS"),
    1,
    0
)</f>
        <v>0</v>
      </c>
      <c r="BI448" s="73" t="n">
        <v>441</v>
      </c>
      <c r="BJ448" s="73" t="str">
        <f aca="false">IF(ISBLANK($C448),
    "",
   BF448+ROW($B448)/1000
)</f>
        <v/>
      </c>
      <c r="BK448" s="73" t="str">
        <f aca="false">IF(ISNUMBER(BJ448), RANK(BJ448,BJ$8:BJ$507,1), "")</f>
        <v/>
      </c>
      <c r="BL448" s="73" t="str">
        <f aca="false">IF(ISBLANK($C448),
    "",
    $B448
)</f>
        <v/>
      </c>
      <c r="BM448" s="73" t="str">
        <f aca="false">IF(ISBLANK($C448),
    "",
    $C448
)</f>
        <v/>
      </c>
      <c r="BN448" s="73" t="str">
        <f aca="false">IF(ISBLANK($C448),
    "",
    $D448
)</f>
        <v/>
      </c>
      <c r="BO448" s="74" t="str">
        <f aca="false">BC448</f>
        <v/>
      </c>
      <c r="BP448" s="75" t="str">
        <f aca="false">BB448</f>
        <v/>
      </c>
      <c r="BQ448" s="73" t="str">
        <f aca="false">IF(ISBLANK($C448),
    "",
    BE448
)</f>
        <v/>
      </c>
      <c r="BR448" s="76" t="str">
        <f aca="false">IF(BI448&gt;BH$7,
    "",
    VLOOKUP(BI448,BK$8:BQ947,7,FALSE())
)</f>
        <v/>
      </c>
      <c r="BS448" s="77" t="str">
        <f aca="false">IF(BI448&gt;BH$7,
    "",
    VLOOKUP(BI448,BK$8:BQ947,2,FALSE())
)</f>
        <v/>
      </c>
      <c r="BT448" s="77" t="str">
        <f aca="false">IF(BI448&gt;BH$7,
    "",
    VLOOKUP(BI448,BK$8:BQ947,3,FALSE())
)</f>
        <v/>
      </c>
      <c r="BU448" s="77" t="str">
        <f aca="false">IF(BI448&gt;BH$7,
    "",
    VLOOKUP(BI448,BK$8:BQ947,4,FALSE())
)</f>
        <v/>
      </c>
      <c r="BV448" s="77" t="str">
        <f aca="false">IF(BI448&gt;BH$7,
    "",
    VLOOKUP(BI448,BK$8:BQ947,5,FALSE())
)</f>
        <v/>
      </c>
      <c r="BW448" s="78" t="str">
        <f aca="false">IF(BI448&gt;BH$7,
    "",
    VLOOKUP(BI448,BK$8:BQ947,6,FALSE())
)</f>
        <v/>
      </c>
      <c r="BX448" s="50"/>
    </row>
    <row r="449" customFormat="false" ht="15.75" hidden="false" customHeight="false" outlineLevel="0" collapsed="false">
      <c r="A449" s="5"/>
      <c r="B449" s="122"/>
      <c r="C449" s="123"/>
      <c r="D449" s="112"/>
      <c r="E449" s="116"/>
      <c r="F449" s="116"/>
      <c r="G449" s="88"/>
      <c r="H449" s="89"/>
      <c r="I449" s="125"/>
      <c r="J449" s="125"/>
      <c r="K449" s="125"/>
      <c r="L449" s="91"/>
      <c r="M449" s="91"/>
      <c r="N449" s="91"/>
      <c r="O449" s="92"/>
      <c r="P449" s="93"/>
      <c r="Q449" s="125"/>
      <c r="R449" s="95"/>
      <c r="S449" s="96"/>
      <c r="T449" s="96" t="str">
        <f aca="false">IF(ISBLANK($C449),"",IF(G449=Constants!$B$2, TRUE(), IF(G449=Constants!$B$3, FALSE(), TRUE())))</f>
        <v/>
      </c>
      <c r="U449" s="96" t="str">
        <f aca="false">IF(ISBLANK($C449),"",IF(H449=Constants!$B$2, TRUE(), IF(H449=Constants!$B$3, FALSE(), TRUE())))</f>
        <v/>
      </c>
      <c r="V449" s="96" t="str">
        <f aca="false">IF(ISBLANK($C449),"",IF(I449=Constants!$B$2, TRUE(), IF(I449=Constants!$B$3, FALSE(), TRUE())))</f>
        <v/>
      </c>
      <c r="W449" s="96" t="str">
        <f aca="false">IF(ISBLANK($C449),"",IF(J449=Constants!$B$2, TRUE(), IF(J449=Constants!$B$3, FALSE(), TRUE())))</f>
        <v/>
      </c>
      <c r="X449" s="97" t="str">
        <f aca="false">IF(ISBLANK($C449),"",IF(K449=Constants!$B$2, TRUE(), IF(K449=Constants!$B$3, FALSE(), TRUE())))</f>
        <v/>
      </c>
      <c r="Y449" s="98" t="str">
        <f aca="false">IF(ISBLANK($C449),"",IF(ISNUMBER(L449), L449, ""))</f>
        <v/>
      </c>
      <c r="Z449" s="98" t="str">
        <f aca="false">IF(ISBLANK($C449),"",IF(ISNUMBER(M449), M449, ""))</f>
        <v/>
      </c>
      <c r="AA449" s="98" t="str">
        <f aca="false">IF(ISBLANK($C449),"",IF(ISNUMBER(N449), N449, ""))</f>
        <v/>
      </c>
      <c r="AB449" s="99" t="str">
        <f aca="false">IF(ISBLANK($C449),"",IF(ISNUMBER(O449), O449, ""))</f>
        <v/>
      </c>
      <c r="AC449" s="99" t="str">
        <f aca="false">IF(ISBLANK($C449),"",IF(ISNUMBER(P449), P449, Constants!$B$13))</f>
        <v/>
      </c>
      <c r="AD449" s="96" t="str">
        <f aca="false">IF(ISBLANK($C449),"",IF(Q449=Constants!$B$2, TRUE(), IF(Q449=Constants!$B$3, FALSE(), FALSE())))</f>
        <v/>
      </c>
      <c r="AE449" s="96" t="str">
        <f aca="false">IF(ISBLANK(C449), "", IF(AD449, Constants!$B$4,IF(COUNTA(G449:O449)=0, Constants!$B$5, Constants!$B$7)))</f>
        <v/>
      </c>
      <c r="AF449" s="96" t="str">
        <f aca="false">IF(ISBLANK($C449), "",IF($AE449=Constants!$B$7,1,$AE449))</f>
        <v/>
      </c>
      <c r="AG449" s="96" t="str">
        <f aca="false">IF($AE449=Constants!$B$7,IF(V449, 1, Constants!$B$11) * IF(X449, 1, Constants!$B$12),"")</f>
        <v/>
      </c>
      <c r="AH449" s="96" t="str">
        <f aca="false">IF(AND($AE449=Constants!$B$7, T449, U449) ,MAX(0, $AA449-$Y449),"")</f>
        <v/>
      </c>
      <c r="AI449" s="96" t="str">
        <f aca="false">IF(ISERROR(AH449),$AI$6,"")</f>
        <v/>
      </c>
      <c r="AJ449" s="96" t="str">
        <f aca="false">IF($AE449=Constants!$B$7,IF(AND(T449,U449,W449),IF($AH$6=0,Constants!$B$9,Constants!$B$9*AH449/$AH$6), 0),"")</f>
        <v/>
      </c>
      <c r="AK449" s="96" t="str">
        <f aca="false">IF(AJ449&lt;&gt;"", AJ449*AG449,"")</f>
        <v/>
      </c>
      <c r="AL449" s="96" t="str">
        <f aca="false">IF(AND($AE449=Constants!$B$7, T449, U449) ,IF($Z449="", "", MAX(0,1-ABS($AA449-$Z449)/$AA449)),"")</f>
        <v/>
      </c>
      <c r="AM449" s="96" t="str">
        <f aca="false">IF(AND(NOT(ISERROR(AH449)),ISERROR(AL449)),$AM$6,"")</f>
        <v/>
      </c>
      <c r="AN449" s="96" t="str">
        <f aca="false">IF($AE449=Constants!$B$7 ,IF(AND(T449,U449,W449,ISNUMBER(Z449)),IF($AL$6=0,Constants!$B$10,Constants!$B$10*AL449/$AL$6), 0),"")</f>
        <v/>
      </c>
      <c r="AO449" s="96" t="str">
        <f aca="false">IF(AN449&lt;&gt;"", AN449*AG449,"")</f>
        <v/>
      </c>
      <c r="AP449" s="96" t="str">
        <f aca="false">IF($AE449=Constants!$B$7,IF($AP$6=0,Constants!$B$8,Constants!$B$8*AB449/$AP$6),"")</f>
        <v/>
      </c>
      <c r="AQ449" s="96" t="str">
        <f aca="false">IF($AE449&lt;&gt;Constants!$B$7,$AE449,AK449+AO449+AP449)</f>
        <v/>
      </c>
      <c r="AR449" s="96" t="str">
        <f aca="false">IF(ISBLANK($C449),"",IF($AE449=Constants!$B$7,RANK(AQ449,$AQ$8:$AQ$507),$AE449))</f>
        <v/>
      </c>
      <c r="AS449" s="96" t="str">
        <f aca="false">IF(ISBLANK($C449), "",AK449)</f>
        <v/>
      </c>
      <c r="AT449" s="96" t="str">
        <f aca="false">IF(ISBLANK($C449),"",IF($AE449=Constants!$B$7,RANK(AS449,AS$8:AS$507),$AE449))</f>
        <v/>
      </c>
      <c r="AU449" s="96" t="str">
        <f aca="false">IF(ISBLANK($C449), "",AP449)</f>
        <v/>
      </c>
      <c r="AV449" s="96" t="str">
        <f aca="false">IF(ISBLANK($C449),"",IF($AE449=Constants!$B$7,RANK(AU449,AU$8:AU$507),$AE449))</f>
        <v/>
      </c>
      <c r="AW449" s="96" t="str">
        <f aca="false">IF(ISBLANK($C449), "",AC449)</f>
        <v/>
      </c>
      <c r="AX449" s="96" t="str">
        <f aca="false">IF(ISBLANK($C449),"",
IF($AE449=Constants!$B$7,
  COUNTIFS($AR$8:$AR$507,"&lt;"&amp;$AR449)
  + COUNTIFS($AR$8:$AR$507,$AR449,$AT$8:$AT$507,"&lt;"&amp;$AT449)
  + COUNTIFS($AR$8:$AR$507,$AR449,$AT$8:$AT$507,$AT449,$AV$8:$AV$507,"&lt;"&amp;$AV449)
  + COUNTIFS($AR$8:$AR$507,$AR449,$AT$8:$AT$507,$AT449,$AV$8:$AV$507,$AV449,$AW$8:$AW$507,"&lt;"&amp;$AW449)
  + 1,
$AE449))</f>
        <v/>
      </c>
      <c r="AY449" s="96" t="str">
        <f aca="false">IF(ISBLANK(C449),"",IF($AE449=Constants!$B$7, AR449-AX449,$AE449))</f>
        <v/>
      </c>
      <c r="AZ449" s="100"/>
      <c r="BA449" s="101" t="str">
        <f aca="false">IF(ISBLANK($C449),"",TRIM(AI449&amp;" "&amp;AM449))</f>
        <v/>
      </c>
      <c r="BB449" s="102" t="str">
        <f aca="false">IF(ISBLANK($C449),"",IF($AE449&lt;&gt;Constants!$B$7, $AE449 ,AQ449))</f>
        <v/>
      </c>
      <c r="BC449" s="103" t="str">
        <f aca="false">IF(ISBLANK($C449),"",IF($AE449&lt;&gt;Constants!$B$7, $AE449 ,AF449))</f>
        <v/>
      </c>
      <c r="BD449" s="104" t="str">
        <f aca="false">IF(ISBLANK(C449),"",AY449)</f>
        <v/>
      </c>
      <c r="BE449" s="104" t="str">
        <f aca="false">IF(ISBLANK(C449),"",AX449)</f>
        <v/>
      </c>
      <c r="BF449" s="105" t="str">
        <f aca="false">IF(ISBLANK(C449),"",IFERROR(_xlfn.SWITCH(BE449, Constants!$B$4, COUNTA($C$8:$C948)+2, Constants!$B$5, COUNTA($C$8:$C948)+1, Constants!$B$6, COUNTA($C$8:$C948)),BE449))</f>
        <v/>
      </c>
      <c r="BG449" s="5"/>
      <c r="BH449" s="106" t="n">
        <f aca="false">IF(OR(ISNUMBER(BE449),BE449="DQ",BE449="P",BE449="NS"),
    1,
    0
)</f>
        <v>0</v>
      </c>
      <c r="BI449" s="106" t="n">
        <v>442</v>
      </c>
      <c r="BJ449" s="106" t="str">
        <f aca="false">IF(ISBLANK($C449),
    "",
   BF449+ROW($B449)/1000
)</f>
        <v/>
      </c>
      <c r="BK449" s="106" t="str">
        <f aca="false">IF(ISNUMBER(BJ449), RANK(BJ449,BJ$8:BJ$507,1), "")</f>
        <v/>
      </c>
      <c r="BL449" s="106" t="str">
        <f aca="false">IF(ISBLANK($C449),
    "",
    $B449
)</f>
        <v/>
      </c>
      <c r="BM449" s="106" t="str">
        <f aca="false">IF(ISBLANK($C449),
    "",
    $C449
)</f>
        <v/>
      </c>
      <c r="BN449" s="106" t="str">
        <f aca="false">IF(ISBLANK($C449),
    "",
    $D449
)</f>
        <v/>
      </c>
      <c r="BO449" s="107" t="str">
        <f aca="false">BC449</f>
        <v/>
      </c>
      <c r="BP449" s="108" t="str">
        <f aca="false">BB449</f>
        <v/>
      </c>
      <c r="BQ449" s="106" t="str">
        <f aca="false">IF(ISBLANK($C449),
    "",
    BE449
)</f>
        <v/>
      </c>
      <c r="BR449" s="109" t="str">
        <f aca="false">IF(BI449&gt;BH$7,
    "",
    VLOOKUP(BI449,BK$8:BQ948,7,FALSE())
)</f>
        <v/>
      </c>
      <c r="BS449" s="110" t="str">
        <f aca="false">IF(BI449&gt;BH$7,
    "",
    VLOOKUP(BI449,BK$8:BQ948,2,FALSE())
)</f>
        <v/>
      </c>
      <c r="BT449" s="110" t="str">
        <f aca="false">IF(BI449&gt;BH$7,
    "",
    VLOOKUP(BI449,BK$8:BQ948,3,FALSE())
)</f>
        <v/>
      </c>
      <c r="BU449" s="110" t="str">
        <f aca="false">IF(BI449&gt;BH$7,
    "",
    VLOOKUP(BI449,BK$8:BQ948,4,FALSE())
)</f>
        <v/>
      </c>
      <c r="BV449" s="110" t="str">
        <f aca="false">IF(BI449&gt;BH$7,
    "",
    VLOOKUP(BI449,BK$8:BQ948,5,FALSE())
)</f>
        <v/>
      </c>
      <c r="BW449" s="111" t="str">
        <f aca="false">IF(BI449&gt;BH$7,
    "",
    VLOOKUP(BI449,BK$8:BQ948,6,FALSE())
)</f>
        <v/>
      </c>
      <c r="BX449" s="50"/>
    </row>
    <row r="450" customFormat="false" ht="15.75" hidden="false" customHeight="false" outlineLevel="0" collapsed="false">
      <c r="A450" s="5"/>
      <c r="B450" s="122"/>
      <c r="C450" s="123"/>
      <c r="D450" s="112"/>
      <c r="E450" s="116"/>
      <c r="F450" s="116"/>
      <c r="G450" s="88"/>
      <c r="H450" s="89"/>
      <c r="I450" s="125"/>
      <c r="J450" s="125"/>
      <c r="K450" s="125"/>
      <c r="L450" s="91"/>
      <c r="M450" s="91"/>
      <c r="N450" s="91"/>
      <c r="O450" s="92"/>
      <c r="P450" s="93"/>
      <c r="Q450" s="125"/>
      <c r="R450" s="95"/>
      <c r="S450" s="96"/>
      <c r="T450" s="96" t="str">
        <f aca="false">IF(ISBLANK($C450),"",IF(G450=Constants!$B$2, TRUE(), IF(G450=Constants!$B$3, FALSE(), TRUE())))</f>
        <v/>
      </c>
      <c r="U450" s="96" t="str">
        <f aca="false">IF(ISBLANK($C450),"",IF(H450=Constants!$B$2, TRUE(), IF(H450=Constants!$B$3, FALSE(), TRUE())))</f>
        <v/>
      </c>
      <c r="V450" s="96" t="str">
        <f aca="false">IF(ISBLANK($C450),"",IF(I450=Constants!$B$2, TRUE(), IF(I450=Constants!$B$3, FALSE(), TRUE())))</f>
        <v/>
      </c>
      <c r="W450" s="96" t="str">
        <f aca="false">IF(ISBLANK($C450),"",IF(J450=Constants!$B$2, TRUE(), IF(J450=Constants!$B$3, FALSE(), TRUE())))</f>
        <v/>
      </c>
      <c r="X450" s="97" t="str">
        <f aca="false">IF(ISBLANK($C450),"",IF(K450=Constants!$B$2, TRUE(), IF(K450=Constants!$B$3, FALSE(), TRUE())))</f>
        <v/>
      </c>
      <c r="Y450" s="98" t="str">
        <f aca="false">IF(ISBLANK($C450),"",IF(ISNUMBER(L450), L450, ""))</f>
        <v/>
      </c>
      <c r="Z450" s="98" t="str">
        <f aca="false">IF(ISBLANK($C450),"",IF(ISNUMBER(M450), M450, ""))</f>
        <v/>
      </c>
      <c r="AA450" s="98" t="str">
        <f aca="false">IF(ISBLANK($C450),"",IF(ISNUMBER(N450), N450, ""))</f>
        <v/>
      </c>
      <c r="AB450" s="99" t="str">
        <f aca="false">IF(ISBLANK($C450),"",IF(ISNUMBER(O450), O450, ""))</f>
        <v/>
      </c>
      <c r="AC450" s="99" t="str">
        <f aca="false">IF(ISBLANK($C450),"",IF(ISNUMBER(P450), P450, Constants!$B$13))</f>
        <v/>
      </c>
      <c r="AD450" s="96" t="str">
        <f aca="false">IF(ISBLANK($C450),"",IF(Q450=Constants!$B$2, TRUE(), IF(Q450=Constants!$B$3, FALSE(), FALSE())))</f>
        <v/>
      </c>
      <c r="AE450" s="96" t="str">
        <f aca="false">IF(ISBLANK(C450), "", IF(AD450, Constants!$B$4,IF(COUNTA(G450:O450)=0, Constants!$B$5, Constants!$B$7)))</f>
        <v/>
      </c>
      <c r="AF450" s="96" t="str">
        <f aca="false">IF(ISBLANK($C450), "",IF($AE450=Constants!$B$7,1,$AE450))</f>
        <v/>
      </c>
      <c r="AG450" s="96" t="str">
        <f aca="false">IF($AE450=Constants!$B$7,IF(V450, 1, Constants!$B$11) * IF(X450, 1, Constants!$B$12),"")</f>
        <v/>
      </c>
      <c r="AH450" s="96" t="str">
        <f aca="false">IF(AND($AE450=Constants!$B$7, T450, U450) ,MAX(0, $AA450-$Y450),"")</f>
        <v/>
      </c>
      <c r="AI450" s="96" t="str">
        <f aca="false">IF(ISERROR(AH450),$AI$6,"")</f>
        <v/>
      </c>
      <c r="AJ450" s="96" t="str">
        <f aca="false">IF($AE450=Constants!$B$7,IF(AND(T450,U450,W450),IF($AH$6=0,Constants!$B$9,Constants!$B$9*AH450/$AH$6), 0),"")</f>
        <v/>
      </c>
      <c r="AK450" s="96" t="str">
        <f aca="false">IF(AJ450&lt;&gt;"", AJ450*AG450,"")</f>
        <v/>
      </c>
      <c r="AL450" s="96" t="str">
        <f aca="false">IF(AND($AE450=Constants!$B$7, T450, U450) ,IF($Z450="", "", MAX(0,1-ABS($AA450-$Z450)/$AA450)),"")</f>
        <v/>
      </c>
      <c r="AM450" s="96" t="str">
        <f aca="false">IF(AND(NOT(ISERROR(AH450)),ISERROR(AL450)),$AM$6,"")</f>
        <v/>
      </c>
      <c r="AN450" s="96" t="str">
        <f aca="false">IF($AE450=Constants!$B$7 ,IF(AND(T450,U450,W450,ISNUMBER(Z450)),IF($AL$6=0,Constants!$B$10,Constants!$B$10*AL450/$AL$6), 0),"")</f>
        <v/>
      </c>
      <c r="AO450" s="96" t="str">
        <f aca="false">IF(AN450&lt;&gt;"", AN450*AG450,"")</f>
        <v/>
      </c>
      <c r="AP450" s="96" t="str">
        <f aca="false">IF($AE450=Constants!$B$7,IF($AP$6=0,Constants!$B$8,Constants!$B$8*AB450/$AP$6),"")</f>
        <v/>
      </c>
      <c r="AQ450" s="96" t="str">
        <f aca="false">IF($AE450&lt;&gt;Constants!$B$7,$AE450,AK450+AO450+AP450)</f>
        <v/>
      </c>
      <c r="AR450" s="96" t="str">
        <f aca="false">IF(ISBLANK($C450),"",IF($AE450=Constants!$B$7,RANK(AQ450,$AQ$8:$AQ$507),$AE450))</f>
        <v/>
      </c>
      <c r="AS450" s="96" t="str">
        <f aca="false">IF(ISBLANK($C450), "",AK450)</f>
        <v/>
      </c>
      <c r="AT450" s="96" t="str">
        <f aca="false">IF(ISBLANK($C450),"",IF($AE450=Constants!$B$7,RANK(AS450,AS$8:AS$507),$AE450))</f>
        <v/>
      </c>
      <c r="AU450" s="96" t="str">
        <f aca="false">IF(ISBLANK($C450), "",AP450)</f>
        <v/>
      </c>
      <c r="AV450" s="96" t="str">
        <f aca="false">IF(ISBLANK($C450),"",IF($AE450=Constants!$B$7,RANK(AU450,AU$8:AU$507),$AE450))</f>
        <v/>
      </c>
      <c r="AW450" s="96" t="str">
        <f aca="false">IF(ISBLANK($C450), "",AC450)</f>
        <v/>
      </c>
      <c r="AX450" s="96" t="str">
        <f aca="false">IF(ISBLANK($C450),"",
IF($AE450=Constants!$B$7,
  COUNTIFS($AR$8:$AR$507,"&lt;"&amp;$AR450)
  + COUNTIFS($AR$8:$AR$507,$AR450,$AT$8:$AT$507,"&lt;"&amp;$AT450)
  + COUNTIFS($AR$8:$AR$507,$AR450,$AT$8:$AT$507,$AT450,$AV$8:$AV$507,"&lt;"&amp;$AV450)
  + COUNTIFS($AR$8:$AR$507,$AR450,$AT$8:$AT$507,$AT450,$AV$8:$AV$507,$AV450,$AW$8:$AW$507,"&lt;"&amp;$AW450)
  + 1,
$AE450))</f>
        <v/>
      </c>
      <c r="AY450" s="96" t="str">
        <f aca="false">IF(ISBLANK(C450),"",IF($AE450=Constants!$B$7, AR450-AX450,$AE450))</f>
        <v/>
      </c>
      <c r="AZ450" s="100"/>
      <c r="BA450" s="101" t="str">
        <f aca="false">IF(ISBLANK($C450),"",TRIM(AI450&amp;" "&amp;AM450))</f>
        <v/>
      </c>
      <c r="BB450" s="102" t="str">
        <f aca="false">IF(ISBLANK($C450),"",IF($AE450&lt;&gt;Constants!$B$7, $AE450 ,AQ450))</f>
        <v/>
      </c>
      <c r="BC450" s="103" t="str">
        <f aca="false">IF(ISBLANK($C450),"",IF($AE450&lt;&gt;Constants!$B$7, $AE450 ,AF450))</f>
        <v/>
      </c>
      <c r="BD450" s="104" t="str">
        <f aca="false">IF(ISBLANK(C450),"",AY450)</f>
        <v/>
      </c>
      <c r="BE450" s="104" t="str">
        <f aca="false">IF(ISBLANK(C450),"",AX450)</f>
        <v/>
      </c>
      <c r="BF450" s="105" t="str">
        <f aca="false">IF(ISBLANK(C450),"",IFERROR(_xlfn.SWITCH(BE450, Constants!$B$4, COUNTA($C$8:$C949)+2, Constants!$B$5, COUNTA($C$8:$C949)+1, Constants!$B$6, COUNTA($C$8:$C949)),BE450))</f>
        <v/>
      </c>
      <c r="BG450" s="5"/>
      <c r="BH450" s="106" t="n">
        <f aca="false">IF(OR(ISNUMBER(BE450),BE450="DQ",BE450="P",BE450="NS"),
    1,
    0
)</f>
        <v>0</v>
      </c>
      <c r="BI450" s="106" t="n">
        <v>443</v>
      </c>
      <c r="BJ450" s="106" t="str">
        <f aca="false">IF(ISBLANK($C450),
    "",
   BF450+ROW($B450)/1000
)</f>
        <v/>
      </c>
      <c r="BK450" s="106" t="str">
        <f aca="false">IF(ISNUMBER(BJ450), RANK(BJ450,BJ$8:BJ$507,1), "")</f>
        <v/>
      </c>
      <c r="BL450" s="106" t="str">
        <f aca="false">IF(ISBLANK($C450),
    "",
    $B450
)</f>
        <v/>
      </c>
      <c r="BM450" s="106" t="str">
        <f aca="false">IF(ISBLANK($C450),
    "",
    $C450
)</f>
        <v/>
      </c>
      <c r="BN450" s="106" t="str">
        <f aca="false">IF(ISBLANK($C450),
    "",
    $D450
)</f>
        <v/>
      </c>
      <c r="BO450" s="107" t="str">
        <f aca="false">BC450</f>
        <v/>
      </c>
      <c r="BP450" s="108" t="str">
        <f aca="false">BB450</f>
        <v/>
      </c>
      <c r="BQ450" s="106" t="str">
        <f aca="false">IF(ISBLANK($C450),
    "",
    BE450
)</f>
        <v/>
      </c>
      <c r="BR450" s="109" t="str">
        <f aca="false">IF(BI450&gt;BH$7,
    "",
    VLOOKUP(BI450,BK$8:BQ949,7,FALSE())
)</f>
        <v/>
      </c>
      <c r="BS450" s="110" t="str">
        <f aca="false">IF(BI450&gt;BH$7,
    "",
    VLOOKUP(BI450,BK$8:BQ949,2,FALSE())
)</f>
        <v/>
      </c>
      <c r="BT450" s="110" t="str">
        <f aca="false">IF(BI450&gt;BH$7,
    "",
    VLOOKUP(BI450,BK$8:BQ949,3,FALSE())
)</f>
        <v/>
      </c>
      <c r="BU450" s="110" t="str">
        <f aca="false">IF(BI450&gt;BH$7,
    "",
    VLOOKUP(BI450,BK$8:BQ949,4,FALSE())
)</f>
        <v/>
      </c>
      <c r="BV450" s="110" t="str">
        <f aca="false">IF(BI450&gt;BH$7,
    "",
    VLOOKUP(BI450,BK$8:BQ949,5,FALSE())
)</f>
        <v/>
      </c>
      <c r="BW450" s="111" t="str">
        <f aca="false">IF(BI450&gt;BH$7,
    "",
    VLOOKUP(BI450,BK$8:BQ949,6,FALSE())
)</f>
        <v/>
      </c>
      <c r="BX450" s="50"/>
    </row>
    <row r="451" customFormat="false" ht="15.75" hidden="false" customHeight="false" outlineLevel="0" collapsed="false">
      <c r="A451" s="5"/>
      <c r="B451" s="122"/>
      <c r="C451" s="123"/>
      <c r="D451" s="112"/>
      <c r="E451" s="116"/>
      <c r="F451" s="116"/>
      <c r="G451" s="88"/>
      <c r="H451" s="89"/>
      <c r="I451" s="125"/>
      <c r="J451" s="125"/>
      <c r="K451" s="125"/>
      <c r="L451" s="91"/>
      <c r="M451" s="91"/>
      <c r="N451" s="91"/>
      <c r="O451" s="92"/>
      <c r="P451" s="93"/>
      <c r="Q451" s="125"/>
      <c r="R451" s="95"/>
      <c r="S451" s="96"/>
      <c r="T451" s="96" t="str">
        <f aca="false">IF(ISBLANK($C451),"",IF(G451=Constants!$B$2, TRUE(), IF(G451=Constants!$B$3, FALSE(), TRUE())))</f>
        <v/>
      </c>
      <c r="U451" s="96" t="str">
        <f aca="false">IF(ISBLANK($C451),"",IF(H451=Constants!$B$2, TRUE(), IF(H451=Constants!$B$3, FALSE(), TRUE())))</f>
        <v/>
      </c>
      <c r="V451" s="96" t="str">
        <f aca="false">IF(ISBLANK($C451),"",IF(I451=Constants!$B$2, TRUE(), IF(I451=Constants!$B$3, FALSE(), TRUE())))</f>
        <v/>
      </c>
      <c r="W451" s="96" t="str">
        <f aca="false">IF(ISBLANK($C451),"",IF(J451=Constants!$B$2, TRUE(), IF(J451=Constants!$B$3, FALSE(), TRUE())))</f>
        <v/>
      </c>
      <c r="X451" s="97" t="str">
        <f aca="false">IF(ISBLANK($C451),"",IF(K451=Constants!$B$2, TRUE(), IF(K451=Constants!$B$3, FALSE(), TRUE())))</f>
        <v/>
      </c>
      <c r="Y451" s="98" t="str">
        <f aca="false">IF(ISBLANK($C451),"",IF(ISNUMBER(L451), L451, ""))</f>
        <v/>
      </c>
      <c r="Z451" s="98" t="str">
        <f aca="false">IF(ISBLANK($C451),"",IF(ISNUMBER(M451), M451, ""))</f>
        <v/>
      </c>
      <c r="AA451" s="98" t="str">
        <f aca="false">IF(ISBLANK($C451),"",IF(ISNUMBER(N451), N451, ""))</f>
        <v/>
      </c>
      <c r="AB451" s="99" t="str">
        <f aca="false">IF(ISBLANK($C451),"",IF(ISNUMBER(O451), O451, ""))</f>
        <v/>
      </c>
      <c r="AC451" s="99" t="str">
        <f aca="false">IF(ISBLANK($C451),"",IF(ISNUMBER(P451), P451, Constants!$B$13))</f>
        <v/>
      </c>
      <c r="AD451" s="96" t="str">
        <f aca="false">IF(ISBLANK($C451),"",IF(Q451=Constants!$B$2, TRUE(), IF(Q451=Constants!$B$3, FALSE(), FALSE())))</f>
        <v/>
      </c>
      <c r="AE451" s="96" t="str">
        <f aca="false">IF(ISBLANK(C451), "", IF(AD451, Constants!$B$4,IF(COUNTA(G451:O451)=0, Constants!$B$5, Constants!$B$7)))</f>
        <v/>
      </c>
      <c r="AF451" s="96" t="str">
        <f aca="false">IF(ISBLANK($C451), "",IF($AE451=Constants!$B$7,1,$AE451))</f>
        <v/>
      </c>
      <c r="AG451" s="96" t="str">
        <f aca="false">IF($AE451=Constants!$B$7,IF(V451, 1, Constants!$B$11) * IF(X451, 1, Constants!$B$12),"")</f>
        <v/>
      </c>
      <c r="AH451" s="96" t="str">
        <f aca="false">IF(AND($AE451=Constants!$B$7, T451, U451) ,MAX(0, $AA451-$Y451),"")</f>
        <v/>
      </c>
      <c r="AI451" s="96" t="str">
        <f aca="false">IF(ISERROR(AH451),$AI$6,"")</f>
        <v/>
      </c>
      <c r="AJ451" s="96" t="str">
        <f aca="false">IF($AE451=Constants!$B$7,IF(AND(T451,U451,W451),IF($AH$6=0,Constants!$B$9,Constants!$B$9*AH451/$AH$6), 0),"")</f>
        <v/>
      </c>
      <c r="AK451" s="96" t="str">
        <f aca="false">IF(AJ451&lt;&gt;"", AJ451*AG451,"")</f>
        <v/>
      </c>
      <c r="AL451" s="96" t="str">
        <f aca="false">IF(AND($AE451=Constants!$B$7, T451, U451) ,IF($Z451="", "", MAX(0,1-ABS($AA451-$Z451)/$AA451)),"")</f>
        <v/>
      </c>
      <c r="AM451" s="96" t="str">
        <f aca="false">IF(AND(NOT(ISERROR(AH451)),ISERROR(AL451)),$AM$6,"")</f>
        <v/>
      </c>
      <c r="AN451" s="96" t="str">
        <f aca="false">IF($AE451=Constants!$B$7 ,IF(AND(T451,U451,W451,ISNUMBER(Z451)),IF($AL$6=0,Constants!$B$10,Constants!$B$10*AL451/$AL$6), 0),"")</f>
        <v/>
      </c>
      <c r="AO451" s="96" t="str">
        <f aca="false">IF(AN451&lt;&gt;"", AN451*AG451,"")</f>
        <v/>
      </c>
      <c r="AP451" s="96" t="str">
        <f aca="false">IF($AE451=Constants!$B$7,IF($AP$6=0,Constants!$B$8,Constants!$B$8*AB451/$AP$6),"")</f>
        <v/>
      </c>
      <c r="AQ451" s="96" t="str">
        <f aca="false">IF($AE451&lt;&gt;Constants!$B$7,$AE451,AK451+AO451+AP451)</f>
        <v/>
      </c>
      <c r="AR451" s="96" t="str">
        <f aca="false">IF(ISBLANK($C451),"",IF($AE451=Constants!$B$7,RANK(AQ451,$AQ$8:$AQ$507),$AE451))</f>
        <v/>
      </c>
      <c r="AS451" s="96" t="str">
        <f aca="false">IF(ISBLANK($C451), "",AK451)</f>
        <v/>
      </c>
      <c r="AT451" s="96" t="str">
        <f aca="false">IF(ISBLANK($C451),"",IF($AE451=Constants!$B$7,RANK(AS451,AS$8:AS$507),$AE451))</f>
        <v/>
      </c>
      <c r="AU451" s="96" t="str">
        <f aca="false">IF(ISBLANK($C451), "",AP451)</f>
        <v/>
      </c>
      <c r="AV451" s="96" t="str">
        <f aca="false">IF(ISBLANK($C451),"",IF($AE451=Constants!$B$7,RANK(AU451,AU$8:AU$507),$AE451))</f>
        <v/>
      </c>
      <c r="AW451" s="96" t="str">
        <f aca="false">IF(ISBLANK($C451), "",AC451)</f>
        <v/>
      </c>
      <c r="AX451" s="96" t="str">
        <f aca="false">IF(ISBLANK($C451),"",
IF($AE451=Constants!$B$7,
  COUNTIFS($AR$8:$AR$507,"&lt;"&amp;$AR451)
  + COUNTIFS($AR$8:$AR$507,$AR451,$AT$8:$AT$507,"&lt;"&amp;$AT451)
  + COUNTIFS($AR$8:$AR$507,$AR451,$AT$8:$AT$507,$AT451,$AV$8:$AV$507,"&lt;"&amp;$AV451)
  + COUNTIFS($AR$8:$AR$507,$AR451,$AT$8:$AT$507,$AT451,$AV$8:$AV$507,$AV451,$AW$8:$AW$507,"&lt;"&amp;$AW451)
  + 1,
$AE451))</f>
        <v/>
      </c>
      <c r="AY451" s="96" t="str">
        <f aca="false">IF(ISBLANK(C451),"",IF($AE451=Constants!$B$7, AR451-AX451,$AE451))</f>
        <v/>
      </c>
      <c r="AZ451" s="100"/>
      <c r="BA451" s="101" t="str">
        <f aca="false">IF(ISBLANK($C451),"",TRIM(AI451&amp;" "&amp;AM451))</f>
        <v/>
      </c>
      <c r="BB451" s="102" t="str">
        <f aca="false">IF(ISBLANK($C451),"",IF($AE451&lt;&gt;Constants!$B$7, $AE451 ,AQ451))</f>
        <v/>
      </c>
      <c r="BC451" s="103" t="str">
        <f aca="false">IF(ISBLANK($C451),"",IF($AE451&lt;&gt;Constants!$B$7, $AE451 ,AF451))</f>
        <v/>
      </c>
      <c r="BD451" s="104" t="str">
        <f aca="false">IF(ISBLANK(C451),"",AY451)</f>
        <v/>
      </c>
      <c r="BE451" s="104" t="str">
        <f aca="false">IF(ISBLANK(C451),"",AX451)</f>
        <v/>
      </c>
      <c r="BF451" s="105" t="str">
        <f aca="false">IF(ISBLANK(C451),"",IFERROR(_xlfn.SWITCH(BE451, Constants!$B$4, COUNTA($C$8:$C950)+2, Constants!$B$5, COUNTA($C$8:$C950)+1, Constants!$B$6, COUNTA($C$8:$C950)),BE451))</f>
        <v/>
      </c>
      <c r="BG451" s="5"/>
      <c r="BH451" s="106" t="n">
        <f aca="false">IF(OR(ISNUMBER(BE451),BE451="DQ",BE451="P",BE451="NS"),
    1,
    0
)</f>
        <v>0</v>
      </c>
      <c r="BI451" s="106" t="n">
        <v>444</v>
      </c>
      <c r="BJ451" s="106" t="str">
        <f aca="false">IF(ISBLANK($C451),
    "",
   BF451+ROW($B451)/1000
)</f>
        <v/>
      </c>
      <c r="BK451" s="106" t="str">
        <f aca="false">IF(ISNUMBER(BJ451), RANK(BJ451,BJ$8:BJ$507,1), "")</f>
        <v/>
      </c>
      <c r="BL451" s="106" t="str">
        <f aca="false">IF(ISBLANK($C451),
    "",
    $B451
)</f>
        <v/>
      </c>
      <c r="BM451" s="106" t="str">
        <f aca="false">IF(ISBLANK($C451),
    "",
    $C451
)</f>
        <v/>
      </c>
      <c r="BN451" s="106" t="str">
        <f aca="false">IF(ISBLANK($C451),
    "",
    $D451
)</f>
        <v/>
      </c>
      <c r="BO451" s="107" t="str">
        <f aca="false">BC451</f>
        <v/>
      </c>
      <c r="BP451" s="108" t="str">
        <f aca="false">BB451</f>
        <v/>
      </c>
      <c r="BQ451" s="106" t="str">
        <f aca="false">IF(ISBLANK($C451),
    "",
    BE451
)</f>
        <v/>
      </c>
      <c r="BR451" s="109" t="str">
        <f aca="false">IF(BI451&gt;BH$7,
    "",
    VLOOKUP(BI451,BK$8:BQ950,7,FALSE())
)</f>
        <v/>
      </c>
      <c r="BS451" s="110" t="str">
        <f aca="false">IF(BI451&gt;BH$7,
    "",
    VLOOKUP(BI451,BK$8:BQ950,2,FALSE())
)</f>
        <v/>
      </c>
      <c r="BT451" s="110" t="str">
        <f aca="false">IF(BI451&gt;BH$7,
    "",
    VLOOKUP(BI451,BK$8:BQ950,3,FALSE())
)</f>
        <v/>
      </c>
      <c r="BU451" s="110" t="str">
        <f aca="false">IF(BI451&gt;BH$7,
    "",
    VLOOKUP(BI451,BK$8:BQ950,4,FALSE())
)</f>
        <v/>
      </c>
      <c r="BV451" s="110" t="str">
        <f aca="false">IF(BI451&gt;BH$7,
    "",
    VLOOKUP(BI451,BK$8:BQ950,5,FALSE())
)</f>
        <v/>
      </c>
      <c r="BW451" s="111" t="str">
        <f aca="false">IF(BI451&gt;BH$7,
    "",
    VLOOKUP(BI451,BK$8:BQ950,6,FALSE())
)</f>
        <v/>
      </c>
      <c r="BX451" s="50"/>
    </row>
    <row r="452" customFormat="false" ht="15.75" hidden="false" customHeight="false" outlineLevel="0" collapsed="false">
      <c r="A452" s="5"/>
      <c r="B452" s="126"/>
      <c r="C452" s="52"/>
      <c r="D452" s="53"/>
      <c r="E452" s="120"/>
      <c r="F452" s="120"/>
      <c r="G452" s="55"/>
      <c r="H452" s="56"/>
      <c r="I452" s="80"/>
      <c r="J452" s="80"/>
      <c r="K452" s="80"/>
      <c r="L452" s="58"/>
      <c r="M452" s="58"/>
      <c r="N452" s="58"/>
      <c r="O452" s="59"/>
      <c r="P452" s="60"/>
      <c r="Q452" s="80"/>
      <c r="R452" s="62"/>
      <c r="S452" s="63"/>
      <c r="T452" s="63" t="str">
        <f aca="false">IF(ISBLANK($C452),"",IF(G452=Constants!$B$2, TRUE(), IF(G452=Constants!$B$3, FALSE(), TRUE())))</f>
        <v/>
      </c>
      <c r="U452" s="63" t="str">
        <f aca="false">IF(ISBLANK($C452),"",IF(H452=Constants!$B$2, TRUE(), IF(H452=Constants!$B$3, FALSE(), TRUE())))</f>
        <v/>
      </c>
      <c r="V452" s="63" t="str">
        <f aca="false">IF(ISBLANK($C452),"",IF(I452=Constants!$B$2, TRUE(), IF(I452=Constants!$B$3, FALSE(), TRUE())))</f>
        <v/>
      </c>
      <c r="W452" s="63" t="str">
        <f aca="false">IF(ISBLANK($C452),"",IF(J452=Constants!$B$2, TRUE(), IF(J452=Constants!$B$3, FALSE(), TRUE())))</f>
        <v/>
      </c>
      <c r="X452" s="63" t="str">
        <f aca="false">IF(ISBLANK($C452),"",IF(K452=Constants!$B$2, TRUE(), IF(K452=Constants!$B$3, FALSE(), TRUE())))</f>
        <v/>
      </c>
      <c r="Y452" s="65" t="str">
        <f aca="false">IF(ISBLANK($C452),"",IF(ISNUMBER(L452), L452, ""))</f>
        <v/>
      </c>
      <c r="Z452" s="65" t="str">
        <f aca="false">IF(ISBLANK($C452),"",IF(ISNUMBER(M452), M452, ""))</f>
        <v/>
      </c>
      <c r="AA452" s="65" t="str">
        <f aca="false">IF(ISBLANK($C452),"",IF(ISNUMBER(N452), N452, ""))</f>
        <v/>
      </c>
      <c r="AB452" s="66" t="str">
        <f aca="false">IF(ISBLANK($C452),"",IF(ISNUMBER(O452), O452, ""))</f>
        <v/>
      </c>
      <c r="AC452" s="66" t="str">
        <f aca="false">IF(ISBLANK($C452),"",IF(ISNUMBER(P452), P452, Constants!$B$13))</f>
        <v/>
      </c>
      <c r="AD452" s="63" t="str">
        <f aca="false">IF(ISBLANK($C452),"",IF(Q452=Constants!$B$2, TRUE(), IF(Q452=Constants!$B$3, FALSE(), FALSE())))</f>
        <v/>
      </c>
      <c r="AE452" s="63" t="str">
        <f aca="false">IF(ISBLANK(C452), "", IF(AD452, Constants!$B$4,IF(COUNTA(G452:O452)=0, Constants!$B$5, Constants!$B$7)))</f>
        <v/>
      </c>
      <c r="AF452" s="63" t="str">
        <f aca="false">IF(ISBLANK($C452), "",IF($AE452=Constants!$B$7,1,$AE452))</f>
        <v/>
      </c>
      <c r="AG452" s="63" t="str">
        <f aca="false">IF($AE452=Constants!$B$7,IF(V452, 1, Constants!$B$11) * IF(X452, 1, Constants!$B$12),"")</f>
        <v/>
      </c>
      <c r="AH452" s="63" t="str">
        <f aca="false">IF(AND($AE452=Constants!$B$7, T452, U452) ,MAX(0, $AA452-$Y452),"")</f>
        <v/>
      </c>
      <c r="AI452" s="63" t="str">
        <f aca="false">IF(ISERROR(AH452),$AI$6,"")</f>
        <v/>
      </c>
      <c r="AJ452" s="63" t="str">
        <f aca="false">IF($AE452=Constants!$B$7,IF(AND(T452,U452,W452),IF($AH$6=0,Constants!$B$9,Constants!$B$9*AH452/$AH$6), 0),"")</f>
        <v/>
      </c>
      <c r="AK452" s="63" t="str">
        <f aca="false">IF(AJ452&lt;&gt;"", AJ452*AG452,"")</f>
        <v/>
      </c>
      <c r="AL452" s="63" t="str">
        <f aca="false">IF(AND($AE452=Constants!$B$7, T452, U452) ,IF($Z452="", "", MAX(0,1-ABS($AA452-$Z452)/$AA452)),"")</f>
        <v/>
      </c>
      <c r="AM452" s="63" t="str">
        <f aca="false">IF(AND(NOT(ISERROR(AH452)),ISERROR(AL452)),$AM$6,"")</f>
        <v/>
      </c>
      <c r="AN452" s="63" t="str">
        <f aca="false">IF($AE452=Constants!$B$7 ,IF(AND(T452,U452,W452,ISNUMBER(Z452)),IF($AL$6=0,Constants!$B$10,Constants!$B$10*AL452/$AL$6), 0),"")</f>
        <v/>
      </c>
      <c r="AO452" s="63" t="str">
        <f aca="false">IF(AN452&lt;&gt;"", AN452*AG452,"")</f>
        <v/>
      </c>
      <c r="AP452" s="63" t="str">
        <f aca="false">IF($AE452=Constants!$B$7,IF($AP$6=0,Constants!$B$8,Constants!$B$8*AB452/$AP$6),"")</f>
        <v/>
      </c>
      <c r="AQ452" s="63" t="str">
        <f aca="false">IF($AE452&lt;&gt;Constants!$B$7,$AE452,AK452+AO452+AP452)</f>
        <v/>
      </c>
      <c r="AR452" s="63" t="str">
        <f aca="false">IF(ISBLANK($C452),"",IF($AE452=Constants!$B$7,RANK(AQ452,$AQ$8:$AQ$507),$AE452))</f>
        <v/>
      </c>
      <c r="AS452" s="63" t="str">
        <f aca="false">IF(ISBLANK($C452), "",AK452)</f>
        <v/>
      </c>
      <c r="AT452" s="63" t="str">
        <f aca="false">IF(ISBLANK($C452),"",IF($AE452=Constants!$B$7,RANK(AS452,AS$8:AS$507),$AE452))</f>
        <v/>
      </c>
      <c r="AU452" s="63" t="str">
        <f aca="false">IF(ISBLANK($C452), "",AP452)</f>
        <v/>
      </c>
      <c r="AV452" s="63" t="str">
        <f aca="false">IF(ISBLANK($C452),"",IF($AE452=Constants!$B$7,RANK(AU452,AU$8:AU$507),$AE452))</f>
        <v/>
      </c>
      <c r="AW452" s="63" t="str">
        <f aca="false">IF(ISBLANK($C452), "",AC452)</f>
        <v/>
      </c>
      <c r="AX452" s="63" t="str">
        <f aca="false">IF(ISBLANK($C452),"",
IF($AE452=Constants!$B$7,
  COUNTIFS($AR$8:$AR$507,"&lt;"&amp;$AR452)
  + COUNTIFS($AR$8:$AR$507,$AR452,$AT$8:$AT$507,"&lt;"&amp;$AT452)
  + COUNTIFS($AR$8:$AR$507,$AR452,$AT$8:$AT$507,$AT452,$AV$8:$AV$507,"&lt;"&amp;$AV452)
  + COUNTIFS($AR$8:$AR$507,$AR452,$AT$8:$AT$507,$AT452,$AV$8:$AV$507,$AV452,$AW$8:$AW$507,"&lt;"&amp;$AW452)
  + 1,
$AE452))</f>
        <v/>
      </c>
      <c r="AY452" s="63" t="str">
        <f aca="false">IF(ISBLANK(C452),"",IF($AE452=Constants!$B$7, AR452-AX452,$AE452))</f>
        <v/>
      </c>
      <c r="AZ452" s="67"/>
      <c r="BA452" s="81" t="str">
        <f aca="false">IF(ISBLANK($C452),"",TRIM(AI452&amp;" "&amp;AM452))</f>
        <v/>
      </c>
      <c r="BB452" s="69" t="str">
        <f aca="false">IF(ISBLANK($C452),"",IF($AE452&lt;&gt;Constants!$B$7, $AE452 ,AQ452))</f>
        <v/>
      </c>
      <c r="BC452" s="70" t="str">
        <f aca="false">IF(ISBLANK($C452),"",IF($AE452&lt;&gt;Constants!$B$7, $AE452 ,AF452))</f>
        <v/>
      </c>
      <c r="BD452" s="71" t="str">
        <f aca="false">IF(ISBLANK(C452),"",AY452)</f>
        <v/>
      </c>
      <c r="BE452" s="71" t="str">
        <f aca="false">IF(ISBLANK(C452),"",AX452)</f>
        <v/>
      </c>
      <c r="BF452" s="72" t="str">
        <f aca="false">IF(ISBLANK(C452),"",IFERROR(_xlfn.SWITCH(BE452, Constants!$B$4, COUNTA($C$8:$C951)+2, Constants!$B$5, COUNTA($C$8:$C951)+1, Constants!$B$6, COUNTA($C$8:$C951)),BE452))</f>
        <v/>
      </c>
      <c r="BG452" s="5"/>
      <c r="BH452" s="73" t="n">
        <f aca="false">IF(OR(ISNUMBER(BE452),BE452="DQ",BE452="P",BE452="NS"),
    1,
    0
)</f>
        <v>0</v>
      </c>
      <c r="BI452" s="73" t="n">
        <v>445</v>
      </c>
      <c r="BJ452" s="73" t="str">
        <f aca="false">IF(ISBLANK($C452),
    "",
   BF452+ROW($B452)/1000
)</f>
        <v/>
      </c>
      <c r="BK452" s="73" t="str">
        <f aca="false">IF(ISNUMBER(BJ452), RANK(BJ452,BJ$8:BJ$507,1), "")</f>
        <v/>
      </c>
      <c r="BL452" s="73" t="str">
        <f aca="false">IF(ISBLANK($C452),
    "",
    $B452
)</f>
        <v/>
      </c>
      <c r="BM452" s="73" t="str">
        <f aca="false">IF(ISBLANK($C452),
    "",
    $C452
)</f>
        <v/>
      </c>
      <c r="BN452" s="73" t="str">
        <f aca="false">IF(ISBLANK($C452),
    "",
    $D452
)</f>
        <v/>
      </c>
      <c r="BO452" s="74" t="str">
        <f aca="false">BC452</f>
        <v/>
      </c>
      <c r="BP452" s="75" t="str">
        <f aca="false">BB452</f>
        <v/>
      </c>
      <c r="BQ452" s="73" t="str">
        <f aca="false">IF(ISBLANK($C452),
    "",
    BE452
)</f>
        <v/>
      </c>
      <c r="BR452" s="76" t="str">
        <f aca="false">IF(BI452&gt;BH$7,
    "",
    VLOOKUP(BI452,BK$8:BQ951,7,FALSE())
)</f>
        <v/>
      </c>
      <c r="BS452" s="77" t="str">
        <f aca="false">IF(BI452&gt;BH$7,
    "",
    VLOOKUP(BI452,BK$8:BQ951,2,FALSE())
)</f>
        <v/>
      </c>
      <c r="BT452" s="77" t="str">
        <f aca="false">IF(BI452&gt;BH$7,
    "",
    VLOOKUP(BI452,BK$8:BQ951,3,FALSE())
)</f>
        <v/>
      </c>
      <c r="BU452" s="77" t="str">
        <f aca="false">IF(BI452&gt;BH$7,
    "",
    VLOOKUP(BI452,BK$8:BQ951,4,FALSE())
)</f>
        <v/>
      </c>
      <c r="BV452" s="77" t="str">
        <f aca="false">IF(BI452&gt;BH$7,
    "",
    VLOOKUP(BI452,BK$8:BQ951,5,FALSE())
)</f>
        <v/>
      </c>
      <c r="BW452" s="78" t="str">
        <f aca="false">IF(BI452&gt;BH$7,
    "",
    VLOOKUP(BI452,BK$8:BQ951,6,FALSE())
)</f>
        <v/>
      </c>
      <c r="BX452" s="50"/>
    </row>
    <row r="453" customFormat="false" ht="15.75" hidden="false" customHeight="false" outlineLevel="0" collapsed="false">
      <c r="A453" s="5"/>
      <c r="B453" s="126"/>
      <c r="C453" s="52"/>
      <c r="D453" s="53"/>
      <c r="E453" s="120"/>
      <c r="F453" s="120"/>
      <c r="G453" s="55"/>
      <c r="H453" s="56"/>
      <c r="I453" s="80"/>
      <c r="J453" s="80"/>
      <c r="K453" s="80"/>
      <c r="L453" s="58"/>
      <c r="M453" s="58"/>
      <c r="N453" s="58"/>
      <c r="O453" s="59"/>
      <c r="P453" s="60"/>
      <c r="Q453" s="80"/>
      <c r="R453" s="62"/>
      <c r="S453" s="63"/>
      <c r="T453" s="63" t="str">
        <f aca="false">IF(ISBLANK($C453),"",IF(G453=Constants!$B$2, TRUE(), IF(G453=Constants!$B$3, FALSE(), TRUE())))</f>
        <v/>
      </c>
      <c r="U453" s="63" t="str">
        <f aca="false">IF(ISBLANK($C453),"",IF(H453=Constants!$B$2, TRUE(), IF(H453=Constants!$B$3, FALSE(), TRUE())))</f>
        <v/>
      </c>
      <c r="V453" s="63" t="str">
        <f aca="false">IF(ISBLANK($C453),"",IF(I453=Constants!$B$2, TRUE(), IF(I453=Constants!$B$3, FALSE(), TRUE())))</f>
        <v/>
      </c>
      <c r="W453" s="63" t="str">
        <f aca="false">IF(ISBLANK($C453),"",IF(J453=Constants!$B$2, TRUE(), IF(J453=Constants!$B$3, FALSE(), TRUE())))</f>
        <v/>
      </c>
      <c r="X453" s="63" t="str">
        <f aca="false">IF(ISBLANK($C453),"",IF(K453=Constants!$B$2, TRUE(), IF(K453=Constants!$B$3, FALSE(), TRUE())))</f>
        <v/>
      </c>
      <c r="Y453" s="65" t="str">
        <f aca="false">IF(ISBLANK($C453),"",IF(ISNUMBER(L453), L453, ""))</f>
        <v/>
      </c>
      <c r="Z453" s="65" t="str">
        <f aca="false">IF(ISBLANK($C453),"",IF(ISNUMBER(M453), M453, ""))</f>
        <v/>
      </c>
      <c r="AA453" s="65" t="str">
        <f aca="false">IF(ISBLANK($C453),"",IF(ISNUMBER(N453), N453, ""))</f>
        <v/>
      </c>
      <c r="AB453" s="66" t="str">
        <f aca="false">IF(ISBLANK($C453),"",IF(ISNUMBER(O453), O453, ""))</f>
        <v/>
      </c>
      <c r="AC453" s="66" t="str">
        <f aca="false">IF(ISBLANK($C453),"",IF(ISNUMBER(P453), P453, Constants!$B$13))</f>
        <v/>
      </c>
      <c r="AD453" s="63" t="str">
        <f aca="false">IF(ISBLANK($C453),"",IF(Q453=Constants!$B$2, TRUE(), IF(Q453=Constants!$B$3, FALSE(), FALSE())))</f>
        <v/>
      </c>
      <c r="AE453" s="63" t="str">
        <f aca="false">IF(ISBLANK(C453), "", IF(AD453, Constants!$B$4,IF(COUNTA(G453:O453)=0, Constants!$B$5, Constants!$B$7)))</f>
        <v/>
      </c>
      <c r="AF453" s="63" t="str">
        <f aca="false">IF(ISBLANK($C453), "",IF($AE453=Constants!$B$7,1,$AE453))</f>
        <v/>
      </c>
      <c r="AG453" s="63" t="str">
        <f aca="false">IF($AE453=Constants!$B$7,IF(V453, 1, Constants!$B$11) * IF(X453, 1, Constants!$B$12),"")</f>
        <v/>
      </c>
      <c r="AH453" s="63" t="str">
        <f aca="false">IF(AND($AE453=Constants!$B$7, T453, U453) ,MAX(0, $AA453-$Y453),"")</f>
        <v/>
      </c>
      <c r="AI453" s="63" t="str">
        <f aca="false">IF(ISERROR(AH453),$AI$6,"")</f>
        <v/>
      </c>
      <c r="AJ453" s="63" t="str">
        <f aca="false">IF($AE453=Constants!$B$7,IF(AND(T453,U453,W453),IF($AH$6=0,Constants!$B$9,Constants!$B$9*AH453/$AH$6), 0),"")</f>
        <v/>
      </c>
      <c r="AK453" s="63" t="str">
        <f aca="false">IF(AJ453&lt;&gt;"", AJ453*AG453,"")</f>
        <v/>
      </c>
      <c r="AL453" s="63" t="str">
        <f aca="false">IF(AND($AE453=Constants!$B$7, T453, U453) ,IF($Z453="", "", MAX(0,1-ABS($AA453-$Z453)/$AA453)),"")</f>
        <v/>
      </c>
      <c r="AM453" s="63" t="str">
        <f aca="false">IF(AND(NOT(ISERROR(AH453)),ISERROR(AL453)),$AM$6,"")</f>
        <v/>
      </c>
      <c r="AN453" s="63" t="str">
        <f aca="false">IF($AE453=Constants!$B$7 ,IF(AND(T453,U453,W453,ISNUMBER(Z453)),IF($AL$6=0,Constants!$B$10,Constants!$B$10*AL453/$AL$6), 0),"")</f>
        <v/>
      </c>
      <c r="AO453" s="63" t="str">
        <f aca="false">IF(AN453&lt;&gt;"", AN453*AG453,"")</f>
        <v/>
      </c>
      <c r="AP453" s="63" t="str">
        <f aca="false">IF($AE453=Constants!$B$7,IF($AP$6=0,Constants!$B$8,Constants!$B$8*AB453/$AP$6),"")</f>
        <v/>
      </c>
      <c r="AQ453" s="63" t="str">
        <f aca="false">IF($AE453&lt;&gt;Constants!$B$7,$AE453,AK453+AO453+AP453)</f>
        <v/>
      </c>
      <c r="AR453" s="63" t="str">
        <f aca="false">IF(ISBLANK($C453),"",IF($AE453=Constants!$B$7,RANK(AQ453,$AQ$8:$AQ$507),$AE453))</f>
        <v/>
      </c>
      <c r="AS453" s="63" t="str">
        <f aca="false">IF(ISBLANK($C453), "",AK453)</f>
        <v/>
      </c>
      <c r="AT453" s="63" t="str">
        <f aca="false">IF(ISBLANK($C453),"",IF($AE453=Constants!$B$7,RANK(AS453,AS$8:AS$507),$AE453))</f>
        <v/>
      </c>
      <c r="AU453" s="63" t="str">
        <f aca="false">IF(ISBLANK($C453), "",AP453)</f>
        <v/>
      </c>
      <c r="AV453" s="63" t="str">
        <f aca="false">IF(ISBLANK($C453),"",IF($AE453=Constants!$B$7,RANK(AU453,AU$8:AU$507),$AE453))</f>
        <v/>
      </c>
      <c r="AW453" s="63" t="str">
        <f aca="false">IF(ISBLANK($C453), "",AC453)</f>
        <v/>
      </c>
      <c r="AX453" s="63" t="str">
        <f aca="false">IF(ISBLANK($C453),"",
IF($AE453=Constants!$B$7,
  COUNTIFS($AR$8:$AR$507,"&lt;"&amp;$AR453)
  + COUNTIFS($AR$8:$AR$507,$AR453,$AT$8:$AT$507,"&lt;"&amp;$AT453)
  + COUNTIFS($AR$8:$AR$507,$AR453,$AT$8:$AT$507,$AT453,$AV$8:$AV$507,"&lt;"&amp;$AV453)
  + COUNTIFS($AR$8:$AR$507,$AR453,$AT$8:$AT$507,$AT453,$AV$8:$AV$507,$AV453,$AW$8:$AW$507,"&lt;"&amp;$AW453)
  + 1,
$AE453))</f>
        <v/>
      </c>
      <c r="AY453" s="63" t="str">
        <f aca="false">IF(ISBLANK(C453),"",IF($AE453=Constants!$B$7, AR453-AX453,$AE453))</f>
        <v/>
      </c>
      <c r="AZ453" s="67"/>
      <c r="BA453" s="81" t="str">
        <f aca="false">IF(ISBLANK($C453),"",TRIM(AI453&amp;" "&amp;AM453))</f>
        <v/>
      </c>
      <c r="BB453" s="69" t="str">
        <f aca="false">IF(ISBLANK($C453),"",IF($AE453&lt;&gt;Constants!$B$7, $AE453 ,AQ453))</f>
        <v/>
      </c>
      <c r="BC453" s="70" t="str">
        <f aca="false">IF(ISBLANK($C453),"",IF($AE453&lt;&gt;Constants!$B$7, $AE453 ,AF453))</f>
        <v/>
      </c>
      <c r="BD453" s="71" t="str">
        <f aca="false">IF(ISBLANK(C453),"",AY453)</f>
        <v/>
      </c>
      <c r="BE453" s="71" t="str">
        <f aca="false">IF(ISBLANK(C453),"",AX453)</f>
        <v/>
      </c>
      <c r="BF453" s="72" t="str">
        <f aca="false">IF(ISBLANK(C453),"",IFERROR(_xlfn.SWITCH(BE453, Constants!$B$4, COUNTA($C$8:$C952)+2, Constants!$B$5, COUNTA($C$8:$C952)+1, Constants!$B$6, COUNTA($C$8:$C952)),BE453))</f>
        <v/>
      </c>
      <c r="BG453" s="5"/>
      <c r="BH453" s="73" t="n">
        <f aca="false">IF(OR(ISNUMBER(BE453),BE453="DQ",BE453="P",BE453="NS"),
    1,
    0
)</f>
        <v>0</v>
      </c>
      <c r="BI453" s="73" t="n">
        <v>446</v>
      </c>
      <c r="BJ453" s="73" t="str">
        <f aca="false">IF(ISBLANK($C453),
    "",
   BF453+ROW($B453)/1000
)</f>
        <v/>
      </c>
      <c r="BK453" s="73" t="str">
        <f aca="false">IF(ISNUMBER(BJ453), RANK(BJ453,BJ$8:BJ$507,1), "")</f>
        <v/>
      </c>
      <c r="BL453" s="73" t="str">
        <f aca="false">IF(ISBLANK($C453),
    "",
    $B453
)</f>
        <v/>
      </c>
      <c r="BM453" s="73" t="str">
        <f aca="false">IF(ISBLANK($C453),
    "",
    $C453
)</f>
        <v/>
      </c>
      <c r="BN453" s="73" t="str">
        <f aca="false">IF(ISBLANK($C453),
    "",
    $D453
)</f>
        <v/>
      </c>
      <c r="BO453" s="74" t="str">
        <f aca="false">BC453</f>
        <v/>
      </c>
      <c r="BP453" s="75" t="str">
        <f aca="false">BB453</f>
        <v/>
      </c>
      <c r="BQ453" s="73" t="str">
        <f aca="false">IF(ISBLANK($C453),
    "",
    BE453
)</f>
        <v/>
      </c>
      <c r="BR453" s="76" t="str">
        <f aca="false">IF(BI453&gt;BH$7,
    "",
    VLOOKUP(BI453,BK$8:BQ952,7,FALSE())
)</f>
        <v/>
      </c>
      <c r="BS453" s="77" t="str">
        <f aca="false">IF(BI453&gt;BH$7,
    "",
    VLOOKUP(BI453,BK$8:BQ952,2,FALSE())
)</f>
        <v/>
      </c>
      <c r="BT453" s="77" t="str">
        <f aca="false">IF(BI453&gt;BH$7,
    "",
    VLOOKUP(BI453,BK$8:BQ952,3,FALSE())
)</f>
        <v/>
      </c>
      <c r="BU453" s="77" t="str">
        <f aca="false">IF(BI453&gt;BH$7,
    "",
    VLOOKUP(BI453,BK$8:BQ952,4,FALSE())
)</f>
        <v/>
      </c>
      <c r="BV453" s="77" t="str">
        <f aca="false">IF(BI453&gt;BH$7,
    "",
    VLOOKUP(BI453,BK$8:BQ952,5,FALSE())
)</f>
        <v/>
      </c>
      <c r="BW453" s="78" t="str">
        <f aca="false">IF(BI453&gt;BH$7,
    "",
    VLOOKUP(BI453,BK$8:BQ952,6,FALSE())
)</f>
        <v/>
      </c>
      <c r="BX453" s="50"/>
    </row>
    <row r="454" customFormat="false" ht="15.75" hidden="false" customHeight="false" outlineLevel="0" collapsed="false">
      <c r="A454" s="5"/>
      <c r="B454" s="126"/>
      <c r="C454" s="52"/>
      <c r="D454" s="53"/>
      <c r="E454" s="120"/>
      <c r="F454" s="120"/>
      <c r="G454" s="55"/>
      <c r="H454" s="56"/>
      <c r="I454" s="80"/>
      <c r="J454" s="80"/>
      <c r="K454" s="80"/>
      <c r="L454" s="58"/>
      <c r="M454" s="58"/>
      <c r="N454" s="58"/>
      <c r="O454" s="59"/>
      <c r="P454" s="60"/>
      <c r="Q454" s="80"/>
      <c r="R454" s="62"/>
      <c r="S454" s="63"/>
      <c r="T454" s="63" t="str">
        <f aca="false">IF(ISBLANK($C454),"",IF(G454=Constants!$B$2, TRUE(), IF(G454=Constants!$B$3, FALSE(), TRUE())))</f>
        <v/>
      </c>
      <c r="U454" s="63" t="str">
        <f aca="false">IF(ISBLANK($C454),"",IF(H454=Constants!$B$2, TRUE(), IF(H454=Constants!$B$3, FALSE(), TRUE())))</f>
        <v/>
      </c>
      <c r="V454" s="63" t="str">
        <f aca="false">IF(ISBLANK($C454),"",IF(I454=Constants!$B$2, TRUE(), IF(I454=Constants!$B$3, FALSE(), TRUE())))</f>
        <v/>
      </c>
      <c r="W454" s="63" t="str">
        <f aca="false">IF(ISBLANK($C454),"",IF(J454=Constants!$B$2, TRUE(), IF(J454=Constants!$B$3, FALSE(), TRUE())))</f>
        <v/>
      </c>
      <c r="X454" s="63" t="str">
        <f aca="false">IF(ISBLANK($C454),"",IF(K454=Constants!$B$2, TRUE(), IF(K454=Constants!$B$3, FALSE(), TRUE())))</f>
        <v/>
      </c>
      <c r="Y454" s="65" t="str">
        <f aca="false">IF(ISBLANK($C454),"",IF(ISNUMBER(L454), L454, ""))</f>
        <v/>
      </c>
      <c r="Z454" s="65" t="str">
        <f aca="false">IF(ISBLANK($C454),"",IF(ISNUMBER(M454), M454, ""))</f>
        <v/>
      </c>
      <c r="AA454" s="65" t="str">
        <f aca="false">IF(ISBLANK($C454),"",IF(ISNUMBER(N454), N454, ""))</f>
        <v/>
      </c>
      <c r="AB454" s="66" t="str">
        <f aca="false">IF(ISBLANK($C454),"",IF(ISNUMBER(O454), O454, ""))</f>
        <v/>
      </c>
      <c r="AC454" s="66" t="str">
        <f aca="false">IF(ISBLANK($C454),"",IF(ISNUMBER(P454), P454, Constants!$B$13))</f>
        <v/>
      </c>
      <c r="AD454" s="63" t="str">
        <f aca="false">IF(ISBLANK($C454),"",IF(Q454=Constants!$B$2, TRUE(), IF(Q454=Constants!$B$3, FALSE(), FALSE())))</f>
        <v/>
      </c>
      <c r="AE454" s="63" t="str">
        <f aca="false">IF(ISBLANK(C454), "", IF(AD454, Constants!$B$4,IF(COUNTA(G454:O454)=0, Constants!$B$5, Constants!$B$7)))</f>
        <v/>
      </c>
      <c r="AF454" s="63" t="str">
        <f aca="false">IF(ISBLANK($C454), "",IF($AE454=Constants!$B$7,1,$AE454))</f>
        <v/>
      </c>
      <c r="AG454" s="63" t="str">
        <f aca="false">IF($AE454=Constants!$B$7,IF(V454, 1, Constants!$B$11) * IF(X454, 1, Constants!$B$12),"")</f>
        <v/>
      </c>
      <c r="AH454" s="63" t="str">
        <f aca="false">IF(AND($AE454=Constants!$B$7, T454, U454) ,MAX(0, $AA454-$Y454),"")</f>
        <v/>
      </c>
      <c r="AI454" s="63" t="str">
        <f aca="false">IF(ISERROR(AH454),$AI$6,"")</f>
        <v/>
      </c>
      <c r="AJ454" s="63" t="str">
        <f aca="false">IF($AE454=Constants!$B$7,IF(AND(T454,U454,W454),IF($AH$6=0,Constants!$B$9,Constants!$B$9*AH454/$AH$6), 0),"")</f>
        <v/>
      </c>
      <c r="AK454" s="63" t="str">
        <f aca="false">IF(AJ454&lt;&gt;"", AJ454*AG454,"")</f>
        <v/>
      </c>
      <c r="AL454" s="63" t="str">
        <f aca="false">IF(AND($AE454=Constants!$B$7, T454, U454) ,IF($Z454="", "", MAX(0,1-ABS($AA454-$Z454)/$AA454)),"")</f>
        <v/>
      </c>
      <c r="AM454" s="63" t="str">
        <f aca="false">IF(AND(NOT(ISERROR(AH454)),ISERROR(AL454)),$AM$6,"")</f>
        <v/>
      </c>
      <c r="AN454" s="63" t="str">
        <f aca="false">IF($AE454=Constants!$B$7 ,IF(AND(T454,U454,W454,ISNUMBER(Z454)),IF($AL$6=0,Constants!$B$10,Constants!$B$10*AL454/$AL$6), 0),"")</f>
        <v/>
      </c>
      <c r="AO454" s="63" t="str">
        <f aca="false">IF(AN454&lt;&gt;"", AN454*AG454,"")</f>
        <v/>
      </c>
      <c r="AP454" s="63" t="str">
        <f aca="false">IF($AE454=Constants!$B$7,IF($AP$6=0,Constants!$B$8,Constants!$B$8*AB454/$AP$6),"")</f>
        <v/>
      </c>
      <c r="AQ454" s="63" t="str">
        <f aca="false">IF($AE454&lt;&gt;Constants!$B$7,$AE454,AK454+AO454+AP454)</f>
        <v/>
      </c>
      <c r="AR454" s="63" t="str">
        <f aca="false">IF(ISBLANK($C454),"",IF($AE454=Constants!$B$7,RANK(AQ454,$AQ$8:$AQ$507),$AE454))</f>
        <v/>
      </c>
      <c r="AS454" s="63" t="str">
        <f aca="false">IF(ISBLANK($C454), "",AK454)</f>
        <v/>
      </c>
      <c r="AT454" s="63" t="str">
        <f aca="false">IF(ISBLANK($C454),"",IF($AE454=Constants!$B$7,RANK(AS454,AS$8:AS$507),$AE454))</f>
        <v/>
      </c>
      <c r="AU454" s="63" t="str">
        <f aca="false">IF(ISBLANK($C454), "",AP454)</f>
        <v/>
      </c>
      <c r="AV454" s="63" t="str">
        <f aca="false">IF(ISBLANK($C454),"",IF($AE454=Constants!$B$7,RANK(AU454,AU$8:AU$507),$AE454))</f>
        <v/>
      </c>
      <c r="AW454" s="63" t="str">
        <f aca="false">IF(ISBLANK($C454), "",AC454)</f>
        <v/>
      </c>
      <c r="AX454" s="63" t="str">
        <f aca="false">IF(ISBLANK($C454),"",
IF($AE454=Constants!$B$7,
  COUNTIFS($AR$8:$AR$507,"&lt;"&amp;$AR454)
  + COUNTIFS($AR$8:$AR$507,$AR454,$AT$8:$AT$507,"&lt;"&amp;$AT454)
  + COUNTIFS($AR$8:$AR$507,$AR454,$AT$8:$AT$507,$AT454,$AV$8:$AV$507,"&lt;"&amp;$AV454)
  + COUNTIFS($AR$8:$AR$507,$AR454,$AT$8:$AT$507,$AT454,$AV$8:$AV$507,$AV454,$AW$8:$AW$507,"&lt;"&amp;$AW454)
  + 1,
$AE454))</f>
        <v/>
      </c>
      <c r="AY454" s="63" t="str">
        <f aca="false">IF(ISBLANK(C454),"",IF($AE454=Constants!$B$7, AR454-AX454,$AE454))</f>
        <v/>
      </c>
      <c r="AZ454" s="67"/>
      <c r="BA454" s="81" t="str">
        <f aca="false">IF(ISBLANK($C454),"",TRIM(AI454&amp;" "&amp;AM454))</f>
        <v/>
      </c>
      <c r="BB454" s="69" t="str">
        <f aca="false">IF(ISBLANK($C454),"",IF($AE454&lt;&gt;Constants!$B$7, $AE454 ,AQ454))</f>
        <v/>
      </c>
      <c r="BC454" s="70" t="str">
        <f aca="false">IF(ISBLANK($C454),"",IF($AE454&lt;&gt;Constants!$B$7, $AE454 ,AF454))</f>
        <v/>
      </c>
      <c r="BD454" s="71" t="str">
        <f aca="false">IF(ISBLANK(C454),"",AY454)</f>
        <v/>
      </c>
      <c r="BE454" s="71" t="str">
        <f aca="false">IF(ISBLANK(C454),"",AX454)</f>
        <v/>
      </c>
      <c r="BF454" s="72" t="str">
        <f aca="false">IF(ISBLANK(C454),"",IFERROR(_xlfn.SWITCH(BE454, Constants!$B$4, COUNTA($C$8:$C953)+2, Constants!$B$5, COUNTA($C$8:$C953)+1, Constants!$B$6, COUNTA($C$8:$C953)),BE454))</f>
        <v/>
      </c>
      <c r="BG454" s="5"/>
      <c r="BH454" s="73" t="n">
        <f aca="false">IF(OR(ISNUMBER(BE454),BE454="DQ",BE454="P",BE454="NS"),
    1,
    0
)</f>
        <v>0</v>
      </c>
      <c r="BI454" s="73" t="n">
        <v>447</v>
      </c>
      <c r="BJ454" s="73" t="str">
        <f aca="false">IF(ISBLANK($C454),
    "",
   BF454+ROW($B454)/1000
)</f>
        <v/>
      </c>
      <c r="BK454" s="73" t="str">
        <f aca="false">IF(ISNUMBER(BJ454), RANK(BJ454,BJ$8:BJ$507,1), "")</f>
        <v/>
      </c>
      <c r="BL454" s="73" t="str">
        <f aca="false">IF(ISBLANK($C454),
    "",
    $B454
)</f>
        <v/>
      </c>
      <c r="BM454" s="73" t="str">
        <f aca="false">IF(ISBLANK($C454),
    "",
    $C454
)</f>
        <v/>
      </c>
      <c r="BN454" s="73" t="str">
        <f aca="false">IF(ISBLANK($C454),
    "",
    $D454
)</f>
        <v/>
      </c>
      <c r="BO454" s="74" t="str">
        <f aca="false">BC454</f>
        <v/>
      </c>
      <c r="BP454" s="75" t="str">
        <f aca="false">BB454</f>
        <v/>
      </c>
      <c r="BQ454" s="73" t="str">
        <f aca="false">IF(ISBLANK($C454),
    "",
    BE454
)</f>
        <v/>
      </c>
      <c r="BR454" s="76" t="str">
        <f aca="false">IF(BI454&gt;BH$7,
    "",
    VLOOKUP(BI454,BK$8:BQ953,7,FALSE())
)</f>
        <v/>
      </c>
      <c r="BS454" s="77" t="str">
        <f aca="false">IF(BI454&gt;BH$7,
    "",
    VLOOKUP(BI454,BK$8:BQ953,2,FALSE())
)</f>
        <v/>
      </c>
      <c r="BT454" s="77" t="str">
        <f aca="false">IF(BI454&gt;BH$7,
    "",
    VLOOKUP(BI454,BK$8:BQ953,3,FALSE())
)</f>
        <v/>
      </c>
      <c r="BU454" s="77" t="str">
        <f aca="false">IF(BI454&gt;BH$7,
    "",
    VLOOKUP(BI454,BK$8:BQ953,4,FALSE())
)</f>
        <v/>
      </c>
      <c r="BV454" s="77" t="str">
        <f aca="false">IF(BI454&gt;BH$7,
    "",
    VLOOKUP(BI454,BK$8:BQ953,5,FALSE())
)</f>
        <v/>
      </c>
      <c r="BW454" s="78" t="str">
        <f aca="false">IF(BI454&gt;BH$7,
    "",
    VLOOKUP(BI454,BK$8:BQ953,6,FALSE())
)</f>
        <v/>
      </c>
      <c r="BX454" s="50"/>
    </row>
    <row r="455" customFormat="false" ht="15.75" hidden="false" customHeight="false" outlineLevel="0" collapsed="false">
      <c r="A455" s="5"/>
      <c r="B455" s="122"/>
      <c r="C455" s="123"/>
      <c r="D455" s="112"/>
      <c r="E455" s="116"/>
      <c r="F455" s="116"/>
      <c r="G455" s="88"/>
      <c r="H455" s="89"/>
      <c r="I455" s="125"/>
      <c r="J455" s="125"/>
      <c r="K455" s="125"/>
      <c r="L455" s="91"/>
      <c r="M455" s="91"/>
      <c r="N455" s="91"/>
      <c r="O455" s="92"/>
      <c r="P455" s="93"/>
      <c r="Q455" s="125"/>
      <c r="R455" s="95"/>
      <c r="S455" s="96"/>
      <c r="T455" s="96" t="str">
        <f aca="false">IF(ISBLANK($C455),"",IF(G455=Constants!$B$2, TRUE(), IF(G455=Constants!$B$3, FALSE(), TRUE())))</f>
        <v/>
      </c>
      <c r="U455" s="96" t="str">
        <f aca="false">IF(ISBLANK($C455),"",IF(H455=Constants!$B$2, TRUE(), IF(H455=Constants!$B$3, FALSE(), TRUE())))</f>
        <v/>
      </c>
      <c r="V455" s="96" t="str">
        <f aca="false">IF(ISBLANK($C455),"",IF(I455=Constants!$B$2, TRUE(), IF(I455=Constants!$B$3, FALSE(), TRUE())))</f>
        <v/>
      </c>
      <c r="W455" s="96" t="str">
        <f aca="false">IF(ISBLANK($C455),"",IF(J455=Constants!$B$2, TRUE(), IF(J455=Constants!$B$3, FALSE(), TRUE())))</f>
        <v/>
      </c>
      <c r="X455" s="97" t="str">
        <f aca="false">IF(ISBLANK($C455),"",IF(K455=Constants!$B$2, TRUE(), IF(K455=Constants!$B$3, FALSE(), TRUE())))</f>
        <v/>
      </c>
      <c r="Y455" s="98" t="str">
        <f aca="false">IF(ISBLANK($C455),"",IF(ISNUMBER(L455), L455, ""))</f>
        <v/>
      </c>
      <c r="Z455" s="98" t="str">
        <f aca="false">IF(ISBLANK($C455),"",IF(ISNUMBER(M455), M455, ""))</f>
        <v/>
      </c>
      <c r="AA455" s="98" t="str">
        <f aca="false">IF(ISBLANK($C455),"",IF(ISNUMBER(N455), N455, ""))</f>
        <v/>
      </c>
      <c r="AB455" s="99" t="str">
        <f aca="false">IF(ISBLANK($C455),"",IF(ISNUMBER(O455), O455, ""))</f>
        <v/>
      </c>
      <c r="AC455" s="99" t="str">
        <f aca="false">IF(ISBLANK($C455),"",IF(ISNUMBER(P455), P455, Constants!$B$13))</f>
        <v/>
      </c>
      <c r="AD455" s="96" t="str">
        <f aca="false">IF(ISBLANK($C455),"",IF(Q455=Constants!$B$2, TRUE(), IF(Q455=Constants!$B$3, FALSE(), FALSE())))</f>
        <v/>
      </c>
      <c r="AE455" s="96" t="str">
        <f aca="false">IF(ISBLANK(C455), "", IF(AD455, Constants!$B$4,IF(COUNTA(G455:O455)=0, Constants!$B$5, Constants!$B$7)))</f>
        <v/>
      </c>
      <c r="AF455" s="96" t="str">
        <f aca="false">IF(ISBLANK($C455), "",IF($AE455=Constants!$B$7,1,$AE455))</f>
        <v/>
      </c>
      <c r="AG455" s="96" t="str">
        <f aca="false">IF($AE455=Constants!$B$7,IF(V455, 1, Constants!$B$11) * IF(X455, 1, Constants!$B$12),"")</f>
        <v/>
      </c>
      <c r="AH455" s="96" t="str">
        <f aca="false">IF(AND($AE455=Constants!$B$7, T455, U455) ,MAX(0, $AA455-$Y455),"")</f>
        <v/>
      </c>
      <c r="AI455" s="96" t="str">
        <f aca="false">IF(ISERROR(AH455),$AI$6,"")</f>
        <v/>
      </c>
      <c r="AJ455" s="96" t="str">
        <f aca="false">IF($AE455=Constants!$B$7,IF(AND(T455,U455,W455),IF($AH$6=0,Constants!$B$9,Constants!$B$9*AH455/$AH$6), 0),"")</f>
        <v/>
      </c>
      <c r="AK455" s="96" t="str">
        <f aca="false">IF(AJ455&lt;&gt;"", AJ455*AG455,"")</f>
        <v/>
      </c>
      <c r="AL455" s="96" t="str">
        <f aca="false">IF(AND($AE455=Constants!$B$7, T455, U455) ,IF($Z455="", "", MAX(0,1-ABS($AA455-$Z455)/$AA455)),"")</f>
        <v/>
      </c>
      <c r="AM455" s="96" t="str">
        <f aca="false">IF(AND(NOT(ISERROR(AH455)),ISERROR(AL455)),$AM$6,"")</f>
        <v/>
      </c>
      <c r="AN455" s="96" t="str">
        <f aca="false">IF($AE455=Constants!$B$7 ,IF(AND(T455,U455,W455,ISNUMBER(Z455)),IF($AL$6=0,Constants!$B$10,Constants!$B$10*AL455/$AL$6), 0),"")</f>
        <v/>
      </c>
      <c r="AO455" s="96" t="str">
        <f aca="false">IF(AN455&lt;&gt;"", AN455*AG455,"")</f>
        <v/>
      </c>
      <c r="AP455" s="96" t="str">
        <f aca="false">IF($AE455=Constants!$B$7,IF($AP$6=0,Constants!$B$8,Constants!$B$8*AB455/$AP$6),"")</f>
        <v/>
      </c>
      <c r="AQ455" s="96" t="str">
        <f aca="false">IF($AE455&lt;&gt;Constants!$B$7,$AE455,AK455+AO455+AP455)</f>
        <v/>
      </c>
      <c r="AR455" s="96" t="str">
        <f aca="false">IF(ISBLANK($C455),"",IF($AE455=Constants!$B$7,RANK(AQ455,$AQ$8:$AQ$507),$AE455))</f>
        <v/>
      </c>
      <c r="AS455" s="96" t="str">
        <f aca="false">IF(ISBLANK($C455), "",AK455)</f>
        <v/>
      </c>
      <c r="AT455" s="96" t="str">
        <f aca="false">IF(ISBLANK($C455),"",IF($AE455=Constants!$B$7,RANK(AS455,AS$8:AS$507),$AE455))</f>
        <v/>
      </c>
      <c r="AU455" s="96" t="str">
        <f aca="false">IF(ISBLANK($C455), "",AP455)</f>
        <v/>
      </c>
      <c r="AV455" s="96" t="str">
        <f aca="false">IF(ISBLANK($C455),"",IF($AE455=Constants!$B$7,RANK(AU455,AU$8:AU$507),$AE455))</f>
        <v/>
      </c>
      <c r="AW455" s="96" t="str">
        <f aca="false">IF(ISBLANK($C455), "",AC455)</f>
        <v/>
      </c>
      <c r="AX455" s="96" t="str">
        <f aca="false">IF(ISBLANK($C455),"",
IF($AE455=Constants!$B$7,
  COUNTIFS($AR$8:$AR$507,"&lt;"&amp;$AR455)
  + COUNTIFS($AR$8:$AR$507,$AR455,$AT$8:$AT$507,"&lt;"&amp;$AT455)
  + COUNTIFS($AR$8:$AR$507,$AR455,$AT$8:$AT$507,$AT455,$AV$8:$AV$507,"&lt;"&amp;$AV455)
  + COUNTIFS($AR$8:$AR$507,$AR455,$AT$8:$AT$507,$AT455,$AV$8:$AV$507,$AV455,$AW$8:$AW$507,"&lt;"&amp;$AW455)
  + 1,
$AE455))</f>
        <v/>
      </c>
      <c r="AY455" s="96" t="str">
        <f aca="false">IF(ISBLANK(C455),"",IF($AE455=Constants!$B$7, AR455-AX455,$AE455))</f>
        <v/>
      </c>
      <c r="AZ455" s="100"/>
      <c r="BA455" s="101" t="str">
        <f aca="false">IF(ISBLANK($C455),"",TRIM(AI455&amp;" "&amp;AM455))</f>
        <v/>
      </c>
      <c r="BB455" s="102" t="str">
        <f aca="false">IF(ISBLANK($C455),"",IF($AE455&lt;&gt;Constants!$B$7, $AE455 ,AQ455))</f>
        <v/>
      </c>
      <c r="BC455" s="103" t="str">
        <f aca="false">IF(ISBLANK($C455),"",IF($AE455&lt;&gt;Constants!$B$7, $AE455 ,AF455))</f>
        <v/>
      </c>
      <c r="BD455" s="104" t="str">
        <f aca="false">IF(ISBLANK(C455),"",AY455)</f>
        <v/>
      </c>
      <c r="BE455" s="104" t="str">
        <f aca="false">IF(ISBLANK(C455),"",AX455)</f>
        <v/>
      </c>
      <c r="BF455" s="105" t="str">
        <f aca="false">IF(ISBLANK(C455),"",IFERROR(_xlfn.SWITCH(BE455, Constants!$B$4, COUNTA($C$8:$C954)+2, Constants!$B$5, COUNTA($C$8:$C954)+1, Constants!$B$6, COUNTA($C$8:$C954)),BE455))</f>
        <v/>
      </c>
      <c r="BG455" s="5"/>
      <c r="BH455" s="106" t="n">
        <f aca="false">IF(OR(ISNUMBER(BE455),BE455="DQ",BE455="P",BE455="NS"),
    1,
    0
)</f>
        <v>0</v>
      </c>
      <c r="BI455" s="106" t="n">
        <v>448</v>
      </c>
      <c r="BJ455" s="106" t="str">
        <f aca="false">IF(ISBLANK($C455),
    "",
   BF455+ROW($B455)/1000
)</f>
        <v/>
      </c>
      <c r="BK455" s="106" t="str">
        <f aca="false">IF(ISNUMBER(BJ455), RANK(BJ455,BJ$8:BJ$507,1), "")</f>
        <v/>
      </c>
      <c r="BL455" s="106" t="str">
        <f aca="false">IF(ISBLANK($C455),
    "",
    $B455
)</f>
        <v/>
      </c>
      <c r="BM455" s="106" t="str">
        <f aca="false">IF(ISBLANK($C455),
    "",
    $C455
)</f>
        <v/>
      </c>
      <c r="BN455" s="106" t="str">
        <f aca="false">IF(ISBLANK($C455),
    "",
    $D455
)</f>
        <v/>
      </c>
      <c r="BO455" s="107" t="str">
        <f aca="false">BC455</f>
        <v/>
      </c>
      <c r="BP455" s="108" t="str">
        <f aca="false">BB455</f>
        <v/>
      </c>
      <c r="BQ455" s="106" t="str">
        <f aca="false">IF(ISBLANK($C455),
    "",
    BE455
)</f>
        <v/>
      </c>
      <c r="BR455" s="109" t="str">
        <f aca="false">IF(BI455&gt;BH$7,
    "",
    VLOOKUP(BI455,BK$8:BQ954,7,FALSE())
)</f>
        <v/>
      </c>
      <c r="BS455" s="110" t="str">
        <f aca="false">IF(BI455&gt;BH$7,
    "",
    VLOOKUP(BI455,BK$8:BQ954,2,FALSE())
)</f>
        <v/>
      </c>
      <c r="BT455" s="110" t="str">
        <f aca="false">IF(BI455&gt;BH$7,
    "",
    VLOOKUP(BI455,BK$8:BQ954,3,FALSE())
)</f>
        <v/>
      </c>
      <c r="BU455" s="110" t="str">
        <f aca="false">IF(BI455&gt;BH$7,
    "",
    VLOOKUP(BI455,BK$8:BQ954,4,FALSE())
)</f>
        <v/>
      </c>
      <c r="BV455" s="110" t="str">
        <f aca="false">IF(BI455&gt;BH$7,
    "",
    VLOOKUP(BI455,BK$8:BQ954,5,FALSE())
)</f>
        <v/>
      </c>
      <c r="BW455" s="111" t="str">
        <f aca="false">IF(BI455&gt;BH$7,
    "",
    VLOOKUP(BI455,BK$8:BQ954,6,FALSE())
)</f>
        <v/>
      </c>
      <c r="BX455" s="50"/>
    </row>
    <row r="456" customFormat="false" ht="15.75" hidden="false" customHeight="false" outlineLevel="0" collapsed="false">
      <c r="A456" s="5"/>
      <c r="B456" s="122"/>
      <c r="C456" s="123"/>
      <c r="D456" s="112"/>
      <c r="E456" s="116"/>
      <c r="F456" s="116"/>
      <c r="G456" s="88"/>
      <c r="H456" s="89"/>
      <c r="I456" s="125"/>
      <c r="J456" s="125"/>
      <c r="K456" s="125"/>
      <c r="L456" s="91"/>
      <c r="M456" s="91"/>
      <c r="N456" s="91"/>
      <c r="O456" s="92"/>
      <c r="P456" s="93"/>
      <c r="Q456" s="125"/>
      <c r="R456" s="95"/>
      <c r="S456" s="96"/>
      <c r="T456" s="96" t="str">
        <f aca="false">IF(ISBLANK($C456),"",IF(G456=Constants!$B$2, TRUE(), IF(G456=Constants!$B$3, FALSE(), TRUE())))</f>
        <v/>
      </c>
      <c r="U456" s="96" t="str">
        <f aca="false">IF(ISBLANK($C456),"",IF(H456=Constants!$B$2, TRUE(), IF(H456=Constants!$B$3, FALSE(), TRUE())))</f>
        <v/>
      </c>
      <c r="V456" s="96" t="str">
        <f aca="false">IF(ISBLANK($C456),"",IF(I456=Constants!$B$2, TRUE(), IF(I456=Constants!$B$3, FALSE(), TRUE())))</f>
        <v/>
      </c>
      <c r="W456" s="96" t="str">
        <f aca="false">IF(ISBLANK($C456),"",IF(J456=Constants!$B$2, TRUE(), IF(J456=Constants!$B$3, FALSE(), TRUE())))</f>
        <v/>
      </c>
      <c r="X456" s="97" t="str">
        <f aca="false">IF(ISBLANK($C456),"",IF(K456=Constants!$B$2, TRUE(), IF(K456=Constants!$B$3, FALSE(), TRUE())))</f>
        <v/>
      </c>
      <c r="Y456" s="98" t="str">
        <f aca="false">IF(ISBLANK($C456),"",IF(ISNUMBER(L456), L456, ""))</f>
        <v/>
      </c>
      <c r="Z456" s="98" t="str">
        <f aca="false">IF(ISBLANK($C456),"",IF(ISNUMBER(M456), M456, ""))</f>
        <v/>
      </c>
      <c r="AA456" s="98" t="str">
        <f aca="false">IF(ISBLANK($C456),"",IF(ISNUMBER(N456), N456, ""))</f>
        <v/>
      </c>
      <c r="AB456" s="99" t="str">
        <f aca="false">IF(ISBLANK($C456),"",IF(ISNUMBER(O456), O456, ""))</f>
        <v/>
      </c>
      <c r="AC456" s="99" t="str">
        <f aca="false">IF(ISBLANK($C456),"",IF(ISNUMBER(P456), P456, Constants!$B$13))</f>
        <v/>
      </c>
      <c r="AD456" s="96" t="str">
        <f aca="false">IF(ISBLANK($C456),"",IF(Q456=Constants!$B$2, TRUE(), IF(Q456=Constants!$B$3, FALSE(), FALSE())))</f>
        <v/>
      </c>
      <c r="AE456" s="96" t="str">
        <f aca="false">IF(ISBLANK(C456), "", IF(AD456, Constants!$B$4,IF(COUNTA(G456:O456)=0, Constants!$B$5, Constants!$B$7)))</f>
        <v/>
      </c>
      <c r="AF456" s="96" t="str">
        <f aca="false">IF(ISBLANK($C456), "",IF($AE456=Constants!$B$7,1,$AE456))</f>
        <v/>
      </c>
      <c r="AG456" s="96" t="str">
        <f aca="false">IF($AE456=Constants!$B$7,IF(V456, 1, Constants!$B$11) * IF(X456, 1, Constants!$B$12),"")</f>
        <v/>
      </c>
      <c r="AH456" s="96" t="str">
        <f aca="false">IF(AND($AE456=Constants!$B$7, T456, U456) ,MAX(0, $AA456-$Y456),"")</f>
        <v/>
      </c>
      <c r="AI456" s="96" t="str">
        <f aca="false">IF(ISERROR(AH456),$AI$6,"")</f>
        <v/>
      </c>
      <c r="AJ456" s="96" t="str">
        <f aca="false">IF($AE456=Constants!$B$7,IF(AND(T456,U456,W456),IF($AH$6=0,Constants!$B$9,Constants!$B$9*AH456/$AH$6), 0),"")</f>
        <v/>
      </c>
      <c r="AK456" s="96" t="str">
        <f aca="false">IF(AJ456&lt;&gt;"", AJ456*AG456,"")</f>
        <v/>
      </c>
      <c r="AL456" s="96" t="str">
        <f aca="false">IF(AND($AE456=Constants!$B$7, T456, U456) ,IF($Z456="", "", MAX(0,1-ABS($AA456-$Z456)/$AA456)),"")</f>
        <v/>
      </c>
      <c r="AM456" s="96" t="str">
        <f aca="false">IF(AND(NOT(ISERROR(AH456)),ISERROR(AL456)),$AM$6,"")</f>
        <v/>
      </c>
      <c r="AN456" s="96" t="str">
        <f aca="false">IF($AE456=Constants!$B$7 ,IF(AND(T456,U456,W456,ISNUMBER(Z456)),IF($AL$6=0,Constants!$B$10,Constants!$B$10*AL456/$AL$6), 0),"")</f>
        <v/>
      </c>
      <c r="AO456" s="96" t="str">
        <f aca="false">IF(AN456&lt;&gt;"", AN456*AG456,"")</f>
        <v/>
      </c>
      <c r="AP456" s="96" t="str">
        <f aca="false">IF($AE456=Constants!$B$7,IF($AP$6=0,Constants!$B$8,Constants!$B$8*AB456/$AP$6),"")</f>
        <v/>
      </c>
      <c r="AQ456" s="96" t="str">
        <f aca="false">IF($AE456&lt;&gt;Constants!$B$7,$AE456,AK456+AO456+AP456)</f>
        <v/>
      </c>
      <c r="AR456" s="96" t="str">
        <f aca="false">IF(ISBLANK($C456),"",IF($AE456=Constants!$B$7,RANK(AQ456,$AQ$8:$AQ$507),$AE456))</f>
        <v/>
      </c>
      <c r="AS456" s="96" t="str">
        <f aca="false">IF(ISBLANK($C456), "",AK456)</f>
        <v/>
      </c>
      <c r="AT456" s="96" t="str">
        <f aca="false">IF(ISBLANK($C456),"",IF($AE456=Constants!$B$7,RANK(AS456,AS$8:AS$507),$AE456))</f>
        <v/>
      </c>
      <c r="AU456" s="96" t="str">
        <f aca="false">IF(ISBLANK($C456), "",AP456)</f>
        <v/>
      </c>
      <c r="AV456" s="96" t="str">
        <f aca="false">IF(ISBLANK($C456),"",IF($AE456=Constants!$B$7,RANK(AU456,AU$8:AU$507),$AE456))</f>
        <v/>
      </c>
      <c r="AW456" s="96" t="str">
        <f aca="false">IF(ISBLANK($C456), "",AC456)</f>
        <v/>
      </c>
      <c r="AX456" s="96" t="str">
        <f aca="false">IF(ISBLANK($C456),"",
IF($AE456=Constants!$B$7,
  COUNTIFS($AR$8:$AR$507,"&lt;"&amp;$AR456)
  + COUNTIFS($AR$8:$AR$507,$AR456,$AT$8:$AT$507,"&lt;"&amp;$AT456)
  + COUNTIFS($AR$8:$AR$507,$AR456,$AT$8:$AT$507,$AT456,$AV$8:$AV$507,"&lt;"&amp;$AV456)
  + COUNTIFS($AR$8:$AR$507,$AR456,$AT$8:$AT$507,$AT456,$AV$8:$AV$507,$AV456,$AW$8:$AW$507,"&lt;"&amp;$AW456)
  + 1,
$AE456))</f>
        <v/>
      </c>
      <c r="AY456" s="96" t="str">
        <f aca="false">IF(ISBLANK(C456),"",IF($AE456=Constants!$B$7, AR456-AX456,$AE456))</f>
        <v/>
      </c>
      <c r="AZ456" s="100"/>
      <c r="BA456" s="101" t="str">
        <f aca="false">IF(ISBLANK($C456),"",TRIM(AI456&amp;" "&amp;AM456))</f>
        <v/>
      </c>
      <c r="BB456" s="102" t="str">
        <f aca="false">IF(ISBLANK($C456),"",IF($AE456&lt;&gt;Constants!$B$7, $AE456 ,AQ456))</f>
        <v/>
      </c>
      <c r="BC456" s="103" t="str">
        <f aca="false">IF(ISBLANK($C456),"",IF($AE456&lt;&gt;Constants!$B$7, $AE456 ,AF456))</f>
        <v/>
      </c>
      <c r="BD456" s="104" t="str">
        <f aca="false">IF(ISBLANK(C456),"",AY456)</f>
        <v/>
      </c>
      <c r="BE456" s="104" t="str">
        <f aca="false">IF(ISBLANK(C456),"",AX456)</f>
        <v/>
      </c>
      <c r="BF456" s="105" t="str">
        <f aca="false">IF(ISBLANK(C456),"",IFERROR(_xlfn.SWITCH(BE456, Constants!$B$4, COUNTA($C$8:$C955)+2, Constants!$B$5, COUNTA($C$8:$C955)+1, Constants!$B$6, COUNTA($C$8:$C955)),BE456))</f>
        <v/>
      </c>
      <c r="BG456" s="5"/>
      <c r="BH456" s="106" t="n">
        <f aca="false">IF(OR(ISNUMBER(BE456),BE456="DQ",BE456="P",BE456="NS"),
    1,
    0
)</f>
        <v>0</v>
      </c>
      <c r="BI456" s="106" t="n">
        <v>449</v>
      </c>
      <c r="BJ456" s="106" t="str">
        <f aca="false">IF(ISBLANK($C456),
    "",
   BF456+ROW($B456)/1000
)</f>
        <v/>
      </c>
      <c r="BK456" s="106" t="str">
        <f aca="false">IF(ISNUMBER(BJ456), RANK(BJ456,BJ$8:BJ$507,1), "")</f>
        <v/>
      </c>
      <c r="BL456" s="106" t="str">
        <f aca="false">IF(ISBLANK($C456),
    "",
    $B456
)</f>
        <v/>
      </c>
      <c r="BM456" s="106" t="str">
        <f aca="false">IF(ISBLANK($C456),
    "",
    $C456
)</f>
        <v/>
      </c>
      <c r="BN456" s="106" t="str">
        <f aca="false">IF(ISBLANK($C456),
    "",
    $D456
)</f>
        <v/>
      </c>
      <c r="BO456" s="107" t="str">
        <f aca="false">BC456</f>
        <v/>
      </c>
      <c r="BP456" s="108" t="str">
        <f aca="false">BB456</f>
        <v/>
      </c>
      <c r="BQ456" s="106" t="str">
        <f aca="false">IF(ISBLANK($C456),
    "",
    BE456
)</f>
        <v/>
      </c>
      <c r="BR456" s="109" t="str">
        <f aca="false">IF(BI456&gt;BH$7,
    "",
    VLOOKUP(BI456,BK$8:BQ955,7,FALSE())
)</f>
        <v/>
      </c>
      <c r="BS456" s="110" t="str">
        <f aca="false">IF(BI456&gt;BH$7,
    "",
    VLOOKUP(BI456,BK$8:BQ955,2,FALSE())
)</f>
        <v/>
      </c>
      <c r="BT456" s="110" t="str">
        <f aca="false">IF(BI456&gt;BH$7,
    "",
    VLOOKUP(BI456,BK$8:BQ955,3,FALSE())
)</f>
        <v/>
      </c>
      <c r="BU456" s="110" t="str">
        <f aca="false">IF(BI456&gt;BH$7,
    "",
    VLOOKUP(BI456,BK$8:BQ955,4,FALSE())
)</f>
        <v/>
      </c>
      <c r="BV456" s="110" t="str">
        <f aca="false">IF(BI456&gt;BH$7,
    "",
    VLOOKUP(BI456,BK$8:BQ955,5,FALSE())
)</f>
        <v/>
      </c>
      <c r="BW456" s="111" t="str">
        <f aca="false">IF(BI456&gt;BH$7,
    "",
    VLOOKUP(BI456,BK$8:BQ955,6,FALSE())
)</f>
        <v/>
      </c>
      <c r="BX456" s="50"/>
    </row>
    <row r="457" customFormat="false" ht="15.75" hidden="false" customHeight="false" outlineLevel="0" collapsed="false">
      <c r="A457" s="5"/>
      <c r="B457" s="122"/>
      <c r="C457" s="123"/>
      <c r="D457" s="112"/>
      <c r="E457" s="116"/>
      <c r="F457" s="116"/>
      <c r="G457" s="88"/>
      <c r="H457" s="89"/>
      <c r="I457" s="125"/>
      <c r="J457" s="125"/>
      <c r="K457" s="125"/>
      <c r="L457" s="91"/>
      <c r="M457" s="91"/>
      <c r="N457" s="91"/>
      <c r="O457" s="92"/>
      <c r="P457" s="93"/>
      <c r="Q457" s="125"/>
      <c r="R457" s="95"/>
      <c r="S457" s="96"/>
      <c r="T457" s="96" t="str">
        <f aca="false">IF(ISBLANK($C457),"",IF(G457=Constants!$B$2, TRUE(), IF(G457=Constants!$B$3, FALSE(), TRUE())))</f>
        <v/>
      </c>
      <c r="U457" s="96" t="str">
        <f aca="false">IF(ISBLANK($C457),"",IF(H457=Constants!$B$2, TRUE(), IF(H457=Constants!$B$3, FALSE(), TRUE())))</f>
        <v/>
      </c>
      <c r="V457" s="96" t="str">
        <f aca="false">IF(ISBLANK($C457),"",IF(I457=Constants!$B$2, TRUE(), IF(I457=Constants!$B$3, FALSE(), TRUE())))</f>
        <v/>
      </c>
      <c r="W457" s="96" t="str">
        <f aca="false">IF(ISBLANK($C457),"",IF(J457=Constants!$B$2, TRUE(), IF(J457=Constants!$B$3, FALSE(), TRUE())))</f>
        <v/>
      </c>
      <c r="X457" s="97" t="str">
        <f aca="false">IF(ISBLANK($C457),"",IF(K457=Constants!$B$2, TRUE(), IF(K457=Constants!$B$3, FALSE(), TRUE())))</f>
        <v/>
      </c>
      <c r="Y457" s="98" t="str">
        <f aca="false">IF(ISBLANK($C457),"",IF(ISNUMBER(L457), L457, ""))</f>
        <v/>
      </c>
      <c r="Z457" s="98" t="str">
        <f aca="false">IF(ISBLANK($C457),"",IF(ISNUMBER(M457), M457, ""))</f>
        <v/>
      </c>
      <c r="AA457" s="98" t="str">
        <f aca="false">IF(ISBLANK($C457),"",IF(ISNUMBER(N457), N457, ""))</f>
        <v/>
      </c>
      <c r="AB457" s="99" t="str">
        <f aca="false">IF(ISBLANK($C457),"",IF(ISNUMBER(O457), O457, ""))</f>
        <v/>
      </c>
      <c r="AC457" s="99" t="str">
        <f aca="false">IF(ISBLANK($C457),"",IF(ISNUMBER(P457), P457, Constants!$B$13))</f>
        <v/>
      </c>
      <c r="AD457" s="96" t="str">
        <f aca="false">IF(ISBLANK($C457),"",IF(Q457=Constants!$B$2, TRUE(), IF(Q457=Constants!$B$3, FALSE(), FALSE())))</f>
        <v/>
      </c>
      <c r="AE457" s="96" t="str">
        <f aca="false">IF(ISBLANK(C457), "", IF(AD457, Constants!$B$4,IF(COUNTA(G457:O457)=0, Constants!$B$5, Constants!$B$7)))</f>
        <v/>
      </c>
      <c r="AF457" s="96" t="str">
        <f aca="false">IF(ISBLANK($C457), "",IF($AE457=Constants!$B$7,1,$AE457))</f>
        <v/>
      </c>
      <c r="AG457" s="96" t="str">
        <f aca="false">IF($AE457=Constants!$B$7,IF(V457, 1, Constants!$B$11) * IF(X457, 1, Constants!$B$12),"")</f>
        <v/>
      </c>
      <c r="AH457" s="96" t="str">
        <f aca="false">IF(AND($AE457=Constants!$B$7, T457, U457) ,MAX(0, $AA457-$Y457),"")</f>
        <v/>
      </c>
      <c r="AI457" s="96" t="str">
        <f aca="false">IF(ISERROR(AH457),$AI$6,"")</f>
        <v/>
      </c>
      <c r="AJ457" s="96" t="str">
        <f aca="false">IF($AE457=Constants!$B$7,IF(AND(T457,U457,W457),IF($AH$6=0,Constants!$B$9,Constants!$B$9*AH457/$AH$6), 0),"")</f>
        <v/>
      </c>
      <c r="AK457" s="96" t="str">
        <f aca="false">IF(AJ457&lt;&gt;"", AJ457*AG457,"")</f>
        <v/>
      </c>
      <c r="AL457" s="96" t="str">
        <f aca="false">IF(AND($AE457=Constants!$B$7, T457, U457) ,IF($Z457="", "", MAX(0,1-ABS($AA457-$Z457)/$AA457)),"")</f>
        <v/>
      </c>
      <c r="AM457" s="96" t="str">
        <f aca="false">IF(AND(NOT(ISERROR(AH457)),ISERROR(AL457)),$AM$6,"")</f>
        <v/>
      </c>
      <c r="AN457" s="96" t="str">
        <f aca="false">IF($AE457=Constants!$B$7 ,IF(AND(T457,U457,W457,ISNUMBER(Z457)),IF($AL$6=0,Constants!$B$10,Constants!$B$10*AL457/$AL$6), 0),"")</f>
        <v/>
      </c>
      <c r="AO457" s="96" t="str">
        <f aca="false">IF(AN457&lt;&gt;"", AN457*AG457,"")</f>
        <v/>
      </c>
      <c r="AP457" s="96" t="str">
        <f aca="false">IF($AE457=Constants!$B$7,IF($AP$6=0,Constants!$B$8,Constants!$B$8*AB457/$AP$6),"")</f>
        <v/>
      </c>
      <c r="AQ457" s="96" t="str">
        <f aca="false">IF($AE457&lt;&gt;Constants!$B$7,$AE457,AK457+AO457+AP457)</f>
        <v/>
      </c>
      <c r="AR457" s="96" t="str">
        <f aca="false">IF(ISBLANK($C457),"",IF($AE457=Constants!$B$7,RANK(AQ457,$AQ$8:$AQ$507),$AE457))</f>
        <v/>
      </c>
      <c r="AS457" s="96" t="str">
        <f aca="false">IF(ISBLANK($C457), "",AK457)</f>
        <v/>
      </c>
      <c r="AT457" s="96" t="str">
        <f aca="false">IF(ISBLANK($C457),"",IF($AE457=Constants!$B$7,RANK(AS457,AS$8:AS$507),$AE457))</f>
        <v/>
      </c>
      <c r="AU457" s="96" t="str">
        <f aca="false">IF(ISBLANK($C457), "",AP457)</f>
        <v/>
      </c>
      <c r="AV457" s="96" t="str">
        <f aca="false">IF(ISBLANK($C457),"",IF($AE457=Constants!$B$7,RANK(AU457,AU$8:AU$507),$AE457))</f>
        <v/>
      </c>
      <c r="AW457" s="96" t="str">
        <f aca="false">IF(ISBLANK($C457), "",AC457)</f>
        <v/>
      </c>
      <c r="AX457" s="96" t="str">
        <f aca="false">IF(ISBLANK($C457),"",
IF($AE457=Constants!$B$7,
  COUNTIFS($AR$8:$AR$507,"&lt;"&amp;$AR457)
  + COUNTIFS($AR$8:$AR$507,$AR457,$AT$8:$AT$507,"&lt;"&amp;$AT457)
  + COUNTIFS($AR$8:$AR$507,$AR457,$AT$8:$AT$507,$AT457,$AV$8:$AV$507,"&lt;"&amp;$AV457)
  + COUNTIFS($AR$8:$AR$507,$AR457,$AT$8:$AT$507,$AT457,$AV$8:$AV$507,$AV457,$AW$8:$AW$507,"&lt;"&amp;$AW457)
  + 1,
$AE457))</f>
        <v/>
      </c>
      <c r="AY457" s="96" t="str">
        <f aca="false">IF(ISBLANK(C457),"",IF($AE457=Constants!$B$7, AR457-AX457,$AE457))</f>
        <v/>
      </c>
      <c r="AZ457" s="100"/>
      <c r="BA457" s="101" t="str">
        <f aca="false">IF(ISBLANK($C457),"",TRIM(AI457&amp;" "&amp;AM457))</f>
        <v/>
      </c>
      <c r="BB457" s="102" t="str">
        <f aca="false">IF(ISBLANK($C457),"",IF($AE457&lt;&gt;Constants!$B$7, $AE457 ,AQ457))</f>
        <v/>
      </c>
      <c r="BC457" s="103" t="str">
        <f aca="false">IF(ISBLANK($C457),"",IF($AE457&lt;&gt;Constants!$B$7, $AE457 ,AF457))</f>
        <v/>
      </c>
      <c r="BD457" s="104" t="str">
        <f aca="false">IF(ISBLANK(C457),"",AY457)</f>
        <v/>
      </c>
      <c r="BE457" s="104" t="str">
        <f aca="false">IF(ISBLANK(C457),"",AX457)</f>
        <v/>
      </c>
      <c r="BF457" s="105" t="str">
        <f aca="false">IF(ISBLANK(C457),"",IFERROR(_xlfn.SWITCH(BE457, Constants!$B$4, COUNTA($C$8:$C956)+2, Constants!$B$5, COUNTA($C$8:$C956)+1, Constants!$B$6, COUNTA($C$8:$C956)),BE457))</f>
        <v/>
      </c>
      <c r="BG457" s="5"/>
      <c r="BH457" s="106" t="n">
        <f aca="false">IF(OR(ISNUMBER(BE457),BE457="DQ",BE457="P",BE457="NS"),
    1,
    0
)</f>
        <v>0</v>
      </c>
      <c r="BI457" s="106" t="n">
        <v>450</v>
      </c>
      <c r="BJ457" s="106" t="str">
        <f aca="false">IF(ISBLANK($C457),
    "",
   BF457+ROW($B457)/1000
)</f>
        <v/>
      </c>
      <c r="BK457" s="106" t="str">
        <f aca="false">IF(ISNUMBER(BJ457), RANK(BJ457,BJ$8:BJ$507,1), "")</f>
        <v/>
      </c>
      <c r="BL457" s="106" t="str">
        <f aca="false">IF(ISBLANK($C457),
    "",
    $B457
)</f>
        <v/>
      </c>
      <c r="BM457" s="106" t="str">
        <f aca="false">IF(ISBLANK($C457),
    "",
    $C457
)</f>
        <v/>
      </c>
      <c r="BN457" s="106" t="str">
        <f aca="false">IF(ISBLANK($C457),
    "",
    $D457
)</f>
        <v/>
      </c>
      <c r="BO457" s="107" t="str">
        <f aca="false">BC457</f>
        <v/>
      </c>
      <c r="BP457" s="108" t="str">
        <f aca="false">BB457</f>
        <v/>
      </c>
      <c r="BQ457" s="106" t="str">
        <f aca="false">IF(ISBLANK($C457),
    "",
    BE457
)</f>
        <v/>
      </c>
      <c r="BR457" s="109" t="str">
        <f aca="false">IF(BI457&gt;BH$7,
    "",
    VLOOKUP(BI457,BK$8:BQ956,7,FALSE())
)</f>
        <v/>
      </c>
      <c r="BS457" s="110" t="str">
        <f aca="false">IF(BI457&gt;BH$7,
    "",
    VLOOKUP(BI457,BK$8:BQ956,2,FALSE())
)</f>
        <v/>
      </c>
      <c r="BT457" s="110" t="str">
        <f aca="false">IF(BI457&gt;BH$7,
    "",
    VLOOKUP(BI457,BK$8:BQ956,3,FALSE())
)</f>
        <v/>
      </c>
      <c r="BU457" s="110" t="str">
        <f aca="false">IF(BI457&gt;BH$7,
    "",
    VLOOKUP(BI457,BK$8:BQ956,4,FALSE())
)</f>
        <v/>
      </c>
      <c r="BV457" s="110" t="str">
        <f aca="false">IF(BI457&gt;BH$7,
    "",
    VLOOKUP(BI457,BK$8:BQ956,5,FALSE())
)</f>
        <v/>
      </c>
      <c r="BW457" s="111" t="str">
        <f aca="false">IF(BI457&gt;BH$7,
    "",
    VLOOKUP(BI457,BK$8:BQ956,6,FALSE())
)</f>
        <v/>
      </c>
      <c r="BX457" s="50"/>
    </row>
    <row r="458" customFormat="false" ht="15.75" hidden="false" customHeight="false" outlineLevel="0" collapsed="false">
      <c r="A458" s="5"/>
      <c r="B458" s="126"/>
      <c r="C458" s="52"/>
      <c r="D458" s="53"/>
      <c r="E458" s="120"/>
      <c r="F458" s="120"/>
      <c r="G458" s="55"/>
      <c r="H458" s="56"/>
      <c r="I458" s="80"/>
      <c r="J458" s="80"/>
      <c r="K458" s="80"/>
      <c r="L458" s="58"/>
      <c r="M458" s="58"/>
      <c r="N458" s="58"/>
      <c r="O458" s="59"/>
      <c r="P458" s="60"/>
      <c r="Q458" s="80"/>
      <c r="R458" s="62"/>
      <c r="S458" s="63"/>
      <c r="T458" s="63" t="str">
        <f aca="false">IF(ISBLANK($C458),"",IF(G458=Constants!$B$2, TRUE(), IF(G458=Constants!$B$3, FALSE(), TRUE())))</f>
        <v/>
      </c>
      <c r="U458" s="63" t="str">
        <f aca="false">IF(ISBLANK($C458),"",IF(H458=Constants!$B$2, TRUE(), IF(H458=Constants!$B$3, FALSE(), TRUE())))</f>
        <v/>
      </c>
      <c r="V458" s="63" t="str">
        <f aca="false">IF(ISBLANK($C458),"",IF(I458=Constants!$B$2, TRUE(), IF(I458=Constants!$B$3, FALSE(), TRUE())))</f>
        <v/>
      </c>
      <c r="W458" s="63" t="str">
        <f aca="false">IF(ISBLANK($C458),"",IF(J458=Constants!$B$2, TRUE(), IF(J458=Constants!$B$3, FALSE(), TRUE())))</f>
        <v/>
      </c>
      <c r="X458" s="63" t="str">
        <f aca="false">IF(ISBLANK($C458),"",IF(K458=Constants!$B$2, TRUE(), IF(K458=Constants!$B$3, FALSE(), TRUE())))</f>
        <v/>
      </c>
      <c r="Y458" s="65" t="str">
        <f aca="false">IF(ISBLANK($C458),"",IF(ISNUMBER(L458), L458, ""))</f>
        <v/>
      </c>
      <c r="Z458" s="65" t="str">
        <f aca="false">IF(ISBLANK($C458),"",IF(ISNUMBER(M458), M458, ""))</f>
        <v/>
      </c>
      <c r="AA458" s="65" t="str">
        <f aca="false">IF(ISBLANK($C458),"",IF(ISNUMBER(N458), N458, ""))</f>
        <v/>
      </c>
      <c r="AB458" s="66" t="str">
        <f aca="false">IF(ISBLANK($C458),"",IF(ISNUMBER(O458), O458, ""))</f>
        <v/>
      </c>
      <c r="AC458" s="66" t="str">
        <f aca="false">IF(ISBLANK($C458),"",IF(ISNUMBER(P458), P458, Constants!$B$13))</f>
        <v/>
      </c>
      <c r="AD458" s="63" t="str">
        <f aca="false">IF(ISBLANK($C458),"",IF(Q458=Constants!$B$2, TRUE(), IF(Q458=Constants!$B$3, FALSE(), FALSE())))</f>
        <v/>
      </c>
      <c r="AE458" s="63" t="str">
        <f aca="false">IF(ISBLANK(C458), "", IF(AD458, Constants!$B$4,IF(COUNTA(G458:O458)=0, Constants!$B$5, Constants!$B$7)))</f>
        <v/>
      </c>
      <c r="AF458" s="63" t="str">
        <f aca="false">IF(ISBLANK($C458), "",IF($AE458=Constants!$B$7,1,$AE458))</f>
        <v/>
      </c>
      <c r="AG458" s="63" t="str">
        <f aca="false">IF($AE458=Constants!$B$7,IF(V458, 1, Constants!$B$11) * IF(X458, 1, Constants!$B$12),"")</f>
        <v/>
      </c>
      <c r="AH458" s="63" t="str">
        <f aca="false">IF(AND($AE458=Constants!$B$7, T458, U458) ,MAX(0, $AA458-$Y458),"")</f>
        <v/>
      </c>
      <c r="AI458" s="63" t="str">
        <f aca="false">IF(ISERROR(AH458),$AI$6,"")</f>
        <v/>
      </c>
      <c r="AJ458" s="63" t="str">
        <f aca="false">IF($AE458=Constants!$B$7,IF(AND(T458,U458,W458),IF($AH$6=0,Constants!$B$9,Constants!$B$9*AH458/$AH$6), 0),"")</f>
        <v/>
      </c>
      <c r="AK458" s="63" t="str">
        <f aca="false">IF(AJ458&lt;&gt;"", AJ458*AG458,"")</f>
        <v/>
      </c>
      <c r="AL458" s="63" t="str">
        <f aca="false">IF(AND($AE458=Constants!$B$7, T458, U458) ,IF($Z458="", "", MAX(0,1-ABS($AA458-$Z458)/$AA458)),"")</f>
        <v/>
      </c>
      <c r="AM458" s="63" t="str">
        <f aca="false">IF(AND(NOT(ISERROR(AH458)),ISERROR(AL458)),$AM$6,"")</f>
        <v/>
      </c>
      <c r="AN458" s="63" t="str">
        <f aca="false">IF($AE458=Constants!$B$7 ,IF(AND(T458,U458,W458,ISNUMBER(Z458)),IF($AL$6=0,Constants!$B$10,Constants!$B$10*AL458/$AL$6), 0),"")</f>
        <v/>
      </c>
      <c r="AO458" s="63" t="str">
        <f aca="false">IF(AN458&lt;&gt;"", AN458*AG458,"")</f>
        <v/>
      </c>
      <c r="AP458" s="63" t="str">
        <f aca="false">IF($AE458=Constants!$B$7,IF($AP$6=0,Constants!$B$8,Constants!$B$8*AB458/$AP$6),"")</f>
        <v/>
      </c>
      <c r="AQ458" s="63" t="str">
        <f aca="false">IF($AE458&lt;&gt;Constants!$B$7,$AE458,AK458+AO458+AP458)</f>
        <v/>
      </c>
      <c r="AR458" s="63" t="str">
        <f aca="false">IF(ISBLANK($C458),"",IF($AE458=Constants!$B$7,RANK(AQ458,$AQ$8:$AQ$507),$AE458))</f>
        <v/>
      </c>
      <c r="AS458" s="63" t="str">
        <f aca="false">IF(ISBLANK($C458), "",AK458)</f>
        <v/>
      </c>
      <c r="AT458" s="63" t="str">
        <f aca="false">IF(ISBLANK($C458),"",IF($AE458=Constants!$B$7,RANK(AS458,AS$8:AS$507),$AE458))</f>
        <v/>
      </c>
      <c r="AU458" s="63" t="str">
        <f aca="false">IF(ISBLANK($C458), "",AP458)</f>
        <v/>
      </c>
      <c r="AV458" s="63" t="str">
        <f aca="false">IF(ISBLANK($C458),"",IF($AE458=Constants!$B$7,RANK(AU458,AU$8:AU$507),$AE458))</f>
        <v/>
      </c>
      <c r="AW458" s="63" t="str">
        <f aca="false">IF(ISBLANK($C458), "",AC458)</f>
        <v/>
      </c>
      <c r="AX458" s="63" t="str">
        <f aca="false">IF(ISBLANK($C458),"",
IF($AE458=Constants!$B$7,
  COUNTIFS($AR$8:$AR$507,"&lt;"&amp;$AR458)
  + COUNTIFS($AR$8:$AR$507,$AR458,$AT$8:$AT$507,"&lt;"&amp;$AT458)
  + COUNTIFS($AR$8:$AR$507,$AR458,$AT$8:$AT$507,$AT458,$AV$8:$AV$507,"&lt;"&amp;$AV458)
  + COUNTIFS($AR$8:$AR$507,$AR458,$AT$8:$AT$507,$AT458,$AV$8:$AV$507,$AV458,$AW$8:$AW$507,"&lt;"&amp;$AW458)
  + 1,
$AE458))</f>
        <v/>
      </c>
      <c r="AY458" s="63" t="str">
        <f aca="false">IF(ISBLANK(C458),"",IF($AE458=Constants!$B$7, AR458-AX458,$AE458))</f>
        <v/>
      </c>
      <c r="AZ458" s="67"/>
      <c r="BA458" s="81" t="str">
        <f aca="false">IF(ISBLANK($C458),"",TRIM(AI458&amp;" "&amp;AM458))</f>
        <v/>
      </c>
      <c r="BB458" s="69" t="str">
        <f aca="false">IF(ISBLANK($C458),"",IF($AE458&lt;&gt;Constants!$B$7, $AE458 ,AQ458))</f>
        <v/>
      </c>
      <c r="BC458" s="70" t="str">
        <f aca="false">IF(ISBLANK($C458),"",IF($AE458&lt;&gt;Constants!$B$7, $AE458 ,AF458))</f>
        <v/>
      </c>
      <c r="BD458" s="71" t="str">
        <f aca="false">IF(ISBLANK(C458),"",AY458)</f>
        <v/>
      </c>
      <c r="BE458" s="71" t="str">
        <f aca="false">IF(ISBLANK(C458),"",AX458)</f>
        <v/>
      </c>
      <c r="BF458" s="72" t="str">
        <f aca="false">IF(ISBLANK(C458),"",IFERROR(_xlfn.SWITCH(BE458, Constants!$B$4, COUNTA($C$8:$C957)+2, Constants!$B$5, COUNTA($C$8:$C957)+1, Constants!$B$6, COUNTA($C$8:$C957)),BE458))</f>
        <v/>
      </c>
      <c r="BG458" s="5"/>
      <c r="BH458" s="73" t="n">
        <f aca="false">IF(OR(ISNUMBER(BE458),BE458="DQ",BE458="P",BE458="NS"),
    1,
    0
)</f>
        <v>0</v>
      </c>
      <c r="BI458" s="73" t="n">
        <v>451</v>
      </c>
      <c r="BJ458" s="73" t="str">
        <f aca="false">IF(ISBLANK($C458),
    "",
   BF458+ROW($B458)/1000
)</f>
        <v/>
      </c>
      <c r="BK458" s="73" t="str">
        <f aca="false">IF(ISNUMBER(BJ458), RANK(BJ458,BJ$8:BJ$507,1), "")</f>
        <v/>
      </c>
      <c r="BL458" s="73" t="str">
        <f aca="false">IF(ISBLANK($C458),
    "",
    $B458
)</f>
        <v/>
      </c>
      <c r="BM458" s="73" t="str">
        <f aca="false">IF(ISBLANK($C458),
    "",
    $C458
)</f>
        <v/>
      </c>
      <c r="BN458" s="73" t="str">
        <f aca="false">IF(ISBLANK($C458),
    "",
    $D458
)</f>
        <v/>
      </c>
      <c r="BO458" s="74" t="str">
        <f aca="false">BC458</f>
        <v/>
      </c>
      <c r="BP458" s="75" t="str">
        <f aca="false">BB458</f>
        <v/>
      </c>
      <c r="BQ458" s="73" t="str">
        <f aca="false">IF(ISBLANK($C458),
    "",
    BE458
)</f>
        <v/>
      </c>
      <c r="BR458" s="76" t="str">
        <f aca="false">IF(BI458&gt;BH$7,
    "",
    VLOOKUP(BI458,BK$8:BQ957,7,FALSE())
)</f>
        <v/>
      </c>
      <c r="BS458" s="77" t="str">
        <f aca="false">IF(BI458&gt;BH$7,
    "",
    VLOOKUP(BI458,BK$8:BQ957,2,FALSE())
)</f>
        <v/>
      </c>
      <c r="BT458" s="77" t="str">
        <f aca="false">IF(BI458&gt;BH$7,
    "",
    VLOOKUP(BI458,BK$8:BQ957,3,FALSE())
)</f>
        <v/>
      </c>
      <c r="BU458" s="77" t="str">
        <f aca="false">IF(BI458&gt;BH$7,
    "",
    VLOOKUP(BI458,BK$8:BQ957,4,FALSE())
)</f>
        <v/>
      </c>
      <c r="BV458" s="77" t="str">
        <f aca="false">IF(BI458&gt;BH$7,
    "",
    VLOOKUP(BI458,BK$8:BQ957,5,FALSE())
)</f>
        <v/>
      </c>
      <c r="BW458" s="78" t="str">
        <f aca="false">IF(BI458&gt;BH$7,
    "",
    VLOOKUP(BI458,BK$8:BQ957,6,FALSE())
)</f>
        <v/>
      </c>
      <c r="BX458" s="50"/>
    </row>
    <row r="459" customFormat="false" ht="15.75" hidden="false" customHeight="false" outlineLevel="0" collapsed="false">
      <c r="A459" s="5"/>
      <c r="B459" s="126"/>
      <c r="C459" s="52"/>
      <c r="D459" s="53"/>
      <c r="E459" s="120"/>
      <c r="F459" s="120"/>
      <c r="G459" s="55"/>
      <c r="H459" s="56"/>
      <c r="I459" s="80"/>
      <c r="J459" s="80"/>
      <c r="K459" s="80"/>
      <c r="L459" s="58"/>
      <c r="M459" s="58"/>
      <c r="N459" s="58"/>
      <c r="O459" s="59"/>
      <c r="P459" s="60"/>
      <c r="Q459" s="80"/>
      <c r="R459" s="62"/>
      <c r="S459" s="63"/>
      <c r="T459" s="63" t="str">
        <f aca="false">IF(ISBLANK($C459),"",IF(G459=Constants!$B$2, TRUE(), IF(G459=Constants!$B$3, FALSE(), TRUE())))</f>
        <v/>
      </c>
      <c r="U459" s="63" t="str">
        <f aca="false">IF(ISBLANK($C459),"",IF(H459=Constants!$B$2, TRUE(), IF(H459=Constants!$B$3, FALSE(), TRUE())))</f>
        <v/>
      </c>
      <c r="V459" s="63" t="str">
        <f aca="false">IF(ISBLANK($C459),"",IF(I459=Constants!$B$2, TRUE(), IF(I459=Constants!$B$3, FALSE(), TRUE())))</f>
        <v/>
      </c>
      <c r="W459" s="63" t="str">
        <f aca="false">IF(ISBLANK($C459),"",IF(J459=Constants!$B$2, TRUE(), IF(J459=Constants!$B$3, FALSE(), TRUE())))</f>
        <v/>
      </c>
      <c r="X459" s="63" t="str">
        <f aca="false">IF(ISBLANK($C459),"",IF(K459=Constants!$B$2, TRUE(), IF(K459=Constants!$B$3, FALSE(), TRUE())))</f>
        <v/>
      </c>
      <c r="Y459" s="65" t="str">
        <f aca="false">IF(ISBLANK($C459),"",IF(ISNUMBER(L459), L459, ""))</f>
        <v/>
      </c>
      <c r="Z459" s="65" t="str">
        <f aca="false">IF(ISBLANK($C459),"",IF(ISNUMBER(M459), M459, ""))</f>
        <v/>
      </c>
      <c r="AA459" s="65" t="str">
        <f aca="false">IF(ISBLANK($C459),"",IF(ISNUMBER(N459), N459, ""))</f>
        <v/>
      </c>
      <c r="AB459" s="66" t="str">
        <f aca="false">IF(ISBLANK($C459),"",IF(ISNUMBER(O459), O459, ""))</f>
        <v/>
      </c>
      <c r="AC459" s="66" t="str">
        <f aca="false">IF(ISBLANK($C459),"",IF(ISNUMBER(P459), P459, Constants!$B$13))</f>
        <v/>
      </c>
      <c r="AD459" s="63" t="str">
        <f aca="false">IF(ISBLANK($C459),"",IF(Q459=Constants!$B$2, TRUE(), IF(Q459=Constants!$B$3, FALSE(), FALSE())))</f>
        <v/>
      </c>
      <c r="AE459" s="63" t="str">
        <f aca="false">IF(ISBLANK(C459), "", IF(AD459, Constants!$B$4,IF(COUNTA(G459:O459)=0, Constants!$B$5, Constants!$B$7)))</f>
        <v/>
      </c>
      <c r="AF459" s="63" t="str">
        <f aca="false">IF(ISBLANK($C459), "",IF($AE459=Constants!$B$7,1,$AE459))</f>
        <v/>
      </c>
      <c r="AG459" s="63" t="str">
        <f aca="false">IF($AE459=Constants!$B$7,IF(V459, 1, Constants!$B$11) * IF(X459, 1, Constants!$B$12),"")</f>
        <v/>
      </c>
      <c r="AH459" s="63" t="str">
        <f aca="false">IF(AND($AE459=Constants!$B$7, T459, U459) ,MAX(0, $AA459-$Y459),"")</f>
        <v/>
      </c>
      <c r="AI459" s="63" t="str">
        <f aca="false">IF(ISERROR(AH459),$AI$6,"")</f>
        <v/>
      </c>
      <c r="AJ459" s="63" t="str">
        <f aca="false">IF($AE459=Constants!$B$7,IF(AND(T459,U459,W459),IF($AH$6=0,Constants!$B$9,Constants!$B$9*AH459/$AH$6), 0),"")</f>
        <v/>
      </c>
      <c r="AK459" s="63" t="str">
        <f aca="false">IF(AJ459&lt;&gt;"", AJ459*AG459,"")</f>
        <v/>
      </c>
      <c r="AL459" s="63" t="str">
        <f aca="false">IF(AND($AE459=Constants!$B$7, T459, U459) ,IF($Z459="", "", MAX(0,1-ABS($AA459-$Z459)/$AA459)),"")</f>
        <v/>
      </c>
      <c r="AM459" s="63" t="str">
        <f aca="false">IF(AND(NOT(ISERROR(AH459)),ISERROR(AL459)),$AM$6,"")</f>
        <v/>
      </c>
      <c r="AN459" s="63" t="str">
        <f aca="false">IF($AE459=Constants!$B$7 ,IF(AND(T459,U459,W459,ISNUMBER(Z459)),IF($AL$6=0,Constants!$B$10,Constants!$B$10*AL459/$AL$6), 0),"")</f>
        <v/>
      </c>
      <c r="AO459" s="63" t="str">
        <f aca="false">IF(AN459&lt;&gt;"", AN459*AG459,"")</f>
        <v/>
      </c>
      <c r="AP459" s="63" t="str">
        <f aca="false">IF($AE459=Constants!$B$7,IF($AP$6=0,Constants!$B$8,Constants!$B$8*AB459/$AP$6),"")</f>
        <v/>
      </c>
      <c r="AQ459" s="63" t="str">
        <f aca="false">IF($AE459&lt;&gt;Constants!$B$7,$AE459,AK459+AO459+AP459)</f>
        <v/>
      </c>
      <c r="AR459" s="63" t="str">
        <f aca="false">IF(ISBLANK($C459),"",IF($AE459=Constants!$B$7,RANK(AQ459,$AQ$8:$AQ$507),$AE459))</f>
        <v/>
      </c>
      <c r="AS459" s="63" t="str">
        <f aca="false">IF(ISBLANK($C459), "",AK459)</f>
        <v/>
      </c>
      <c r="AT459" s="63" t="str">
        <f aca="false">IF(ISBLANK($C459),"",IF($AE459=Constants!$B$7,RANK(AS459,AS$8:AS$507),$AE459))</f>
        <v/>
      </c>
      <c r="AU459" s="63" t="str">
        <f aca="false">IF(ISBLANK($C459), "",AP459)</f>
        <v/>
      </c>
      <c r="AV459" s="63" t="str">
        <f aca="false">IF(ISBLANK($C459),"",IF($AE459=Constants!$B$7,RANK(AU459,AU$8:AU$507),$AE459))</f>
        <v/>
      </c>
      <c r="AW459" s="63" t="str">
        <f aca="false">IF(ISBLANK($C459), "",AC459)</f>
        <v/>
      </c>
      <c r="AX459" s="63" t="str">
        <f aca="false">IF(ISBLANK($C459),"",
IF($AE459=Constants!$B$7,
  COUNTIFS($AR$8:$AR$507,"&lt;"&amp;$AR459)
  + COUNTIFS($AR$8:$AR$507,$AR459,$AT$8:$AT$507,"&lt;"&amp;$AT459)
  + COUNTIFS($AR$8:$AR$507,$AR459,$AT$8:$AT$507,$AT459,$AV$8:$AV$507,"&lt;"&amp;$AV459)
  + COUNTIFS($AR$8:$AR$507,$AR459,$AT$8:$AT$507,$AT459,$AV$8:$AV$507,$AV459,$AW$8:$AW$507,"&lt;"&amp;$AW459)
  + 1,
$AE459))</f>
        <v/>
      </c>
      <c r="AY459" s="63" t="str">
        <f aca="false">IF(ISBLANK(C459),"",IF($AE459=Constants!$B$7, AR459-AX459,$AE459))</f>
        <v/>
      </c>
      <c r="AZ459" s="67"/>
      <c r="BA459" s="81" t="str">
        <f aca="false">IF(ISBLANK($C459),"",TRIM(AI459&amp;" "&amp;AM459))</f>
        <v/>
      </c>
      <c r="BB459" s="69" t="str">
        <f aca="false">IF(ISBLANK($C459),"",IF($AE459&lt;&gt;Constants!$B$7, $AE459 ,AQ459))</f>
        <v/>
      </c>
      <c r="BC459" s="70" t="str">
        <f aca="false">IF(ISBLANK($C459),"",IF($AE459&lt;&gt;Constants!$B$7, $AE459 ,AF459))</f>
        <v/>
      </c>
      <c r="BD459" s="71" t="str">
        <f aca="false">IF(ISBLANK(C459),"",AY459)</f>
        <v/>
      </c>
      <c r="BE459" s="71" t="str">
        <f aca="false">IF(ISBLANK(C459),"",AX459)</f>
        <v/>
      </c>
      <c r="BF459" s="72" t="str">
        <f aca="false">IF(ISBLANK(C459),"",IFERROR(_xlfn.SWITCH(BE459, Constants!$B$4, COUNTA($C$8:$C958)+2, Constants!$B$5, COUNTA($C$8:$C958)+1, Constants!$B$6, COUNTA($C$8:$C958)),BE459))</f>
        <v/>
      </c>
      <c r="BG459" s="5"/>
      <c r="BH459" s="73" t="n">
        <f aca="false">IF(OR(ISNUMBER(BE459),BE459="DQ",BE459="P",BE459="NS"),
    1,
    0
)</f>
        <v>0</v>
      </c>
      <c r="BI459" s="73" t="n">
        <v>452</v>
      </c>
      <c r="BJ459" s="73" t="str">
        <f aca="false">IF(ISBLANK($C459),
    "",
   BF459+ROW($B459)/1000
)</f>
        <v/>
      </c>
      <c r="BK459" s="73" t="str">
        <f aca="false">IF(ISNUMBER(BJ459), RANK(BJ459,BJ$8:BJ$507,1), "")</f>
        <v/>
      </c>
      <c r="BL459" s="73" t="str">
        <f aca="false">IF(ISBLANK($C459),
    "",
    $B459
)</f>
        <v/>
      </c>
      <c r="BM459" s="73" t="str">
        <f aca="false">IF(ISBLANK($C459),
    "",
    $C459
)</f>
        <v/>
      </c>
      <c r="BN459" s="73" t="str">
        <f aca="false">IF(ISBLANK($C459),
    "",
    $D459
)</f>
        <v/>
      </c>
      <c r="BO459" s="74" t="str">
        <f aca="false">BC459</f>
        <v/>
      </c>
      <c r="BP459" s="75" t="str">
        <f aca="false">BB459</f>
        <v/>
      </c>
      <c r="BQ459" s="73" t="str">
        <f aca="false">IF(ISBLANK($C459),
    "",
    BE459
)</f>
        <v/>
      </c>
      <c r="BR459" s="76" t="str">
        <f aca="false">IF(BI459&gt;BH$7,
    "",
    VLOOKUP(BI459,BK$8:BQ958,7,FALSE())
)</f>
        <v/>
      </c>
      <c r="BS459" s="77" t="str">
        <f aca="false">IF(BI459&gt;BH$7,
    "",
    VLOOKUP(BI459,BK$8:BQ958,2,FALSE())
)</f>
        <v/>
      </c>
      <c r="BT459" s="77" t="str">
        <f aca="false">IF(BI459&gt;BH$7,
    "",
    VLOOKUP(BI459,BK$8:BQ958,3,FALSE())
)</f>
        <v/>
      </c>
      <c r="BU459" s="77" t="str">
        <f aca="false">IF(BI459&gt;BH$7,
    "",
    VLOOKUP(BI459,BK$8:BQ958,4,FALSE())
)</f>
        <v/>
      </c>
      <c r="BV459" s="77" t="str">
        <f aca="false">IF(BI459&gt;BH$7,
    "",
    VLOOKUP(BI459,BK$8:BQ958,5,FALSE())
)</f>
        <v/>
      </c>
      <c r="BW459" s="78" t="str">
        <f aca="false">IF(BI459&gt;BH$7,
    "",
    VLOOKUP(BI459,BK$8:BQ958,6,FALSE())
)</f>
        <v/>
      </c>
      <c r="BX459" s="50"/>
    </row>
    <row r="460" customFormat="false" ht="15.75" hidden="false" customHeight="false" outlineLevel="0" collapsed="false">
      <c r="A460" s="5"/>
      <c r="B460" s="126"/>
      <c r="C460" s="52"/>
      <c r="D460" s="53"/>
      <c r="E460" s="120"/>
      <c r="F460" s="120"/>
      <c r="G460" s="55"/>
      <c r="H460" s="56"/>
      <c r="I460" s="80"/>
      <c r="J460" s="80"/>
      <c r="K460" s="80"/>
      <c r="L460" s="58"/>
      <c r="M460" s="58"/>
      <c r="N460" s="58"/>
      <c r="O460" s="59"/>
      <c r="P460" s="60"/>
      <c r="Q460" s="80"/>
      <c r="R460" s="62"/>
      <c r="S460" s="63"/>
      <c r="T460" s="63" t="str">
        <f aca="false">IF(ISBLANK($C460),"",IF(G460=Constants!$B$2, TRUE(), IF(G460=Constants!$B$3, FALSE(), TRUE())))</f>
        <v/>
      </c>
      <c r="U460" s="63" t="str">
        <f aca="false">IF(ISBLANK($C460),"",IF(H460=Constants!$B$2, TRUE(), IF(H460=Constants!$B$3, FALSE(), TRUE())))</f>
        <v/>
      </c>
      <c r="V460" s="63" t="str">
        <f aca="false">IF(ISBLANK($C460),"",IF(I460=Constants!$B$2, TRUE(), IF(I460=Constants!$B$3, FALSE(), TRUE())))</f>
        <v/>
      </c>
      <c r="W460" s="63" t="str">
        <f aca="false">IF(ISBLANK($C460),"",IF(J460=Constants!$B$2, TRUE(), IF(J460=Constants!$B$3, FALSE(), TRUE())))</f>
        <v/>
      </c>
      <c r="X460" s="63" t="str">
        <f aca="false">IF(ISBLANK($C460),"",IF(K460=Constants!$B$2, TRUE(), IF(K460=Constants!$B$3, FALSE(), TRUE())))</f>
        <v/>
      </c>
      <c r="Y460" s="65" t="str">
        <f aca="false">IF(ISBLANK($C460),"",IF(ISNUMBER(L460), L460, ""))</f>
        <v/>
      </c>
      <c r="Z460" s="65" t="str">
        <f aca="false">IF(ISBLANK($C460),"",IF(ISNUMBER(M460), M460, ""))</f>
        <v/>
      </c>
      <c r="AA460" s="65" t="str">
        <f aca="false">IF(ISBLANK($C460),"",IF(ISNUMBER(N460), N460, ""))</f>
        <v/>
      </c>
      <c r="AB460" s="66" t="str">
        <f aca="false">IF(ISBLANK($C460),"",IF(ISNUMBER(O460), O460, ""))</f>
        <v/>
      </c>
      <c r="AC460" s="66" t="str">
        <f aca="false">IF(ISBLANK($C460),"",IF(ISNUMBER(P460), P460, Constants!$B$13))</f>
        <v/>
      </c>
      <c r="AD460" s="63" t="str">
        <f aca="false">IF(ISBLANK($C460),"",IF(Q460=Constants!$B$2, TRUE(), IF(Q460=Constants!$B$3, FALSE(), FALSE())))</f>
        <v/>
      </c>
      <c r="AE460" s="63" t="str">
        <f aca="false">IF(ISBLANK(C460), "", IF(AD460, Constants!$B$4,IF(COUNTA(G460:O460)=0, Constants!$B$5, Constants!$B$7)))</f>
        <v/>
      </c>
      <c r="AF460" s="63" t="str">
        <f aca="false">IF(ISBLANK($C460), "",IF($AE460=Constants!$B$7,1,$AE460))</f>
        <v/>
      </c>
      <c r="AG460" s="63" t="str">
        <f aca="false">IF($AE460=Constants!$B$7,IF(V460, 1, Constants!$B$11) * IF(X460, 1, Constants!$B$12),"")</f>
        <v/>
      </c>
      <c r="AH460" s="63" t="str">
        <f aca="false">IF(AND($AE460=Constants!$B$7, T460, U460) ,MAX(0, $AA460-$Y460),"")</f>
        <v/>
      </c>
      <c r="AI460" s="63" t="str">
        <f aca="false">IF(ISERROR(AH460),$AI$6,"")</f>
        <v/>
      </c>
      <c r="AJ460" s="63" t="str">
        <f aca="false">IF($AE460=Constants!$B$7,IF(AND(T460,U460,W460),IF($AH$6=0,Constants!$B$9,Constants!$B$9*AH460/$AH$6), 0),"")</f>
        <v/>
      </c>
      <c r="AK460" s="63" t="str">
        <f aca="false">IF(AJ460&lt;&gt;"", AJ460*AG460,"")</f>
        <v/>
      </c>
      <c r="AL460" s="63" t="str">
        <f aca="false">IF(AND($AE460=Constants!$B$7, T460, U460) ,IF($Z460="", "", MAX(0,1-ABS($AA460-$Z460)/$AA460)),"")</f>
        <v/>
      </c>
      <c r="AM460" s="63" t="str">
        <f aca="false">IF(AND(NOT(ISERROR(AH460)),ISERROR(AL460)),$AM$6,"")</f>
        <v/>
      </c>
      <c r="AN460" s="63" t="str">
        <f aca="false">IF($AE460=Constants!$B$7 ,IF(AND(T460,U460,W460,ISNUMBER(Z460)),IF($AL$6=0,Constants!$B$10,Constants!$B$10*AL460/$AL$6), 0),"")</f>
        <v/>
      </c>
      <c r="AO460" s="63" t="str">
        <f aca="false">IF(AN460&lt;&gt;"", AN460*AG460,"")</f>
        <v/>
      </c>
      <c r="AP460" s="63" t="str">
        <f aca="false">IF($AE460=Constants!$B$7,IF($AP$6=0,Constants!$B$8,Constants!$B$8*AB460/$AP$6),"")</f>
        <v/>
      </c>
      <c r="AQ460" s="63" t="str">
        <f aca="false">IF($AE460&lt;&gt;Constants!$B$7,$AE460,AK460+AO460+AP460)</f>
        <v/>
      </c>
      <c r="AR460" s="63" t="str">
        <f aca="false">IF(ISBLANK($C460),"",IF($AE460=Constants!$B$7,RANK(AQ460,$AQ$8:$AQ$507),$AE460))</f>
        <v/>
      </c>
      <c r="AS460" s="63" t="str">
        <f aca="false">IF(ISBLANK($C460), "",AK460)</f>
        <v/>
      </c>
      <c r="AT460" s="63" t="str">
        <f aca="false">IF(ISBLANK($C460),"",IF($AE460=Constants!$B$7,RANK(AS460,AS$8:AS$507),$AE460))</f>
        <v/>
      </c>
      <c r="AU460" s="63" t="str">
        <f aca="false">IF(ISBLANK($C460), "",AP460)</f>
        <v/>
      </c>
      <c r="AV460" s="63" t="str">
        <f aca="false">IF(ISBLANK($C460),"",IF($AE460=Constants!$B$7,RANK(AU460,AU$8:AU$507),$AE460))</f>
        <v/>
      </c>
      <c r="AW460" s="63" t="str">
        <f aca="false">IF(ISBLANK($C460), "",AC460)</f>
        <v/>
      </c>
      <c r="AX460" s="63" t="str">
        <f aca="false">IF(ISBLANK($C460),"",
IF($AE460=Constants!$B$7,
  COUNTIFS($AR$8:$AR$507,"&lt;"&amp;$AR460)
  + COUNTIFS($AR$8:$AR$507,$AR460,$AT$8:$AT$507,"&lt;"&amp;$AT460)
  + COUNTIFS($AR$8:$AR$507,$AR460,$AT$8:$AT$507,$AT460,$AV$8:$AV$507,"&lt;"&amp;$AV460)
  + COUNTIFS($AR$8:$AR$507,$AR460,$AT$8:$AT$507,$AT460,$AV$8:$AV$507,$AV460,$AW$8:$AW$507,"&lt;"&amp;$AW460)
  + 1,
$AE460))</f>
        <v/>
      </c>
      <c r="AY460" s="63" t="str">
        <f aca="false">IF(ISBLANK(C460),"",IF($AE460=Constants!$B$7, AR460-AX460,$AE460))</f>
        <v/>
      </c>
      <c r="AZ460" s="67"/>
      <c r="BA460" s="81" t="str">
        <f aca="false">IF(ISBLANK($C460),"",TRIM(AI460&amp;" "&amp;AM460))</f>
        <v/>
      </c>
      <c r="BB460" s="69" t="str">
        <f aca="false">IF(ISBLANK($C460),"",IF($AE460&lt;&gt;Constants!$B$7, $AE460 ,AQ460))</f>
        <v/>
      </c>
      <c r="BC460" s="70" t="str">
        <f aca="false">IF(ISBLANK($C460),"",IF($AE460&lt;&gt;Constants!$B$7, $AE460 ,AF460))</f>
        <v/>
      </c>
      <c r="BD460" s="71" t="str">
        <f aca="false">IF(ISBLANK(C460),"",AY460)</f>
        <v/>
      </c>
      <c r="BE460" s="71" t="str">
        <f aca="false">IF(ISBLANK(C460),"",AX460)</f>
        <v/>
      </c>
      <c r="BF460" s="72" t="str">
        <f aca="false">IF(ISBLANK(C460),"",IFERROR(_xlfn.SWITCH(BE460, Constants!$B$4, COUNTA($C$8:$C959)+2, Constants!$B$5, COUNTA($C$8:$C959)+1, Constants!$B$6, COUNTA($C$8:$C959)),BE460))</f>
        <v/>
      </c>
      <c r="BG460" s="5"/>
      <c r="BH460" s="73" t="n">
        <f aca="false">IF(OR(ISNUMBER(BE460),BE460="DQ",BE460="P",BE460="NS"),
    1,
    0
)</f>
        <v>0</v>
      </c>
      <c r="BI460" s="73" t="n">
        <v>453</v>
      </c>
      <c r="BJ460" s="73" t="str">
        <f aca="false">IF(ISBLANK($C460),
    "",
   BF460+ROW($B460)/1000
)</f>
        <v/>
      </c>
      <c r="BK460" s="73" t="str">
        <f aca="false">IF(ISNUMBER(BJ460), RANK(BJ460,BJ$8:BJ$507,1), "")</f>
        <v/>
      </c>
      <c r="BL460" s="73" t="str">
        <f aca="false">IF(ISBLANK($C460),
    "",
    $B460
)</f>
        <v/>
      </c>
      <c r="BM460" s="73" t="str">
        <f aca="false">IF(ISBLANK($C460),
    "",
    $C460
)</f>
        <v/>
      </c>
      <c r="BN460" s="73" t="str">
        <f aca="false">IF(ISBLANK($C460),
    "",
    $D460
)</f>
        <v/>
      </c>
      <c r="BO460" s="74" t="str">
        <f aca="false">BC460</f>
        <v/>
      </c>
      <c r="BP460" s="75" t="str">
        <f aca="false">BB460</f>
        <v/>
      </c>
      <c r="BQ460" s="73" t="str">
        <f aca="false">IF(ISBLANK($C460),
    "",
    BE460
)</f>
        <v/>
      </c>
      <c r="BR460" s="76" t="str">
        <f aca="false">IF(BI460&gt;BH$7,
    "",
    VLOOKUP(BI460,BK$8:BQ959,7,FALSE())
)</f>
        <v/>
      </c>
      <c r="BS460" s="77" t="str">
        <f aca="false">IF(BI460&gt;BH$7,
    "",
    VLOOKUP(BI460,BK$8:BQ959,2,FALSE())
)</f>
        <v/>
      </c>
      <c r="BT460" s="77" t="str">
        <f aca="false">IF(BI460&gt;BH$7,
    "",
    VLOOKUP(BI460,BK$8:BQ959,3,FALSE())
)</f>
        <v/>
      </c>
      <c r="BU460" s="77" t="str">
        <f aca="false">IF(BI460&gt;BH$7,
    "",
    VLOOKUP(BI460,BK$8:BQ959,4,FALSE())
)</f>
        <v/>
      </c>
      <c r="BV460" s="77" t="str">
        <f aca="false">IF(BI460&gt;BH$7,
    "",
    VLOOKUP(BI460,BK$8:BQ959,5,FALSE())
)</f>
        <v/>
      </c>
      <c r="BW460" s="78" t="str">
        <f aca="false">IF(BI460&gt;BH$7,
    "",
    VLOOKUP(BI460,BK$8:BQ959,6,FALSE())
)</f>
        <v/>
      </c>
      <c r="BX460" s="50"/>
    </row>
    <row r="461" customFormat="false" ht="15.75" hidden="false" customHeight="false" outlineLevel="0" collapsed="false">
      <c r="A461" s="5"/>
      <c r="B461" s="122"/>
      <c r="C461" s="123"/>
      <c r="D461" s="112"/>
      <c r="E461" s="116"/>
      <c r="F461" s="116"/>
      <c r="G461" s="88"/>
      <c r="H461" s="89"/>
      <c r="I461" s="125"/>
      <c r="J461" s="125"/>
      <c r="K461" s="125"/>
      <c r="L461" s="91"/>
      <c r="M461" s="91"/>
      <c r="N461" s="91"/>
      <c r="O461" s="92"/>
      <c r="P461" s="93"/>
      <c r="Q461" s="125"/>
      <c r="R461" s="95"/>
      <c r="S461" s="96"/>
      <c r="T461" s="96" t="str">
        <f aca="false">IF(ISBLANK($C461),"",IF(G461=Constants!$B$2, TRUE(), IF(G461=Constants!$B$3, FALSE(), TRUE())))</f>
        <v/>
      </c>
      <c r="U461" s="96" t="str">
        <f aca="false">IF(ISBLANK($C461),"",IF(H461=Constants!$B$2, TRUE(), IF(H461=Constants!$B$3, FALSE(), TRUE())))</f>
        <v/>
      </c>
      <c r="V461" s="96" t="str">
        <f aca="false">IF(ISBLANK($C461),"",IF(I461=Constants!$B$2, TRUE(), IF(I461=Constants!$B$3, FALSE(), TRUE())))</f>
        <v/>
      </c>
      <c r="W461" s="96" t="str">
        <f aca="false">IF(ISBLANK($C461),"",IF(J461=Constants!$B$2, TRUE(), IF(J461=Constants!$B$3, FALSE(), TRUE())))</f>
        <v/>
      </c>
      <c r="X461" s="97" t="str">
        <f aca="false">IF(ISBLANK($C461),"",IF(K461=Constants!$B$2, TRUE(), IF(K461=Constants!$B$3, FALSE(), TRUE())))</f>
        <v/>
      </c>
      <c r="Y461" s="98" t="str">
        <f aca="false">IF(ISBLANK($C461),"",IF(ISNUMBER(L461), L461, ""))</f>
        <v/>
      </c>
      <c r="Z461" s="98" t="str">
        <f aca="false">IF(ISBLANK($C461),"",IF(ISNUMBER(M461), M461, ""))</f>
        <v/>
      </c>
      <c r="AA461" s="98" t="str">
        <f aca="false">IF(ISBLANK($C461),"",IF(ISNUMBER(N461), N461, ""))</f>
        <v/>
      </c>
      <c r="AB461" s="99" t="str">
        <f aca="false">IF(ISBLANK($C461),"",IF(ISNUMBER(O461), O461, ""))</f>
        <v/>
      </c>
      <c r="AC461" s="99" t="str">
        <f aca="false">IF(ISBLANK($C461),"",IF(ISNUMBER(P461), P461, Constants!$B$13))</f>
        <v/>
      </c>
      <c r="AD461" s="96" t="str">
        <f aca="false">IF(ISBLANK($C461),"",IF(Q461=Constants!$B$2, TRUE(), IF(Q461=Constants!$B$3, FALSE(), FALSE())))</f>
        <v/>
      </c>
      <c r="AE461" s="96" t="str">
        <f aca="false">IF(ISBLANK(C461), "", IF(AD461, Constants!$B$4,IF(COUNTA(G461:O461)=0, Constants!$B$5, Constants!$B$7)))</f>
        <v/>
      </c>
      <c r="AF461" s="96" t="str">
        <f aca="false">IF(ISBLANK($C461), "",IF($AE461=Constants!$B$7,1,$AE461))</f>
        <v/>
      </c>
      <c r="AG461" s="96" t="str">
        <f aca="false">IF($AE461=Constants!$B$7,IF(V461, 1, Constants!$B$11) * IF(X461, 1, Constants!$B$12),"")</f>
        <v/>
      </c>
      <c r="AH461" s="96" t="str">
        <f aca="false">IF(AND($AE461=Constants!$B$7, T461, U461) ,MAX(0, $AA461-$Y461),"")</f>
        <v/>
      </c>
      <c r="AI461" s="96" t="str">
        <f aca="false">IF(ISERROR(AH461),$AI$6,"")</f>
        <v/>
      </c>
      <c r="AJ461" s="96" t="str">
        <f aca="false">IF($AE461=Constants!$B$7,IF(AND(T461,U461,W461),IF($AH$6=0,Constants!$B$9,Constants!$B$9*AH461/$AH$6), 0),"")</f>
        <v/>
      </c>
      <c r="AK461" s="96" t="str">
        <f aca="false">IF(AJ461&lt;&gt;"", AJ461*AG461,"")</f>
        <v/>
      </c>
      <c r="AL461" s="96" t="str">
        <f aca="false">IF(AND($AE461=Constants!$B$7, T461, U461) ,IF($Z461="", "", MAX(0,1-ABS($AA461-$Z461)/$AA461)),"")</f>
        <v/>
      </c>
      <c r="AM461" s="96" t="str">
        <f aca="false">IF(AND(NOT(ISERROR(AH461)),ISERROR(AL461)),$AM$6,"")</f>
        <v/>
      </c>
      <c r="AN461" s="96" t="str">
        <f aca="false">IF($AE461=Constants!$B$7 ,IF(AND(T461,U461,W461,ISNUMBER(Z461)),IF($AL$6=0,Constants!$B$10,Constants!$B$10*AL461/$AL$6), 0),"")</f>
        <v/>
      </c>
      <c r="AO461" s="96" t="str">
        <f aca="false">IF(AN461&lt;&gt;"", AN461*AG461,"")</f>
        <v/>
      </c>
      <c r="AP461" s="96" t="str">
        <f aca="false">IF($AE461=Constants!$B$7,IF($AP$6=0,Constants!$B$8,Constants!$B$8*AB461/$AP$6),"")</f>
        <v/>
      </c>
      <c r="AQ461" s="96" t="str">
        <f aca="false">IF($AE461&lt;&gt;Constants!$B$7,$AE461,AK461+AO461+AP461)</f>
        <v/>
      </c>
      <c r="AR461" s="96" t="str">
        <f aca="false">IF(ISBLANK($C461),"",IF($AE461=Constants!$B$7,RANK(AQ461,$AQ$8:$AQ$507),$AE461))</f>
        <v/>
      </c>
      <c r="AS461" s="96" t="str">
        <f aca="false">IF(ISBLANK($C461), "",AK461)</f>
        <v/>
      </c>
      <c r="AT461" s="96" t="str">
        <f aca="false">IF(ISBLANK($C461),"",IF($AE461=Constants!$B$7,RANK(AS461,AS$8:AS$507),$AE461))</f>
        <v/>
      </c>
      <c r="AU461" s="96" t="str">
        <f aca="false">IF(ISBLANK($C461), "",AP461)</f>
        <v/>
      </c>
      <c r="AV461" s="96" t="str">
        <f aca="false">IF(ISBLANK($C461),"",IF($AE461=Constants!$B$7,RANK(AU461,AU$8:AU$507),$AE461))</f>
        <v/>
      </c>
      <c r="AW461" s="96" t="str">
        <f aca="false">IF(ISBLANK($C461), "",AC461)</f>
        <v/>
      </c>
      <c r="AX461" s="96" t="str">
        <f aca="false">IF(ISBLANK($C461),"",
IF($AE461=Constants!$B$7,
  COUNTIFS($AR$8:$AR$507,"&lt;"&amp;$AR461)
  + COUNTIFS($AR$8:$AR$507,$AR461,$AT$8:$AT$507,"&lt;"&amp;$AT461)
  + COUNTIFS($AR$8:$AR$507,$AR461,$AT$8:$AT$507,$AT461,$AV$8:$AV$507,"&lt;"&amp;$AV461)
  + COUNTIFS($AR$8:$AR$507,$AR461,$AT$8:$AT$507,$AT461,$AV$8:$AV$507,$AV461,$AW$8:$AW$507,"&lt;"&amp;$AW461)
  + 1,
$AE461))</f>
        <v/>
      </c>
      <c r="AY461" s="96" t="str">
        <f aca="false">IF(ISBLANK(C461),"",IF($AE461=Constants!$B$7, AR461-AX461,$AE461))</f>
        <v/>
      </c>
      <c r="AZ461" s="100"/>
      <c r="BA461" s="101" t="str">
        <f aca="false">IF(ISBLANK($C461),"",TRIM(AI461&amp;" "&amp;AM461))</f>
        <v/>
      </c>
      <c r="BB461" s="102" t="str">
        <f aca="false">IF(ISBLANK($C461),"",IF($AE461&lt;&gt;Constants!$B$7, $AE461 ,AQ461))</f>
        <v/>
      </c>
      <c r="BC461" s="103" t="str">
        <f aca="false">IF(ISBLANK($C461),"",IF($AE461&lt;&gt;Constants!$B$7, $AE461 ,AF461))</f>
        <v/>
      </c>
      <c r="BD461" s="104" t="str">
        <f aca="false">IF(ISBLANK(C461),"",AY461)</f>
        <v/>
      </c>
      <c r="BE461" s="104" t="str">
        <f aca="false">IF(ISBLANK(C461),"",AX461)</f>
        <v/>
      </c>
      <c r="BF461" s="105" t="str">
        <f aca="false">IF(ISBLANK(C461),"",IFERROR(_xlfn.SWITCH(BE461, Constants!$B$4, COUNTA($C$8:$C960)+2, Constants!$B$5, COUNTA($C$8:$C960)+1, Constants!$B$6, COUNTA($C$8:$C960)),BE461))</f>
        <v/>
      </c>
      <c r="BG461" s="5"/>
      <c r="BH461" s="106" t="n">
        <f aca="false">IF(OR(ISNUMBER(BE461),BE461="DQ",BE461="P",BE461="NS"),
    1,
    0
)</f>
        <v>0</v>
      </c>
      <c r="BI461" s="106" t="n">
        <v>454</v>
      </c>
      <c r="BJ461" s="106" t="str">
        <f aca="false">IF(ISBLANK($C461),
    "",
   BF461+ROW($B461)/1000
)</f>
        <v/>
      </c>
      <c r="BK461" s="106" t="str">
        <f aca="false">IF(ISNUMBER(BJ461), RANK(BJ461,BJ$8:BJ$507,1), "")</f>
        <v/>
      </c>
      <c r="BL461" s="106" t="str">
        <f aca="false">IF(ISBLANK($C461),
    "",
    $B461
)</f>
        <v/>
      </c>
      <c r="BM461" s="106" t="str">
        <f aca="false">IF(ISBLANK($C461),
    "",
    $C461
)</f>
        <v/>
      </c>
      <c r="BN461" s="106" t="str">
        <f aca="false">IF(ISBLANK($C461),
    "",
    $D461
)</f>
        <v/>
      </c>
      <c r="BO461" s="107" t="str">
        <f aca="false">BC461</f>
        <v/>
      </c>
      <c r="BP461" s="108" t="str">
        <f aca="false">BB461</f>
        <v/>
      </c>
      <c r="BQ461" s="106" t="str">
        <f aca="false">IF(ISBLANK($C461),
    "",
    BE461
)</f>
        <v/>
      </c>
      <c r="BR461" s="109" t="str">
        <f aca="false">IF(BI461&gt;BH$7,
    "",
    VLOOKUP(BI461,BK$8:BQ960,7,FALSE())
)</f>
        <v/>
      </c>
      <c r="BS461" s="110" t="str">
        <f aca="false">IF(BI461&gt;BH$7,
    "",
    VLOOKUP(BI461,BK$8:BQ960,2,FALSE())
)</f>
        <v/>
      </c>
      <c r="BT461" s="110" t="str">
        <f aca="false">IF(BI461&gt;BH$7,
    "",
    VLOOKUP(BI461,BK$8:BQ960,3,FALSE())
)</f>
        <v/>
      </c>
      <c r="BU461" s="110" t="str">
        <f aca="false">IF(BI461&gt;BH$7,
    "",
    VLOOKUP(BI461,BK$8:BQ960,4,FALSE())
)</f>
        <v/>
      </c>
      <c r="BV461" s="110" t="str">
        <f aca="false">IF(BI461&gt;BH$7,
    "",
    VLOOKUP(BI461,BK$8:BQ960,5,FALSE())
)</f>
        <v/>
      </c>
      <c r="BW461" s="111" t="str">
        <f aca="false">IF(BI461&gt;BH$7,
    "",
    VLOOKUP(BI461,BK$8:BQ960,6,FALSE())
)</f>
        <v/>
      </c>
      <c r="BX461" s="50"/>
    </row>
    <row r="462" customFormat="false" ht="15.75" hidden="false" customHeight="false" outlineLevel="0" collapsed="false">
      <c r="A462" s="5"/>
      <c r="B462" s="122"/>
      <c r="C462" s="123"/>
      <c r="D462" s="112"/>
      <c r="E462" s="116"/>
      <c r="F462" s="116"/>
      <c r="G462" s="88"/>
      <c r="H462" s="89"/>
      <c r="I462" s="125"/>
      <c r="J462" s="125"/>
      <c r="K462" s="125"/>
      <c r="L462" s="91"/>
      <c r="M462" s="91"/>
      <c r="N462" s="91"/>
      <c r="O462" s="92"/>
      <c r="P462" s="93"/>
      <c r="Q462" s="125"/>
      <c r="R462" s="95"/>
      <c r="S462" s="96"/>
      <c r="T462" s="96" t="str">
        <f aca="false">IF(ISBLANK($C462),"",IF(G462=Constants!$B$2, TRUE(), IF(G462=Constants!$B$3, FALSE(), TRUE())))</f>
        <v/>
      </c>
      <c r="U462" s="96" t="str">
        <f aca="false">IF(ISBLANK($C462),"",IF(H462=Constants!$B$2, TRUE(), IF(H462=Constants!$B$3, FALSE(), TRUE())))</f>
        <v/>
      </c>
      <c r="V462" s="96" t="str">
        <f aca="false">IF(ISBLANK($C462),"",IF(I462=Constants!$B$2, TRUE(), IF(I462=Constants!$B$3, FALSE(), TRUE())))</f>
        <v/>
      </c>
      <c r="W462" s="96" t="str">
        <f aca="false">IF(ISBLANK($C462),"",IF(J462=Constants!$B$2, TRUE(), IF(J462=Constants!$B$3, FALSE(), TRUE())))</f>
        <v/>
      </c>
      <c r="X462" s="97" t="str">
        <f aca="false">IF(ISBLANK($C462),"",IF(K462=Constants!$B$2, TRUE(), IF(K462=Constants!$B$3, FALSE(), TRUE())))</f>
        <v/>
      </c>
      <c r="Y462" s="98" t="str">
        <f aca="false">IF(ISBLANK($C462),"",IF(ISNUMBER(L462), L462, ""))</f>
        <v/>
      </c>
      <c r="Z462" s="98" t="str">
        <f aca="false">IF(ISBLANK($C462),"",IF(ISNUMBER(M462), M462, ""))</f>
        <v/>
      </c>
      <c r="AA462" s="98" t="str">
        <f aca="false">IF(ISBLANK($C462),"",IF(ISNUMBER(N462), N462, ""))</f>
        <v/>
      </c>
      <c r="AB462" s="99" t="str">
        <f aca="false">IF(ISBLANK($C462),"",IF(ISNUMBER(O462), O462, ""))</f>
        <v/>
      </c>
      <c r="AC462" s="99" t="str">
        <f aca="false">IF(ISBLANK($C462),"",IF(ISNUMBER(P462), P462, Constants!$B$13))</f>
        <v/>
      </c>
      <c r="AD462" s="96" t="str">
        <f aca="false">IF(ISBLANK($C462),"",IF(Q462=Constants!$B$2, TRUE(), IF(Q462=Constants!$B$3, FALSE(), FALSE())))</f>
        <v/>
      </c>
      <c r="AE462" s="96" t="str">
        <f aca="false">IF(ISBLANK(C462), "", IF(AD462, Constants!$B$4,IF(COUNTA(G462:O462)=0, Constants!$B$5, Constants!$B$7)))</f>
        <v/>
      </c>
      <c r="AF462" s="96" t="str">
        <f aca="false">IF(ISBLANK($C462), "",IF($AE462=Constants!$B$7,1,$AE462))</f>
        <v/>
      </c>
      <c r="AG462" s="96" t="str">
        <f aca="false">IF($AE462=Constants!$B$7,IF(V462, 1, Constants!$B$11) * IF(X462, 1, Constants!$B$12),"")</f>
        <v/>
      </c>
      <c r="AH462" s="96" t="str">
        <f aca="false">IF(AND($AE462=Constants!$B$7, T462, U462) ,MAX(0, $AA462-$Y462),"")</f>
        <v/>
      </c>
      <c r="AI462" s="96" t="str">
        <f aca="false">IF(ISERROR(AH462),$AI$6,"")</f>
        <v/>
      </c>
      <c r="AJ462" s="96" t="str">
        <f aca="false">IF($AE462=Constants!$B$7,IF(AND(T462,U462,W462),IF($AH$6=0,Constants!$B$9,Constants!$B$9*AH462/$AH$6), 0),"")</f>
        <v/>
      </c>
      <c r="AK462" s="96" t="str">
        <f aca="false">IF(AJ462&lt;&gt;"", AJ462*AG462,"")</f>
        <v/>
      </c>
      <c r="AL462" s="96" t="str">
        <f aca="false">IF(AND($AE462=Constants!$B$7, T462, U462) ,IF($Z462="", "", MAX(0,1-ABS($AA462-$Z462)/$AA462)),"")</f>
        <v/>
      </c>
      <c r="AM462" s="96" t="str">
        <f aca="false">IF(AND(NOT(ISERROR(AH462)),ISERROR(AL462)),$AM$6,"")</f>
        <v/>
      </c>
      <c r="AN462" s="96" t="str">
        <f aca="false">IF($AE462=Constants!$B$7 ,IF(AND(T462,U462,W462,ISNUMBER(Z462)),IF($AL$6=0,Constants!$B$10,Constants!$B$10*AL462/$AL$6), 0),"")</f>
        <v/>
      </c>
      <c r="AO462" s="96" t="str">
        <f aca="false">IF(AN462&lt;&gt;"", AN462*AG462,"")</f>
        <v/>
      </c>
      <c r="AP462" s="96" t="str">
        <f aca="false">IF($AE462=Constants!$B$7,IF($AP$6=0,Constants!$B$8,Constants!$B$8*AB462/$AP$6),"")</f>
        <v/>
      </c>
      <c r="AQ462" s="96" t="str">
        <f aca="false">IF($AE462&lt;&gt;Constants!$B$7,$AE462,AK462+AO462+AP462)</f>
        <v/>
      </c>
      <c r="AR462" s="96" t="str">
        <f aca="false">IF(ISBLANK($C462),"",IF($AE462=Constants!$B$7,RANK(AQ462,$AQ$8:$AQ$507),$AE462))</f>
        <v/>
      </c>
      <c r="AS462" s="96" t="str">
        <f aca="false">IF(ISBLANK($C462), "",AK462)</f>
        <v/>
      </c>
      <c r="AT462" s="96" t="str">
        <f aca="false">IF(ISBLANK($C462),"",IF($AE462=Constants!$B$7,RANK(AS462,AS$8:AS$507),$AE462))</f>
        <v/>
      </c>
      <c r="AU462" s="96" t="str">
        <f aca="false">IF(ISBLANK($C462), "",AP462)</f>
        <v/>
      </c>
      <c r="AV462" s="96" t="str">
        <f aca="false">IF(ISBLANK($C462),"",IF($AE462=Constants!$B$7,RANK(AU462,AU$8:AU$507),$AE462))</f>
        <v/>
      </c>
      <c r="AW462" s="96" t="str">
        <f aca="false">IF(ISBLANK($C462), "",AC462)</f>
        <v/>
      </c>
      <c r="AX462" s="96" t="str">
        <f aca="false">IF(ISBLANK($C462),"",
IF($AE462=Constants!$B$7,
  COUNTIFS($AR$8:$AR$507,"&lt;"&amp;$AR462)
  + COUNTIFS($AR$8:$AR$507,$AR462,$AT$8:$AT$507,"&lt;"&amp;$AT462)
  + COUNTIFS($AR$8:$AR$507,$AR462,$AT$8:$AT$507,$AT462,$AV$8:$AV$507,"&lt;"&amp;$AV462)
  + COUNTIFS($AR$8:$AR$507,$AR462,$AT$8:$AT$507,$AT462,$AV$8:$AV$507,$AV462,$AW$8:$AW$507,"&lt;"&amp;$AW462)
  + 1,
$AE462))</f>
        <v/>
      </c>
      <c r="AY462" s="96" t="str">
        <f aca="false">IF(ISBLANK(C462),"",IF($AE462=Constants!$B$7, AR462-AX462,$AE462))</f>
        <v/>
      </c>
      <c r="AZ462" s="100"/>
      <c r="BA462" s="101" t="str">
        <f aca="false">IF(ISBLANK($C462),"",TRIM(AI462&amp;" "&amp;AM462))</f>
        <v/>
      </c>
      <c r="BB462" s="102" t="str">
        <f aca="false">IF(ISBLANK($C462),"",IF($AE462&lt;&gt;Constants!$B$7, $AE462 ,AQ462))</f>
        <v/>
      </c>
      <c r="BC462" s="103" t="str">
        <f aca="false">IF(ISBLANK($C462),"",IF($AE462&lt;&gt;Constants!$B$7, $AE462 ,AF462))</f>
        <v/>
      </c>
      <c r="BD462" s="104" t="str">
        <f aca="false">IF(ISBLANK(C462),"",AY462)</f>
        <v/>
      </c>
      <c r="BE462" s="104" t="str">
        <f aca="false">IF(ISBLANK(C462),"",AX462)</f>
        <v/>
      </c>
      <c r="BF462" s="105" t="str">
        <f aca="false">IF(ISBLANK(C462),"",IFERROR(_xlfn.SWITCH(BE462, Constants!$B$4, COUNTA($C$8:$C961)+2, Constants!$B$5, COUNTA($C$8:$C961)+1, Constants!$B$6, COUNTA($C$8:$C961)),BE462))</f>
        <v/>
      </c>
      <c r="BG462" s="5"/>
      <c r="BH462" s="106" t="n">
        <f aca="false">IF(OR(ISNUMBER(BE462),BE462="DQ",BE462="P",BE462="NS"),
    1,
    0
)</f>
        <v>0</v>
      </c>
      <c r="BI462" s="106" t="n">
        <v>455</v>
      </c>
      <c r="BJ462" s="106" t="str">
        <f aca="false">IF(ISBLANK($C462),
    "",
   BF462+ROW($B462)/1000
)</f>
        <v/>
      </c>
      <c r="BK462" s="106" t="str">
        <f aca="false">IF(ISNUMBER(BJ462), RANK(BJ462,BJ$8:BJ$507,1), "")</f>
        <v/>
      </c>
      <c r="BL462" s="106" t="str">
        <f aca="false">IF(ISBLANK($C462),
    "",
    $B462
)</f>
        <v/>
      </c>
      <c r="BM462" s="106" t="str">
        <f aca="false">IF(ISBLANK($C462),
    "",
    $C462
)</f>
        <v/>
      </c>
      <c r="BN462" s="106" t="str">
        <f aca="false">IF(ISBLANK($C462),
    "",
    $D462
)</f>
        <v/>
      </c>
      <c r="BO462" s="107" t="str">
        <f aca="false">BC462</f>
        <v/>
      </c>
      <c r="BP462" s="108" t="str">
        <f aca="false">BB462</f>
        <v/>
      </c>
      <c r="BQ462" s="106" t="str">
        <f aca="false">IF(ISBLANK($C462),
    "",
    BE462
)</f>
        <v/>
      </c>
      <c r="BR462" s="109" t="str">
        <f aca="false">IF(BI462&gt;BH$7,
    "",
    VLOOKUP(BI462,BK$8:BQ961,7,FALSE())
)</f>
        <v/>
      </c>
      <c r="BS462" s="110" t="str">
        <f aca="false">IF(BI462&gt;BH$7,
    "",
    VLOOKUP(BI462,BK$8:BQ961,2,FALSE())
)</f>
        <v/>
      </c>
      <c r="BT462" s="110" t="str">
        <f aca="false">IF(BI462&gt;BH$7,
    "",
    VLOOKUP(BI462,BK$8:BQ961,3,FALSE())
)</f>
        <v/>
      </c>
      <c r="BU462" s="110" t="str">
        <f aca="false">IF(BI462&gt;BH$7,
    "",
    VLOOKUP(BI462,BK$8:BQ961,4,FALSE())
)</f>
        <v/>
      </c>
      <c r="BV462" s="110" t="str">
        <f aca="false">IF(BI462&gt;BH$7,
    "",
    VLOOKUP(BI462,BK$8:BQ961,5,FALSE())
)</f>
        <v/>
      </c>
      <c r="BW462" s="111" t="str">
        <f aca="false">IF(BI462&gt;BH$7,
    "",
    VLOOKUP(BI462,BK$8:BQ961,6,FALSE())
)</f>
        <v/>
      </c>
      <c r="BX462" s="50"/>
    </row>
    <row r="463" customFormat="false" ht="15.75" hidden="false" customHeight="false" outlineLevel="0" collapsed="false">
      <c r="A463" s="5"/>
      <c r="B463" s="122"/>
      <c r="C463" s="123"/>
      <c r="D463" s="112"/>
      <c r="E463" s="116"/>
      <c r="F463" s="116"/>
      <c r="G463" s="88"/>
      <c r="H463" s="89"/>
      <c r="I463" s="125"/>
      <c r="J463" s="125"/>
      <c r="K463" s="125"/>
      <c r="L463" s="91"/>
      <c r="M463" s="91"/>
      <c r="N463" s="91"/>
      <c r="O463" s="92"/>
      <c r="P463" s="93"/>
      <c r="Q463" s="125"/>
      <c r="R463" s="95"/>
      <c r="S463" s="96"/>
      <c r="T463" s="96" t="str">
        <f aca="false">IF(ISBLANK($C463),"",IF(G463=Constants!$B$2, TRUE(), IF(G463=Constants!$B$3, FALSE(), TRUE())))</f>
        <v/>
      </c>
      <c r="U463" s="96" t="str">
        <f aca="false">IF(ISBLANK($C463),"",IF(H463=Constants!$B$2, TRUE(), IF(H463=Constants!$B$3, FALSE(), TRUE())))</f>
        <v/>
      </c>
      <c r="V463" s="96" t="str">
        <f aca="false">IF(ISBLANK($C463),"",IF(I463=Constants!$B$2, TRUE(), IF(I463=Constants!$B$3, FALSE(), TRUE())))</f>
        <v/>
      </c>
      <c r="W463" s="96" t="str">
        <f aca="false">IF(ISBLANK($C463),"",IF(J463=Constants!$B$2, TRUE(), IF(J463=Constants!$B$3, FALSE(), TRUE())))</f>
        <v/>
      </c>
      <c r="X463" s="97" t="str">
        <f aca="false">IF(ISBLANK($C463),"",IF(K463=Constants!$B$2, TRUE(), IF(K463=Constants!$B$3, FALSE(), TRUE())))</f>
        <v/>
      </c>
      <c r="Y463" s="98" t="str">
        <f aca="false">IF(ISBLANK($C463),"",IF(ISNUMBER(L463), L463, ""))</f>
        <v/>
      </c>
      <c r="Z463" s="98" t="str">
        <f aca="false">IF(ISBLANK($C463),"",IF(ISNUMBER(M463), M463, ""))</f>
        <v/>
      </c>
      <c r="AA463" s="98" t="str">
        <f aca="false">IF(ISBLANK($C463),"",IF(ISNUMBER(N463), N463, ""))</f>
        <v/>
      </c>
      <c r="AB463" s="99" t="str">
        <f aca="false">IF(ISBLANK($C463),"",IF(ISNUMBER(O463), O463, ""))</f>
        <v/>
      </c>
      <c r="AC463" s="99" t="str">
        <f aca="false">IF(ISBLANK($C463),"",IF(ISNUMBER(P463), P463, Constants!$B$13))</f>
        <v/>
      </c>
      <c r="AD463" s="96" t="str">
        <f aca="false">IF(ISBLANK($C463),"",IF(Q463=Constants!$B$2, TRUE(), IF(Q463=Constants!$B$3, FALSE(), FALSE())))</f>
        <v/>
      </c>
      <c r="AE463" s="96" t="str">
        <f aca="false">IF(ISBLANK(C463), "", IF(AD463, Constants!$B$4,IF(COUNTA(G463:O463)=0, Constants!$B$5, Constants!$B$7)))</f>
        <v/>
      </c>
      <c r="AF463" s="96" t="str">
        <f aca="false">IF(ISBLANK($C463), "",IF($AE463=Constants!$B$7,1,$AE463))</f>
        <v/>
      </c>
      <c r="AG463" s="96" t="str">
        <f aca="false">IF($AE463=Constants!$B$7,IF(V463, 1, Constants!$B$11) * IF(X463, 1, Constants!$B$12),"")</f>
        <v/>
      </c>
      <c r="AH463" s="96" t="str">
        <f aca="false">IF(AND($AE463=Constants!$B$7, T463, U463) ,MAX(0, $AA463-$Y463),"")</f>
        <v/>
      </c>
      <c r="AI463" s="96" t="str">
        <f aca="false">IF(ISERROR(AH463),$AI$6,"")</f>
        <v/>
      </c>
      <c r="AJ463" s="96" t="str">
        <f aca="false">IF($AE463=Constants!$B$7,IF(AND(T463,U463,W463),IF($AH$6=0,Constants!$B$9,Constants!$B$9*AH463/$AH$6), 0),"")</f>
        <v/>
      </c>
      <c r="AK463" s="96" t="str">
        <f aca="false">IF(AJ463&lt;&gt;"", AJ463*AG463,"")</f>
        <v/>
      </c>
      <c r="AL463" s="96" t="str">
        <f aca="false">IF(AND($AE463=Constants!$B$7, T463, U463) ,IF($Z463="", "", MAX(0,1-ABS($AA463-$Z463)/$AA463)),"")</f>
        <v/>
      </c>
      <c r="AM463" s="96" t="str">
        <f aca="false">IF(AND(NOT(ISERROR(AH463)),ISERROR(AL463)),$AM$6,"")</f>
        <v/>
      </c>
      <c r="AN463" s="96" t="str">
        <f aca="false">IF($AE463=Constants!$B$7 ,IF(AND(T463,U463,W463,ISNUMBER(Z463)),IF($AL$6=0,Constants!$B$10,Constants!$B$10*AL463/$AL$6), 0),"")</f>
        <v/>
      </c>
      <c r="AO463" s="96" t="str">
        <f aca="false">IF(AN463&lt;&gt;"", AN463*AG463,"")</f>
        <v/>
      </c>
      <c r="AP463" s="96" t="str">
        <f aca="false">IF($AE463=Constants!$B$7,IF($AP$6=0,Constants!$B$8,Constants!$B$8*AB463/$AP$6),"")</f>
        <v/>
      </c>
      <c r="AQ463" s="96" t="str">
        <f aca="false">IF($AE463&lt;&gt;Constants!$B$7,$AE463,AK463+AO463+AP463)</f>
        <v/>
      </c>
      <c r="AR463" s="96" t="str">
        <f aca="false">IF(ISBLANK($C463),"",IF($AE463=Constants!$B$7,RANK(AQ463,$AQ$8:$AQ$507),$AE463))</f>
        <v/>
      </c>
      <c r="AS463" s="96" t="str">
        <f aca="false">IF(ISBLANK($C463), "",AK463)</f>
        <v/>
      </c>
      <c r="AT463" s="96" t="str">
        <f aca="false">IF(ISBLANK($C463),"",IF($AE463=Constants!$B$7,RANK(AS463,AS$8:AS$507),$AE463))</f>
        <v/>
      </c>
      <c r="AU463" s="96" t="str">
        <f aca="false">IF(ISBLANK($C463), "",AP463)</f>
        <v/>
      </c>
      <c r="AV463" s="96" t="str">
        <f aca="false">IF(ISBLANK($C463),"",IF($AE463=Constants!$B$7,RANK(AU463,AU$8:AU$507),$AE463))</f>
        <v/>
      </c>
      <c r="AW463" s="96" t="str">
        <f aca="false">IF(ISBLANK($C463), "",AC463)</f>
        <v/>
      </c>
      <c r="AX463" s="96" t="str">
        <f aca="false">IF(ISBLANK($C463),"",
IF($AE463=Constants!$B$7,
  COUNTIFS($AR$8:$AR$507,"&lt;"&amp;$AR463)
  + COUNTIFS($AR$8:$AR$507,$AR463,$AT$8:$AT$507,"&lt;"&amp;$AT463)
  + COUNTIFS($AR$8:$AR$507,$AR463,$AT$8:$AT$507,$AT463,$AV$8:$AV$507,"&lt;"&amp;$AV463)
  + COUNTIFS($AR$8:$AR$507,$AR463,$AT$8:$AT$507,$AT463,$AV$8:$AV$507,$AV463,$AW$8:$AW$507,"&lt;"&amp;$AW463)
  + 1,
$AE463))</f>
        <v/>
      </c>
      <c r="AY463" s="96" t="str">
        <f aca="false">IF(ISBLANK(C463),"",IF($AE463=Constants!$B$7, AR463-AX463,$AE463))</f>
        <v/>
      </c>
      <c r="AZ463" s="100"/>
      <c r="BA463" s="101" t="str">
        <f aca="false">IF(ISBLANK($C463),"",TRIM(AI463&amp;" "&amp;AM463))</f>
        <v/>
      </c>
      <c r="BB463" s="102" t="str">
        <f aca="false">IF(ISBLANK($C463),"",IF($AE463&lt;&gt;Constants!$B$7, $AE463 ,AQ463))</f>
        <v/>
      </c>
      <c r="BC463" s="103" t="str">
        <f aca="false">IF(ISBLANK($C463),"",IF($AE463&lt;&gt;Constants!$B$7, $AE463 ,AF463))</f>
        <v/>
      </c>
      <c r="BD463" s="104" t="str">
        <f aca="false">IF(ISBLANK(C463),"",AY463)</f>
        <v/>
      </c>
      <c r="BE463" s="104" t="str">
        <f aca="false">IF(ISBLANK(C463),"",AX463)</f>
        <v/>
      </c>
      <c r="BF463" s="105" t="str">
        <f aca="false">IF(ISBLANK(C463),"",IFERROR(_xlfn.SWITCH(BE463, Constants!$B$4, COUNTA($C$8:$C962)+2, Constants!$B$5, COUNTA($C$8:$C962)+1, Constants!$B$6, COUNTA($C$8:$C962)),BE463))</f>
        <v/>
      </c>
      <c r="BG463" s="5"/>
      <c r="BH463" s="106" t="n">
        <f aca="false">IF(OR(ISNUMBER(BE463),BE463="DQ",BE463="P",BE463="NS"),
    1,
    0
)</f>
        <v>0</v>
      </c>
      <c r="BI463" s="106" t="n">
        <v>456</v>
      </c>
      <c r="BJ463" s="106" t="str">
        <f aca="false">IF(ISBLANK($C463),
    "",
   BF463+ROW($B463)/1000
)</f>
        <v/>
      </c>
      <c r="BK463" s="106" t="str">
        <f aca="false">IF(ISNUMBER(BJ463), RANK(BJ463,BJ$8:BJ$507,1), "")</f>
        <v/>
      </c>
      <c r="BL463" s="106" t="str">
        <f aca="false">IF(ISBLANK($C463),
    "",
    $B463
)</f>
        <v/>
      </c>
      <c r="BM463" s="106" t="str">
        <f aca="false">IF(ISBLANK($C463),
    "",
    $C463
)</f>
        <v/>
      </c>
      <c r="BN463" s="106" t="str">
        <f aca="false">IF(ISBLANK($C463),
    "",
    $D463
)</f>
        <v/>
      </c>
      <c r="BO463" s="107" t="str">
        <f aca="false">BC463</f>
        <v/>
      </c>
      <c r="BP463" s="108" t="str">
        <f aca="false">BB463</f>
        <v/>
      </c>
      <c r="BQ463" s="106" t="str">
        <f aca="false">IF(ISBLANK($C463),
    "",
    BE463
)</f>
        <v/>
      </c>
      <c r="BR463" s="109" t="str">
        <f aca="false">IF(BI463&gt;BH$7,
    "",
    VLOOKUP(BI463,BK$8:BQ962,7,FALSE())
)</f>
        <v/>
      </c>
      <c r="BS463" s="110" t="str">
        <f aca="false">IF(BI463&gt;BH$7,
    "",
    VLOOKUP(BI463,BK$8:BQ962,2,FALSE())
)</f>
        <v/>
      </c>
      <c r="BT463" s="110" t="str">
        <f aca="false">IF(BI463&gt;BH$7,
    "",
    VLOOKUP(BI463,BK$8:BQ962,3,FALSE())
)</f>
        <v/>
      </c>
      <c r="BU463" s="110" t="str">
        <f aca="false">IF(BI463&gt;BH$7,
    "",
    VLOOKUP(BI463,BK$8:BQ962,4,FALSE())
)</f>
        <v/>
      </c>
      <c r="BV463" s="110" t="str">
        <f aca="false">IF(BI463&gt;BH$7,
    "",
    VLOOKUP(BI463,BK$8:BQ962,5,FALSE())
)</f>
        <v/>
      </c>
      <c r="BW463" s="111" t="str">
        <f aca="false">IF(BI463&gt;BH$7,
    "",
    VLOOKUP(BI463,BK$8:BQ962,6,FALSE())
)</f>
        <v/>
      </c>
      <c r="BX463" s="50"/>
    </row>
    <row r="464" customFormat="false" ht="15.75" hidden="false" customHeight="false" outlineLevel="0" collapsed="false">
      <c r="A464" s="5"/>
      <c r="B464" s="126"/>
      <c r="C464" s="52"/>
      <c r="D464" s="53"/>
      <c r="E464" s="120"/>
      <c r="F464" s="120"/>
      <c r="G464" s="55"/>
      <c r="H464" s="56"/>
      <c r="I464" s="80"/>
      <c r="J464" s="80"/>
      <c r="K464" s="80"/>
      <c r="L464" s="58"/>
      <c r="M464" s="58"/>
      <c r="N464" s="58"/>
      <c r="O464" s="59"/>
      <c r="P464" s="60"/>
      <c r="Q464" s="80"/>
      <c r="R464" s="62"/>
      <c r="S464" s="63"/>
      <c r="T464" s="63" t="str">
        <f aca="false">IF(ISBLANK($C464),"",IF(G464=Constants!$B$2, TRUE(), IF(G464=Constants!$B$3, FALSE(), TRUE())))</f>
        <v/>
      </c>
      <c r="U464" s="63" t="str">
        <f aca="false">IF(ISBLANK($C464),"",IF(H464=Constants!$B$2, TRUE(), IF(H464=Constants!$B$3, FALSE(), TRUE())))</f>
        <v/>
      </c>
      <c r="V464" s="63" t="str">
        <f aca="false">IF(ISBLANK($C464),"",IF(I464=Constants!$B$2, TRUE(), IF(I464=Constants!$B$3, FALSE(), TRUE())))</f>
        <v/>
      </c>
      <c r="W464" s="63" t="str">
        <f aca="false">IF(ISBLANK($C464),"",IF(J464=Constants!$B$2, TRUE(), IF(J464=Constants!$B$3, FALSE(), TRUE())))</f>
        <v/>
      </c>
      <c r="X464" s="63" t="str">
        <f aca="false">IF(ISBLANK($C464),"",IF(K464=Constants!$B$2, TRUE(), IF(K464=Constants!$B$3, FALSE(), TRUE())))</f>
        <v/>
      </c>
      <c r="Y464" s="65" t="str">
        <f aca="false">IF(ISBLANK($C464),"",IF(ISNUMBER(L464), L464, ""))</f>
        <v/>
      </c>
      <c r="Z464" s="65" t="str">
        <f aca="false">IF(ISBLANK($C464),"",IF(ISNUMBER(M464), M464, ""))</f>
        <v/>
      </c>
      <c r="AA464" s="65" t="str">
        <f aca="false">IF(ISBLANK($C464),"",IF(ISNUMBER(N464), N464, ""))</f>
        <v/>
      </c>
      <c r="AB464" s="66" t="str">
        <f aca="false">IF(ISBLANK($C464),"",IF(ISNUMBER(O464), O464, ""))</f>
        <v/>
      </c>
      <c r="AC464" s="66" t="str">
        <f aca="false">IF(ISBLANK($C464),"",IF(ISNUMBER(P464), P464, Constants!$B$13))</f>
        <v/>
      </c>
      <c r="AD464" s="63" t="str">
        <f aca="false">IF(ISBLANK($C464),"",IF(Q464=Constants!$B$2, TRUE(), IF(Q464=Constants!$B$3, FALSE(), FALSE())))</f>
        <v/>
      </c>
      <c r="AE464" s="63" t="str">
        <f aca="false">IF(ISBLANK(C464), "", IF(AD464, Constants!$B$4,IF(COUNTA(G464:O464)=0, Constants!$B$5, Constants!$B$7)))</f>
        <v/>
      </c>
      <c r="AF464" s="63" t="str">
        <f aca="false">IF(ISBLANK($C464), "",IF($AE464=Constants!$B$7,1,$AE464))</f>
        <v/>
      </c>
      <c r="AG464" s="63" t="str">
        <f aca="false">IF($AE464=Constants!$B$7,IF(V464, 1, Constants!$B$11) * IF(X464, 1, Constants!$B$12),"")</f>
        <v/>
      </c>
      <c r="AH464" s="63" t="str">
        <f aca="false">IF(AND($AE464=Constants!$B$7, T464, U464) ,MAX(0, $AA464-$Y464),"")</f>
        <v/>
      </c>
      <c r="AI464" s="63" t="str">
        <f aca="false">IF(ISERROR(AH464),$AI$6,"")</f>
        <v/>
      </c>
      <c r="AJ464" s="63" t="str">
        <f aca="false">IF($AE464=Constants!$B$7,IF(AND(T464,U464,W464),IF($AH$6=0,Constants!$B$9,Constants!$B$9*AH464/$AH$6), 0),"")</f>
        <v/>
      </c>
      <c r="AK464" s="63" t="str">
        <f aca="false">IF(AJ464&lt;&gt;"", AJ464*AG464,"")</f>
        <v/>
      </c>
      <c r="AL464" s="63" t="str">
        <f aca="false">IF(AND($AE464=Constants!$B$7, T464, U464) ,IF($Z464="", "", MAX(0,1-ABS($AA464-$Z464)/$AA464)),"")</f>
        <v/>
      </c>
      <c r="AM464" s="63" t="str">
        <f aca="false">IF(AND(NOT(ISERROR(AH464)),ISERROR(AL464)),$AM$6,"")</f>
        <v/>
      </c>
      <c r="AN464" s="63" t="str">
        <f aca="false">IF($AE464=Constants!$B$7 ,IF(AND(T464,U464,W464,ISNUMBER(Z464)),IF($AL$6=0,Constants!$B$10,Constants!$B$10*AL464/$AL$6), 0),"")</f>
        <v/>
      </c>
      <c r="AO464" s="63" t="str">
        <f aca="false">IF(AN464&lt;&gt;"", AN464*AG464,"")</f>
        <v/>
      </c>
      <c r="AP464" s="63" t="str">
        <f aca="false">IF($AE464=Constants!$B$7,IF($AP$6=0,Constants!$B$8,Constants!$B$8*AB464/$AP$6),"")</f>
        <v/>
      </c>
      <c r="AQ464" s="63" t="str">
        <f aca="false">IF($AE464&lt;&gt;Constants!$B$7,$AE464,AK464+AO464+AP464)</f>
        <v/>
      </c>
      <c r="AR464" s="63" t="str">
        <f aca="false">IF(ISBLANK($C464),"",IF($AE464=Constants!$B$7,RANK(AQ464,$AQ$8:$AQ$507),$AE464))</f>
        <v/>
      </c>
      <c r="AS464" s="63" t="str">
        <f aca="false">IF(ISBLANK($C464), "",AK464)</f>
        <v/>
      </c>
      <c r="AT464" s="63" t="str">
        <f aca="false">IF(ISBLANK($C464),"",IF($AE464=Constants!$B$7,RANK(AS464,AS$8:AS$507),$AE464))</f>
        <v/>
      </c>
      <c r="AU464" s="63" t="str">
        <f aca="false">IF(ISBLANK($C464), "",AP464)</f>
        <v/>
      </c>
      <c r="AV464" s="63" t="str">
        <f aca="false">IF(ISBLANK($C464),"",IF($AE464=Constants!$B$7,RANK(AU464,AU$8:AU$507),$AE464))</f>
        <v/>
      </c>
      <c r="AW464" s="63" t="str">
        <f aca="false">IF(ISBLANK($C464), "",AC464)</f>
        <v/>
      </c>
      <c r="AX464" s="63" t="str">
        <f aca="false">IF(ISBLANK($C464),"",
IF($AE464=Constants!$B$7,
  COUNTIFS($AR$8:$AR$507,"&lt;"&amp;$AR464)
  + COUNTIFS($AR$8:$AR$507,$AR464,$AT$8:$AT$507,"&lt;"&amp;$AT464)
  + COUNTIFS($AR$8:$AR$507,$AR464,$AT$8:$AT$507,$AT464,$AV$8:$AV$507,"&lt;"&amp;$AV464)
  + COUNTIFS($AR$8:$AR$507,$AR464,$AT$8:$AT$507,$AT464,$AV$8:$AV$507,$AV464,$AW$8:$AW$507,"&lt;"&amp;$AW464)
  + 1,
$AE464))</f>
        <v/>
      </c>
      <c r="AY464" s="63" t="str">
        <f aca="false">IF(ISBLANK(C464),"",IF($AE464=Constants!$B$7, AR464-AX464,$AE464))</f>
        <v/>
      </c>
      <c r="AZ464" s="67"/>
      <c r="BA464" s="81" t="str">
        <f aca="false">IF(ISBLANK($C464),"",TRIM(AI464&amp;" "&amp;AM464))</f>
        <v/>
      </c>
      <c r="BB464" s="69" t="str">
        <f aca="false">IF(ISBLANK($C464),"",IF($AE464&lt;&gt;Constants!$B$7, $AE464 ,AQ464))</f>
        <v/>
      </c>
      <c r="BC464" s="70" t="str">
        <f aca="false">IF(ISBLANK($C464),"",IF($AE464&lt;&gt;Constants!$B$7, $AE464 ,AF464))</f>
        <v/>
      </c>
      <c r="BD464" s="71" t="str">
        <f aca="false">IF(ISBLANK(C464),"",AY464)</f>
        <v/>
      </c>
      <c r="BE464" s="71" t="str">
        <f aca="false">IF(ISBLANK(C464),"",AX464)</f>
        <v/>
      </c>
      <c r="BF464" s="72" t="str">
        <f aca="false">IF(ISBLANK(C464),"",IFERROR(_xlfn.SWITCH(BE464, Constants!$B$4, COUNTA($C$8:$C963)+2, Constants!$B$5, COUNTA($C$8:$C963)+1, Constants!$B$6, COUNTA($C$8:$C963)),BE464))</f>
        <v/>
      </c>
      <c r="BG464" s="5"/>
      <c r="BH464" s="73" t="n">
        <f aca="false">IF(OR(ISNUMBER(BE464),BE464="DQ",BE464="P",BE464="NS"),
    1,
    0
)</f>
        <v>0</v>
      </c>
      <c r="BI464" s="73" t="n">
        <v>457</v>
      </c>
      <c r="BJ464" s="73" t="str">
        <f aca="false">IF(ISBLANK($C464),
    "",
   BF464+ROW($B464)/1000
)</f>
        <v/>
      </c>
      <c r="BK464" s="73" t="str">
        <f aca="false">IF(ISNUMBER(BJ464), RANK(BJ464,BJ$8:BJ$507,1), "")</f>
        <v/>
      </c>
      <c r="BL464" s="73" t="str">
        <f aca="false">IF(ISBLANK($C464),
    "",
    $B464
)</f>
        <v/>
      </c>
      <c r="BM464" s="73" t="str">
        <f aca="false">IF(ISBLANK($C464),
    "",
    $C464
)</f>
        <v/>
      </c>
      <c r="BN464" s="73" t="str">
        <f aca="false">IF(ISBLANK($C464),
    "",
    $D464
)</f>
        <v/>
      </c>
      <c r="BO464" s="74" t="str">
        <f aca="false">BC464</f>
        <v/>
      </c>
      <c r="BP464" s="75" t="str">
        <f aca="false">BB464</f>
        <v/>
      </c>
      <c r="BQ464" s="73" t="str">
        <f aca="false">IF(ISBLANK($C464),
    "",
    BE464
)</f>
        <v/>
      </c>
      <c r="BR464" s="76" t="str">
        <f aca="false">IF(BI464&gt;BH$7,
    "",
    VLOOKUP(BI464,BK$8:BQ963,7,FALSE())
)</f>
        <v/>
      </c>
      <c r="BS464" s="77" t="str">
        <f aca="false">IF(BI464&gt;BH$7,
    "",
    VLOOKUP(BI464,BK$8:BQ963,2,FALSE())
)</f>
        <v/>
      </c>
      <c r="BT464" s="77" t="str">
        <f aca="false">IF(BI464&gt;BH$7,
    "",
    VLOOKUP(BI464,BK$8:BQ963,3,FALSE())
)</f>
        <v/>
      </c>
      <c r="BU464" s="77" t="str">
        <f aca="false">IF(BI464&gt;BH$7,
    "",
    VLOOKUP(BI464,BK$8:BQ963,4,FALSE())
)</f>
        <v/>
      </c>
      <c r="BV464" s="77" t="str">
        <f aca="false">IF(BI464&gt;BH$7,
    "",
    VLOOKUP(BI464,BK$8:BQ963,5,FALSE())
)</f>
        <v/>
      </c>
      <c r="BW464" s="78" t="str">
        <f aca="false">IF(BI464&gt;BH$7,
    "",
    VLOOKUP(BI464,BK$8:BQ963,6,FALSE())
)</f>
        <v/>
      </c>
      <c r="BX464" s="50"/>
    </row>
    <row r="465" customFormat="false" ht="15.75" hidden="false" customHeight="false" outlineLevel="0" collapsed="false">
      <c r="A465" s="5"/>
      <c r="B465" s="126"/>
      <c r="C465" s="52"/>
      <c r="D465" s="53"/>
      <c r="E465" s="120"/>
      <c r="F465" s="120"/>
      <c r="G465" s="55"/>
      <c r="H465" s="56"/>
      <c r="I465" s="80"/>
      <c r="J465" s="80"/>
      <c r="K465" s="80"/>
      <c r="L465" s="58"/>
      <c r="M465" s="58"/>
      <c r="N465" s="58"/>
      <c r="O465" s="59"/>
      <c r="P465" s="60"/>
      <c r="Q465" s="80"/>
      <c r="R465" s="62"/>
      <c r="S465" s="63"/>
      <c r="T465" s="63" t="str">
        <f aca="false">IF(ISBLANK($C465),"",IF(G465=Constants!$B$2, TRUE(), IF(G465=Constants!$B$3, FALSE(), TRUE())))</f>
        <v/>
      </c>
      <c r="U465" s="63" t="str">
        <f aca="false">IF(ISBLANK($C465),"",IF(H465=Constants!$B$2, TRUE(), IF(H465=Constants!$B$3, FALSE(), TRUE())))</f>
        <v/>
      </c>
      <c r="V465" s="63" t="str">
        <f aca="false">IF(ISBLANK($C465),"",IF(I465=Constants!$B$2, TRUE(), IF(I465=Constants!$B$3, FALSE(), TRUE())))</f>
        <v/>
      </c>
      <c r="W465" s="63" t="str">
        <f aca="false">IF(ISBLANK($C465),"",IF(J465=Constants!$B$2, TRUE(), IF(J465=Constants!$B$3, FALSE(), TRUE())))</f>
        <v/>
      </c>
      <c r="X465" s="63" t="str">
        <f aca="false">IF(ISBLANK($C465),"",IF(K465=Constants!$B$2, TRUE(), IF(K465=Constants!$B$3, FALSE(), TRUE())))</f>
        <v/>
      </c>
      <c r="Y465" s="65" t="str">
        <f aca="false">IF(ISBLANK($C465),"",IF(ISNUMBER(L465), L465, ""))</f>
        <v/>
      </c>
      <c r="Z465" s="65" t="str">
        <f aca="false">IF(ISBLANK($C465),"",IF(ISNUMBER(M465), M465, ""))</f>
        <v/>
      </c>
      <c r="AA465" s="65" t="str">
        <f aca="false">IF(ISBLANK($C465),"",IF(ISNUMBER(N465), N465, ""))</f>
        <v/>
      </c>
      <c r="AB465" s="66" t="str">
        <f aca="false">IF(ISBLANK($C465),"",IF(ISNUMBER(O465), O465, ""))</f>
        <v/>
      </c>
      <c r="AC465" s="66" t="str">
        <f aca="false">IF(ISBLANK($C465),"",IF(ISNUMBER(P465), P465, Constants!$B$13))</f>
        <v/>
      </c>
      <c r="AD465" s="63" t="str">
        <f aca="false">IF(ISBLANK($C465),"",IF(Q465=Constants!$B$2, TRUE(), IF(Q465=Constants!$B$3, FALSE(), FALSE())))</f>
        <v/>
      </c>
      <c r="AE465" s="63" t="str">
        <f aca="false">IF(ISBLANK(C465), "", IF(AD465, Constants!$B$4,IF(COUNTA(G465:O465)=0, Constants!$B$5, Constants!$B$7)))</f>
        <v/>
      </c>
      <c r="AF465" s="63" t="str">
        <f aca="false">IF(ISBLANK($C465), "",IF($AE465=Constants!$B$7,1,$AE465))</f>
        <v/>
      </c>
      <c r="AG465" s="63" t="str">
        <f aca="false">IF($AE465=Constants!$B$7,IF(V465, 1, Constants!$B$11) * IF(X465, 1, Constants!$B$12),"")</f>
        <v/>
      </c>
      <c r="AH465" s="63" t="str">
        <f aca="false">IF(AND($AE465=Constants!$B$7, T465, U465) ,MAX(0, $AA465-$Y465),"")</f>
        <v/>
      </c>
      <c r="AI465" s="63" t="str">
        <f aca="false">IF(ISERROR(AH465),$AI$6,"")</f>
        <v/>
      </c>
      <c r="AJ465" s="63" t="str">
        <f aca="false">IF($AE465=Constants!$B$7,IF(AND(T465,U465,W465),IF($AH$6=0,Constants!$B$9,Constants!$B$9*AH465/$AH$6), 0),"")</f>
        <v/>
      </c>
      <c r="AK465" s="63" t="str">
        <f aca="false">IF(AJ465&lt;&gt;"", AJ465*AG465,"")</f>
        <v/>
      </c>
      <c r="AL465" s="63" t="str">
        <f aca="false">IF(AND($AE465=Constants!$B$7, T465, U465) ,IF($Z465="", "", MAX(0,1-ABS($AA465-$Z465)/$AA465)),"")</f>
        <v/>
      </c>
      <c r="AM465" s="63" t="str">
        <f aca="false">IF(AND(NOT(ISERROR(AH465)),ISERROR(AL465)),$AM$6,"")</f>
        <v/>
      </c>
      <c r="AN465" s="63" t="str">
        <f aca="false">IF($AE465=Constants!$B$7 ,IF(AND(T465,U465,W465,ISNUMBER(Z465)),IF($AL$6=0,Constants!$B$10,Constants!$B$10*AL465/$AL$6), 0),"")</f>
        <v/>
      </c>
      <c r="AO465" s="63" t="str">
        <f aca="false">IF(AN465&lt;&gt;"", AN465*AG465,"")</f>
        <v/>
      </c>
      <c r="AP465" s="63" t="str">
        <f aca="false">IF($AE465=Constants!$B$7,IF($AP$6=0,Constants!$B$8,Constants!$B$8*AB465/$AP$6),"")</f>
        <v/>
      </c>
      <c r="AQ465" s="63" t="str">
        <f aca="false">IF($AE465&lt;&gt;Constants!$B$7,$AE465,AK465+AO465+AP465)</f>
        <v/>
      </c>
      <c r="AR465" s="63" t="str">
        <f aca="false">IF(ISBLANK($C465),"",IF($AE465=Constants!$B$7,RANK(AQ465,$AQ$8:$AQ$507),$AE465))</f>
        <v/>
      </c>
      <c r="AS465" s="63" t="str">
        <f aca="false">IF(ISBLANK($C465), "",AK465)</f>
        <v/>
      </c>
      <c r="AT465" s="63" t="str">
        <f aca="false">IF(ISBLANK($C465),"",IF($AE465=Constants!$B$7,RANK(AS465,AS$8:AS$507),$AE465))</f>
        <v/>
      </c>
      <c r="AU465" s="63" t="str">
        <f aca="false">IF(ISBLANK($C465), "",AP465)</f>
        <v/>
      </c>
      <c r="AV465" s="63" t="str">
        <f aca="false">IF(ISBLANK($C465),"",IF($AE465=Constants!$B$7,RANK(AU465,AU$8:AU$507),$AE465))</f>
        <v/>
      </c>
      <c r="AW465" s="63" t="str">
        <f aca="false">IF(ISBLANK($C465), "",AC465)</f>
        <v/>
      </c>
      <c r="AX465" s="63" t="str">
        <f aca="false">IF(ISBLANK($C465),"",
IF($AE465=Constants!$B$7,
  COUNTIFS($AR$8:$AR$507,"&lt;"&amp;$AR465)
  + COUNTIFS($AR$8:$AR$507,$AR465,$AT$8:$AT$507,"&lt;"&amp;$AT465)
  + COUNTIFS($AR$8:$AR$507,$AR465,$AT$8:$AT$507,$AT465,$AV$8:$AV$507,"&lt;"&amp;$AV465)
  + COUNTIFS($AR$8:$AR$507,$AR465,$AT$8:$AT$507,$AT465,$AV$8:$AV$507,$AV465,$AW$8:$AW$507,"&lt;"&amp;$AW465)
  + 1,
$AE465))</f>
        <v/>
      </c>
      <c r="AY465" s="63" t="str">
        <f aca="false">IF(ISBLANK(C465),"",IF($AE465=Constants!$B$7, AR465-AX465,$AE465))</f>
        <v/>
      </c>
      <c r="AZ465" s="67"/>
      <c r="BA465" s="81" t="str">
        <f aca="false">IF(ISBLANK($C465),"",TRIM(AI465&amp;" "&amp;AM465))</f>
        <v/>
      </c>
      <c r="BB465" s="69" t="str">
        <f aca="false">IF(ISBLANK($C465),"",IF($AE465&lt;&gt;Constants!$B$7, $AE465 ,AQ465))</f>
        <v/>
      </c>
      <c r="BC465" s="70" t="str">
        <f aca="false">IF(ISBLANK($C465),"",IF($AE465&lt;&gt;Constants!$B$7, $AE465 ,AF465))</f>
        <v/>
      </c>
      <c r="BD465" s="71" t="str">
        <f aca="false">IF(ISBLANK(C465),"",AY465)</f>
        <v/>
      </c>
      <c r="BE465" s="71" t="str">
        <f aca="false">IF(ISBLANK(C465),"",AX465)</f>
        <v/>
      </c>
      <c r="BF465" s="72" t="str">
        <f aca="false">IF(ISBLANK(C465),"",IFERROR(_xlfn.SWITCH(BE465, Constants!$B$4, COUNTA($C$8:$C964)+2, Constants!$B$5, COUNTA($C$8:$C964)+1, Constants!$B$6, COUNTA($C$8:$C964)),BE465))</f>
        <v/>
      </c>
      <c r="BG465" s="5"/>
      <c r="BH465" s="73" t="n">
        <f aca="false">IF(OR(ISNUMBER(BE465),BE465="DQ",BE465="P",BE465="NS"),
    1,
    0
)</f>
        <v>0</v>
      </c>
      <c r="BI465" s="73" t="n">
        <v>458</v>
      </c>
      <c r="BJ465" s="73" t="str">
        <f aca="false">IF(ISBLANK($C465),
    "",
   BF465+ROW($B465)/1000
)</f>
        <v/>
      </c>
      <c r="BK465" s="73" t="str">
        <f aca="false">IF(ISNUMBER(BJ465), RANK(BJ465,BJ$8:BJ$507,1), "")</f>
        <v/>
      </c>
      <c r="BL465" s="73" t="str">
        <f aca="false">IF(ISBLANK($C465),
    "",
    $B465
)</f>
        <v/>
      </c>
      <c r="BM465" s="73" t="str">
        <f aca="false">IF(ISBLANK($C465),
    "",
    $C465
)</f>
        <v/>
      </c>
      <c r="BN465" s="73" t="str">
        <f aca="false">IF(ISBLANK($C465),
    "",
    $D465
)</f>
        <v/>
      </c>
      <c r="BO465" s="74" t="str">
        <f aca="false">BC465</f>
        <v/>
      </c>
      <c r="BP465" s="75" t="str">
        <f aca="false">BB465</f>
        <v/>
      </c>
      <c r="BQ465" s="73" t="str">
        <f aca="false">IF(ISBLANK($C465),
    "",
    BE465
)</f>
        <v/>
      </c>
      <c r="BR465" s="76" t="str">
        <f aca="false">IF(BI465&gt;BH$7,
    "",
    VLOOKUP(BI465,BK$8:BQ964,7,FALSE())
)</f>
        <v/>
      </c>
      <c r="BS465" s="77" t="str">
        <f aca="false">IF(BI465&gt;BH$7,
    "",
    VLOOKUP(BI465,BK$8:BQ964,2,FALSE())
)</f>
        <v/>
      </c>
      <c r="BT465" s="77" t="str">
        <f aca="false">IF(BI465&gt;BH$7,
    "",
    VLOOKUP(BI465,BK$8:BQ964,3,FALSE())
)</f>
        <v/>
      </c>
      <c r="BU465" s="77" t="str">
        <f aca="false">IF(BI465&gt;BH$7,
    "",
    VLOOKUP(BI465,BK$8:BQ964,4,FALSE())
)</f>
        <v/>
      </c>
      <c r="BV465" s="77" t="str">
        <f aca="false">IF(BI465&gt;BH$7,
    "",
    VLOOKUP(BI465,BK$8:BQ964,5,FALSE())
)</f>
        <v/>
      </c>
      <c r="BW465" s="78" t="str">
        <f aca="false">IF(BI465&gt;BH$7,
    "",
    VLOOKUP(BI465,BK$8:BQ964,6,FALSE())
)</f>
        <v/>
      </c>
      <c r="BX465" s="50"/>
    </row>
    <row r="466" customFormat="false" ht="15.75" hidden="false" customHeight="false" outlineLevel="0" collapsed="false">
      <c r="A466" s="5"/>
      <c r="B466" s="126"/>
      <c r="C466" s="52"/>
      <c r="D466" s="53"/>
      <c r="E466" s="120"/>
      <c r="F466" s="120"/>
      <c r="G466" s="55"/>
      <c r="H466" s="56"/>
      <c r="I466" s="80"/>
      <c r="J466" s="80"/>
      <c r="K466" s="80"/>
      <c r="L466" s="58"/>
      <c r="M466" s="58"/>
      <c r="N466" s="58"/>
      <c r="O466" s="59"/>
      <c r="P466" s="60"/>
      <c r="Q466" s="80"/>
      <c r="R466" s="62"/>
      <c r="S466" s="63"/>
      <c r="T466" s="63" t="str">
        <f aca="false">IF(ISBLANK($C466),"",IF(G466=Constants!$B$2, TRUE(), IF(G466=Constants!$B$3, FALSE(), TRUE())))</f>
        <v/>
      </c>
      <c r="U466" s="63" t="str">
        <f aca="false">IF(ISBLANK($C466),"",IF(H466=Constants!$B$2, TRUE(), IF(H466=Constants!$B$3, FALSE(), TRUE())))</f>
        <v/>
      </c>
      <c r="V466" s="63" t="str">
        <f aca="false">IF(ISBLANK($C466),"",IF(I466=Constants!$B$2, TRUE(), IF(I466=Constants!$B$3, FALSE(), TRUE())))</f>
        <v/>
      </c>
      <c r="W466" s="63" t="str">
        <f aca="false">IF(ISBLANK($C466),"",IF(J466=Constants!$B$2, TRUE(), IF(J466=Constants!$B$3, FALSE(), TRUE())))</f>
        <v/>
      </c>
      <c r="X466" s="63" t="str">
        <f aca="false">IF(ISBLANK($C466),"",IF(K466=Constants!$B$2, TRUE(), IF(K466=Constants!$B$3, FALSE(), TRUE())))</f>
        <v/>
      </c>
      <c r="Y466" s="65" t="str">
        <f aca="false">IF(ISBLANK($C466),"",IF(ISNUMBER(L466), L466, ""))</f>
        <v/>
      </c>
      <c r="Z466" s="65" t="str">
        <f aca="false">IF(ISBLANK($C466),"",IF(ISNUMBER(M466), M466, ""))</f>
        <v/>
      </c>
      <c r="AA466" s="65" t="str">
        <f aca="false">IF(ISBLANK($C466),"",IF(ISNUMBER(N466), N466, ""))</f>
        <v/>
      </c>
      <c r="AB466" s="66" t="str">
        <f aca="false">IF(ISBLANK($C466),"",IF(ISNUMBER(O466), O466, ""))</f>
        <v/>
      </c>
      <c r="AC466" s="66" t="str">
        <f aca="false">IF(ISBLANK($C466),"",IF(ISNUMBER(P466), P466, Constants!$B$13))</f>
        <v/>
      </c>
      <c r="AD466" s="63" t="str">
        <f aca="false">IF(ISBLANK($C466),"",IF(Q466=Constants!$B$2, TRUE(), IF(Q466=Constants!$B$3, FALSE(), FALSE())))</f>
        <v/>
      </c>
      <c r="AE466" s="63" t="str">
        <f aca="false">IF(ISBLANK(C466), "", IF(AD466, Constants!$B$4,IF(COUNTA(G466:O466)=0, Constants!$B$5, Constants!$B$7)))</f>
        <v/>
      </c>
      <c r="AF466" s="63" t="str">
        <f aca="false">IF(ISBLANK($C466), "",IF($AE466=Constants!$B$7,1,$AE466))</f>
        <v/>
      </c>
      <c r="AG466" s="63" t="str">
        <f aca="false">IF($AE466=Constants!$B$7,IF(V466, 1, Constants!$B$11) * IF(X466, 1, Constants!$B$12),"")</f>
        <v/>
      </c>
      <c r="AH466" s="63" t="str">
        <f aca="false">IF(AND($AE466=Constants!$B$7, T466, U466) ,MAX(0, $AA466-$Y466),"")</f>
        <v/>
      </c>
      <c r="AI466" s="63" t="str">
        <f aca="false">IF(ISERROR(AH466),$AI$6,"")</f>
        <v/>
      </c>
      <c r="AJ466" s="63" t="str">
        <f aca="false">IF($AE466=Constants!$B$7,IF(AND(T466,U466,W466),IF($AH$6=0,Constants!$B$9,Constants!$B$9*AH466/$AH$6), 0),"")</f>
        <v/>
      </c>
      <c r="AK466" s="63" t="str">
        <f aca="false">IF(AJ466&lt;&gt;"", AJ466*AG466,"")</f>
        <v/>
      </c>
      <c r="AL466" s="63" t="str">
        <f aca="false">IF(AND($AE466=Constants!$B$7, T466, U466) ,IF($Z466="", "", MAX(0,1-ABS($AA466-$Z466)/$AA466)),"")</f>
        <v/>
      </c>
      <c r="AM466" s="63" t="str">
        <f aca="false">IF(AND(NOT(ISERROR(AH466)),ISERROR(AL466)),$AM$6,"")</f>
        <v/>
      </c>
      <c r="AN466" s="63" t="str">
        <f aca="false">IF($AE466=Constants!$B$7 ,IF(AND(T466,U466,W466,ISNUMBER(Z466)),IF($AL$6=0,Constants!$B$10,Constants!$B$10*AL466/$AL$6), 0),"")</f>
        <v/>
      </c>
      <c r="AO466" s="63" t="str">
        <f aca="false">IF(AN466&lt;&gt;"", AN466*AG466,"")</f>
        <v/>
      </c>
      <c r="AP466" s="63" t="str">
        <f aca="false">IF($AE466=Constants!$B$7,IF($AP$6=0,Constants!$B$8,Constants!$B$8*AB466/$AP$6),"")</f>
        <v/>
      </c>
      <c r="AQ466" s="63" t="str">
        <f aca="false">IF($AE466&lt;&gt;Constants!$B$7,$AE466,AK466+AO466+AP466)</f>
        <v/>
      </c>
      <c r="AR466" s="63" t="str">
        <f aca="false">IF(ISBLANK($C466),"",IF($AE466=Constants!$B$7,RANK(AQ466,$AQ$8:$AQ$507),$AE466))</f>
        <v/>
      </c>
      <c r="AS466" s="63" t="str">
        <f aca="false">IF(ISBLANK($C466), "",AK466)</f>
        <v/>
      </c>
      <c r="AT466" s="63" t="str">
        <f aca="false">IF(ISBLANK($C466),"",IF($AE466=Constants!$B$7,RANK(AS466,AS$8:AS$507),$AE466))</f>
        <v/>
      </c>
      <c r="AU466" s="63" t="str">
        <f aca="false">IF(ISBLANK($C466), "",AP466)</f>
        <v/>
      </c>
      <c r="AV466" s="63" t="str">
        <f aca="false">IF(ISBLANK($C466),"",IF($AE466=Constants!$B$7,RANK(AU466,AU$8:AU$507),$AE466))</f>
        <v/>
      </c>
      <c r="AW466" s="63" t="str">
        <f aca="false">IF(ISBLANK($C466), "",AC466)</f>
        <v/>
      </c>
      <c r="AX466" s="63" t="str">
        <f aca="false">IF(ISBLANK($C466),"",
IF($AE466=Constants!$B$7,
  COUNTIFS($AR$8:$AR$507,"&lt;"&amp;$AR466)
  + COUNTIFS($AR$8:$AR$507,$AR466,$AT$8:$AT$507,"&lt;"&amp;$AT466)
  + COUNTIFS($AR$8:$AR$507,$AR466,$AT$8:$AT$507,$AT466,$AV$8:$AV$507,"&lt;"&amp;$AV466)
  + COUNTIFS($AR$8:$AR$507,$AR466,$AT$8:$AT$507,$AT466,$AV$8:$AV$507,$AV466,$AW$8:$AW$507,"&lt;"&amp;$AW466)
  + 1,
$AE466))</f>
        <v/>
      </c>
      <c r="AY466" s="63" t="str">
        <f aca="false">IF(ISBLANK(C466),"",IF($AE466=Constants!$B$7, AR466-AX466,$AE466))</f>
        <v/>
      </c>
      <c r="AZ466" s="67"/>
      <c r="BA466" s="81" t="str">
        <f aca="false">IF(ISBLANK($C466),"",TRIM(AI466&amp;" "&amp;AM466))</f>
        <v/>
      </c>
      <c r="BB466" s="69" t="str">
        <f aca="false">IF(ISBLANK($C466),"",IF($AE466&lt;&gt;Constants!$B$7, $AE466 ,AQ466))</f>
        <v/>
      </c>
      <c r="BC466" s="70" t="str">
        <f aca="false">IF(ISBLANK($C466),"",IF($AE466&lt;&gt;Constants!$B$7, $AE466 ,AF466))</f>
        <v/>
      </c>
      <c r="BD466" s="71" t="str">
        <f aca="false">IF(ISBLANK(C466),"",AY466)</f>
        <v/>
      </c>
      <c r="BE466" s="71" t="str">
        <f aca="false">IF(ISBLANK(C466),"",AX466)</f>
        <v/>
      </c>
      <c r="BF466" s="72" t="str">
        <f aca="false">IF(ISBLANK(C466),"",IFERROR(_xlfn.SWITCH(BE466, Constants!$B$4, COUNTA($C$8:$C965)+2, Constants!$B$5, COUNTA($C$8:$C965)+1, Constants!$B$6, COUNTA($C$8:$C965)),BE466))</f>
        <v/>
      </c>
      <c r="BG466" s="5"/>
      <c r="BH466" s="73" t="n">
        <f aca="false">IF(OR(ISNUMBER(BE466),BE466="DQ",BE466="P",BE466="NS"),
    1,
    0
)</f>
        <v>0</v>
      </c>
      <c r="BI466" s="73" t="n">
        <v>459</v>
      </c>
      <c r="BJ466" s="73" t="str">
        <f aca="false">IF(ISBLANK($C466),
    "",
   BF466+ROW($B466)/1000
)</f>
        <v/>
      </c>
      <c r="BK466" s="73" t="str">
        <f aca="false">IF(ISNUMBER(BJ466), RANK(BJ466,BJ$8:BJ$507,1), "")</f>
        <v/>
      </c>
      <c r="BL466" s="73" t="str">
        <f aca="false">IF(ISBLANK($C466),
    "",
    $B466
)</f>
        <v/>
      </c>
      <c r="BM466" s="73" t="str">
        <f aca="false">IF(ISBLANK($C466),
    "",
    $C466
)</f>
        <v/>
      </c>
      <c r="BN466" s="73" t="str">
        <f aca="false">IF(ISBLANK($C466),
    "",
    $D466
)</f>
        <v/>
      </c>
      <c r="BO466" s="74" t="str">
        <f aca="false">BC466</f>
        <v/>
      </c>
      <c r="BP466" s="75" t="str">
        <f aca="false">BB466</f>
        <v/>
      </c>
      <c r="BQ466" s="73" t="str">
        <f aca="false">IF(ISBLANK($C466),
    "",
    BE466
)</f>
        <v/>
      </c>
      <c r="BR466" s="76" t="str">
        <f aca="false">IF(BI466&gt;BH$7,
    "",
    VLOOKUP(BI466,BK$8:BQ965,7,FALSE())
)</f>
        <v/>
      </c>
      <c r="BS466" s="77" t="str">
        <f aca="false">IF(BI466&gt;BH$7,
    "",
    VLOOKUP(BI466,BK$8:BQ965,2,FALSE())
)</f>
        <v/>
      </c>
      <c r="BT466" s="77" t="str">
        <f aca="false">IF(BI466&gt;BH$7,
    "",
    VLOOKUP(BI466,BK$8:BQ965,3,FALSE())
)</f>
        <v/>
      </c>
      <c r="BU466" s="77" t="str">
        <f aca="false">IF(BI466&gt;BH$7,
    "",
    VLOOKUP(BI466,BK$8:BQ965,4,FALSE())
)</f>
        <v/>
      </c>
      <c r="BV466" s="77" t="str">
        <f aca="false">IF(BI466&gt;BH$7,
    "",
    VLOOKUP(BI466,BK$8:BQ965,5,FALSE())
)</f>
        <v/>
      </c>
      <c r="BW466" s="78" t="str">
        <f aca="false">IF(BI466&gt;BH$7,
    "",
    VLOOKUP(BI466,BK$8:BQ965,6,FALSE())
)</f>
        <v/>
      </c>
      <c r="BX466" s="50"/>
    </row>
    <row r="467" customFormat="false" ht="15.75" hidden="false" customHeight="false" outlineLevel="0" collapsed="false">
      <c r="A467" s="5"/>
      <c r="B467" s="122"/>
      <c r="C467" s="123"/>
      <c r="D467" s="112"/>
      <c r="E467" s="116"/>
      <c r="F467" s="116"/>
      <c r="G467" s="88"/>
      <c r="H467" s="89"/>
      <c r="I467" s="125"/>
      <c r="J467" s="125"/>
      <c r="K467" s="125"/>
      <c r="L467" s="91"/>
      <c r="M467" s="91"/>
      <c r="N467" s="91"/>
      <c r="O467" s="92"/>
      <c r="P467" s="93"/>
      <c r="Q467" s="125"/>
      <c r="R467" s="95"/>
      <c r="S467" s="96"/>
      <c r="T467" s="96" t="str">
        <f aca="false">IF(ISBLANK($C467),"",IF(G467=Constants!$B$2, TRUE(), IF(G467=Constants!$B$3, FALSE(), TRUE())))</f>
        <v/>
      </c>
      <c r="U467" s="96" t="str">
        <f aca="false">IF(ISBLANK($C467),"",IF(H467=Constants!$B$2, TRUE(), IF(H467=Constants!$B$3, FALSE(), TRUE())))</f>
        <v/>
      </c>
      <c r="V467" s="96" t="str">
        <f aca="false">IF(ISBLANK($C467),"",IF(I467=Constants!$B$2, TRUE(), IF(I467=Constants!$B$3, FALSE(), TRUE())))</f>
        <v/>
      </c>
      <c r="W467" s="96" t="str">
        <f aca="false">IF(ISBLANK($C467),"",IF(J467=Constants!$B$2, TRUE(), IF(J467=Constants!$B$3, FALSE(), TRUE())))</f>
        <v/>
      </c>
      <c r="X467" s="97" t="str">
        <f aca="false">IF(ISBLANK($C467),"",IF(K467=Constants!$B$2, TRUE(), IF(K467=Constants!$B$3, FALSE(), TRUE())))</f>
        <v/>
      </c>
      <c r="Y467" s="98" t="str">
        <f aca="false">IF(ISBLANK($C467),"",IF(ISNUMBER(L467), L467, ""))</f>
        <v/>
      </c>
      <c r="Z467" s="98" t="str">
        <f aca="false">IF(ISBLANK($C467),"",IF(ISNUMBER(M467), M467, ""))</f>
        <v/>
      </c>
      <c r="AA467" s="98" t="str">
        <f aca="false">IF(ISBLANK($C467),"",IF(ISNUMBER(N467), N467, ""))</f>
        <v/>
      </c>
      <c r="AB467" s="99" t="str">
        <f aca="false">IF(ISBLANK($C467),"",IF(ISNUMBER(O467), O467, ""))</f>
        <v/>
      </c>
      <c r="AC467" s="99" t="str">
        <f aca="false">IF(ISBLANK($C467),"",IF(ISNUMBER(P467), P467, Constants!$B$13))</f>
        <v/>
      </c>
      <c r="AD467" s="96" t="str">
        <f aca="false">IF(ISBLANK($C467),"",IF(Q467=Constants!$B$2, TRUE(), IF(Q467=Constants!$B$3, FALSE(), FALSE())))</f>
        <v/>
      </c>
      <c r="AE467" s="96" t="str">
        <f aca="false">IF(ISBLANK(C467), "", IF(AD467, Constants!$B$4,IF(COUNTA(G467:O467)=0, Constants!$B$5, Constants!$B$7)))</f>
        <v/>
      </c>
      <c r="AF467" s="96" t="str">
        <f aca="false">IF(ISBLANK($C467), "",IF($AE467=Constants!$B$7,1,$AE467))</f>
        <v/>
      </c>
      <c r="AG467" s="96" t="str">
        <f aca="false">IF($AE467=Constants!$B$7,IF(V467, 1, Constants!$B$11) * IF(X467, 1, Constants!$B$12),"")</f>
        <v/>
      </c>
      <c r="AH467" s="96" t="str">
        <f aca="false">IF(AND($AE467=Constants!$B$7, T467, U467) ,MAX(0, $AA467-$Y467),"")</f>
        <v/>
      </c>
      <c r="AI467" s="96" t="str">
        <f aca="false">IF(ISERROR(AH467),$AI$6,"")</f>
        <v/>
      </c>
      <c r="AJ467" s="96" t="str">
        <f aca="false">IF($AE467=Constants!$B$7,IF(AND(T467,U467,W467),IF($AH$6=0,Constants!$B$9,Constants!$B$9*AH467/$AH$6), 0),"")</f>
        <v/>
      </c>
      <c r="AK467" s="96" t="str">
        <f aca="false">IF(AJ467&lt;&gt;"", AJ467*AG467,"")</f>
        <v/>
      </c>
      <c r="AL467" s="96" t="str">
        <f aca="false">IF(AND($AE467=Constants!$B$7, T467, U467) ,IF($Z467="", "", MAX(0,1-ABS($AA467-$Z467)/$AA467)),"")</f>
        <v/>
      </c>
      <c r="AM467" s="96" t="str">
        <f aca="false">IF(AND(NOT(ISERROR(AH467)),ISERROR(AL467)),$AM$6,"")</f>
        <v/>
      </c>
      <c r="AN467" s="96" t="str">
        <f aca="false">IF($AE467=Constants!$B$7 ,IF(AND(T467,U467,W467,ISNUMBER(Z467)),IF($AL$6=0,Constants!$B$10,Constants!$B$10*AL467/$AL$6), 0),"")</f>
        <v/>
      </c>
      <c r="AO467" s="96" t="str">
        <f aca="false">IF(AN467&lt;&gt;"", AN467*AG467,"")</f>
        <v/>
      </c>
      <c r="AP467" s="96" t="str">
        <f aca="false">IF($AE467=Constants!$B$7,IF($AP$6=0,Constants!$B$8,Constants!$B$8*AB467/$AP$6),"")</f>
        <v/>
      </c>
      <c r="AQ467" s="96" t="str">
        <f aca="false">IF($AE467&lt;&gt;Constants!$B$7,$AE467,AK467+AO467+AP467)</f>
        <v/>
      </c>
      <c r="AR467" s="96" t="str">
        <f aca="false">IF(ISBLANK($C467),"",IF($AE467=Constants!$B$7,RANK(AQ467,$AQ$8:$AQ$507),$AE467))</f>
        <v/>
      </c>
      <c r="AS467" s="96" t="str">
        <f aca="false">IF(ISBLANK($C467), "",AK467)</f>
        <v/>
      </c>
      <c r="AT467" s="96" t="str">
        <f aca="false">IF(ISBLANK($C467),"",IF($AE467=Constants!$B$7,RANK(AS467,AS$8:AS$507),$AE467))</f>
        <v/>
      </c>
      <c r="AU467" s="96" t="str">
        <f aca="false">IF(ISBLANK($C467), "",AP467)</f>
        <v/>
      </c>
      <c r="AV467" s="96" t="str">
        <f aca="false">IF(ISBLANK($C467),"",IF($AE467=Constants!$B$7,RANK(AU467,AU$8:AU$507),$AE467))</f>
        <v/>
      </c>
      <c r="AW467" s="96" t="str">
        <f aca="false">IF(ISBLANK($C467), "",AC467)</f>
        <v/>
      </c>
      <c r="AX467" s="96" t="str">
        <f aca="false">IF(ISBLANK($C467),"",
IF($AE467=Constants!$B$7,
  COUNTIFS($AR$8:$AR$507,"&lt;"&amp;$AR467)
  + COUNTIFS($AR$8:$AR$507,$AR467,$AT$8:$AT$507,"&lt;"&amp;$AT467)
  + COUNTIFS($AR$8:$AR$507,$AR467,$AT$8:$AT$507,$AT467,$AV$8:$AV$507,"&lt;"&amp;$AV467)
  + COUNTIFS($AR$8:$AR$507,$AR467,$AT$8:$AT$507,$AT467,$AV$8:$AV$507,$AV467,$AW$8:$AW$507,"&lt;"&amp;$AW467)
  + 1,
$AE467))</f>
        <v/>
      </c>
      <c r="AY467" s="96" t="str">
        <f aca="false">IF(ISBLANK(C467),"",IF($AE467=Constants!$B$7, AR467-AX467,$AE467))</f>
        <v/>
      </c>
      <c r="AZ467" s="100"/>
      <c r="BA467" s="101" t="str">
        <f aca="false">IF(ISBLANK($C467),"",TRIM(AI467&amp;" "&amp;AM467))</f>
        <v/>
      </c>
      <c r="BB467" s="102" t="str">
        <f aca="false">IF(ISBLANK($C467),"",IF($AE467&lt;&gt;Constants!$B$7, $AE467 ,AQ467))</f>
        <v/>
      </c>
      <c r="BC467" s="103" t="str">
        <f aca="false">IF(ISBLANK($C467),"",IF($AE467&lt;&gt;Constants!$B$7, $AE467 ,AF467))</f>
        <v/>
      </c>
      <c r="BD467" s="104" t="str">
        <f aca="false">IF(ISBLANK(C467),"",AY467)</f>
        <v/>
      </c>
      <c r="BE467" s="104" t="str">
        <f aca="false">IF(ISBLANK(C467),"",AX467)</f>
        <v/>
      </c>
      <c r="BF467" s="105" t="str">
        <f aca="false">IF(ISBLANK(C467),"",IFERROR(_xlfn.SWITCH(BE467, Constants!$B$4, COUNTA($C$8:$C966)+2, Constants!$B$5, COUNTA($C$8:$C966)+1, Constants!$B$6, COUNTA($C$8:$C966)),BE467))</f>
        <v/>
      </c>
      <c r="BG467" s="5"/>
      <c r="BH467" s="106" t="n">
        <f aca="false">IF(OR(ISNUMBER(BE467),BE467="DQ",BE467="P",BE467="NS"),
    1,
    0
)</f>
        <v>0</v>
      </c>
      <c r="BI467" s="106" t="n">
        <v>460</v>
      </c>
      <c r="BJ467" s="106" t="str">
        <f aca="false">IF(ISBLANK($C467),
    "",
   BF467+ROW($B467)/1000
)</f>
        <v/>
      </c>
      <c r="BK467" s="106" t="str">
        <f aca="false">IF(ISNUMBER(BJ467), RANK(BJ467,BJ$8:BJ$507,1), "")</f>
        <v/>
      </c>
      <c r="BL467" s="106" t="str">
        <f aca="false">IF(ISBLANK($C467),
    "",
    $B467
)</f>
        <v/>
      </c>
      <c r="BM467" s="106" t="str">
        <f aca="false">IF(ISBLANK($C467),
    "",
    $C467
)</f>
        <v/>
      </c>
      <c r="BN467" s="106" t="str">
        <f aca="false">IF(ISBLANK($C467),
    "",
    $D467
)</f>
        <v/>
      </c>
      <c r="BO467" s="107" t="str">
        <f aca="false">BC467</f>
        <v/>
      </c>
      <c r="BP467" s="108" t="str">
        <f aca="false">BB467</f>
        <v/>
      </c>
      <c r="BQ467" s="106" t="str">
        <f aca="false">IF(ISBLANK($C467),
    "",
    BE467
)</f>
        <v/>
      </c>
      <c r="BR467" s="109" t="str">
        <f aca="false">IF(BI467&gt;BH$7,
    "",
    VLOOKUP(BI467,BK$8:BQ966,7,FALSE())
)</f>
        <v/>
      </c>
      <c r="BS467" s="110" t="str">
        <f aca="false">IF(BI467&gt;BH$7,
    "",
    VLOOKUP(BI467,BK$8:BQ966,2,FALSE())
)</f>
        <v/>
      </c>
      <c r="BT467" s="110" t="str">
        <f aca="false">IF(BI467&gt;BH$7,
    "",
    VLOOKUP(BI467,BK$8:BQ966,3,FALSE())
)</f>
        <v/>
      </c>
      <c r="BU467" s="110" t="str">
        <f aca="false">IF(BI467&gt;BH$7,
    "",
    VLOOKUP(BI467,BK$8:BQ966,4,FALSE())
)</f>
        <v/>
      </c>
      <c r="BV467" s="110" t="str">
        <f aca="false">IF(BI467&gt;BH$7,
    "",
    VLOOKUP(BI467,BK$8:BQ966,5,FALSE())
)</f>
        <v/>
      </c>
      <c r="BW467" s="111" t="str">
        <f aca="false">IF(BI467&gt;BH$7,
    "",
    VLOOKUP(BI467,BK$8:BQ966,6,FALSE())
)</f>
        <v/>
      </c>
      <c r="BX467" s="50"/>
    </row>
    <row r="468" customFormat="false" ht="15.75" hidden="false" customHeight="false" outlineLevel="0" collapsed="false">
      <c r="A468" s="5"/>
      <c r="B468" s="122"/>
      <c r="C468" s="123"/>
      <c r="D468" s="112"/>
      <c r="E468" s="116"/>
      <c r="F468" s="116"/>
      <c r="G468" s="88"/>
      <c r="H468" s="89"/>
      <c r="I468" s="125"/>
      <c r="J468" s="125"/>
      <c r="K468" s="125"/>
      <c r="L468" s="91"/>
      <c r="M468" s="91"/>
      <c r="N468" s="91"/>
      <c r="O468" s="92"/>
      <c r="P468" s="93"/>
      <c r="Q468" s="125"/>
      <c r="R468" s="95"/>
      <c r="S468" s="96"/>
      <c r="T468" s="96" t="str">
        <f aca="false">IF(ISBLANK($C468),"",IF(G468=Constants!$B$2, TRUE(), IF(G468=Constants!$B$3, FALSE(), TRUE())))</f>
        <v/>
      </c>
      <c r="U468" s="96" t="str">
        <f aca="false">IF(ISBLANK($C468),"",IF(H468=Constants!$B$2, TRUE(), IF(H468=Constants!$B$3, FALSE(), TRUE())))</f>
        <v/>
      </c>
      <c r="V468" s="96" t="str">
        <f aca="false">IF(ISBLANK($C468),"",IF(I468=Constants!$B$2, TRUE(), IF(I468=Constants!$B$3, FALSE(), TRUE())))</f>
        <v/>
      </c>
      <c r="W468" s="96" t="str">
        <f aca="false">IF(ISBLANK($C468),"",IF(J468=Constants!$B$2, TRUE(), IF(J468=Constants!$B$3, FALSE(), TRUE())))</f>
        <v/>
      </c>
      <c r="X468" s="97" t="str">
        <f aca="false">IF(ISBLANK($C468),"",IF(K468=Constants!$B$2, TRUE(), IF(K468=Constants!$B$3, FALSE(), TRUE())))</f>
        <v/>
      </c>
      <c r="Y468" s="98" t="str">
        <f aca="false">IF(ISBLANK($C468),"",IF(ISNUMBER(L468), L468, ""))</f>
        <v/>
      </c>
      <c r="Z468" s="98" t="str">
        <f aca="false">IF(ISBLANK($C468),"",IF(ISNUMBER(M468), M468, ""))</f>
        <v/>
      </c>
      <c r="AA468" s="98" t="str">
        <f aca="false">IF(ISBLANK($C468),"",IF(ISNUMBER(N468), N468, ""))</f>
        <v/>
      </c>
      <c r="AB468" s="99" t="str">
        <f aca="false">IF(ISBLANK($C468),"",IF(ISNUMBER(O468), O468, ""))</f>
        <v/>
      </c>
      <c r="AC468" s="99" t="str">
        <f aca="false">IF(ISBLANK($C468),"",IF(ISNUMBER(P468), P468, Constants!$B$13))</f>
        <v/>
      </c>
      <c r="AD468" s="96" t="str">
        <f aca="false">IF(ISBLANK($C468),"",IF(Q468=Constants!$B$2, TRUE(), IF(Q468=Constants!$B$3, FALSE(), FALSE())))</f>
        <v/>
      </c>
      <c r="AE468" s="96" t="str">
        <f aca="false">IF(ISBLANK(C468), "", IF(AD468, Constants!$B$4,IF(COUNTA(G468:O468)=0, Constants!$B$5, Constants!$B$7)))</f>
        <v/>
      </c>
      <c r="AF468" s="96" t="str">
        <f aca="false">IF(ISBLANK($C468), "",IF($AE468=Constants!$B$7,1,$AE468))</f>
        <v/>
      </c>
      <c r="AG468" s="96" t="str">
        <f aca="false">IF($AE468=Constants!$B$7,IF(V468, 1, Constants!$B$11) * IF(X468, 1, Constants!$B$12),"")</f>
        <v/>
      </c>
      <c r="AH468" s="96" t="str">
        <f aca="false">IF(AND($AE468=Constants!$B$7, T468, U468) ,MAX(0, $AA468-$Y468),"")</f>
        <v/>
      </c>
      <c r="AI468" s="96" t="str">
        <f aca="false">IF(ISERROR(AH468),$AI$6,"")</f>
        <v/>
      </c>
      <c r="AJ468" s="96" t="str">
        <f aca="false">IF($AE468=Constants!$B$7,IF(AND(T468,U468,W468),IF($AH$6=0,Constants!$B$9,Constants!$B$9*AH468/$AH$6), 0),"")</f>
        <v/>
      </c>
      <c r="AK468" s="96" t="str">
        <f aca="false">IF(AJ468&lt;&gt;"", AJ468*AG468,"")</f>
        <v/>
      </c>
      <c r="AL468" s="96" t="str">
        <f aca="false">IF(AND($AE468=Constants!$B$7, T468, U468) ,IF($Z468="", "", MAX(0,1-ABS($AA468-$Z468)/$AA468)),"")</f>
        <v/>
      </c>
      <c r="AM468" s="96" t="str">
        <f aca="false">IF(AND(NOT(ISERROR(AH468)),ISERROR(AL468)),$AM$6,"")</f>
        <v/>
      </c>
      <c r="AN468" s="96" t="str">
        <f aca="false">IF($AE468=Constants!$B$7 ,IF(AND(T468,U468,W468,ISNUMBER(Z468)),IF($AL$6=0,Constants!$B$10,Constants!$B$10*AL468/$AL$6), 0),"")</f>
        <v/>
      </c>
      <c r="AO468" s="96" t="str">
        <f aca="false">IF(AN468&lt;&gt;"", AN468*AG468,"")</f>
        <v/>
      </c>
      <c r="AP468" s="96" t="str">
        <f aca="false">IF($AE468=Constants!$B$7,IF($AP$6=0,Constants!$B$8,Constants!$B$8*AB468/$AP$6),"")</f>
        <v/>
      </c>
      <c r="AQ468" s="96" t="str">
        <f aca="false">IF($AE468&lt;&gt;Constants!$B$7,$AE468,AK468+AO468+AP468)</f>
        <v/>
      </c>
      <c r="AR468" s="96" t="str">
        <f aca="false">IF(ISBLANK($C468),"",IF($AE468=Constants!$B$7,RANK(AQ468,$AQ$8:$AQ$507),$AE468))</f>
        <v/>
      </c>
      <c r="AS468" s="96" t="str">
        <f aca="false">IF(ISBLANK($C468), "",AK468)</f>
        <v/>
      </c>
      <c r="AT468" s="96" t="str">
        <f aca="false">IF(ISBLANK($C468),"",IF($AE468=Constants!$B$7,RANK(AS468,AS$8:AS$507),$AE468))</f>
        <v/>
      </c>
      <c r="AU468" s="96" t="str">
        <f aca="false">IF(ISBLANK($C468), "",AP468)</f>
        <v/>
      </c>
      <c r="AV468" s="96" t="str">
        <f aca="false">IF(ISBLANK($C468),"",IF($AE468=Constants!$B$7,RANK(AU468,AU$8:AU$507),$AE468))</f>
        <v/>
      </c>
      <c r="AW468" s="96" t="str">
        <f aca="false">IF(ISBLANK($C468), "",AC468)</f>
        <v/>
      </c>
      <c r="AX468" s="96" t="str">
        <f aca="false">IF(ISBLANK($C468),"",
IF($AE468=Constants!$B$7,
  COUNTIFS($AR$8:$AR$507,"&lt;"&amp;$AR468)
  + COUNTIFS($AR$8:$AR$507,$AR468,$AT$8:$AT$507,"&lt;"&amp;$AT468)
  + COUNTIFS($AR$8:$AR$507,$AR468,$AT$8:$AT$507,$AT468,$AV$8:$AV$507,"&lt;"&amp;$AV468)
  + COUNTIFS($AR$8:$AR$507,$AR468,$AT$8:$AT$507,$AT468,$AV$8:$AV$507,$AV468,$AW$8:$AW$507,"&lt;"&amp;$AW468)
  + 1,
$AE468))</f>
        <v/>
      </c>
      <c r="AY468" s="96" t="str">
        <f aca="false">IF(ISBLANK(C468),"",IF($AE468=Constants!$B$7, AR468-AX468,$AE468))</f>
        <v/>
      </c>
      <c r="AZ468" s="100"/>
      <c r="BA468" s="101" t="str">
        <f aca="false">IF(ISBLANK($C468),"",TRIM(AI468&amp;" "&amp;AM468))</f>
        <v/>
      </c>
      <c r="BB468" s="102" t="str">
        <f aca="false">IF(ISBLANK($C468),"",IF($AE468&lt;&gt;Constants!$B$7, $AE468 ,AQ468))</f>
        <v/>
      </c>
      <c r="BC468" s="103" t="str">
        <f aca="false">IF(ISBLANK($C468),"",IF($AE468&lt;&gt;Constants!$B$7, $AE468 ,AF468))</f>
        <v/>
      </c>
      <c r="BD468" s="104" t="str">
        <f aca="false">IF(ISBLANK(C468),"",AY468)</f>
        <v/>
      </c>
      <c r="BE468" s="104" t="str">
        <f aca="false">IF(ISBLANK(C468),"",AX468)</f>
        <v/>
      </c>
      <c r="BF468" s="105" t="str">
        <f aca="false">IF(ISBLANK(C468),"",IFERROR(_xlfn.SWITCH(BE468, Constants!$B$4, COUNTA($C$8:$C967)+2, Constants!$B$5, COUNTA($C$8:$C967)+1, Constants!$B$6, COUNTA($C$8:$C967)),BE468))</f>
        <v/>
      </c>
      <c r="BG468" s="5"/>
      <c r="BH468" s="106" t="n">
        <f aca="false">IF(OR(ISNUMBER(BE468),BE468="DQ",BE468="P",BE468="NS"),
    1,
    0
)</f>
        <v>0</v>
      </c>
      <c r="BI468" s="106" t="n">
        <v>461</v>
      </c>
      <c r="BJ468" s="106" t="str">
        <f aca="false">IF(ISBLANK($C468),
    "",
   BF468+ROW($B468)/1000
)</f>
        <v/>
      </c>
      <c r="BK468" s="106" t="str">
        <f aca="false">IF(ISNUMBER(BJ468), RANK(BJ468,BJ$8:BJ$507,1), "")</f>
        <v/>
      </c>
      <c r="BL468" s="106" t="str">
        <f aca="false">IF(ISBLANK($C468),
    "",
    $B468
)</f>
        <v/>
      </c>
      <c r="BM468" s="106" t="str">
        <f aca="false">IF(ISBLANK($C468),
    "",
    $C468
)</f>
        <v/>
      </c>
      <c r="BN468" s="106" t="str">
        <f aca="false">IF(ISBLANK($C468),
    "",
    $D468
)</f>
        <v/>
      </c>
      <c r="BO468" s="107" t="str">
        <f aca="false">BC468</f>
        <v/>
      </c>
      <c r="BP468" s="108" t="str">
        <f aca="false">BB468</f>
        <v/>
      </c>
      <c r="BQ468" s="106" t="str">
        <f aca="false">IF(ISBLANK($C468),
    "",
    BE468
)</f>
        <v/>
      </c>
      <c r="BR468" s="109" t="str">
        <f aca="false">IF(BI468&gt;BH$7,
    "",
    VLOOKUP(BI468,BK$8:BQ967,7,FALSE())
)</f>
        <v/>
      </c>
      <c r="BS468" s="110" t="str">
        <f aca="false">IF(BI468&gt;BH$7,
    "",
    VLOOKUP(BI468,BK$8:BQ967,2,FALSE())
)</f>
        <v/>
      </c>
      <c r="BT468" s="110" t="str">
        <f aca="false">IF(BI468&gt;BH$7,
    "",
    VLOOKUP(BI468,BK$8:BQ967,3,FALSE())
)</f>
        <v/>
      </c>
      <c r="BU468" s="110" t="str">
        <f aca="false">IF(BI468&gt;BH$7,
    "",
    VLOOKUP(BI468,BK$8:BQ967,4,FALSE())
)</f>
        <v/>
      </c>
      <c r="BV468" s="110" t="str">
        <f aca="false">IF(BI468&gt;BH$7,
    "",
    VLOOKUP(BI468,BK$8:BQ967,5,FALSE())
)</f>
        <v/>
      </c>
      <c r="BW468" s="111" t="str">
        <f aca="false">IF(BI468&gt;BH$7,
    "",
    VLOOKUP(BI468,BK$8:BQ967,6,FALSE())
)</f>
        <v/>
      </c>
      <c r="BX468" s="50"/>
    </row>
    <row r="469" customFormat="false" ht="15.75" hidden="false" customHeight="false" outlineLevel="0" collapsed="false">
      <c r="A469" s="5"/>
      <c r="B469" s="122"/>
      <c r="C469" s="123"/>
      <c r="D469" s="112"/>
      <c r="E469" s="116"/>
      <c r="F469" s="116"/>
      <c r="G469" s="88"/>
      <c r="H469" s="89"/>
      <c r="I469" s="125"/>
      <c r="J469" s="125"/>
      <c r="K469" s="125"/>
      <c r="L469" s="91"/>
      <c r="M469" s="91"/>
      <c r="N469" s="91"/>
      <c r="O469" s="92"/>
      <c r="P469" s="93"/>
      <c r="Q469" s="125"/>
      <c r="R469" s="95"/>
      <c r="S469" s="96"/>
      <c r="T469" s="96" t="str">
        <f aca="false">IF(ISBLANK($C469),"",IF(G469=Constants!$B$2, TRUE(), IF(G469=Constants!$B$3, FALSE(), TRUE())))</f>
        <v/>
      </c>
      <c r="U469" s="96" t="str">
        <f aca="false">IF(ISBLANK($C469),"",IF(H469=Constants!$B$2, TRUE(), IF(H469=Constants!$B$3, FALSE(), TRUE())))</f>
        <v/>
      </c>
      <c r="V469" s="96" t="str">
        <f aca="false">IF(ISBLANK($C469),"",IF(I469=Constants!$B$2, TRUE(), IF(I469=Constants!$B$3, FALSE(), TRUE())))</f>
        <v/>
      </c>
      <c r="W469" s="96" t="str">
        <f aca="false">IF(ISBLANK($C469),"",IF(J469=Constants!$B$2, TRUE(), IF(J469=Constants!$B$3, FALSE(), TRUE())))</f>
        <v/>
      </c>
      <c r="X469" s="97" t="str">
        <f aca="false">IF(ISBLANK($C469),"",IF(K469=Constants!$B$2, TRUE(), IF(K469=Constants!$B$3, FALSE(), TRUE())))</f>
        <v/>
      </c>
      <c r="Y469" s="98" t="str">
        <f aca="false">IF(ISBLANK($C469),"",IF(ISNUMBER(L469), L469, ""))</f>
        <v/>
      </c>
      <c r="Z469" s="98" t="str">
        <f aca="false">IF(ISBLANK($C469),"",IF(ISNUMBER(M469), M469, ""))</f>
        <v/>
      </c>
      <c r="AA469" s="98" t="str">
        <f aca="false">IF(ISBLANK($C469),"",IF(ISNUMBER(N469), N469, ""))</f>
        <v/>
      </c>
      <c r="AB469" s="99" t="str">
        <f aca="false">IF(ISBLANK($C469),"",IF(ISNUMBER(O469), O469, ""))</f>
        <v/>
      </c>
      <c r="AC469" s="99" t="str">
        <f aca="false">IF(ISBLANK($C469),"",IF(ISNUMBER(P469), P469, Constants!$B$13))</f>
        <v/>
      </c>
      <c r="AD469" s="96" t="str">
        <f aca="false">IF(ISBLANK($C469),"",IF(Q469=Constants!$B$2, TRUE(), IF(Q469=Constants!$B$3, FALSE(), FALSE())))</f>
        <v/>
      </c>
      <c r="AE469" s="96" t="str">
        <f aca="false">IF(ISBLANK(C469), "", IF(AD469, Constants!$B$4,IF(COUNTA(G469:O469)=0, Constants!$B$5, Constants!$B$7)))</f>
        <v/>
      </c>
      <c r="AF469" s="96" t="str">
        <f aca="false">IF(ISBLANK($C469), "",IF($AE469=Constants!$B$7,1,$AE469))</f>
        <v/>
      </c>
      <c r="AG469" s="96" t="str">
        <f aca="false">IF($AE469=Constants!$B$7,IF(V469, 1, Constants!$B$11) * IF(X469, 1, Constants!$B$12),"")</f>
        <v/>
      </c>
      <c r="AH469" s="96" t="str">
        <f aca="false">IF(AND($AE469=Constants!$B$7, T469, U469) ,MAX(0, $AA469-$Y469),"")</f>
        <v/>
      </c>
      <c r="AI469" s="96" t="str">
        <f aca="false">IF(ISERROR(AH469),$AI$6,"")</f>
        <v/>
      </c>
      <c r="AJ469" s="96" t="str">
        <f aca="false">IF($AE469=Constants!$B$7,IF(AND(T469,U469,W469),IF($AH$6=0,Constants!$B$9,Constants!$B$9*AH469/$AH$6), 0),"")</f>
        <v/>
      </c>
      <c r="AK469" s="96" t="str">
        <f aca="false">IF(AJ469&lt;&gt;"", AJ469*AG469,"")</f>
        <v/>
      </c>
      <c r="AL469" s="96" t="str">
        <f aca="false">IF(AND($AE469=Constants!$B$7, T469, U469) ,IF($Z469="", "", MAX(0,1-ABS($AA469-$Z469)/$AA469)),"")</f>
        <v/>
      </c>
      <c r="AM469" s="96" t="str">
        <f aca="false">IF(AND(NOT(ISERROR(AH469)),ISERROR(AL469)),$AM$6,"")</f>
        <v/>
      </c>
      <c r="AN469" s="96" t="str">
        <f aca="false">IF($AE469=Constants!$B$7 ,IF(AND(T469,U469,W469,ISNUMBER(Z469)),IF($AL$6=0,Constants!$B$10,Constants!$B$10*AL469/$AL$6), 0),"")</f>
        <v/>
      </c>
      <c r="AO469" s="96" t="str">
        <f aca="false">IF(AN469&lt;&gt;"", AN469*AG469,"")</f>
        <v/>
      </c>
      <c r="AP469" s="96" t="str">
        <f aca="false">IF($AE469=Constants!$B$7,IF($AP$6=0,Constants!$B$8,Constants!$B$8*AB469/$AP$6),"")</f>
        <v/>
      </c>
      <c r="AQ469" s="96" t="str">
        <f aca="false">IF($AE469&lt;&gt;Constants!$B$7,$AE469,AK469+AO469+AP469)</f>
        <v/>
      </c>
      <c r="AR469" s="96" t="str">
        <f aca="false">IF(ISBLANK($C469),"",IF($AE469=Constants!$B$7,RANK(AQ469,$AQ$8:$AQ$507),$AE469))</f>
        <v/>
      </c>
      <c r="AS469" s="96" t="str">
        <f aca="false">IF(ISBLANK($C469), "",AK469)</f>
        <v/>
      </c>
      <c r="AT469" s="96" t="str">
        <f aca="false">IF(ISBLANK($C469),"",IF($AE469=Constants!$B$7,RANK(AS469,AS$8:AS$507),$AE469))</f>
        <v/>
      </c>
      <c r="AU469" s="96" t="str">
        <f aca="false">IF(ISBLANK($C469), "",AP469)</f>
        <v/>
      </c>
      <c r="AV469" s="96" t="str">
        <f aca="false">IF(ISBLANK($C469),"",IF($AE469=Constants!$B$7,RANK(AU469,AU$8:AU$507),$AE469))</f>
        <v/>
      </c>
      <c r="AW469" s="96" t="str">
        <f aca="false">IF(ISBLANK($C469), "",AC469)</f>
        <v/>
      </c>
      <c r="AX469" s="96" t="str">
        <f aca="false">IF(ISBLANK($C469),"",
IF($AE469=Constants!$B$7,
  COUNTIFS($AR$8:$AR$507,"&lt;"&amp;$AR469)
  + COUNTIFS($AR$8:$AR$507,$AR469,$AT$8:$AT$507,"&lt;"&amp;$AT469)
  + COUNTIFS($AR$8:$AR$507,$AR469,$AT$8:$AT$507,$AT469,$AV$8:$AV$507,"&lt;"&amp;$AV469)
  + COUNTIFS($AR$8:$AR$507,$AR469,$AT$8:$AT$507,$AT469,$AV$8:$AV$507,$AV469,$AW$8:$AW$507,"&lt;"&amp;$AW469)
  + 1,
$AE469))</f>
        <v/>
      </c>
      <c r="AY469" s="96" t="str">
        <f aca="false">IF(ISBLANK(C469),"",IF($AE469=Constants!$B$7, AR469-AX469,$AE469))</f>
        <v/>
      </c>
      <c r="AZ469" s="100"/>
      <c r="BA469" s="101" t="str">
        <f aca="false">IF(ISBLANK($C469),"",TRIM(AI469&amp;" "&amp;AM469))</f>
        <v/>
      </c>
      <c r="BB469" s="102" t="str">
        <f aca="false">IF(ISBLANK($C469),"",IF($AE469&lt;&gt;Constants!$B$7, $AE469 ,AQ469))</f>
        <v/>
      </c>
      <c r="BC469" s="103" t="str">
        <f aca="false">IF(ISBLANK($C469),"",IF($AE469&lt;&gt;Constants!$B$7, $AE469 ,AF469))</f>
        <v/>
      </c>
      <c r="BD469" s="104" t="str">
        <f aca="false">IF(ISBLANK(C469),"",AY469)</f>
        <v/>
      </c>
      <c r="BE469" s="104" t="str">
        <f aca="false">IF(ISBLANK(C469),"",AX469)</f>
        <v/>
      </c>
      <c r="BF469" s="105" t="str">
        <f aca="false">IF(ISBLANK(C469),"",IFERROR(_xlfn.SWITCH(BE469, Constants!$B$4, COUNTA($C$8:$C968)+2, Constants!$B$5, COUNTA($C$8:$C968)+1, Constants!$B$6, COUNTA($C$8:$C968)),BE469))</f>
        <v/>
      </c>
      <c r="BG469" s="5"/>
      <c r="BH469" s="106" t="n">
        <f aca="false">IF(OR(ISNUMBER(BE469),BE469="DQ",BE469="P",BE469="NS"),
    1,
    0
)</f>
        <v>0</v>
      </c>
      <c r="BI469" s="106" t="n">
        <v>462</v>
      </c>
      <c r="BJ469" s="106" t="str">
        <f aca="false">IF(ISBLANK($C469),
    "",
   BF469+ROW($B469)/1000
)</f>
        <v/>
      </c>
      <c r="BK469" s="106" t="str">
        <f aca="false">IF(ISNUMBER(BJ469), RANK(BJ469,BJ$8:BJ$507,1), "")</f>
        <v/>
      </c>
      <c r="BL469" s="106" t="str">
        <f aca="false">IF(ISBLANK($C469),
    "",
    $B469
)</f>
        <v/>
      </c>
      <c r="BM469" s="106" t="str">
        <f aca="false">IF(ISBLANK($C469),
    "",
    $C469
)</f>
        <v/>
      </c>
      <c r="BN469" s="106" t="str">
        <f aca="false">IF(ISBLANK($C469),
    "",
    $D469
)</f>
        <v/>
      </c>
      <c r="BO469" s="107" t="str">
        <f aca="false">BC469</f>
        <v/>
      </c>
      <c r="BP469" s="108" t="str">
        <f aca="false">BB469</f>
        <v/>
      </c>
      <c r="BQ469" s="106" t="str">
        <f aca="false">IF(ISBLANK($C469),
    "",
    BE469
)</f>
        <v/>
      </c>
      <c r="BR469" s="109" t="str">
        <f aca="false">IF(BI469&gt;BH$7,
    "",
    VLOOKUP(BI469,BK$8:BQ968,7,FALSE())
)</f>
        <v/>
      </c>
      <c r="BS469" s="110" t="str">
        <f aca="false">IF(BI469&gt;BH$7,
    "",
    VLOOKUP(BI469,BK$8:BQ968,2,FALSE())
)</f>
        <v/>
      </c>
      <c r="BT469" s="110" t="str">
        <f aca="false">IF(BI469&gt;BH$7,
    "",
    VLOOKUP(BI469,BK$8:BQ968,3,FALSE())
)</f>
        <v/>
      </c>
      <c r="BU469" s="110" t="str">
        <f aca="false">IF(BI469&gt;BH$7,
    "",
    VLOOKUP(BI469,BK$8:BQ968,4,FALSE())
)</f>
        <v/>
      </c>
      <c r="BV469" s="110" t="str">
        <f aca="false">IF(BI469&gt;BH$7,
    "",
    VLOOKUP(BI469,BK$8:BQ968,5,FALSE())
)</f>
        <v/>
      </c>
      <c r="BW469" s="111" t="str">
        <f aca="false">IF(BI469&gt;BH$7,
    "",
    VLOOKUP(BI469,BK$8:BQ968,6,FALSE())
)</f>
        <v/>
      </c>
      <c r="BX469" s="50"/>
    </row>
    <row r="470" customFormat="false" ht="15.75" hidden="false" customHeight="false" outlineLevel="0" collapsed="false">
      <c r="A470" s="5"/>
      <c r="B470" s="126"/>
      <c r="C470" s="52"/>
      <c r="D470" s="53"/>
      <c r="E470" s="120"/>
      <c r="F470" s="120"/>
      <c r="G470" s="55"/>
      <c r="H470" s="56"/>
      <c r="I470" s="80"/>
      <c r="J470" s="80"/>
      <c r="K470" s="80"/>
      <c r="L470" s="58"/>
      <c r="M470" s="58"/>
      <c r="N470" s="58"/>
      <c r="O470" s="59"/>
      <c r="P470" s="60"/>
      <c r="Q470" s="80"/>
      <c r="R470" s="62"/>
      <c r="S470" s="63"/>
      <c r="T470" s="63" t="str">
        <f aca="false">IF(ISBLANK($C470),"",IF(G470=Constants!$B$2, TRUE(), IF(G470=Constants!$B$3, FALSE(), TRUE())))</f>
        <v/>
      </c>
      <c r="U470" s="63" t="str">
        <f aca="false">IF(ISBLANK($C470),"",IF(H470=Constants!$B$2, TRUE(), IF(H470=Constants!$B$3, FALSE(), TRUE())))</f>
        <v/>
      </c>
      <c r="V470" s="63" t="str">
        <f aca="false">IF(ISBLANK($C470),"",IF(I470=Constants!$B$2, TRUE(), IF(I470=Constants!$B$3, FALSE(), TRUE())))</f>
        <v/>
      </c>
      <c r="W470" s="63" t="str">
        <f aca="false">IF(ISBLANK($C470),"",IF(J470=Constants!$B$2, TRUE(), IF(J470=Constants!$B$3, FALSE(), TRUE())))</f>
        <v/>
      </c>
      <c r="X470" s="63" t="str">
        <f aca="false">IF(ISBLANK($C470),"",IF(K470=Constants!$B$2, TRUE(), IF(K470=Constants!$B$3, FALSE(), TRUE())))</f>
        <v/>
      </c>
      <c r="Y470" s="65" t="str">
        <f aca="false">IF(ISBLANK($C470),"",IF(ISNUMBER(L470), L470, ""))</f>
        <v/>
      </c>
      <c r="Z470" s="65" t="str">
        <f aca="false">IF(ISBLANK($C470),"",IF(ISNUMBER(M470), M470, ""))</f>
        <v/>
      </c>
      <c r="AA470" s="65" t="str">
        <f aca="false">IF(ISBLANK($C470),"",IF(ISNUMBER(N470), N470, ""))</f>
        <v/>
      </c>
      <c r="AB470" s="66" t="str">
        <f aca="false">IF(ISBLANK($C470),"",IF(ISNUMBER(O470), O470, ""))</f>
        <v/>
      </c>
      <c r="AC470" s="66" t="str">
        <f aca="false">IF(ISBLANK($C470),"",IF(ISNUMBER(P470), P470, Constants!$B$13))</f>
        <v/>
      </c>
      <c r="AD470" s="63" t="str">
        <f aca="false">IF(ISBLANK($C470),"",IF(Q470=Constants!$B$2, TRUE(), IF(Q470=Constants!$B$3, FALSE(), FALSE())))</f>
        <v/>
      </c>
      <c r="AE470" s="63" t="str">
        <f aca="false">IF(ISBLANK(C470), "", IF(AD470, Constants!$B$4,IF(COUNTA(G470:O470)=0, Constants!$B$5, Constants!$B$7)))</f>
        <v/>
      </c>
      <c r="AF470" s="63" t="str">
        <f aca="false">IF(ISBLANK($C470), "",IF($AE470=Constants!$B$7,1,$AE470))</f>
        <v/>
      </c>
      <c r="AG470" s="63" t="str">
        <f aca="false">IF($AE470=Constants!$B$7,IF(V470, 1, Constants!$B$11) * IF(X470, 1, Constants!$B$12),"")</f>
        <v/>
      </c>
      <c r="AH470" s="63" t="str">
        <f aca="false">IF(AND($AE470=Constants!$B$7, T470, U470) ,MAX(0, $AA470-$Y470),"")</f>
        <v/>
      </c>
      <c r="AI470" s="63" t="str">
        <f aca="false">IF(ISERROR(AH470),$AI$6,"")</f>
        <v/>
      </c>
      <c r="AJ470" s="63" t="str">
        <f aca="false">IF($AE470=Constants!$B$7,IF(AND(T470,U470,W470),IF($AH$6=0,Constants!$B$9,Constants!$B$9*AH470/$AH$6), 0),"")</f>
        <v/>
      </c>
      <c r="AK470" s="63" t="str">
        <f aca="false">IF(AJ470&lt;&gt;"", AJ470*AG470,"")</f>
        <v/>
      </c>
      <c r="AL470" s="63" t="str">
        <f aca="false">IF(AND($AE470=Constants!$B$7, T470, U470) ,IF($Z470="", "", MAX(0,1-ABS($AA470-$Z470)/$AA470)),"")</f>
        <v/>
      </c>
      <c r="AM470" s="63" t="str">
        <f aca="false">IF(AND(NOT(ISERROR(AH470)),ISERROR(AL470)),$AM$6,"")</f>
        <v/>
      </c>
      <c r="AN470" s="63" t="str">
        <f aca="false">IF($AE470=Constants!$B$7 ,IF(AND(T470,U470,W470,ISNUMBER(Z470)),IF($AL$6=0,Constants!$B$10,Constants!$B$10*AL470/$AL$6), 0),"")</f>
        <v/>
      </c>
      <c r="AO470" s="63" t="str">
        <f aca="false">IF(AN470&lt;&gt;"", AN470*AG470,"")</f>
        <v/>
      </c>
      <c r="AP470" s="63" t="str">
        <f aca="false">IF($AE470=Constants!$B$7,IF($AP$6=0,Constants!$B$8,Constants!$B$8*AB470/$AP$6),"")</f>
        <v/>
      </c>
      <c r="AQ470" s="63" t="str">
        <f aca="false">IF($AE470&lt;&gt;Constants!$B$7,$AE470,AK470+AO470+AP470)</f>
        <v/>
      </c>
      <c r="AR470" s="63" t="str">
        <f aca="false">IF(ISBLANK($C470),"",IF($AE470=Constants!$B$7,RANK(AQ470,$AQ$8:$AQ$507),$AE470))</f>
        <v/>
      </c>
      <c r="AS470" s="63" t="str">
        <f aca="false">IF(ISBLANK($C470), "",AK470)</f>
        <v/>
      </c>
      <c r="AT470" s="63" t="str">
        <f aca="false">IF(ISBLANK($C470),"",IF($AE470=Constants!$B$7,RANK(AS470,AS$8:AS$507),$AE470))</f>
        <v/>
      </c>
      <c r="AU470" s="63" t="str">
        <f aca="false">IF(ISBLANK($C470), "",AP470)</f>
        <v/>
      </c>
      <c r="AV470" s="63" t="str">
        <f aca="false">IF(ISBLANK($C470),"",IF($AE470=Constants!$B$7,RANK(AU470,AU$8:AU$507),$AE470))</f>
        <v/>
      </c>
      <c r="AW470" s="63" t="str">
        <f aca="false">IF(ISBLANK($C470), "",AC470)</f>
        <v/>
      </c>
      <c r="AX470" s="63" t="str">
        <f aca="false">IF(ISBLANK($C470),"",
IF($AE470=Constants!$B$7,
  COUNTIFS($AR$8:$AR$507,"&lt;"&amp;$AR470)
  + COUNTIFS($AR$8:$AR$507,$AR470,$AT$8:$AT$507,"&lt;"&amp;$AT470)
  + COUNTIFS($AR$8:$AR$507,$AR470,$AT$8:$AT$507,$AT470,$AV$8:$AV$507,"&lt;"&amp;$AV470)
  + COUNTIFS($AR$8:$AR$507,$AR470,$AT$8:$AT$507,$AT470,$AV$8:$AV$507,$AV470,$AW$8:$AW$507,"&lt;"&amp;$AW470)
  + 1,
$AE470))</f>
        <v/>
      </c>
      <c r="AY470" s="63" t="str">
        <f aca="false">IF(ISBLANK(C470),"",IF($AE470=Constants!$B$7, AR470-AX470,$AE470))</f>
        <v/>
      </c>
      <c r="AZ470" s="67"/>
      <c r="BA470" s="81" t="str">
        <f aca="false">IF(ISBLANK($C470),"",TRIM(AI470&amp;" "&amp;AM470))</f>
        <v/>
      </c>
      <c r="BB470" s="69" t="str">
        <f aca="false">IF(ISBLANK($C470),"",IF($AE470&lt;&gt;Constants!$B$7, $AE470 ,AQ470))</f>
        <v/>
      </c>
      <c r="BC470" s="70" t="str">
        <f aca="false">IF(ISBLANK($C470),"",IF($AE470&lt;&gt;Constants!$B$7, $AE470 ,AF470))</f>
        <v/>
      </c>
      <c r="BD470" s="71" t="str">
        <f aca="false">IF(ISBLANK(C470),"",AY470)</f>
        <v/>
      </c>
      <c r="BE470" s="71" t="str">
        <f aca="false">IF(ISBLANK(C470),"",AX470)</f>
        <v/>
      </c>
      <c r="BF470" s="72" t="str">
        <f aca="false">IF(ISBLANK(C470),"",IFERROR(_xlfn.SWITCH(BE470, Constants!$B$4, COUNTA($C$8:$C969)+2, Constants!$B$5, COUNTA($C$8:$C969)+1, Constants!$B$6, COUNTA($C$8:$C969)),BE470))</f>
        <v/>
      </c>
      <c r="BG470" s="5"/>
      <c r="BH470" s="73" t="n">
        <f aca="false">IF(OR(ISNUMBER(BE470),BE470="DQ",BE470="P",BE470="NS"),
    1,
    0
)</f>
        <v>0</v>
      </c>
      <c r="BI470" s="73" t="n">
        <v>463</v>
      </c>
      <c r="BJ470" s="73" t="str">
        <f aca="false">IF(ISBLANK($C470),
    "",
   BF470+ROW($B470)/1000
)</f>
        <v/>
      </c>
      <c r="BK470" s="73" t="str">
        <f aca="false">IF(ISNUMBER(BJ470), RANK(BJ470,BJ$8:BJ$507,1), "")</f>
        <v/>
      </c>
      <c r="BL470" s="73" t="str">
        <f aca="false">IF(ISBLANK($C470),
    "",
    $B470
)</f>
        <v/>
      </c>
      <c r="BM470" s="73" t="str">
        <f aca="false">IF(ISBLANK($C470),
    "",
    $C470
)</f>
        <v/>
      </c>
      <c r="BN470" s="73" t="str">
        <f aca="false">IF(ISBLANK($C470),
    "",
    $D470
)</f>
        <v/>
      </c>
      <c r="BO470" s="74" t="str">
        <f aca="false">BC470</f>
        <v/>
      </c>
      <c r="BP470" s="75" t="str">
        <f aca="false">BB470</f>
        <v/>
      </c>
      <c r="BQ470" s="73" t="str">
        <f aca="false">IF(ISBLANK($C470),
    "",
    BE470
)</f>
        <v/>
      </c>
      <c r="BR470" s="76" t="str">
        <f aca="false">IF(BI470&gt;BH$7,
    "",
    VLOOKUP(BI470,BK$8:BQ969,7,FALSE())
)</f>
        <v/>
      </c>
      <c r="BS470" s="77" t="str">
        <f aca="false">IF(BI470&gt;BH$7,
    "",
    VLOOKUP(BI470,BK$8:BQ969,2,FALSE())
)</f>
        <v/>
      </c>
      <c r="BT470" s="77" t="str">
        <f aca="false">IF(BI470&gt;BH$7,
    "",
    VLOOKUP(BI470,BK$8:BQ969,3,FALSE())
)</f>
        <v/>
      </c>
      <c r="BU470" s="77" t="str">
        <f aca="false">IF(BI470&gt;BH$7,
    "",
    VLOOKUP(BI470,BK$8:BQ969,4,FALSE())
)</f>
        <v/>
      </c>
      <c r="BV470" s="77" t="str">
        <f aca="false">IF(BI470&gt;BH$7,
    "",
    VLOOKUP(BI470,BK$8:BQ969,5,FALSE())
)</f>
        <v/>
      </c>
      <c r="BW470" s="78" t="str">
        <f aca="false">IF(BI470&gt;BH$7,
    "",
    VLOOKUP(BI470,BK$8:BQ969,6,FALSE())
)</f>
        <v/>
      </c>
      <c r="BX470" s="50"/>
    </row>
    <row r="471" customFormat="false" ht="15.75" hidden="false" customHeight="false" outlineLevel="0" collapsed="false">
      <c r="A471" s="5"/>
      <c r="B471" s="126"/>
      <c r="C471" s="52"/>
      <c r="D471" s="53"/>
      <c r="E471" s="120"/>
      <c r="F471" s="120"/>
      <c r="G471" s="55"/>
      <c r="H471" s="56"/>
      <c r="I471" s="80"/>
      <c r="J471" s="80"/>
      <c r="K471" s="80"/>
      <c r="L471" s="58"/>
      <c r="M471" s="58"/>
      <c r="N471" s="58"/>
      <c r="O471" s="59"/>
      <c r="P471" s="60"/>
      <c r="Q471" s="80"/>
      <c r="R471" s="62"/>
      <c r="S471" s="63"/>
      <c r="T471" s="63" t="str">
        <f aca="false">IF(ISBLANK($C471),"",IF(G471=Constants!$B$2, TRUE(), IF(G471=Constants!$B$3, FALSE(), TRUE())))</f>
        <v/>
      </c>
      <c r="U471" s="63" t="str">
        <f aca="false">IF(ISBLANK($C471),"",IF(H471=Constants!$B$2, TRUE(), IF(H471=Constants!$B$3, FALSE(), TRUE())))</f>
        <v/>
      </c>
      <c r="V471" s="63" t="str">
        <f aca="false">IF(ISBLANK($C471),"",IF(I471=Constants!$B$2, TRUE(), IF(I471=Constants!$B$3, FALSE(), TRUE())))</f>
        <v/>
      </c>
      <c r="W471" s="63" t="str">
        <f aca="false">IF(ISBLANK($C471),"",IF(J471=Constants!$B$2, TRUE(), IF(J471=Constants!$B$3, FALSE(), TRUE())))</f>
        <v/>
      </c>
      <c r="X471" s="63" t="str">
        <f aca="false">IF(ISBLANK($C471),"",IF(K471=Constants!$B$2, TRUE(), IF(K471=Constants!$B$3, FALSE(), TRUE())))</f>
        <v/>
      </c>
      <c r="Y471" s="65" t="str">
        <f aca="false">IF(ISBLANK($C471),"",IF(ISNUMBER(L471), L471, ""))</f>
        <v/>
      </c>
      <c r="Z471" s="65" t="str">
        <f aca="false">IF(ISBLANK($C471),"",IF(ISNUMBER(M471), M471, ""))</f>
        <v/>
      </c>
      <c r="AA471" s="65" t="str">
        <f aca="false">IF(ISBLANK($C471),"",IF(ISNUMBER(N471), N471, ""))</f>
        <v/>
      </c>
      <c r="AB471" s="66" t="str">
        <f aca="false">IF(ISBLANK($C471),"",IF(ISNUMBER(O471), O471, ""))</f>
        <v/>
      </c>
      <c r="AC471" s="66" t="str">
        <f aca="false">IF(ISBLANK($C471),"",IF(ISNUMBER(P471), P471, Constants!$B$13))</f>
        <v/>
      </c>
      <c r="AD471" s="63" t="str">
        <f aca="false">IF(ISBLANK($C471),"",IF(Q471=Constants!$B$2, TRUE(), IF(Q471=Constants!$B$3, FALSE(), FALSE())))</f>
        <v/>
      </c>
      <c r="AE471" s="63" t="str">
        <f aca="false">IF(ISBLANK(C471), "", IF(AD471, Constants!$B$4,IF(COUNTA(G471:O471)=0, Constants!$B$5, Constants!$B$7)))</f>
        <v/>
      </c>
      <c r="AF471" s="63" t="str">
        <f aca="false">IF(ISBLANK($C471), "",IF($AE471=Constants!$B$7,1,$AE471))</f>
        <v/>
      </c>
      <c r="AG471" s="63" t="str">
        <f aca="false">IF($AE471=Constants!$B$7,IF(V471, 1, Constants!$B$11) * IF(X471, 1, Constants!$B$12),"")</f>
        <v/>
      </c>
      <c r="AH471" s="63" t="str">
        <f aca="false">IF(AND($AE471=Constants!$B$7, T471, U471) ,MAX(0, $AA471-$Y471),"")</f>
        <v/>
      </c>
      <c r="AI471" s="63" t="str">
        <f aca="false">IF(ISERROR(AH471),$AI$6,"")</f>
        <v/>
      </c>
      <c r="AJ471" s="63" t="str">
        <f aca="false">IF($AE471=Constants!$B$7,IF(AND(T471,U471,W471),IF($AH$6=0,Constants!$B$9,Constants!$B$9*AH471/$AH$6), 0),"")</f>
        <v/>
      </c>
      <c r="AK471" s="63" t="str">
        <f aca="false">IF(AJ471&lt;&gt;"", AJ471*AG471,"")</f>
        <v/>
      </c>
      <c r="AL471" s="63" t="str">
        <f aca="false">IF(AND($AE471=Constants!$B$7, T471, U471) ,IF($Z471="", "", MAX(0,1-ABS($AA471-$Z471)/$AA471)),"")</f>
        <v/>
      </c>
      <c r="AM471" s="63" t="str">
        <f aca="false">IF(AND(NOT(ISERROR(AH471)),ISERROR(AL471)),$AM$6,"")</f>
        <v/>
      </c>
      <c r="AN471" s="63" t="str">
        <f aca="false">IF($AE471=Constants!$B$7 ,IF(AND(T471,U471,W471,ISNUMBER(Z471)),IF($AL$6=0,Constants!$B$10,Constants!$B$10*AL471/$AL$6), 0),"")</f>
        <v/>
      </c>
      <c r="AO471" s="63" t="str">
        <f aca="false">IF(AN471&lt;&gt;"", AN471*AG471,"")</f>
        <v/>
      </c>
      <c r="AP471" s="63" t="str">
        <f aca="false">IF($AE471=Constants!$B$7,IF($AP$6=0,Constants!$B$8,Constants!$B$8*AB471/$AP$6),"")</f>
        <v/>
      </c>
      <c r="AQ471" s="63" t="str">
        <f aca="false">IF($AE471&lt;&gt;Constants!$B$7,$AE471,AK471+AO471+AP471)</f>
        <v/>
      </c>
      <c r="AR471" s="63" t="str">
        <f aca="false">IF(ISBLANK($C471),"",IF($AE471=Constants!$B$7,RANK(AQ471,$AQ$8:$AQ$507),$AE471))</f>
        <v/>
      </c>
      <c r="AS471" s="63" t="str">
        <f aca="false">IF(ISBLANK($C471), "",AK471)</f>
        <v/>
      </c>
      <c r="AT471" s="63" t="str">
        <f aca="false">IF(ISBLANK($C471),"",IF($AE471=Constants!$B$7,RANK(AS471,AS$8:AS$507),$AE471))</f>
        <v/>
      </c>
      <c r="AU471" s="63" t="str">
        <f aca="false">IF(ISBLANK($C471), "",AP471)</f>
        <v/>
      </c>
      <c r="AV471" s="63" t="str">
        <f aca="false">IF(ISBLANK($C471),"",IF($AE471=Constants!$B$7,RANK(AU471,AU$8:AU$507),$AE471))</f>
        <v/>
      </c>
      <c r="AW471" s="63" t="str">
        <f aca="false">IF(ISBLANK($C471), "",AC471)</f>
        <v/>
      </c>
      <c r="AX471" s="63" t="str">
        <f aca="false">IF(ISBLANK($C471),"",
IF($AE471=Constants!$B$7,
  COUNTIFS($AR$8:$AR$507,"&lt;"&amp;$AR471)
  + COUNTIFS($AR$8:$AR$507,$AR471,$AT$8:$AT$507,"&lt;"&amp;$AT471)
  + COUNTIFS($AR$8:$AR$507,$AR471,$AT$8:$AT$507,$AT471,$AV$8:$AV$507,"&lt;"&amp;$AV471)
  + COUNTIFS($AR$8:$AR$507,$AR471,$AT$8:$AT$507,$AT471,$AV$8:$AV$507,$AV471,$AW$8:$AW$507,"&lt;"&amp;$AW471)
  + 1,
$AE471))</f>
        <v/>
      </c>
      <c r="AY471" s="63" t="str">
        <f aca="false">IF(ISBLANK(C471),"",IF($AE471=Constants!$B$7, AR471-AX471,$AE471))</f>
        <v/>
      </c>
      <c r="AZ471" s="67"/>
      <c r="BA471" s="81" t="str">
        <f aca="false">IF(ISBLANK($C471),"",TRIM(AI471&amp;" "&amp;AM471))</f>
        <v/>
      </c>
      <c r="BB471" s="69" t="str">
        <f aca="false">IF(ISBLANK($C471),"",IF($AE471&lt;&gt;Constants!$B$7, $AE471 ,AQ471))</f>
        <v/>
      </c>
      <c r="BC471" s="70" t="str">
        <f aca="false">IF(ISBLANK($C471),"",IF($AE471&lt;&gt;Constants!$B$7, $AE471 ,AF471))</f>
        <v/>
      </c>
      <c r="BD471" s="71" t="str">
        <f aca="false">IF(ISBLANK(C471),"",AY471)</f>
        <v/>
      </c>
      <c r="BE471" s="71" t="str">
        <f aca="false">IF(ISBLANK(C471),"",AX471)</f>
        <v/>
      </c>
      <c r="BF471" s="72" t="str">
        <f aca="false">IF(ISBLANK(C471),"",IFERROR(_xlfn.SWITCH(BE471, Constants!$B$4, COUNTA($C$8:$C970)+2, Constants!$B$5, COUNTA($C$8:$C970)+1, Constants!$B$6, COUNTA($C$8:$C970)),BE471))</f>
        <v/>
      </c>
      <c r="BG471" s="5"/>
      <c r="BH471" s="73" t="n">
        <f aca="false">IF(OR(ISNUMBER(BE471),BE471="DQ",BE471="P",BE471="NS"),
    1,
    0
)</f>
        <v>0</v>
      </c>
      <c r="BI471" s="73" t="n">
        <v>464</v>
      </c>
      <c r="BJ471" s="73" t="str">
        <f aca="false">IF(ISBLANK($C471),
    "",
   BF471+ROW($B471)/1000
)</f>
        <v/>
      </c>
      <c r="BK471" s="73" t="str">
        <f aca="false">IF(ISNUMBER(BJ471), RANK(BJ471,BJ$8:BJ$507,1), "")</f>
        <v/>
      </c>
      <c r="BL471" s="73" t="str">
        <f aca="false">IF(ISBLANK($C471),
    "",
    $B471
)</f>
        <v/>
      </c>
      <c r="BM471" s="73" t="str">
        <f aca="false">IF(ISBLANK($C471),
    "",
    $C471
)</f>
        <v/>
      </c>
      <c r="BN471" s="73" t="str">
        <f aca="false">IF(ISBLANK($C471),
    "",
    $D471
)</f>
        <v/>
      </c>
      <c r="BO471" s="74" t="str">
        <f aca="false">BC471</f>
        <v/>
      </c>
      <c r="BP471" s="75" t="str">
        <f aca="false">BB471</f>
        <v/>
      </c>
      <c r="BQ471" s="73" t="str">
        <f aca="false">IF(ISBLANK($C471),
    "",
    BE471
)</f>
        <v/>
      </c>
      <c r="BR471" s="76" t="str">
        <f aca="false">IF(BI471&gt;BH$7,
    "",
    VLOOKUP(BI471,BK$8:BQ970,7,FALSE())
)</f>
        <v/>
      </c>
      <c r="BS471" s="77" t="str">
        <f aca="false">IF(BI471&gt;BH$7,
    "",
    VLOOKUP(BI471,BK$8:BQ970,2,FALSE())
)</f>
        <v/>
      </c>
      <c r="BT471" s="77" t="str">
        <f aca="false">IF(BI471&gt;BH$7,
    "",
    VLOOKUP(BI471,BK$8:BQ970,3,FALSE())
)</f>
        <v/>
      </c>
      <c r="BU471" s="77" t="str">
        <f aca="false">IF(BI471&gt;BH$7,
    "",
    VLOOKUP(BI471,BK$8:BQ970,4,FALSE())
)</f>
        <v/>
      </c>
      <c r="BV471" s="77" t="str">
        <f aca="false">IF(BI471&gt;BH$7,
    "",
    VLOOKUP(BI471,BK$8:BQ970,5,FALSE())
)</f>
        <v/>
      </c>
      <c r="BW471" s="78" t="str">
        <f aca="false">IF(BI471&gt;BH$7,
    "",
    VLOOKUP(BI471,BK$8:BQ970,6,FALSE())
)</f>
        <v/>
      </c>
      <c r="BX471" s="50"/>
    </row>
    <row r="472" customFormat="false" ht="15.75" hidden="false" customHeight="false" outlineLevel="0" collapsed="false">
      <c r="A472" s="5"/>
      <c r="B472" s="126"/>
      <c r="C472" s="52"/>
      <c r="D472" s="53"/>
      <c r="E472" s="120"/>
      <c r="F472" s="120"/>
      <c r="G472" s="55"/>
      <c r="H472" s="56"/>
      <c r="I472" s="80"/>
      <c r="J472" s="80"/>
      <c r="K472" s="80"/>
      <c r="L472" s="58"/>
      <c r="M472" s="58"/>
      <c r="N472" s="58"/>
      <c r="O472" s="59"/>
      <c r="P472" s="60"/>
      <c r="Q472" s="80"/>
      <c r="R472" s="62"/>
      <c r="S472" s="63"/>
      <c r="T472" s="63" t="str">
        <f aca="false">IF(ISBLANK($C472),"",IF(G472=Constants!$B$2, TRUE(), IF(G472=Constants!$B$3, FALSE(), TRUE())))</f>
        <v/>
      </c>
      <c r="U472" s="63" t="str">
        <f aca="false">IF(ISBLANK($C472),"",IF(H472=Constants!$B$2, TRUE(), IF(H472=Constants!$B$3, FALSE(), TRUE())))</f>
        <v/>
      </c>
      <c r="V472" s="63" t="str">
        <f aca="false">IF(ISBLANK($C472),"",IF(I472=Constants!$B$2, TRUE(), IF(I472=Constants!$B$3, FALSE(), TRUE())))</f>
        <v/>
      </c>
      <c r="W472" s="63" t="str">
        <f aca="false">IF(ISBLANK($C472),"",IF(J472=Constants!$B$2, TRUE(), IF(J472=Constants!$B$3, FALSE(), TRUE())))</f>
        <v/>
      </c>
      <c r="X472" s="63" t="str">
        <f aca="false">IF(ISBLANK($C472),"",IF(K472=Constants!$B$2, TRUE(), IF(K472=Constants!$B$3, FALSE(), TRUE())))</f>
        <v/>
      </c>
      <c r="Y472" s="65" t="str">
        <f aca="false">IF(ISBLANK($C472),"",IF(ISNUMBER(L472), L472, ""))</f>
        <v/>
      </c>
      <c r="Z472" s="65" t="str">
        <f aca="false">IF(ISBLANK($C472),"",IF(ISNUMBER(M472), M472, ""))</f>
        <v/>
      </c>
      <c r="AA472" s="65" t="str">
        <f aca="false">IF(ISBLANK($C472),"",IF(ISNUMBER(N472), N472, ""))</f>
        <v/>
      </c>
      <c r="AB472" s="66" t="str">
        <f aca="false">IF(ISBLANK($C472),"",IF(ISNUMBER(O472), O472, ""))</f>
        <v/>
      </c>
      <c r="AC472" s="66" t="str">
        <f aca="false">IF(ISBLANK($C472),"",IF(ISNUMBER(P472), P472, Constants!$B$13))</f>
        <v/>
      </c>
      <c r="AD472" s="63" t="str">
        <f aca="false">IF(ISBLANK($C472),"",IF(Q472=Constants!$B$2, TRUE(), IF(Q472=Constants!$B$3, FALSE(), FALSE())))</f>
        <v/>
      </c>
      <c r="AE472" s="63" t="str">
        <f aca="false">IF(ISBLANK(C472), "", IF(AD472, Constants!$B$4,IF(COUNTA(G472:O472)=0, Constants!$B$5, Constants!$B$7)))</f>
        <v/>
      </c>
      <c r="AF472" s="63" t="str">
        <f aca="false">IF(ISBLANK($C472), "",IF($AE472=Constants!$B$7,1,$AE472))</f>
        <v/>
      </c>
      <c r="AG472" s="63" t="str">
        <f aca="false">IF($AE472=Constants!$B$7,IF(V472, 1, Constants!$B$11) * IF(X472, 1, Constants!$B$12),"")</f>
        <v/>
      </c>
      <c r="AH472" s="63" t="str">
        <f aca="false">IF(AND($AE472=Constants!$B$7, T472, U472) ,MAX(0, $AA472-$Y472),"")</f>
        <v/>
      </c>
      <c r="AI472" s="63" t="str">
        <f aca="false">IF(ISERROR(AH472),$AI$6,"")</f>
        <v/>
      </c>
      <c r="AJ472" s="63" t="str">
        <f aca="false">IF($AE472=Constants!$B$7,IF(AND(T472,U472,W472),IF($AH$6=0,Constants!$B$9,Constants!$B$9*AH472/$AH$6), 0),"")</f>
        <v/>
      </c>
      <c r="AK472" s="63" t="str">
        <f aca="false">IF(AJ472&lt;&gt;"", AJ472*AG472,"")</f>
        <v/>
      </c>
      <c r="AL472" s="63" t="str">
        <f aca="false">IF(AND($AE472=Constants!$B$7, T472, U472) ,IF($Z472="", "", MAX(0,1-ABS($AA472-$Z472)/$AA472)),"")</f>
        <v/>
      </c>
      <c r="AM472" s="63" t="str">
        <f aca="false">IF(AND(NOT(ISERROR(AH472)),ISERROR(AL472)),$AM$6,"")</f>
        <v/>
      </c>
      <c r="AN472" s="63" t="str">
        <f aca="false">IF($AE472=Constants!$B$7 ,IF(AND(T472,U472,W472,ISNUMBER(Z472)),IF($AL$6=0,Constants!$B$10,Constants!$B$10*AL472/$AL$6), 0),"")</f>
        <v/>
      </c>
      <c r="AO472" s="63" t="str">
        <f aca="false">IF(AN472&lt;&gt;"", AN472*AG472,"")</f>
        <v/>
      </c>
      <c r="AP472" s="63" t="str">
        <f aca="false">IF($AE472=Constants!$B$7,IF($AP$6=0,Constants!$B$8,Constants!$B$8*AB472/$AP$6),"")</f>
        <v/>
      </c>
      <c r="AQ472" s="63" t="str">
        <f aca="false">IF($AE472&lt;&gt;Constants!$B$7,$AE472,AK472+AO472+AP472)</f>
        <v/>
      </c>
      <c r="AR472" s="63" t="str">
        <f aca="false">IF(ISBLANK($C472),"",IF($AE472=Constants!$B$7,RANK(AQ472,$AQ$8:$AQ$507),$AE472))</f>
        <v/>
      </c>
      <c r="AS472" s="63" t="str">
        <f aca="false">IF(ISBLANK($C472), "",AK472)</f>
        <v/>
      </c>
      <c r="AT472" s="63" t="str">
        <f aca="false">IF(ISBLANK($C472),"",IF($AE472=Constants!$B$7,RANK(AS472,AS$8:AS$507),$AE472))</f>
        <v/>
      </c>
      <c r="AU472" s="63" t="str">
        <f aca="false">IF(ISBLANK($C472), "",AP472)</f>
        <v/>
      </c>
      <c r="AV472" s="63" t="str">
        <f aca="false">IF(ISBLANK($C472),"",IF($AE472=Constants!$B$7,RANK(AU472,AU$8:AU$507),$AE472))</f>
        <v/>
      </c>
      <c r="AW472" s="63" t="str">
        <f aca="false">IF(ISBLANK($C472), "",AC472)</f>
        <v/>
      </c>
      <c r="AX472" s="63" t="str">
        <f aca="false">IF(ISBLANK($C472),"",
IF($AE472=Constants!$B$7,
  COUNTIFS($AR$8:$AR$507,"&lt;"&amp;$AR472)
  + COUNTIFS($AR$8:$AR$507,$AR472,$AT$8:$AT$507,"&lt;"&amp;$AT472)
  + COUNTIFS($AR$8:$AR$507,$AR472,$AT$8:$AT$507,$AT472,$AV$8:$AV$507,"&lt;"&amp;$AV472)
  + COUNTIFS($AR$8:$AR$507,$AR472,$AT$8:$AT$507,$AT472,$AV$8:$AV$507,$AV472,$AW$8:$AW$507,"&lt;"&amp;$AW472)
  + 1,
$AE472))</f>
        <v/>
      </c>
      <c r="AY472" s="63" t="str">
        <f aca="false">IF(ISBLANK(C472),"",IF($AE472=Constants!$B$7, AR472-AX472,$AE472))</f>
        <v/>
      </c>
      <c r="AZ472" s="67"/>
      <c r="BA472" s="81" t="str">
        <f aca="false">IF(ISBLANK($C472),"",TRIM(AI472&amp;" "&amp;AM472))</f>
        <v/>
      </c>
      <c r="BB472" s="69" t="str">
        <f aca="false">IF(ISBLANK($C472),"",IF($AE472&lt;&gt;Constants!$B$7, $AE472 ,AQ472))</f>
        <v/>
      </c>
      <c r="BC472" s="70" t="str">
        <f aca="false">IF(ISBLANK($C472),"",IF($AE472&lt;&gt;Constants!$B$7, $AE472 ,AF472))</f>
        <v/>
      </c>
      <c r="BD472" s="71" t="str">
        <f aca="false">IF(ISBLANK(C472),"",AY472)</f>
        <v/>
      </c>
      <c r="BE472" s="71" t="str">
        <f aca="false">IF(ISBLANK(C472),"",AX472)</f>
        <v/>
      </c>
      <c r="BF472" s="72" t="str">
        <f aca="false">IF(ISBLANK(C472),"",IFERROR(_xlfn.SWITCH(BE472, Constants!$B$4, COUNTA($C$8:$C971)+2, Constants!$B$5, COUNTA($C$8:$C971)+1, Constants!$B$6, COUNTA($C$8:$C971)),BE472))</f>
        <v/>
      </c>
      <c r="BG472" s="5"/>
      <c r="BH472" s="73" t="n">
        <f aca="false">IF(OR(ISNUMBER(BE472),BE472="DQ",BE472="P",BE472="NS"),
    1,
    0
)</f>
        <v>0</v>
      </c>
      <c r="BI472" s="73" t="n">
        <v>465</v>
      </c>
      <c r="BJ472" s="73" t="str">
        <f aca="false">IF(ISBLANK($C472),
    "",
   BF472+ROW($B472)/1000
)</f>
        <v/>
      </c>
      <c r="BK472" s="73" t="str">
        <f aca="false">IF(ISNUMBER(BJ472), RANK(BJ472,BJ$8:BJ$507,1), "")</f>
        <v/>
      </c>
      <c r="BL472" s="73" t="str">
        <f aca="false">IF(ISBLANK($C472),
    "",
    $B472
)</f>
        <v/>
      </c>
      <c r="BM472" s="73" t="str">
        <f aca="false">IF(ISBLANK($C472),
    "",
    $C472
)</f>
        <v/>
      </c>
      <c r="BN472" s="73" t="str">
        <f aca="false">IF(ISBLANK($C472),
    "",
    $D472
)</f>
        <v/>
      </c>
      <c r="BO472" s="74" t="str">
        <f aca="false">BC472</f>
        <v/>
      </c>
      <c r="BP472" s="75" t="str">
        <f aca="false">BB472</f>
        <v/>
      </c>
      <c r="BQ472" s="73" t="str">
        <f aca="false">IF(ISBLANK($C472),
    "",
    BE472
)</f>
        <v/>
      </c>
      <c r="BR472" s="76" t="str">
        <f aca="false">IF(BI472&gt;BH$7,
    "",
    VLOOKUP(BI472,BK$8:BQ971,7,FALSE())
)</f>
        <v/>
      </c>
      <c r="BS472" s="77" t="str">
        <f aca="false">IF(BI472&gt;BH$7,
    "",
    VLOOKUP(BI472,BK$8:BQ971,2,FALSE())
)</f>
        <v/>
      </c>
      <c r="BT472" s="77" t="str">
        <f aca="false">IF(BI472&gt;BH$7,
    "",
    VLOOKUP(BI472,BK$8:BQ971,3,FALSE())
)</f>
        <v/>
      </c>
      <c r="BU472" s="77" t="str">
        <f aca="false">IF(BI472&gt;BH$7,
    "",
    VLOOKUP(BI472,BK$8:BQ971,4,FALSE())
)</f>
        <v/>
      </c>
      <c r="BV472" s="77" t="str">
        <f aca="false">IF(BI472&gt;BH$7,
    "",
    VLOOKUP(BI472,BK$8:BQ971,5,FALSE())
)</f>
        <v/>
      </c>
      <c r="BW472" s="78" t="str">
        <f aca="false">IF(BI472&gt;BH$7,
    "",
    VLOOKUP(BI472,BK$8:BQ971,6,FALSE())
)</f>
        <v/>
      </c>
      <c r="BX472" s="50"/>
    </row>
    <row r="473" customFormat="false" ht="15.75" hidden="false" customHeight="false" outlineLevel="0" collapsed="false">
      <c r="A473" s="5"/>
      <c r="B473" s="122"/>
      <c r="C473" s="123"/>
      <c r="D473" s="112"/>
      <c r="E473" s="116"/>
      <c r="F473" s="116"/>
      <c r="G473" s="88"/>
      <c r="H473" s="89"/>
      <c r="I473" s="125"/>
      <c r="J473" s="125"/>
      <c r="K473" s="125"/>
      <c r="L473" s="91"/>
      <c r="M473" s="91"/>
      <c r="N473" s="91"/>
      <c r="O473" s="92"/>
      <c r="P473" s="93"/>
      <c r="Q473" s="125"/>
      <c r="R473" s="95"/>
      <c r="S473" s="96"/>
      <c r="T473" s="96" t="str">
        <f aca="false">IF(ISBLANK($C473),"",IF(G473=Constants!$B$2, TRUE(), IF(G473=Constants!$B$3, FALSE(), TRUE())))</f>
        <v/>
      </c>
      <c r="U473" s="96" t="str">
        <f aca="false">IF(ISBLANK($C473),"",IF(H473=Constants!$B$2, TRUE(), IF(H473=Constants!$B$3, FALSE(), TRUE())))</f>
        <v/>
      </c>
      <c r="V473" s="96" t="str">
        <f aca="false">IF(ISBLANK($C473),"",IF(I473=Constants!$B$2, TRUE(), IF(I473=Constants!$B$3, FALSE(), TRUE())))</f>
        <v/>
      </c>
      <c r="W473" s="96" t="str">
        <f aca="false">IF(ISBLANK($C473),"",IF(J473=Constants!$B$2, TRUE(), IF(J473=Constants!$B$3, FALSE(), TRUE())))</f>
        <v/>
      </c>
      <c r="X473" s="97" t="str">
        <f aca="false">IF(ISBLANK($C473),"",IF(K473=Constants!$B$2, TRUE(), IF(K473=Constants!$B$3, FALSE(), TRUE())))</f>
        <v/>
      </c>
      <c r="Y473" s="98" t="str">
        <f aca="false">IF(ISBLANK($C473),"",IF(ISNUMBER(L473), L473, ""))</f>
        <v/>
      </c>
      <c r="Z473" s="98" t="str">
        <f aca="false">IF(ISBLANK($C473),"",IF(ISNUMBER(M473), M473, ""))</f>
        <v/>
      </c>
      <c r="AA473" s="98" t="str">
        <f aca="false">IF(ISBLANK($C473),"",IF(ISNUMBER(N473), N473, ""))</f>
        <v/>
      </c>
      <c r="AB473" s="99" t="str">
        <f aca="false">IF(ISBLANK($C473),"",IF(ISNUMBER(O473), O473, ""))</f>
        <v/>
      </c>
      <c r="AC473" s="99" t="str">
        <f aca="false">IF(ISBLANK($C473),"",IF(ISNUMBER(P473), P473, Constants!$B$13))</f>
        <v/>
      </c>
      <c r="AD473" s="96" t="str">
        <f aca="false">IF(ISBLANK($C473),"",IF(Q473=Constants!$B$2, TRUE(), IF(Q473=Constants!$B$3, FALSE(), FALSE())))</f>
        <v/>
      </c>
      <c r="AE473" s="96" t="str">
        <f aca="false">IF(ISBLANK(C473), "", IF(AD473, Constants!$B$4,IF(COUNTA(G473:O473)=0, Constants!$B$5, Constants!$B$7)))</f>
        <v/>
      </c>
      <c r="AF473" s="96" t="str">
        <f aca="false">IF(ISBLANK($C473), "",IF($AE473=Constants!$B$7,1,$AE473))</f>
        <v/>
      </c>
      <c r="AG473" s="96" t="str">
        <f aca="false">IF($AE473=Constants!$B$7,IF(V473, 1, Constants!$B$11) * IF(X473, 1, Constants!$B$12),"")</f>
        <v/>
      </c>
      <c r="AH473" s="96" t="str">
        <f aca="false">IF(AND($AE473=Constants!$B$7, T473, U473) ,MAX(0, $AA473-$Y473),"")</f>
        <v/>
      </c>
      <c r="AI473" s="96" t="str">
        <f aca="false">IF(ISERROR(AH473),$AI$6,"")</f>
        <v/>
      </c>
      <c r="AJ473" s="96" t="str">
        <f aca="false">IF($AE473=Constants!$B$7,IF(AND(T473,U473,W473),IF($AH$6=0,Constants!$B$9,Constants!$B$9*AH473/$AH$6), 0),"")</f>
        <v/>
      </c>
      <c r="AK473" s="96" t="str">
        <f aca="false">IF(AJ473&lt;&gt;"", AJ473*AG473,"")</f>
        <v/>
      </c>
      <c r="AL473" s="96" t="str">
        <f aca="false">IF(AND($AE473=Constants!$B$7, T473, U473) ,IF($Z473="", "", MAX(0,1-ABS($AA473-$Z473)/$AA473)),"")</f>
        <v/>
      </c>
      <c r="AM473" s="96" t="str">
        <f aca="false">IF(AND(NOT(ISERROR(AH473)),ISERROR(AL473)),$AM$6,"")</f>
        <v/>
      </c>
      <c r="AN473" s="96" t="str">
        <f aca="false">IF($AE473=Constants!$B$7 ,IF(AND(T473,U473,W473,ISNUMBER(Z473)),IF($AL$6=0,Constants!$B$10,Constants!$B$10*AL473/$AL$6), 0),"")</f>
        <v/>
      </c>
      <c r="AO473" s="96" t="str">
        <f aca="false">IF(AN473&lt;&gt;"", AN473*AG473,"")</f>
        <v/>
      </c>
      <c r="AP473" s="96" t="str">
        <f aca="false">IF($AE473=Constants!$B$7,IF($AP$6=0,Constants!$B$8,Constants!$B$8*AB473/$AP$6),"")</f>
        <v/>
      </c>
      <c r="AQ473" s="96" t="str">
        <f aca="false">IF($AE473&lt;&gt;Constants!$B$7,$AE473,AK473+AO473+AP473)</f>
        <v/>
      </c>
      <c r="AR473" s="96" t="str">
        <f aca="false">IF(ISBLANK($C473),"",IF($AE473=Constants!$B$7,RANK(AQ473,$AQ$8:$AQ$507),$AE473))</f>
        <v/>
      </c>
      <c r="AS473" s="96" t="str">
        <f aca="false">IF(ISBLANK($C473), "",AK473)</f>
        <v/>
      </c>
      <c r="AT473" s="96" t="str">
        <f aca="false">IF(ISBLANK($C473),"",IF($AE473=Constants!$B$7,RANK(AS473,AS$8:AS$507),$AE473))</f>
        <v/>
      </c>
      <c r="AU473" s="96" t="str">
        <f aca="false">IF(ISBLANK($C473), "",AP473)</f>
        <v/>
      </c>
      <c r="AV473" s="96" t="str">
        <f aca="false">IF(ISBLANK($C473),"",IF($AE473=Constants!$B$7,RANK(AU473,AU$8:AU$507),$AE473))</f>
        <v/>
      </c>
      <c r="AW473" s="96" t="str">
        <f aca="false">IF(ISBLANK($C473), "",AC473)</f>
        <v/>
      </c>
      <c r="AX473" s="96" t="str">
        <f aca="false">IF(ISBLANK($C473),"",
IF($AE473=Constants!$B$7,
  COUNTIFS($AR$8:$AR$507,"&lt;"&amp;$AR473)
  + COUNTIFS($AR$8:$AR$507,$AR473,$AT$8:$AT$507,"&lt;"&amp;$AT473)
  + COUNTIFS($AR$8:$AR$507,$AR473,$AT$8:$AT$507,$AT473,$AV$8:$AV$507,"&lt;"&amp;$AV473)
  + COUNTIFS($AR$8:$AR$507,$AR473,$AT$8:$AT$507,$AT473,$AV$8:$AV$507,$AV473,$AW$8:$AW$507,"&lt;"&amp;$AW473)
  + 1,
$AE473))</f>
        <v/>
      </c>
      <c r="AY473" s="96" t="str">
        <f aca="false">IF(ISBLANK(C473),"",IF($AE473=Constants!$B$7, AR473-AX473,$AE473))</f>
        <v/>
      </c>
      <c r="AZ473" s="100"/>
      <c r="BA473" s="101" t="str">
        <f aca="false">IF(ISBLANK($C473),"",TRIM(AI473&amp;" "&amp;AM473))</f>
        <v/>
      </c>
      <c r="BB473" s="102" t="str">
        <f aca="false">IF(ISBLANK($C473),"",IF($AE473&lt;&gt;Constants!$B$7, $AE473 ,AQ473))</f>
        <v/>
      </c>
      <c r="BC473" s="103" t="str">
        <f aca="false">IF(ISBLANK($C473),"",IF($AE473&lt;&gt;Constants!$B$7, $AE473 ,AF473))</f>
        <v/>
      </c>
      <c r="BD473" s="104" t="str">
        <f aca="false">IF(ISBLANK(C473),"",AY473)</f>
        <v/>
      </c>
      <c r="BE473" s="104" t="str">
        <f aca="false">IF(ISBLANK(C473),"",AX473)</f>
        <v/>
      </c>
      <c r="BF473" s="105" t="str">
        <f aca="false">IF(ISBLANK(C473),"",IFERROR(_xlfn.SWITCH(BE473, Constants!$B$4, COUNTA($C$8:$C972)+2, Constants!$B$5, COUNTA($C$8:$C972)+1, Constants!$B$6, COUNTA($C$8:$C972)),BE473))</f>
        <v/>
      </c>
      <c r="BG473" s="5"/>
      <c r="BH473" s="106" t="n">
        <f aca="false">IF(OR(ISNUMBER(BE473),BE473="DQ",BE473="P",BE473="NS"),
    1,
    0
)</f>
        <v>0</v>
      </c>
      <c r="BI473" s="106" t="n">
        <v>466</v>
      </c>
      <c r="BJ473" s="106" t="str">
        <f aca="false">IF(ISBLANK($C473),
    "",
   BF473+ROW($B473)/1000
)</f>
        <v/>
      </c>
      <c r="BK473" s="106" t="str">
        <f aca="false">IF(ISNUMBER(BJ473), RANK(BJ473,BJ$8:BJ$507,1), "")</f>
        <v/>
      </c>
      <c r="BL473" s="106" t="str">
        <f aca="false">IF(ISBLANK($C473),
    "",
    $B473
)</f>
        <v/>
      </c>
      <c r="BM473" s="106" t="str">
        <f aca="false">IF(ISBLANK($C473),
    "",
    $C473
)</f>
        <v/>
      </c>
      <c r="BN473" s="106" t="str">
        <f aca="false">IF(ISBLANK($C473),
    "",
    $D473
)</f>
        <v/>
      </c>
      <c r="BO473" s="107" t="str">
        <f aca="false">BC473</f>
        <v/>
      </c>
      <c r="BP473" s="108" t="str">
        <f aca="false">BB473</f>
        <v/>
      </c>
      <c r="BQ473" s="106" t="str">
        <f aca="false">IF(ISBLANK($C473),
    "",
    BE473
)</f>
        <v/>
      </c>
      <c r="BR473" s="109" t="str">
        <f aca="false">IF(BI473&gt;BH$7,
    "",
    VLOOKUP(BI473,BK$8:BQ972,7,FALSE())
)</f>
        <v/>
      </c>
      <c r="BS473" s="110" t="str">
        <f aca="false">IF(BI473&gt;BH$7,
    "",
    VLOOKUP(BI473,BK$8:BQ972,2,FALSE())
)</f>
        <v/>
      </c>
      <c r="BT473" s="110" t="str">
        <f aca="false">IF(BI473&gt;BH$7,
    "",
    VLOOKUP(BI473,BK$8:BQ972,3,FALSE())
)</f>
        <v/>
      </c>
      <c r="BU473" s="110" t="str">
        <f aca="false">IF(BI473&gt;BH$7,
    "",
    VLOOKUP(BI473,BK$8:BQ972,4,FALSE())
)</f>
        <v/>
      </c>
      <c r="BV473" s="110" t="str">
        <f aca="false">IF(BI473&gt;BH$7,
    "",
    VLOOKUP(BI473,BK$8:BQ972,5,FALSE())
)</f>
        <v/>
      </c>
      <c r="BW473" s="111" t="str">
        <f aca="false">IF(BI473&gt;BH$7,
    "",
    VLOOKUP(BI473,BK$8:BQ972,6,FALSE())
)</f>
        <v/>
      </c>
      <c r="BX473" s="50"/>
    </row>
    <row r="474" customFormat="false" ht="15.75" hidden="false" customHeight="false" outlineLevel="0" collapsed="false">
      <c r="A474" s="5"/>
      <c r="B474" s="122"/>
      <c r="C474" s="123"/>
      <c r="D474" s="112"/>
      <c r="E474" s="116"/>
      <c r="F474" s="116"/>
      <c r="G474" s="88"/>
      <c r="H474" s="89"/>
      <c r="I474" s="125"/>
      <c r="J474" s="125"/>
      <c r="K474" s="125"/>
      <c r="L474" s="91"/>
      <c r="M474" s="91"/>
      <c r="N474" s="91"/>
      <c r="O474" s="92"/>
      <c r="P474" s="93"/>
      <c r="Q474" s="125"/>
      <c r="R474" s="95"/>
      <c r="S474" s="96"/>
      <c r="T474" s="96" t="str">
        <f aca="false">IF(ISBLANK($C474),"",IF(G474=Constants!$B$2, TRUE(), IF(G474=Constants!$B$3, FALSE(), TRUE())))</f>
        <v/>
      </c>
      <c r="U474" s="96" t="str">
        <f aca="false">IF(ISBLANK($C474),"",IF(H474=Constants!$B$2, TRUE(), IF(H474=Constants!$B$3, FALSE(), TRUE())))</f>
        <v/>
      </c>
      <c r="V474" s="96" t="str">
        <f aca="false">IF(ISBLANK($C474),"",IF(I474=Constants!$B$2, TRUE(), IF(I474=Constants!$B$3, FALSE(), TRUE())))</f>
        <v/>
      </c>
      <c r="W474" s="96" t="str">
        <f aca="false">IF(ISBLANK($C474),"",IF(J474=Constants!$B$2, TRUE(), IF(J474=Constants!$B$3, FALSE(), TRUE())))</f>
        <v/>
      </c>
      <c r="X474" s="97" t="str">
        <f aca="false">IF(ISBLANK($C474),"",IF(K474=Constants!$B$2, TRUE(), IF(K474=Constants!$B$3, FALSE(), TRUE())))</f>
        <v/>
      </c>
      <c r="Y474" s="98" t="str">
        <f aca="false">IF(ISBLANK($C474),"",IF(ISNUMBER(L474), L474, ""))</f>
        <v/>
      </c>
      <c r="Z474" s="98" t="str">
        <f aca="false">IF(ISBLANK($C474),"",IF(ISNUMBER(M474), M474, ""))</f>
        <v/>
      </c>
      <c r="AA474" s="98" t="str">
        <f aca="false">IF(ISBLANK($C474),"",IF(ISNUMBER(N474), N474, ""))</f>
        <v/>
      </c>
      <c r="AB474" s="99" t="str">
        <f aca="false">IF(ISBLANK($C474),"",IF(ISNUMBER(O474), O474, ""))</f>
        <v/>
      </c>
      <c r="AC474" s="99" t="str">
        <f aca="false">IF(ISBLANK($C474),"",IF(ISNUMBER(P474), P474, Constants!$B$13))</f>
        <v/>
      </c>
      <c r="AD474" s="96" t="str">
        <f aca="false">IF(ISBLANK($C474),"",IF(Q474=Constants!$B$2, TRUE(), IF(Q474=Constants!$B$3, FALSE(), FALSE())))</f>
        <v/>
      </c>
      <c r="AE474" s="96" t="str">
        <f aca="false">IF(ISBLANK(C474), "", IF(AD474, Constants!$B$4,IF(COUNTA(G474:O474)=0, Constants!$B$5, Constants!$B$7)))</f>
        <v/>
      </c>
      <c r="AF474" s="96" t="str">
        <f aca="false">IF(ISBLANK($C474), "",IF($AE474=Constants!$B$7,1,$AE474))</f>
        <v/>
      </c>
      <c r="AG474" s="96" t="str">
        <f aca="false">IF($AE474=Constants!$B$7,IF(V474, 1, Constants!$B$11) * IF(X474, 1, Constants!$B$12),"")</f>
        <v/>
      </c>
      <c r="AH474" s="96" t="str">
        <f aca="false">IF(AND($AE474=Constants!$B$7, T474, U474) ,MAX(0, $AA474-$Y474),"")</f>
        <v/>
      </c>
      <c r="AI474" s="96" t="str">
        <f aca="false">IF(ISERROR(AH474),$AI$6,"")</f>
        <v/>
      </c>
      <c r="AJ474" s="96" t="str">
        <f aca="false">IF($AE474=Constants!$B$7,IF(AND(T474,U474,W474),IF($AH$6=0,Constants!$B$9,Constants!$B$9*AH474/$AH$6), 0),"")</f>
        <v/>
      </c>
      <c r="AK474" s="96" t="str">
        <f aca="false">IF(AJ474&lt;&gt;"", AJ474*AG474,"")</f>
        <v/>
      </c>
      <c r="AL474" s="96" t="str">
        <f aca="false">IF(AND($AE474=Constants!$B$7, T474, U474) ,IF($Z474="", "", MAX(0,1-ABS($AA474-$Z474)/$AA474)),"")</f>
        <v/>
      </c>
      <c r="AM474" s="96" t="str">
        <f aca="false">IF(AND(NOT(ISERROR(AH474)),ISERROR(AL474)),$AM$6,"")</f>
        <v/>
      </c>
      <c r="AN474" s="96" t="str">
        <f aca="false">IF($AE474=Constants!$B$7 ,IF(AND(T474,U474,W474,ISNUMBER(Z474)),IF($AL$6=0,Constants!$B$10,Constants!$B$10*AL474/$AL$6), 0),"")</f>
        <v/>
      </c>
      <c r="AO474" s="96" t="str">
        <f aca="false">IF(AN474&lt;&gt;"", AN474*AG474,"")</f>
        <v/>
      </c>
      <c r="AP474" s="96" t="str">
        <f aca="false">IF($AE474=Constants!$B$7,IF($AP$6=0,Constants!$B$8,Constants!$B$8*AB474/$AP$6),"")</f>
        <v/>
      </c>
      <c r="AQ474" s="96" t="str">
        <f aca="false">IF($AE474&lt;&gt;Constants!$B$7,$AE474,AK474+AO474+AP474)</f>
        <v/>
      </c>
      <c r="AR474" s="96" t="str">
        <f aca="false">IF(ISBLANK($C474),"",IF($AE474=Constants!$B$7,RANK(AQ474,$AQ$8:$AQ$507),$AE474))</f>
        <v/>
      </c>
      <c r="AS474" s="96" t="str">
        <f aca="false">IF(ISBLANK($C474), "",AK474)</f>
        <v/>
      </c>
      <c r="AT474" s="96" t="str">
        <f aca="false">IF(ISBLANK($C474),"",IF($AE474=Constants!$B$7,RANK(AS474,AS$8:AS$507),$AE474))</f>
        <v/>
      </c>
      <c r="AU474" s="96" t="str">
        <f aca="false">IF(ISBLANK($C474), "",AP474)</f>
        <v/>
      </c>
      <c r="AV474" s="96" t="str">
        <f aca="false">IF(ISBLANK($C474),"",IF($AE474=Constants!$B$7,RANK(AU474,AU$8:AU$507),$AE474))</f>
        <v/>
      </c>
      <c r="AW474" s="96" t="str">
        <f aca="false">IF(ISBLANK($C474), "",AC474)</f>
        <v/>
      </c>
      <c r="AX474" s="96" t="str">
        <f aca="false">IF(ISBLANK($C474),"",
IF($AE474=Constants!$B$7,
  COUNTIFS($AR$8:$AR$507,"&lt;"&amp;$AR474)
  + COUNTIFS($AR$8:$AR$507,$AR474,$AT$8:$AT$507,"&lt;"&amp;$AT474)
  + COUNTIFS($AR$8:$AR$507,$AR474,$AT$8:$AT$507,$AT474,$AV$8:$AV$507,"&lt;"&amp;$AV474)
  + COUNTIFS($AR$8:$AR$507,$AR474,$AT$8:$AT$507,$AT474,$AV$8:$AV$507,$AV474,$AW$8:$AW$507,"&lt;"&amp;$AW474)
  + 1,
$AE474))</f>
        <v/>
      </c>
      <c r="AY474" s="96" t="str">
        <f aca="false">IF(ISBLANK(C474),"",IF($AE474=Constants!$B$7, AR474-AX474,$AE474))</f>
        <v/>
      </c>
      <c r="AZ474" s="100"/>
      <c r="BA474" s="101" t="str">
        <f aca="false">IF(ISBLANK($C474),"",TRIM(AI474&amp;" "&amp;AM474))</f>
        <v/>
      </c>
      <c r="BB474" s="102" t="str">
        <f aca="false">IF(ISBLANK($C474),"",IF($AE474&lt;&gt;Constants!$B$7, $AE474 ,AQ474))</f>
        <v/>
      </c>
      <c r="BC474" s="103" t="str">
        <f aca="false">IF(ISBLANK($C474),"",IF($AE474&lt;&gt;Constants!$B$7, $AE474 ,AF474))</f>
        <v/>
      </c>
      <c r="BD474" s="104" t="str">
        <f aca="false">IF(ISBLANK(C474),"",AY474)</f>
        <v/>
      </c>
      <c r="BE474" s="104" t="str">
        <f aca="false">IF(ISBLANK(C474),"",AX474)</f>
        <v/>
      </c>
      <c r="BF474" s="105" t="str">
        <f aca="false">IF(ISBLANK(C474),"",IFERROR(_xlfn.SWITCH(BE474, Constants!$B$4, COUNTA($C$8:$C973)+2, Constants!$B$5, COUNTA($C$8:$C973)+1, Constants!$B$6, COUNTA($C$8:$C973)),BE474))</f>
        <v/>
      </c>
      <c r="BG474" s="5"/>
      <c r="BH474" s="106" t="n">
        <f aca="false">IF(OR(ISNUMBER(BE474),BE474="DQ",BE474="P",BE474="NS"),
    1,
    0
)</f>
        <v>0</v>
      </c>
      <c r="BI474" s="106" t="n">
        <v>467</v>
      </c>
      <c r="BJ474" s="106" t="str">
        <f aca="false">IF(ISBLANK($C474),
    "",
   BF474+ROW($B474)/1000
)</f>
        <v/>
      </c>
      <c r="BK474" s="106" t="str">
        <f aca="false">IF(ISNUMBER(BJ474), RANK(BJ474,BJ$8:BJ$507,1), "")</f>
        <v/>
      </c>
      <c r="BL474" s="106" t="str">
        <f aca="false">IF(ISBLANK($C474),
    "",
    $B474
)</f>
        <v/>
      </c>
      <c r="BM474" s="106" t="str">
        <f aca="false">IF(ISBLANK($C474),
    "",
    $C474
)</f>
        <v/>
      </c>
      <c r="BN474" s="106" t="str">
        <f aca="false">IF(ISBLANK($C474),
    "",
    $D474
)</f>
        <v/>
      </c>
      <c r="BO474" s="107" t="str">
        <f aca="false">BC474</f>
        <v/>
      </c>
      <c r="BP474" s="108" t="str">
        <f aca="false">BB474</f>
        <v/>
      </c>
      <c r="BQ474" s="106" t="str">
        <f aca="false">IF(ISBLANK($C474),
    "",
    BE474
)</f>
        <v/>
      </c>
      <c r="BR474" s="109" t="str">
        <f aca="false">IF(BI474&gt;BH$7,
    "",
    VLOOKUP(BI474,BK$8:BQ973,7,FALSE())
)</f>
        <v/>
      </c>
      <c r="BS474" s="110" t="str">
        <f aca="false">IF(BI474&gt;BH$7,
    "",
    VLOOKUP(BI474,BK$8:BQ973,2,FALSE())
)</f>
        <v/>
      </c>
      <c r="BT474" s="110" t="str">
        <f aca="false">IF(BI474&gt;BH$7,
    "",
    VLOOKUP(BI474,BK$8:BQ973,3,FALSE())
)</f>
        <v/>
      </c>
      <c r="BU474" s="110" t="str">
        <f aca="false">IF(BI474&gt;BH$7,
    "",
    VLOOKUP(BI474,BK$8:BQ973,4,FALSE())
)</f>
        <v/>
      </c>
      <c r="BV474" s="110" t="str">
        <f aca="false">IF(BI474&gt;BH$7,
    "",
    VLOOKUP(BI474,BK$8:BQ973,5,FALSE())
)</f>
        <v/>
      </c>
      <c r="BW474" s="111" t="str">
        <f aca="false">IF(BI474&gt;BH$7,
    "",
    VLOOKUP(BI474,BK$8:BQ973,6,FALSE())
)</f>
        <v/>
      </c>
      <c r="BX474" s="50"/>
    </row>
    <row r="475" customFormat="false" ht="15.75" hidden="false" customHeight="false" outlineLevel="0" collapsed="false">
      <c r="A475" s="5"/>
      <c r="B475" s="122"/>
      <c r="C475" s="123"/>
      <c r="D475" s="112"/>
      <c r="E475" s="116"/>
      <c r="F475" s="116"/>
      <c r="G475" s="88"/>
      <c r="H475" s="89"/>
      <c r="I475" s="125"/>
      <c r="J475" s="125"/>
      <c r="K475" s="125"/>
      <c r="L475" s="91"/>
      <c r="M475" s="91"/>
      <c r="N475" s="91"/>
      <c r="O475" s="92"/>
      <c r="P475" s="93"/>
      <c r="Q475" s="125"/>
      <c r="R475" s="95"/>
      <c r="S475" s="96"/>
      <c r="T475" s="96" t="str">
        <f aca="false">IF(ISBLANK($C475),"",IF(G475=Constants!$B$2, TRUE(), IF(G475=Constants!$B$3, FALSE(), TRUE())))</f>
        <v/>
      </c>
      <c r="U475" s="96" t="str">
        <f aca="false">IF(ISBLANK($C475),"",IF(H475=Constants!$B$2, TRUE(), IF(H475=Constants!$B$3, FALSE(), TRUE())))</f>
        <v/>
      </c>
      <c r="V475" s="96" t="str">
        <f aca="false">IF(ISBLANK($C475),"",IF(I475=Constants!$B$2, TRUE(), IF(I475=Constants!$B$3, FALSE(), TRUE())))</f>
        <v/>
      </c>
      <c r="W475" s="96" t="str">
        <f aca="false">IF(ISBLANK($C475),"",IF(J475=Constants!$B$2, TRUE(), IF(J475=Constants!$B$3, FALSE(), TRUE())))</f>
        <v/>
      </c>
      <c r="X475" s="97" t="str">
        <f aca="false">IF(ISBLANK($C475),"",IF(K475=Constants!$B$2, TRUE(), IF(K475=Constants!$B$3, FALSE(), TRUE())))</f>
        <v/>
      </c>
      <c r="Y475" s="98" t="str">
        <f aca="false">IF(ISBLANK($C475),"",IF(ISNUMBER(L475), L475, ""))</f>
        <v/>
      </c>
      <c r="Z475" s="98" t="str">
        <f aca="false">IF(ISBLANK($C475),"",IF(ISNUMBER(M475), M475, ""))</f>
        <v/>
      </c>
      <c r="AA475" s="98" t="str">
        <f aca="false">IF(ISBLANK($C475),"",IF(ISNUMBER(N475), N475, ""))</f>
        <v/>
      </c>
      <c r="AB475" s="99" t="str">
        <f aca="false">IF(ISBLANK($C475),"",IF(ISNUMBER(O475), O475, ""))</f>
        <v/>
      </c>
      <c r="AC475" s="99" t="str">
        <f aca="false">IF(ISBLANK($C475),"",IF(ISNUMBER(P475), P475, Constants!$B$13))</f>
        <v/>
      </c>
      <c r="AD475" s="96" t="str">
        <f aca="false">IF(ISBLANK($C475),"",IF(Q475=Constants!$B$2, TRUE(), IF(Q475=Constants!$B$3, FALSE(), FALSE())))</f>
        <v/>
      </c>
      <c r="AE475" s="96" t="str">
        <f aca="false">IF(ISBLANK(C475), "", IF(AD475, Constants!$B$4,IF(COUNTA(G475:O475)=0, Constants!$B$5, Constants!$B$7)))</f>
        <v/>
      </c>
      <c r="AF475" s="96" t="str">
        <f aca="false">IF(ISBLANK($C475), "",IF($AE475=Constants!$B$7,1,$AE475))</f>
        <v/>
      </c>
      <c r="AG475" s="96" t="str">
        <f aca="false">IF($AE475=Constants!$B$7,IF(V475, 1, Constants!$B$11) * IF(X475, 1, Constants!$B$12),"")</f>
        <v/>
      </c>
      <c r="AH475" s="96" t="str">
        <f aca="false">IF(AND($AE475=Constants!$B$7, T475, U475) ,MAX(0, $AA475-$Y475),"")</f>
        <v/>
      </c>
      <c r="AI475" s="96" t="str">
        <f aca="false">IF(ISERROR(AH475),$AI$6,"")</f>
        <v/>
      </c>
      <c r="AJ475" s="96" t="str">
        <f aca="false">IF($AE475=Constants!$B$7,IF(AND(T475,U475,W475),IF($AH$6=0,Constants!$B$9,Constants!$B$9*AH475/$AH$6), 0),"")</f>
        <v/>
      </c>
      <c r="AK475" s="96" t="str">
        <f aca="false">IF(AJ475&lt;&gt;"", AJ475*AG475,"")</f>
        <v/>
      </c>
      <c r="AL475" s="96" t="str">
        <f aca="false">IF(AND($AE475=Constants!$B$7, T475, U475) ,IF($Z475="", "", MAX(0,1-ABS($AA475-$Z475)/$AA475)),"")</f>
        <v/>
      </c>
      <c r="AM475" s="96" t="str">
        <f aca="false">IF(AND(NOT(ISERROR(AH475)),ISERROR(AL475)),$AM$6,"")</f>
        <v/>
      </c>
      <c r="AN475" s="96" t="str">
        <f aca="false">IF($AE475=Constants!$B$7 ,IF(AND(T475,U475,W475,ISNUMBER(Z475)),IF($AL$6=0,Constants!$B$10,Constants!$B$10*AL475/$AL$6), 0),"")</f>
        <v/>
      </c>
      <c r="AO475" s="96" t="str">
        <f aca="false">IF(AN475&lt;&gt;"", AN475*AG475,"")</f>
        <v/>
      </c>
      <c r="AP475" s="96" t="str">
        <f aca="false">IF($AE475=Constants!$B$7,IF($AP$6=0,Constants!$B$8,Constants!$B$8*AB475/$AP$6),"")</f>
        <v/>
      </c>
      <c r="AQ475" s="96" t="str">
        <f aca="false">IF($AE475&lt;&gt;Constants!$B$7,$AE475,AK475+AO475+AP475)</f>
        <v/>
      </c>
      <c r="AR475" s="96" t="str">
        <f aca="false">IF(ISBLANK($C475),"",IF($AE475=Constants!$B$7,RANK(AQ475,$AQ$8:$AQ$507),$AE475))</f>
        <v/>
      </c>
      <c r="AS475" s="96" t="str">
        <f aca="false">IF(ISBLANK($C475), "",AK475)</f>
        <v/>
      </c>
      <c r="AT475" s="96" t="str">
        <f aca="false">IF(ISBLANK($C475),"",IF($AE475=Constants!$B$7,RANK(AS475,AS$8:AS$507),$AE475))</f>
        <v/>
      </c>
      <c r="AU475" s="96" t="str">
        <f aca="false">IF(ISBLANK($C475), "",AP475)</f>
        <v/>
      </c>
      <c r="AV475" s="96" t="str">
        <f aca="false">IF(ISBLANK($C475),"",IF($AE475=Constants!$B$7,RANK(AU475,AU$8:AU$507),$AE475))</f>
        <v/>
      </c>
      <c r="AW475" s="96" t="str">
        <f aca="false">IF(ISBLANK($C475), "",AC475)</f>
        <v/>
      </c>
      <c r="AX475" s="96" t="str">
        <f aca="false">IF(ISBLANK($C475),"",
IF($AE475=Constants!$B$7,
  COUNTIFS($AR$8:$AR$507,"&lt;"&amp;$AR475)
  + COUNTIFS($AR$8:$AR$507,$AR475,$AT$8:$AT$507,"&lt;"&amp;$AT475)
  + COUNTIFS($AR$8:$AR$507,$AR475,$AT$8:$AT$507,$AT475,$AV$8:$AV$507,"&lt;"&amp;$AV475)
  + COUNTIFS($AR$8:$AR$507,$AR475,$AT$8:$AT$507,$AT475,$AV$8:$AV$507,$AV475,$AW$8:$AW$507,"&lt;"&amp;$AW475)
  + 1,
$AE475))</f>
        <v/>
      </c>
      <c r="AY475" s="96" t="str">
        <f aca="false">IF(ISBLANK(C475),"",IF($AE475=Constants!$B$7, AR475-AX475,$AE475))</f>
        <v/>
      </c>
      <c r="AZ475" s="100"/>
      <c r="BA475" s="101" t="str">
        <f aca="false">IF(ISBLANK($C475),"",TRIM(AI475&amp;" "&amp;AM475))</f>
        <v/>
      </c>
      <c r="BB475" s="102" t="str">
        <f aca="false">IF(ISBLANK($C475),"",IF($AE475&lt;&gt;Constants!$B$7, $AE475 ,AQ475))</f>
        <v/>
      </c>
      <c r="BC475" s="103" t="str">
        <f aca="false">IF(ISBLANK($C475),"",IF($AE475&lt;&gt;Constants!$B$7, $AE475 ,AF475))</f>
        <v/>
      </c>
      <c r="BD475" s="104" t="str">
        <f aca="false">IF(ISBLANK(C475),"",AY475)</f>
        <v/>
      </c>
      <c r="BE475" s="104" t="str">
        <f aca="false">IF(ISBLANK(C475),"",AX475)</f>
        <v/>
      </c>
      <c r="BF475" s="105" t="str">
        <f aca="false">IF(ISBLANK(C475),"",IFERROR(_xlfn.SWITCH(BE475, Constants!$B$4, COUNTA($C$8:$C974)+2, Constants!$B$5, COUNTA($C$8:$C974)+1, Constants!$B$6, COUNTA($C$8:$C974)),BE475))</f>
        <v/>
      </c>
      <c r="BG475" s="5"/>
      <c r="BH475" s="106" t="n">
        <f aca="false">IF(OR(ISNUMBER(BE475),BE475="DQ",BE475="P",BE475="NS"),
    1,
    0
)</f>
        <v>0</v>
      </c>
      <c r="BI475" s="106" t="n">
        <v>468</v>
      </c>
      <c r="BJ475" s="106" t="str">
        <f aca="false">IF(ISBLANK($C475),
    "",
   BF475+ROW($B475)/1000
)</f>
        <v/>
      </c>
      <c r="BK475" s="106" t="str">
        <f aca="false">IF(ISNUMBER(BJ475), RANK(BJ475,BJ$8:BJ$507,1), "")</f>
        <v/>
      </c>
      <c r="BL475" s="106" t="str">
        <f aca="false">IF(ISBLANK($C475),
    "",
    $B475
)</f>
        <v/>
      </c>
      <c r="BM475" s="106" t="str">
        <f aca="false">IF(ISBLANK($C475),
    "",
    $C475
)</f>
        <v/>
      </c>
      <c r="BN475" s="106" t="str">
        <f aca="false">IF(ISBLANK($C475),
    "",
    $D475
)</f>
        <v/>
      </c>
      <c r="BO475" s="107" t="str">
        <f aca="false">BC475</f>
        <v/>
      </c>
      <c r="BP475" s="108" t="str">
        <f aca="false">BB475</f>
        <v/>
      </c>
      <c r="BQ475" s="106" t="str">
        <f aca="false">IF(ISBLANK($C475),
    "",
    BE475
)</f>
        <v/>
      </c>
      <c r="BR475" s="109" t="str">
        <f aca="false">IF(BI475&gt;BH$7,
    "",
    VLOOKUP(BI475,BK$8:BQ974,7,FALSE())
)</f>
        <v/>
      </c>
      <c r="BS475" s="110" t="str">
        <f aca="false">IF(BI475&gt;BH$7,
    "",
    VLOOKUP(BI475,BK$8:BQ974,2,FALSE())
)</f>
        <v/>
      </c>
      <c r="BT475" s="110" t="str">
        <f aca="false">IF(BI475&gt;BH$7,
    "",
    VLOOKUP(BI475,BK$8:BQ974,3,FALSE())
)</f>
        <v/>
      </c>
      <c r="BU475" s="110" t="str">
        <f aca="false">IF(BI475&gt;BH$7,
    "",
    VLOOKUP(BI475,BK$8:BQ974,4,FALSE())
)</f>
        <v/>
      </c>
      <c r="BV475" s="110" t="str">
        <f aca="false">IF(BI475&gt;BH$7,
    "",
    VLOOKUP(BI475,BK$8:BQ974,5,FALSE())
)</f>
        <v/>
      </c>
      <c r="BW475" s="111" t="str">
        <f aca="false">IF(BI475&gt;BH$7,
    "",
    VLOOKUP(BI475,BK$8:BQ974,6,FALSE())
)</f>
        <v/>
      </c>
      <c r="BX475" s="50"/>
    </row>
    <row r="476" customFormat="false" ht="15.75" hidden="false" customHeight="false" outlineLevel="0" collapsed="false">
      <c r="A476" s="5"/>
      <c r="B476" s="126"/>
      <c r="C476" s="52"/>
      <c r="D476" s="53"/>
      <c r="E476" s="120"/>
      <c r="F476" s="120"/>
      <c r="G476" s="55"/>
      <c r="H476" s="56"/>
      <c r="I476" s="80"/>
      <c r="J476" s="80"/>
      <c r="K476" s="80"/>
      <c r="L476" s="58"/>
      <c r="M476" s="58"/>
      <c r="N476" s="58"/>
      <c r="O476" s="59"/>
      <c r="P476" s="60"/>
      <c r="Q476" s="80"/>
      <c r="R476" s="62"/>
      <c r="S476" s="63"/>
      <c r="T476" s="63" t="str">
        <f aca="false">IF(ISBLANK($C476),"",IF(G476=Constants!$B$2, TRUE(), IF(G476=Constants!$B$3, FALSE(), TRUE())))</f>
        <v/>
      </c>
      <c r="U476" s="63" t="str">
        <f aca="false">IF(ISBLANK($C476),"",IF(H476=Constants!$B$2, TRUE(), IF(H476=Constants!$B$3, FALSE(), TRUE())))</f>
        <v/>
      </c>
      <c r="V476" s="63" t="str">
        <f aca="false">IF(ISBLANK($C476),"",IF(I476=Constants!$B$2, TRUE(), IF(I476=Constants!$B$3, FALSE(), TRUE())))</f>
        <v/>
      </c>
      <c r="W476" s="63" t="str">
        <f aca="false">IF(ISBLANK($C476),"",IF(J476=Constants!$B$2, TRUE(), IF(J476=Constants!$B$3, FALSE(), TRUE())))</f>
        <v/>
      </c>
      <c r="X476" s="63" t="str">
        <f aca="false">IF(ISBLANK($C476),"",IF(K476=Constants!$B$2, TRUE(), IF(K476=Constants!$B$3, FALSE(), TRUE())))</f>
        <v/>
      </c>
      <c r="Y476" s="65" t="str">
        <f aca="false">IF(ISBLANK($C476),"",IF(ISNUMBER(L476), L476, ""))</f>
        <v/>
      </c>
      <c r="Z476" s="65" t="str">
        <f aca="false">IF(ISBLANK($C476),"",IF(ISNUMBER(M476), M476, ""))</f>
        <v/>
      </c>
      <c r="AA476" s="65" t="str">
        <f aca="false">IF(ISBLANK($C476),"",IF(ISNUMBER(N476), N476, ""))</f>
        <v/>
      </c>
      <c r="AB476" s="66" t="str">
        <f aca="false">IF(ISBLANK($C476),"",IF(ISNUMBER(O476), O476, ""))</f>
        <v/>
      </c>
      <c r="AC476" s="66" t="str">
        <f aca="false">IF(ISBLANK($C476),"",IF(ISNUMBER(P476), P476, Constants!$B$13))</f>
        <v/>
      </c>
      <c r="AD476" s="63" t="str">
        <f aca="false">IF(ISBLANK($C476),"",IF(Q476=Constants!$B$2, TRUE(), IF(Q476=Constants!$B$3, FALSE(), FALSE())))</f>
        <v/>
      </c>
      <c r="AE476" s="63" t="str">
        <f aca="false">IF(ISBLANK(C476), "", IF(AD476, Constants!$B$4,IF(COUNTA(G476:O476)=0, Constants!$B$5, Constants!$B$7)))</f>
        <v/>
      </c>
      <c r="AF476" s="63" t="str">
        <f aca="false">IF(ISBLANK($C476), "",IF($AE476=Constants!$B$7,1,$AE476))</f>
        <v/>
      </c>
      <c r="AG476" s="63" t="str">
        <f aca="false">IF($AE476=Constants!$B$7,IF(V476, 1, Constants!$B$11) * IF(X476, 1, Constants!$B$12),"")</f>
        <v/>
      </c>
      <c r="AH476" s="63" t="str">
        <f aca="false">IF(AND($AE476=Constants!$B$7, T476, U476) ,MAX(0, $AA476-$Y476),"")</f>
        <v/>
      </c>
      <c r="AI476" s="63" t="str">
        <f aca="false">IF(ISERROR(AH476),$AI$6,"")</f>
        <v/>
      </c>
      <c r="AJ476" s="63" t="str">
        <f aca="false">IF($AE476=Constants!$B$7,IF(AND(T476,U476,W476),IF($AH$6=0,Constants!$B$9,Constants!$B$9*AH476/$AH$6), 0),"")</f>
        <v/>
      </c>
      <c r="AK476" s="63" t="str">
        <f aca="false">IF(AJ476&lt;&gt;"", AJ476*AG476,"")</f>
        <v/>
      </c>
      <c r="AL476" s="63" t="str">
        <f aca="false">IF(AND($AE476=Constants!$B$7, T476, U476) ,IF($Z476="", "", MAX(0,1-ABS($AA476-$Z476)/$AA476)),"")</f>
        <v/>
      </c>
      <c r="AM476" s="63" t="str">
        <f aca="false">IF(AND(NOT(ISERROR(AH476)),ISERROR(AL476)),$AM$6,"")</f>
        <v/>
      </c>
      <c r="AN476" s="63" t="str">
        <f aca="false">IF($AE476=Constants!$B$7 ,IF(AND(T476,U476,W476,ISNUMBER(Z476)),IF($AL$6=0,Constants!$B$10,Constants!$B$10*AL476/$AL$6), 0),"")</f>
        <v/>
      </c>
      <c r="AO476" s="63" t="str">
        <f aca="false">IF(AN476&lt;&gt;"", AN476*AG476,"")</f>
        <v/>
      </c>
      <c r="AP476" s="63" t="str">
        <f aca="false">IF($AE476=Constants!$B$7,IF($AP$6=0,Constants!$B$8,Constants!$B$8*AB476/$AP$6),"")</f>
        <v/>
      </c>
      <c r="AQ476" s="63" t="str">
        <f aca="false">IF($AE476&lt;&gt;Constants!$B$7,$AE476,AK476+AO476+AP476)</f>
        <v/>
      </c>
      <c r="AR476" s="63" t="str">
        <f aca="false">IF(ISBLANK($C476),"",IF($AE476=Constants!$B$7,RANK(AQ476,$AQ$8:$AQ$507),$AE476))</f>
        <v/>
      </c>
      <c r="AS476" s="63" t="str">
        <f aca="false">IF(ISBLANK($C476), "",AK476)</f>
        <v/>
      </c>
      <c r="AT476" s="63" t="str">
        <f aca="false">IF(ISBLANK($C476),"",IF($AE476=Constants!$B$7,RANK(AS476,AS$8:AS$507),$AE476))</f>
        <v/>
      </c>
      <c r="AU476" s="63" t="str">
        <f aca="false">IF(ISBLANK($C476), "",AP476)</f>
        <v/>
      </c>
      <c r="AV476" s="63" t="str">
        <f aca="false">IF(ISBLANK($C476),"",IF($AE476=Constants!$B$7,RANK(AU476,AU$8:AU$507),$AE476))</f>
        <v/>
      </c>
      <c r="AW476" s="63" t="str">
        <f aca="false">IF(ISBLANK($C476), "",AC476)</f>
        <v/>
      </c>
      <c r="AX476" s="63" t="str">
        <f aca="false">IF(ISBLANK($C476),"",
IF($AE476=Constants!$B$7,
  COUNTIFS($AR$8:$AR$507,"&lt;"&amp;$AR476)
  + COUNTIFS($AR$8:$AR$507,$AR476,$AT$8:$AT$507,"&lt;"&amp;$AT476)
  + COUNTIFS($AR$8:$AR$507,$AR476,$AT$8:$AT$507,$AT476,$AV$8:$AV$507,"&lt;"&amp;$AV476)
  + COUNTIFS($AR$8:$AR$507,$AR476,$AT$8:$AT$507,$AT476,$AV$8:$AV$507,$AV476,$AW$8:$AW$507,"&lt;"&amp;$AW476)
  + 1,
$AE476))</f>
        <v/>
      </c>
      <c r="AY476" s="63" t="str">
        <f aca="false">IF(ISBLANK(C476),"",IF($AE476=Constants!$B$7, AR476-AX476,$AE476))</f>
        <v/>
      </c>
      <c r="AZ476" s="67"/>
      <c r="BA476" s="81" t="str">
        <f aca="false">IF(ISBLANK($C476),"",TRIM(AI476&amp;" "&amp;AM476))</f>
        <v/>
      </c>
      <c r="BB476" s="69" t="str">
        <f aca="false">IF(ISBLANK($C476),"",IF($AE476&lt;&gt;Constants!$B$7, $AE476 ,AQ476))</f>
        <v/>
      </c>
      <c r="BC476" s="70" t="str">
        <f aca="false">IF(ISBLANK($C476),"",IF($AE476&lt;&gt;Constants!$B$7, $AE476 ,AF476))</f>
        <v/>
      </c>
      <c r="BD476" s="71" t="str">
        <f aca="false">IF(ISBLANK(C476),"",AY476)</f>
        <v/>
      </c>
      <c r="BE476" s="71" t="str">
        <f aca="false">IF(ISBLANK(C476),"",AX476)</f>
        <v/>
      </c>
      <c r="BF476" s="72" t="str">
        <f aca="false">IF(ISBLANK(C476),"",IFERROR(_xlfn.SWITCH(BE476, Constants!$B$4, COUNTA($C$8:$C975)+2, Constants!$B$5, COUNTA($C$8:$C975)+1, Constants!$B$6, COUNTA($C$8:$C975)),BE476))</f>
        <v/>
      </c>
      <c r="BG476" s="5"/>
      <c r="BH476" s="73" t="n">
        <f aca="false">IF(OR(ISNUMBER(BE476),BE476="DQ",BE476="P",BE476="NS"),
    1,
    0
)</f>
        <v>0</v>
      </c>
      <c r="BI476" s="73" t="n">
        <v>469</v>
      </c>
      <c r="BJ476" s="73" t="str">
        <f aca="false">IF(ISBLANK($C476),
    "",
   BF476+ROW($B476)/1000
)</f>
        <v/>
      </c>
      <c r="BK476" s="73" t="str">
        <f aca="false">IF(ISNUMBER(BJ476), RANK(BJ476,BJ$8:BJ$507,1), "")</f>
        <v/>
      </c>
      <c r="BL476" s="73" t="str">
        <f aca="false">IF(ISBLANK($C476),
    "",
    $B476
)</f>
        <v/>
      </c>
      <c r="BM476" s="73" t="str">
        <f aca="false">IF(ISBLANK($C476),
    "",
    $C476
)</f>
        <v/>
      </c>
      <c r="BN476" s="73" t="str">
        <f aca="false">IF(ISBLANK($C476),
    "",
    $D476
)</f>
        <v/>
      </c>
      <c r="BO476" s="74" t="str">
        <f aca="false">BC476</f>
        <v/>
      </c>
      <c r="BP476" s="75" t="str">
        <f aca="false">BB476</f>
        <v/>
      </c>
      <c r="BQ476" s="73" t="str">
        <f aca="false">IF(ISBLANK($C476),
    "",
    BE476
)</f>
        <v/>
      </c>
      <c r="BR476" s="76" t="str">
        <f aca="false">IF(BI476&gt;BH$7,
    "",
    VLOOKUP(BI476,BK$8:BQ975,7,FALSE())
)</f>
        <v/>
      </c>
      <c r="BS476" s="77" t="str">
        <f aca="false">IF(BI476&gt;BH$7,
    "",
    VLOOKUP(BI476,BK$8:BQ975,2,FALSE())
)</f>
        <v/>
      </c>
      <c r="BT476" s="77" t="str">
        <f aca="false">IF(BI476&gt;BH$7,
    "",
    VLOOKUP(BI476,BK$8:BQ975,3,FALSE())
)</f>
        <v/>
      </c>
      <c r="BU476" s="77" t="str">
        <f aca="false">IF(BI476&gt;BH$7,
    "",
    VLOOKUP(BI476,BK$8:BQ975,4,FALSE())
)</f>
        <v/>
      </c>
      <c r="BV476" s="77" t="str">
        <f aca="false">IF(BI476&gt;BH$7,
    "",
    VLOOKUP(BI476,BK$8:BQ975,5,FALSE())
)</f>
        <v/>
      </c>
      <c r="BW476" s="78" t="str">
        <f aca="false">IF(BI476&gt;BH$7,
    "",
    VLOOKUP(BI476,BK$8:BQ975,6,FALSE())
)</f>
        <v/>
      </c>
      <c r="BX476" s="50"/>
    </row>
    <row r="477" customFormat="false" ht="15.75" hidden="false" customHeight="false" outlineLevel="0" collapsed="false">
      <c r="A477" s="5"/>
      <c r="B477" s="126"/>
      <c r="C477" s="52"/>
      <c r="D477" s="53"/>
      <c r="E477" s="120"/>
      <c r="F477" s="120"/>
      <c r="G477" s="55"/>
      <c r="H477" s="56"/>
      <c r="I477" s="80"/>
      <c r="J477" s="80"/>
      <c r="K477" s="80"/>
      <c r="L477" s="58"/>
      <c r="M477" s="58"/>
      <c r="N477" s="58"/>
      <c r="O477" s="59"/>
      <c r="P477" s="60"/>
      <c r="Q477" s="80"/>
      <c r="R477" s="62"/>
      <c r="S477" s="63"/>
      <c r="T477" s="63" t="str">
        <f aca="false">IF(ISBLANK($C477),"",IF(G477=Constants!$B$2, TRUE(), IF(G477=Constants!$B$3, FALSE(), TRUE())))</f>
        <v/>
      </c>
      <c r="U477" s="63" t="str">
        <f aca="false">IF(ISBLANK($C477),"",IF(H477=Constants!$B$2, TRUE(), IF(H477=Constants!$B$3, FALSE(), TRUE())))</f>
        <v/>
      </c>
      <c r="V477" s="63" t="str">
        <f aca="false">IF(ISBLANK($C477),"",IF(I477=Constants!$B$2, TRUE(), IF(I477=Constants!$B$3, FALSE(), TRUE())))</f>
        <v/>
      </c>
      <c r="W477" s="63" t="str">
        <f aca="false">IF(ISBLANK($C477),"",IF(J477=Constants!$B$2, TRUE(), IF(J477=Constants!$B$3, FALSE(), TRUE())))</f>
        <v/>
      </c>
      <c r="X477" s="63" t="str">
        <f aca="false">IF(ISBLANK($C477),"",IF(K477=Constants!$B$2, TRUE(), IF(K477=Constants!$B$3, FALSE(), TRUE())))</f>
        <v/>
      </c>
      <c r="Y477" s="65" t="str">
        <f aca="false">IF(ISBLANK($C477),"",IF(ISNUMBER(L477), L477, ""))</f>
        <v/>
      </c>
      <c r="Z477" s="65" t="str">
        <f aca="false">IF(ISBLANK($C477),"",IF(ISNUMBER(M477), M477, ""))</f>
        <v/>
      </c>
      <c r="AA477" s="65" t="str">
        <f aca="false">IF(ISBLANK($C477),"",IF(ISNUMBER(N477), N477, ""))</f>
        <v/>
      </c>
      <c r="AB477" s="66" t="str">
        <f aca="false">IF(ISBLANK($C477),"",IF(ISNUMBER(O477), O477, ""))</f>
        <v/>
      </c>
      <c r="AC477" s="66" t="str">
        <f aca="false">IF(ISBLANK($C477),"",IF(ISNUMBER(P477), P477, Constants!$B$13))</f>
        <v/>
      </c>
      <c r="AD477" s="63" t="str">
        <f aca="false">IF(ISBLANK($C477),"",IF(Q477=Constants!$B$2, TRUE(), IF(Q477=Constants!$B$3, FALSE(), FALSE())))</f>
        <v/>
      </c>
      <c r="AE477" s="63" t="str">
        <f aca="false">IF(ISBLANK(C477), "", IF(AD477, Constants!$B$4,IF(COUNTA(G477:O477)=0, Constants!$B$5, Constants!$B$7)))</f>
        <v/>
      </c>
      <c r="AF477" s="63" t="str">
        <f aca="false">IF(ISBLANK($C477), "",IF($AE477=Constants!$B$7,1,$AE477))</f>
        <v/>
      </c>
      <c r="AG477" s="63" t="str">
        <f aca="false">IF($AE477=Constants!$B$7,IF(V477, 1, Constants!$B$11) * IF(X477, 1, Constants!$B$12),"")</f>
        <v/>
      </c>
      <c r="AH477" s="63" t="str">
        <f aca="false">IF(AND($AE477=Constants!$B$7, T477, U477) ,MAX(0, $AA477-$Y477),"")</f>
        <v/>
      </c>
      <c r="AI477" s="63" t="str">
        <f aca="false">IF(ISERROR(AH477),$AI$6,"")</f>
        <v/>
      </c>
      <c r="AJ477" s="63" t="str">
        <f aca="false">IF($AE477=Constants!$B$7,IF(AND(T477,U477,W477),IF($AH$6=0,Constants!$B$9,Constants!$B$9*AH477/$AH$6), 0),"")</f>
        <v/>
      </c>
      <c r="AK477" s="63" t="str">
        <f aca="false">IF(AJ477&lt;&gt;"", AJ477*AG477,"")</f>
        <v/>
      </c>
      <c r="AL477" s="63" t="str">
        <f aca="false">IF(AND($AE477=Constants!$B$7, T477, U477) ,IF($Z477="", "", MAX(0,1-ABS($AA477-$Z477)/$AA477)),"")</f>
        <v/>
      </c>
      <c r="AM477" s="63" t="str">
        <f aca="false">IF(AND(NOT(ISERROR(AH477)),ISERROR(AL477)),$AM$6,"")</f>
        <v/>
      </c>
      <c r="AN477" s="63" t="str">
        <f aca="false">IF($AE477=Constants!$B$7 ,IF(AND(T477,U477,W477,ISNUMBER(Z477)),IF($AL$6=0,Constants!$B$10,Constants!$B$10*AL477/$AL$6), 0),"")</f>
        <v/>
      </c>
      <c r="AO477" s="63" t="str">
        <f aca="false">IF(AN477&lt;&gt;"", AN477*AG477,"")</f>
        <v/>
      </c>
      <c r="AP477" s="63" t="str">
        <f aca="false">IF($AE477=Constants!$B$7,IF($AP$6=0,Constants!$B$8,Constants!$B$8*AB477/$AP$6),"")</f>
        <v/>
      </c>
      <c r="AQ477" s="63" t="str">
        <f aca="false">IF($AE477&lt;&gt;Constants!$B$7,$AE477,AK477+AO477+AP477)</f>
        <v/>
      </c>
      <c r="AR477" s="63" t="str">
        <f aca="false">IF(ISBLANK($C477),"",IF($AE477=Constants!$B$7,RANK(AQ477,$AQ$8:$AQ$507),$AE477))</f>
        <v/>
      </c>
      <c r="AS477" s="63" t="str">
        <f aca="false">IF(ISBLANK($C477), "",AK477)</f>
        <v/>
      </c>
      <c r="AT477" s="63" t="str">
        <f aca="false">IF(ISBLANK($C477),"",IF($AE477=Constants!$B$7,RANK(AS477,AS$8:AS$507),$AE477))</f>
        <v/>
      </c>
      <c r="AU477" s="63" t="str">
        <f aca="false">IF(ISBLANK($C477), "",AP477)</f>
        <v/>
      </c>
      <c r="AV477" s="63" t="str">
        <f aca="false">IF(ISBLANK($C477),"",IF($AE477=Constants!$B$7,RANK(AU477,AU$8:AU$507),$AE477))</f>
        <v/>
      </c>
      <c r="AW477" s="63" t="str">
        <f aca="false">IF(ISBLANK($C477), "",AC477)</f>
        <v/>
      </c>
      <c r="AX477" s="63" t="str">
        <f aca="false">IF(ISBLANK($C477),"",
IF($AE477=Constants!$B$7,
  COUNTIFS($AR$8:$AR$507,"&lt;"&amp;$AR477)
  + COUNTIFS($AR$8:$AR$507,$AR477,$AT$8:$AT$507,"&lt;"&amp;$AT477)
  + COUNTIFS($AR$8:$AR$507,$AR477,$AT$8:$AT$507,$AT477,$AV$8:$AV$507,"&lt;"&amp;$AV477)
  + COUNTIFS($AR$8:$AR$507,$AR477,$AT$8:$AT$507,$AT477,$AV$8:$AV$507,$AV477,$AW$8:$AW$507,"&lt;"&amp;$AW477)
  + 1,
$AE477))</f>
        <v/>
      </c>
      <c r="AY477" s="63" t="str">
        <f aca="false">IF(ISBLANK(C477),"",IF($AE477=Constants!$B$7, AR477-AX477,$AE477))</f>
        <v/>
      </c>
      <c r="AZ477" s="67"/>
      <c r="BA477" s="81" t="str">
        <f aca="false">IF(ISBLANK($C477),"",TRIM(AI477&amp;" "&amp;AM477))</f>
        <v/>
      </c>
      <c r="BB477" s="69" t="str">
        <f aca="false">IF(ISBLANK($C477),"",IF($AE477&lt;&gt;Constants!$B$7, $AE477 ,AQ477))</f>
        <v/>
      </c>
      <c r="BC477" s="70" t="str">
        <f aca="false">IF(ISBLANK($C477),"",IF($AE477&lt;&gt;Constants!$B$7, $AE477 ,AF477))</f>
        <v/>
      </c>
      <c r="BD477" s="71" t="str">
        <f aca="false">IF(ISBLANK(C477),"",AY477)</f>
        <v/>
      </c>
      <c r="BE477" s="71" t="str">
        <f aca="false">IF(ISBLANK(C477),"",AX477)</f>
        <v/>
      </c>
      <c r="BF477" s="72" t="str">
        <f aca="false">IF(ISBLANK(C477),"",IFERROR(_xlfn.SWITCH(BE477, Constants!$B$4, COUNTA($C$8:$C976)+2, Constants!$B$5, COUNTA($C$8:$C976)+1, Constants!$B$6, COUNTA($C$8:$C976)),BE477))</f>
        <v/>
      </c>
      <c r="BG477" s="5"/>
      <c r="BH477" s="73" t="n">
        <f aca="false">IF(OR(ISNUMBER(BE477),BE477="DQ",BE477="P",BE477="NS"),
    1,
    0
)</f>
        <v>0</v>
      </c>
      <c r="BI477" s="73" t="n">
        <v>470</v>
      </c>
      <c r="BJ477" s="73" t="str">
        <f aca="false">IF(ISBLANK($C477),
    "",
   BF477+ROW($B477)/1000
)</f>
        <v/>
      </c>
      <c r="BK477" s="73" t="str">
        <f aca="false">IF(ISNUMBER(BJ477), RANK(BJ477,BJ$8:BJ$507,1), "")</f>
        <v/>
      </c>
      <c r="BL477" s="73" t="str">
        <f aca="false">IF(ISBLANK($C477),
    "",
    $B477
)</f>
        <v/>
      </c>
      <c r="BM477" s="73" t="str">
        <f aca="false">IF(ISBLANK($C477),
    "",
    $C477
)</f>
        <v/>
      </c>
      <c r="BN477" s="73" t="str">
        <f aca="false">IF(ISBLANK($C477),
    "",
    $D477
)</f>
        <v/>
      </c>
      <c r="BO477" s="74" t="str">
        <f aca="false">BC477</f>
        <v/>
      </c>
      <c r="BP477" s="75" t="str">
        <f aca="false">BB477</f>
        <v/>
      </c>
      <c r="BQ477" s="73" t="str">
        <f aca="false">IF(ISBLANK($C477),
    "",
    BE477
)</f>
        <v/>
      </c>
      <c r="BR477" s="76" t="str">
        <f aca="false">IF(BI477&gt;BH$7,
    "",
    VLOOKUP(BI477,BK$8:BQ976,7,FALSE())
)</f>
        <v/>
      </c>
      <c r="BS477" s="77" t="str">
        <f aca="false">IF(BI477&gt;BH$7,
    "",
    VLOOKUP(BI477,BK$8:BQ976,2,FALSE())
)</f>
        <v/>
      </c>
      <c r="BT477" s="77" t="str">
        <f aca="false">IF(BI477&gt;BH$7,
    "",
    VLOOKUP(BI477,BK$8:BQ976,3,FALSE())
)</f>
        <v/>
      </c>
      <c r="BU477" s="77" t="str">
        <f aca="false">IF(BI477&gt;BH$7,
    "",
    VLOOKUP(BI477,BK$8:BQ976,4,FALSE())
)</f>
        <v/>
      </c>
      <c r="BV477" s="77" t="str">
        <f aca="false">IF(BI477&gt;BH$7,
    "",
    VLOOKUP(BI477,BK$8:BQ976,5,FALSE())
)</f>
        <v/>
      </c>
      <c r="BW477" s="78" t="str">
        <f aca="false">IF(BI477&gt;BH$7,
    "",
    VLOOKUP(BI477,BK$8:BQ976,6,FALSE())
)</f>
        <v/>
      </c>
      <c r="BX477" s="50"/>
    </row>
    <row r="478" customFormat="false" ht="15.75" hidden="false" customHeight="false" outlineLevel="0" collapsed="false">
      <c r="A478" s="5"/>
      <c r="B478" s="126"/>
      <c r="C478" s="52"/>
      <c r="D478" s="53"/>
      <c r="E478" s="120"/>
      <c r="F478" s="120"/>
      <c r="G478" s="55"/>
      <c r="H478" s="56"/>
      <c r="I478" s="80"/>
      <c r="J478" s="80"/>
      <c r="K478" s="80"/>
      <c r="L478" s="58"/>
      <c r="M478" s="58"/>
      <c r="N478" s="58"/>
      <c r="O478" s="59"/>
      <c r="P478" s="60"/>
      <c r="Q478" s="80"/>
      <c r="R478" s="62"/>
      <c r="S478" s="63"/>
      <c r="T478" s="63" t="str">
        <f aca="false">IF(ISBLANK($C478),"",IF(G478=Constants!$B$2, TRUE(), IF(G478=Constants!$B$3, FALSE(), TRUE())))</f>
        <v/>
      </c>
      <c r="U478" s="63" t="str">
        <f aca="false">IF(ISBLANK($C478),"",IF(H478=Constants!$B$2, TRUE(), IF(H478=Constants!$B$3, FALSE(), TRUE())))</f>
        <v/>
      </c>
      <c r="V478" s="63" t="str">
        <f aca="false">IF(ISBLANK($C478),"",IF(I478=Constants!$B$2, TRUE(), IF(I478=Constants!$B$3, FALSE(), TRUE())))</f>
        <v/>
      </c>
      <c r="W478" s="63" t="str">
        <f aca="false">IF(ISBLANK($C478),"",IF(J478=Constants!$B$2, TRUE(), IF(J478=Constants!$B$3, FALSE(), TRUE())))</f>
        <v/>
      </c>
      <c r="X478" s="63" t="str">
        <f aca="false">IF(ISBLANK($C478),"",IF(K478=Constants!$B$2, TRUE(), IF(K478=Constants!$B$3, FALSE(), TRUE())))</f>
        <v/>
      </c>
      <c r="Y478" s="65" t="str">
        <f aca="false">IF(ISBLANK($C478),"",IF(ISNUMBER(L478), L478, ""))</f>
        <v/>
      </c>
      <c r="Z478" s="65" t="str">
        <f aca="false">IF(ISBLANK($C478),"",IF(ISNUMBER(M478), M478, ""))</f>
        <v/>
      </c>
      <c r="AA478" s="65" t="str">
        <f aca="false">IF(ISBLANK($C478),"",IF(ISNUMBER(N478), N478, ""))</f>
        <v/>
      </c>
      <c r="AB478" s="66" t="str">
        <f aca="false">IF(ISBLANK($C478),"",IF(ISNUMBER(O478), O478, ""))</f>
        <v/>
      </c>
      <c r="AC478" s="66" t="str">
        <f aca="false">IF(ISBLANK($C478),"",IF(ISNUMBER(P478), P478, Constants!$B$13))</f>
        <v/>
      </c>
      <c r="AD478" s="63" t="str">
        <f aca="false">IF(ISBLANK($C478),"",IF(Q478=Constants!$B$2, TRUE(), IF(Q478=Constants!$B$3, FALSE(), FALSE())))</f>
        <v/>
      </c>
      <c r="AE478" s="63" t="str">
        <f aca="false">IF(ISBLANK(C478), "", IF(AD478, Constants!$B$4,IF(COUNTA(G478:O478)=0, Constants!$B$5, Constants!$B$7)))</f>
        <v/>
      </c>
      <c r="AF478" s="63" t="str">
        <f aca="false">IF(ISBLANK($C478), "",IF($AE478=Constants!$B$7,1,$AE478))</f>
        <v/>
      </c>
      <c r="AG478" s="63" t="str">
        <f aca="false">IF($AE478=Constants!$B$7,IF(V478, 1, Constants!$B$11) * IF(X478, 1, Constants!$B$12),"")</f>
        <v/>
      </c>
      <c r="AH478" s="63" t="str">
        <f aca="false">IF(AND($AE478=Constants!$B$7, T478, U478) ,MAX(0, $AA478-$Y478),"")</f>
        <v/>
      </c>
      <c r="AI478" s="63" t="str">
        <f aca="false">IF(ISERROR(AH478),$AI$6,"")</f>
        <v/>
      </c>
      <c r="AJ478" s="63" t="str">
        <f aca="false">IF($AE478=Constants!$B$7,IF(AND(T478,U478,W478),IF($AH$6=0,Constants!$B$9,Constants!$B$9*AH478/$AH$6), 0),"")</f>
        <v/>
      </c>
      <c r="AK478" s="63" t="str">
        <f aca="false">IF(AJ478&lt;&gt;"", AJ478*AG478,"")</f>
        <v/>
      </c>
      <c r="AL478" s="63" t="str">
        <f aca="false">IF(AND($AE478=Constants!$B$7, T478, U478) ,IF($Z478="", "", MAX(0,1-ABS($AA478-$Z478)/$AA478)),"")</f>
        <v/>
      </c>
      <c r="AM478" s="63" t="str">
        <f aca="false">IF(AND(NOT(ISERROR(AH478)),ISERROR(AL478)),$AM$6,"")</f>
        <v/>
      </c>
      <c r="AN478" s="63" t="str">
        <f aca="false">IF($AE478=Constants!$B$7 ,IF(AND(T478,U478,W478,ISNUMBER(Z478)),IF($AL$6=0,Constants!$B$10,Constants!$B$10*AL478/$AL$6), 0),"")</f>
        <v/>
      </c>
      <c r="AO478" s="63" t="str">
        <f aca="false">IF(AN478&lt;&gt;"", AN478*AG478,"")</f>
        <v/>
      </c>
      <c r="AP478" s="63" t="str">
        <f aca="false">IF($AE478=Constants!$B$7,IF($AP$6=0,Constants!$B$8,Constants!$B$8*AB478/$AP$6),"")</f>
        <v/>
      </c>
      <c r="AQ478" s="63" t="str">
        <f aca="false">IF($AE478&lt;&gt;Constants!$B$7,$AE478,AK478+AO478+AP478)</f>
        <v/>
      </c>
      <c r="AR478" s="63" t="str">
        <f aca="false">IF(ISBLANK($C478),"",IF($AE478=Constants!$B$7,RANK(AQ478,$AQ$8:$AQ$507),$AE478))</f>
        <v/>
      </c>
      <c r="AS478" s="63" t="str">
        <f aca="false">IF(ISBLANK($C478), "",AK478)</f>
        <v/>
      </c>
      <c r="AT478" s="63" t="str">
        <f aca="false">IF(ISBLANK($C478),"",IF($AE478=Constants!$B$7,RANK(AS478,AS$8:AS$507),$AE478))</f>
        <v/>
      </c>
      <c r="AU478" s="63" t="str">
        <f aca="false">IF(ISBLANK($C478), "",AP478)</f>
        <v/>
      </c>
      <c r="AV478" s="63" t="str">
        <f aca="false">IF(ISBLANK($C478),"",IF($AE478=Constants!$B$7,RANK(AU478,AU$8:AU$507),$AE478))</f>
        <v/>
      </c>
      <c r="AW478" s="63" t="str">
        <f aca="false">IF(ISBLANK($C478), "",AC478)</f>
        <v/>
      </c>
      <c r="AX478" s="63" t="str">
        <f aca="false">IF(ISBLANK($C478),"",
IF($AE478=Constants!$B$7,
  COUNTIFS($AR$8:$AR$507,"&lt;"&amp;$AR478)
  + COUNTIFS($AR$8:$AR$507,$AR478,$AT$8:$AT$507,"&lt;"&amp;$AT478)
  + COUNTIFS($AR$8:$AR$507,$AR478,$AT$8:$AT$507,$AT478,$AV$8:$AV$507,"&lt;"&amp;$AV478)
  + COUNTIFS($AR$8:$AR$507,$AR478,$AT$8:$AT$507,$AT478,$AV$8:$AV$507,$AV478,$AW$8:$AW$507,"&lt;"&amp;$AW478)
  + 1,
$AE478))</f>
        <v/>
      </c>
      <c r="AY478" s="63" t="str">
        <f aca="false">IF(ISBLANK(C478),"",IF($AE478=Constants!$B$7, AR478-AX478,$AE478))</f>
        <v/>
      </c>
      <c r="AZ478" s="67"/>
      <c r="BA478" s="81" t="str">
        <f aca="false">IF(ISBLANK($C478),"",TRIM(AI478&amp;" "&amp;AM478))</f>
        <v/>
      </c>
      <c r="BB478" s="69" t="str">
        <f aca="false">IF(ISBLANK($C478),"",IF($AE478&lt;&gt;Constants!$B$7, $AE478 ,AQ478))</f>
        <v/>
      </c>
      <c r="BC478" s="70" t="str">
        <f aca="false">IF(ISBLANK($C478),"",IF($AE478&lt;&gt;Constants!$B$7, $AE478 ,AF478))</f>
        <v/>
      </c>
      <c r="BD478" s="71" t="str">
        <f aca="false">IF(ISBLANK(C478),"",AY478)</f>
        <v/>
      </c>
      <c r="BE478" s="71" t="str">
        <f aca="false">IF(ISBLANK(C478),"",AX478)</f>
        <v/>
      </c>
      <c r="BF478" s="72" t="str">
        <f aca="false">IF(ISBLANK(C478),"",IFERROR(_xlfn.SWITCH(BE478, Constants!$B$4, COUNTA($C$8:$C977)+2, Constants!$B$5, COUNTA($C$8:$C977)+1, Constants!$B$6, COUNTA($C$8:$C977)),BE478))</f>
        <v/>
      </c>
      <c r="BG478" s="5"/>
      <c r="BH478" s="73" t="n">
        <f aca="false">IF(OR(ISNUMBER(BE478),BE478="DQ",BE478="P",BE478="NS"),
    1,
    0
)</f>
        <v>0</v>
      </c>
      <c r="BI478" s="73" t="n">
        <v>471</v>
      </c>
      <c r="BJ478" s="73" t="str">
        <f aca="false">IF(ISBLANK($C478),
    "",
   BF478+ROW($B478)/1000
)</f>
        <v/>
      </c>
      <c r="BK478" s="73" t="str">
        <f aca="false">IF(ISNUMBER(BJ478), RANK(BJ478,BJ$8:BJ$507,1), "")</f>
        <v/>
      </c>
      <c r="BL478" s="73" t="str">
        <f aca="false">IF(ISBLANK($C478),
    "",
    $B478
)</f>
        <v/>
      </c>
      <c r="BM478" s="73" t="str">
        <f aca="false">IF(ISBLANK($C478),
    "",
    $C478
)</f>
        <v/>
      </c>
      <c r="BN478" s="73" t="str">
        <f aca="false">IF(ISBLANK($C478),
    "",
    $D478
)</f>
        <v/>
      </c>
      <c r="BO478" s="74" t="str">
        <f aca="false">BC478</f>
        <v/>
      </c>
      <c r="BP478" s="75" t="str">
        <f aca="false">BB478</f>
        <v/>
      </c>
      <c r="BQ478" s="73" t="str">
        <f aca="false">IF(ISBLANK($C478),
    "",
    BE478
)</f>
        <v/>
      </c>
      <c r="BR478" s="76" t="str">
        <f aca="false">IF(BI478&gt;BH$7,
    "",
    VLOOKUP(BI478,BK$8:BQ977,7,FALSE())
)</f>
        <v/>
      </c>
      <c r="BS478" s="77" t="str">
        <f aca="false">IF(BI478&gt;BH$7,
    "",
    VLOOKUP(BI478,BK$8:BQ977,2,FALSE())
)</f>
        <v/>
      </c>
      <c r="BT478" s="77" t="str">
        <f aca="false">IF(BI478&gt;BH$7,
    "",
    VLOOKUP(BI478,BK$8:BQ977,3,FALSE())
)</f>
        <v/>
      </c>
      <c r="BU478" s="77" t="str">
        <f aca="false">IF(BI478&gt;BH$7,
    "",
    VLOOKUP(BI478,BK$8:BQ977,4,FALSE())
)</f>
        <v/>
      </c>
      <c r="BV478" s="77" t="str">
        <f aca="false">IF(BI478&gt;BH$7,
    "",
    VLOOKUP(BI478,BK$8:BQ977,5,FALSE())
)</f>
        <v/>
      </c>
      <c r="BW478" s="78" t="str">
        <f aca="false">IF(BI478&gt;BH$7,
    "",
    VLOOKUP(BI478,BK$8:BQ977,6,FALSE())
)</f>
        <v/>
      </c>
      <c r="BX478" s="50"/>
    </row>
    <row r="479" customFormat="false" ht="15.75" hidden="false" customHeight="false" outlineLevel="0" collapsed="false">
      <c r="A479" s="5"/>
      <c r="B479" s="122"/>
      <c r="C479" s="123"/>
      <c r="D479" s="112"/>
      <c r="E479" s="116"/>
      <c r="F479" s="116"/>
      <c r="G479" s="88"/>
      <c r="H479" s="89"/>
      <c r="I479" s="125"/>
      <c r="J479" s="125"/>
      <c r="K479" s="125"/>
      <c r="L479" s="91"/>
      <c r="M479" s="91"/>
      <c r="N479" s="91"/>
      <c r="O479" s="92"/>
      <c r="P479" s="93"/>
      <c r="Q479" s="125"/>
      <c r="R479" s="95"/>
      <c r="S479" s="96"/>
      <c r="T479" s="96" t="str">
        <f aca="false">IF(ISBLANK($C479),"",IF(G479=Constants!$B$2, TRUE(), IF(G479=Constants!$B$3, FALSE(), TRUE())))</f>
        <v/>
      </c>
      <c r="U479" s="96" t="str">
        <f aca="false">IF(ISBLANK($C479),"",IF(H479=Constants!$B$2, TRUE(), IF(H479=Constants!$B$3, FALSE(), TRUE())))</f>
        <v/>
      </c>
      <c r="V479" s="96" t="str">
        <f aca="false">IF(ISBLANK($C479),"",IF(I479=Constants!$B$2, TRUE(), IF(I479=Constants!$B$3, FALSE(), TRUE())))</f>
        <v/>
      </c>
      <c r="W479" s="96" t="str">
        <f aca="false">IF(ISBLANK($C479),"",IF(J479=Constants!$B$2, TRUE(), IF(J479=Constants!$B$3, FALSE(), TRUE())))</f>
        <v/>
      </c>
      <c r="X479" s="97" t="str">
        <f aca="false">IF(ISBLANK($C479),"",IF(K479=Constants!$B$2, TRUE(), IF(K479=Constants!$B$3, FALSE(), TRUE())))</f>
        <v/>
      </c>
      <c r="Y479" s="98" t="str">
        <f aca="false">IF(ISBLANK($C479),"",IF(ISNUMBER(L479), L479, ""))</f>
        <v/>
      </c>
      <c r="Z479" s="98" t="str">
        <f aca="false">IF(ISBLANK($C479),"",IF(ISNUMBER(M479), M479, ""))</f>
        <v/>
      </c>
      <c r="AA479" s="98" t="str">
        <f aca="false">IF(ISBLANK($C479),"",IF(ISNUMBER(N479), N479, ""))</f>
        <v/>
      </c>
      <c r="AB479" s="99" t="str">
        <f aca="false">IF(ISBLANK($C479),"",IF(ISNUMBER(O479), O479, ""))</f>
        <v/>
      </c>
      <c r="AC479" s="99" t="str">
        <f aca="false">IF(ISBLANK($C479),"",IF(ISNUMBER(P479), P479, Constants!$B$13))</f>
        <v/>
      </c>
      <c r="AD479" s="96" t="str">
        <f aca="false">IF(ISBLANK($C479),"",IF(Q479=Constants!$B$2, TRUE(), IF(Q479=Constants!$B$3, FALSE(), FALSE())))</f>
        <v/>
      </c>
      <c r="AE479" s="96" t="str">
        <f aca="false">IF(ISBLANK(C479), "", IF(AD479, Constants!$B$4,IF(COUNTA(G479:O479)=0, Constants!$B$5, Constants!$B$7)))</f>
        <v/>
      </c>
      <c r="AF479" s="96" t="str">
        <f aca="false">IF(ISBLANK($C479), "",IF($AE479=Constants!$B$7,1,$AE479))</f>
        <v/>
      </c>
      <c r="AG479" s="96" t="str">
        <f aca="false">IF($AE479=Constants!$B$7,IF(V479, 1, Constants!$B$11) * IF(X479, 1, Constants!$B$12),"")</f>
        <v/>
      </c>
      <c r="AH479" s="96" t="str">
        <f aca="false">IF(AND($AE479=Constants!$B$7, T479, U479) ,MAX(0, $AA479-$Y479),"")</f>
        <v/>
      </c>
      <c r="AI479" s="96" t="str">
        <f aca="false">IF(ISERROR(AH479),$AI$6,"")</f>
        <v/>
      </c>
      <c r="AJ479" s="96" t="str">
        <f aca="false">IF($AE479=Constants!$B$7,IF(AND(T479,U479,W479),IF($AH$6=0,Constants!$B$9,Constants!$B$9*AH479/$AH$6), 0),"")</f>
        <v/>
      </c>
      <c r="AK479" s="96" t="str">
        <f aca="false">IF(AJ479&lt;&gt;"", AJ479*AG479,"")</f>
        <v/>
      </c>
      <c r="AL479" s="96" t="str">
        <f aca="false">IF(AND($AE479=Constants!$B$7, T479, U479) ,IF($Z479="", "", MAX(0,1-ABS($AA479-$Z479)/$AA479)),"")</f>
        <v/>
      </c>
      <c r="AM479" s="96" t="str">
        <f aca="false">IF(AND(NOT(ISERROR(AH479)),ISERROR(AL479)),$AM$6,"")</f>
        <v/>
      </c>
      <c r="AN479" s="96" t="str">
        <f aca="false">IF($AE479=Constants!$B$7 ,IF(AND(T479,U479,W479,ISNUMBER(Z479)),IF($AL$6=0,Constants!$B$10,Constants!$B$10*AL479/$AL$6), 0),"")</f>
        <v/>
      </c>
      <c r="AO479" s="96" t="str">
        <f aca="false">IF(AN479&lt;&gt;"", AN479*AG479,"")</f>
        <v/>
      </c>
      <c r="AP479" s="96" t="str">
        <f aca="false">IF($AE479=Constants!$B$7,IF($AP$6=0,Constants!$B$8,Constants!$B$8*AB479/$AP$6),"")</f>
        <v/>
      </c>
      <c r="AQ479" s="96" t="str">
        <f aca="false">IF($AE479&lt;&gt;Constants!$B$7,$AE479,AK479+AO479+AP479)</f>
        <v/>
      </c>
      <c r="AR479" s="96" t="str">
        <f aca="false">IF(ISBLANK($C479),"",IF($AE479=Constants!$B$7,RANK(AQ479,$AQ$8:$AQ$507),$AE479))</f>
        <v/>
      </c>
      <c r="AS479" s="96" t="str">
        <f aca="false">IF(ISBLANK($C479), "",AK479)</f>
        <v/>
      </c>
      <c r="AT479" s="96" t="str">
        <f aca="false">IF(ISBLANK($C479),"",IF($AE479=Constants!$B$7,RANK(AS479,AS$8:AS$507),$AE479))</f>
        <v/>
      </c>
      <c r="AU479" s="96" t="str">
        <f aca="false">IF(ISBLANK($C479), "",AP479)</f>
        <v/>
      </c>
      <c r="AV479" s="96" t="str">
        <f aca="false">IF(ISBLANK($C479),"",IF($AE479=Constants!$B$7,RANK(AU479,AU$8:AU$507),$AE479))</f>
        <v/>
      </c>
      <c r="AW479" s="96" t="str">
        <f aca="false">IF(ISBLANK($C479), "",AC479)</f>
        <v/>
      </c>
      <c r="AX479" s="96" t="str">
        <f aca="false">IF(ISBLANK($C479),"",
IF($AE479=Constants!$B$7,
  COUNTIFS($AR$8:$AR$507,"&lt;"&amp;$AR479)
  + COUNTIFS($AR$8:$AR$507,$AR479,$AT$8:$AT$507,"&lt;"&amp;$AT479)
  + COUNTIFS($AR$8:$AR$507,$AR479,$AT$8:$AT$507,$AT479,$AV$8:$AV$507,"&lt;"&amp;$AV479)
  + COUNTIFS($AR$8:$AR$507,$AR479,$AT$8:$AT$507,$AT479,$AV$8:$AV$507,$AV479,$AW$8:$AW$507,"&lt;"&amp;$AW479)
  + 1,
$AE479))</f>
        <v/>
      </c>
      <c r="AY479" s="96" t="str">
        <f aca="false">IF(ISBLANK(C479),"",IF($AE479=Constants!$B$7, AR479-AX479,$AE479))</f>
        <v/>
      </c>
      <c r="AZ479" s="100"/>
      <c r="BA479" s="101" t="str">
        <f aca="false">IF(ISBLANK($C479),"",TRIM(AI479&amp;" "&amp;AM479))</f>
        <v/>
      </c>
      <c r="BB479" s="102" t="str">
        <f aca="false">IF(ISBLANK($C479),"",IF($AE479&lt;&gt;Constants!$B$7, $AE479 ,AQ479))</f>
        <v/>
      </c>
      <c r="BC479" s="103" t="str">
        <f aca="false">IF(ISBLANK($C479),"",IF($AE479&lt;&gt;Constants!$B$7, $AE479 ,AF479))</f>
        <v/>
      </c>
      <c r="BD479" s="104" t="str">
        <f aca="false">IF(ISBLANK(C479),"",AY479)</f>
        <v/>
      </c>
      <c r="BE479" s="104" t="str">
        <f aca="false">IF(ISBLANK(C479),"",AX479)</f>
        <v/>
      </c>
      <c r="BF479" s="105" t="str">
        <f aca="false">IF(ISBLANK(C479),"",IFERROR(_xlfn.SWITCH(BE479, Constants!$B$4, COUNTA($C$8:$C978)+2, Constants!$B$5, COUNTA($C$8:$C978)+1, Constants!$B$6, COUNTA($C$8:$C978)),BE479))</f>
        <v/>
      </c>
      <c r="BG479" s="5"/>
      <c r="BH479" s="106" t="n">
        <f aca="false">IF(OR(ISNUMBER(BE479),BE479="DQ",BE479="P",BE479="NS"),
    1,
    0
)</f>
        <v>0</v>
      </c>
      <c r="BI479" s="106" t="n">
        <v>472</v>
      </c>
      <c r="BJ479" s="106" t="str">
        <f aca="false">IF(ISBLANK($C479),
    "",
   BF479+ROW($B479)/1000
)</f>
        <v/>
      </c>
      <c r="BK479" s="106" t="str">
        <f aca="false">IF(ISNUMBER(BJ479), RANK(BJ479,BJ$8:BJ$507,1), "")</f>
        <v/>
      </c>
      <c r="BL479" s="106" t="str">
        <f aca="false">IF(ISBLANK($C479),
    "",
    $B479
)</f>
        <v/>
      </c>
      <c r="BM479" s="106" t="str">
        <f aca="false">IF(ISBLANK($C479),
    "",
    $C479
)</f>
        <v/>
      </c>
      <c r="BN479" s="106" t="str">
        <f aca="false">IF(ISBLANK($C479),
    "",
    $D479
)</f>
        <v/>
      </c>
      <c r="BO479" s="107" t="str">
        <f aca="false">BC479</f>
        <v/>
      </c>
      <c r="BP479" s="108" t="str">
        <f aca="false">BB479</f>
        <v/>
      </c>
      <c r="BQ479" s="106" t="str">
        <f aca="false">IF(ISBLANK($C479),
    "",
    BE479
)</f>
        <v/>
      </c>
      <c r="BR479" s="109" t="str">
        <f aca="false">IF(BI479&gt;BH$7,
    "",
    VLOOKUP(BI479,BK$8:BQ978,7,FALSE())
)</f>
        <v/>
      </c>
      <c r="BS479" s="110" t="str">
        <f aca="false">IF(BI479&gt;BH$7,
    "",
    VLOOKUP(BI479,BK$8:BQ978,2,FALSE())
)</f>
        <v/>
      </c>
      <c r="BT479" s="110" t="str">
        <f aca="false">IF(BI479&gt;BH$7,
    "",
    VLOOKUP(BI479,BK$8:BQ978,3,FALSE())
)</f>
        <v/>
      </c>
      <c r="BU479" s="110" t="str">
        <f aca="false">IF(BI479&gt;BH$7,
    "",
    VLOOKUP(BI479,BK$8:BQ978,4,FALSE())
)</f>
        <v/>
      </c>
      <c r="BV479" s="110" t="str">
        <f aca="false">IF(BI479&gt;BH$7,
    "",
    VLOOKUP(BI479,BK$8:BQ978,5,FALSE())
)</f>
        <v/>
      </c>
      <c r="BW479" s="111" t="str">
        <f aca="false">IF(BI479&gt;BH$7,
    "",
    VLOOKUP(BI479,BK$8:BQ978,6,FALSE())
)</f>
        <v/>
      </c>
      <c r="BX479" s="50"/>
    </row>
    <row r="480" customFormat="false" ht="15.75" hidden="false" customHeight="false" outlineLevel="0" collapsed="false">
      <c r="A480" s="5"/>
      <c r="B480" s="122"/>
      <c r="C480" s="123"/>
      <c r="D480" s="112"/>
      <c r="E480" s="116"/>
      <c r="F480" s="116"/>
      <c r="G480" s="88"/>
      <c r="H480" s="89"/>
      <c r="I480" s="125"/>
      <c r="J480" s="125"/>
      <c r="K480" s="125"/>
      <c r="L480" s="91"/>
      <c r="M480" s="91"/>
      <c r="N480" s="91"/>
      <c r="O480" s="92"/>
      <c r="P480" s="93"/>
      <c r="Q480" s="125"/>
      <c r="R480" s="95"/>
      <c r="S480" s="96"/>
      <c r="T480" s="96" t="str">
        <f aca="false">IF(ISBLANK($C480),"",IF(G480=Constants!$B$2, TRUE(), IF(G480=Constants!$B$3, FALSE(), TRUE())))</f>
        <v/>
      </c>
      <c r="U480" s="96" t="str">
        <f aca="false">IF(ISBLANK($C480),"",IF(H480=Constants!$B$2, TRUE(), IF(H480=Constants!$B$3, FALSE(), TRUE())))</f>
        <v/>
      </c>
      <c r="V480" s="96" t="str">
        <f aca="false">IF(ISBLANK($C480),"",IF(I480=Constants!$B$2, TRUE(), IF(I480=Constants!$B$3, FALSE(), TRUE())))</f>
        <v/>
      </c>
      <c r="W480" s="96" t="str">
        <f aca="false">IF(ISBLANK($C480),"",IF(J480=Constants!$B$2, TRUE(), IF(J480=Constants!$B$3, FALSE(), TRUE())))</f>
        <v/>
      </c>
      <c r="X480" s="97" t="str">
        <f aca="false">IF(ISBLANK($C480),"",IF(K480=Constants!$B$2, TRUE(), IF(K480=Constants!$B$3, FALSE(), TRUE())))</f>
        <v/>
      </c>
      <c r="Y480" s="98" t="str">
        <f aca="false">IF(ISBLANK($C480),"",IF(ISNUMBER(L480), L480, ""))</f>
        <v/>
      </c>
      <c r="Z480" s="98" t="str">
        <f aca="false">IF(ISBLANK($C480),"",IF(ISNUMBER(M480), M480, ""))</f>
        <v/>
      </c>
      <c r="AA480" s="98" t="str">
        <f aca="false">IF(ISBLANK($C480),"",IF(ISNUMBER(N480), N480, ""))</f>
        <v/>
      </c>
      <c r="AB480" s="99" t="str">
        <f aca="false">IF(ISBLANK($C480),"",IF(ISNUMBER(O480), O480, ""))</f>
        <v/>
      </c>
      <c r="AC480" s="99" t="str">
        <f aca="false">IF(ISBLANK($C480),"",IF(ISNUMBER(P480), P480, Constants!$B$13))</f>
        <v/>
      </c>
      <c r="AD480" s="96" t="str">
        <f aca="false">IF(ISBLANK($C480),"",IF(Q480=Constants!$B$2, TRUE(), IF(Q480=Constants!$B$3, FALSE(), FALSE())))</f>
        <v/>
      </c>
      <c r="AE480" s="96" t="str">
        <f aca="false">IF(ISBLANK(C480), "", IF(AD480, Constants!$B$4,IF(COUNTA(G480:O480)=0, Constants!$B$5, Constants!$B$7)))</f>
        <v/>
      </c>
      <c r="AF480" s="96" t="str">
        <f aca="false">IF(ISBLANK($C480), "",IF($AE480=Constants!$B$7,1,$AE480))</f>
        <v/>
      </c>
      <c r="AG480" s="96" t="str">
        <f aca="false">IF($AE480=Constants!$B$7,IF(V480, 1, Constants!$B$11) * IF(X480, 1, Constants!$B$12),"")</f>
        <v/>
      </c>
      <c r="AH480" s="96" t="str">
        <f aca="false">IF(AND($AE480=Constants!$B$7, T480, U480) ,MAX(0, $AA480-$Y480),"")</f>
        <v/>
      </c>
      <c r="AI480" s="96" t="str">
        <f aca="false">IF(ISERROR(AH480),$AI$6,"")</f>
        <v/>
      </c>
      <c r="AJ480" s="96" t="str">
        <f aca="false">IF($AE480=Constants!$B$7,IF(AND(T480,U480,W480),IF($AH$6=0,Constants!$B$9,Constants!$B$9*AH480/$AH$6), 0),"")</f>
        <v/>
      </c>
      <c r="AK480" s="96" t="str">
        <f aca="false">IF(AJ480&lt;&gt;"", AJ480*AG480,"")</f>
        <v/>
      </c>
      <c r="AL480" s="96" t="str">
        <f aca="false">IF(AND($AE480=Constants!$B$7, T480, U480) ,IF($Z480="", "", MAX(0,1-ABS($AA480-$Z480)/$AA480)),"")</f>
        <v/>
      </c>
      <c r="AM480" s="96" t="str">
        <f aca="false">IF(AND(NOT(ISERROR(AH480)),ISERROR(AL480)),$AM$6,"")</f>
        <v/>
      </c>
      <c r="AN480" s="96" t="str">
        <f aca="false">IF($AE480=Constants!$B$7 ,IF(AND(T480,U480,W480,ISNUMBER(Z480)),IF($AL$6=0,Constants!$B$10,Constants!$B$10*AL480/$AL$6), 0),"")</f>
        <v/>
      </c>
      <c r="AO480" s="96" t="str">
        <f aca="false">IF(AN480&lt;&gt;"", AN480*AG480,"")</f>
        <v/>
      </c>
      <c r="AP480" s="96" t="str">
        <f aca="false">IF($AE480=Constants!$B$7,IF($AP$6=0,Constants!$B$8,Constants!$B$8*AB480/$AP$6),"")</f>
        <v/>
      </c>
      <c r="AQ480" s="96" t="str">
        <f aca="false">IF($AE480&lt;&gt;Constants!$B$7,$AE480,AK480+AO480+AP480)</f>
        <v/>
      </c>
      <c r="AR480" s="96" t="str">
        <f aca="false">IF(ISBLANK($C480),"",IF($AE480=Constants!$B$7,RANK(AQ480,$AQ$8:$AQ$507),$AE480))</f>
        <v/>
      </c>
      <c r="AS480" s="96" t="str">
        <f aca="false">IF(ISBLANK($C480), "",AK480)</f>
        <v/>
      </c>
      <c r="AT480" s="96" t="str">
        <f aca="false">IF(ISBLANK($C480),"",IF($AE480=Constants!$B$7,RANK(AS480,AS$8:AS$507),$AE480))</f>
        <v/>
      </c>
      <c r="AU480" s="96" t="str">
        <f aca="false">IF(ISBLANK($C480), "",AP480)</f>
        <v/>
      </c>
      <c r="AV480" s="96" t="str">
        <f aca="false">IF(ISBLANK($C480),"",IF($AE480=Constants!$B$7,RANK(AU480,AU$8:AU$507),$AE480))</f>
        <v/>
      </c>
      <c r="AW480" s="96" t="str">
        <f aca="false">IF(ISBLANK($C480), "",AC480)</f>
        <v/>
      </c>
      <c r="AX480" s="96" t="str">
        <f aca="false">IF(ISBLANK($C480),"",
IF($AE480=Constants!$B$7,
  COUNTIFS($AR$8:$AR$507,"&lt;"&amp;$AR480)
  + COUNTIFS($AR$8:$AR$507,$AR480,$AT$8:$AT$507,"&lt;"&amp;$AT480)
  + COUNTIFS($AR$8:$AR$507,$AR480,$AT$8:$AT$507,$AT480,$AV$8:$AV$507,"&lt;"&amp;$AV480)
  + COUNTIFS($AR$8:$AR$507,$AR480,$AT$8:$AT$507,$AT480,$AV$8:$AV$507,$AV480,$AW$8:$AW$507,"&lt;"&amp;$AW480)
  + 1,
$AE480))</f>
        <v/>
      </c>
      <c r="AY480" s="96" t="str">
        <f aca="false">IF(ISBLANK(C480),"",IF($AE480=Constants!$B$7, AR480-AX480,$AE480))</f>
        <v/>
      </c>
      <c r="AZ480" s="100"/>
      <c r="BA480" s="101" t="str">
        <f aca="false">IF(ISBLANK($C480),"",TRIM(AI480&amp;" "&amp;AM480))</f>
        <v/>
      </c>
      <c r="BB480" s="102" t="str">
        <f aca="false">IF(ISBLANK($C480),"",IF($AE480&lt;&gt;Constants!$B$7, $AE480 ,AQ480))</f>
        <v/>
      </c>
      <c r="BC480" s="103" t="str">
        <f aca="false">IF(ISBLANK($C480),"",IF($AE480&lt;&gt;Constants!$B$7, $AE480 ,AF480))</f>
        <v/>
      </c>
      <c r="BD480" s="104" t="str">
        <f aca="false">IF(ISBLANK(C480),"",AY480)</f>
        <v/>
      </c>
      <c r="BE480" s="104" t="str">
        <f aca="false">IF(ISBLANK(C480),"",AX480)</f>
        <v/>
      </c>
      <c r="BF480" s="105" t="str">
        <f aca="false">IF(ISBLANK(C480),"",IFERROR(_xlfn.SWITCH(BE480, Constants!$B$4, COUNTA($C$8:$C979)+2, Constants!$B$5, COUNTA($C$8:$C979)+1, Constants!$B$6, COUNTA($C$8:$C979)),BE480))</f>
        <v/>
      </c>
      <c r="BG480" s="5"/>
      <c r="BH480" s="106" t="n">
        <f aca="false">IF(OR(ISNUMBER(BE480),BE480="DQ",BE480="P",BE480="NS"),
    1,
    0
)</f>
        <v>0</v>
      </c>
      <c r="BI480" s="106" t="n">
        <v>473</v>
      </c>
      <c r="BJ480" s="106" t="str">
        <f aca="false">IF(ISBLANK($C480),
    "",
   BF480+ROW($B480)/1000
)</f>
        <v/>
      </c>
      <c r="BK480" s="106" t="str">
        <f aca="false">IF(ISNUMBER(BJ480), RANK(BJ480,BJ$8:BJ$507,1), "")</f>
        <v/>
      </c>
      <c r="BL480" s="106" t="str">
        <f aca="false">IF(ISBLANK($C480),
    "",
    $B480
)</f>
        <v/>
      </c>
      <c r="BM480" s="106" t="str">
        <f aca="false">IF(ISBLANK($C480),
    "",
    $C480
)</f>
        <v/>
      </c>
      <c r="BN480" s="106" t="str">
        <f aca="false">IF(ISBLANK($C480),
    "",
    $D480
)</f>
        <v/>
      </c>
      <c r="BO480" s="107" t="str">
        <f aca="false">BC480</f>
        <v/>
      </c>
      <c r="BP480" s="108" t="str">
        <f aca="false">BB480</f>
        <v/>
      </c>
      <c r="BQ480" s="106" t="str">
        <f aca="false">IF(ISBLANK($C480),
    "",
    BE480
)</f>
        <v/>
      </c>
      <c r="BR480" s="109" t="str">
        <f aca="false">IF(BI480&gt;BH$7,
    "",
    VLOOKUP(BI480,BK$8:BQ979,7,FALSE())
)</f>
        <v/>
      </c>
      <c r="BS480" s="110" t="str">
        <f aca="false">IF(BI480&gt;BH$7,
    "",
    VLOOKUP(BI480,BK$8:BQ979,2,FALSE())
)</f>
        <v/>
      </c>
      <c r="BT480" s="110" t="str">
        <f aca="false">IF(BI480&gt;BH$7,
    "",
    VLOOKUP(BI480,BK$8:BQ979,3,FALSE())
)</f>
        <v/>
      </c>
      <c r="BU480" s="110" t="str">
        <f aca="false">IF(BI480&gt;BH$7,
    "",
    VLOOKUP(BI480,BK$8:BQ979,4,FALSE())
)</f>
        <v/>
      </c>
      <c r="BV480" s="110" t="str">
        <f aca="false">IF(BI480&gt;BH$7,
    "",
    VLOOKUP(BI480,BK$8:BQ979,5,FALSE())
)</f>
        <v/>
      </c>
      <c r="BW480" s="111" t="str">
        <f aca="false">IF(BI480&gt;BH$7,
    "",
    VLOOKUP(BI480,BK$8:BQ979,6,FALSE())
)</f>
        <v/>
      </c>
      <c r="BX480" s="50"/>
    </row>
    <row r="481" customFormat="false" ht="15.75" hidden="false" customHeight="false" outlineLevel="0" collapsed="false">
      <c r="A481" s="5"/>
      <c r="B481" s="122"/>
      <c r="C481" s="123"/>
      <c r="D481" s="112"/>
      <c r="E481" s="116"/>
      <c r="F481" s="116"/>
      <c r="G481" s="88"/>
      <c r="H481" s="89"/>
      <c r="I481" s="125"/>
      <c r="J481" s="125"/>
      <c r="K481" s="125"/>
      <c r="L481" s="91"/>
      <c r="M481" s="91"/>
      <c r="N481" s="91"/>
      <c r="O481" s="92"/>
      <c r="P481" s="93"/>
      <c r="Q481" s="125"/>
      <c r="R481" s="95"/>
      <c r="S481" s="96"/>
      <c r="T481" s="96" t="str">
        <f aca="false">IF(ISBLANK($C481),"",IF(G481=Constants!$B$2, TRUE(), IF(G481=Constants!$B$3, FALSE(), TRUE())))</f>
        <v/>
      </c>
      <c r="U481" s="96" t="str">
        <f aca="false">IF(ISBLANK($C481),"",IF(H481=Constants!$B$2, TRUE(), IF(H481=Constants!$B$3, FALSE(), TRUE())))</f>
        <v/>
      </c>
      <c r="V481" s="96" t="str">
        <f aca="false">IF(ISBLANK($C481),"",IF(I481=Constants!$B$2, TRUE(), IF(I481=Constants!$B$3, FALSE(), TRUE())))</f>
        <v/>
      </c>
      <c r="W481" s="96" t="str">
        <f aca="false">IF(ISBLANK($C481),"",IF(J481=Constants!$B$2, TRUE(), IF(J481=Constants!$B$3, FALSE(), TRUE())))</f>
        <v/>
      </c>
      <c r="X481" s="97" t="str">
        <f aca="false">IF(ISBLANK($C481),"",IF(K481=Constants!$B$2, TRUE(), IF(K481=Constants!$B$3, FALSE(), TRUE())))</f>
        <v/>
      </c>
      <c r="Y481" s="98" t="str">
        <f aca="false">IF(ISBLANK($C481),"",IF(ISNUMBER(L481), L481, ""))</f>
        <v/>
      </c>
      <c r="Z481" s="98" t="str">
        <f aca="false">IF(ISBLANK($C481),"",IF(ISNUMBER(M481), M481, ""))</f>
        <v/>
      </c>
      <c r="AA481" s="98" t="str">
        <f aca="false">IF(ISBLANK($C481),"",IF(ISNUMBER(N481), N481, ""))</f>
        <v/>
      </c>
      <c r="AB481" s="99" t="str">
        <f aca="false">IF(ISBLANK($C481),"",IF(ISNUMBER(O481), O481, ""))</f>
        <v/>
      </c>
      <c r="AC481" s="99" t="str">
        <f aca="false">IF(ISBLANK($C481),"",IF(ISNUMBER(P481), P481, Constants!$B$13))</f>
        <v/>
      </c>
      <c r="AD481" s="96" t="str">
        <f aca="false">IF(ISBLANK($C481),"",IF(Q481=Constants!$B$2, TRUE(), IF(Q481=Constants!$B$3, FALSE(), FALSE())))</f>
        <v/>
      </c>
      <c r="AE481" s="96" t="str">
        <f aca="false">IF(ISBLANK(C481), "", IF(AD481, Constants!$B$4,IF(COUNTA(G481:O481)=0, Constants!$B$5, Constants!$B$7)))</f>
        <v/>
      </c>
      <c r="AF481" s="96" t="str">
        <f aca="false">IF(ISBLANK($C481), "",IF($AE481=Constants!$B$7,1,$AE481))</f>
        <v/>
      </c>
      <c r="AG481" s="96" t="str">
        <f aca="false">IF($AE481=Constants!$B$7,IF(V481, 1, Constants!$B$11) * IF(X481, 1, Constants!$B$12),"")</f>
        <v/>
      </c>
      <c r="AH481" s="96" t="str">
        <f aca="false">IF(AND($AE481=Constants!$B$7, T481, U481) ,MAX(0, $AA481-$Y481),"")</f>
        <v/>
      </c>
      <c r="AI481" s="96" t="str">
        <f aca="false">IF(ISERROR(AH481),$AI$6,"")</f>
        <v/>
      </c>
      <c r="AJ481" s="96" t="str">
        <f aca="false">IF($AE481=Constants!$B$7,IF(AND(T481,U481,W481),IF($AH$6=0,Constants!$B$9,Constants!$B$9*AH481/$AH$6), 0),"")</f>
        <v/>
      </c>
      <c r="AK481" s="96" t="str">
        <f aca="false">IF(AJ481&lt;&gt;"", AJ481*AG481,"")</f>
        <v/>
      </c>
      <c r="AL481" s="96" t="str">
        <f aca="false">IF(AND($AE481=Constants!$B$7, T481, U481) ,IF($Z481="", "", MAX(0,1-ABS($AA481-$Z481)/$AA481)),"")</f>
        <v/>
      </c>
      <c r="AM481" s="96" t="str">
        <f aca="false">IF(AND(NOT(ISERROR(AH481)),ISERROR(AL481)),$AM$6,"")</f>
        <v/>
      </c>
      <c r="AN481" s="96" t="str">
        <f aca="false">IF($AE481=Constants!$B$7 ,IF(AND(T481,U481,W481,ISNUMBER(Z481)),IF($AL$6=0,Constants!$B$10,Constants!$B$10*AL481/$AL$6), 0),"")</f>
        <v/>
      </c>
      <c r="AO481" s="96" t="str">
        <f aca="false">IF(AN481&lt;&gt;"", AN481*AG481,"")</f>
        <v/>
      </c>
      <c r="AP481" s="96" t="str">
        <f aca="false">IF($AE481=Constants!$B$7,IF($AP$6=0,Constants!$B$8,Constants!$B$8*AB481/$AP$6),"")</f>
        <v/>
      </c>
      <c r="AQ481" s="96" t="str">
        <f aca="false">IF($AE481&lt;&gt;Constants!$B$7,$AE481,AK481+AO481+AP481)</f>
        <v/>
      </c>
      <c r="AR481" s="96" t="str">
        <f aca="false">IF(ISBLANK($C481),"",IF($AE481=Constants!$B$7,RANK(AQ481,$AQ$8:$AQ$507),$AE481))</f>
        <v/>
      </c>
      <c r="AS481" s="96" t="str">
        <f aca="false">IF(ISBLANK($C481), "",AK481)</f>
        <v/>
      </c>
      <c r="AT481" s="96" t="str">
        <f aca="false">IF(ISBLANK($C481),"",IF($AE481=Constants!$B$7,RANK(AS481,AS$8:AS$507),$AE481))</f>
        <v/>
      </c>
      <c r="AU481" s="96" t="str">
        <f aca="false">IF(ISBLANK($C481), "",AP481)</f>
        <v/>
      </c>
      <c r="AV481" s="96" t="str">
        <f aca="false">IF(ISBLANK($C481),"",IF($AE481=Constants!$B$7,RANK(AU481,AU$8:AU$507),$AE481))</f>
        <v/>
      </c>
      <c r="AW481" s="96" t="str">
        <f aca="false">IF(ISBLANK($C481), "",AC481)</f>
        <v/>
      </c>
      <c r="AX481" s="96" t="str">
        <f aca="false">IF(ISBLANK($C481),"",
IF($AE481=Constants!$B$7,
  COUNTIFS($AR$8:$AR$507,"&lt;"&amp;$AR481)
  + COUNTIFS($AR$8:$AR$507,$AR481,$AT$8:$AT$507,"&lt;"&amp;$AT481)
  + COUNTIFS($AR$8:$AR$507,$AR481,$AT$8:$AT$507,$AT481,$AV$8:$AV$507,"&lt;"&amp;$AV481)
  + COUNTIFS($AR$8:$AR$507,$AR481,$AT$8:$AT$507,$AT481,$AV$8:$AV$507,$AV481,$AW$8:$AW$507,"&lt;"&amp;$AW481)
  + 1,
$AE481))</f>
        <v/>
      </c>
      <c r="AY481" s="96" t="str">
        <f aca="false">IF(ISBLANK(C481),"",IF($AE481=Constants!$B$7, AR481-AX481,$AE481))</f>
        <v/>
      </c>
      <c r="AZ481" s="100"/>
      <c r="BA481" s="101" t="str">
        <f aca="false">IF(ISBLANK($C481),"",TRIM(AI481&amp;" "&amp;AM481))</f>
        <v/>
      </c>
      <c r="BB481" s="102" t="str">
        <f aca="false">IF(ISBLANK($C481),"",IF($AE481&lt;&gt;Constants!$B$7, $AE481 ,AQ481))</f>
        <v/>
      </c>
      <c r="BC481" s="103" t="str">
        <f aca="false">IF(ISBLANK($C481),"",IF($AE481&lt;&gt;Constants!$B$7, $AE481 ,AF481))</f>
        <v/>
      </c>
      <c r="BD481" s="104" t="str">
        <f aca="false">IF(ISBLANK(C481),"",AY481)</f>
        <v/>
      </c>
      <c r="BE481" s="104" t="str">
        <f aca="false">IF(ISBLANK(C481),"",AX481)</f>
        <v/>
      </c>
      <c r="BF481" s="105" t="str">
        <f aca="false">IF(ISBLANK(C481),"",IFERROR(_xlfn.SWITCH(BE481, Constants!$B$4, COUNTA($C$8:$C980)+2, Constants!$B$5, COUNTA($C$8:$C980)+1, Constants!$B$6, COUNTA($C$8:$C980)),BE481))</f>
        <v/>
      </c>
      <c r="BG481" s="5"/>
      <c r="BH481" s="106" t="n">
        <f aca="false">IF(OR(ISNUMBER(BE481),BE481="DQ",BE481="P",BE481="NS"),
    1,
    0
)</f>
        <v>0</v>
      </c>
      <c r="BI481" s="106" t="n">
        <v>474</v>
      </c>
      <c r="BJ481" s="106" t="str">
        <f aca="false">IF(ISBLANK($C481),
    "",
   BF481+ROW($B481)/1000
)</f>
        <v/>
      </c>
      <c r="BK481" s="106" t="str">
        <f aca="false">IF(ISNUMBER(BJ481), RANK(BJ481,BJ$8:BJ$507,1), "")</f>
        <v/>
      </c>
      <c r="BL481" s="106" t="str">
        <f aca="false">IF(ISBLANK($C481),
    "",
    $B481
)</f>
        <v/>
      </c>
      <c r="BM481" s="106" t="str">
        <f aca="false">IF(ISBLANK($C481),
    "",
    $C481
)</f>
        <v/>
      </c>
      <c r="BN481" s="106" t="str">
        <f aca="false">IF(ISBLANK($C481),
    "",
    $D481
)</f>
        <v/>
      </c>
      <c r="BO481" s="107" t="str">
        <f aca="false">BC481</f>
        <v/>
      </c>
      <c r="BP481" s="108" t="str">
        <f aca="false">BB481</f>
        <v/>
      </c>
      <c r="BQ481" s="106" t="str">
        <f aca="false">IF(ISBLANK($C481),
    "",
    BE481
)</f>
        <v/>
      </c>
      <c r="BR481" s="109" t="str">
        <f aca="false">IF(BI481&gt;BH$7,
    "",
    VLOOKUP(BI481,BK$8:BQ980,7,FALSE())
)</f>
        <v/>
      </c>
      <c r="BS481" s="110" t="str">
        <f aca="false">IF(BI481&gt;BH$7,
    "",
    VLOOKUP(BI481,BK$8:BQ980,2,FALSE())
)</f>
        <v/>
      </c>
      <c r="BT481" s="110" t="str">
        <f aca="false">IF(BI481&gt;BH$7,
    "",
    VLOOKUP(BI481,BK$8:BQ980,3,FALSE())
)</f>
        <v/>
      </c>
      <c r="BU481" s="110" t="str">
        <f aca="false">IF(BI481&gt;BH$7,
    "",
    VLOOKUP(BI481,BK$8:BQ980,4,FALSE())
)</f>
        <v/>
      </c>
      <c r="BV481" s="110" t="str">
        <f aca="false">IF(BI481&gt;BH$7,
    "",
    VLOOKUP(BI481,BK$8:BQ980,5,FALSE())
)</f>
        <v/>
      </c>
      <c r="BW481" s="111" t="str">
        <f aca="false">IF(BI481&gt;BH$7,
    "",
    VLOOKUP(BI481,BK$8:BQ980,6,FALSE())
)</f>
        <v/>
      </c>
      <c r="BX481" s="50"/>
    </row>
    <row r="482" customFormat="false" ht="15.75" hidden="false" customHeight="false" outlineLevel="0" collapsed="false">
      <c r="A482" s="5"/>
      <c r="B482" s="126"/>
      <c r="C482" s="52"/>
      <c r="D482" s="53"/>
      <c r="E482" s="120"/>
      <c r="F482" s="120"/>
      <c r="G482" s="55"/>
      <c r="H482" s="56"/>
      <c r="I482" s="80"/>
      <c r="J482" s="80"/>
      <c r="K482" s="80"/>
      <c r="L482" s="58"/>
      <c r="M482" s="58"/>
      <c r="N482" s="58"/>
      <c r="O482" s="59"/>
      <c r="P482" s="60"/>
      <c r="Q482" s="80"/>
      <c r="R482" s="62"/>
      <c r="S482" s="63"/>
      <c r="T482" s="63" t="str">
        <f aca="false">IF(ISBLANK($C482),"",IF(G482=Constants!$B$2, TRUE(), IF(G482=Constants!$B$3, FALSE(), TRUE())))</f>
        <v/>
      </c>
      <c r="U482" s="63" t="str">
        <f aca="false">IF(ISBLANK($C482),"",IF(H482=Constants!$B$2, TRUE(), IF(H482=Constants!$B$3, FALSE(), TRUE())))</f>
        <v/>
      </c>
      <c r="V482" s="63" t="str">
        <f aca="false">IF(ISBLANK($C482),"",IF(I482=Constants!$B$2, TRUE(), IF(I482=Constants!$B$3, FALSE(), TRUE())))</f>
        <v/>
      </c>
      <c r="W482" s="63" t="str">
        <f aca="false">IF(ISBLANK($C482),"",IF(J482=Constants!$B$2, TRUE(), IF(J482=Constants!$B$3, FALSE(), TRUE())))</f>
        <v/>
      </c>
      <c r="X482" s="63" t="str">
        <f aca="false">IF(ISBLANK($C482),"",IF(K482=Constants!$B$2, TRUE(), IF(K482=Constants!$B$3, FALSE(), TRUE())))</f>
        <v/>
      </c>
      <c r="Y482" s="65" t="str">
        <f aca="false">IF(ISBLANK($C482),"",IF(ISNUMBER(L482), L482, ""))</f>
        <v/>
      </c>
      <c r="Z482" s="65" t="str">
        <f aca="false">IF(ISBLANK($C482),"",IF(ISNUMBER(M482), M482, ""))</f>
        <v/>
      </c>
      <c r="AA482" s="65" t="str">
        <f aca="false">IF(ISBLANK($C482),"",IF(ISNUMBER(N482), N482, ""))</f>
        <v/>
      </c>
      <c r="AB482" s="66" t="str">
        <f aca="false">IF(ISBLANK($C482),"",IF(ISNUMBER(O482), O482, ""))</f>
        <v/>
      </c>
      <c r="AC482" s="66" t="str">
        <f aca="false">IF(ISBLANK($C482),"",IF(ISNUMBER(P482), P482, Constants!$B$13))</f>
        <v/>
      </c>
      <c r="AD482" s="63" t="str">
        <f aca="false">IF(ISBLANK($C482),"",IF(Q482=Constants!$B$2, TRUE(), IF(Q482=Constants!$B$3, FALSE(), FALSE())))</f>
        <v/>
      </c>
      <c r="AE482" s="63" t="str">
        <f aca="false">IF(ISBLANK(C482), "", IF(AD482, Constants!$B$4,IF(COUNTA(G482:O482)=0, Constants!$B$5, Constants!$B$7)))</f>
        <v/>
      </c>
      <c r="AF482" s="63" t="str">
        <f aca="false">IF(ISBLANK($C482), "",IF($AE482=Constants!$B$7,1,$AE482))</f>
        <v/>
      </c>
      <c r="AG482" s="63" t="str">
        <f aca="false">IF($AE482=Constants!$B$7,IF(V482, 1, Constants!$B$11) * IF(X482, 1, Constants!$B$12),"")</f>
        <v/>
      </c>
      <c r="AH482" s="63" t="str">
        <f aca="false">IF(AND($AE482=Constants!$B$7, T482, U482) ,MAX(0, $AA482-$Y482),"")</f>
        <v/>
      </c>
      <c r="AI482" s="63" t="str">
        <f aca="false">IF(ISERROR(AH482),$AI$6,"")</f>
        <v/>
      </c>
      <c r="AJ482" s="63" t="str">
        <f aca="false">IF($AE482=Constants!$B$7,IF(AND(T482,U482,W482),IF($AH$6=0,Constants!$B$9,Constants!$B$9*AH482/$AH$6), 0),"")</f>
        <v/>
      </c>
      <c r="AK482" s="63" t="str">
        <f aca="false">IF(AJ482&lt;&gt;"", AJ482*AG482,"")</f>
        <v/>
      </c>
      <c r="AL482" s="63" t="str">
        <f aca="false">IF(AND($AE482=Constants!$B$7, T482, U482) ,IF($Z482="", "", MAX(0,1-ABS($AA482-$Z482)/$AA482)),"")</f>
        <v/>
      </c>
      <c r="AM482" s="63" t="str">
        <f aca="false">IF(AND(NOT(ISERROR(AH482)),ISERROR(AL482)),$AM$6,"")</f>
        <v/>
      </c>
      <c r="AN482" s="63" t="str">
        <f aca="false">IF($AE482=Constants!$B$7 ,IF(AND(T482,U482,W482,ISNUMBER(Z482)),IF($AL$6=0,Constants!$B$10,Constants!$B$10*AL482/$AL$6), 0),"")</f>
        <v/>
      </c>
      <c r="AO482" s="63" t="str">
        <f aca="false">IF(AN482&lt;&gt;"", AN482*AG482,"")</f>
        <v/>
      </c>
      <c r="AP482" s="63" t="str">
        <f aca="false">IF($AE482=Constants!$B$7,IF($AP$6=0,Constants!$B$8,Constants!$B$8*AB482/$AP$6),"")</f>
        <v/>
      </c>
      <c r="AQ482" s="63" t="str">
        <f aca="false">IF($AE482&lt;&gt;Constants!$B$7,$AE482,AK482+AO482+AP482)</f>
        <v/>
      </c>
      <c r="AR482" s="63" t="str">
        <f aca="false">IF(ISBLANK($C482),"",IF($AE482=Constants!$B$7,RANK(AQ482,$AQ$8:$AQ$507),$AE482))</f>
        <v/>
      </c>
      <c r="AS482" s="63" t="str">
        <f aca="false">IF(ISBLANK($C482), "",AK482)</f>
        <v/>
      </c>
      <c r="AT482" s="63" t="str">
        <f aca="false">IF(ISBLANK($C482),"",IF($AE482=Constants!$B$7,RANK(AS482,AS$8:AS$507),$AE482))</f>
        <v/>
      </c>
      <c r="AU482" s="63" t="str">
        <f aca="false">IF(ISBLANK($C482), "",AP482)</f>
        <v/>
      </c>
      <c r="AV482" s="63" t="str">
        <f aca="false">IF(ISBLANK($C482),"",IF($AE482=Constants!$B$7,RANK(AU482,AU$8:AU$507),$AE482))</f>
        <v/>
      </c>
      <c r="AW482" s="63" t="str">
        <f aca="false">IF(ISBLANK($C482), "",AC482)</f>
        <v/>
      </c>
      <c r="AX482" s="63" t="str">
        <f aca="false">IF(ISBLANK($C482),"",
IF($AE482=Constants!$B$7,
  COUNTIFS($AR$8:$AR$507,"&lt;"&amp;$AR482)
  + COUNTIFS($AR$8:$AR$507,$AR482,$AT$8:$AT$507,"&lt;"&amp;$AT482)
  + COUNTIFS($AR$8:$AR$507,$AR482,$AT$8:$AT$507,$AT482,$AV$8:$AV$507,"&lt;"&amp;$AV482)
  + COUNTIFS($AR$8:$AR$507,$AR482,$AT$8:$AT$507,$AT482,$AV$8:$AV$507,$AV482,$AW$8:$AW$507,"&lt;"&amp;$AW482)
  + 1,
$AE482))</f>
        <v/>
      </c>
      <c r="AY482" s="63" t="str">
        <f aca="false">IF(ISBLANK(C482),"",IF($AE482=Constants!$B$7, AR482-AX482,$AE482))</f>
        <v/>
      </c>
      <c r="AZ482" s="67"/>
      <c r="BA482" s="81" t="str">
        <f aca="false">IF(ISBLANK($C482),"",TRIM(AI482&amp;" "&amp;AM482))</f>
        <v/>
      </c>
      <c r="BB482" s="69" t="str">
        <f aca="false">IF(ISBLANK($C482),"",IF($AE482&lt;&gt;Constants!$B$7, $AE482 ,AQ482))</f>
        <v/>
      </c>
      <c r="BC482" s="70" t="str">
        <f aca="false">IF(ISBLANK($C482),"",IF($AE482&lt;&gt;Constants!$B$7, $AE482 ,AF482))</f>
        <v/>
      </c>
      <c r="BD482" s="71" t="str">
        <f aca="false">IF(ISBLANK(C482),"",AY482)</f>
        <v/>
      </c>
      <c r="BE482" s="71" t="str">
        <f aca="false">IF(ISBLANK(C482),"",AX482)</f>
        <v/>
      </c>
      <c r="BF482" s="72" t="str">
        <f aca="false">IF(ISBLANK(C482),"",IFERROR(_xlfn.SWITCH(BE482, Constants!$B$4, COUNTA($C$8:$C981)+2, Constants!$B$5, COUNTA($C$8:$C981)+1, Constants!$B$6, COUNTA($C$8:$C981)),BE482))</f>
        <v/>
      </c>
      <c r="BG482" s="5"/>
      <c r="BH482" s="73" t="n">
        <f aca="false">IF(OR(ISNUMBER(BE482),BE482="DQ",BE482="P",BE482="NS"),
    1,
    0
)</f>
        <v>0</v>
      </c>
      <c r="BI482" s="73" t="n">
        <v>475</v>
      </c>
      <c r="BJ482" s="73" t="str">
        <f aca="false">IF(ISBLANK($C482),
    "",
   BF482+ROW($B482)/1000
)</f>
        <v/>
      </c>
      <c r="BK482" s="73" t="str">
        <f aca="false">IF(ISNUMBER(BJ482), RANK(BJ482,BJ$8:BJ$507,1), "")</f>
        <v/>
      </c>
      <c r="BL482" s="73" t="str">
        <f aca="false">IF(ISBLANK($C482),
    "",
    $B482
)</f>
        <v/>
      </c>
      <c r="BM482" s="73" t="str">
        <f aca="false">IF(ISBLANK($C482),
    "",
    $C482
)</f>
        <v/>
      </c>
      <c r="BN482" s="73" t="str">
        <f aca="false">IF(ISBLANK($C482),
    "",
    $D482
)</f>
        <v/>
      </c>
      <c r="BO482" s="74" t="str">
        <f aca="false">BC482</f>
        <v/>
      </c>
      <c r="BP482" s="75" t="str">
        <f aca="false">BB482</f>
        <v/>
      </c>
      <c r="BQ482" s="73" t="str">
        <f aca="false">IF(ISBLANK($C482),
    "",
    BE482
)</f>
        <v/>
      </c>
      <c r="BR482" s="76" t="str">
        <f aca="false">IF(BI482&gt;BH$7,
    "",
    VLOOKUP(BI482,BK$8:BQ981,7,FALSE())
)</f>
        <v/>
      </c>
      <c r="BS482" s="77" t="str">
        <f aca="false">IF(BI482&gt;BH$7,
    "",
    VLOOKUP(BI482,BK$8:BQ981,2,FALSE())
)</f>
        <v/>
      </c>
      <c r="BT482" s="77" t="str">
        <f aca="false">IF(BI482&gt;BH$7,
    "",
    VLOOKUP(BI482,BK$8:BQ981,3,FALSE())
)</f>
        <v/>
      </c>
      <c r="BU482" s="77" t="str">
        <f aca="false">IF(BI482&gt;BH$7,
    "",
    VLOOKUP(BI482,BK$8:BQ981,4,FALSE())
)</f>
        <v/>
      </c>
      <c r="BV482" s="77" t="str">
        <f aca="false">IF(BI482&gt;BH$7,
    "",
    VLOOKUP(BI482,BK$8:BQ981,5,FALSE())
)</f>
        <v/>
      </c>
      <c r="BW482" s="78" t="str">
        <f aca="false">IF(BI482&gt;BH$7,
    "",
    VLOOKUP(BI482,BK$8:BQ981,6,FALSE())
)</f>
        <v/>
      </c>
      <c r="BX482" s="50"/>
    </row>
    <row r="483" customFormat="false" ht="15.75" hidden="false" customHeight="false" outlineLevel="0" collapsed="false">
      <c r="A483" s="5"/>
      <c r="B483" s="126"/>
      <c r="C483" s="52"/>
      <c r="D483" s="53"/>
      <c r="E483" s="120"/>
      <c r="F483" s="120"/>
      <c r="G483" s="55"/>
      <c r="H483" s="56"/>
      <c r="I483" s="80"/>
      <c r="J483" s="80"/>
      <c r="K483" s="80"/>
      <c r="L483" s="58"/>
      <c r="M483" s="58"/>
      <c r="N483" s="58"/>
      <c r="O483" s="59"/>
      <c r="P483" s="60"/>
      <c r="Q483" s="80"/>
      <c r="R483" s="62"/>
      <c r="S483" s="63"/>
      <c r="T483" s="63" t="str">
        <f aca="false">IF(ISBLANK($C483),"",IF(G483=Constants!$B$2, TRUE(), IF(G483=Constants!$B$3, FALSE(), TRUE())))</f>
        <v/>
      </c>
      <c r="U483" s="63" t="str">
        <f aca="false">IF(ISBLANK($C483),"",IF(H483=Constants!$B$2, TRUE(), IF(H483=Constants!$B$3, FALSE(), TRUE())))</f>
        <v/>
      </c>
      <c r="V483" s="63" t="str">
        <f aca="false">IF(ISBLANK($C483),"",IF(I483=Constants!$B$2, TRUE(), IF(I483=Constants!$B$3, FALSE(), TRUE())))</f>
        <v/>
      </c>
      <c r="W483" s="63" t="str">
        <f aca="false">IF(ISBLANK($C483),"",IF(J483=Constants!$B$2, TRUE(), IF(J483=Constants!$B$3, FALSE(), TRUE())))</f>
        <v/>
      </c>
      <c r="X483" s="63" t="str">
        <f aca="false">IF(ISBLANK($C483),"",IF(K483=Constants!$B$2, TRUE(), IF(K483=Constants!$B$3, FALSE(), TRUE())))</f>
        <v/>
      </c>
      <c r="Y483" s="65" t="str">
        <f aca="false">IF(ISBLANK($C483),"",IF(ISNUMBER(L483), L483, ""))</f>
        <v/>
      </c>
      <c r="Z483" s="65" t="str">
        <f aca="false">IF(ISBLANK($C483),"",IF(ISNUMBER(M483), M483, ""))</f>
        <v/>
      </c>
      <c r="AA483" s="65" t="str">
        <f aca="false">IF(ISBLANK($C483),"",IF(ISNUMBER(N483), N483, ""))</f>
        <v/>
      </c>
      <c r="AB483" s="66" t="str">
        <f aca="false">IF(ISBLANK($C483),"",IF(ISNUMBER(O483), O483, ""))</f>
        <v/>
      </c>
      <c r="AC483" s="66" t="str">
        <f aca="false">IF(ISBLANK($C483),"",IF(ISNUMBER(P483), P483, Constants!$B$13))</f>
        <v/>
      </c>
      <c r="AD483" s="63" t="str">
        <f aca="false">IF(ISBLANK($C483),"",IF(Q483=Constants!$B$2, TRUE(), IF(Q483=Constants!$B$3, FALSE(), FALSE())))</f>
        <v/>
      </c>
      <c r="AE483" s="63" t="str">
        <f aca="false">IF(ISBLANK(C483), "", IF(AD483, Constants!$B$4,IF(COUNTA(G483:O483)=0, Constants!$B$5, Constants!$B$7)))</f>
        <v/>
      </c>
      <c r="AF483" s="63" t="str">
        <f aca="false">IF(ISBLANK($C483), "",IF($AE483=Constants!$B$7,1,$AE483))</f>
        <v/>
      </c>
      <c r="AG483" s="63" t="str">
        <f aca="false">IF($AE483=Constants!$B$7,IF(V483, 1, Constants!$B$11) * IF(X483, 1, Constants!$B$12),"")</f>
        <v/>
      </c>
      <c r="AH483" s="63" t="str">
        <f aca="false">IF(AND($AE483=Constants!$B$7, T483, U483) ,MAX(0, $AA483-$Y483),"")</f>
        <v/>
      </c>
      <c r="AI483" s="63" t="str">
        <f aca="false">IF(ISERROR(AH483),$AI$6,"")</f>
        <v/>
      </c>
      <c r="AJ483" s="63" t="str">
        <f aca="false">IF($AE483=Constants!$B$7,IF(AND(T483,U483,W483),IF($AH$6=0,Constants!$B$9,Constants!$B$9*AH483/$AH$6), 0),"")</f>
        <v/>
      </c>
      <c r="AK483" s="63" t="str">
        <f aca="false">IF(AJ483&lt;&gt;"", AJ483*AG483,"")</f>
        <v/>
      </c>
      <c r="AL483" s="63" t="str">
        <f aca="false">IF(AND($AE483=Constants!$B$7, T483, U483) ,IF($Z483="", "", MAX(0,1-ABS($AA483-$Z483)/$AA483)),"")</f>
        <v/>
      </c>
      <c r="AM483" s="63" t="str">
        <f aca="false">IF(AND(NOT(ISERROR(AH483)),ISERROR(AL483)),$AM$6,"")</f>
        <v/>
      </c>
      <c r="AN483" s="63" t="str">
        <f aca="false">IF($AE483=Constants!$B$7 ,IF(AND(T483,U483,W483,ISNUMBER(Z483)),IF($AL$6=0,Constants!$B$10,Constants!$B$10*AL483/$AL$6), 0),"")</f>
        <v/>
      </c>
      <c r="AO483" s="63" t="str">
        <f aca="false">IF(AN483&lt;&gt;"", AN483*AG483,"")</f>
        <v/>
      </c>
      <c r="AP483" s="63" t="str">
        <f aca="false">IF($AE483=Constants!$B$7,IF($AP$6=0,Constants!$B$8,Constants!$B$8*AB483/$AP$6),"")</f>
        <v/>
      </c>
      <c r="AQ483" s="63" t="str">
        <f aca="false">IF($AE483&lt;&gt;Constants!$B$7,$AE483,AK483+AO483+AP483)</f>
        <v/>
      </c>
      <c r="AR483" s="63" t="str">
        <f aca="false">IF(ISBLANK($C483),"",IF($AE483=Constants!$B$7,RANK(AQ483,$AQ$8:$AQ$507),$AE483))</f>
        <v/>
      </c>
      <c r="AS483" s="63" t="str">
        <f aca="false">IF(ISBLANK($C483), "",AK483)</f>
        <v/>
      </c>
      <c r="AT483" s="63" t="str">
        <f aca="false">IF(ISBLANK($C483),"",IF($AE483=Constants!$B$7,RANK(AS483,AS$8:AS$507),$AE483))</f>
        <v/>
      </c>
      <c r="AU483" s="63" t="str">
        <f aca="false">IF(ISBLANK($C483), "",AP483)</f>
        <v/>
      </c>
      <c r="AV483" s="63" t="str">
        <f aca="false">IF(ISBLANK($C483),"",IF($AE483=Constants!$B$7,RANK(AU483,AU$8:AU$507),$AE483))</f>
        <v/>
      </c>
      <c r="AW483" s="63" t="str">
        <f aca="false">IF(ISBLANK($C483), "",AC483)</f>
        <v/>
      </c>
      <c r="AX483" s="63" t="str">
        <f aca="false">IF(ISBLANK($C483),"",
IF($AE483=Constants!$B$7,
  COUNTIFS($AR$8:$AR$507,"&lt;"&amp;$AR483)
  + COUNTIFS($AR$8:$AR$507,$AR483,$AT$8:$AT$507,"&lt;"&amp;$AT483)
  + COUNTIFS($AR$8:$AR$507,$AR483,$AT$8:$AT$507,$AT483,$AV$8:$AV$507,"&lt;"&amp;$AV483)
  + COUNTIFS($AR$8:$AR$507,$AR483,$AT$8:$AT$507,$AT483,$AV$8:$AV$507,$AV483,$AW$8:$AW$507,"&lt;"&amp;$AW483)
  + 1,
$AE483))</f>
        <v/>
      </c>
      <c r="AY483" s="63" t="str">
        <f aca="false">IF(ISBLANK(C483),"",IF($AE483=Constants!$B$7, AR483-AX483,$AE483))</f>
        <v/>
      </c>
      <c r="AZ483" s="67"/>
      <c r="BA483" s="81" t="str">
        <f aca="false">IF(ISBLANK($C483),"",TRIM(AI483&amp;" "&amp;AM483))</f>
        <v/>
      </c>
      <c r="BB483" s="69" t="str">
        <f aca="false">IF(ISBLANK($C483),"",IF($AE483&lt;&gt;Constants!$B$7, $AE483 ,AQ483))</f>
        <v/>
      </c>
      <c r="BC483" s="70" t="str">
        <f aca="false">IF(ISBLANK($C483),"",IF($AE483&lt;&gt;Constants!$B$7, $AE483 ,AF483))</f>
        <v/>
      </c>
      <c r="BD483" s="71" t="str">
        <f aca="false">IF(ISBLANK(C483),"",AY483)</f>
        <v/>
      </c>
      <c r="BE483" s="71" t="str">
        <f aca="false">IF(ISBLANK(C483),"",AX483)</f>
        <v/>
      </c>
      <c r="BF483" s="72" t="str">
        <f aca="false">IF(ISBLANK(C483),"",IFERROR(_xlfn.SWITCH(BE483, Constants!$B$4, COUNTA($C$8:$C982)+2, Constants!$B$5, COUNTA($C$8:$C982)+1, Constants!$B$6, COUNTA($C$8:$C982)),BE483))</f>
        <v/>
      </c>
      <c r="BG483" s="5"/>
      <c r="BH483" s="73" t="n">
        <f aca="false">IF(OR(ISNUMBER(BE483),BE483="DQ",BE483="P",BE483="NS"),
    1,
    0
)</f>
        <v>0</v>
      </c>
      <c r="BI483" s="73" t="n">
        <v>476</v>
      </c>
      <c r="BJ483" s="73" t="str">
        <f aca="false">IF(ISBLANK($C483),
    "",
   BF483+ROW($B483)/1000
)</f>
        <v/>
      </c>
      <c r="BK483" s="73" t="str">
        <f aca="false">IF(ISNUMBER(BJ483), RANK(BJ483,BJ$8:BJ$507,1), "")</f>
        <v/>
      </c>
      <c r="BL483" s="73" t="str">
        <f aca="false">IF(ISBLANK($C483),
    "",
    $B483
)</f>
        <v/>
      </c>
      <c r="BM483" s="73" t="str">
        <f aca="false">IF(ISBLANK($C483),
    "",
    $C483
)</f>
        <v/>
      </c>
      <c r="BN483" s="73" t="str">
        <f aca="false">IF(ISBLANK($C483),
    "",
    $D483
)</f>
        <v/>
      </c>
      <c r="BO483" s="74" t="str">
        <f aca="false">BC483</f>
        <v/>
      </c>
      <c r="BP483" s="75" t="str">
        <f aca="false">BB483</f>
        <v/>
      </c>
      <c r="BQ483" s="73" t="str">
        <f aca="false">IF(ISBLANK($C483),
    "",
    BE483
)</f>
        <v/>
      </c>
      <c r="BR483" s="76" t="str">
        <f aca="false">IF(BI483&gt;BH$7,
    "",
    VLOOKUP(BI483,BK$8:BQ982,7,FALSE())
)</f>
        <v/>
      </c>
      <c r="BS483" s="77" t="str">
        <f aca="false">IF(BI483&gt;BH$7,
    "",
    VLOOKUP(BI483,BK$8:BQ982,2,FALSE())
)</f>
        <v/>
      </c>
      <c r="BT483" s="77" t="str">
        <f aca="false">IF(BI483&gt;BH$7,
    "",
    VLOOKUP(BI483,BK$8:BQ982,3,FALSE())
)</f>
        <v/>
      </c>
      <c r="BU483" s="77" t="str">
        <f aca="false">IF(BI483&gt;BH$7,
    "",
    VLOOKUP(BI483,BK$8:BQ982,4,FALSE())
)</f>
        <v/>
      </c>
      <c r="BV483" s="77" t="str">
        <f aca="false">IF(BI483&gt;BH$7,
    "",
    VLOOKUP(BI483,BK$8:BQ982,5,FALSE())
)</f>
        <v/>
      </c>
      <c r="BW483" s="78" t="str">
        <f aca="false">IF(BI483&gt;BH$7,
    "",
    VLOOKUP(BI483,BK$8:BQ982,6,FALSE())
)</f>
        <v/>
      </c>
      <c r="BX483" s="50"/>
    </row>
    <row r="484" customFormat="false" ht="15.75" hidden="false" customHeight="false" outlineLevel="0" collapsed="false">
      <c r="A484" s="5"/>
      <c r="B484" s="126"/>
      <c r="C484" s="52"/>
      <c r="D484" s="53"/>
      <c r="E484" s="120"/>
      <c r="F484" s="120"/>
      <c r="G484" s="55"/>
      <c r="H484" s="56"/>
      <c r="I484" s="80"/>
      <c r="J484" s="80"/>
      <c r="K484" s="80"/>
      <c r="L484" s="58"/>
      <c r="M484" s="58"/>
      <c r="N484" s="58"/>
      <c r="O484" s="59"/>
      <c r="P484" s="60"/>
      <c r="Q484" s="80"/>
      <c r="R484" s="62"/>
      <c r="S484" s="63"/>
      <c r="T484" s="63" t="str">
        <f aca="false">IF(ISBLANK($C484),"",IF(G484=Constants!$B$2, TRUE(), IF(G484=Constants!$B$3, FALSE(), TRUE())))</f>
        <v/>
      </c>
      <c r="U484" s="63" t="str">
        <f aca="false">IF(ISBLANK($C484),"",IF(H484=Constants!$B$2, TRUE(), IF(H484=Constants!$B$3, FALSE(), TRUE())))</f>
        <v/>
      </c>
      <c r="V484" s="63" t="str">
        <f aca="false">IF(ISBLANK($C484),"",IF(I484=Constants!$B$2, TRUE(), IF(I484=Constants!$B$3, FALSE(), TRUE())))</f>
        <v/>
      </c>
      <c r="W484" s="63" t="str">
        <f aca="false">IF(ISBLANK($C484),"",IF(J484=Constants!$B$2, TRUE(), IF(J484=Constants!$B$3, FALSE(), TRUE())))</f>
        <v/>
      </c>
      <c r="X484" s="63" t="str">
        <f aca="false">IF(ISBLANK($C484),"",IF(K484=Constants!$B$2, TRUE(), IF(K484=Constants!$B$3, FALSE(), TRUE())))</f>
        <v/>
      </c>
      <c r="Y484" s="65" t="str">
        <f aca="false">IF(ISBLANK($C484),"",IF(ISNUMBER(L484), L484, ""))</f>
        <v/>
      </c>
      <c r="Z484" s="65" t="str">
        <f aca="false">IF(ISBLANK($C484),"",IF(ISNUMBER(M484), M484, ""))</f>
        <v/>
      </c>
      <c r="AA484" s="65" t="str">
        <f aca="false">IF(ISBLANK($C484),"",IF(ISNUMBER(N484), N484, ""))</f>
        <v/>
      </c>
      <c r="AB484" s="66" t="str">
        <f aca="false">IF(ISBLANK($C484),"",IF(ISNUMBER(O484), O484, ""))</f>
        <v/>
      </c>
      <c r="AC484" s="66" t="str">
        <f aca="false">IF(ISBLANK($C484),"",IF(ISNUMBER(P484), P484, Constants!$B$13))</f>
        <v/>
      </c>
      <c r="AD484" s="63" t="str">
        <f aca="false">IF(ISBLANK($C484),"",IF(Q484=Constants!$B$2, TRUE(), IF(Q484=Constants!$B$3, FALSE(), FALSE())))</f>
        <v/>
      </c>
      <c r="AE484" s="63" t="str">
        <f aca="false">IF(ISBLANK(C484), "", IF(AD484, Constants!$B$4,IF(COUNTA(G484:O484)=0, Constants!$B$5, Constants!$B$7)))</f>
        <v/>
      </c>
      <c r="AF484" s="63" t="str">
        <f aca="false">IF(ISBLANK($C484), "",IF($AE484=Constants!$B$7,1,$AE484))</f>
        <v/>
      </c>
      <c r="AG484" s="63" t="str">
        <f aca="false">IF($AE484=Constants!$B$7,IF(V484, 1, Constants!$B$11) * IF(X484, 1, Constants!$B$12),"")</f>
        <v/>
      </c>
      <c r="AH484" s="63" t="str">
        <f aca="false">IF(AND($AE484=Constants!$B$7, T484, U484) ,MAX(0, $AA484-$Y484),"")</f>
        <v/>
      </c>
      <c r="AI484" s="63" t="str">
        <f aca="false">IF(ISERROR(AH484),$AI$6,"")</f>
        <v/>
      </c>
      <c r="AJ484" s="63" t="str">
        <f aca="false">IF($AE484=Constants!$B$7,IF(AND(T484,U484,W484),IF($AH$6=0,Constants!$B$9,Constants!$B$9*AH484/$AH$6), 0),"")</f>
        <v/>
      </c>
      <c r="AK484" s="63" t="str">
        <f aca="false">IF(AJ484&lt;&gt;"", AJ484*AG484,"")</f>
        <v/>
      </c>
      <c r="AL484" s="63" t="str">
        <f aca="false">IF(AND($AE484=Constants!$B$7, T484, U484) ,IF($Z484="", "", MAX(0,1-ABS($AA484-$Z484)/$AA484)),"")</f>
        <v/>
      </c>
      <c r="AM484" s="63" t="str">
        <f aca="false">IF(AND(NOT(ISERROR(AH484)),ISERROR(AL484)),$AM$6,"")</f>
        <v/>
      </c>
      <c r="AN484" s="63" t="str">
        <f aca="false">IF($AE484=Constants!$B$7 ,IF(AND(T484,U484,W484,ISNUMBER(Z484)),IF($AL$6=0,Constants!$B$10,Constants!$B$10*AL484/$AL$6), 0),"")</f>
        <v/>
      </c>
      <c r="AO484" s="63" t="str">
        <f aca="false">IF(AN484&lt;&gt;"", AN484*AG484,"")</f>
        <v/>
      </c>
      <c r="AP484" s="63" t="str">
        <f aca="false">IF($AE484=Constants!$B$7,IF($AP$6=0,Constants!$B$8,Constants!$B$8*AB484/$AP$6),"")</f>
        <v/>
      </c>
      <c r="AQ484" s="63" t="str">
        <f aca="false">IF($AE484&lt;&gt;Constants!$B$7,$AE484,AK484+AO484+AP484)</f>
        <v/>
      </c>
      <c r="AR484" s="63" t="str">
        <f aca="false">IF(ISBLANK($C484),"",IF($AE484=Constants!$B$7,RANK(AQ484,$AQ$8:$AQ$507),$AE484))</f>
        <v/>
      </c>
      <c r="AS484" s="63" t="str">
        <f aca="false">IF(ISBLANK($C484), "",AK484)</f>
        <v/>
      </c>
      <c r="AT484" s="63" t="str">
        <f aca="false">IF(ISBLANK($C484),"",IF($AE484=Constants!$B$7,RANK(AS484,AS$8:AS$507),$AE484))</f>
        <v/>
      </c>
      <c r="AU484" s="63" t="str">
        <f aca="false">IF(ISBLANK($C484), "",AP484)</f>
        <v/>
      </c>
      <c r="AV484" s="63" t="str">
        <f aca="false">IF(ISBLANK($C484),"",IF($AE484=Constants!$B$7,RANK(AU484,AU$8:AU$507),$AE484))</f>
        <v/>
      </c>
      <c r="AW484" s="63" t="str">
        <f aca="false">IF(ISBLANK($C484), "",AC484)</f>
        <v/>
      </c>
      <c r="AX484" s="63" t="str">
        <f aca="false">IF(ISBLANK($C484),"",
IF($AE484=Constants!$B$7,
  COUNTIFS($AR$8:$AR$507,"&lt;"&amp;$AR484)
  + COUNTIFS($AR$8:$AR$507,$AR484,$AT$8:$AT$507,"&lt;"&amp;$AT484)
  + COUNTIFS($AR$8:$AR$507,$AR484,$AT$8:$AT$507,$AT484,$AV$8:$AV$507,"&lt;"&amp;$AV484)
  + COUNTIFS($AR$8:$AR$507,$AR484,$AT$8:$AT$507,$AT484,$AV$8:$AV$507,$AV484,$AW$8:$AW$507,"&lt;"&amp;$AW484)
  + 1,
$AE484))</f>
        <v/>
      </c>
      <c r="AY484" s="63" t="str">
        <f aca="false">IF(ISBLANK(C484),"",IF($AE484=Constants!$B$7, AR484-AX484,$AE484))</f>
        <v/>
      </c>
      <c r="AZ484" s="67"/>
      <c r="BA484" s="81" t="str">
        <f aca="false">IF(ISBLANK($C484),"",TRIM(AI484&amp;" "&amp;AM484))</f>
        <v/>
      </c>
      <c r="BB484" s="69" t="str">
        <f aca="false">IF(ISBLANK($C484),"",IF($AE484&lt;&gt;Constants!$B$7, $AE484 ,AQ484))</f>
        <v/>
      </c>
      <c r="BC484" s="70" t="str">
        <f aca="false">IF(ISBLANK($C484),"",IF($AE484&lt;&gt;Constants!$B$7, $AE484 ,AF484))</f>
        <v/>
      </c>
      <c r="BD484" s="71" t="str">
        <f aca="false">IF(ISBLANK(C484),"",AY484)</f>
        <v/>
      </c>
      <c r="BE484" s="71" t="str">
        <f aca="false">IF(ISBLANK(C484),"",AX484)</f>
        <v/>
      </c>
      <c r="BF484" s="72" t="str">
        <f aca="false">IF(ISBLANK(C484),"",IFERROR(_xlfn.SWITCH(BE484, Constants!$B$4, COUNTA($C$8:$C983)+2, Constants!$B$5, COUNTA($C$8:$C983)+1, Constants!$B$6, COUNTA($C$8:$C983)),BE484))</f>
        <v/>
      </c>
      <c r="BG484" s="5"/>
      <c r="BH484" s="73" t="n">
        <f aca="false">IF(OR(ISNUMBER(BE484),BE484="DQ",BE484="P",BE484="NS"),
    1,
    0
)</f>
        <v>0</v>
      </c>
      <c r="BI484" s="73" t="n">
        <v>477</v>
      </c>
      <c r="BJ484" s="73" t="str">
        <f aca="false">IF(ISBLANK($C484),
    "",
   BF484+ROW($B484)/1000
)</f>
        <v/>
      </c>
      <c r="BK484" s="73" t="str">
        <f aca="false">IF(ISNUMBER(BJ484), RANK(BJ484,BJ$8:BJ$507,1), "")</f>
        <v/>
      </c>
      <c r="BL484" s="73" t="str">
        <f aca="false">IF(ISBLANK($C484),
    "",
    $B484
)</f>
        <v/>
      </c>
      <c r="BM484" s="73" t="str">
        <f aca="false">IF(ISBLANK($C484),
    "",
    $C484
)</f>
        <v/>
      </c>
      <c r="BN484" s="73" t="str">
        <f aca="false">IF(ISBLANK($C484),
    "",
    $D484
)</f>
        <v/>
      </c>
      <c r="BO484" s="74" t="str">
        <f aca="false">BC484</f>
        <v/>
      </c>
      <c r="BP484" s="75" t="str">
        <f aca="false">BB484</f>
        <v/>
      </c>
      <c r="BQ484" s="73" t="str">
        <f aca="false">IF(ISBLANK($C484),
    "",
    BE484
)</f>
        <v/>
      </c>
      <c r="BR484" s="76" t="str">
        <f aca="false">IF(BI484&gt;BH$7,
    "",
    VLOOKUP(BI484,BK$8:BQ983,7,FALSE())
)</f>
        <v/>
      </c>
      <c r="BS484" s="77" t="str">
        <f aca="false">IF(BI484&gt;BH$7,
    "",
    VLOOKUP(BI484,BK$8:BQ983,2,FALSE())
)</f>
        <v/>
      </c>
      <c r="BT484" s="77" t="str">
        <f aca="false">IF(BI484&gt;BH$7,
    "",
    VLOOKUP(BI484,BK$8:BQ983,3,FALSE())
)</f>
        <v/>
      </c>
      <c r="BU484" s="77" t="str">
        <f aca="false">IF(BI484&gt;BH$7,
    "",
    VLOOKUP(BI484,BK$8:BQ983,4,FALSE())
)</f>
        <v/>
      </c>
      <c r="BV484" s="77" t="str">
        <f aca="false">IF(BI484&gt;BH$7,
    "",
    VLOOKUP(BI484,BK$8:BQ983,5,FALSE())
)</f>
        <v/>
      </c>
      <c r="BW484" s="78" t="str">
        <f aca="false">IF(BI484&gt;BH$7,
    "",
    VLOOKUP(BI484,BK$8:BQ983,6,FALSE())
)</f>
        <v/>
      </c>
      <c r="BX484" s="50"/>
    </row>
    <row r="485" customFormat="false" ht="15.75" hidden="false" customHeight="false" outlineLevel="0" collapsed="false">
      <c r="A485" s="5"/>
      <c r="B485" s="122"/>
      <c r="C485" s="123"/>
      <c r="D485" s="112"/>
      <c r="E485" s="116"/>
      <c r="F485" s="116"/>
      <c r="G485" s="88"/>
      <c r="H485" s="89"/>
      <c r="I485" s="125"/>
      <c r="J485" s="125"/>
      <c r="K485" s="125"/>
      <c r="L485" s="91"/>
      <c r="M485" s="91"/>
      <c r="N485" s="91"/>
      <c r="O485" s="92"/>
      <c r="P485" s="93"/>
      <c r="Q485" s="125"/>
      <c r="R485" s="95"/>
      <c r="S485" s="96"/>
      <c r="T485" s="96" t="str">
        <f aca="false">IF(ISBLANK($C485),"",IF(G485=Constants!$B$2, TRUE(), IF(G485=Constants!$B$3, FALSE(), TRUE())))</f>
        <v/>
      </c>
      <c r="U485" s="96" t="str">
        <f aca="false">IF(ISBLANK($C485),"",IF(H485=Constants!$B$2, TRUE(), IF(H485=Constants!$B$3, FALSE(), TRUE())))</f>
        <v/>
      </c>
      <c r="V485" s="96" t="str">
        <f aca="false">IF(ISBLANK($C485),"",IF(I485=Constants!$B$2, TRUE(), IF(I485=Constants!$B$3, FALSE(), TRUE())))</f>
        <v/>
      </c>
      <c r="W485" s="96" t="str">
        <f aca="false">IF(ISBLANK($C485),"",IF(J485=Constants!$B$2, TRUE(), IF(J485=Constants!$B$3, FALSE(), TRUE())))</f>
        <v/>
      </c>
      <c r="X485" s="97" t="str">
        <f aca="false">IF(ISBLANK($C485),"",IF(K485=Constants!$B$2, TRUE(), IF(K485=Constants!$B$3, FALSE(), TRUE())))</f>
        <v/>
      </c>
      <c r="Y485" s="98" t="str">
        <f aca="false">IF(ISBLANK($C485),"",IF(ISNUMBER(L485), L485, ""))</f>
        <v/>
      </c>
      <c r="Z485" s="98" t="str">
        <f aca="false">IF(ISBLANK($C485),"",IF(ISNUMBER(M485), M485, ""))</f>
        <v/>
      </c>
      <c r="AA485" s="98" t="str">
        <f aca="false">IF(ISBLANK($C485),"",IF(ISNUMBER(N485), N485, ""))</f>
        <v/>
      </c>
      <c r="AB485" s="99" t="str">
        <f aca="false">IF(ISBLANK($C485),"",IF(ISNUMBER(O485), O485, ""))</f>
        <v/>
      </c>
      <c r="AC485" s="99" t="str">
        <f aca="false">IF(ISBLANK($C485),"",IF(ISNUMBER(P485), P485, Constants!$B$13))</f>
        <v/>
      </c>
      <c r="AD485" s="96" t="str">
        <f aca="false">IF(ISBLANK($C485),"",IF(Q485=Constants!$B$2, TRUE(), IF(Q485=Constants!$B$3, FALSE(), FALSE())))</f>
        <v/>
      </c>
      <c r="AE485" s="96" t="str">
        <f aca="false">IF(ISBLANK(C485), "", IF(AD485, Constants!$B$4,IF(COUNTA(G485:O485)=0, Constants!$B$5, Constants!$B$7)))</f>
        <v/>
      </c>
      <c r="AF485" s="96" t="str">
        <f aca="false">IF(ISBLANK($C485), "",IF($AE485=Constants!$B$7,1,$AE485))</f>
        <v/>
      </c>
      <c r="AG485" s="96" t="str">
        <f aca="false">IF($AE485=Constants!$B$7,IF(V485, 1, Constants!$B$11) * IF(X485, 1, Constants!$B$12),"")</f>
        <v/>
      </c>
      <c r="AH485" s="96" t="str">
        <f aca="false">IF(AND($AE485=Constants!$B$7, T485, U485) ,MAX(0, $AA485-$Y485),"")</f>
        <v/>
      </c>
      <c r="AI485" s="96" t="str">
        <f aca="false">IF(ISERROR(AH485),$AI$6,"")</f>
        <v/>
      </c>
      <c r="AJ485" s="96" t="str">
        <f aca="false">IF($AE485=Constants!$B$7,IF(AND(T485,U485,W485),IF($AH$6=0,Constants!$B$9,Constants!$B$9*AH485/$AH$6), 0),"")</f>
        <v/>
      </c>
      <c r="AK485" s="96" t="str">
        <f aca="false">IF(AJ485&lt;&gt;"", AJ485*AG485,"")</f>
        <v/>
      </c>
      <c r="AL485" s="96" t="str">
        <f aca="false">IF(AND($AE485=Constants!$B$7, T485, U485) ,IF($Z485="", "", MAX(0,1-ABS($AA485-$Z485)/$AA485)),"")</f>
        <v/>
      </c>
      <c r="AM485" s="96" t="str">
        <f aca="false">IF(AND(NOT(ISERROR(AH485)),ISERROR(AL485)),$AM$6,"")</f>
        <v/>
      </c>
      <c r="AN485" s="96" t="str">
        <f aca="false">IF($AE485=Constants!$B$7 ,IF(AND(T485,U485,W485,ISNUMBER(Z485)),IF($AL$6=0,Constants!$B$10,Constants!$B$10*AL485/$AL$6), 0),"")</f>
        <v/>
      </c>
      <c r="AO485" s="96" t="str">
        <f aca="false">IF(AN485&lt;&gt;"", AN485*AG485,"")</f>
        <v/>
      </c>
      <c r="AP485" s="96" t="str">
        <f aca="false">IF($AE485=Constants!$B$7,IF($AP$6=0,Constants!$B$8,Constants!$B$8*AB485/$AP$6),"")</f>
        <v/>
      </c>
      <c r="AQ485" s="96" t="str">
        <f aca="false">IF($AE485&lt;&gt;Constants!$B$7,$AE485,AK485+AO485+AP485)</f>
        <v/>
      </c>
      <c r="AR485" s="96" t="str">
        <f aca="false">IF(ISBLANK($C485),"",IF($AE485=Constants!$B$7,RANK(AQ485,$AQ$8:$AQ$507),$AE485))</f>
        <v/>
      </c>
      <c r="AS485" s="96" t="str">
        <f aca="false">IF(ISBLANK($C485), "",AK485)</f>
        <v/>
      </c>
      <c r="AT485" s="96" t="str">
        <f aca="false">IF(ISBLANK($C485),"",IF($AE485=Constants!$B$7,RANK(AS485,AS$8:AS$507),$AE485))</f>
        <v/>
      </c>
      <c r="AU485" s="96" t="str">
        <f aca="false">IF(ISBLANK($C485), "",AP485)</f>
        <v/>
      </c>
      <c r="AV485" s="96" t="str">
        <f aca="false">IF(ISBLANK($C485),"",IF($AE485=Constants!$B$7,RANK(AU485,AU$8:AU$507),$AE485))</f>
        <v/>
      </c>
      <c r="AW485" s="96" t="str">
        <f aca="false">IF(ISBLANK($C485), "",AC485)</f>
        <v/>
      </c>
      <c r="AX485" s="96" t="str">
        <f aca="false">IF(ISBLANK($C485),"",
IF($AE485=Constants!$B$7,
  COUNTIFS($AR$8:$AR$507,"&lt;"&amp;$AR485)
  + COUNTIFS($AR$8:$AR$507,$AR485,$AT$8:$AT$507,"&lt;"&amp;$AT485)
  + COUNTIFS($AR$8:$AR$507,$AR485,$AT$8:$AT$507,$AT485,$AV$8:$AV$507,"&lt;"&amp;$AV485)
  + COUNTIFS($AR$8:$AR$507,$AR485,$AT$8:$AT$507,$AT485,$AV$8:$AV$507,$AV485,$AW$8:$AW$507,"&lt;"&amp;$AW485)
  + 1,
$AE485))</f>
        <v/>
      </c>
      <c r="AY485" s="96" t="str">
        <f aca="false">IF(ISBLANK(C485),"",IF($AE485=Constants!$B$7, AR485-AX485,$AE485))</f>
        <v/>
      </c>
      <c r="AZ485" s="100"/>
      <c r="BA485" s="101" t="str">
        <f aca="false">IF(ISBLANK($C485),"",TRIM(AI485&amp;" "&amp;AM485))</f>
        <v/>
      </c>
      <c r="BB485" s="102" t="str">
        <f aca="false">IF(ISBLANK($C485),"",IF($AE485&lt;&gt;Constants!$B$7, $AE485 ,AQ485))</f>
        <v/>
      </c>
      <c r="BC485" s="103" t="str">
        <f aca="false">IF(ISBLANK($C485),"",IF($AE485&lt;&gt;Constants!$B$7, $AE485 ,AF485))</f>
        <v/>
      </c>
      <c r="BD485" s="104" t="str">
        <f aca="false">IF(ISBLANK(C485),"",AY485)</f>
        <v/>
      </c>
      <c r="BE485" s="104" t="str">
        <f aca="false">IF(ISBLANK(C485),"",AX485)</f>
        <v/>
      </c>
      <c r="BF485" s="105" t="str">
        <f aca="false">IF(ISBLANK(C485),"",IFERROR(_xlfn.SWITCH(BE485, Constants!$B$4, COUNTA($C$8:$C984)+2, Constants!$B$5, COUNTA($C$8:$C984)+1, Constants!$B$6, COUNTA($C$8:$C984)),BE485))</f>
        <v/>
      </c>
      <c r="BG485" s="5"/>
      <c r="BH485" s="106" t="n">
        <f aca="false">IF(OR(ISNUMBER(BE485),BE485="DQ",BE485="P",BE485="NS"),
    1,
    0
)</f>
        <v>0</v>
      </c>
      <c r="BI485" s="106" t="n">
        <v>478</v>
      </c>
      <c r="BJ485" s="106" t="str">
        <f aca="false">IF(ISBLANK($C485),
    "",
   BF485+ROW($B485)/1000
)</f>
        <v/>
      </c>
      <c r="BK485" s="106" t="str">
        <f aca="false">IF(ISNUMBER(BJ485), RANK(BJ485,BJ$8:BJ$507,1), "")</f>
        <v/>
      </c>
      <c r="BL485" s="106" t="str">
        <f aca="false">IF(ISBLANK($C485),
    "",
    $B485
)</f>
        <v/>
      </c>
      <c r="BM485" s="106" t="str">
        <f aca="false">IF(ISBLANK($C485),
    "",
    $C485
)</f>
        <v/>
      </c>
      <c r="BN485" s="106" t="str">
        <f aca="false">IF(ISBLANK($C485),
    "",
    $D485
)</f>
        <v/>
      </c>
      <c r="BO485" s="107" t="str">
        <f aca="false">BC485</f>
        <v/>
      </c>
      <c r="BP485" s="108" t="str">
        <f aca="false">BB485</f>
        <v/>
      </c>
      <c r="BQ485" s="106" t="str">
        <f aca="false">IF(ISBLANK($C485),
    "",
    BE485
)</f>
        <v/>
      </c>
      <c r="BR485" s="109" t="str">
        <f aca="false">IF(BI485&gt;BH$7,
    "",
    VLOOKUP(BI485,BK$8:BQ984,7,FALSE())
)</f>
        <v/>
      </c>
      <c r="BS485" s="110" t="str">
        <f aca="false">IF(BI485&gt;BH$7,
    "",
    VLOOKUP(BI485,BK$8:BQ984,2,FALSE())
)</f>
        <v/>
      </c>
      <c r="BT485" s="110" t="str">
        <f aca="false">IF(BI485&gt;BH$7,
    "",
    VLOOKUP(BI485,BK$8:BQ984,3,FALSE())
)</f>
        <v/>
      </c>
      <c r="BU485" s="110" t="str">
        <f aca="false">IF(BI485&gt;BH$7,
    "",
    VLOOKUP(BI485,BK$8:BQ984,4,FALSE())
)</f>
        <v/>
      </c>
      <c r="BV485" s="110" t="str">
        <f aca="false">IF(BI485&gt;BH$7,
    "",
    VLOOKUP(BI485,BK$8:BQ984,5,FALSE())
)</f>
        <v/>
      </c>
      <c r="BW485" s="111" t="str">
        <f aca="false">IF(BI485&gt;BH$7,
    "",
    VLOOKUP(BI485,BK$8:BQ984,6,FALSE())
)</f>
        <v/>
      </c>
      <c r="BX485" s="50"/>
    </row>
    <row r="486" customFormat="false" ht="15.75" hidden="false" customHeight="false" outlineLevel="0" collapsed="false">
      <c r="A486" s="5"/>
      <c r="B486" s="122"/>
      <c r="C486" s="123"/>
      <c r="D486" s="112"/>
      <c r="E486" s="116"/>
      <c r="F486" s="116"/>
      <c r="G486" s="88"/>
      <c r="H486" s="89"/>
      <c r="I486" s="125"/>
      <c r="J486" s="125"/>
      <c r="K486" s="125"/>
      <c r="L486" s="91"/>
      <c r="M486" s="91"/>
      <c r="N486" s="91"/>
      <c r="O486" s="92"/>
      <c r="P486" s="93"/>
      <c r="Q486" s="125"/>
      <c r="R486" s="95"/>
      <c r="S486" s="96"/>
      <c r="T486" s="96" t="str">
        <f aca="false">IF(ISBLANK($C486),"",IF(G486=Constants!$B$2, TRUE(), IF(G486=Constants!$B$3, FALSE(), TRUE())))</f>
        <v/>
      </c>
      <c r="U486" s="96" t="str">
        <f aca="false">IF(ISBLANK($C486),"",IF(H486=Constants!$B$2, TRUE(), IF(H486=Constants!$B$3, FALSE(), TRUE())))</f>
        <v/>
      </c>
      <c r="V486" s="96" t="str">
        <f aca="false">IF(ISBLANK($C486),"",IF(I486=Constants!$B$2, TRUE(), IF(I486=Constants!$B$3, FALSE(), TRUE())))</f>
        <v/>
      </c>
      <c r="W486" s="96" t="str">
        <f aca="false">IF(ISBLANK($C486),"",IF(J486=Constants!$B$2, TRUE(), IF(J486=Constants!$B$3, FALSE(), TRUE())))</f>
        <v/>
      </c>
      <c r="X486" s="97" t="str">
        <f aca="false">IF(ISBLANK($C486),"",IF(K486=Constants!$B$2, TRUE(), IF(K486=Constants!$B$3, FALSE(), TRUE())))</f>
        <v/>
      </c>
      <c r="Y486" s="98" t="str">
        <f aca="false">IF(ISBLANK($C486),"",IF(ISNUMBER(L486), L486, ""))</f>
        <v/>
      </c>
      <c r="Z486" s="98" t="str">
        <f aca="false">IF(ISBLANK($C486),"",IF(ISNUMBER(M486), M486, ""))</f>
        <v/>
      </c>
      <c r="AA486" s="98" t="str">
        <f aca="false">IF(ISBLANK($C486),"",IF(ISNUMBER(N486), N486, ""))</f>
        <v/>
      </c>
      <c r="AB486" s="99" t="str">
        <f aca="false">IF(ISBLANK($C486),"",IF(ISNUMBER(O486), O486, ""))</f>
        <v/>
      </c>
      <c r="AC486" s="99" t="str">
        <f aca="false">IF(ISBLANK($C486),"",IF(ISNUMBER(P486), P486, Constants!$B$13))</f>
        <v/>
      </c>
      <c r="AD486" s="96" t="str">
        <f aca="false">IF(ISBLANK($C486),"",IF(Q486=Constants!$B$2, TRUE(), IF(Q486=Constants!$B$3, FALSE(), FALSE())))</f>
        <v/>
      </c>
      <c r="AE486" s="96" t="str">
        <f aca="false">IF(ISBLANK(C486), "", IF(AD486, Constants!$B$4,IF(COUNTA(G486:O486)=0, Constants!$B$5, Constants!$B$7)))</f>
        <v/>
      </c>
      <c r="AF486" s="96" t="str">
        <f aca="false">IF(ISBLANK($C486), "",IF($AE486=Constants!$B$7,1,$AE486))</f>
        <v/>
      </c>
      <c r="AG486" s="96" t="str">
        <f aca="false">IF($AE486=Constants!$B$7,IF(V486, 1, Constants!$B$11) * IF(X486, 1, Constants!$B$12),"")</f>
        <v/>
      </c>
      <c r="AH486" s="96" t="str">
        <f aca="false">IF(AND($AE486=Constants!$B$7, T486, U486) ,MAX(0, $AA486-$Y486),"")</f>
        <v/>
      </c>
      <c r="AI486" s="96" t="str">
        <f aca="false">IF(ISERROR(AH486),$AI$6,"")</f>
        <v/>
      </c>
      <c r="AJ486" s="96" t="str">
        <f aca="false">IF($AE486=Constants!$B$7,IF(AND(T486,U486,W486),IF($AH$6=0,Constants!$B$9,Constants!$B$9*AH486/$AH$6), 0),"")</f>
        <v/>
      </c>
      <c r="AK486" s="96" t="str">
        <f aca="false">IF(AJ486&lt;&gt;"", AJ486*AG486,"")</f>
        <v/>
      </c>
      <c r="AL486" s="96" t="str">
        <f aca="false">IF(AND($AE486=Constants!$B$7, T486, U486) ,IF($Z486="", "", MAX(0,1-ABS($AA486-$Z486)/$AA486)),"")</f>
        <v/>
      </c>
      <c r="AM486" s="96" t="str">
        <f aca="false">IF(AND(NOT(ISERROR(AH486)),ISERROR(AL486)),$AM$6,"")</f>
        <v/>
      </c>
      <c r="AN486" s="96" t="str">
        <f aca="false">IF($AE486=Constants!$B$7 ,IF(AND(T486,U486,W486,ISNUMBER(Z486)),IF($AL$6=0,Constants!$B$10,Constants!$B$10*AL486/$AL$6), 0),"")</f>
        <v/>
      </c>
      <c r="AO486" s="96" t="str">
        <f aca="false">IF(AN486&lt;&gt;"", AN486*AG486,"")</f>
        <v/>
      </c>
      <c r="AP486" s="96" t="str">
        <f aca="false">IF($AE486=Constants!$B$7,IF($AP$6=0,Constants!$B$8,Constants!$B$8*AB486/$AP$6),"")</f>
        <v/>
      </c>
      <c r="AQ486" s="96" t="str">
        <f aca="false">IF($AE486&lt;&gt;Constants!$B$7,$AE486,AK486+AO486+AP486)</f>
        <v/>
      </c>
      <c r="AR486" s="96" t="str">
        <f aca="false">IF(ISBLANK($C486),"",IF($AE486=Constants!$B$7,RANK(AQ486,$AQ$8:$AQ$507),$AE486))</f>
        <v/>
      </c>
      <c r="AS486" s="96" t="str">
        <f aca="false">IF(ISBLANK($C486), "",AK486)</f>
        <v/>
      </c>
      <c r="AT486" s="96" t="str">
        <f aca="false">IF(ISBLANK($C486),"",IF($AE486=Constants!$B$7,RANK(AS486,AS$8:AS$507),$AE486))</f>
        <v/>
      </c>
      <c r="AU486" s="96" t="str">
        <f aca="false">IF(ISBLANK($C486), "",AP486)</f>
        <v/>
      </c>
      <c r="AV486" s="96" t="str">
        <f aca="false">IF(ISBLANK($C486),"",IF($AE486=Constants!$B$7,RANK(AU486,AU$8:AU$507),$AE486))</f>
        <v/>
      </c>
      <c r="AW486" s="96" t="str">
        <f aca="false">IF(ISBLANK($C486), "",AC486)</f>
        <v/>
      </c>
      <c r="AX486" s="96" t="str">
        <f aca="false">IF(ISBLANK($C486),"",
IF($AE486=Constants!$B$7,
  COUNTIFS($AR$8:$AR$507,"&lt;"&amp;$AR486)
  + COUNTIFS($AR$8:$AR$507,$AR486,$AT$8:$AT$507,"&lt;"&amp;$AT486)
  + COUNTIFS($AR$8:$AR$507,$AR486,$AT$8:$AT$507,$AT486,$AV$8:$AV$507,"&lt;"&amp;$AV486)
  + COUNTIFS($AR$8:$AR$507,$AR486,$AT$8:$AT$507,$AT486,$AV$8:$AV$507,$AV486,$AW$8:$AW$507,"&lt;"&amp;$AW486)
  + 1,
$AE486))</f>
        <v/>
      </c>
      <c r="AY486" s="96" t="str">
        <f aca="false">IF(ISBLANK(C486),"",IF($AE486=Constants!$B$7, AR486-AX486,$AE486))</f>
        <v/>
      </c>
      <c r="AZ486" s="100"/>
      <c r="BA486" s="101" t="str">
        <f aca="false">IF(ISBLANK($C486),"",TRIM(AI486&amp;" "&amp;AM486))</f>
        <v/>
      </c>
      <c r="BB486" s="102" t="str">
        <f aca="false">IF(ISBLANK($C486),"",IF($AE486&lt;&gt;Constants!$B$7, $AE486 ,AQ486))</f>
        <v/>
      </c>
      <c r="BC486" s="103" t="str">
        <f aca="false">IF(ISBLANK($C486),"",IF($AE486&lt;&gt;Constants!$B$7, $AE486 ,AF486))</f>
        <v/>
      </c>
      <c r="BD486" s="104" t="str">
        <f aca="false">IF(ISBLANK(C486),"",AY486)</f>
        <v/>
      </c>
      <c r="BE486" s="104" t="str">
        <f aca="false">IF(ISBLANK(C486),"",AX486)</f>
        <v/>
      </c>
      <c r="BF486" s="105" t="str">
        <f aca="false">IF(ISBLANK(C486),"",IFERROR(_xlfn.SWITCH(BE486, Constants!$B$4, COUNTA($C$8:$C985)+2, Constants!$B$5, COUNTA($C$8:$C985)+1, Constants!$B$6, COUNTA($C$8:$C985)),BE486))</f>
        <v/>
      </c>
      <c r="BG486" s="5"/>
      <c r="BH486" s="106" t="n">
        <f aca="false">IF(OR(ISNUMBER(BE486),BE486="DQ",BE486="P",BE486="NS"),
    1,
    0
)</f>
        <v>0</v>
      </c>
      <c r="BI486" s="106" t="n">
        <v>479</v>
      </c>
      <c r="BJ486" s="106" t="str">
        <f aca="false">IF(ISBLANK($C486),
    "",
   BF486+ROW($B486)/1000
)</f>
        <v/>
      </c>
      <c r="BK486" s="106" t="str">
        <f aca="false">IF(ISNUMBER(BJ486), RANK(BJ486,BJ$8:BJ$507,1), "")</f>
        <v/>
      </c>
      <c r="BL486" s="106" t="str">
        <f aca="false">IF(ISBLANK($C486),
    "",
    $B486
)</f>
        <v/>
      </c>
      <c r="BM486" s="106" t="str">
        <f aca="false">IF(ISBLANK($C486),
    "",
    $C486
)</f>
        <v/>
      </c>
      <c r="BN486" s="106" t="str">
        <f aca="false">IF(ISBLANK($C486),
    "",
    $D486
)</f>
        <v/>
      </c>
      <c r="BO486" s="107" t="str">
        <f aca="false">BC486</f>
        <v/>
      </c>
      <c r="BP486" s="108" t="str">
        <f aca="false">BB486</f>
        <v/>
      </c>
      <c r="BQ486" s="106" t="str">
        <f aca="false">IF(ISBLANK($C486),
    "",
    BE486
)</f>
        <v/>
      </c>
      <c r="BR486" s="109" t="str">
        <f aca="false">IF(BI486&gt;BH$7,
    "",
    VLOOKUP(BI486,BK$8:BQ985,7,FALSE())
)</f>
        <v/>
      </c>
      <c r="BS486" s="110" t="str">
        <f aca="false">IF(BI486&gt;BH$7,
    "",
    VLOOKUP(BI486,BK$8:BQ985,2,FALSE())
)</f>
        <v/>
      </c>
      <c r="BT486" s="110" t="str">
        <f aca="false">IF(BI486&gt;BH$7,
    "",
    VLOOKUP(BI486,BK$8:BQ985,3,FALSE())
)</f>
        <v/>
      </c>
      <c r="BU486" s="110" t="str">
        <f aca="false">IF(BI486&gt;BH$7,
    "",
    VLOOKUP(BI486,BK$8:BQ985,4,FALSE())
)</f>
        <v/>
      </c>
      <c r="BV486" s="110" t="str">
        <f aca="false">IF(BI486&gt;BH$7,
    "",
    VLOOKUP(BI486,BK$8:BQ985,5,FALSE())
)</f>
        <v/>
      </c>
      <c r="BW486" s="111" t="str">
        <f aca="false">IF(BI486&gt;BH$7,
    "",
    VLOOKUP(BI486,BK$8:BQ985,6,FALSE())
)</f>
        <v/>
      </c>
      <c r="BX486" s="50"/>
    </row>
    <row r="487" customFormat="false" ht="15.75" hidden="false" customHeight="false" outlineLevel="0" collapsed="false">
      <c r="A487" s="5"/>
      <c r="B487" s="122"/>
      <c r="C487" s="123"/>
      <c r="D487" s="112"/>
      <c r="E487" s="116"/>
      <c r="F487" s="116"/>
      <c r="G487" s="88"/>
      <c r="H487" s="89"/>
      <c r="I487" s="125"/>
      <c r="J487" s="125"/>
      <c r="K487" s="125"/>
      <c r="L487" s="91"/>
      <c r="M487" s="91"/>
      <c r="N487" s="91"/>
      <c r="O487" s="92"/>
      <c r="P487" s="93"/>
      <c r="Q487" s="125"/>
      <c r="R487" s="95"/>
      <c r="S487" s="96"/>
      <c r="T487" s="96" t="str">
        <f aca="false">IF(ISBLANK($C487),"",IF(G487=Constants!$B$2, TRUE(), IF(G487=Constants!$B$3, FALSE(), TRUE())))</f>
        <v/>
      </c>
      <c r="U487" s="96" t="str">
        <f aca="false">IF(ISBLANK($C487),"",IF(H487=Constants!$B$2, TRUE(), IF(H487=Constants!$B$3, FALSE(), TRUE())))</f>
        <v/>
      </c>
      <c r="V487" s="96" t="str">
        <f aca="false">IF(ISBLANK($C487),"",IF(I487=Constants!$B$2, TRUE(), IF(I487=Constants!$B$3, FALSE(), TRUE())))</f>
        <v/>
      </c>
      <c r="W487" s="96" t="str">
        <f aca="false">IF(ISBLANK($C487),"",IF(J487=Constants!$B$2, TRUE(), IF(J487=Constants!$B$3, FALSE(), TRUE())))</f>
        <v/>
      </c>
      <c r="X487" s="97" t="str">
        <f aca="false">IF(ISBLANK($C487),"",IF(K487=Constants!$B$2, TRUE(), IF(K487=Constants!$B$3, FALSE(), TRUE())))</f>
        <v/>
      </c>
      <c r="Y487" s="98" t="str">
        <f aca="false">IF(ISBLANK($C487),"",IF(ISNUMBER(L487), L487, ""))</f>
        <v/>
      </c>
      <c r="Z487" s="98" t="str">
        <f aca="false">IF(ISBLANK($C487),"",IF(ISNUMBER(M487), M487, ""))</f>
        <v/>
      </c>
      <c r="AA487" s="98" t="str">
        <f aca="false">IF(ISBLANK($C487),"",IF(ISNUMBER(N487), N487, ""))</f>
        <v/>
      </c>
      <c r="AB487" s="99" t="str">
        <f aca="false">IF(ISBLANK($C487),"",IF(ISNUMBER(O487), O487, ""))</f>
        <v/>
      </c>
      <c r="AC487" s="99" t="str">
        <f aca="false">IF(ISBLANK($C487),"",IF(ISNUMBER(P487), P487, Constants!$B$13))</f>
        <v/>
      </c>
      <c r="AD487" s="96" t="str">
        <f aca="false">IF(ISBLANK($C487),"",IF(Q487=Constants!$B$2, TRUE(), IF(Q487=Constants!$B$3, FALSE(), FALSE())))</f>
        <v/>
      </c>
      <c r="AE487" s="96" t="str">
        <f aca="false">IF(ISBLANK(C487), "", IF(AD487, Constants!$B$4,IF(COUNTA(G487:O487)=0, Constants!$B$5, Constants!$B$7)))</f>
        <v/>
      </c>
      <c r="AF487" s="96" t="str">
        <f aca="false">IF(ISBLANK($C487), "",IF($AE487=Constants!$B$7,1,$AE487))</f>
        <v/>
      </c>
      <c r="AG487" s="96" t="str">
        <f aca="false">IF($AE487=Constants!$B$7,IF(V487, 1, Constants!$B$11) * IF(X487, 1, Constants!$B$12),"")</f>
        <v/>
      </c>
      <c r="AH487" s="96" t="str">
        <f aca="false">IF(AND($AE487=Constants!$B$7, T487, U487) ,MAX(0, $AA487-$Y487),"")</f>
        <v/>
      </c>
      <c r="AI487" s="96" t="str">
        <f aca="false">IF(ISERROR(AH487),$AI$6,"")</f>
        <v/>
      </c>
      <c r="AJ487" s="96" t="str">
        <f aca="false">IF($AE487=Constants!$B$7,IF(AND(T487,U487,W487),IF($AH$6=0,Constants!$B$9,Constants!$B$9*AH487/$AH$6), 0),"")</f>
        <v/>
      </c>
      <c r="AK487" s="96" t="str">
        <f aca="false">IF(AJ487&lt;&gt;"", AJ487*AG487,"")</f>
        <v/>
      </c>
      <c r="AL487" s="96" t="str">
        <f aca="false">IF(AND($AE487=Constants!$B$7, T487, U487) ,IF($Z487="", "", MAX(0,1-ABS($AA487-$Z487)/$AA487)),"")</f>
        <v/>
      </c>
      <c r="AM487" s="96" t="str">
        <f aca="false">IF(AND(NOT(ISERROR(AH487)),ISERROR(AL487)),$AM$6,"")</f>
        <v/>
      </c>
      <c r="AN487" s="96" t="str">
        <f aca="false">IF($AE487=Constants!$B$7 ,IF(AND(T487,U487,W487,ISNUMBER(Z487)),IF($AL$6=0,Constants!$B$10,Constants!$B$10*AL487/$AL$6), 0),"")</f>
        <v/>
      </c>
      <c r="AO487" s="96" t="str">
        <f aca="false">IF(AN487&lt;&gt;"", AN487*AG487,"")</f>
        <v/>
      </c>
      <c r="AP487" s="96" t="str">
        <f aca="false">IF($AE487=Constants!$B$7,IF($AP$6=0,Constants!$B$8,Constants!$B$8*AB487/$AP$6),"")</f>
        <v/>
      </c>
      <c r="AQ487" s="96" t="str">
        <f aca="false">IF($AE487&lt;&gt;Constants!$B$7,$AE487,AK487+AO487+AP487)</f>
        <v/>
      </c>
      <c r="AR487" s="96" t="str">
        <f aca="false">IF(ISBLANK($C487),"",IF($AE487=Constants!$B$7,RANK(AQ487,$AQ$8:$AQ$507),$AE487))</f>
        <v/>
      </c>
      <c r="AS487" s="96" t="str">
        <f aca="false">IF(ISBLANK($C487), "",AK487)</f>
        <v/>
      </c>
      <c r="AT487" s="96" t="str">
        <f aca="false">IF(ISBLANK($C487),"",IF($AE487=Constants!$B$7,RANK(AS487,AS$8:AS$507),$AE487))</f>
        <v/>
      </c>
      <c r="AU487" s="96" t="str">
        <f aca="false">IF(ISBLANK($C487), "",AP487)</f>
        <v/>
      </c>
      <c r="AV487" s="96" t="str">
        <f aca="false">IF(ISBLANK($C487),"",IF($AE487=Constants!$B$7,RANK(AU487,AU$8:AU$507),$AE487))</f>
        <v/>
      </c>
      <c r="AW487" s="96" t="str">
        <f aca="false">IF(ISBLANK($C487), "",AC487)</f>
        <v/>
      </c>
      <c r="AX487" s="96" t="str">
        <f aca="false">IF(ISBLANK($C487),"",
IF($AE487=Constants!$B$7,
  COUNTIFS($AR$8:$AR$507,"&lt;"&amp;$AR487)
  + COUNTIFS($AR$8:$AR$507,$AR487,$AT$8:$AT$507,"&lt;"&amp;$AT487)
  + COUNTIFS($AR$8:$AR$507,$AR487,$AT$8:$AT$507,$AT487,$AV$8:$AV$507,"&lt;"&amp;$AV487)
  + COUNTIFS($AR$8:$AR$507,$AR487,$AT$8:$AT$507,$AT487,$AV$8:$AV$507,$AV487,$AW$8:$AW$507,"&lt;"&amp;$AW487)
  + 1,
$AE487))</f>
        <v/>
      </c>
      <c r="AY487" s="96" t="str">
        <f aca="false">IF(ISBLANK(C487),"",IF($AE487=Constants!$B$7, AR487-AX487,$AE487))</f>
        <v/>
      </c>
      <c r="AZ487" s="100"/>
      <c r="BA487" s="101" t="str">
        <f aca="false">IF(ISBLANK($C487),"",TRIM(AI487&amp;" "&amp;AM487))</f>
        <v/>
      </c>
      <c r="BB487" s="102" t="str">
        <f aca="false">IF(ISBLANK($C487),"",IF($AE487&lt;&gt;Constants!$B$7, $AE487 ,AQ487))</f>
        <v/>
      </c>
      <c r="BC487" s="103" t="str">
        <f aca="false">IF(ISBLANK($C487),"",IF($AE487&lt;&gt;Constants!$B$7, $AE487 ,AF487))</f>
        <v/>
      </c>
      <c r="BD487" s="104" t="str">
        <f aca="false">IF(ISBLANK(C487),"",AY487)</f>
        <v/>
      </c>
      <c r="BE487" s="104" t="str">
        <f aca="false">IF(ISBLANK(C487),"",AX487)</f>
        <v/>
      </c>
      <c r="BF487" s="105" t="str">
        <f aca="false">IF(ISBLANK(C487),"",IFERROR(_xlfn.SWITCH(BE487, Constants!$B$4, COUNTA($C$8:$C986)+2, Constants!$B$5, COUNTA($C$8:$C986)+1, Constants!$B$6, COUNTA($C$8:$C986)),BE487))</f>
        <v/>
      </c>
      <c r="BG487" s="5"/>
      <c r="BH487" s="106" t="n">
        <f aca="false">IF(OR(ISNUMBER(BE487),BE487="DQ",BE487="P",BE487="NS"),
    1,
    0
)</f>
        <v>0</v>
      </c>
      <c r="BI487" s="106" t="n">
        <v>480</v>
      </c>
      <c r="BJ487" s="106" t="str">
        <f aca="false">IF(ISBLANK($C487),
    "",
   BF487+ROW($B487)/1000
)</f>
        <v/>
      </c>
      <c r="BK487" s="106" t="str">
        <f aca="false">IF(ISNUMBER(BJ487), RANK(BJ487,BJ$8:BJ$507,1), "")</f>
        <v/>
      </c>
      <c r="BL487" s="106" t="str">
        <f aca="false">IF(ISBLANK($C487),
    "",
    $B487
)</f>
        <v/>
      </c>
      <c r="BM487" s="106" t="str">
        <f aca="false">IF(ISBLANK($C487),
    "",
    $C487
)</f>
        <v/>
      </c>
      <c r="BN487" s="106" t="str">
        <f aca="false">IF(ISBLANK($C487),
    "",
    $D487
)</f>
        <v/>
      </c>
      <c r="BO487" s="107" t="str">
        <f aca="false">BC487</f>
        <v/>
      </c>
      <c r="BP487" s="108" t="str">
        <f aca="false">BB487</f>
        <v/>
      </c>
      <c r="BQ487" s="106" t="str">
        <f aca="false">IF(ISBLANK($C487),
    "",
    BE487
)</f>
        <v/>
      </c>
      <c r="BR487" s="109" t="str">
        <f aca="false">IF(BI487&gt;BH$7,
    "",
    VLOOKUP(BI487,BK$8:BQ986,7,FALSE())
)</f>
        <v/>
      </c>
      <c r="BS487" s="110" t="str">
        <f aca="false">IF(BI487&gt;BH$7,
    "",
    VLOOKUP(BI487,BK$8:BQ986,2,FALSE())
)</f>
        <v/>
      </c>
      <c r="BT487" s="110" t="str">
        <f aca="false">IF(BI487&gt;BH$7,
    "",
    VLOOKUP(BI487,BK$8:BQ986,3,FALSE())
)</f>
        <v/>
      </c>
      <c r="BU487" s="110" t="str">
        <f aca="false">IF(BI487&gt;BH$7,
    "",
    VLOOKUP(BI487,BK$8:BQ986,4,FALSE())
)</f>
        <v/>
      </c>
      <c r="BV487" s="110" t="str">
        <f aca="false">IF(BI487&gt;BH$7,
    "",
    VLOOKUP(BI487,BK$8:BQ986,5,FALSE())
)</f>
        <v/>
      </c>
      <c r="BW487" s="111" t="str">
        <f aca="false">IF(BI487&gt;BH$7,
    "",
    VLOOKUP(BI487,BK$8:BQ986,6,FALSE())
)</f>
        <v/>
      </c>
      <c r="BX487" s="50"/>
    </row>
    <row r="488" customFormat="false" ht="15.75" hidden="false" customHeight="false" outlineLevel="0" collapsed="false">
      <c r="A488" s="5"/>
      <c r="B488" s="126"/>
      <c r="C488" s="52"/>
      <c r="D488" s="53"/>
      <c r="E488" s="120"/>
      <c r="F488" s="120"/>
      <c r="G488" s="55"/>
      <c r="H488" s="56"/>
      <c r="I488" s="80"/>
      <c r="J488" s="80"/>
      <c r="K488" s="80"/>
      <c r="L488" s="58"/>
      <c r="M488" s="58"/>
      <c r="N488" s="58"/>
      <c r="O488" s="59"/>
      <c r="P488" s="60"/>
      <c r="Q488" s="80"/>
      <c r="R488" s="62"/>
      <c r="S488" s="63"/>
      <c r="T488" s="63" t="str">
        <f aca="false">IF(ISBLANK($C488),"",IF(G488=Constants!$B$2, TRUE(), IF(G488=Constants!$B$3, FALSE(), TRUE())))</f>
        <v/>
      </c>
      <c r="U488" s="63" t="str">
        <f aca="false">IF(ISBLANK($C488),"",IF(H488=Constants!$B$2, TRUE(), IF(H488=Constants!$B$3, FALSE(), TRUE())))</f>
        <v/>
      </c>
      <c r="V488" s="63" t="str">
        <f aca="false">IF(ISBLANK($C488),"",IF(I488=Constants!$B$2, TRUE(), IF(I488=Constants!$B$3, FALSE(), TRUE())))</f>
        <v/>
      </c>
      <c r="W488" s="63" t="str">
        <f aca="false">IF(ISBLANK($C488),"",IF(J488=Constants!$B$2, TRUE(), IF(J488=Constants!$B$3, FALSE(), TRUE())))</f>
        <v/>
      </c>
      <c r="X488" s="63" t="str">
        <f aca="false">IF(ISBLANK($C488),"",IF(K488=Constants!$B$2, TRUE(), IF(K488=Constants!$B$3, FALSE(), TRUE())))</f>
        <v/>
      </c>
      <c r="Y488" s="65" t="str">
        <f aca="false">IF(ISBLANK($C488),"",IF(ISNUMBER(L488), L488, ""))</f>
        <v/>
      </c>
      <c r="Z488" s="65" t="str">
        <f aca="false">IF(ISBLANK($C488),"",IF(ISNUMBER(M488), M488, ""))</f>
        <v/>
      </c>
      <c r="AA488" s="65" t="str">
        <f aca="false">IF(ISBLANK($C488),"",IF(ISNUMBER(N488), N488, ""))</f>
        <v/>
      </c>
      <c r="AB488" s="66" t="str">
        <f aca="false">IF(ISBLANK($C488),"",IF(ISNUMBER(O488), O488, ""))</f>
        <v/>
      </c>
      <c r="AC488" s="66" t="str">
        <f aca="false">IF(ISBLANK($C488),"",IF(ISNUMBER(P488), P488, Constants!$B$13))</f>
        <v/>
      </c>
      <c r="AD488" s="63" t="str">
        <f aca="false">IF(ISBLANK($C488),"",IF(Q488=Constants!$B$2, TRUE(), IF(Q488=Constants!$B$3, FALSE(), FALSE())))</f>
        <v/>
      </c>
      <c r="AE488" s="63" t="str">
        <f aca="false">IF(ISBLANK(C488), "", IF(AD488, Constants!$B$4,IF(COUNTA(G488:O488)=0, Constants!$B$5, Constants!$B$7)))</f>
        <v/>
      </c>
      <c r="AF488" s="63" t="str">
        <f aca="false">IF(ISBLANK($C488), "",IF($AE488=Constants!$B$7,1,$AE488))</f>
        <v/>
      </c>
      <c r="AG488" s="63" t="str">
        <f aca="false">IF($AE488=Constants!$B$7,IF(V488, 1, Constants!$B$11) * IF(X488, 1, Constants!$B$12),"")</f>
        <v/>
      </c>
      <c r="AH488" s="63" t="str">
        <f aca="false">IF(AND($AE488=Constants!$B$7, T488, U488) ,MAX(0, $AA488-$Y488),"")</f>
        <v/>
      </c>
      <c r="AI488" s="63" t="str">
        <f aca="false">IF(ISERROR(AH488),$AI$6,"")</f>
        <v/>
      </c>
      <c r="AJ488" s="63" t="str">
        <f aca="false">IF($AE488=Constants!$B$7,IF(AND(T488,U488,W488),IF($AH$6=0,Constants!$B$9,Constants!$B$9*AH488/$AH$6), 0),"")</f>
        <v/>
      </c>
      <c r="AK488" s="63" t="str">
        <f aca="false">IF(AJ488&lt;&gt;"", AJ488*AG488,"")</f>
        <v/>
      </c>
      <c r="AL488" s="63" t="str">
        <f aca="false">IF(AND($AE488=Constants!$B$7, T488, U488) ,IF($Z488="", "", MAX(0,1-ABS($AA488-$Z488)/$AA488)),"")</f>
        <v/>
      </c>
      <c r="AM488" s="63" t="str">
        <f aca="false">IF(AND(NOT(ISERROR(AH488)),ISERROR(AL488)),$AM$6,"")</f>
        <v/>
      </c>
      <c r="AN488" s="63" t="str">
        <f aca="false">IF($AE488=Constants!$B$7 ,IF(AND(T488,U488,W488,ISNUMBER(Z488)),IF($AL$6=0,Constants!$B$10,Constants!$B$10*AL488/$AL$6), 0),"")</f>
        <v/>
      </c>
      <c r="AO488" s="63" t="str">
        <f aca="false">IF(AN488&lt;&gt;"", AN488*AG488,"")</f>
        <v/>
      </c>
      <c r="AP488" s="63" t="str">
        <f aca="false">IF($AE488=Constants!$B$7,IF($AP$6=0,Constants!$B$8,Constants!$B$8*AB488/$AP$6),"")</f>
        <v/>
      </c>
      <c r="AQ488" s="63" t="str">
        <f aca="false">IF($AE488&lt;&gt;Constants!$B$7,$AE488,AK488+AO488+AP488)</f>
        <v/>
      </c>
      <c r="AR488" s="63" t="str">
        <f aca="false">IF(ISBLANK($C488),"",IF($AE488=Constants!$B$7,RANK(AQ488,$AQ$8:$AQ$507),$AE488))</f>
        <v/>
      </c>
      <c r="AS488" s="63" t="str">
        <f aca="false">IF(ISBLANK($C488), "",AK488)</f>
        <v/>
      </c>
      <c r="AT488" s="63" t="str">
        <f aca="false">IF(ISBLANK($C488),"",IF($AE488=Constants!$B$7,RANK(AS488,AS$8:AS$507),$AE488))</f>
        <v/>
      </c>
      <c r="AU488" s="63" t="str">
        <f aca="false">IF(ISBLANK($C488), "",AP488)</f>
        <v/>
      </c>
      <c r="AV488" s="63" t="str">
        <f aca="false">IF(ISBLANK($C488),"",IF($AE488=Constants!$B$7,RANK(AU488,AU$8:AU$507),$AE488))</f>
        <v/>
      </c>
      <c r="AW488" s="63" t="str">
        <f aca="false">IF(ISBLANK($C488), "",AC488)</f>
        <v/>
      </c>
      <c r="AX488" s="63" t="str">
        <f aca="false">IF(ISBLANK($C488),"",
IF($AE488=Constants!$B$7,
  COUNTIFS($AR$8:$AR$507,"&lt;"&amp;$AR488)
  + COUNTIFS($AR$8:$AR$507,$AR488,$AT$8:$AT$507,"&lt;"&amp;$AT488)
  + COUNTIFS($AR$8:$AR$507,$AR488,$AT$8:$AT$507,$AT488,$AV$8:$AV$507,"&lt;"&amp;$AV488)
  + COUNTIFS($AR$8:$AR$507,$AR488,$AT$8:$AT$507,$AT488,$AV$8:$AV$507,$AV488,$AW$8:$AW$507,"&lt;"&amp;$AW488)
  + 1,
$AE488))</f>
        <v/>
      </c>
      <c r="AY488" s="63" t="str">
        <f aca="false">IF(ISBLANK(C488),"",IF($AE488=Constants!$B$7, AR488-AX488,$AE488))</f>
        <v/>
      </c>
      <c r="AZ488" s="67"/>
      <c r="BA488" s="81" t="str">
        <f aca="false">IF(ISBLANK($C488),"",TRIM(AI488&amp;" "&amp;AM488))</f>
        <v/>
      </c>
      <c r="BB488" s="69" t="str">
        <f aca="false">IF(ISBLANK($C488),"",IF($AE488&lt;&gt;Constants!$B$7, $AE488 ,AQ488))</f>
        <v/>
      </c>
      <c r="BC488" s="70" t="str">
        <f aca="false">IF(ISBLANK($C488),"",IF($AE488&lt;&gt;Constants!$B$7, $AE488 ,AF488))</f>
        <v/>
      </c>
      <c r="BD488" s="71" t="str">
        <f aca="false">IF(ISBLANK(C488),"",AY488)</f>
        <v/>
      </c>
      <c r="BE488" s="71" t="str">
        <f aca="false">IF(ISBLANK(C488),"",AX488)</f>
        <v/>
      </c>
      <c r="BF488" s="72" t="str">
        <f aca="false">IF(ISBLANK(C488),"",IFERROR(_xlfn.SWITCH(BE488, Constants!$B$4, COUNTA($C$8:$C987)+2, Constants!$B$5, COUNTA($C$8:$C987)+1, Constants!$B$6, COUNTA($C$8:$C987)),BE488))</f>
        <v/>
      </c>
      <c r="BG488" s="5"/>
      <c r="BH488" s="73" t="n">
        <f aca="false">IF(OR(ISNUMBER(BE488),BE488="DQ",BE488="P",BE488="NS"),
    1,
    0
)</f>
        <v>0</v>
      </c>
      <c r="BI488" s="73" t="n">
        <v>481</v>
      </c>
      <c r="BJ488" s="73" t="str">
        <f aca="false">IF(ISBLANK($C488),
    "",
   BF488+ROW($B488)/1000
)</f>
        <v/>
      </c>
      <c r="BK488" s="73" t="str">
        <f aca="false">IF(ISNUMBER(BJ488), RANK(BJ488,BJ$8:BJ$507,1), "")</f>
        <v/>
      </c>
      <c r="BL488" s="73" t="str">
        <f aca="false">IF(ISBLANK($C488),
    "",
    $B488
)</f>
        <v/>
      </c>
      <c r="BM488" s="73" t="str">
        <f aca="false">IF(ISBLANK($C488),
    "",
    $C488
)</f>
        <v/>
      </c>
      <c r="BN488" s="73" t="str">
        <f aca="false">IF(ISBLANK($C488),
    "",
    $D488
)</f>
        <v/>
      </c>
      <c r="BO488" s="74" t="str">
        <f aca="false">BC488</f>
        <v/>
      </c>
      <c r="BP488" s="75" t="str">
        <f aca="false">BB488</f>
        <v/>
      </c>
      <c r="BQ488" s="73" t="str">
        <f aca="false">IF(ISBLANK($C488),
    "",
    BE488
)</f>
        <v/>
      </c>
      <c r="BR488" s="76" t="str">
        <f aca="false">IF(BI488&gt;BH$7,
    "",
    VLOOKUP(BI488,BK$8:BQ987,7,FALSE())
)</f>
        <v/>
      </c>
      <c r="BS488" s="77" t="str">
        <f aca="false">IF(BI488&gt;BH$7,
    "",
    VLOOKUP(BI488,BK$8:BQ987,2,FALSE())
)</f>
        <v/>
      </c>
      <c r="BT488" s="77" t="str">
        <f aca="false">IF(BI488&gt;BH$7,
    "",
    VLOOKUP(BI488,BK$8:BQ987,3,FALSE())
)</f>
        <v/>
      </c>
      <c r="BU488" s="77" t="str">
        <f aca="false">IF(BI488&gt;BH$7,
    "",
    VLOOKUP(BI488,BK$8:BQ987,4,FALSE())
)</f>
        <v/>
      </c>
      <c r="BV488" s="77" t="str">
        <f aca="false">IF(BI488&gt;BH$7,
    "",
    VLOOKUP(BI488,BK$8:BQ987,5,FALSE())
)</f>
        <v/>
      </c>
      <c r="BW488" s="78" t="str">
        <f aca="false">IF(BI488&gt;BH$7,
    "",
    VLOOKUP(BI488,BK$8:BQ987,6,FALSE())
)</f>
        <v/>
      </c>
      <c r="BX488" s="50"/>
    </row>
    <row r="489" customFormat="false" ht="15.75" hidden="false" customHeight="false" outlineLevel="0" collapsed="false">
      <c r="A489" s="5"/>
      <c r="B489" s="126"/>
      <c r="C489" s="52"/>
      <c r="D489" s="53"/>
      <c r="E489" s="120"/>
      <c r="F489" s="120"/>
      <c r="G489" s="55"/>
      <c r="H489" s="56"/>
      <c r="I489" s="80"/>
      <c r="J489" s="80"/>
      <c r="K489" s="80"/>
      <c r="L489" s="58"/>
      <c r="M489" s="58"/>
      <c r="N489" s="58"/>
      <c r="O489" s="59"/>
      <c r="P489" s="60"/>
      <c r="Q489" s="80"/>
      <c r="R489" s="62"/>
      <c r="S489" s="63"/>
      <c r="T489" s="63" t="str">
        <f aca="false">IF(ISBLANK($C489),"",IF(G489=Constants!$B$2, TRUE(), IF(G489=Constants!$B$3, FALSE(), TRUE())))</f>
        <v/>
      </c>
      <c r="U489" s="63" t="str">
        <f aca="false">IF(ISBLANK($C489),"",IF(H489=Constants!$B$2, TRUE(), IF(H489=Constants!$B$3, FALSE(), TRUE())))</f>
        <v/>
      </c>
      <c r="V489" s="63" t="str">
        <f aca="false">IF(ISBLANK($C489),"",IF(I489=Constants!$B$2, TRUE(), IF(I489=Constants!$B$3, FALSE(), TRUE())))</f>
        <v/>
      </c>
      <c r="W489" s="63" t="str">
        <f aca="false">IF(ISBLANK($C489),"",IF(J489=Constants!$B$2, TRUE(), IF(J489=Constants!$B$3, FALSE(), TRUE())))</f>
        <v/>
      </c>
      <c r="X489" s="63" t="str">
        <f aca="false">IF(ISBLANK($C489),"",IF(K489=Constants!$B$2, TRUE(), IF(K489=Constants!$B$3, FALSE(), TRUE())))</f>
        <v/>
      </c>
      <c r="Y489" s="65" t="str">
        <f aca="false">IF(ISBLANK($C489),"",IF(ISNUMBER(L489), L489, ""))</f>
        <v/>
      </c>
      <c r="Z489" s="65" t="str">
        <f aca="false">IF(ISBLANK($C489),"",IF(ISNUMBER(M489), M489, ""))</f>
        <v/>
      </c>
      <c r="AA489" s="65" t="str">
        <f aca="false">IF(ISBLANK($C489),"",IF(ISNUMBER(N489), N489, ""))</f>
        <v/>
      </c>
      <c r="AB489" s="66" t="str">
        <f aca="false">IF(ISBLANK($C489),"",IF(ISNUMBER(O489), O489, ""))</f>
        <v/>
      </c>
      <c r="AC489" s="66" t="str">
        <f aca="false">IF(ISBLANK($C489),"",IF(ISNUMBER(P489), P489, Constants!$B$13))</f>
        <v/>
      </c>
      <c r="AD489" s="63" t="str">
        <f aca="false">IF(ISBLANK($C489),"",IF(Q489=Constants!$B$2, TRUE(), IF(Q489=Constants!$B$3, FALSE(), FALSE())))</f>
        <v/>
      </c>
      <c r="AE489" s="63" t="str">
        <f aca="false">IF(ISBLANK(C489), "", IF(AD489, Constants!$B$4,IF(COUNTA(G489:O489)=0, Constants!$B$5, Constants!$B$7)))</f>
        <v/>
      </c>
      <c r="AF489" s="63" t="str">
        <f aca="false">IF(ISBLANK($C489), "",IF($AE489=Constants!$B$7,1,$AE489))</f>
        <v/>
      </c>
      <c r="AG489" s="63" t="str">
        <f aca="false">IF($AE489=Constants!$B$7,IF(V489, 1, Constants!$B$11) * IF(X489, 1, Constants!$B$12),"")</f>
        <v/>
      </c>
      <c r="AH489" s="63" t="str">
        <f aca="false">IF(AND($AE489=Constants!$B$7, T489, U489) ,MAX(0, $AA489-$Y489),"")</f>
        <v/>
      </c>
      <c r="AI489" s="63" t="str">
        <f aca="false">IF(ISERROR(AH489),$AI$6,"")</f>
        <v/>
      </c>
      <c r="AJ489" s="63" t="str">
        <f aca="false">IF($AE489=Constants!$B$7,IF(AND(T489,U489,W489),IF($AH$6=0,Constants!$B$9,Constants!$B$9*AH489/$AH$6), 0),"")</f>
        <v/>
      </c>
      <c r="AK489" s="63" t="str">
        <f aca="false">IF(AJ489&lt;&gt;"", AJ489*AG489,"")</f>
        <v/>
      </c>
      <c r="AL489" s="63" t="str">
        <f aca="false">IF(AND($AE489=Constants!$B$7, T489, U489) ,IF($Z489="", "", MAX(0,1-ABS($AA489-$Z489)/$AA489)),"")</f>
        <v/>
      </c>
      <c r="AM489" s="63" t="str">
        <f aca="false">IF(AND(NOT(ISERROR(AH489)),ISERROR(AL489)),$AM$6,"")</f>
        <v/>
      </c>
      <c r="AN489" s="63" t="str">
        <f aca="false">IF($AE489=Constants!$B$7 ,IF(AND(T489,U489,W489,ISNUMBER(Z489)),IF($AL$6=0,Constants!$B$10,Constants!$B$10*AL489/$AL$6), 0),"")</f>
        <v/>
      </c>
      <c r="AO489" s="63" t="str">
        <f aca="false">IF(AN489&lt;&gt;"", AN489*AG489,"")</f>
        <v/>
      </c>
      <c r="AP489" s="63" t="str">
        <f aca="false">IF($AE489=Constants!$B$7,IF($AP$6=0,Constants!$B$8,Constants!$B$8*AB489/$AP$6),"")</f>
        <v/>
      </c>
      <c r="AQ489" s="63" t="str">
        <f aca="false">IF($AE489&lt;&gt;Constants!$B$7,$AE489,AK489+AO489+AP489)</f>
        <v/>
      </c>
      <c r="AR489" s="63" t="str">
        <f aca="false">IF(ISBLANK($C489),"",IF($AE489=Constants!$B$7,RANK(AQ489,$AQ$8:$AQ$507),$AE489))</f>
        <v/>
      </c>
      <c r="AS489" s="63" t="str">
        <f aca="false">IF(ISBLANK($C489), "",AK489)</f>
        <v/>
      </c>
      <c r="AT489" s="63" t="str">
        <f aca="false">IF(ISBLANK($C489),"",IF($AE489=Constants!$B$7,RANK(AS489,AS$8:AS$507),$AE489))</f>
        <v/>
      </c>
      <c r="AU489" s="63" t="str">
        <f aca="false">IF(ISBLANK($C489), "",AP489)</f>
        <v/>
      </c>
      <c r="AV489" s="63" t="str">
        <f aca="false">IF(ISBLANK($C489),"",IF($AE489=Constants!$B$7,RANK(AU489,AU$8:AU$507),$AE489))</f>
        <v/>
      </c>
      <c r="AW489" s="63" t="str">
        <f aca="false">IF(ISBLANK($C489), "",AC489)</f>
        <v/>
      </c>
      <c r="AX489" s="63" t="str">
        <f aca="false">IF(ISBLANK($C489),"",
IF($AE489=Constants!$B$7,
  COUNTIFS($AR$8:$AR$507,"&lt;"&amp;$AR489)
  + COUNTIFS($AR$8:$AR$507,$AR489,$AT$8:$AT$507,"&lt;"&amp;$AT489)
  + COUNTIFS($AR$8:$AR$507,$AR489,$AT$8:$AT$507,$AT489,$AV$8:$AV$507,"&lt;"&amp;$AV489)
  + COUNTIFS($AR$8:$AR$507,$AR489,$AT$8:$AT$507,$AT489,$AV$8:$AV$507,$AV489,$AW$8:$AW$507,"&lt;"&amp;$AW489)
  + 1,
$AE489))</f>
        <v/>
      </c>
      <c r="AY489" s="63" t="str">
        <f aca="false">IF(ISBLANK(C489),"",IF($AE489=Constants!$B$7, AR489-AX489,$AE489))</f>
        <v/>
      </c>
      <c r="AZ489" s="67"/>
      <c r="BA489" s="81" t="str">
        <f aca="false">IF(ISBLANK($C489),"",TRIM(AI489&amp;" "&amp;AM489))</f>
        <v/>
      </c>
      <c r="BB489" s="69" t="str">
        <f aca="false">IF(ISBLANK($C489),"",IF($AE489&lt;&gt;Constants!$B$7, $AE489 ,AQ489))</f>
        <v/>
      </c>
      <c r="BC489" s="70" t="str">
        <f aca="false">IF(ISBLANK($C489),"",IF($AE489&lt;&gt;Constants!$B$7, $AE489 ,AF489))</f>
        <v/>
      </c>
      <c r="BD489" s="71" t="str">
        <f aca="false">IF(ISBLANK(C489),"",AY489)</f>
        <v/>
      </c>
      <c r="BE489" s="71" t="str">
        <f aca="false">IF(ISBLANK(C489),"",AX489)</f>
        <v/>
      </c>
      <c r="BF489" s="72" t="str">
        <f aca="false">IF(ISBLANK(C489),"",IFERROR(_xlfn.SWITCH(BE489, Constants!$B$4, COUNTA($C$8:$C988)+2, Constants!$B$5, COUNTA($C$8:$C988)+1, Constants!$B$6, COUNTA($C$8:$C988)),BE489))</f>
        <v/>
      </c>
      <c r="BG489" s="5"/>
      <c r="BH489" s="73" t="n">
        <f aca="false">IF(OR(ISNUMBER(BE489),BE489="DQ",BE489="P",BE489="NS"),
    1,
    0
)</f>
        <v>0</v>
      </c>
      <c r="BI489" s="73" t="n">
        <v>482</v>
      </c>
      <c r="BJ489" s="73" t="str">
        <f aca="false">IF(ISBLANK($C489),
    "",
   BF489+ROW($B489)/1000
)</f>
        <v/>
      </c>
      <c r="BK489" s="73" t="str">
        <f aca="false">IF(ISNUMBER(BJ489), RANK(BJ489,BJ$8:BJ$507,1), "")</f>
        <v/>
      </c>
      <c r="BL489" s="73" t="str">
        <f aca="false">IF(ISBLANK($C489),
    "",
    $B489
)</f>
        <v/>
      </c>
      <c r="BM489" s="73" t="str">
        <f aca="false">IF(ISBLANK($C489),
    "",
    $C489
)</f>
        <v/>
      </c>
      <c r="BN489" s="73" t="str">
        <f aca="false">IF(ISBLANK($C489),
    "",
    $D489
)</f>
        <v/>
      </c>
      <c r="BO489" s="74" t="str">
        <f aca="false">BC489</f>
        <v/>
      </c>
      <c r="BP489" s="75" t="str">
        <f aca="false">BB489</f>
        <v/>
      </c>
      <c r="BQ489" s="73" t="str">
        <f aca="false">IF(ISBLANK($C489),
    "",
    BE489
)</f>
        <v/>
      </c>
      <c r="BR489" s="76" t="str">
        <f aca="false">IF(BI489&gt;BH$7,
    "",
    VLOOKUP(BI489,BK$8:BQ988,7,FALSE())
)</f>
        <v/>
      </c>
      <c r="BS489" s="77" t="str">
        <f aca="false">IF(BI489&gt;BH$7,
    "",
    VLOOKUP(BI489,BK$8:BQ988,2,FALSE())
)</f>
        <v/>
      </c>
      <c r="BT489" s="77" t="str">
        <f aca="false">IF(BI489&gt;BH$7,
    "",
    VLOOKUP(BI489,BK$8:BQ988,3,FALSE())
)</f>
        <v/>
      </c>
      <c r="BU489" s="77" t="str">
        <f aca="false">IF(BI489&gt;BH$7,
    "",
    VLOOKUP(BI489,BK$8:BQ988,4,FALSE())
)</f>
        <v/>
      </c>
      <c r="BV489" s="77" t="str">
        <f aca="false">IF(BI489&gt;BH$7,
    "",
    VLOOKUP(BI489,BK$8:BQ988,5,FALSE())
)</f>
        <v/>
      </c>
      <c r="BW489" s="78" t="str">
        <f aca="false">IF(BI489&gt;BH$7,
    "",
    VLOOKUP(BI489,BK$8:BQ988,6,FALSE())
)</f>
        <v/>
      </c>
      <c r="BX489" s="50"/>
    </row>
    <row r="490" customFormat="false" ht="15.75" hidden="false" customHeight="false" outlineLevel="0" collapsed="false">
      <c r="A490" s="5"/>
      <c r="B490" s="126"/>
      <c r="C490" s="52"/>
      <c r="D490" s="53"/>
      <c r="E490" s="120"/>
      <c r="F490" s="120"/>
      <c r="G490" s="55"/>
      <c r="H490" s="56"/>
      <c r="I490" s="80"/>
      <c r="J490" s="80"/>
      <c r="K490" s="80"/>
      <c r="L490" s="58"/>
      <c r="M490" s="58"/>
      <c r="N490" s="58"/>
      <c r="O490" s="59"/>
      <c r="P490" s="60"/>
      <c r="Q490" s="80"/>
      <c r="R490" s="62"/>
      <c r="S490" s="63"/>
      <c r="T490" s="63" t="str">
        <f aca="false">IF(ISBLANK($C490),"",IF(G490=Constants!$B$2, TRUE(), IF(G490=Constants!$B$3, FALSE(), TRUE())))</f>
        <v/>
      </c>
      <c r="U490" s="63" t="str">
        <f aca="false">IF(ISBLANK($C490),"",IF(H490=Constants!$B$2, TRUE(), IF(H490=Constants!$B$3, FALSE(), TRUE())))</f>
        <v/>
      </c>
      <c r="V490" s="63" t="str">
        <f aca="false">IF(ISBLANK($C490),"",IF(I490=Constants!$B$2, TRUE(), IF(I490=Constants!$B$3, FALSE(), TRUE())))</f>
        <v/>
      </c>
      <c r="W490" s="63" t="str">
        <f aca="false">IF(ISBLANK($C490),"",IF(J490=Constants!$B$2, TRUE(), IF(J490=Constants!$B$3, FALSE(), TRUE())))</f>
        <v/>
      </c>
      <c r="X490" s="63" t="str">
        <f aca="false">IF(ISBLANK($C490),"",IF(K490=Constants!$B$2, TRUE(), IF(K490=Constants!$B$3, FALSE(), TRUE())))</f>
        <v/>
      </c>
      <c r="Y490" s="65" t="str">
        <f aca="false">IF(ISBLANK($C490),"",IF(ISNUMBER(L490), L490, ""))</f>
        <v/>
      </c>
      <c r="Z490" s="65" t="str">
        <f aca="false">IF(ISBLANK($C490),"",IF(ISNUMBER(M490), M490, ""))</f>
        <v/>
      </c>
      <c r="AA490" s="65" t="str">
        <f aca="false">IF(ISBLANK($C490),"",IF(ISNUMBER(N490), N490, ""))</f>
        <v/>
      </c>
      <c r="AB490" s="66" t="str">
        <f aca="false">IF(ISBLANK($C490),"",IF(ISNUMBER(O490), O490, ""))</f>
        <v/>
      </c>
      <c r="AC490" s="66" t="str">
        <f aca="false">IF(ISBLANK($C490),"",IF(ISNUMBER(P490), P490, Constants!$B$13))</f>
        <v/>
      </c>
      <c r="AD490" s="63" t="str">
        <f aca="false">IF(ISBLANK($C490),"",IF(Q490=Constants!$B$2, TRUE(), IF(Q490=Constants!$B$3, FALSE(), FALSE())))</f>
        <v/>
      </c>
      <c r="AE490" s="63" t="str">
        <f aca="false">IF(ISBLANK(C490), "", IF(AD490, Constants!$B$4,IF(COUNTA(G490:O490)=0, Constants!$B$5, Constants!$B$7)))</f>
        <v/>
      </c>
      <c r="AF490" s="63" t="str">
        <f aca="false">IF(ISBLANK($C490), "",IF($AE490=Constants!$B$7,1,$AE490))</f>
        <v/>
      </c>
      <c r="AG490" s="63" t="str">
        <f aca="false">IF($AE490=Constants!$B$7,IF(V490, 1, Constants!$B$11) * IF(X490, 1, Constants!$B$12),"")</f>
        <v/>
      </c>
      <c r="AH490" s="63" t="str">
        <f aca="false">IF(AND($AE490=Constants!$B$7, T490, U490) ,MAX(0, $AA490-$Y490),"")</f>
        <v/>
      </c>
      <c r="AI490" s="63" t="str">
        <f aca="false">IF(ISERROR(AH490),$AI$6,"")</f>
        <v/>
      </c>
      <c r="AJ490" s="63" t="str">
        <f aca="false">IF($AE490=Constants!$B$7,IF(AND(T490,U490,W490),IF($AH$6=0,Constants!$B$9,Constants!$B$9*AH490/$AH$6), 0),"")</f>
        <v/>
      </c>
      <c r="AK490" s="63" t="str">
        <f aca="false">IF(AJ490&lt;&gt;"", AJ490*AG490,"")</f>
        <v/>
      </c>
      <c r="AL490" s="63" t="str">
        <f aca="false">IF(AND($AE490=Constants!$B$7, T490, U490) ,IF($Z490="", "", MAX(0,1-ABS($AA490-$Z490)/$AA490)),"")</f>
        <v/>
      </c>
      <c r="AM490" s="63" t="str">
        <f aca="false">IF(AND(NOT(ISERROR(AH490)),ISERROR(AL490)),$AM$6,"")</f>
        <v/>
      </c>
      <c r="AN490" s="63" t="str">
        <f aca="false">IF($AE490=Constants!$B$7 ,IF(AND(T490,U490,W490,ISNUMBER(Z490)),IF($AL$6=0,Constants!$B$10,Constants!$B$10*AL490/$AL$6), 0),"")</f>
        <v/>
      </c>
      <c r="AO490" s="63" t="str">
        <f aca="false">IF(AN490&lt;&gt;"", AN490*AG490,"")</f>
        <v/>
      </c>
      <c r="AP490" s="63" t="str">
        <f aca="false">IF($AE490=Constants!$B$7,IF($AP$6=0,Constants!$B$8,Constants!$B$8*AB490/$AP$6),"")</f>
        <v/>
      </c>
      <c r="AQ490" s="63" t="str">
        <f aca="false">IF($AE490&lt;&gt;Constants!$B$7,$AE490,AK490+AO490+AP490)</f>
        <v/>
      </c>
      <c r="AR490" s="63" t="str">
        <f aca="false">IF(ISBLANK($C490),"",IF($AE490=Constants!$B$7,RANK(AQ490,$AQ$8:$AQ$507),$AE490))</f>
        <v/>
      </c>
      <c r="AS490" s="63" t="str">
        <f aca="false">IF(ISBLANK($C490), "",AK490)</f>
        <v/>
      </c>
      <c r="AT490" s="63" t="str">
        <f aca="false">IF(ISBLANK($C490),"",IF($AE490=Constants!$B$7,RANK(AS490,AS$8:AS$507),$AE490))</f>
        <v/>
      </c>
      <c r="AU490" s="63" t="str">
        <f aca="false">IF(ISBLANK($C490), "",AP490)</f>
        <v/>
      </c>
      <c r="AV490" s="63" t="str">
        <f aca="false">IF(ISBLANK($C490),"",IF($AE490=Constants!$B$7,RANK(AU490,AU$8:AU$507),$AE490))</f>
        <v/>
      </c>
      <c r="AW490" s="63" t="str">
        <f aca="false">IF(ISBLANK($C490), "",AC490)</f>
        <v/>
      </c>
      <c r="AX490" s="63" t="str">
        <f aca="false">IF(ISBLANK($C490),"",
IF($AE490=Constants!$B$7,
  COUNTIFS($AR$8:$AR$507,"&lt;"&amp;$AR490)
  + COUNTIFS($AR$8:$AR$507,$AR490,$AT$8:$AT$507,"&lt;"&amp;$AT490)
  + COUNTIFS($AR$8:$AR$507,$AR490,$AT$8:$AT$507,$AT490,$AV$8:$AV$507,"&lt;"&amp;$AV490)
  + COUNTIFS($AR$8:$AR$507,$AR490,$AT$8:$AT$507,$AT490,$AV$8:$AV$507,$AV490,$AW$8:$AW$507,"&lt;"&amp;$AW490)
  + 1,
$AE490))</f>
        <v/>
      </c>
      <c r="AY490" s="63" t="str">
        <f aca="false">IF(ISBLANK(C490),"",IF($AE490=Constants!$B$7, AR490-AX490,$AE490))</f>
        <v/>
      </c>
      <c r="AZ490" s="67"/>
      <c r="BA490" s="81" t="str">
        <f aca="false">IF(ISBLANK($C490),"",TRIM(AI490&amp;" "&amp;AM490))</f>
        <v/>
      </c>
      <c r="BB490" s="69" t="str">
        <f aca="false">IF(ISBLANK($C490),"",IF($AE490&lt;&gt;Constants!$B$7, $AE490 ,AQ490))</f>
        <v/>
      </c>
      <c r="BC490" s="70" t="str">
        <f aca="false">IF(ISBLANK($C490),"",IF($AE490&lt;&gt;Constants!$B$7, $AE490 ,AF490))</f>
        <v/>
      </c>
      <c r="BD490" s="71" t="str">
        <f aca="false">IF(ISBLANK(C490),"",AY490)</f>
        <v/>
      </c>
      <c r="BE490" s="71" t="str">
        <f aca="false">IF(ISBLANK(C490),"",AX490)</f>
        <v/>
      </c>
      <c r="BF490" s="72" t="str">
        <f aca="false">IF(ISBLANK(C490),"",IFERROR(_xlfn.SWITCH(BE490, Constants!$B$4, COUNTA($C$8:$C989)+2, Constants!$B$5, COUNTA($C$8:$C989)+1, Constants!$B$6, COUNTA($C$8:$C989)),BE490))</f>
        <v/>
      </c>
      <c r="BG490" s="5"/>
      <c r="BH490" s="73" t="n">
        <f aca="false">IF(OR(ISNUMBER(BE490),BE490="DQ",BE490="P",BE490="NS"),
    1,
    0
)</f>
        <v>0</v>
      </c>
      <c r="BI490" s="73" t="n">
        <v>483</v>
      </c>
      <c r="BJ490" s="73" t="str">
        <f aca="false">IF(ISBLANK($C490),
    "",
   BF490+ROW($B490)/1000
)</f>
        <v/>
      </c>
      <c r="BK490" s="73" t="str">
        <f aca="false">IF(ISNUMBER(BJ490), RANK(BJ490,BJ$8:BJ$507,1), "")</f>
        <v/>
      </c>
      <c r="BL490" s="73" t="str">
        <f aca="false">IF(ISBLANK($C490),
    "",
    $B490
)</f>
        <v/>
      </c>
      <c r="BM490" s="73" t="str">
        <f aca="false">IF(ISBLANK($C490),
    "",
    $C490
)</f>
        <v/>
      </c>
      <c r="BN490" s="73" t="str">
        <f aca="false">IF(ISBLANK($C490),
    "",
    $D490
)</f>
        <v/>
      </c>
      <c r="BO490" s="74" t="str">
        <f aca="false">BC490</f>
        <v/>
      </c>
      <c r="BP490" s="75" t="str">
        <f aca="false">BB490</f>
        <v/>
      </c>
      <c r="BQ490" s="73" t="str">
        <f aca="false">IF(ISBLANK($C490),
    "",
    BE490
)</f>
        <v/>
      </c>
      <c r="BR490" s="76" t="str">
        <f aca="false">IF(BI490&gt;BH$7,
    "",
    VLOOKUP(BI490,BK$8:BQ989,7,FALSE())
)</f>
        <v/>
      </c>
      <c r="BS490" s="77" t="str">
        <f aca="false">IF(BI490&gt;BH$7,
    "",
    VLOOKUP(BI490,BK$8:BQ989,2,FALSE())
)</f>
        <v/>
      </c>
      <c r="BT490" s="77" t="str">
        <f aca="false">IF(BI490&gt;BH$7,
    "",
    VLOOKUP(BI490,BK$8:BQ989,3,FALSE())
)</f>
        <v/>
      </c>
      <c r="BU490" s="77" t="str">
        <f aca="false">IF(BI490&gt;BH$7,
    "",
    VLOOKUP(BI490,BK$8:BQ989,4,FALSE())
)</f>
        <v/>
      </c>
      <c r="BV490" s="77" t="str">
        <f aca="false">IF(BI490&gt;BH$7,
    "",
    VLOOKUP(BI490,BK$8:BQ989,5,FALSE())
)</f>
        <v/>
      </c>
      <c r="BW490" s="78" t="str">
        <f aca="false">IF(BI490&gt;BH$7,
    "",
    VLOOKUP(BI490,BK$8:BQ989,6,FALSE())
)</f>
        <v/>
      </c>
      <c r="BX490" s="50"/>
    </row>
    <row r="491" customFormat="false" ht="15.75" hidden="false" customHeight="false" outlineLevel="0" collapsed="false">
      <c r="A491" s="5"/>
      <c r="B491" s="122"/>
      <c r="C491" s="123"/>
      <c r="D491" s="112"/>
      <c r="E491" s="116"/>
      <c r="F491" s="116"/>
      <c r="G491" s="88"/>
      <c r="H491" s="89"/>
      <c r="I491" s="125"/>
      <c r="J491" s="125"/>
      <c r="K491" s="125"/>
      <c r="L491" s="91"/>
      <c r="M491" s="91"/>
      <c r="N491" s="91"/>
      <c r="O491" s="92"/>
      <c r="P491" s="93"/>
      <c r="Q491" s="125"/>
      <c r="R491" s="95"/>
      <c r="S491" s="96"/>
      <c r="T491" s="96" t="str">
        <f aca="false">IF(ISBLANK($C491),"",IF(G491=Constants!$B$2, TRUE(), IF(G491=Constants!$B$3, FALSE(), TRUE())))</f>
        <v/>
      </c>
      <c r="U491" s="96" t="str">
        <f aca="false">IF(ISBLANK($C491),"",IF(H491=Constants!$B$2, TRUE(), IF(H491=Constants!$B$3, FALSE(), TRUE())))</f>
        <v/>
      </c>
      <c r="V491" s="96" t="str">
        <f aca="false">IF(ISBLANK($C491),"",IF(I491=Constants!$B$2, TRUE(), IF(I491=Constants!$B$3, FALSE(), TRUE())))</f>
        <v/>
      </c>
      <c r="W491" s="96" t="str">
        <f aca="false">IF(ISBLANK($C491),"",IF(J491=Constants!$B$2, TRUE(), IF(J491=Constants!$B$3, FALSE(), TRUE())))</f>
        <v/>
      </c>
      <c r="X491" s="97" t="str">
        <f aca="false">IF(ISBLANK($C491),"",IF(K491=Constants!$B$2, TRUE(), IF(K491=Constants!$B$3, FALSE(), TRUE())))</f>
        <v/>
      </c>
      <c r="Y491" s="98" t="str">
        <f aca="false">IF(ISBLANK($C491),"",IF(ISNUMBER(L491), L491, ""))</f>
        <v/>
      </c>
      <c r="Z491" s="98" t="str">
        <f aca="false">IF(ISBLANK($C491),"",IF(ISNUMBER(M491), M491, ""))</f>
        <v/>
      </c>
      <c r="AA491" s="98" t="str">
        <f aca="false">IF(ISBLANK($C491),"",IF(ISNUMBER(N491), N491, ""))</f>
        <v/>
      </c>
      <c r="AB491" s="99" t="str">
        <f aca="false">IF(ISBLANK($C491),"",IF(ISNUMBER(O491), O491, ""))</f>
        <v/>
      </c>
      <c r="AC491" s="99" t="str">
        <f aca="false">IF(ISBLANK($C491),"",IF(ISNUMBER(P491), P491, Constants!$B$13))</f>
        <v/>
      </c>
      <c r="AD491" s="96" t="str">
        <f aca="false">IF(ISBLANK($C491),"",IF(Q491=Constants!$B$2, TRUE(), IF(Q491=Constants!$B$3, FALSE(), FALSE())))</f>
        <v/>
      </c>
      <c r="AE491" s="96" t="str">
        <f aca="false">IF(ISBLANK(C491), "", IF(AD491, Constants!$B$4,IF(COUNTA(G491:O491)=0, Constants!$B$5, Constants!$B$7)))</f>
        <v/>
      </c>
      <c r="AF491" s="96" t="str">
        <f aca="false">IF(ISBLANK($C491), "",IF($AE491=Constants!$B$7,1,$AE491))</f>
        <v/>
      </c>
      <c r="AG491" s="96" t="str">
        <f aca="false">IF($AE491=Constants!$B$7,IF(V491, 1, Constants!$B$11) * IF(X491, 1, Constants!$B$12),"")</f>
        <v/>
      </c>
      <c r="AH491" s="96" t="str">
        <f aca="false">IF(AND($AE491=Constants!$B$7, T491, U491) ,MAX(0, $AA491-$Y491),"")</f>
        <v/>
      </c>
      <c r="AI491" s="96" t="str">
        <f aca="false">IF(ISERROR(AH491),$AI$6,"")</f>
        <v/>
      </c>
      <c r="AJ491" s="96" t="str">
        <f aca="false">IF($AE491=Constants!$B$7,IF(AND(T491,U491,W491),IF($AH$6=0,Constants!$B$9,Constants!$B$9*AH491/$AH$6), 0),"")</f>
        <v/>
      </c>
      <c r="AK491" s="96" t="str">
        <f aca="false">IF(AJ491&lt;&gt;"", AJ491*AG491,"")</f>
        <v/>
      </c>
      <c r="AL491" s="96" t="str">
        <f aca="false">IF(AND($AE491=Constants!$B$7, T491, U491) ,IF($Z491="", "", MAX(0,1-ABS($AA491-$Z491)/$AA491)),"")</f>
        <v/>
      </c>
      <c r="AM491" s="96" t="str">
        <f aca="false">IF(AND(NOT(ISERROR(AH491)),ISERROR(AL491)),$AM$6,"")</f>
        <v/>
      </c>
      <c r="AN491" s="96" t="str">
        <f aca="false">IF($AE491=Constants!$B$7 ,IF(AND(T491,U491,W491,ISNUMBER(Z491)),IF($AL$6=0,Constants!$B$10,Constants!$B$10*AL491/$AL$6), 0),"")</f>
        <v/>
      </c>
      <c r="AO491" s="96" t="str">
        <f aca="false">IF(AN491&lt;&gt;"", AN491*AG491,"")</f>
        <v/>
      </c>
      <c r="AP491" s="96" t="str">
        <f aca="false">IF($AE491=Constants!$B$7,IF($AP$6=0,Constants!$B$8,Constants!$B$8*AB491/$AP$6),"")</f>
        <v/>
      </c>
      <c r="AQ491" s="96" t="str">
        <f aca="false">IF($AE491&lt;&gt;Constants!$B$7,$AE491,AK491+AO491+AP491)</f>
        <v/>
      </c>
      <c r="AR491" s="96" t="str">
        <f aca="false">IF(ISBLANK($C491),"",IF($AE491=Constants!$B$7,RANK(AQ491,$AQ$8:$AQ$507),$AE491))</f>
        <v/>
      </c>
      <c r="AS491" s="96" t="str">
        <f aca="false">IF(ISBLANK($C491), "",AK491)</f>
        <v/>
      </c>
      <c r="AT491" s="96" t="str">
        <f aca="false">IF(ISBLANK($C491),"",IF($AE491=Constants!$B$7,RANK(AS491,AS$8:AS$507),$AE491))</f>
        <v/>
      </c>
      <c r="AU491" s="96" t="str">
        <f aca="false">IF(ISBLANK($C491), "",AP491)</f>
        <v/>
      </c>
      <c r="AV491" s="96" t="str">
        <f aca="false">IF(ISBLANK($C491),"",IF($AE491=Constants!$B$7,RANK(AU491,AU$8:AU$507),$AE491))</f>
        <v/>
      </c>
      <c r="AW491" s="96" t="str">
        <f aca="false">IF(ISBLANK($C491), "",AC491)</f>
        <v/>
      </c>
      <c r="AX491" s="96" t="str">
        <f aca="false">IF(ISBLANK($C491),"",
IF($AE491=Constants!$B$7,
  COUNTIFS($AR$8:$AR$507,"&lt;"&amp;$AR491)
  + COUNTIFS($AR$8:$AR$507,$AR491,$AT$8:$AT$507,"&lt;"&amp;$AT491)
  + COUNTIFS($AR$8:$AR$507,$AR491,$AT$8:$AT$507,$AT491,$AV$8:$AV$507,"&lt;"&amp;$AV491)
  + COUNTIFS($AR$8:$AR$507,$AR491,$AT$8:$AT$507,$AT491,$AV$8:$AV$507,$AV491,$AW$8:$AW$507,"&lt;"&amp;$AW491)
  + 1,
$AE491))</f>
        <v/>
      </c>
      <c r="AY491" s="96" t="str">
        <f aca="false">IF(ISBLANK(C491),"",IF($AE491=Constants!$B$7, AR491-AX491,$AE491))</f>
        <v/>
      </c>
      <c r="AZ491" s="100"/>
      <c r="BA491" s="101" t="str">
        <f aca="false">IF(ISBLANK($C491),"",TRIM(AI491&amp;" "&amp;AM491))</f>
        <v/>
      </c>
      <c r="BB491" s="102" t="str">
        <f aca="false">IF(ISBLANK($C491),"",IF($AE491&lt;&gt;Constants!$B$7, $AE491 ,AQ491))</f>
        <v/>
      </c>
      <c r="BC491" s="103" t="str">
        <f aca="false">IF(ISBLANK($C491),"",IF($AE491&lt;&gt;Constants!$B$7, $AE491 ,AF491))</f>
        <v/>
      </c>
      <c r="BD491" s="104" t="str">
        <f aca="false">IF(ISBLANK(C491),"",AY491)</f>
        <v/>
      </c>
      <c r="BE491" s="104" t="str">
        <f aca="false">IF(ISBLANK(C491),"",AX491)</f>
        <v/>
      </c>
      <c r="BF491" s="105" t="str">
        <f aca="false">IF(ISBLANK(C491),"",IFERROR(_xlfn.SWITCH(BE491, Constants!$B$4, COUNTA($C$8:$C990)+2, Constants!$B$5, COUNTA($C$8:$C990)+1, Constants!$B$6, COUNTA($C$8:$C990)),BE491))</f>
        <v/>
      </c>
      <c r="BG491" s="5"/>
      <c r="BH491" s="106" t="n">
        <f aca="false">IF(OR(ISNUMBER(BE491),BE491="DQ",BE491="P",BE491="NS"),
    1,
    0
)</f>
        <v>0</v>
      </c>
      <c r="BI491" s="106" t="n">
        <v>484</v>
      </c>
      <c r="BJ491" s="106" t="str">
        <f aca="false">IF(ISBLANK($C491),
    "",
   BF491+ROW($B491)/1000
)</f>
        <v/>
      </c>
      <c r="BK491" s="106" t="str">
        <f aca="false">IF(ISNUMBER(BJ491), RANK(BJ491,BJ$8:BJ$507,1), "")</f>
        <v/>
      </c>
      <c r="BL491" s="106" t="str">
        <f aca="false">IF(ISBLANK($C491),
    "",
    $B491
)</f>
        <v/>
      </c>
      <c r="BM491" s="106" t="str">
        <f aca="false">IF(ISBLANK($C491),
    "",
    $C491
)</f>
        <v/>
      </c>
      <c r="BN491" s="106" t="str">
        <f aca="false">IF(ISBLANK($C491),
    "",
    $D491
)</f>
        <v/>
      </c>
      <c r="BO491" s="107" t="str">
        <f aca="false">BC491</f>
        <v/>
      </c>
      <c r="BP491" s="108" t="str">
        <f aca="false">BB491</f>
        <v/>
      </c>
      <c r="BQ491" s="106" t="str">
        <f aca="false">IF(ISBLANK($C491),
    "",
    BE491
)</f>
        <v/>
      </c>
      <c r="BR491" s="109" t="str">
        <f aca="false">IF(BI491&gt;BH$7,
    "",
    VLOOKUP(BI491,BK$8:BQ990,7,FALSE())
)</f>
        <v/>
      </c>
      <c r="BS491" s="110" t="str">
        <f aca="false">IF(BI491&gt;BH$7,
    "",
    VLOOKUP(BI491,BK$8:BQ990,2,FALSE())
)</f>
        <v/>
      </c>
      <c r="BT491" s="110" t="str">
        <f aca="false">IF(BI491&gt;BH$7,
    "",
    VLOOKUP(BI491,BK$8:BQ990,3,FALSE())
)</f>
        <v/>
      </c>
      <c r="BU491" s="110" t="str">
        <f aca="false">IF(BI491&gt;BH$7,
    "",
    VLOOKUP(BI491,BK$8:BQ990,4,FALSE())
)</f>
        <v/>
      </c>
      <c r="BV491" s="110" t="str">
        <f aca="false">IF(BI491&gt;BH$7,
    "",
    VLOOKUP(BI491,BK$8:BQ990,5,FALSE())
)</f>
        <v/>
      </c>
      <c r="BW491" s="111" t="str">
        <f aca="false">IF(BI491&gt;BH$7,
    "",
    VLOOKUP(BI491,BK$8:BQ990,6,FALSE())
)</f>
        <v/>
      </c>
      <c r="BX491" s="50"/>
    </row>
    <row r="492" customFormat="false" ht="15.75" hidden="false" customHeight="false" outlineLevel="0" collapsed="false">
      <c r="A492" s="5"/>
      <c r="B492" s="122"/>
      <c r="C492" s="123"/>
      <c r="D492" s="112"/>
      <c r="E492" s="116"/>
      <c r="F492" s="116"/>
      <c r="G492" s="88"/>
      <c r="H492" s="89"/>
      <c r="I492" s="125"/>
      <c r="J492" s="125"/>
      <c r="K492" s="125"/>
      <c r="L492" s="91"/>
      <c r="M492" s="91"/>
      <c r="N492" s="91"/>
      <c r="O492" s="92"/>
      <c r="P492" s="93"/>
      <c r="Q492" s="125"/>
      <c r="R492" s="95"/>
      <c r="S492" s="96"/>
      <c r="T492" s="96" t="str">
        <f aca="false">IF(ISBLANK($C492),"",IF(G492=Constants!$B$2, TRUE(), IF(G492=Constants!$B$3, FALSE(), TRUE())))</f>
        <v/>
      </c>
      <c r="U492" s="96" t="str">
        <f aca="false">IF(ISBLANK($C492),"",IF(H492=Constants!$B$2, TRUE(), IF(H492=Constants!$B$3, FALSE(), TRUE())))</f>
        <v/>
      </c>
      <c r="V492" s="96" t="str">
        <f aca="false">IF(ISBLANK($C492),"",IF(I492=Constants!$B$2, TRUE(), IF(I492=Constants!$B$3, FALSE(), TRUE())))</f>
        <v/>
      </c>
      <c r="W492" s="96" t="str">
        <f aca="false">IF(ISBLANK($C492),"",IF(J492=Constants!$B$2, TRUE(), IF(J492=Constants!$B$3, FALSE(), TRUE())))</f>
        <v/>
      </c>
      <c r="X492" s="97" t="str">
        <f aca="false">IF(ISBLANK($C492),"",IF(K492=Constants!$B$2, TRUE(), IF(K492=Constants!$B$3, FALSE(), TRUE())))</f>
        <v/>
      </c>
      <c r="Y492" s="98" t="str">
        <f aca="false">IF(ISBLANK($C492),"",IF(ISNUMBER(L492), L492, ""))</f>
        <v/>
      </c>
      <c r="Z492" s="98" t="str">
        <f aca="false">IF(ISBLANK($C492),"",IF(ISNUMBER(M492), M492, ""))</f>
        <v/>
      </c>
      <c r="AA492" s="98" t="str">
        <f aca="false">IF(ISBLANK($C492),"",IF(ISNUMBER(N492), N492, ""))</f>
        <v/>
      </c>
      <c r="AB492" s="99" t="str">
        <f aca="false">IF(ISBLANK($C492),"",IF(ISNUMBER(O492), O492, ""))</f>
        <v/>
      </c>
      <c r="AC492" s="99" t="str">
        <f aca="false">IF(ISBLANK($C492),"",IF(ISNUMBER(P492), P492, Constants!$B$13))</f>
        <v/>
      </c>
      <c r="AD492" s="96" t="str">
        <f aca="false">IF(ISBLANK($C492),"",IF(Q492=Constants!$B$2, TRUE(), IF(Q492=Constants!$B$3, FALSE(), FALSE())))</f>
        <v/>
      </c>
      <c r="AE492" s="96" t="str">
        <f aca="false">IF(ISBLANK(C492), "", IF(AD492, Constants!$B$4,IF(COUNTA(G492:O492)=0, Constants!$B$5, Constants!$B$7)))</f>
        <v/>
      </c>
      <c r="AF492" s="96" t="str">
        <f aca="false">IF(ISBLANK($C492), "",IF($AE492=Constants!$B$7,1,$AE492))</f>
        <v/>
      </c>
      <c r="AG492" s="96" t="str">
        <f aca="false">IF($AE492=Constants!$B$7,IF(V492, 1, Constants!$B$11) * IF(X492, 1, Constants!$B$12),"")</f>
        <v/>
      </c>
      <c r="AH492" s="96" t="str">
        <f aca="false">IF(AND($AE492=Constants!$B$7, T492, U492) ,MAX(0, $AA492-$Y492),"")</f>
        <v/>
      </c>
      <c r="AI492" s="96" t="str">
        <f aca="false">IF(ISERROR(AH492),$AI$6,"")</f>
        <v/>
      </c>
      <c r="AJ492" s="96" t="str">
        <f aca="false">IF($AE492=Constants!$B$7,IF(AND(T492,U492,W492),IF($AH$6=0,Constants!$B$9,Constants!$B$9*AH492/$AH$6), 0),"")</f>
        <v/>
      </c>
      <c r="AK492" s="96" t="str">
        <f aca="false">IF(AJ492&lt;&gt;"", AJ492*AG492,"")</f>
        <v/>
      </c>
      <c r="AL492" s="96" t="str">
        <f aca="false">IF(AND($AE492=Constants!$B$7, T492, U492) ,IF($Z492="", "", MAX(0,1-ABS($AA492-$Z492)/$AA492)),"")</f>
        <v/>
      </c>
      <c r="AM492" s="96" t="str">
        <f aca="false">IF(AND(NOT(ISERROR(AH492)),ISERROR(AL492)),$AM$6,"")</f>
        <v/>
      </c>
      <c r="AN492" s="96" t="str">
        <f aca="false">IF($AE492=Constants!$B$7 ,IF(AND(T492,U492,W492,ISNUMBER(Z492)),IF($AL$6=0,Constants!$B$10,Constants!$B$10*AL492/$AL$6), 0),"")</f>
        <v/>
      </c>
      <c r="AO492" s="96" t="str">
        <f aca="false">IF(AN492&lt;&gt;"", AN492*AG492,"")</f>
        <v/>
      </c>
      <c r="AP492" s="96" t="str">
        <f aca="false">IF($AE492=Constants!$B$7,IF($AP$6=0,Constants!$B$8,Constants!$B$8*AB492/$AP$6),"")</f>
        <v/>
      </c>
      <c r="AQ492" s="96" t="str">
        <f aca="false">IF($AE492&lt;&gt;Constants!$B$7,$AE492,AK492+AO492+AP492)</f>
        <v/>
      </c>
      <c r="AR492" s="96" t="str">
        <f aca="false">IF(ISBLANK($C492),"",IF($AE492=Constants!$B$7,RANK(AQ492,$AQ$8:$AQ$507),$AE492))</f>
        <v/>
      </c>
      <c r="AS492" s="96" t="str">
        <f aca="false">IF(ISBLANK($C492), "",AK492)</f>
        <v/>
      </c>
      <c r="AT492" s="96" t="str">
        <f aca="false">IF(ISBLANK($C492),"",IF($AE492=Constants!$B$7,RANK(AS492,AS$8:AS$507),$AE492))</f>
        <v/>
      </c>
      <c r="AU492" s="96" t="str">
        <f aca="false">IF(ISBLANK($C492), "",AP492)</f>
        <v/>
      </c>
      <c r="AV492" s="96" t="str">
        <f aca="false">IF(ISBLANK($C492),"",IF($AE492=Constants!$B$7,RANK(AU492,AU$8:AU$507),$AE492))</f>
        <v/>
      </c>
      <c r="AW492" s="96" t="str">
        <f aca="false">IF(ISBLANK($C492), "",AC492)</f>
        <v/>
      </c>
      <c r="AX492" s="96" t="str">
        <f aca="false">IF(ISBLANK($C492),"",
IF($AE492=Constants!$B$7,
  COUNTIFS($AR$8:$AR$507,"&lt;"&amp;$AR492)
  + COUNTIFS($AR$8:$AR$507,$AR492,$AT$8:$AT$507,"&lt;"&amp;$AT492)
  + COUNTIFS($AR$8:$AR$507,$AR492,$AT$8:$AT$507,$AT492,$AV$8:$AV$507,"&lt;"&amp;$AV492)
  + COUNTIFS($AR$8:$AR$507,$AR492,$AT$8:$AT$507,$AT492,$AV$8:$AV$507,$AV492,$AW$8:$AW$507,"&lt;"&amp;$AW492)
  + 1,
$AE492))</f>
        <v/>
      </c>
      <c r="AY492" s="96" t="str">
        <f aca="false">IF(ISBLANK(C492),"",IF($AE492=Constants!$B$7, AR492-AX492,$AE492))</f>
        <v/>
      </c>
      <c r="AZ492" s="100"/>
      <c r="BA492" s="101" t="str">
        <f aca="false">IF(ISBLANK($C492),"",TRIM(AI492&amp;" "&amp;AM492))</f>
        <v/>
      </c>
      <c r="BB492" s="102" t="str">
        <f aca="false">IF(ISBLANK($C492),"",IF($AE492&lt;&gt;Constants!$B$7, $AE492 ,AQ492))</f>
        <v/>
      </c>
      <c r="BC492" s="103" t="str">
        <f aca="false">IF(ISBLANK($C492),"",IF($AE492&lt;&gt;Constants!$B$7, $AE492 ,AF492))</f>
        <v/>
      </c>
      <c r="BD492" s="104" t="str">
        <f aca="false">IF(ISBLANK(C492),"",AY492)</f>
        <v/>
      </c>
      <c r="BE492" s="104" t="str">
        <f aca="false">IF(ISBLANK(C492),"",AX492)</f>
        <v/>
      </c>
      <c r="BF492" s="105" t="str">
        <f aca="false">IF(ISBLANK(C492),"",IFERROR(_xlfn.SWITCH(BE492, Constants!$B$4, COUNTA($C$8:$C991)+2, Constants!$B$5, COUNTA($C$8:$C991)+1, Constants!$B$6, COUNTA($C$8:$C991)),BE492))</f>
        <v/>
      </c>
      <c r="BG492" s="5"/>
      <c r="BH492" s="106" t="n">
        <f aca="false">IF(OR(ISNUMBER(BE492),BE492="DQ",BE492="P",BE492="NS"),
    1,
    0
)</f>
        <v>0</v>
      </c>
      <c r="BI492" s="106" t="n">
        <v>485</v>
      </c>
      <c r="BJ492" s="106" t="str">
        <f aca="false">IF(ISBLANK($C492),
    "",
   BF492+ROW($B492)/1000
)</f>
        <v/>
      </c>
      <c r="BK492" s="106" t="str">
        <f aca="false">IF(ISNUMBER(BJ492), RANK(BJ492,BJ$8:BJ$507,1), "")</f>
        <v/>
      </c>
      <c r="BL492" s="106" t="str">
        <f aca="false">IF(ISBLANK($C492),
    "",
    $B492
)</f>
        <v/>
      </c>
      <c r="BM492" s="106" t="str">
        <f aca="false">IF(ISBLANK($C492),
    "",
    $C492
)</f>
        <v/>
      </c>
      <c r="BN492" s="106" t="str">
        <f aca="false">IF(ISBLANK($C492),
    "",
    $D492
)</f>
        <v/>
      </c>
      <c r="BO492" s="107" t="str">
        <f aca="false">BC492</f>
        <v/>
      </c>
      <c r="BP492" s="108" t="str">
        <f aca="false">BB492</f>
        <v/>
      </c>
      <c r="BQ492" s="106" t="str">
        <f aca="false">IF(ISBLANK($C492),
    "",
    BE492
)</f>
        <v/>
      </c>
      <c r="BR492" s="109" t="str">
        <f aca="false">IF(BI492&gt;BH$7,
    "",
    VLOOKUP(BI492,BK$8:BQ991,7,FALSE())
)</f>
        <v/>
      </c>
      <c r="BS492" s="110" t="str">
        <f aca="false">IF(BI492&gt;BH$7,
    "",
    VLOOKUP(BI492,BK$8:BQ991,2,FALSE())
)</f>
        <v/>
      </c>
      <c r="BT492" s="110" t="str">
        <f aca="false">IF(BI492&gt;BH$7,
    "",
    VLOOKUP(BI492,BK$8:BQ991,3,FALSE())
)</f>
        <v/>
      </c>
      <c r="BU492" s="110" t="str">
        <f aca="false">IF(BI492&gt;BH$7,
    "",
    VLOOKUP(BI492,BK$8:BQ991,4,FALSE())
)</f>
        <v/>
      </c>
      <c r="BV492" s="110" t="str">
        <f aca="false">IF(BI492&gt;BH$7,
    "",
    VLOOKUP(BI492,BK$8:BQ991,5,FALSE())
)</f>
        <v/>
      </c>
      <c r="BW492" s="111" t="str">
        <f aca="false">IF(BI492&gt;BH$7,
    "",
    VLOOKUP(BI492,BK$8:BQ991,6,FALSE())
)</f>
        <v/>
      </c>
      <c r="BX492" s="50"/>
    </row>
    <row r="493" customFormat="false" ht="15.75" hidden="false" customHeight="false" outlineLevel="0" collapsed="false">
      <c r="A493" s="5"/>
      <c r="B493" s="122"/>
      <c r="C493" s="123"/>
      <c r="D493" s="112"/>
      <c r="E493" s="116"/>
      <c r="F493" s="116"/>
      <c r="G493" s="88"/>
      <c r="H493" s="89"/>
      <c r="I493" s="125"/>
      <c r="J493" s="125"/>
      <c r="K493" s="125"/>
      <c r="L493" s="91"/>
      <c r="M493" s="91"/>
      <c r="N493" s="91"/>
      <c r="O493" s="92"/>
      <c r="P493" s="93"/>
      <c r="Q493" s="125"/>
      <c r="R493" s="95"/>
      <c r="S493" s="96"/>
      <c r="T493" s="96" t="str">
        <f aca="false">IF(ISBLANK($C493),"",IF(G493=Constants!$B$2, TRUE(), IF(G493=Constants!$B$3, FALSE(), TRUE())))</f>
        <v/>
      </c>
      <c r="U493" s="96" t="str">
        <f aca="false">IF(ISBLANK($C493),"",IF(H493=Constants!$B$2, TRUE(), IF(H493=Constants!$B$3, FALSE(), TRUE())))</f>
        <v/>
      </c>
      <c r="V493" s="96" t="str">
        <f aca="false">IF(ISBLANK($C493),"",IF(I493=Constants!$B$2, TRUE(), IF(I493=Constants!$B$3, FALSE(), TRUE())))</f>
        <v/>
      </c>
      <c r="W493" s="96" t="str">
        <f aca="false">IF(ISBLANK($C493),"",IF(J493=Constants!$B$2, TRUE(), IF(J493=Constants!$B$3, FALSE(), TRUE())))</f>
        <v/>
      </c>
      <c r="X493" s="97" t="str">
        <f aca="false">IF(ISBLANK($C493),"",IF(K493=Constants!$B$2, TRUE(), IF(K493=Constants!$B$3, FALSE(), TRUE())))</f>
        <v/>
      </c>
      <c r="Y493" s="98" t="str">
        <f aca="false">IF(ISBLANK($C493),"",IF(ISNUMBER(L493), L493, ""))</f>
        <v/>
      </c>
      <c r="Z493" s="98" t="str">
        <f aca="false">IF(ISBLANK($C493),"",IF(ISNUMBER(M493), M493, ""))</f>
        <v/>
      </c>
      <c r="AA493" s="98" t="str">
        <f aca="false">IF(ISBLANK($C493),"",IF(ISNUMBER(N493), N493, ""))</f>
        <v/>
      </c>
      <c r="AB493" s="99" t="str">
        <f aca="false">IF(ISBLANK($C493),"",IF(ISNUMBER(O493), O493, ""))</f>
        <v/>
      </c>
      <c r="AC493" s="99" t="str">
        <f aca="false">IF(ISBLANK($C493),"",IF(ISNUMBER(P493), P493, Constants!$B$13))</f>
        <v/>
      </c>
      <c r="AD493" s="96" t="str">
        <f aca="false">IF(ISBLANK($C493),"",IF(Q493=Constants!$B$2, TRUE(), IF(Q493=Constants!$B$3, FALSE(), FALSE())))</f>
        <v/>
      </c>
      <c r="AE493" s="96" t="str">
        <f aca="false">IF(ISBLANK(C493), "", IF(AD493, Constants!$B$4,IF(COUNTA(G493:O493)=0, Constants!$B$5, Constants!$B$7)))</f>
        <v/>
      </c>
      <c r="AF493" s="96" t="str">
        <f aca="false">IF(ISBLANK($C493), "",IF($AE493=Constants!$B$7,1,$AE493))</f>
        <v/>
      </c>
      <c r="AG493" s="96" t="str">
        <f aca="false">IF($AE493=Constants!$B$7,IF(V493, 1, Constants!$B$11) * IF(X493, 1, Constants!$B$12),"")</f>
        <v/>
      </c>
      <c r="AH493" s="96" t="str">
        <f aca="false">IF(AND($AE493=Constants!$B$7, T493, U493) ,MAX(0, $AA493-$Y493),"")</f>
        <v/>
      </c>
      <c r="AI493" s="96" t="str">
        <f aca="false">IF(ISERROR(AH493),$AI$6,"")</f>
        <v/>
      </c>
      <c r="AJ493" s="96" t="str">
        <f aca="false">IF($AE493=Constants!$B$7,IF(AND(T493,U493,W493),IF($AH$6=0,Constants!$B$9,Constants!$B$9*AH493/$AH$6), 0),"")</f>
        <v/>
      </c>
      <c r="AK493" s="96" t="str">
        <f aca="false">IF(AJ493&lt;&gt;"", AJ493*AG493,"")</f>
        <v/>
      </c>
      <c r="AL493" s="96" t="str">
        <f aca="false">IF(AND($AE493=Constants!$B$7, T493, U493) ,IF($Z493="", "", MAX(0,1-ABS($AA493-$Z493)/$AA493)),"")</f>
        <v/>
      </c>
      <c r="AM493" s="96" t="str">
        <f aca="false">IF(AND(NOT(ISERROR(AH493)),ISERROR(AL493)),$AM$6,"")</f>
        <v/>
      </c>
      <c r="AN493" s="96" t="str">
        <f aca="false">IF($AE493=Constants!$B$7 ,IF(AND(T493,U493,W493,ISNUMBER(Z493)),IF($AL$6=0,Constants!$B$10,Constants!$B$10*AL493/$AL$6), 0),"")</f>
        <v/>
      </c>
      <c r="AO493" s="96" t="str">
        <f aca="false">IF(AN493&lt;&gt;"", AN493*AG493,"")</f>
        <v/>
      </c>
      <c r="AP493" s="96" t="str">
        <f aca="false">IF($AE493=Constants!$B$7,IF($AP$6=0,Constants!$B$8,Constants!$B$8*AB493/$AP$6),"")</f>
        <v/>
      </c>
      <c r="AQ493" s="96" t="str">
        <f aca="false">IF($AE493&lt;&gt;Constants!$B$7,$AE493,AK493+AO493+AP493)</f>
        <v/>
      </c>
      <c r="AR493" s="96" t="str">
        <f aca="false">IF(ISBLANK($C493),"",IF($AE493=Constants!$B$7,RANK(AQ493,$AQ$8:$AQ$507),$AE493))</f>
        <v/>
      </c>
      <c r="AS493" s="96" t="str">
        <f aca="false">IF(ISBLANK($C493), "",AK493)</f>
        <v/>
      </c>
      <c r="AT493" s="96" t="str">
        <f aca="false">IF(ISBLANK($C493),"",IF($AE493=Constants!$B$7,RANK(AS493,AS$8:AS$507),$AE493))</f>
        <v/>
      </c>
      <c r="AU493" s="96" t="str">
        <f aca="false">IF(ISBLANK($C493), "",AP493)</f>
        <v/>
      </c>
      <c r="AV493" s="96" t="str">
        <f aca="false">IF(ISBLANK($C493),"",IF($AE493=Constants!$B$7,RANK(AU493,AU$8:AU$507),$AE493))</f>
        <v/>
      </c>
      <c r="AW493" s="96" t="str">
        <f aca="false">IF(ISBLANK($C493), "",AC493)</f>
        <v/>
      </c>
      <c r="AX493" s="96" t="str">
        <f aca="false">IF(ISBLANK($C493),"",
IF($AE493=Constants!$B$7,
  COUNTIFS($AR$8:$AR$507,"&lt;"&amp;$AR493)
  + COUNTIFS($AR$8:$AR$507,$AR493,$AT$8:$AT$507,"&lt;"&amp;$AT493)
  + COUNTIFS($AR$8:$AR$507,$AR493,$AT$8:$AT$507,$AT493,$AV$8:$AV$507,"&lt;"&amp;$AV493)
  + COUNTIFS($AR$8:$AR$507,$AR493,$AT$8:$AT$507,$AT493,$AV$8:$AV$507,$AV493,$AW$8:$AW$507,"&lt;"&amp;$AW493)
  + 1,
$AE493))</f>
        <v/>
      </c>
      <c r="AY493" s="96" t="str">
        <f aca="false">IF(ISBLANK(C493),"",IF($AE493=Constants!$B$7, AR493-AX493,$AE493))</f>
        <v/>
      </c>
      <c r="AZ493" s="100"/>
      <c r="BA493" s="101" t="str">
        <f aca="false">IF(ISBLANK($C493),"",TRIM(AI493&amp;" "&amp;AM493))</f>
        <v/>
      </c>
      <c r="BB493" s="102" t="str">
        <f aca="false">IF(ISBLANK($C493),"",IF($AE493&lt;&gt;Constants!$B$7, $AE493 ,AQ493))</f>
        <v/>
      </c>
      <c r="BC493" s="103" t="str">
        <f aca="false">IF(ISBLANK($C493),"",IF($AE493&lt;&gt;Constants!$B$7, $AE493 ,AF493))</f>
        <v/>
      </c>
      <c r="BD493" s="104" t="str">
        <f aca="false">IF(ISBLANK(C493),"",AY493)</f>
        <v/>
      </c>
      <c r="BE493" s="104" t="str">
        <f aca="false">IF(ISBLANK(C493),"",AX493)</f>
        <v/>
      </c>
      <c r="BF493" s="105" t="str">
        <f aca="false">IF(ISBLANK(C493),"",IFERROR(_xlfn.SWITCH(BE493, Constants!$B$4, COUNTA($C$8:$C992)+2, Constants!$B$5, COUNTA($C$8:$C992)+1, Constants!$B$6, COUNTA($C$8:$C992)),BE493))</f>
        <v/>
      </c>
      <c r="BG493" s="5"/>
      <c r="BH493" s="106" t="n">
        <f aca="false">IF(OR(ISNUMBER(BE493),BE493="DQ",BE493="P",BE493="NS"),
    1,
    0
)</f>
        <v>0</v>
      </c>
      <c r="BI493" s="106" t="n">
        <v>486</v>
      </c>
      <c r="BJ493" s="106" t="str">
        <f aca="false">IF(ISBLANK($C493),
    "",
   BF493+ROW($B493)/1000
)</f>
        <v/>
      </c>
      <c r="BK493" s="106" t="str">
        <f aca="false">IF(ISNUMBER(BJ493), RANK(BJ493,BJ$8:BJ$507,1), "")</f>
        <v/>
      </c>
      <c r="BL493" s="106" t="str">
        <f aca="false">IF(ISBLANK($C493),
    "",
    $B493
)</f>
        <v/>
      </c>
      <c r="BM493" s="106" t="str">
        <f aca="false">IF(ISBLANK($C493),
    "",
    $C493
)</f>
        <v/>
      </c>
      <c r="BN493" s="106" t="str">
        <f aca="false">IF(ISBLANK($C493),
    "",
    $D493
)</f>
        <v/>
      </c>
      <c r="BO493" s="107" t="str">
        <f aca="false">BC493</f>
        <v/>
      </c>
      <c r="BP493" s="108" t="str">
        <f aca="false">BB493</f>
        <v/>
      </c>
      <c r="BQ493" s="106" t="str">
        <f aca="false">IF(ISBLANK($C493),
    "",
    BE493
)</f>
        <v/>
      </c>
      <c r="BR493" s="109" t="str">
        <f aca="false">IF(BI493&gt;BH$7,
    "",
    VLOOKUP(BI493,BK$8:BQ992,7,FALSE())
)</f>
        <v/>
      </c>
      <c r="BS493" s="110" t="str">
        <f aca="false">IF(BI493&gt;BH$7,
    "",
    VLOOKUP(BI493,BK$8:BQ992,2,FALSE())
)</f>
        <v/>
      </c>
      <c r="BT493" s="110" t="str">
        <f aca="false">IF(BI493&gt;BH$7,
    "",
    VLOOKUP(BI493,BK$8:BQ992,3,FALSE())
)</f>
        <v/>
      </c>
      <c r="BU493" s="110" t="str">
        <f aca="false">IF(BI493&gt;BH$7,
    "",
    VLOOKUP(BI493,BK$8:BQ992,4,FALSE())
)</f>
        <v/>
      </c>
      <c r="BV493" s="110" t="str">
        <f aca="false">IF(BI493&gt;BH$7,
    "",
    VLOOKUP(BI493,BK$8:BQ992,5,FALSE())
)</f>
        <v/>
      </c>
      <c r="BW493" s="111" t="str">
        <f aca="false">IF(BI493&gt;BH$7,
    "",
    VLOOKUP(BI493,BK$8:BQ992,6,FALSE())
)</f>
        <v/>
      </c>
      <c r="BX493" s="50"/>
    </row>
    <row r="494" customFormat="false" ht="15.75" hidden="false" customHeight="false" outlineLevel="0" collapsed="false">
      <c r="A494" s="5"/>
      <c r="B494" s="126"/>
      <c r="C494" s="52"/>
      <c r="D494" s="53"/>
      <c r="E494" s="120"/>
      <c r="F494" s="120"/>
      <c r="G494" s="55"/>
      <c r="H494" s="56"/>
      <c r="I494" s="80"/>
      <c r="J494" s="80"/>
      <c r="K494" s="80"/>
      <c r="L494" s="58"/>
      <c r="M494" s="58"/>
      <c r="N494" s="58"/>
      <c r="O494" s="59"/>
      <c r="P494" s="60"/>
      <c r="Q494" s="80"/>
      <c r="R494" s="62"/>
      <c r="S494" s="63"/>
      <c r="T494" s="63" t="str">
        <f aca="false">IF(ISBLANK($C494),"",IF(G494=Constants!$B$2, TRUE(), IF(G494=Constants!$B$3, FALSE(), TRUE())))</f>
        <v/>
      </c>
      <c r="U494" s="63" t="str">
        <f aca="false">IF(ISBLANK($C494),"",IF(H494=Constants!$B$2, TRUE(), IF(H494=Constants!$B$3, FALSE(), TRUE())))</f>
        <v/>
      </c>
      <c r="V494" s="63" t="str">
        <f aca="false">IF(ISBLANK($C494),"",IF(I494=Constants!$B$2, TRUE(), IF(I494=Constants!$B$3, FALSE(), TRUE())))</f>
        <v/>
      </c>
      <c r="W494" s="63" t="str">
        <f aca="false">IF(ISBLANK($C494),"",IF(J494=Constants!$B$2, TRUE(), IF(J494=Constants!$B$3, FALSE(), TRUE())))</f>
        <v/>
      </c>
      <c r="X494" s="63" t="str">
        <f aca="false">IF(ISBLANK($C494),"",IF(K494=Constants!$B$2, TRUE(), IF(K494=Constants!$B$3, FALSE(), TRUE())))</f>
        <v/>
      </c>
      <c r="Y494" s="65" t="str">
        <f aca="false">IF(ISBLANK($C494),"",IF(ISNUMBER(L494), L494, ""))</f>
        <v/>
      </c>
      <c r="Z494" s="65" t="str">
        <f aca="false">IF(ISBLANK($C494),"",IF(ISNUMBER(M494), M494, ""))</f>
        <v/>
      </c>
      <c r="AA494" s="65" t="str">
        <f aca="false">IF(ISBLANK($C494),"",IF(ISNUMBER(N494), N494, ""))</f>
        <v/>
      </c>
      <c r="AB494" s="66" t="str">
        <f aca="false">IF(ISBLANK($C494),"",IF(ISNUMBER(O494), O494, ""))</f>
        <v/>
      </c>
      <c r="AC494" s="66" t="str">
        <f aca="false">IF(ISBLANK($C494),"",IF(ISNUMBER(P494), P494, Constants!$B$13))</f>
        <v/>
      </c>
      <c r="AD494" s="63" t="str">
        <f aca="false">IF(ISBLANK($C494),"",IF(Q494=Constants!$B$2, TRUE(), IF(Q494=Constants!$B$3, FALSE(), FALSE())))</f>
        <v/>
      </c>
      <c r="AE494" s="63" t="str">
        <f aca="false">IF(ISBLANK(C494), "", IF(AD494, Constants!$B$4,IF(COUNTA(G494:O494)=0, Constants!$B$5, Constants!$B$7)))</f>
        <v/>
      </c>
      <c r="AF494" s="63" t="str">
        <f aca="false">IF(ISBLANK($C494), "",IF($AE494=Constants!$B$7,1,$AE494))</f>
        <v/>
      </c>
      <c r="AG494" s="63" t="str">
        <f aca="false">IF($AE494=Constants!$B$7,IF(V494, 1, Constants!$B$11) * IF(X494, 1, Constants!$B$12),"")</f>
        <v/>
      </c>
      <c r="AH494" s="63" t="str">
        <f aca="false">IF(AND($AE494=Constants!$B$7, T494, U494) ,MAX(0, $AA494-$Y494),"")</f>
        <v/>
      </c>
      <c r="AI494" s="63" t="str">
        <f aca="false">IF(ISERROR(AH494),$AI$6,"")</f>
        <v/>
      </c>
      <c r="AJ494" s="63" t="str">
        <f aca="false">IF($AE494=Constants!$B$7,IF(AND(T494,U494,W494),IF($AH$6=0,Constants!$B$9,Constants!$B$9*AH494/$AH$6), 0),"")</f>
        <v/>
      </c>
      <c r="AK494" s="63" t="str">
        <f aca="false">IF(AJ494&lt;&gt;"", AJ494*AG494,"")</f>
        <v/>
      </c>
      <c r="AL494" s="63" t="str">
        <f aca="false">IF(AND($AE494=Constants!$B$7, T494, U494) ,IF($Z494="", "", MAX(0,1-ABS($AA494-$Z494)/$AA494)),"")</f>
        <v/>
      </c>
      <c r="AM494" s="63" t="str">
        <f aca="false">IF(AND(NOT(ISERROR(AH494)),ISERROR(AL494)),$AM$6,"")</f>
        <v/>
      </c>
      <c r="AN494" s="63" t="str">
        <f aca="false">IF($AE494=Constants!$B$7 ,IF(AND(T494,U494,W494,ISNUMBER(Z494)),IF($AL$6=0,Constants!$B$10,Constants!$B$10*AL494/$AL$6), 0),"")</f>
        <v/>
      </c>
      <c r="AO494" s="63" t="str">
        <f aca="false">IF(AN494&lt;&gt;"", AN494*AG494,"")</f>
        <v/>
      </c>
      <c r="AP494" s="63" t="str">
        <f aca="false">IF($AE494=Constants!$B$7,IF($AP$6=0,Constants!$B$8,Constants!$B$8*AB494/$AP$6),"")</f>
        <v/>
      </c>
      <c r="AQ494" s="63" t="str">
        <f aca="false">IF($AE494&lt;&gt;Constants!$B$7,$AE494,AK494+AO494+AP494)</f>
        <v/>
      </c>
      <c r="AR494" s="63" t="str">
        <f aca="false">IF(ISBLANK($C494),"",IF($AE494=Constants!$B$7,RANK(AQ494,$AQ$8:$AQ$507),$AE494))</f>
        <v/>
      </c>
      <c r="AS494" s="63" t="str">
        <f aca="false">IF(ISBLANK($C494), "",AK494)</f>
        <v/>
      </c>
      <c r="AT494" s="63" t="str">
        <f aca="false">IF(ISBLANK($C494),"",IF($AE494=Constants!$B$7,RANK(AS494,AS$8:AS$507),$AE494))</f>
        <v/>
      </c>
      <c r="AU494" s="63" t="str">
        <f aca="false">IF(ISBLANK($C494), "",AP494)</f>
        <v/>
      </c>
      <c r="AV494" s="63" t="str">
        <f aca="false">IF(ISBLANK($C494),"",IF($AE494=Constants!$B$7,RANK(AU494,AU$8:AU$507),$AE494))</f>
        <v/>
      </c>
      <c r="AW494" s="63" t="str">
        <f aca="false">IF(ISBLANK($C494), "",AC494)</f>
        <v/>
      </c>
      <c r="AX494" s="63" t="str">
        <f aca="false">IF(ISBLANK($C494),"",
IF($AE494=Constants!$B$7,
  COUNTIFS($AR$8:$AR$507,"&lt;"&amp;$AR494)
  + COUNTIFS($AR$8:$AR$507,$AR494,$AT$8:$AT$507,"&lt;"&amp;$AT494)
  + COUNTIFS($AR$8:$AR$507,$AR494,$AT$8:$AT$507,$AT494,$AV$8:$AV$507,"&lt;"&amp;$AV494)
  + COUNTIFS($AR$8:$AR$507,$AR494,$AT$8:$AT$507,$AT494,$AV$8:$AV$507,$AV494,$AW$8:$AW$507,"&lt;"&amp;$AW494)
  + 1,
$AE494))</f>
        <v/>
      </c>
      <c r="AY494" s="63" t="str">
        <f aca="false">IF(ISBLANK(C494),"",IF($AE494=Constants!$B$7, AR494-AX494,$AE494))</f>
        <v/>
      </c>
      <c r="AZ494" s="67"/>
      <c r="BA494" s="81" t="str">
        <f aca="false">IF(ISBLANK($C494),"",TRIM(AI494&amp;" "&amp;AM494))</f>
        <v/>
      </c>
      <c r="BB494" s="69" t="str">
        <f aca="false">IF(ISBLANK($C494),"",IF($AE494&lt;&gt;Constants!$B$7, $AE494 ,AQ494))</f>
        <v/>
      </c>
      <c r="BC494" s="70" t="str">
        <f aca="false">IF(ISBLANK($C494),"",IF($AE494&lt;&gt;Constants!$B$7, $AE494 ,AF494))</f>
        <v/>
      </c>
      <c r="BD494" s="71" t="str">
        <f aca="false">IF(ISBLANK(C494),"",AY494)</f>
        <v/>
      </c>
      <c r="BE494" s="71" t="str">
        <f aca="false">IF(ISBLANK(C494),"",AX494)</f>
        <v/>
      </c>
      <c r="BF494" s="72" t="str">
        <f aca="false">IF(ISBLANK(C494),"",IFERROR(_xlfn.SWITCH(BE494, Constants!$B$4, COUNTA($C$8:$C993)+2, Constants!$B$5, COUNTA($C$8:$C993)+1, Constants!$B$6, COUNTA($C$8:$C993)),BE494))</f>
        <v/>
      </c>
      <c r="BG494" s="5"/>
      <c r="BH494" s="73" t="n">
        <f aca="false">IF(OR(ISNUMBER(BE494),BE494="DQ",BE494="P",BE494="NS"),
    1,
    0
)</f>
        <v>0</v>
      </c>
      <c r="BI494" s="73" t="n">
        <v>487</v>
      </c>
      <c r="BJ494" s="73" t="str">
        <f aca="false">IF(ISBLANK($C494),
    "",
   BF494+ROW($B494)/1000
)</f>
        <v/>
      </c>
      <c r="BK494" s="73" t="str">
        <f aca="false">IF(ISNUMBER(BJ494), RANK(BJ494,BJ$8:BJ$507,1), "")</f>
        <v/>
      </c>
      <c r="BL494" s="73" t="str">
        <f aca="false">IF(ISBLANK($C494),
    "",
    $B494
)</f>
        <v/>
      </c>
      <c r="BM494" s="73" t="str">
        <f aca="false">IF(ISBLANK($C494),
    "",
    $C494
)</f>
        <v/>
      </c>
      <c r="BN494" s="73" t="str">
        <f aca="false">IF(ISBLANK($C494),
    "",
    $D494
)</f>
        <v/>
      </c>
      <c r="BO494" s="74" t="str">
        <f aca="false">BC494</f>
        <v/>
      </c>
      <c r="BP494" s="75" t="str">
        <f aca="false">BB494</f>
        <v/>
      </c>
      <c r="BQ494" s="73" t="str">
        <f aca="false">IF(ISBLANK($C494),
    "",
    BE494
)</f>
        <v/>
      </c>
      <c r="BR494" s="76" t="str">
        <f aca="false">IF(BI494&gt;BH$7,
    "",
    VLOOKUP(BI494,BK$8:BQ993,7,FALSE())
)</f>
        <v/>
      </c>
      <c r="BS494" s="77" t="str">
        <f aca="false">IF(BI494&gt;BH$7,
    "",
    VLOOKUP(BI494,BK$8:BQ993,2,FALSE())
)</f>
        <v/>
      </c>
      <c r="BT494" s="77" t="str">
        <f aca="false">IF(BI494&gt;BH$7,
    "",
    VLOOKUP(BI494,BK$8:BQ993,3,FALSE())
)</f>
        <v/>
      </c>
      <c r="BU494" s="77" t="str">
        <f aca="false">IF(BI494&gt;BH$7,
    "",
    VLOOKUP(BI494,BK$8:BQ993,4,FALSE())
)</f>
        <v/>
      </c>
      <c r="BV494" s="77" t="str">
        <f aca="false">IF(BI494&gt;BH$7,
    "",
    VLOOKUP(BI494,BK$8:BQ993,5,FALSE())
)</f>
        <v/>
      </c>
      <c r="BW494" s="78" t="str">
        <f aca="false">IF(BI494&gt;BH$7,
    "",
    VLOOKUP(BI494,BK$8:BQ993,6,FALSE())
)</f>
        <v/>
      </c>
      <c r="BX494" s="50"/>
    </row>
    <row r="495" customFormat="false" ht="15.75" hidden="false" customHeight="false" outlineLevel="0" collapsed="false">
      <c r="A495" s="5"/>
      <c r="B495" s="126"/>
      <c r="C495" s="52"/>
      <c r="D495" s="53"/>
      <c r="E495" s="120"/>
      <c r="F495" s="120"/>
      <c r="G495" s="55"/>
      <c r="H495" s="56"/>
      <c r="I495" s="80"/>
      <c r="J495" s="80"/>
      <c r="K495" s="80"/>
      <c r="L495" s="58"/>
      <c r="M495" s="58"/>
      <c r="N495" s="58"/>
      <c r="O495" s="59"/>
      <c r="P495" s="60"/>
      <c r="Q495" s="80"/>
      <c r="R495" s="62"/>
      <c r="S495" s="63"/>
      <c r="T495" s="63" t="str">
        <f aca="false">IF(ISBLANK($C495),"",IF(G495=Constants!$B$2, TRUE(), IF(G495=Constants!$B$3, FALSE(), TRUE())))</f>
        <v/>
      </c>
      <c r="U495" s="63" t="str">
        <f aca="false">IF(ISBLANK($C495),"",IF(H495=Constants!$B$2, TRUE(), IF(H495=Constants!$B$3, FALSE(), TRUE())))</f>
        <v/>
      </c>
      <c r="V495" s="63" t="str">
        <f aca="false">IF(ISBLANK($C495),"",IF(I495=Constants!$B$2, TRUE(), IF(I495=Constants!$B$3, FALSE(), TRUE())))</f>
        <v/>
      </c>
      <c r="W495" s="63" t="str">
        <f aca="false">IF(ISBLANK($C495),"",IF(J495=Constants!$B$2, TRUE(), IF(J495=Constants!$B$3, FALSE(), TRUE())))</f>
        <v/>
      </c>
      <c r="X495" s="63" t="str">
        <f aca="false">IF(ISBLANK($C495),"",IF(K495=Constants!$B$2, TRUE(), IF(K495=Constants!$B$3, FALSE(), TRUE())))</f>
        <v/>
      </c>
      <c r="Y495" s="65" t="str">
        <f aca="false">IF(ISBLANK($C495),"",IF(ISNUMBER(L495), L495, ""))</f>
        <v/>
      </c>
      <c r="Z495" s="65" t="str">
        <f aca="false">IF(ISBLANK($C495),"",IF(ISNUMBER(M495), M495, ""))</f>
        <v/>
      </c>
      <c r="AA495" s="65" t="str">
        <f aca="false">IF(ISBLANK($C495),"",IF(ISNUMBER(N495), N495, ""))</f>
        <v/>
      </c>
      <c r="AB495" s="66" t="str">
        <f aca="false">IF(ISBLANK($C495),"",IF(ISNUMBER(O495), O495, ""))</f>
        <v/>
      </c>
      <c r="AC495" s="66" t="str">
        <f aca="false">IF(ISBLANK($C495),"",IF(ISNUMBER(P495), P495, Constants!$B$13))</f>
        <v/>
      </c>
      <c r="AD495" s="63" t="str">
        <f aca="false">IF(ISBLANK($C495),"",IF(Q495=Constants!$B$2, TRUE(), IF(Q495=Constants!$B$3, FALSE(), FALSE())))</f>
        <v/>
      </c>
      <c r="AE495" s="63" t="str">
        <f aca="false">IF(ISBLANK(C495), "", IF(AD495, Constants!$B$4,IF(COUNTA(G495:O495)=0, Constants!$B$5, Constants!$B$7)))</f>
        <v/>
      </c>
      <c r="AF495" s="63" t="str">
        <f aca="false">IF(ISBLANK($C495), "",IF($AE495=Constants!$B$7,1,$AE495))</f>
        <v/>
      </c>
      <c r="AG495" s="63" t="str">
        <f aca="false">IF($AE495=Constants!$B$7,IF(V495, 1, Constants!$B$11) * IF(X495, 1, Constants!$B$12),"")</f>
        <v/>
      </c>
      <c r="AH495" s="63" t="str">
        <f aca="false">IF(AND($AE495=Constants!$B$7, T495, U495) ,MAX(0, $AA495-$Y495),"")</f>
        <v/>
      </c>
      <c r="AI495" s="63" t="str">
        <f aca="false">IF(ISERROR(AH495),$AI$6,"")</f>
        <v/>
      </c>
      <c r="AJ495" s="63" t="str">
        <f aca="false">IF($AE495=Constants!$B$7,IF(AND(T495,U495,W495),IF($AH$6=0,Constants!$B$9,Constants!$B$9*AH495/$AH$6), 0),"")</f>
        <v/>
      </c>
      <c r="AK495" s="63" t="str">
        <f aca="false">IF(AJ495&lt;&gt;"", AJ495*AG495,"")</f>
        <v/>
      </c>
      <c r="AL495" s="63" t="str">
        <f aca="false">IF(AND($AE495=Constants!$B$7, T495, U495) ,IF($Z495="", "", MAX(0,1-ABS($AA495-$Z495)/$AA495)),"")</f>
        <v/>
      </c>
      <c r="AM495" s="63" t="str">
        <f aca="false">IF(AND(NOT(ISERROR(AH495)),ISERROR(AL495)),$AM$6,"")</f>
        <v/>
      </c>
      <c r="AN495" s="63" t="str">
        <f aca="false">IF($AE495=Constants!$B$7 ,IF(AND(T495,U495,W495,ISNUMBER(Z495)),IF($AL$6=0,Constants!$B$10,Constants!$B$10*AL495/$AL$6), 0),"")</f>
        <v/>
      </c>
      <c r="AO495" s="63" t="str">
        <f aca="false">IF(AN495&lt;&gt;"", AN495*AG495,"")</f>
        <v/>
      </c>
      <c r="AP495" s="63" t="str">
        <f aca="false">IF($AE495=Constants!$B$7,IF($AP$6=0,Constants!$B$8,Constants!$B$8*AB495/$AP$6),"")</f>
        <v/>
      </c>
      <c r="AQ495" s="63" t="str">
        <f aca="false">IF($AE495&lt;&gt;Constants!$B$7,$AE495,AK495+AO495+AP495)</f>
        <v/>
      </c>
      <c r="AR495" s="63" t="str">
        <f aca="false">IF(ISBLANK($C495),"",IF($AE495=Constants!$B$7,RANK(AQ495,$AQ$8:$AQ$507),$AE495))</f>
        <v/>
      </c>
      <c r="AS495" s="63" t="str">
        <f aca="false">IF(ISBLANK($C495), "",AK495)</f>
        <v/>
      </c>
      <c r="AT495" s="63" t="str">
        <f aca="false">IF(ISBLANK($C495),"",IF($AE495=Constants!$B$7,RANK(AS495,AS$8:AS$507),$AE495))</f>
        <v/>
      </c>
      <c r="AU495" s="63" t="str">
        <f aca="false">IF(ISBLANK($C495), "",AP495)</f>
        <v/>
      </c>
      <c r="AV495" s="63" t="str">
        <f aca="false">IF(ISBLANK($C495),"",IF($AE495=Constants!$B$7,RANK(AU495,AU$8:AU$507),$AE495))</f>
        <v/>
      </c>
      <c r="AW495" s="63" t="str">
        <f aca="false">IF(ISBLANK($C495), "",AC495)</f>
        <v/>
      </c>
      <c r="AX495" s="63" t="str">
        <f aca="false">IF(ISBLANK($C495),"",
IF($AE495=Constants!$B$7,
  COUNTIFS($AR$8:$AR$507,"&lt;"&amp;$AR495)
  + COUNTIFS($AR$8:$AR$507,$AR495,$AT$8:$AT$507,"&lt;"&amp;$AT495)
  + COUNTIFS($AR$8:$AR$507,$AR495,$AT$8:$AT$507,$AT495,$AV$8:$AV$507,"&lt;"&amp;$AV495)
  + COUNTIFS($AR$8:$AR$507,$AR495,$AT$8:$AT$507,$AT495,$AV$8:$AV$507,$AV495,$AW$8:$AW$507,"&lt;"&amp;$AW495)
  + 1,
$AE495))</f>
        <v/>
      </c>
      <c r="AY495" s="63" t="str">
        <f aca="false">IF(ISBLANK(C495),"",IF($AE495=Constants!$B$7, AR495-AX495,$AE495))</f>
        <v/>
      </c>
      <c r="AZ495" s="67"/>
      <c r="BA495" s="81" t="str">
        <f aca="false">IF(ISBLANK($C495),"",TRIM(AI495&amp;" "&amp;AM495))</f>
        <v/>
      </c>
      <c r="BB495" s="69" t="str">
        <f aca="false">IF(ISBLANK($C495),"",IF($AE495&lt;&gt;Constants!$B$7, $AE495 ,AQ495))</f>
        <v/>
      </c>
      <c r="BC495" s="70" t="str">
        <f aca="false">IF(ISBLANK($C495),"",IF($AE495&lt;&gt;Constants!$B$7, $AE495 ,AF495))</f>
        <v/>
      </c>
      <c r="BD495" s="71" t="str">
        <f aca="false">IF(ISBLANK(C495),"",AY495)</f>
        <v/>
      </c>
      <c r="BE495" s="71" t="str">
        <f aca="false">IF(ISBLANK(C495),"",AX495)</f>
        <v/>
      </c>
      <c r="BF495" s="72" t="str">
        <f aca="false">IF(ISBLANK(C495),"",IFERROR(_xlfn.SWITCH(BE495, Constants!$B$4, COUNTA($C$8:$C994)+2, Constants!$B$5, COUNTA($C$8:$C994)+1, Constants!$B$6, COUNTA($C$8:$C994)),BE495))</f>
        <v/>
      </c>
      <c r="BG495" s="5"/>
      <c r="BH495" s="73" t="n">
        <f aca="false">IF(OR(ISNUMBER(BE495),BE495="DQ",BE495="P",BE495="NS"),
    1,
    0
)</f>
        <v>0</v>
      </c>
      <c r="BI495" s="73" t="n">
        <v>488</v>
      </c>
      <c r="BJ495" s="73" t="str">
        <f aca="false">IF(ISBLANK($C495),
    "",
   BF495+ROW($B495)/1000
)</f>
        <v/>
      </c>
      <c r="BK495" s="73" t="str">
        <f aca="false">IF(ISNUMBER(BJ495), RANK(BJ495,BJ$8:BJ$507,1), "")</f>
        <v/>
      </c>
      <c r="BL495" s="73" t="str">
        <f aca="false">IF(ISBLANK($C495),
    "",
    $B495
)</f>
        <v/>
      </c>
      <c r="BM495" s="73" t="str">
        <f aca="false">IF(ISBLANK($C495),
    "",
    $C495
)</f>
        <v/>
      </c>
      <c r="BN495" s="73" t="str">
        <f aca="false">IF(ISBLANK($C495),
    "",
    $D495
)</f>
        <v/>
      </c>
      <c r="BO495" s="74" t="str">
        <f aca="false">BC495</f>
        <v/>
      </c>
      <c r="BP495" s="75" t="str">
        <f aca="false">BB495</f>
        <v/>
      </c>
      <c r="BQ495" s="73" t="str">
        <f aca="false">IF(ISBLANK($C495),
    "",
    BE495
)</f>
        <v/>
      </c>
      <c r="BR495" s="76" t="str">
        <f aca="false">IF(BI495&gt;BH$7,
    "",
    VLOOKUP(BI495,BK$8:BQ994,7,FALSE())
)</f>
        <v/>
      </c>
      <c r="BS495" s="77" t="str">
        <f aca="false">IF(BI495&gt;BH$7,
    "",
    VLOOKUP(BI495,BK$8:BQ994,2,FALSE())
)</f>
        <v/>
      </c>
      <c r="BT495" s="77" t="str">
        <f aca="false">IF(BI495&gt;BH$7,
    "",
    VLOOKUP(BI495,BK$8:BQ994,3,FALSE())
)</f>
        <v/>
      </c>
      <c r="BU495" s="77" t="str">
        <f aca="false">IF(BI495&gt;BH$7,
    "",
    VLOOKUP(BI495,BK$8:BQ994,4,FALSE())
)</f>
        <v/>
      </c>
      <c r="BV495" s="77" t="str">
        <f aca="false">IF(BI495&gt;BH$7,
    "",
    VLOOKUP(BI495,BK$8:BQ994,5,FALSE())
)</f>
        <v/>
      </c>
      <c r="BW495" s="78" t="str">
        <f aca="false">IF(BI495&gt;BH$7,
    "",
    VLOOKUP(BI495,BK$8:BQ994,6,FALSE())
)</f>
        <v/>
      </c>
      <c r="BX495" s="50"/>
    </row>
    <row r="496" customFormat="false" ht="15.75" hidden="false" customHeight="false" outlineLevel="0" collapsed="false">
      <c r="A496" s="5"/>
      <c r="B496" s="126"/>
      <c r="C496" s="52"/>
      <c r="D496" s="53"/>
      <c r="E496" s="120"/>
      <c r="F496" s="120"/>
      <c r="G496" s="55"/>
      <c r="H496" s="56"/>
      <c r="I496" s="80"/>
      <c r="J496" s="80"/>
      <c r="K496" s="80"/>
      <c r="L496" s="58"/>
      <c r="M496" s="58"/>
      <c r="N496" s="58"/>
      <c r="O496" s="59"/>
      <c r="P496" s="60"/>
      <c r="Q496" s="80"/>
      <c r="R496" s="62"/>
      <c r="S496" s="63"/>
      <c r="T496" s="63" t="str">
        <f aca="false">IF(ISBLANK($C496),"",IF(G496=Constants!$B$2, TRUE(), IF(G496=Constants!$B$3, FALSE(), TRUE())))</f>
        <v/>
      </c>
      <c r="U496" s="63" t="str">
        <f aca="false">IF(ISBLANK($C496),"",IF(H496=Constants!$B$2, TRUE(), IF(H496=Constants!$B$3, FALSE(), TRUE())))</f>
        <v/>
      </c>
      <c r="V496" s="63" t="str">
        <f aca="false">IF(ISBLANK($C496),"",IF(I496=Constants!$B$2, TRUE(), IF(I496=Constants!$B$3, FALSE(), TRUE())))</f>
        <v/>
      </c>
      <c r="W496" s="63" t="str">
        <f aca="false">IF(ISBLANK($C496),"",IF(J496=Constants!$B$2, TRUE(), IF(J496=Constants!$B$3, FALSE(), TRUE())))</f>
        <v/>
      </c>
      <c r="X496" s="63" t="str">
        <f aca="false">IF(ISBLANK($C496),"",IF(K496=Constants!$B$2, TRUE(), IF(K496=Constants!$B$3, FALSE(), TRUE())))</f>
        <v/>
      </c>
      <c r="Y496" s="65" t="str">
        <f aca="false">IF(ISBLANK($C496),"",IF(ISNUMBER(L496), L496, ""))</f>
        <v/>
      </c>
      <c r="Z496" s="65" t="str">
        <f aca="false">IF(ISBLANK($C496),"",IF(ISNUMBER(M496), M496, ""))</f>
        <v/>
      </c>
      <c r="AA496" s="65" t="str">
        <f aca="false">IF(ISBLANK($C496),"",IF(ISNUMBER(N496), N496, ""))</f>
        <v/>
      </c>
      <c r="AB496" s="66" t="str">
        <f aca="false">IF(ISBLANK($C496),"",IF(ISNUMBER(O496), O496, ""))</f>
        <v/>
      </c>
      <c r="AC496" s="66" t="str">
        <f aca="false">IF(ISBLANK($C496),"",IF(ISNUMBER(P496), P496, Constants!$B$13))</f>
        <v/>
      </c>
      <c r="AD496" s="63" t="str">
        <f aca="false">IF(ISBLANK($C496),"",IF(Q496=Constants!$B$2, TRUE(), IF(Q496=Constants!$B$3, FALSE(), FALSE())))</f>
        <v/>
      </c>
      <c r="AE496" s="63" t="str">
        <f aca="false">IF(ISBLANK(C496), "", IF(AD496, Constants!$B$4,IF(COUNTA(G496:O496)=0, Constants!$B$5, Constants!$B$7)))</f>
        <v/>
      </c>
      <c r="AF496" s="63" t="str">
        <f aca="false">IF(ISBLANK($C496), "",IF($AE496=Constants!$B$7,1,$AE496))</f>
        <v/>
      </c>
      <c r="AG496" s="63" t="str">
        <f aca="false">IF($AE496=Constants!$B$7,IF(V496, 1, Constants!$B$11) * IF(X496, 1, Constants!$B$12),"")</f>
        <v/>
      </c>
      <c r="AH496" s="63" t="str">
        <f aca="false">IF(AND($AE496=Constants!$B$7, T496, U496) ,MAX(0, $AA496-$Y496),"")</f>
        <v/>
      </c>
      <c r="AI496" s="63" t="str">
        <f aca="false">IF(ISERROR(AH496),$AI$6,"")</f>
        <v/>
      </c>
      <c r="AJ496" s="63" t="str">
        <f aca="false">IF($AE496=Constants!$B$7,IF(AND(T496,U496,W496),IF($AH$6=0,Constants!$B$9,Constants!$B$9*AH496/$AH$6), 0),"")</f>
        <v/>
      </c>
      <c r="AK496" s="63" t="str">
        <f aca="false">IF(AJ496&lt;&gt;"", AJ496*AG496,"")</f>
        <v/>
      </c>
      <c r="AL496" s="63" t="str">
        <f aca="false">IF(AND($AE496=Constants!$B$7, T496, U496) ,IF($Z496="", "", MAX(0,1-ABS($AA496-$Z496)/$AA496)),"")</f>
        <v/>
      </c>
      <c r="AM496" s="63" t="str">
        <f aca="false">IF(AND(NOT(ISERROR(AH496)),ISERROR(AL496)),$AM$6,"")</f>
        <v/>
      </c>
      <c r="AN496" s="63" t="str">
        <f aca="false">IF($AE496=Constants!$B$7 ,IF(AND(T496,U496,W496,ISNUMBER(Z496)),IF($AL$6=0,Constants!$B$10,Constants!$B$10*AL496/$AL$6), 0),"")</f>
        <v/>
      </c>
      <c r="AO496" s="63" t="str">
        <f aca="false">IF(AN496&lt;&gt;"", AN496*AG496,"")</f>
        <v/>
      </c>
      <c r="AP496" s="63" t="str">
        <f aca="false">IF($AE496=Constants!$B$7,IF($AP$6=0,Constants!$B$8,Constants!$B$8*AB496/$AP$6),"")</f>
        <v/>
      </c>
      <c r="AQ496" s="63" t="str">
        <f aca="false">IF($AE496&lt;&gt;Constants!$B$7,$AE496,AK496+AO496+AP496)</f>
        <v/>
      </c>
      <c r="AR496" s="63" t="str">
        <f aca="false">IF(ISBLANK($C496),"",IF($AE496=Constants!$B$7,RANK(AQ496,$AQ$8:$AQ$507),$AE496))</f>
        <v/>
      </c>
      <c r="AS496" s="63" t="str">
        <f aca="false">IF(ISBLANK($C496), "",AK496)</f>
        <v/>
      </c>
      <c r="AT496" s="63" t="str">
        <f aca="false">IF(ISBLANK($C496),"",IF($AE496=Constants!$B$7,RANK(AS496,AS$8:AS$507),$AE496))</f>
        <v/>
      </c>
      <c r="AU496" s="63" t="str">
        <f aca="false">IF(ISBLANK($C496), "",AP496)</f>
        <v/>
      </c>
      <c r="AV496" s="63" t="str">
        <f aca="false">IF(ISBLANK($C496),"",IF($AE496=Constants!$B$7,RANK(AU496,AU$8:AU$507),$AE496))</f>
        <v/>
      </c>
      <c r="AW496" s="63" t="str">
        <f aca="false">IF(ISBLANK($C496), "",AC496)</f>
        <v/>
      </c>
      <c r="AX496" s="63" t="str">
        <f aca="false">IF(ISBLANK($C496),"",
IF($AE496=Constants!$B$7,
  COUNTIFS($AR$8:$AR$507,"&lt;"&amp;$AR496)
  + COUNTIFS($AR$8:$AR$507,$AR496,$AT$8:$AT$507,"&lt;"&amp;$AT496)
  + COUNTIFS($AR$8:$AR$507,$AR496,$AT$8:$AT$507,$AT496,$AV$8:$AV$507,"&lt;"&amp;$AV496)
  + COUNTIFS($AR$8:$AR$507,$AR496,$AT$8:$AT$507,$AT496,$AV$8:$AV$507,$AV496,$AW$8:$AW$507,"&lt;"&amp;$AW496)
  + 1,
$AE496))</f>
        <v/>
      </c>
      <c r="AY496" s="63" t="str">
        <f aca="false">IF(ISBLANK(C496),"",IF($AE496=Constants!$B$7, AR496-AX496,$AE496))</f>
        <v/>
      </c>
      <c r="AZ496" s="67"/>
      <c r="BA496" s="81" t="str">
        <f aca="false">IF(ISBLANK($C496),"",TRIM(AI496&amp;" "&amp;AM496))</f>
        <v/>
      </c>
      <c r="BB496" s="69" t="str">
        <f aca="false">IF(ISBLANK($C496),"",IF($AE496&lt;&gt;Constants!$B$7, $AE496 ,AQ496))</f>
        <v/>
      </c>
      <c r="BC496" s="70" t="str">
        <f aca="false">IF(ISBLANK($C496),"",IF($AE496&lt;&gt;Constants!$B$7, $AE496 ,AF496))</f>
        <v/>
      </c>
      <c r="BD496" s="71" t="str">
        <f aca="false">IF(ISBLANK(C496),"",AY496)</f>
        <v/>
      </c>
      <c r="BE496" s="71" t="str">
        <f aca="false">IF(ISBLANK(C496),"",AX496)</f>
        <v/>
      </c>
      <c r="BF496" s="72" t="str">
        <f aca="false">IF(ISBLANK(C496),"",IFERROR(_xlfn.SWITCH(BE496, Constants!$B$4, COUNTA($C$8:$C995)+2, Constants!$B$5, COUNTA($C$8:$C995)+1, Constants!$B$6, COUNTA($C$8:$C995)),BE496))</f>
        <v/>
      </c>
      <c r="BG496" s="5"/>
      <c r="BH496" s="73" t="n">
        <f aca="false">IF(OR(ISNUMBER(BE496),BE496="DQ",BE496="P",BE496="NS"),
    1,
    0
)</f>
        <v>0</v>
      </c>
      <c r="BI496" s="73" t="n">
        <v>489</v>
      </c>
      <c r="BJ496" s="73" t="str">
        <f aca="false">IF(ISBLANK($C496),
    "",
   BF496+ROW($B496)/1000
)</f>
        <v/>
      </c>
      <c r="BK496" s="73" t="str">
        <f aca="false">IF(ISNUMBER(BJ496), RANK(BJ496,BJ$8:BJ$507,1), "")</f>
        <v/>
      </c>
      <c r="BL496" s="73" t="str">
        <f aca="false">IF(ISBLANK($C496),
    "",
    $B496
)</f>
        <v/>
      </c>
      <c r="BM496" s="73" t="str">
        <f aca="false">IF(ISBLANK($C496),
    "",
    $C496
)</f>
        <v/>
      </c>
      <c r="BN496" s="73" t="str">
        <f aca="false">IF(ISBLANK($C496),
    "",
    $D496
)</f>
        <v/>
      </c>
      <c r="BO496" s="74" t="str">
        <f aca="false">BC496</f>
        <v/>
      </c>
      <c r="BP496" s="75" t="str">
        <f aca="false">BB496</f>
        <v/>
      </c>
      <c r="BQ496" s="73" t="str">
        <f aca="false">IF(ISBLANK($C496),
    "",
    BE496
)</f>
        <v/>
      </c>
      <c r="BR496" s="76" t="str">
        <f aca="false">IF(BI496&gt;BH$7,
    "",
    VLOOKUP(BI496,BK$8:BQ995,7,FALSE())
)</f>
        <v/>
      </c>
      <c r="BS496" s="77" t="str">
        <f aca="false">IF(BI496&gt;BH$7,
    "",
    VLOOKUP(BI496,BK$8:BQ995,2,FALSE())
)</f>
        <v/>
      </c>
      <c r="BT496" s="77" t="str">
        <f aca="false">IF(BI496&gt;BH$7,
    "",
    VLOOKUP(BI496,BK$8:BQ995,3,FALSE())
)</f>
        <v/>
      </c>
      <c r="BU496" s="77" t="str">
        <f aca="false">IF(BI496&gt;BH$7,
    "",
    VLOOKUP(BI496,BK$8:BQ995,4,FALSE())
)</f>
        <v/>
      </c>
      <c r="BV496" s="77" t="str">
        <f aca="false">IF(BI496&gt;BH$7,
    "",
    VLOOKUP(BI496,BK$8:BQ995,5,FALSE())
)</f>
        <v/>
      </c>
      <c r="BW496" s="78" t="str">
        <f aca="false">IF(BI496&gt;BH$7,
    "",
    VLOOKUP(BI496,BK$8:BQ995,6,FALSE())
)</f>
        <v/>
      </c>
      <c r="BX496" s="50"/>
    </row>
    <row r="497" customFormat="false" ht="15.75" hidden="false" customHeight="false" outlineLevel="0" collapsed="false">
      <c r="A497" s="5"/>
      <c r="B497" s="122"/>
      <c r="C497" s="123"/>
      <c r="D497" s="112"/>
      <c r="E497" s="116"/>
      <c r="F497" s="116"/>
      <c r="G497" s="88"/>
      <c r="H497" s="89"/>
      <c r="I497" s="125"/>
      <c r="J497" s="125"/>
      <c r="K497" s="125"/>
      <c r="L497" s="91"/>
      <c r="M497" s="91"/>
      <c r="N497" s="91"/>
      <c r="O497" s="92"/>
      <c r="P497" s="93"/>
      <c r="Q497" s="125"/>
      <c r="R497" s="95"/>
      <c r="S497" s="96"/>
      <c r="T497" s="96" t="str">
        <f aca="false">IF(ISBLANK($C497),"",IF(G497=Constants!$B$2, TRUE(), IF(G497=Constants!$B$3, FALSE(), TRUE())))</f>
        <v/>
      </c>
      <c r="U497" s="96" t="str">
        <f aca="false">IF(ISBLANK($C497),"",IF(H497=Constants!$B$2, TRUE(), IF(H497=Constants!$B$3, FALSE(), TRUE())))</f>
        <v/>
      </c>
      <c r="V497" s="96" t="str">
        <f aca="false">IF(ISBLANK($C497),"",IF(I497=Constants!$B$2, TRUE(), IF(I497=Constants!$B$3, FALSE(), TRUE())))</f>
        <v/>
      </c>
      <c r="W497" s="96" t="str">
        <f aca="false">IF(ISBLANK($C497),"",IF(J497=Constants!$B$2, TRUE(), IF(J497=Constants!$B$3, FALSE(), TRUE())))</f>
        <v/>
      </c>
      <c r="X497" s="97" t="str">
        <f aca="false">IF(ISBLANK($C497),"",IF(K497=Constants!$B$2, TRUE(), IF(K497=Constants!$B$3, FALSE(), TRUE())))</f>
        <v/>
      </c>
      <c r="Y497" s="98" t="str">
        <f aca="false">IF(ISBLANK($C497),"",IF(ISNUMBER(L497), L497, ""))</f>
        <v/>
      </c>
      <c r="Z497" s="98" t="str">
        <f aca="false">IF(ISBLANK($C497),"",IF(ISNUMBER(M497), M497, ""))</f>
        <v/>
      </c>
      <c r="AA497" s="98" t="str">
        <f aca="false">IF(ISBLANK($C497),"",IF(ISNUMBER(N497), N497, ""))</f>
        <v/>
      </c>
      <c r="AB497" s="99" t="str">
        <f aca="false">IF(ISBLANK($C497),"",IF(ISNUMBER(O497), O497, ""))</f>
        <v/>
      </c>
      <c r="AC497" s="99" t="str">
        <f aca="false">IF(ISBLANK($C497),"",IF(ISNUMBER(P497), P497, Constants!$B$13))</f>
        <v/>
      </c>
      <c r="AD497" s="96" t="str">
        <f aca="false">IF(ISBLANK($C497),"",IF(Q497=Constants!$B$2, TRUE(), IF(Q497=Constants!$B$3, FALSE(), FALSE())))</f>
        <v/>
      </c>
      <c r="AE497" s="96" t="str">
        <f aca="false">IF(ISBLANK(C497), "", IF(AD497, Constants!$B$4,IF(COUNTA(G497:O497)=0, Constants!$B$5, Constants!$B$7)))</f>
        <v/>
      </c>
      <c r="AF497" s="96" t="str">
        <f aca="false">IF(ISBLANK($C497), "",IF($AE497=Constants!$B$7,1,$AE497))</f>
        <v/>
      </c>
      <c r="AG497" s="96" t="str">
        <f aca="false">IF($AE497=Constants!$B$7,IF(V497, 1, Constants!$B$11) * IF(X497, 1, Constants!$B$12),"")</f>
        <v/>
      </c>
      <c r="AH497" s="96" t="str">
        <f aca="false">IF(AND($AE497=Constants!$B$7, T497, U497) ,MAX(0, $AA497-$Y497),"")</f>
        <v/>
      </c>
      <c r="AI497" s="96" t="str">
        <f aca="false">IF(ISERROR(AH497),$AI$6,"")</f>
        <v/>
      </c>
      <c r="AJ497" s="96" t="str">
        <f aca="false">IF($AE497=Constants!$B$7,IF(AND(T497,U497,W497),IF($AH$6=0,Constants!$B$9,Constants!$B$9*AH497/$AH$6), 0),"")</f>
        <v/>
      </c>
      <c r="AK497" s="96" t="str">
        <f aca="false">IF(AJ497&lt;&gt;"", AJ497*AG497,"")</f>
        <v/>
      </c>
      <c r="AL497" s="96" t="str">
        <f aca="false">IF(AND($AE497=Constants!$B$7, T497, U497) ,IF($Z497="", "", MAX(0,1-ABS($AA497-$Z497)/$AA497)),"")</f>
        <v/>
      </c>
      <c r="AM497" s="96" t="str">
        <f aca="false">IF(AND(NOT(ISERROR(AH497)),ISERROR(AL497)),$AM$6,"")</f>
        <v/>
      </c>
      <c r="AN497" s="96" t="str">
        <f aca="false">IF($AE497=Constants!$B$7 ,IF(AND(T497,U497,W497,ISNUMBER(Z497)),IF($AL$6=0,Constants!$B$10,Constants!$B$10*AL497/$AL$6), 0),"")</f>
        <v/>
      </c>
      <c r="AO497" s="96" t="str">
        <f aca="false">IF(AN497&lt;&gt;"", AN497*AG497,"")</f>
        <v/>
      </c>
      <c r="AP497" s="96" t="str">
        <f aca="false">IF($AE497=Constants!$B$7,IF($AP$6=0,Constants!$B$8,Constants!$B$8*AB497/$AP$6),"")</f>
        <v/>
      </c>
      <c r="AQ497" s="96" t="str">
        <f aca="false">IF($AE497&lt;&gt;Constants!$B$7,$AE497,AK497+AO497+AP497)</f>
        <v/>
      </c>
      <c r="AR497" s="96" t="str">
        <f aca="false">IF(ISBLANK($C497),"",IF($AE497=Constants!$B$7,RANK(AQ497,$AQ$8:$AQ$507),$AE497))</f>
        <v/>
      </c>
      <c r="AS497" s="96" t="str">
        <f aca="false">IF(ISBLANK($C497), "",AK497)</f>
        <v/>
      </c>
      <c r="AT497" s="96" t="str">
        <f aca="false">IF(ISBLANK($C497),"",IF($AE497=Constants!$B$7,RANK(AS497,AS$8:AS$507),$AE497))</f>
        <v/>
      </c>
      <c r="AU497" s="96" t="str">
        <f aca="false">IF(ISBLANK($C497), "",AP497)</f>
        <v/>
      </c>
      <c r="AV497" s="96" t="str">
        <f aca="false">IF(ISBLANK($C497),"",IF($AE497=Constants!$B$7,RANK(AU497,AU$8:AU$507),$AE497))</f>
        <v/>
      </c>
      <c r="AW497" s="96" t="str">
        <f aca="false">IF(ISBLANK($C497), "",AC497)</f>
        <v/>
      </c>
      <c r="AX497" s="96" t="str">
        <f aca="false">IF(ISBLANK($C497),"",
IF($AE497=Constants!$B$7,
  COUNTIFS($AR$8:$AR$507,"&lt;"&amp;$AR497)
  + COUNTIFS($AR$8:$AR$507,$AR497,$AT$8:$AT$507,"&lt;"&amp;$AT497)
  + COUNTIFS($AR$8:$AR$507,$AR497,$AT$8:$AT$507,$AT497,$AV$8:$AV$507,"&lt;"&amp;$AV497)
  + COUNTIFS($AR$8:$AR$507,$AR497,$AT$8:$AT$507,$AT497,$AV$8:$AV$507,$AV497,$AW$8:$AW$507,"&lt;"&amp;$AW497)
  + 1,
$AE497))</f>
        <v/>
      </c>
      <c r="AY497" s="96" t="str">
        <f aca="false">IF(ISBLANK(C497),"",IF($AE497=Constants!$B$7, AR497-AX497,$AE497))</f>
        <v/>
      </c>
      <c r="AZ497" s="100"/>
      <c r="BA497" s="101" t="str">
        <f aca="false">IF(ISBLANK($C497),"",TRIM(AI497&amp;" "&amp;AM497))</f>
        <v/>
      </c>
      <c r="BB497" s="102" t="str">
        <f aca="false">IF(ISBLANK($C497),"",IF($AE497&lt;&gt;Constants!$B$7, $AE497 ,AQ497))</f>
        <v/>
      </c>
      <c r="BC497" s="103" t="str">
        <f aca="false">IF(ISBLANK($C497),"",IF($AE497&lt;&gt;Constants!$B$7, $AE497 ,AF497))</f>
        <v/>
      </c>
      <c r="BD497" s="104" t="str">
        <f aca="false">IF(ISBLANK(C497),"",AY497)</f>
        <v/>
      </c>
      <c r="BE497" s="104" t="str">
        <f aca="false">IF(ISBLANK(C497),"",AX497)</f>
        <v/>
      </c>
      <c r="BF497" s="105" t="str">
        <f aca="false">IF(ISBLANK(C497),"",IFERROR(_xlfn.SWITCH(BE497, Constants!$B$4, COUNTA($C$8:$C996)+2, Constants!$B$5, COUNTA($C$8:$C996)+1, Constants!$B$6, COUNTA($C$8:$C996)),BE497))</f>
        <v/>
      </c>
      <c r="BG497" s="5"/>
      <c r="BH497" s="106" t="n">
        <f aca="false">IF(OR(ISNUMBER(BE497),BE497="DQ",BE497="P",BE497="NS"),
    1,
    0
)</f>
        <v>0</v>
      </c>
      <c r="BI497" s="106" t="n">
        <v>490</v>
      </c>
      <c r="BJ497" s="106" t="str">
        <f aca="false">IF(ISBLANK($C497),
    "",
   BF497+ROW($B497)/1000
)</f>
        <v/>
      </c>
      <c r="BK497" s="106" t="str">
        <f aca="false">IF(ISNUMBER(BJ497), RANK(BJ497,BJ$8:BJ$507,1), "")</f>
        <v/>
      </c>
      <c r="BL497" s="106" t="str">
        <f aca="false">IF(ISBLANK($C497),
    "",
    $B497
)</f>
        <v/>
      </c>
      <c r="BM497" s="106" t="str">
        <f aca="false">IF(ISBLANK($C497),
    "",
    $C497
)</f>
        <v/>
      </c>
      <c r="BN497" s="106" t="str">
        <f aca="false">IF(ISBLANK($C497),
    "",
    $D497
)</f>
        <v/>
      </c>
      <c r="BO497" s="107" t="str">
        <f aca="false">BC497</f>
        <v/>
      </c>
      <c r="BP497" s="108" t="str">
        <f aca="false">BB497</f>
        <v/>
      </c>
      <c r="BQ497" s="106" t="str">
        <f aca="false">IF(ISBLANK($C497),
    "",
    BE497
)</f>
        <v/>
      </c>
      <c r="BR497" s="109" t="str">
        <f aca="false">IF(BI497&gt;BH$7,
    "",
    VLOOKUP(BI497,BK$8:BQ996,7,FALSE())
)</f>
        <v/>
      </c>
      <c r="BS497" s="110" t="str">
        <f aca="false">IF(BI497&gt;BH$7,
    "",
    VLOOKUP(BI497,BK$8:BQ996,2,FALSE())
)</f>
        <v/>
      </c>
      <c r="BT497" s="110" t="str">
        <f aca="false">IF(BI497&gt;BH$7,
    "",
    VLOOKUP(BI497,BK$8:BQ996,3,FALSE())
)</f>
        <v/>
      </c>
      <c r="BU497" s="110" t="str">
        <f aca="false">IF(BI497&gt;BH$7,
    "",
    VLOOKUP(BI497,BK$8:BQ996,4,FALSE())
)</f>
        <v/>
      </c>
      <c r="BV497" s="110" t="str">
        <f aca="false">IF(BI497&gt;BH$7,
    "",
    VLOOKUP(BI497,BK$8:BQ996,5,FALSE())
)</f>
        <v/>
      </c>
      <c r="BW497" s="111" t="str">
        <f aca="false">IF(BI497&gt;BH$7,
    "",
    VLOOKUP(BI497,BK$8:BQ996,6,FALSE())
)</f>
        <v/>
      </c>
      <c r="BX497" s="50"/>
    </row>
    <row r="498" customFormat="false" ht="15.75" hidden="false" customHeight="false" outlineLevel="0" collapsed="false">
      <c r="A498" s="5"/>
      <c r="B498" s="122"/>
      <c r="C498" s="123"/>
      <c r="D498" s="112"/>
      <c r="E498" s="116"/>
      <c r="F498" s="116"/>
      <c r="G498" s="88"/>
      <c r="H498" s="89"/>
      <c r="I498" s="125"/>
      <c r="J498" s="125"/>
      <c r="K498" s="125"/>
      <c r="L498" s="91"/>
      <c r="M498" s="91"/>
      <c r="N498" s="91"/>
      <c r="O498" s="92"/>
      <c r="P498" s="93"/>
      <c r="Q498" s="125"/>
      <c r="R498" s="95"/>
      <c r="S498" s="96"/>
      <c r="T498" s="96" t="str">
        <f aca="false">IF(ISBLANK($C498),"",IF(G498=Constants!$B$2, TRUE(), IF(G498=Constants!$B$3, FALSE(), TRUE())))</f>
        <v/>
      </c>
      <c r="U498" s="96" t="str">
        <f aca="false">IF(ISBLANK($C498),"",IF(H498=Constants!$B$2, TRUE(), IF(H498=Constants!$B$3, FALSE(), TRUE())))</f>
        <v/>
      </c>
      <c r="V498" s="96" t="str">
        <f aca="false">IF(ISBLANK($C498),"",IF(I498=Constants!$B$2, TRUE(), IF(I498=Constants!$B$3, FALSE(), TRUE())))</f>
        <v/>
      </c>
      <c r="W498" s="96" t="str">
        <f aca="false">IF(ISBLANK($C498),"",IF(J498=Constants!$B$2, TRUE(), IF(J498=Constants!$B$3, FALSE(), TRUE())))</f>
        <v/>
      </c>
      <c r="X498" s="97" t="str">
        <f aca="false">IF(ISBLANK($C498),"",IF(K498=Constants!$B$2, TRUE(), IF(K498=Constants!$B$3, FALSE(), TRUE())))</f>
        <v/>
      </c>
      <c r="Y498" s="98" t="str">
        <f aca="false">IF(ISBLANK($C498),"",IF(ISNUMBER(L498), L498, ""))</f>
        <v/>
      </c>
      <c r="Z498" s="98" t="str">
        <f aca="false">IF(ISBLANK($C498),"",IF(ISNUMBER(M498), M498, ""))</f>
        <v/>
      </c>
      <c r="AA498" s="98" t="str">
        <f aca="false">IF(ISBLANK($C498),"",IF(ISNUMBER(N498), N498, ""))</f>
        <v/>
      </c>
      <c r="AB498" s="99" t="str">
        <f aca="false">IF(ISBLANK($C498),"",IF(ISNUMBER(O498), O498, ""))</f>
        <v/>
      </c>
      <c r="AC498" s="99" t="str">
        <f aca="false">IF(ISBLANK($C498),"",IF(ISNUMBER(P498), P498, Constants!$B$13))</f>
        <v/>
      </c>
      <c r="AD498" s="96" t="str">
        <f aca="false">IF(ISBLANK($C498),"",IF(Q498=Constants!$B$2, TRUE(), IF(Q498=Constants!$B$3, FALSE(), FALSE())))</f>
        <v/>
      </c>
      <c r="AE498" s="96" t="str">
        <f aca="false">IF(ISBLANK(C498), "", IF(AD498, Constants!$B$4,IF(COUNTA(G498:O498)=0, Constants!$B$5, Constants!$B$7)))</f>
        <v/>
      </c>
      <c r="AF498" s="96" t="str">
        <f aca="false">IF(ISBLANK($C498), "",IF($AE498=Constants!$B$7,1,$AE498))</f>
        <v/>
      </c>
      <c r="AG498" s="96" t="str">
        <f aca="false">IF($AE498=Constants!$B$7,IF(V498, 1, Constants!$B$11) * IF(X498, 1, Constants!$B$12),"")</f>
        <v/>
      </c>
      <c r="AH498" s="96" t="str">
        <f aca="false">IF(AND($AE498=Constants!$B$7, T498, U498) ,MAX(0, $AA498-$Y498),"")</f>
        <v/>
      </c>
      <c r="AI498" s="96" t="str">
        <f aca="false">IF(ISERROR(AH498),$AI$6,"")</f>
        <v/>
      </c>
      <c r="AJ498" s="96" t="str">
        <f aca="false">IF($AE498=Constants!$B$7,IF(AND(T498,U498,W498),IF($AH$6=0,Constants!$B$9,Constants!$B$9*AH498/$AH$6), 0),"")</f>
        <v/>
      </c>
      <c r="AK498" s="96" t="str">
        <f aca="false">IF(AJ498&lt;&gt;"", AJ498*AG498,"")</f>
        <v/>
      </c>
      <c r="AL498" s="96" t="str">
        <f aca="false">IF(AND($AE498=Constants!$B$7, T498, U498) ,IF($Z498="", "", MAX(0,1-ABS($AA498-$Z498)/$AA498)),"")</f>
        <v/>
      </c>
      <c r="AM498" s="96" t="str">
        <f aca="false">IF(AND(NOT(ISERROR(AH498)),ISERROR(AL498)),$AM$6,"")</f>
        <v/>
      </c>
      <c r="AN498" s="96" t="str">
        <f aca="false">IF($AE498=Constants!$B$7 ,IF(AND(T498,U498,W498,ISNUMBER(Z498)),IF($AL$6=0,Constants!$B$10,Constants!$B$10*AL498/$AL$6), 0),"")</f>
        <v/>
      </c>
      <c r="AO498" s="96" t="str">
        <f aca="false">IF(AN498&lt;&gt;"", AN498*AG498,"")</f>
        <v/>
      </c>
      <c r="AP498" s="96" t="str">
        <f aca="false">IF($AE498=Constants!$B$7,IF($AP$6=0,Constants!$B$8,Constants!$B$8*AB498/$AP$6),"")</f>
        <v/>
      </c>
      <c r="AQ498" s="96" t="str">
        <f aca="false">IF($AE498&lt;&gt;Constants!$B$7,$AE498,AK498+AO498+AP498)</f>
        <v/>
      </c>
      <c r="AR498" s="96" t="str">
        <f aca="false">IF(ISBLANK($C498),"",IF($AE498=Constants!$B$7,RANK(AQ498,$AQ$8:$AQ$507),$AE498))</f>
        <v/>
      </c>
      <c r="AS498" s="96" t="str">
        <f aca="false">IF(ISBLANK($C498), "",AK498)</f>
        <v/>
      </c>
      <c r="AT498" s="96" t="str">
        <f aca="false">IF(ISBLANK($C498),"",IF($AE498=Constants!$B$7,RANK(AS498,AS$8:AS$507),$AE498))</f>
        <v/>
      </c>
      <c r="AU498" s="96" t="str">
        <f aca="false">IF(ISBLANK($C498), "",AP498)</f>
        <v/>
      </c>
      <c r="AV498" s="96" t="str">
        <f aca="false">IF(ISBLANK($C498),"",IF($AE498=Constants!$B$7,RANK(AU498,AU$8:AU$507),$AE498))</f>
        <v/>
      </c>
      <c r="AW498" s="96" t="str">
        <f aca="false">IF(ISBLANK($C498), "",AC498)</f>
        <v/>
      </c>
      <c r="AX498" s="96" t="str">
        <f aca="false">IF(ISBLANK($C498),"",
IF($AE498=Constants!$B$7,
  COUNTIFS($AR$8:$AR$507,"&lt;"&amp;$AR498)
  + COUNTIFS($AR$8:$AR$507,$AR498,$AT$8:$AT$507,"&lt;"&amp;$AT498)
  + COUNTIFS($AR$8:$AR$507,$AR498,$AT$8:$AT$507,$AT498,$AV$8:$AV$507,"&lt;"&amp;$AV498)
  + COUNTIFS($AR$8:$AR$507,$AR498,$AT$8:$AT$507,$AT498,$AV$8:$AV$507,$AV498,$AW$8:$AW$507,"&lt;"&amp;$AW498)
  + 1,
$AE498))</f>
        <v/>
      </c>
      <c r="AY498" s="96" t="str">
        <f aca="false">IF(ISBLANK(C498),"",IF($AE498=Constants!$B$7, AR498-AX498,$AE498))</f>
        <v/>
      </c>
      <c r="AZ498" s="100"/>
      <c r="BA498" s="101" t="str">
        <f aca="false">IF(ISBLANK($C498),"",TRIM(AI498&amp;" "&amp;AM498))</f>
        <v/>
      </c>
      <c r="BB498" s="102" t="str">
        <f aca="false">IF(ISBLANK($C498),"",IF($AE498&lt;&gt;Constants!$B$7, $AE498 ,AQ498))</f>
        <v/>
      </c>
      <c r="BC498" s="103" t="str">
        <f aca="false">IF(ISBLANK($C498),"",IF($AE498&lt;&gt;Constants!$B$7, $AE498 ,AF498))</f>
        <v/>
      </c>
      <c r="BD498" s="104" t="str">
        <f aca="false">IF(ISBLANK(C498),"",AY498)</f>
        <v/>
      </c>
      <c r="BE498" s="104" t="str">
        <f aca="false">IF(ISBLANK(C498),"",AX498)</f>
        <v/>
      </c>
      <c r="BF498" s="105" t="str">
        <f aca="false">IF(ISBLANK(C498),"",IFERROR(_xlfn.SWITCH(BE498, Constants!$B$4, COUNTA($C$8:$C997)+2, Constants!$B$5, COUNTA($C$8:$C997)+1, Constants!$B$6, COUNTA($C$8:$C997)),BE498))</f>
        <v/>
      </c>
      <c r="BG498" s="5"/>
      <c r="BH498" s="106" t="n">
        <f aca="false">IF(OR(ISNUMBER(BE498),BE498="DQ",BE498="P",BE498="NS"),
    1,
    0
)</f>
        <v>0</v>
      </c>
      <c r="BI498" s="106" t="n">
        <v>491</v>
      </c>
      <c r="BJ498" s="106" t="str">
        <f aca="false">IF(ISBLANK($C498),
    "",
   BF498+ROW($B498)/1000
)</f>
        <v/>
      </c>
      <c r="BK498" s="106" t="str">
        <f aca="false">IF(ISNUMBER(BJ498), RANK(BJ498,BJ$8:BJ$507,1), "")</f>
        <v/>
      </c>
      <c r="BL498" s="106" t="str">
        <f aca="false">IF(ISBLANK($C498),
    "",
    $B498
)</f>
        <v/>
      </c>
      <c r="BM498" s="106" t="str">
        <f aca="false">IF(ISBLANK($C498),
    "",
    $C498
)</f>
        <v/>
      </c>
      <c r="BN498" s="106" t="str">
        <f aca="false">IF(ISBLANK($C498),
    "",
    $D498
)</f>
        <v/>
      </c>
      <c r="BO498" s="107" t="str">
        <f aca="false">BC498</f>
        <v/>
      </c>
      <c r="BP498" s="108" t="str">
        <f aca="false">BB498</f>
        <v/>
      </c>
      <c r="BQ498" s="106" t="str">
        <f aca="false">IF(ISBLANK($C498),
    "",
    BE498
)</f>
        <v/>
      </c>
      <c r="BR498" s="109" t="str">
        <f aca="false">IF(BI498&gt;BH$7,
    "",
    VLOOKUP(BI498,BK$8:BQ997,7,FALSE())
)</f>
        <v/>
      </c>
      <c r="BS498" s="110" t="str">
        <f aca="false">IF(BI498&gt;BH$7,
    "",
    VLOOKUP(BI498,BK$8:BQ997,2,FALSE())
)</f>
        <v/>
      </c>
      <c r="BT498" s="110" t="str">
        <f aca="false">IF(BI498&gt;BH$7,
    "",
    VLOOKUP(BI498,BK$8:BQ997,3,FALSE())
)</f>
        <v/>
      </c>
      <c r="BU498" s="110" t="str">
        <f aca="false">IF(BI498&gt;BH$7,
    "",
    VLOOKUP(BI498,BK$8:BQ997,4,FALSE())
)</f>
        <v/>
      </c>
      <c r="BV498" s="110" t="str">
        <f aca="false">IF(BI498&gt;BH$7,
    "",
    VLOOKUP(BI498,BK$8:BQ997,5,FALSE())
)</f>
        <v/>
      </c>
      <c r="BW498" s="111" t="str">
        <f aca="false">IF(BI498&gt;BH$7,
    "",
    VLOOKUP(BI498,BK$8:BQ997,6,FALSE())
)</f>
        <v/>
      </c>
      <c r="BX498" s="50"/>
    </row>
    <row r="499" customFormat="false" ht="15.75" hidden="false" customHeight="false" outlineLevel="0" collapsed="false">
      <c r="A499" s="5"/>
      <c r="B499" s="122"/>
      <c r="C499" s="123"/>
      <c r="D499" s="112"/>
      <c r="E499" s="116"/>
      <c r="F499" s="116"/>
      <c r="G499" s="88"/>
      <c r="H499" s="89"/>
      <c r="I499" s="125"/>
      <c r="J499" s="125"/>
      <c r="K499" s="125"/>
      <c r="L499" s="91"/>
      <c r="M499" s="91"/>
      <c r="N499" s="91"/>
      <c r="O499" s="92"/>
      <c r="P499" s="93"/>
      <c r="Q499" s="125"/>
      <c r="R499" s="95"/>
      <c r="S499" s="96"/>
      <c r="T499" s="96" t="str">
        <f aca="false">IF(ISBLANK($C499),"",IF(G499=Constants!$B$2, TRUE(), IF(G499=Constants!$B$3, FALSE(), TRUE())))</f>
        <v/>
      </c>
      <c r="U499" s="96" t="str">
        <f aca="false">IF(ISBLANK($C499),"",IF(H499=Constants!$B$2, TRUE(), IF(H499=Constants!$B$3, FALSE(), TRUE())))</f>
        <v/>
      </c>
      <c r="V499" s="96" t="str">
        <f aca="false">IF(ISBLANK($C499),"",IF(I499=Constants!$B$2, TRUE(), IF(I499=Constants!$B$3, FALSE(), TRUE())))</f>
        <v/>
      </c>
      <c r="W499" s="96" t="str">
        <f aca="false">IF(ISBLANK($C499),"",IF(J499=Constants!$B$2, TRUE(), IF(J499=Constants!$B$3, FALSE(), TRUE())))</f>
        <v/>
      </c>
      <c r="X499" s="97" t="str">
        <f aca="false">IF(ISBLANK($C499),"",IF(K499=Constants!$B$2, TRUE(), IF(K499=Constants!$B$3, FALSE(), TRUE())))</f>
        <v/>
      </c>
      <c r="Y499" s="98" t="str">
        <f aca="false">IF(ISBLANK($C499),"",IF(ISNUMBER(L499), L499, ""))</f>
        <v/>
      </c>
      <c r="Z499" s="98" t="str">
        <f aca="false">IF(ISBLANK($C499),"",IF(ISNUMBER(M499), M499, ""))</f>
        <v/>
      </c>
      <c r="AA499" s="98" t="str">
        <f aca="false">IF(ISBLANK($C499),"",IF(ISNUMBER(N499), N499, ""))</f>
        <v/>
      </c>
      <c r="AB499" s="99" t="str">
        <f aca="false">IF(ISBLANK($C499),"",IF(ISNUMBER(O499), O499, ""))</f>
        <v/>
      </c>
      <c r="AC499" s="99" t="str">
        <f aca="false">IF(ISBLANK($C499),"",IF(ISNUMBER(P499), P499, Constants!$B$13))</f>
        <v/>
      </c>
      <c r="AD499" s="96" t="str">
        <f aca="false">IF(ISBLANK($C499),"",IF(Q499=Constants!$B$2, TRUE(), IF(Q499=Constants!$B$3, FALSE(), FALSE())))</f>
        <v/>
      </c>
      <c r="AE499" s="96" t="str">
        <f aca="false">IF(ISBLANK(C499), "", IF(AD499, Constants!$B$4,IF(COUNTA(G499:O499)=0, Constants!$B$5, Constants!$B$7)))</f>
        <v/>
      </c>
      <c r="AF499" s="96" t="str">
        <f aca="false">IF(ISBLANK($C499), "",IF($AE499=Constants!$B$7,1,$AE499))</f>
        <v/>
      </c>
      <c r="AG499" s="96" t="str">
        <f aca="false">IF($AE499=Constants!$B$7,IF(V499, 1, Constants!$B$11) * IF(X499, 1, Constants!$B$12),"")</f>
        <v/>
      </c>
      <c r="AH499" s="96" t="str">
        <f aca="false">IF(AND($AE499=Constants!$B$7, T499, U499) ,MAX(0, $AA499-$Y499),"")</f>
        <v/>
      </c>
      <c r="AI499" s="96" t="str">
        <f aca="false">IF(ISERROR(AH499),$AI$6,"")</f>
        <v/>
      </c>
      <c r="AJ499" s="96" t="str">
        <f aca="false">IF($AE499=Constants!$B$7,IF(AND(T499,U499,W499),IF($AH$6=0,Constants!$B$9,Constants!$B$9*AH499/$AH$6), 0),"")</f>
        <v/>
      </c>
      <c r="AK499" s="96" t="str">
        <f aca="false">IF(AJ499&lt;&gt;"", AJ499*AG499,"")</f>
        <v/>
      </c>
      <c r="AL499" s="96" t="str">
        <f aca="false">IF(AND($AE499=Constants!$B$7, T499, U499) ,IF($Z499="", "", MAX(0,1-ABS($AA499-$Z499)/$AA499)),"")</f>
        <v/>
      </c>
      <c r="AM499" s="96" t="str">
        <f aca="false">IF(AND(NOT(ISERROR(AH499)),ISERROR(AL499)),$AM$6,"")</f>
        <v/>
      </c>
      <c r="AN499" s="96" t="str">
        <f aca="false">IF($AE499=Constants!$B$7 ,IF(AND(T499,U499,W499,ISNUMBER(Z499)),IF($AL$6=0,Constants!$B$10,Constants!$B$10*AL499/$AL$6), 0),"")</f>
        <v/>
      </c>
      <c r="AO499" s="96" t="str">
        <f aca="false">IF(AN499&lt;&gt;"", AN499*AG499,"")</f>
        <v/>
      </c>
      <c r="AP499" s="96" t="str">
        <f aca="false">IF($AE499=Constants!$B$7,IF($AP$6=0,Constants!$B$8,Constants!$B$8*AB499/$AP$6),"")</f>
        <v/>
      </c>
      <c r="AQ499" s="96" t="str">
        <f aca="false">IF($AE499&lt;&gt;Constants!$B$7,$AE499,AK499+AO499+AP499)</f>
        <v/>
      </c>
      <c r="AR499" s="96" t="str">
        <f aca="false">IF(ISBLANK($C499),"",IF($AE499=Constants!$B$7,RANK(AQ499,$AQ$8:$AQ$507),$AE499))</f>
        <v/>
      </c>
      <c r="AS499" s="96" t="str">
        <f aca="false">IF(ISBLANK($C499), "",AK499)</f>
        <v/>
      </c>
      <c r="AT499" s="96" t="str">
        <f aca="false">IF(ISBLANK($C499),"",IF($AE499=Constants!$B$7,RANK(AS499,AS$8:AS$507),$AE499))</f>
        <v/>
      </c>
      <c r="AU499" s="96" t="str">
        <f aca="false">IF(ISBLANK($C499), "",AP499)</f>
        <v/>
      </c>
      <c r="AV499" s="96" t="str">
        <f aca="false">IF(ISBLANK($C499),"",IF($AE499=Constants!$B$7,RANK(AU499,AU$8:AU$507),$AE499))</f>
        <v/>
      </c>
      <c r="AW499" s="96" t="str">
        <f aca="false">IF(ISBLANK($C499), "",AC499)</f>
        <v/>
      </c>
      <c r="AX499" s="96" t="str">
        <f aca="false">IF(ISBLANK($C499),"",
IF($AE499=Constants!$B$7,
  COUNTIFS($AR$8:$AR$507,"&lt;"&amp;$AR499)
  + COUNTIFS($AR$8:$AR$507,$AR499,$AT$8:$AT$507,"&lt;"&amp;$AT499)
  + COUNTIFS($AR$8:$AR$507,$AR499,$AT$8:$AT$507,$AT499,$AV$8:$AV$507,"&lt;"&amp;$AV499)
  + COUNTIFS($AR$8:$AR$507,$AR499,$AT$8:$AT$507,$AT499,$AV$8:$AV$507,$AV499,$AW$8:$AW$507,"&lt;"&amp;$AW499)
  + 1,
$AE499))</f>
        <v/>
      </c>
      <c r="AY499" s="96" t="str">
        <f aca="false">IF(ISBLANK(C499),"",IF($AE499=Constants!$B$7, AR499-AX499,$AE499))</f>
        <v/>
      </c>
      <c r="AZ499" s="100"/>
      <c r="BA499" s="101" t="str">
        <f aca="false">IF(ISBLANK($C499),"",TRIM(AI499&amp;" "&amp;AM499))</f>
        <v/>
      </c>
      <c r="BB499" s="102" t="str">
        <f aca="false">IF(ISBLANK($C499),"",IF($AE499&lt;&gt;Constants!$B$7, $AE499 ,AQ499))</f>
        <v/>
      </c>
      <c r="BC499" s="103" t="str">
        <f aca="false">IF(ISBLANK($C499),"",IF($AE499&lt;&gt;Constants!$B$7, $AE499 ,AF499))</f>
        <v/>
      </c>
      <c r="BD499" s="104" t="str">
        <f aca="false">IF(ISBLANK(C499),"",AY499)</f>
        <v/>
      </c>
      <c r="BE499" s="104" t="str">
        <f aca="false">IF(ISBLANK(C499),"",AX499)</f>
        <v/>
      </c>
      <c r="BF499" s="105" t="str">
        <f aca="false">IF(ISBLANK(C499),"",IFERROR(_xlfn.SWITCH(BE499, Constants!$B$4, COUNTA($C$8:$C998)+2, Constants!$B$5, COUNTA($C$8:$C998)+1, Constants!$B$6, COUNTA($C$8:$C998)),BE499))</f>
        <v/>
      </c>
      <c r="BG499" s="5"/>
      <c r="BH499" s="106" t="n">
        <f aca="false">IF(OR(ISNUMBER(BE499),BE499="DQ",BE499="P",BE499="NS"),
    1,
    0
)</f>
        <v>0</v>
      </c>
      <c r="BI499" s="106" t="n">
        <v>492</v>
      </c>
      <c r="BJ499" s="106" t="str">
        <f aca="false">IF(ISBLANK($C499),
    "",
   BF499+ROW($B499)/1000
)</f>
        <v/>
      </c>
      <c r="BK499" s="106" t="str">
        <f aca="false">IF(ISNUMBER(BJ499), RANK(BJ499,BJ$8:BJ$507,1), "")</f>
        <v/>
      </c>
      <c r="BL499" s="106" t="str">
        <f aca="false">IF(ISBLANK($C499),
    "",
    $B499
)</f>
        <v/>
      </c>
      <c r="BM499" s="106" t="str">
        <f aca="false">IF(ISBLANK($C499),
    "",
    $C499
)</f>
        <v/>
      </c>
      <c r="BN499" s="106" t="str">
        <f aca="false">IF(ISBLANK($C499),
    "",
    $D499
)</f>
        <v/>
      </c>
      <c r="BO499" s="107" t="str">
        <f aca="false">BC499</f>
        <v/>
      </c>
      <c r="BP499" s="108" t="str">
        <f aca="false">BB499</f>
        <v/>
      </c>
      <c r="BQ499" s="106" t="str">
        <f aca="false">IF(ISBLANK($C499),
    "",
    BE499
)</f>
        <v/>
      </c>
      <c r="BR499" s="109" t="str">
        <f aca="false">IF(BI499&gt;BH$7,
    "",
    VLOOKUP(BI499,BK$8:BQ998,7,FALSE())
)</f>
        <v/>
      </c>
      <c r="BS499" s="110" t="str">
        <f aca="false">IF(BI499&gt;BH$7,
    "",
    VLOOKUP(BI499,BK$8:BQ998,2,FALSE())
)</f>
        <v/>
      </c>
      <c r="BT499" s="110" t="str">
        <f aca="false">IF(BI499&gt;BH$7,
    "",
    VLOOKUP(BI499,BK$8:BQ998,3,FALSE())
)</f>
        <v/>
      </c>
      <c r="BU499" s="110" t="str">
        <f aca="false">IF(BI499&gt;BH$7,
    "",
    VLOOKUP(BI499,BK$8:BQ998,4,FALSE())
)</f>
        <v/>
      </c>
      <c r="BV499" s="110" t="str">
        <f aca="false">IF(BI499&gt;BH$7,
    "",
    VLOOKUP(BI499,BK$8:BQ998,5,FALSE())
)</f>
        <v/>
      </c>
      <c r="BW499" s="111" t="str">
        <f aca="false">IF(BI499&gt;BH$7,
    "",
    VLOOKUP(BI499,BK$8:BQ998,6,FALSE())
)</f>
        <v/>
      </c>
      <c r="BX499" s="50"/>
    </row>
    <row r="500" customFormat="false" ht="15.75" hidden="false" customHeight="false" outlineLevel="0" collapsed="false">
      <c r="A500" s="5"/>
      <c r="B500" s="126"/>
      <c r="C500" s="52"/>
      <c r="D500" s="53"/>
      <c r="E500" s="120"/>
      <c r="F500" s="120"/>
      <c r="G500" s="55"/>
      <c r="H500" s="56"/>
      <c r="I500" s="80"/>
      <c r="J500" s="80"/>
      <c r="K500" s="80"/>
      <c r="L500" s="58"/>
      <c r="M500" s="58"/>
      <c r="N500" s="58"/>
      <c r="O500" s="59"/>
      <c r="P500" s="60"/>
      <c r="Q500" s="80"/>
      <c r="R500" s="62"/>
      <c r="S500" s="63"/>
      <c r="T500" s="63" t="str">
        <f aca="false">IF(ISBLANK($C500),"",IF(G500=Constants!$B$2, TRUE(), IF(G500=Constants!$B$3, FALSE(), TRUE())))</f>
        <v/>
      </c>
      <c r="U500" s="63" t="str">
        <f aca="false">IF(ISBLANK($C500),"",IF(H500=Constants!$B$2, TRUE(), IF(H500=Constants!$B$3, FALSE(), TRUE())))</f>
        <v/>
      </c>
      <c r="V500" s="63" t="str">
        <f aca="false">IF(ISBLANK($C500),"",IF(I500=Constants!$B$2, TRUE(), IF(I500=Constants!$B$3, FALSE(), TRUE())))</f>
        <v/>
      </c>
      <c r="W500" s="63" t="str">
        <f aca="false">IF(ISBLANK($C500),"",IF(J500=Constants!$B$2, TRUE(), IF(J500=Constants!$B$3, FALSE(), TRUE())))</f>
        <v/>
      </c>
      <c r="X500" s="63" t="str">
        <f aca="false">IF(ISBLANK($C500),"",IF(K500=Constants!$B$2, TRUE(), IF(K500=Constants!$B$3, FALSE(), TRUE())))</f>
        <v/>
      </c>
      <c r="Y500" s="65" t="str">
        <f aca="false">IF(ISBLANK($C500),"",IF(ISNUMBER(L500), L500, ""))</f>
        <v/>
      </c>
      <c r="Z500" s="65" t="str">
        <f aca="false">IF(ISBLANK($C500),"",IF(ISNUMBER(M500), M500, ""))</f>
        <v/>
      </c>
      <c r="AA500" s="65" t="str">
        <f aca="false">IF(ISBLANK($C500),"",IF(ISNUMBER(N500), N500, ""))</f>
        <v/>
      </c>
      <c r="AB500" s="66" t="str">
        <f aca="false">IF(ISBLANK($C500),"",IF(ISNUMBER(O500), O500, ""))</f>
        <v/>
      </c>
      <c r="AC500" s="66" t="str">
        <f aca="false">IF(ISBLANK($C500),"",IF(ISNUMBER(P500), P500, Constants!$B$13))</f>
        <v/>
      </c>
      <c r="AD500" s="63" t="str">
        <f aca="false">IF(ISBLANK($C500),"",IF(Q500=Constants!$B$2, TRUE(), IF(Q500=Constants!$B$3, FALSE(), FALSE())))</f>
        <v/>
      </c>
      <c r="AE500" s="63" t="str">
        <f aca="false">IF(ISBLANK(C500), "", IF(AD500, Constants!$B$4,IF(COUNTA(G500:O500)=0, Constants!$B$5, Constants!$B$7)))</f>
        <v/>
      </c>
      <c r="AF500" s="63" t="str">
        <f aca="false">IF(ISBLANK($C500), "",IF($AE500=Constants!$B$7,1,$AE500))</f>
        <v/>
      </c>
      <c r="AG500" s="63" t="str">
        <f aca="false">IF($AE500=Constants!$B$7,IF(V500, 1, Constants!$B$11) * IF(X500, 1, Constants!$B$12),"")</f>
        <v/>
      </c>
      <c r="AH500" s="63" t="str">
        <f aca="false">IF(AND($AE500=Constants!$B$7, T500, U500) ,MAX(0, $AA500-$Y500),"")</f>
        <v/>
      </c>
      <c r="AI500" s="63" t="str">
        <f aca="false">IF(ISERROR(AH500),$AI$6,"")</f>
        <v/>
      </c>
      <c r="AJ500" s="63" t="str">
        <f aca="false">IF($AE500=Constants!$B$7,IF(AND(T500,U500,W500),IF($AH$6=0,Constants!$B$9,Constants!$B$9*AH500/$AH$6), 0),"")</f>
        <v/>
      </c>
      <c r="AK500" s="63" t="str">
        <f aca="false">IF(AJ500&lt;&gt;"", AJ500*AG500,"")</f>
        <v/>
      </c>
      <c r="AL500" s="63" t="str">
        <f aca="false">IF(AND($AE500=Constants!$B$7, T500, U500) ,IF($Z500="", "", MAX(0,1-ABS($AA500-$Z500)/$AA500)),"")</f>
        <v/>
      </c>
      <c r="AM500" s="63" t="str">
        <f aca="false">IF(AND(NOT(ISERROR(AH500)),ISERROR(AL500)),$AM$6,"")</f>
        <v/>
      </c>
      <c r="AN500" s="63" t="str">
        <f aca="false">IF($AE500=Constants!$B$7 ,IF(AND(T500,U500,W500,ISNUMBER(Z500)),IF($AL$6=0,Constants!$B$10,Constants!$B$10*AL500/$AL$6), 0),"")</f>
        <v/>
      </c>
      <c r="AO500" s="63" t="str">
        <f aca="false">IF(AN500&lt;&gt;"", AN500*AG500,"")</f>
        <v/>
      </c>
      <c r="AP500" s="63" t="str">
        <f aca="false">IF($AE500=Constants!$B$7,IF($AP$6=0,Constants!$B$8,Constants!$B$8*AB500/$AP$6),"")</f>
        <v/>
      </c>
      <c r="AQ500" s="63" t="str">
        <f aca="false">IF($AE500&lt;&gt;Constants!$B$7,$AE500,AK500+AO500+AP500)</f>
        <v/>
      </c>
      <c r="AR500" s="63" t="str">
        <f aca="false">IF(ISBLANK($C500),"",IF($AE500=Constants!$B$7,RANK(AQ500,$AQ$8:$AQ$507),$AE500))</f>
        <v/>
      </c>
      <c r="AS500" s="63" t="str">
        <f aca="false">IF(ISBLANK($C500), "",AK500)</f>
        <v/>
      </c>
      <c r="AT500" s="63" t="str">
        <f aca="false">IF(ISBLANK($C500),"",IF($AE500=Constants!$B$7,RANK(AS500,AS$8:AS$507),$AE500))</f>
        <v/>
      </c>
      <c r="AU500" s="63" t="str">
        <f aca="false">IF(ISBLANK($C500), "",AP500)</f>
        <v/>
      </c>
      <c r="AV500" s="63" t="str">
        <f aca="false">IF(ISBLANK($C500),"",IF($AE500=Constants!$B$7,RANK(AU500,AU$8:AU$507),$AE500))</f>
        <v/>
      </c>
      <c r="AW500" s="63" t="str">
        <f aca="false">IF(ISBLANK($C500), "",AC500)</f>
        <v/>
      </c>
      <c r="AX500" s="63" t="str">
        <f aca="false">IF(ISBLANK($C500),"",
IF($AE500=Constants!$B$7,
  COUNTIFS($AR$8:$AR$507,"&lt;"&amp;$AR500)
  + COUNTIFS($AR$8:$AR$507,$AR500,$AT$8:$AT$507,"&lt;"&amp;$AT500)
  + COUNTIFS($AR$8:$AR$507,$AR500,$AT$8:$AT$507,$AT500,$AV$8:$AV$507,"&lt;"&amp;$AV500)
  + COUNTIFS($AR$8:$AR$507,$AR500,$AT$8:$AT$507,$AT500,$AV$8:$AV$507,$AV500,$AW$8:$AW$507,"&lt;"&amp;$AW500)
  + 1,
$AE500))</f>
        <v/>
      </c>
      <c r="AY500" s="63" t="str">
        <f aca="false">IF(ISBLANK(C500),"",IF($AE500=Constants!$B$7, AR500-AX500,$AE500))</f>
        <v/>
      </c>
      <c r="AZ500" s="67"/>
      <c r="BA500" s="81" t="str">
        <f aca="false">IF(ISBLANK($C500),"",TRIM(AI500&amp;" "&amp;AM500))</f>
        <v/>
      </c>
      <c r="BB500" s="69" t="str">
        <f aca="false">IF(ISBLANK($C500),"",IF($AE500&lt;&gt;Constants!$B$7, $AE500 ,AQ500))</f>
        <v/>
      </c>
      <c r="BC500" s="70" t="str">
        <f aca="false">IF(ISBLANK($C500),"",IF($AE500&lt;&gt;Constants!$B$7, $AE500 ,AF500))</f>
        <v/>
      </c>
      <c r="BD500" s="71" t="str">
        <f aca="false">IF(ISBLANK(C500),"",AY500)</f>
        <v/>
      </c>
      <c r="BE500" s="71" t="str">
        <f aca="false">IF(ISBLANK(C500),"",AX500)</f>
        <v/>
      </c>
      <c r="BF500" s="72" t="str">
        <f aca="false">IF(ISBLANK(C500),"",IFERROR(_xlfn.SWITCH(BE500, Constants!$B$4, COUNTA($C$8:$C999)+2, Constants!$B$5, COUNTA($C$8:$C999)+1, Constants!$B$6, COUNTA($C$8:$C999)),BE500))</f>
        <v/>
      </c>
      <c r="BG500" s="5"/>
      <c r="BH500" s="73" t="n">
        <f aca="false">IF(OR(ISNUMBER(BE500),BE500="DQ",BE500="P",BE500="NS"),
    1,
    0
)</f>
        <v>0</v>
      </c>
      <c r="BI500" s="73" t="n">
        <v>493</v>
      </c>
      <c r="BJ500" s="73" t="str">
        <f aca="false">IF(ISBLANK($C500),
    "",
   BF500+ROW($B500)/1000
)</f>
        <v/>
      </c>
      <c r="BK500" s="73" t="str">
        <f aca="false">IF(ISNUMBER(BJ500), RANK(BJ500,BJ$8:BJ$507,1), "")</f>
        <v/>
      </c>
      <c r="BL500" s="73" t="str">
        <f aca="false">IF(ISBLANK($C500),
    "",
    $B500
)</f>
        <v/>
      </c>
      <c r="BM500" s="73" t="str">
        <f aca="false">IF(ISBLANK($C500),
    "",
    $C500
)</f>
        <v/>
      </c>
      <c r="BN500" s="73" t="str">
        <f aca="false">IF(ISBLANK($C500),
    "",
    $D500
)</f>
        <v/>
      </c>
      <c r="BO500" s="74" t="str">
        <f aca="false">BC500</f>
        <v/>
      </c>
      <c r="BP500" s="75" t="str">
        <f aca="false">BB500</f>
        <v/>
      </c>
      <c r="BQ500" s="73" t="str">
        <f aca="false">IF(ISBLANK($C500),
    "",
    BE500
)</f>
        <v/>
      </c>
      <c r="BR500" s="76" t="str">
        <f aca="false">IF(BI500&gt;BH$7,
    "",
    VLOOKUP(BI500,BK$8:BQ999,7,FALSE())
)</f>
        <v/>
      </c>
      <c r="BS500" s="77" t="str">
        <f aca="false">IF(BI500&gt;BH$7,
    "",
    VLOOKUP(BI500,BK$8:BQ999,2,FALSE())
)</f>
        <v/>
      </c>
      <c r="BT500" s="77" t="str">
        <f aca="false">IF(BI500&gt;BH$7,
    "",
    VLOOKUP(BI500,BK$8:BQ999,3,FALSE())
)</f>
        <v/>
      </c>
      <c r="BU500" s="77" t="str">
        <f aca="false">IF(BI500&gt;BH$7,
    "",
    VLOOKUP(BI500,BK$8:BQ999,4,FALSE())
)</f>
        <v/>
      </c>
      <c r="BV500" s="77" t="str">
        <f aca="false">IF(BI500&gt;BH$7,
    "",
    VLOOKUP(BI500,BK$8:BQ999,5,FALSE())
)</f>
        <v/>
      </c>
      <c r="BW500" s="78" t="str">
        <f aca="false">IF(BI500&gt;BH$7,
    "",
    VLOOKUP(BI500,BK$8:BQ999,6,FALSE())
)</f>
        <v/>
      </c>
      <c r="BX500" s="50"/>
    </row>
    <row r="501" customFormat="false" ht="15.75" hidden="false" customHeight="false" outlineLevel="0" collapsed="false">
      <c r="A501" s="5"/>
      <c r="B501" s="126"/>
      <c r="C501" s="52"/>
      <c r="D501" s="53"/>
      <c r="E501" s="120"/>
      <c r="F501" s="120"/>
      <c r="G501" s="55"/>
      <c r="H501" s="56"/>
      <c r="I501" s="80"/>
      <c r="J501" s="80"/>
      <c r="K501" s="80"/>
      <c r="L501" s="58"/>
      <c r="M501" s="58"/>
      <c r="N501" s="58"/>
      <c r="O501" s="59"/>
      <c r="P501" s="60"/>
      <c r="Q501" s="80"/>
      <c r="R501" s="62"/>
      <c r="S501" s="63"/>
      <c r="T501" s="63" t="str">
        <f aca="false">IF(ISBLANK($C501),"",IF(G501=Constants!$B$2, TRUE(), IF(G501=Constants!$B$3, FALSE(), TRUE())))</f>
        <v/>
      </c>
      <c r="U501" s="63" t="str">
        <f aca="false">IF(ISBLANK($C501),"",IF(H501=Constants!$B$2, TRUE(), IF(H501=Constants!$B$3, FALSE(), TRUE())))</f>
        <v/>
      </c>
      <c r="V501" s="63" t="str">
        <f aca="false">IF(ISBLANK($C501),"",IF(I501=Constants!$B$2, TRUE(), IF(I501=Constants!$B$3, FALSE(), TRUE())))</f>
        <v/>
      </c>
      <c r="W501" s="63" t="str">
        <f aca="false">IF(ISBLANK($C501),"",IF(J501=Constants!$B$2, TRUE(), IF(J501=Constants!$B$3, FALSE(), TRUE())))</f>
        <v/>
      </c>
      <c r="X501" s="63" t="str">
        <f aca="false">IF(ISBLANK($C501),"",IF(K501=Constants!$B$2, TRUE(), IF(K501=Constants!$B$3, FALSE(), TRUE())))</f>
        <v/>
      </c>
      <c r="Y501" s="65" t="str">
        <f aca="false">IF(ISBLANK($C501),"",IF(ISNUMBER(L501), L501, ""))</f>
        <v/>
      </c>
      <c r="Z501" s="65" t="str">
        <f aca="false">IF(ISBLANK($C501),"",IF(ISNUMBER(M501), M501, ""))</f>
        <v/>
      </c>
      <c r="AA501" s="65" t="str">
        <f aca="false">IF(ISBLANK($C501),"",IF(ISNUMBER(N501), N501, ""))</f>
        <v/>
      </c>
      <c r="AB501" s="66" t="str">
        <f aca="false">IF(ISBLANK($C501),"",IF(ISNUMBER(O501), O501, ""))</f>
        <v/>
      </c>
      <c r="AC501" s="66" t="str">
        <f aca="false">IF(ISBLANK($C501),"",IF(ISNUMBER(P501), P501, Constants!$B$13))</f>
        <v/>
      </c>
      <c r="AD501" s="63" t="str">
        <f aca="false">IF(ISBLANK($C501),"",IF(Q501=Constants!$B$2, TRUE(), IF(Q501=Constants!$B$3, FALSE(), FALSE())))</f>
        <v/>
      </c>
      <c r="AE501" s="63" t="str">
        <f aca="false">IF(ISBLANK(C501), "", IF(AD501, Constants!$B$4,IF(COUNTA(G501:O501)=0, Constants!$B$5, Constants!$B$7)))</f>
        <v/>
      </c>
      <c r="AF501" s="63" t="str">
        <f aca="false">IF(ISBLANK($C501), "",IF($AE501=Constants!$B$7,1,$AE501))</f>
        <v/>
      </c>
      <c r="AG501" s="63" t="str">
        <f aca="false">IF($AE501=Constants!$B$7,IF(V501, 1, Constants!$B$11) * IF(X501, 1, Constants!$B$12),"")</f>
        <v/>
      </c>
      <c r="AH501" s="63" t="str">
        <f aca="false">IF(AND($AE501=Constants!$B$7, T501, U501) ,MAX(0, $AA501-$Y501),"")</f>
        <v/>
      </c>
      <c r="AI501" s="63" t="str">
        <f aca="false">IF(ISERROR(AH501),$AI$6,"")</f>
        <v/>
      </c>
      <c r="AJ501" s="63" t="str">
        <f aca="false">IF($AE501=Constants!$B$7,IF(AND(T501,U501,W501),IF($AH$6=0,Constants!$B$9,Constants!$B$9*AH501/$AH$6), 0),"")</f>
        <v/>
      </c>
      <c r="AK501" s="63" t="str">
        <f aca="false">IF(AJ501&lt;&gt;"", AJ501*AG501,"")</f>
        <v/>
      </c>
      <c r="AL501" s="63" t="str">
        <f aca="false">IF(AND($AE501=Constants!$B$7, T501, U501) ,IF($Z501="", "", MAX(0,1-ABS($AA501-$Z501)/$AA501)),"")</f>
        <v/>
      </c>
      <c r="AM501" s="63" t="str">
        <f aca="false">IF(AND(NOT(ISERROR(AH501)),ISERROR(AL501)),$AM$6,"")</f>
        <v/>
      </c>
      <c r="AN501" s="63" t="str">
        <f aca="false">IF($AE501=Constants!$B$7 ,IF(AND(T501,U501,W501,ISNUMBER(Z501)),IF($AL$6=0,Constants!$B$10,Constants!$B$10*AL501/$AL$6), 0),"")</f>
        <v/>
      </c>
      <c r="AO501" s="63" t="str">
        <f aca="false">IF(AN501&lt;&gt;"", AN501*AG501,"")</f>
        <v/>
      </c>
      <c r="AP501" s="63" t="str">
        <f aca="false">IF($AE501=Constants!$B$7,IF($AP$6=0,Constants!$B$8,Constants!$B$8*AB501/$AP$6),"")</f>
        <v/>
      </c>
      <c r="AQ501" s="63" t="str">
        <f aca="false">IF($AE501&lt;&gt;Constants!$B$7,$AE501,AK501+AO501+AP501)</f>
        <v/>
      </c>
      <c r="AR501" s="63" t="str">
        <f aca="false">IF(ISBLANK($C501),"",IF($AE501=Constants!$B$7,RANK(AQ501,$AQ$8:$AQ$507),$AE501))</f>
        <v/>
      </c>
      <c r="AS501" s="63" t="str">
        <f aca="false">IF(ISBLANK($C501), "",AK501)</f>
        <v/>
      </c>
      <c r="AT501" s="63" t="str">
        <f aca="false">IF(ISBLANK($C501),"",IF($AE501=Constants!$B$7,RANK(AS501,AS$8:AS$507),$AE501))</f>
        <v/>
      </c>
      <c r="AU501" s="63" t="str">
        <f aca="false">IF(ISBLANK($C501), "",AP501)</f>
        <v/>
      </c>
      <c r="AV501" s="63" t="str">
        <f aca="false">IF(ISBLANK($C501),"",IF($AE501=Constants!$B$7,RANK(AU501,AU$8:AU$507),$AE501))</f>
        <v/>
      </c>
      <c r="AW501" s="63" t="str">
        <f aca="false">IF(ISBLANK($C501), "",AC501)</f>
        <v/>
      </c>
      <c r="AX501" s="63" t="str">
        <f aca="false">IF(ISBLANK($C501),"",
IF($AE501=Constants!$B$7,
  COUNTIFS($AR$8:$AR$507,"&lt;"&amp;$AR501)
  + COUNTIFS($AR$8:$AR$507,$AR501,$AT$8:$AT$507,"&lt;"&amp;$AT501)
  + COUNTIFS($AR$8:$AR$507,$AR501,$AT$8:$AT$507,$AT501,$AV$8:$AV$507,"&lt;"&amp;$AV501)
  + COUNTIFS($AR$8:$AR$507,$AR501,$AT$8:$AT$507,$AT501,$AV$8:$AV$507,$AV501,$AW$8:$AW$507,"&lt;"&amp;$AW501)
  + 1,
$AE501))</f>
        <v/>
      </c>
      <c r="AY501" s="63" t="str">
        <f aca="false">IF(ISBLANK(C501),"",IF($AE501=Constants!$B$7, AR501-AX501,$AE501))</f>
        <v/>
      </c>
      <c r="AZ501" s="67"/>
      <c r="BA501" s="81" t="str">
        <f aca="false">IF(ISBLANK($C501),"",TRIM(AI501&amp;" "&amp;AM501))</f>
        <v/>
      </c>
      <c r="BB501" s="69" t="str">
        <f aca="false">IF(ISBLANK($C501),"",IF($AE501&lt;&gt;Constants!$B$7, $AE501 ,AQ501))</f>
        <v/>
      </c>
      <c r="BC501" s="70" t="str">
        <f aca="false">IF(ISBLANK($C501),"",IF($AE501&lt;&gt;Constants!$B$7, $AE501 ,AF501))</f>
        <v/>
      </c>
      <c r="BD501" s="71" t="str">
        <f aca="false">IF(ISBLANK(C501),"",AY501)</f>
        <v/>
      </c>
      <c r="BE501" s="71" t="str">
        <f aca="false">IF(ISBLANK(C501),"",AX501)</f>
        <v/>
      </c>
      <c r="BF501" s="72" t="str">
        <f aca="false">IF(ISBLANK(C501),"",IFERROR(_xlfn.SWITCH(BE501, Constants!$B$4, COUNTA($C$8:$C1000)+2, Constants!$B$5, COUNTA($C$8:$C1000)+1, Constants!$B$6, COUNTA($C$8:$C1000)),BE501))</f>
        <v/>
      </c>
      <c r="BG501" s="5"/>
      <c r="BH501" s="73" t="n">
        <f aca="false">IF(OR(ISNUMBER(BE501),BE501="DQ",BE501="P",BE501="NS"),
    1,
    0
)</f>
        <v>0</v>
      </c>
      <c r="BI501" s="73" t="n">
        <v>494</v>
      </c>
      <c r="BJ501" s="73" t="str">
        <f aca="false">IF(ISBLANK($C501),
    "",
   BF501+ROW($B501)/1000
)</f>
        <v/>
      </c>
      <c r="BK501" s="73" t="str">
        <f aca="false">IF(ISNUMBER(BJ501), RANK(BJ501,BJ$8:BJ$507,1), "")</f>
        <v/>
      </c>
      <c r="BL501" s="73" t="str">
        <f aca="false">IF(ISBLANK($C501),
    "",
    $B501
)</f>
        <v/>
      </c>
      <c r="BM501" s="73" t="str">
        <f aca="false">IF(ISBLANK($C501),
    "",
    $C501
)</f>
        <v/>
      </c>
      <c r="BN501" s="73" t="str">
        <f aca="false">IF(ISBLANK($C501),
    "",
    $D501
)</f>
        <v/>
      </c>
      <c r="BO501" s="74" t="str">
        <f aca="false">BC501</f>
        <v/>
      </c>
      <c r="BP501" s="75" t="str">
        <f aca="false">BB501</f>
        <v/>
      </c>
      <c r="BQ501" s="73" t="str">
        <f aca="false">IF(ISBLANK($C501),
    "",
    BE501
)</f>
        <v/>
      </c>
      <c r="BR501" s="76" t="str">
        <f aca="false">IF(BI501&gt;BH$7,
    "",
    VLOOKUP(BI501,BK$8:BQ1000,7,FALSE())
)</f>
        <v/>
      </c>
      <c r="BS501" s="77" t="str">
        <f aca="false">IF(BI501&gt;BH$7,
    "",
    VLOOKUP(BI501,BK$8:BQ1000,2,FALSE())
)</f>
        <v/>
      </c>
      <c r="BT501" s="77" t="str">
        <f aca="false">IF(BI501&gt;BH$7,
    "",
    VLOOKUP(BI501,BK$8:BQ1000,3,FALSE())
)</f>
        <v/>
      </c>
      <c r="BU501" s="77" t="str">
        <f aca="false">IF(BI501&gt;BH$7,
    "",
    VLOOKUP(BI501,BK$8:BQ1000,4,FALSE())
)</f>
        <v/>
      </c>
      <c r="BV501" s="77" t="str">
        <f aca="false">IF(BI501&gt;BH$7,
    "",
    VLOOKUP(BI501,BK$8:BQ1000,5,FALSE())
)</f>
        <v/>
      </c>
      <c r="BW501" s="78" t="str">
        <f aca="false">IF(BI501&gt;BH$7,
    "",
    VLOOKUP(BI501,BK$8:BQ1000,6,FALSE())
)</f>
        <v/>
      </c>
      <c r="BX501" s="50"/>
    </row>
    <row r="502" customFormat="false" ht="15.75" hidden="false" customHeight="false" outlineLevel="0" collapsed="false">
      <c r="A502" s="5"/>
      <c r="B502" s="126"/>
      <c r="C502" s="52"/>
      <c r="D502" s="53"/>
      <c r="E502" s="120"/>
      <c r="F502" s="120"/>
      <c r="G502" s="55"/>
      <c r="H502" s="56"/>
      <c r="I502" s="80"/>
      <c r="J502" s="80"/>
      <c r="K502" s="80"/>
      <c r="L502" s="58"/>
      <c r="M502" s="58"/>
      <c r="N502" s="58"/>
      <c r="O502" s="59"/>
      <c r="P502" s="60"/>
      <c r="Q502" s="80"/>
      <c r="R502" s="62"/>
      <c r="S502" s="63"/>
      <c r="T502" s="63" t="str">
        <f aca="false">IF(ISBLANK($C502),"",IF(G502=Constants!$B$2, TRUE(), IF(G502=Constants!$B$3, FALSE(), TRUE())))</f>
        <v/>
      </c>
      <c r="U502" s="63" t="str">
        <f aca="false">IF(ISBLANK($C502),"",IF(H502=Constants!$B$2, TRUE(), IF(H502=Constants!$B$3, FALSE(), TRUE())))</f>
        <v/>
      </c>
      <c r="V502" s="63" t="str">
        <f aca="false">IF(ISBLANK($C502),"",IF(I502=Constants!$B$2, TRUE(), IF(I502=Constants!$B$3, FALSE(), TRUE())))</f>
        <v/>
      </c>
      <c r="W502" s="63" t="str">
        <f aca="false">IF(ISBLANK($C502),"",IF(J502=Constants!$B$2, TRUE(), IF(J502=Constants!$B$3, FALSE(), TRUE())))</f>
        <v/>
      </c>
      <c r="X502" s="63" t="str">
        <f aca="false">IF(ISBLANK($C502),"",IF(K502=Constants!$B$2, TRUE(), IF(K502=Constants!$B$3, FALSE(), TRUE())))</f>
        <v/>
      </c>
      <c r="Y502" s="65" t="str">
        <f aca="false">IF(ISBLANK($C502),"",IF(ISNUMBER(L502), L502, ""))</f>
        <v/>
      </c>
      <c r="Z502" s="65" t="str">
        <f aca="false">IF(ISBLANK($C502),"",IF(ISNUMBER(M502), M502, ""))</f>
        <v/>
      </c>
      <c r="AA502" s="65" t="str">
        <f aca="false">IF(ISBLANK($C502),"",IF(ISNUMBER(N502), N502, ""))</f>
        <v/>
      </c>
      <c r="AB502" s="66" t="str">
        <f aca="false">IF(ISBLANK($C502),"",IF(ISNUMBER(O502), O502, ""))</f>
        <v/>
      </c>
      <c r="AC502" s="66" t="str">
        <f aca="false">IF(ISBLANK($C502),"",IF(ISNUMBER(P502), P502, Constants!$B$13))</f>
        <v/>
      </c>
      <c r="AD502" s="63" t="str">
        <f aca="false">IF(ISBLANK($C502),"",IF(Q502=Constants!$B$2, TRUE(), IF(Q502=Constants!$B$3, FALSE(), FALSE())))</f>
        <v/>
      </c>
      <c r="AE502" s="63" t="str">
        <f aca="false">IF(ISBLANK(C502), "", IF(AD502, Constants!$B$4,IF(COUNTA(G502:O502)=0, Constants!$B$5, Constants!$B$7)))</f>
        <v/>
      </c>
      <c r="AF502" s="63" t="str">
        <f aca="false">IF(ISBLANK($C502), "",IF($AE502=Constants!$B$7,1,$AE502))</f>
        <v/>
      </c>
      <c r="AG502" s="63" t="str">
        <f aca="false">IF($AE502=Constants!$B$7,IF(V502, 1, Constants!$B$11) * IF(X502, 1, Constants!$B$12),"")</f>
        <v/>
      </c>
      <c r="AH502" s="63" t="str">
        <f aca="false">IF(AND($AE502=Constants!$B$7, T502, U502) ,MAX(0, $AA502-$Y502),"")</f>
        <v/>
      </c>
      <c r="AI502" s="63" t="str">
        <f aca="false">IF(ISERROR(AH502),$AI$6,"")</f>
        <v/>
      </c>
      <c r="AJ502" s="63" t="str">
        <f aca="false">IF($AE502=Constants!$B$7,IF(AND(T502,U502,W502),IF($AH$6=0,Constants!$B$9,Constants!$B$9*AH502/$AH$6), 0),"")</f>
        <v/>
      </c>
      <c r="AK502" s="63" t="str">
        <f aca="false">IF(AJ502&lt;&gt;"", AJ502*AG502,"")</f>
        <v/>
      </c>
      <c r="AL502" s="63" t="str">
        <f aca="false">IF(AND($AE502=Constants!$B$7, T502, U502) ,IF($Z502="", "", MAX(0,1-ABS($AA502-$Z502)/$AA502)),"")</f>
        <v/>
      </c>
      <c r="AM502" s="63" t="str">
        <f aca="false">IF(AND(NOT(ISERROR(AH502)),ISERROR(AL502)),$AM$6,"")</f>
        <v/>
      </c>
      <c r="AN502" s="63" t="str">
        <f aca="false">IF($AE502=Constants!$B$7 ,IF(AND(T502,U502,W502,ISNUMBER(Z502)),IF($AL$6=0,Constants!$B$10,Constants!$B$10*AL502/$AL$6), 0),"")</f>
        <v/>
      </c>
      <c r="AO502" s="63" t="str">
        <f aca="false">IF(AN502&lt;&gt;"", AN502*AG502,"")</f>
        <v/>
      </c>
      <c r="AP502" s="63" t="str">
        <f aca="false">IF($AE502=Constants!$B$7,IF($AP$6=0,Constants!$B$8,Constants!$B$8*AB502/$AP$6),"")</f>
        <v/>
      </c>
      <c r="AQ502" s="63" t="str">
        <f aca="false">IF($AE502&lt;&gt;Constants!$B$7,$AE502,AK502+AO502+AP502)</f>
        <v/>
      </c>
      <c r="AR502" s="63" t="str">
        <f aca="false">IF(ISBLANK($C502),"",IF($AE502=Constants!$B$7,RANK(AQ502,$AQ$8:$AQ$507),$AE502))</f>
        <v/>
      </c>
      <c r="AS502" s="63" t="str">
        <f aca="false">IF(ISBLANK($C502), "",AK502)</f>
        <v/>
      </c>
      <c r="AT502" s="63" t="str">
        <f aca="false">IF(ISBLANK($C502),"",IF($AE502=Constants!$B$7,RANK(AS502,AS$8:AS$507),$AE502))</f>
        <v/>
      </c>
      <c r="AU502" s="63" t="str">
        <f aca="false">IF(ISBLANK($C502), "",AP502)</f>
        <v/>
      </c>
      <c r="AV502" s="63" t="str">
        <f aca="false">IF(ISBLANK($C502),"",IF($AE502=Constants!$B$7,RANK(AU502,AU$8:AU$507),$AE502))</f>
        <v/>
      </c>
      <c r="AW502" s="63" t="str">
        <f aca="false">IF(ISBLANK($C502), "",AC502)</f>
        <v/>
      </c>
      <c r="AX502" s="63" t="str">
        <f aca="false">IF(ISBLANK($C502),"",
IF($AE502=Constants!$B$7,
  COUNTIFS($AR$8:$AR$507,"&lt;"&amp;$AR502)
  + COUNTIFS($AR$8:$AR$507,$AR502,$AT$8:$AT$507,"&lt;"&amp;$AT502)
  + COUNTIFS($AR$8:$AR$507,$AR502,$AT$8:$AT$507,$AT502,$AV$8:$AV$507,"&lt;"&amp;$AV502)
  + COUNTIFS($AR$8:$AR$507,$AR502,$AT$8:$AT$507,$AT502,$AV$8:$AV$507,$AV502,$AW$8:$AW$507,"&lt;"&amp;$AW502)
  + 1,
$AE502))</f>
        <v/>
      </c>
      <c r="AY502" s="63" t="str">
        <f aca="false">IF(ISBLANK(C502),"",IF($AE502=Constants!$B$7, AR502-AX502,$AE502))</f>
        <v/>
      </c>
      <c r="AZ502" s="67"/>
      <c r="BA502" s="81" t="str">
        <f aca="false">IF(ISBLANK($C502),"",TRIM(AI502&amp;" "&amp;AM502))</f>
        <v/>
      </c>
      <c r="BB502" s="69" t="str">
        <f aca="false">IF(ISBLANK($C502),"",IF($AE502&lt;&gt;Constants!$B$7, $AE502 ,AQ502))</f>
        <v/>
      </c>
      <c r="BC502" s="70" t="str">
        <f aca="false">IF(ISBLANK($C502),"",IF($AE502&lt;&gt;Constants!$B$7, $AE502 ,AF502))</f>
        <v/>
      </c>
      <c r="BD502" s="71" t="str">
        <f aca="false">IF(ISBLANK(C502),"",AY502)</f>
        <v/>
      </c>
      <c r="BE502" s="71" t="str">
        <f aca="false">IF(ISBLANK(C502),"",AX502)</f>
        <v/>
      </c>
      <c r="BF502" s="72" t="str">
        <f aca="false">IF(ISBLANK(C502),"",IFERROR(_xlfn.SWITCH(BE502, Constants!$B$4, COUNTA($C$8:$C1001)+2, Constants!$B$5, COUNTA($C$8:$C1001)+1, Constants!$B$6, COUNTA($C$8:$C1001)),BE502))</f>
        <v/>
      </c>
      <c r="BG502" s="5"/>
      <c r="BH502" s="73" t="n">
        <f aca="false">IF(OR(ISNUMBER(BE502),BE502="DQ",BE502="P",BE502="NS"),
    1,
    0
)</f>
        <v>0</v>
      </c>
      <c r="BI502" s="73" t="n">
        <v>495</v>
      </c>
      <c r="BJ502" s="73" t="str">
        <f aca="false">IF(ISBLANK($C502),
    "",
   BF502+ROW($B502)/1000
)</f>
        <v/>
      </c>
      <c r="BK502" s="73" t="str">
        <f aca="false">IF(ISNUMBER(BJ502), RANK(BJ502,BJ$8:BJ$507,1), "")</f>
        <v/>
      </c>
      <c r="BL502" s="73" t="str">
        <f aca="false">IF(ISBLANK($C502),
    "",
    $B502
)</f>
        <v/>
      </c>
      <c r="BM502" s="73" t="str">
        <f aca="false">IF(ISBLANK($C502),
    "",
    $C502
)</f>
        <v/>
      </c>
      <c r="BN502" s="73" t="str">
        <f aca="false">IF(ISBLANK($C502),
    "",
    $D502
)</f>
        <v/>
      </c>
      <c r="BO502" s="74" t="str">
        <f aca="false">BC502</f>
        <v/>
      </c>
      <c r="BP502" s="75" t="str">
        <f aca="false">BB502</f>
        <v/>
      </c>
      <c r="BQ502" s="73" t="str">
        <f aca="false">IF(ISBLANK($C502),
    "",
    BE502
)</f>
        <v/>
      </c>
      <c r="BR502" s="76" t="str">
        <f aca="false">IF(BI502&gt;BH$7,
    "",
    VLOOKUP(BI502,BK$8:BQ1001,7,FALSE())
)</f>
        <v/>
      </c>
      <c r="BS502" s="77" t="str">
        <f aca="false">IF(BI502&gt;BH$7,
    "",
    VLOOKUP(BI502,BK$8:BQ1001,2,FALSE())
)</f>
        <v/>
      </c>
      <c r="BT502" s="77" t="str">
        <f aca="false">IF(BI502&gt;BH$7,
    "",
    VLOOKUP(BI502,BK$8:BQ1001,3,FALSE())
)</f>
        <v/>
      </c>
      <c r="BU502" s="77" t="str">
        <f aca="false">IF(BI502&gt;BH$7,
    "",
    VLOOKUP(BI502,BK$8:BQ1001,4,FALSE())
)</f>
        <v/>
      </c>
      <c r="BV502" s="77" t="str">
        <f aca="false">IF(BI502&gt;BH$7,
    "",
    VLOOKUP(BI502,BK$8:BQ1001,5,FALSE())
)</f>
        <v/>
      </c>
      <c r="BW502" s="78" t="str">
        <f aca="false">IF(BI502&gt;BH$7,
    "",
    VLOOKUP(BI502,BK$8:BQ1001,6,FALSE())
)</f>
        <v/>
      </c>
      <c r="BX502" s="50"/>
    </row>
    <row r="503" customFormat="false" ht="15.75" hidden="false" customHeight="false" outlineLevel="0" collapsed="false">
      <c r="A503" s="5"/>
      <c r="B503" s="122"/>
      <c r="C503" s="123"/>
      <c r="D503" s="112"/>
      <c r="E503" s="116"/>
      <c r="F503" s="116"/>
      <c r="G503" s="88"/>
      <c r="H503" s="89"/>
      <c r="I503" s="125"/>
      <c r="J503" s="125"/>
      <c r="K503" s="125"/>
      <c r="L503" s="91"/>
      <c r="M503" s="91"/>
      <c r="N503" s="91"/>
      <c r="O503" s="92"/>
      <c r="P503" s="93"/>
      <c r="Q503" s="125"/>
      <c r="R503" s="95"/>
      <c r="S503" s="96"/>
      <c r="T503" s="96" t="str">
        <f aca="false">IF(ISBLANK($C503),"",IF(G503=Constants!$B$2, TRUE(), IF(G503=Constants!$B$3, FALSE(), TRUE())))</f>
        <v/>
      </c>
      <c r="U503" s="96" t="str">
        <f aca="false">IF(ISBLANK($C503),"",IF(H503=Constants!$B$2, TRUE(), IF(H503=Constants!$B$3, FALSE(), TRUE())))</f>
        <v/>
      </c>
      <c r="V503" s="96" t="str">
        <f aca="false">IF(ISBLANK($C503),"",IF(I503=Constants!$B$2, TRUE(), IF(I503=Constants!$B$3, FALSE(), TRUE())))</f>
        <v/>
      </c>
      <c r="W503" s="96" t="str">
        <f aca="false">IF(ISBLANK($C503),"",IF(J503=Constants!$B$2, TRUE(), IF(J503=Constants!$B$3, FALSE(), TRUE())))</f>
        <v/>
      </c>
      <c r="X503" s="97" t="str">
        <f aca="false">IF(ISBLANK($C503),"",IF(K503=Constants!$B$2, TRUE(), IF(K503=Constants!$B$3, FALSE(), TRUE())))</f>
        <v/>
      </c>
      <c r="Y503" s="98" t="str">
        <f aca="false">IF(ISBLANK($C503),"",IF(ISNUMBER(L503), L503, ""))</f>
        <v/>
      </c>
      <c r="Z503" s="98" t="str">
        <f aca="false">IF(ISBLANK($C503),"",IF(ISNUMBER(M503), M503, ""))</f>
        <v/>
      </c>
      <c r="AA503" s="98" t="str">
        <f aca="false">IF(ISBLANK($C503),"",IF(ISNUMBER(N503), N503, ""))</f>
        <v/>
      </c>
      <c r="AB503" s="99" t="str">
        <f aca="false">IF(ISBLANK($C503),"",IF(ISNUMBER(O503), O503, ""))</f>
        <v/>
      </c>
      <c r="AC503" s="99" t="str">
        <f aca="false">IF(ISBLANK($C503),"",IF(ISNUMBER(P503), P503, Constants!$B$13))</f>
        <v/>
      </c>
      <c r="AD503" s="96" t="str">
        <f aca="false">IF(ISBLANK($C503),"",IF(Q503=Constants!$B$2, TRUE(), IF(Q503=Constants!$B$3, FALSE(), FALSE())))</f>
        <v/>
      </c>
      <c r="AE503" s="96" t="str">
        <f aca="false">IF(ISBLANK(C503), "", IF(AD503, Constants!$B$4,IF(COUNTA(G503:O503)=0, Constants!$B$5, Constants!$B$7)))</f>
        <v/>
      </c>
      <c r="AF503" s="96" t="str">
        <f aca="false">IF(ISBLANK($C503), "",IF($AE503=Constants!$B$7,1,$AE503))</f>
        <v/>
      </c>
      <c r="AG503" s="96" t="str">
        <f aca="false">IF($AE503=Constants!$B$7,IF(V503, 1, Constants!$B$11) * IF(X503, 1, Constants!$B$12),"")</f>
        <v/>
      </c>
      <c r="AH503" s="96" t="str">
        <f aca="false">IF(AND($AE503=Constants!$B$7, T503, U503) ,MAX(0, $AA503-$Y503),"")</f>
        <v/>
      </c>
      <c r="AI503" s="96" t="str">
        <f aca="false">IF(ISERROR(AH503),$AI$6,"")</f>
        <v/>
      </c>
      <c r="AJ503" s="96" t="str">
        <f aca="false">IF($AE503=Constants!$B$7,IF(AND(T503,U503,W503),IF($AH$6=0,Constants!$B$9,Constants!$B$9*AH503/$AH$6), 0),"")</f>
        <v/>
      </c>
      <c r="AK503" s="96" t="str">
        <f aca="false">IF(AJ503&lt;&gt;"", AJ503*AG503,"")</f>
        <v/>
      </c>
      <c r="AL503" s="96" t="str">
        <f aca="false">IF(AND($AE503=Constants!$B$7, T503, U503) ,IF($Z503="", "", MAX(0,1-ABS($AA503-$Z503)/$AA503)),"")</f>
        <v/>
      </c>
      <c r="AM503" s="96" t="str">
        <f aca="false">IF(AND(NOT(ISERROR(AH503)),ISERROR(AL503)),$AM$6,"")</f>
        <v/>
      </c>
      <c r="AN503" s="96" t="str">
        <f aca="false">IF($AE503=Constants!$B$7 ,IF(AND(T503,U503,W503,ISNUMBER(Z503)),IF($AL$6=0,Constants!$B$10,Constants!$B$10*AL503/$AL$6), 0),"")</f>
        <v/>
      </c>
      <c r="AO503" s="96" t="str">
        <f aca="false">IF(AN503&lt;&gt;"", AN503*AG503,"")</f>
        <v/>
      </c>
      <c r="AP503" s="96" t="str">
        <f aca="false">IF($AE503=Constants!$B$7,IF($AP$6=0,Constants!$B$8,Constants!$B$8*AB503/$AP$6),"")</f>
        <v/>
      </c>
      <c r="AQ503" s="96" t="str">
        <f aca="false">IF($AE503&lt;&gt;Constants!$B$7,$AE503,AK503+AO503+AP503)</f>
        <v/>
      </c>
      <c r="AR503" s="96" t="str">
        <f aca="false">IF(ISBLANK($C503),"",IF($AE503=Constants!$B$7,RANK(AQ503,$AQ$8:$AQ$507),$AE503))</f>
        <v/>
      </c>
      <c r="AS503" s="96" t="str">
        <f aca="false">IF(ISBLANK($C503), "",AK503)</f>
        <v/>
      </c>
      <c r="AT503" s="96" t="str">
        <f aca="false">IF(ISBLANK($C503),"",IF($AE503=Constants!$B$7,RANK(AS503,AS$8:AS$507),$AE503))</f>
        <v/>
      </c>
      <c r="AU503" s="96" t="str">
        <f aca="false">IF(ISBLANK($C503), "",AP503)</f>
        <v/>
      </c>
      <c r="AV503" s="96" t="str">
        <f aca="false">IF(ISBLANK($C503),"",IF($AE503=Constants!$B$7,RANK(AU503,AU$8:AU$507),$AE503))</f>
        <v/>
      </c>
      <c r="AW503" s="96" t="str">
        <f aca="false">IF(ISBLANK($C503), "",AC503)</f>
        <v/>
      </c>
      <c r="AX503" s="96" t="str">
        <f aca="false">IF(ISBLANK($C503),"",
IF($AE503=Constants!$B$7,
  COUNTIFS($AR$8:$AR$507,"&lt;"&amp;$AR503)
  + COUNTIFS($AR$8:$AR$507,$AR503,$AT$8:$AT$507,"&lt;"&amp;$AT503)
  + COUNTIFS($AR$8:$AR$507,$AR503,$AT$8:$AT$507,$AT503,$AV$8:$AV$507,"&lt;"&amp;$AV503)
  + COUNTIFS($AR$8:$AR$507,$AR503,$AT$8:$AT$507,$AT503,$AV$8:$AV$507,$AV503,$AW$8:$AW$507,"&lt;"&amp;$AW503)
  + 1,
$AE503))</f>
        <v/>
      </c>
      <c r="AY503" s="96" t="str">
        <f aca="false">IF(ISBLANK(C503),"",IF($AE503=Constants!$B$7, AR503-AX503,$AE503))</f>
        <v/>
      </c>
      <c r="AZ503" s="100"/>
      <c r="BA503" s="101" t="str">
        <f aca="false">IF(ISBLANK($C503),"",TRIM(AI503&amp;" "&amp;AM503))</f>
        <v/>
      </c>
      <c r="BB503" s="102" t="str">
        <f aca="false">IF(ISBLANK($C503),"",IF($AE503&lt;&gt;Constants!$B$7, $AE503 ,AQ503))</f>
        <v/>
      </c>
      <c r="BC503" s="103" t="str">
        <f aca="false">IF(ISBLANK($C503),"",IF($AE503&lt;&gt;Constants!$B$7, $AE503 ,AF503))</f>
        <v/>
      </c>
      <c r="BD503" s="104" t="str">
        <f aca="false">IF(ISBLANK(C503),"",AY503)</f>
        <v/>
      </c>
      <c r="BE503" s="104" t="str">
        <f aca="false">IF(ISBLANK(C503),"",AX503)</f>
        <v/>
      </c>
      <c r="BF503" s="105" t="str">
        <f aca="false">IF(ISBLANK(C503),"",IFERROR(_xlfn.SWITCH(BE503, Constants!$B$4, COUNTA($C$8:$C1002)+2, Constants!$B$5, COUNTA($C$8:$C1002)+1, Constants!$B$6, COUNTA($C$8:$C1002)),BE503))</f>
        <v/>
      </c>
      <c r="BG503" s="5"/>
      <c r="BH503" s="106" t="n">
        <f aca="false">IF(OR(ISNUMBER(BE503),BE503="DQ",BE503="P",BE503="NS"),
    1,
    0
)</f>
        <v>0</v>
      </c>
      <c r="BI503" s="106" t="n">
        <v>496</v>
      </c>
      <c r="BJ503" s="106" t="str">
        <f aca="false">IF(ISBLANK($C503),
    "",
   BF503+ROW($B503)/1000
)</f>
        <v/>
      </c>
      <c r="BK503" s="106" t="str">
        <f aca="false">IF(ISNUMBER(BJ503), RANK(BJ503,BJ$8:BJ$507,1), "")</f>
        <v/>
      </c>
      <c r="BL503" s="106" t="str">
        <f aca="false">IF(ISBLANK($C503),
    "",
    $B503
)</f>
        <v/>
      </c>
      <c r="BM503" s="106" t="str">
        <f aca="false">IF(ISBLANK($C503),
    "",
    $C503
)</f>
        <v/>
      </c>
      <c r="BN503" s="106" t="str">
        <f aca="false">IF(ISBLANK($C503),
    "",
    $D503
)</f>
        <v/>
      </c>
      <c r="BO503" s="107" t="str">
        <f aca="false">BC503</f>
        <v/>
      </c>
      <c r="BP503" s="108" t="str">
        <f aca="false">BB503</f>
        <v/>
      </c>
      <c r="BQ503" s="106" t="str">
        <f aca="false">IF(ISBLANK($C503),
    "",
    BE503
)</f>
        <v/>
      </c>
      <c r="BR503" s="109" t="str">
        <f aca="false">IF(BI503&gt;BH$7,
    "",
    VLOOKUP(BI503,BK$8:BQ1002,7,FALSE())
)</f>
        <v/>
      </c>
      <c r="BS503" s="110" t="str">
        <f aca="false">IF(BI503&gt;BH$7,
    "",
    VLOOKUP(BI503,BK$8:BQ1002,2,FALSE())
)</f>
        <v/>
      </c>
      <c r="BT503" s="110" t="str">
        <f aca="false">IF(BI503&gt;BH$7,
    "",
    VLOOKUP(BI503,BK$8:BQ1002,3,FALSE())
)</f>
        <v/>
      </c>
      <c r="BU503" s="110" t="str">
        <f aca="false">IF(BI503&gt;BH$7,
    "",
    VLOOKUP(BI503,BK$8:BQ1002,4,FALSE())
)</f>
        <v/>
      </c>
      <c r="BV503" s="110" t="str">
        <f aca="false">IF(BI503&gt;BH$7,
    "",
    VLOOKUP(BI503,BK$8:BQ1002,5,FALSE())
)</f>
        <v/>
      </c>
      <c r="BW503" s="111" t="str">
        <f aca="false">IF(BI503&gt;BH$7,
    "",
    VLOOKUP(BI503,BK$8:BQ1002,6,FALSE())
)</f>
        <v/>
      </c>
      <c r="BX503" s="50"/>
    </row>
    <row r="504" customFormat="false" ht="15.75" hidden="false" customHeight="false" outlineLevel="0" collapsed="false">
      <c r="A504" s="5"/>
      <c r="B504" s="122"/>
      <c r="C504" s="123"/>
      <c r="D504" s="112"/>
      <c r="E504" s="116"/>
      <c r="F504" s="116"/>
      <c r="G504" s="88"/>
      <c r="H504" s="89"/>
      <c r="I504" s="125"/>
      <c r="J504" s="125"/>
      <c r="K504" s="125"/>
      <c r="L504" s="91"/>
      <c r="M504" s="91"/>
      <c r="N504" s="91"/>
      <c r="O504" s="92"/>
      <c r="P504" s="93"/>
      <c r="Q504" s="125"/>
      <c r="R504" s="95"/>
      <c r="S504" s="96"/>
      <c r="T504" s="96" t="str">
        <f aca="false">IF(ISBLANK($C504),"",IF(G504=Constants!$B$2, TRUE(), IF(G504=Constants!$B$3, FALSE(), TRUE())))</f>
        <v/>
      </c>
      <c r="U504" s="96" t="str">
        <f aca="false">IF(ISBLANK($C504),"",IF(H504=Constants!$B$2, TRUE(), IF(H504=Constants!$B$3, FALSE(), TRUE())))</f>
        <v/>
      </c>
      <c r="V504" s="96" t="str">
        <f aca="false">IF(ISBLANK($C504),"",IF(I504=Constants!$B$2, TRUE(), IF(I504=Constants!$B$3, FALSE(), TRUE())))</f>
        <v/>
      </c>
      <c r="W504" s="96" t="str">
        <f aca="false">IF(ISBLANK($C504),"",IF(J504=Constants!$B$2, TRUE(), IF(J504=Constants!$B$3, FALSE(), TRUE())))</f>
        <v/>
      </c>
      <c r="X504" s="97" t="str">
        <f aca="false">IF(ISBLANK($C504),"",IF(K504=Constants!$B$2, TRUE(), IF(K504=Constants!$B$3, FALSE(), TRUE())))</f>
        <v/>
      </c>
      <c r="Y504" s="98" t="str">
        <f aca="false">IF(ISBLANK($C504),"",IF(ISNUMBER(L504), L504, ""))</f>
        <v/>
      </c>
      <c r="Z504" s="98" t="str">
        <f aca="false">IF(ISBLANK($C504),"",IF(ISNUMBER(M504), M504, ""))</f>
        <v/>
      </c>
      <c r="AA504" s="98" t="str">
        <f aca="false">IF(ISBLANK($C504),"",IF(ISNUMBER(N504), N504, ""))</f>
        <v/>
      </c>
      <c r="AB504" s="99" t="str">
        <f aca="false">IF(ISBLANK($C504),"",IF(ISNUMBER(O504), O504, ""))</f>
        <v/>
      </c>
      <c r="AC504" s="99" t="str">
        <f aca="false">IF(ISBLANK($C504),"",IF(ISNUMBER(P504), P504, Constants!$B$13))</f>
        <v/>
      </c>
      <c r="AD504" s="96" t="str">
        <f aca="false">IF(ISBLANK($C504),"",IF(Q504=Constants!$B$2, TRUE(), IF(Q504=Constants!$B$3, FALSE(), FALSE())))</f>
        <v/>
      </c>
      <c r="AE504" s="96" t="str">
        <f aca="false">IF(ISBLANK(C504), "", IF(AD504, Constants!$B$4,IF(COUNTA(G504:O504)=0, Constants!$B$5, Constants!$B$7)))</f>
        <v/>
      </c>
      <c r="AF504" s="96" t="str">
        <f aca="false">IF(ISBLANK($C504), "",IF($AE504=Constants!$B$7,1,$AE504))</f>
        <v/>
      </c>
      <c r="AG504" s="96" t="str">
        <f aca="false">IF($AE504=Constants!$B$7,IF(V504, 1, Constants!$B$11) * IF(X504, 1, Constants!$B$12),"")</f>
        <v/>
      </c>
      <c r="AH504" s="96" t="str">
        <f aca="false">IF(AND($AE504=Constants!$B$7, T504, U504) ,MAX(0, $AA504-$Y504),"")</f>
        <v/>
      </c>
      <c r="AI504" s="96" t="str">
        <f aca="false">IF(ISERROR(AH504),$AI$6,"")</f>
        <v/>
      </c>
      <c r="AJ504" s="96" t="str">
        <f aca="false">IF($AE504=Constants!$B$7,IF(AND(T504,U504,W504),IF($AH$6=0,Constants!$B$9,Constants!$B$9*AH504/$AH$6), 0),"")</f>
        <v/>
      </c>
      <c r="AK504" s="96" t="str">
        <f aca="false">IF(AJ504&lt;&gt;"", AJ504*AG504,"")</f>
        <v/>
      </c>
      <c r="AL504" s="96" t="str">
        <f aca="false">IF(AND($AE504=Constants!$B$7, T504, U504) ,IF($Z504="", "", MAX(0,1-ABS($AA504-$Z504)/$AA504)),"")</f>
        <v/>
      </c>
      <c r="AM504" s="96" t="str">
        <f aca="false">IF(AND(NOT(ISERROR(AH504)),ISERROR(AL504)),$AM$6,"")</f>
        <v/>
      </c>
      <c r="AN504" s="96" t="str">
        <f aca="false">IF($AE504=Constants!$B$7 ,IF(AND(T504,U504,W504,ISNUMBER(Z504)),IF($AL$6=0,Constants!$B$10,Constants!$B$10*AL504/$AL$6), 0),"")</f>
        <v/>
      </c>
      <c r="AO504" s="96" t="str">
        <f aca="false">IF(AN504&lt;&gt;"", AN504*AG504,"")</f>
        <v/>
      </c>
      <c r="AP504" s="96" t="str">
        <f aca="false">IF($AE504=Constants!$B$7,IF($AP$6=0,Constants!$B$8,Constants!$B$8*AB504/$AP$6),"")</f>
        <v/>
      </c>
      <c r="AQ504" s="96" t="str">
        <f aca="false">IF($AE504&lt;&gt;Constants!$B$7,$AE504,AK504+AO504+AP504)</f>
        <v/>
      </c>
      <c r="AR504" s="96" t="str">
        <f aca="false">IF(ISBLANK($C504),"",IF($AE504=Constants!$B$7,RANK(AQ504,$AQ$8:$AQ$507),$AE504))</f>
        <v/>
      </c>
      <c r="AS504" s="96" t="str">
        <f aca="false">IF(ISBLANK($C504), "",AK504)</f>
        <v/>
      </c>
      <c r="AT504" s="96" t="str">
        <f aca="false">IF(ISBLANK($C504),"",IF($AE504=Constants!$B$7,RANK(AS504,AS$8:AS$507),$AE504))</f>
        <v/>
      </c>
      <c r="AU504" s="96" t="str">
        <f aca="false">IF(ISBLANK($C504), "",AP504)</f>
        <v/>
      </c>
      <c r="AV504" s="96" t="str">
        <f aca="false">IF(ISBLANK($C504),"",IF($AE504=Constants!$B$7,RANK(AU504,AU$8:AU$507),$AE504))</f>
        <v/>
      </c>
      <c r="AW504" s="96" t="str">
        <f aca="false">IF(ISBLANK($C504), "",AC504)</f>
        <v/>
      </c>
      <c r="AX504" s="96" t="str">
        <f aca="false">IF(ISBLANK($C504),"",
IF($AE504=Constants!$B$7,
  COUNTIFS($AR$8:$AR$507,"&lt;"&amp;$AR504)
  + COUNTIFS($AR$8:$AR$507,$AR504,$AT$8:$AT$507,"&lt;"&amp;$AT504)
  + COUNTIFS($AR$8:$AR$507,$AR504,$AT$8:$AT$507,$AT504,$AV$8:$AV$507,"&lt;"&amp;$AV504)
  + COUNTIFS($AR$8:$AR$507,$AR504,$AT$8:$AT$507,$AT504,$AV$8:$AV$507,$AV504,$AW$8:$AW$507,"&lt;"&amp;$AW504)
  + 1,
$AE504))</f>
        <v/>
      </c>
      <c r="AY504" s="96" t="str">
        <f aca="false">IF(ISBLANK(C504),"",IF($AE504=Constants!$B$7, AR504-AX504,$AE504))</f>
        <v/>
      </c>
      <c r="AZ504" s="100"/>
      <c r="BA504" s="101" t="str">
        <f aca="false">IF(ISBLANK($C504),"",TRIM(AI504&amp;" "&amp;AM504))</f>
        <v/>
      </c>
      <c r="BB504" s="102" t="str">
        <f aca="false">IF(ISBLANK($C504),"",IF($AE504&lt;&gt;Constants!$B$7, $AE504 ,AQ504))</f>
        <v/>
      </c>
      <c r="BC504" s="103" t="str">
        <f aca="false">IF(ISBLANK($C504),"",IF($AE504&lt;&gt;Constants!$B$7, $AE504 ,AF504))</f>
        <v/>
      </c>
      <c r="BD504" s="104" t="str">
        <f aca="false">IF(ISBLANK(C504),"",AY504)</f>
        <v/>
      </c>
      <c r="BE504" s="104" t="str">
        <f aca="false">IF(ISBLANK(C504),"",AX504)</f>
        <v/>
      </c>
      <c r="BF504" s="105" t="str">
        <f aca="false">IF(ISBLANK(C504),"",IFERROR(_xlfn.SWITCH(BE504, Constants!$B$4, COUNTA($C$8:$C1003)+2, Constants!$B$5, COUNTA($C$8:$C1003)+1, Constants!$B$6, COUNTA($C$8:$C1003)),BE504))</f>
        <v/>
      </c>
      <c r="BG504" s="5"/>
      <c r="BH504" s="106" t="n">
        <f aca="false">IF(OR(ISNUMBER(BE504),BE504="DQ",BE504="P",BE504="NS"),
    1,
    0
)</f>
        <v>0</v>
      </c>
      <c r="BI504" s="106" t="n">
        <v>497</v>
      </c>
      <c r="BJ504" s="106" t="str">
        <f aca="false">IF(ISBLANK($C504),
    "",
   BF504+ROW($B504)/1000
)</f>
        <v/>
      </c>
      <c r="BK504" s="106" t="str">
        <f aca="false">IF(ISNUMBER(BJ504), RANK(BJ504,BJ$8:BJ$507,1), "")</f>
        <v/>
      </c>
      <c r="BL504" s="106" t="str">
        <f aca="false">IF(ISBLANK($C504),
    "",
    $B504
)</f>
        <v/>
      </c>
      <c r="BM504" s="106" t="str">
        <f aca="false">IF(ISBLANK($C504),
    "",
    $C504
)</f>
        <v/>
      </c>
      <c r="BN504" s="106" t="str">
        <f aca="false">IF(ISBLANK($C504),
    "",
    $D504
)</f>
        <v/>
      </c>
      <c r="BO504" s="107" t="str">
        <f aca="false">BC504</f>
        <v/>
      </c>
      <c r="BP504" s="108" t="str">
        <f aca="false">BB504</f>
        <v/>
      </c>
      <c r="BQ504" s="106" t="str">
        <f aca="false">IF(ISBLANK($C504),
    "",
    BE504
)</f>
        <v/>
      </c>
      <c r="BR504" s="109" t="str">
        <f aca="false">IF(BI504&gt;BH$7,
    "",
    VLOOKUP(BI504,BK$8:BQ1003,7,FALSE())
)</f>
        <v/>
      </c>
      <c r="BS504" s="110" t="str">
        <f aca="false">IF(BI504&gt;BH$7,
    "",
    VLOOKUP(BI504,BK$8:BQ1003,2,FALSE())
)</f>
        <v/>
      </c>
      <c r="BT504" s="110" t="str">
        <f aca="false">IF(BI504&gt;BH$7,
    "",
    VLOOKUP(BI504,BK$8:BQ1003,3,FALSE())
)</f>
        <v/>
      </c>
      <c r="BU504" s="110" t="str">
        <f aca="false">IF(BI504&gt;BH$7,
    "",
    VLOOKUP(BI504,BK$8:BQ1003,4,FALSE())
)</f>
        <v/>
      </c>
      <c r="BV504" s="110" t="str">
        <f aca="false">IF(BI504&gt;BH$7,
    "",
    VLOOKUP(BI504,BK$8:BQ1003,5,FALSE())
)</f>
        <v/>
      </c>
      <c r="BW504" s="111" t="str">
        <f aca="false">IF(BI504&gt;BH$7,
    "",
    VLOOKUP(BI504,BK$8:BQ1003,6,FALSE())
)</f>
        <v/>
      </c>
      <c r="BX504" s="50"/>
    </row>
    <row r="505" customFormat="false" ht="15.75" hidden="false" customHeight="false" outlineLevel="0" collapsed="false">
      <c r="A505" s="5"/>
      <c r="B505" s="122"/>
      <c r="C505" s="123"/>
      <c r="D505" s="112"/>
      <c r="E505" s="116"/>
      <c r="F505" s="116"/>
      <c r="G505" s="88"/>
      <c r="H505" s="89"/>
      <c r="I505" s="125"/>
      <c r="J505" s="125"/>
      <c r="K505" s="125"/>
      <c r="L505" s="91"/>
      <c r="M505" s="91"/>
      <c r="N505" s="91"/>
      <c r="O505" s="92"/>
      <c r="P505" s="93"/>
      <c r="Q505" s="125"/>
      <c r="R505" s="95"/>
      <c r="S505" s="96"/>
      <c r="T505" s="96" t="str">
        <f aca="false">IF(ISBLANK($C505),"",IF(G505=Constants!$B$2, TRUE(), IF(G505=Constants!$B$3, FALSE(), TRUE())))</f>
        <v/>
      </c>
      <c r="U505" s="96" t="str">
        <f aca="false">IF(ISBLANK($C505),"",IF(H505=Constants!$B$2, TRUE(), IF(H505=Constants!$B$3, FALSE(), TRUE())))</f>
        <v/>
      </c>
      <c r="V505" s="96" t="str">
        <f aca="false">IF(ISBLANK($C505),"",IF(I505=Constants!$B$2, TRUE(), IF(I505=Constants!$B$3, FALSE(), TRUE())))</f>
        <v/>
      </c>
      <c r="W505" s="96" t="str">
        <f aca="false">IF(ISBLANK($C505),"",IF(J505=Constants!$B$2, TRUE(), IF(J505=Constants!$B$3, FALSE(), TRUE())))</f>
        <v/>
      </c>
      <c r="X505" s="97" t="str">
        <f aca="false">IF(ISBLANK($C505),"",IF(K505=Constants!$B$2, TRUE(), IF(K505=Constants!$B$3, FALSE(), TRUE())))</f>
        <v/>
      </c>
      <c r="Y505" s="98" t="str">
        <f aca="false">IF(ISBLANK($C505),"",IF(ISNUMBER(L505), L505, ""))</f>
        <v/>
      </c>
      <c r="Z505" s="98" t="str">
        <f aca="false">IF(ISBLANK($C505),"",IF(ISNUMBER(M505), M505, ""))</f>
        <v/>
      </c>
      <c r="AA505" s="98" t="str">
        <f aca="false">IF(ISBLANK($C505),"",IF(ISNUMBER(N505), N505, ""))</f>
        <v/>
      </c>
      <c r="AB505" s="99" t="str">
        <f aca="false">IF(ISBLANK($C505),"",IF(ISNUMBER(O505), O505, ""))</f>
        <v/>
      </c>
      <c r="AC505" s="99" t="str">
        <f aca="false">IF(ISBLANK($C505),"",IF(ISNUMBER(P505), P505, Constants!$B$13))</f>
        <v/>
      </c>
      <c r="AD505" s="96" t="str">
        <f aca="false">IF(ISBLANK($C505),"",IF(Q505=Constants!$B$2, TRUE(), IF(Q505=Constants!$B$3, FALSE(), FALSE())))</f>
        <v/>
      </c>
      <c r="AE505" s="96" t="str">
        <f aca="false">IF(ISBLANK(C505), "", IF(AD505, Constants!$B$4,IF(COUNTA(G505:O505)=0, Constants!$B$5, Constants!$B$7)))</f>
        <v/>
      </c>
      <c r="AF505" s="96" t="str">
        <f aca="false">IF(ISBLANK($C505), "",IF($AE505=Constants!$B$7,1,$AE505))</f>
        <v/>
      </c>
      <c r="AG505" s="96" t="str">
        <f aca="false">IF($AE505=Constants!$B$7,IF(V505, 1, Constants!$B$11) * IF(X505, 1, Constants!$B$12),"")</f>
        <v/>
      </c>
      <c r="AH505" s="96" t="str">
        <f aca="false">IF(AND($AE505=Constants!$B$7, T505, U505) ,MAX(0, $AA505-$Y505),"")</f>
        <v/>
      </c>
      <c r="AI505" s="96" t="str">
        <f aca="false">IF(ISERROR(AH505),$AI$6,"")</f>
        <v/>
      </c>
      <c r="AJ505" s="96" t="str">
        <f aca="false">IF($AE505=Constants!$B$7,IF(AND(T505,U505,W505),IF($AH$6=0,Constants!$B$9,Constants!$B$9*AH505/$AH$6), 0),"")</f>
        <v/>
      </c>
      <c r="AK505" s="96" t="str">
        <f aca="false">IF(AJ505&lt;&gt;"", AJ505*AG505,"")</f>
        <v/>
      </c>
      <c r="AL505" s="96" t="str">
        <f aca="false">IF(AND($AE505=Constants!$B$7, T505, U505) ,IF($Z505="", "", MAX(0,1-ABS($AA505-$Z505)/$AA505)),"")</f>
        <v/>
      </c>
      <c r="AM505" s="96" t="str">
        <f aca="false">IF(AND(NOT(ISERROR(AH505)),ISERROR(AL505)),$AM$6,"")</f>
        <v/>
      </c>
      <c r="AN505" s="96" t="str">
        <f aca="false">IF($AE505=Constants!$B$7 ,IF(AND(T505,U505,W505,ISNUMBER(Z505)),IF($AL$6=0,Constants!$B$10,Constants!$B$10*AL505/$AL$6), 0),"")</f>
        <v/>
      </c>
      <c r="AO505" s="96" t="str">
        <f aca="false">IF(AN505&lt;&gt;"", AN505*AG505,"")</f>
        <v/>
      </c>
      <c r="AP505" s="96" t="str">
        <f aca="false">IF($AE505=Constants!$B$7,IF($AP$6=0,Constants!$B$8,Constants!$B$8*AB505/$AP$6),"")</f>
        <v/>
      </c>
      <c r="AQ505" s="96" t="str">
        <f aca="false">IF($AE505&lt;&gt;Constants!$B$7,$AE505,AK505+AO505+AP505)</f>
        <v/>
      </c>
      <c r="AR505" s="96" t="str">
        <f aca="false">IF(ISBLANK($C505),"",IF($AE505=Constants!$B$7,RANK(AQ505,$AQ$8:$AQ$507),$AE505))</f>
        <v/>
      </c>
      <c r="AS505" s="96" t="str">
        <f aca="false">IF(ISBLANK($C505), "",AK505)</f>
        <v/>
      </c>
      <c r="AT505" s="96" t="str">
        <f aca="false">IF(ISBLANK($C505),"",IF($AE505=Constants!$B$7,RANK(AS505,AS$8:AS$507),$AE505))</f>
        <v/>
      </c>
      <c r="AU505" s="96" t="str">
        <f aca="false">IF(ISBLANK($C505), "",AP505)</f>
        <v/>
      </c>
      <c r="AV505" s="96" t="str">
        <f aca="false">IF(ISBLANK($C505),"",IF($AE505=Constants!$B$7,RANK(AU505,AU$8:AU$507),$AE505))</f>
        <v/>
      </c>
      <c r="AW505" s="96" t="str">
        <f aca="false">IF(ISBLANK($C505), "",AC505)</f>
        <v/>
      </c>
      <c r="AX505" s="96" t="str">
        <f aca="false">IF(ISBLANK($C505),"",
IF($AE505=Constants!$B$7,
  COUNTIFS($AR$8:$AR$507,"&lt;"&amp;$AR505)
  + COUNTIFS($AR$8:$AR$507,$AR505,$AT$8:$AT$507,"&lt;"&amp;$AT505)
  + COUNTIFS($AR$8:$AR$507,$AR505,$AT$8:$AT$507,$AT505,$AV$8:$AV$507,"&lt;"&amp;$AV505)
  + COUNTIFS($AR$8:$AR$507,$AR505,$AT$8:$AT$507,$AT505,$AV$8:$AV$507,$AV505,$AW$8:$AW$507,"&lt;"&amp;$AW505)
  + 1,
$AE505))</f>
        <v/>
      </c>
      <c r="AY505" s="96" t="str">
        <f aca="false">IF(ISBLANK(C505),"",IF($AE505=Constants!$B$7, AR505-AX505,$AE505))</f>
        <v/>
      </c>
      <c r="AZ505" s="100"/>
      <c r="BA505" s="101" t="str">
        <f aca="false">IF(ISBLANK($C505),"",TRIM(AI505&amp;" "&amp;AM505))</f>
        <v/>
      </c>
      <c r="BB505" s="102" t="str">
        <f aca="false">IF(ISBLANK($C505),"",IF($AE505&lt;&gt;Constants!$B$7, $AE505 ,AQ505))</f>
        <v/>
      </c>
      <c r="BC505" s="103" t="str">
        <f aca="false">IF(ISBLANK($C505),"",IF($AE505&lt;&gt;Constants!$B$7, $AE505 ,AF505))</f>
        <v/>
      </c>
      <c r="BD505" s="104" t="str">
        <f aca="false">IF(ISBLANK(C505),"",AY505)</f>
        <v/>
      </c>
      <c r="BE505" s="104" t="str">
        <f aca="false">IF(ISBLANK(C505),"",AX505)</f>
        <v/>
      </c>
      <c r="BF505" s="105" t="str">
        <f aca="false">IF(ISBLANK(C505),"",IFERROR(_xlfn.SWITCH(BE505, Constants!$B$4, COUNTA($C$8:$C1004)+2, Constants!$B$5, COUNTA($C$8:$C1004)+1, Constants!$B$6, COUNTA($C$8:$C1004)),BE505))</f>
        <v/>
      </c>
      <c r="BG505" s="5"/>
      <c r="BH505" s="106" t="n">
        <f aca="false">IF(OR(ISNUMBER(BE505),BE505="DQ",BE505="P",BE505="NS"),
    1,
    0
)</f>
        <v>0</v>
      </c>
      <c r="BI505" s="106" t="n">
        <v>498</v>
      </c>
      <c r="BJ505" s="106" t="str">
        <f aca="false">IF(ISBLANK($C505),
    "",
   BF505+ROW($B505)/1000
)</f>
        <v/>
      </c>
      <c r="BK505" s="106" t="str">
        <f aca="false">IF(ISNUMBER(BJ505), RANK(BJ505,BJ$8:BJ$507,1), "")</f>
        <v/>
      </c>
      <c r="BL505" s="106" t="str">
        <f aca="false">IF(ISBLANK($C505),
    "",
    $B505
)</f>
        <v/>
      </c>
      <c r="BM505" s="106" t="str">
        <f aca="false">IF(ISBLANK($C505),
    "",
    $C505
)</f>
        <v/>
      </c>
      <c r="BN505" s="106" t="str">
        <f aca="false">IF(ISBLANK($C505),
    "",
    $D505
)</f>
        <v/>
      </c>
      <c r="BO505" s="107" t="str">
        <f aca="false">BC505</f>
        <v/>
      </c>
      <c r="BP505" s="108" t="str">
        <f aca="false">BB505</f>
        <v/>
      </c>
      <c r="BQ505" s="106" t="str">
        <f aca="false">IF(ISBLANK($C505),
    "",
    BE505
)</f>
        <v/>
      </c>
      <c r="BR505" s="109" t="str">
        <f aca="false">IF(BI505&gt;BH$7,
    "",
    VLOOKUP(BI505,BK$8:BQ1004,7,FALSE())
)</f>
        <v/>
      </c>
      <c r="BS505" s="110" t="str">
        <f aca="false">IF(BI505&gt;BH$7,
    "",
    VLOOKUP(BI505,BK$8:BQ1004,2,FALSE())
)</f>
        <v/>
      </c>
      <c r="BT505" s="110" t="str">
        <f aca="false">IF(BI505&gt;BH$7,
    "",
    VLOOKUP(BI505,BK$8:BQ1004,3,FALSE())
)</f>
        <v/>
      </c>
      <c r="BU505" s="110" t="str">
        <f aca="false">IF(BI505&gt;BH$7,
    "",
    VLOOKUP(BI505,BK$8:BQ1004,4,FALSE())
)</f>
        <v/>
      </c>
      <c r="BV505" s="110" t="str">
        <f aca="false">IF(BI505&gt;BH$7,
    "",
    VLOOKUP(BI505,BK$8:BQ1004,5,FALSE())
)</f>
        <v/>
      </c>
      <c r="BW505" s="111" t="str">
        <f aca="false">IF(BI505&gt;BH$7,
    "",
    VLOOKUP(BI505,BK$8:BQ1004,6,FALSE())
)</f>
        <v/>
      </c>
      <c r="BX505" s="50"/>
    </row>
    <row r="506" customFormat="false" ht="15.75" hidden="false" customHeight="false" outlineLevel="0" collapsed="false">
      <c r="A506" s="5"/>
      <c r="B506" s="126"/>
      <c r="C506" s="52"/>
      <c r="D506" s="53"/>
      <c r="E506" s="120"/>
      <c r="F506" s="120"/>
      <c r="G506" s="55"/>
      <c r="H506" s="56"/>
      <c r="I506" s="80"/>
      <c r="J506" s="80"/>
      <c r="K506" s="80"/>
      <c r="L506" s="58"/>
      <c r="M506" s="58"/>
      <c r="N506" s="58"/>
      <c r="O506" s="59"/>
      <c r="P506" s="60"/>
      <c r="Q506" s="80"/>
      <c r="R506" s="62"/>
      <c r="S506" s="63"/>
      <c r="T506" s="63" t="str">
        <f aca="false">IF(ISBLANK($C506),"",IF(G506=Constants!$B$2, TRUE(), IF(G506=Constants!$B$3, FALSE(), TRUE())))</f>
        <v/>
      </c>
      <c r="U506" s="63" t="str">
        <f aca="false">IF(ISBLANK($C506),"",IF(H506=Constants!$B$2, TRUE(), IF(H506=Constants!$B$3, FALSE(), TRUE())))</f>
        <v/>
      </c>
      <c r="V506" s="63" t="str">
        <f aca="false">IF(ISBLANK($C506),"",IF(I506=Constants!$B$2, TRUE(), IF(I506=Constants!$B$3, FALSE(), TRUE())))</f>
        <v/>
      </c>
      <c r="W506" s="63" t="str">
        <f aca="false">IF(ISBLANK($C506),"",IF(J506=Constants!$B$2, TRUE(), IF(J506=Constants!$B$3, FALSE(), TRUE())))</f>
        <v/>
      </c>
      <c r="X506" s="63" t="str">
        <f aca="false">IF(ISBLANK($C506),"",IF(K506=Constants!$B$2, TRUE(), IF(K506=Constants!$B$3, FALSE(), TRUE())))</f>
        <v/>
      </c>
      <c r="Y506" s="65" t="str">
        <f aca="false">IF(ISBLANK($C506),"",IF(ISNUMBER(L506), L506, ""))</f>
        <v/>
      </c>
      <c r="Z506" s="65" t="str">
        <f aca="false">IF(ISBLANK($C506),"",IF(ISNUMBER(M506), M506, ""))</f>
        <v/>
      </c>
      <c r="AA506" s="65" t="str">
        <f aca="false">IF(ISBLANK($C506),"",IF(ISNUMBER(N506), N506, ""))</f>
        <v/>
      </c>
      <c r="AB506" s="66" t="str">
        <f aca="false">IF(ISBLANK($C506),"",IF(ISNUMBER(O506), O506, ""))</f>
        <v/>
      </c>
      <c r="AC506" s="66" t="str">
        <f aca="false">IF(ISBLANK($C506),"",IF(ISNUMBER(P506), P506, Constants!$B$13))</f>
        <v/>
      </c>
      <c r="AD506" s="63" t="str">
        <f aca="false">IF(ISBLANK($C506),"",IF(Q506=Constants!$B$2, TRUE(), IF(Q506=Constants!$B$3, FALSE(), FALSE())))</f>
        <v/>
      </c>
      <c r="AE506" s="63" t="str">
        <f aca="false">IF(ISBLANK(C506), "", IF(AD506, Constants!$B$4,IF(COUNTA(G506:O506)=0, Constants!$B$5, Constants!$B$7)))</f>
        <v/>
      </c>
      <c r="AF506" s="63" t="str">
        <f aca="false">IF(ISBLANK($C506), "",IF($AE506=Constants!$B$7,1,$AE506))</f>
        <v/>
      </c>
      <c r="AG506" s="63" t="str">
        <f aca="false">IF($AE506=Constants!$B$7,IF(V506, 1, Constants!$B$11) * IF(X506, 1, Constants!$B$12),"")</f>
        <v/>
      </c>
      <c r="AH506" s="63" t="str">
        <f aca="false">IF(AND($AE506=Constants!$B$7, T506, U506) ,MAX(0, $AA506-$Y506),"")</f>
        <v/>
      </c>
      <c r="AI506" s="63" t="str">
        <f aca="false">IF(ISERROR(AH506),$AI$6,"")</f>
        <v/>
      </c>
      <c r="AJ506" s="63" t="str">
        <f aca="false">IF($AE506=Constants!$B$7,IF(AND(T506,U506,W506),IF($AH$6=0,Constants!$B$9,Constants!$B$9*AH506/$AH$6), 0),"")</f>
        <v/>
      </c>
      <c r="AK506" s="63" t="str">
        <f aca="false">IF(AJ506&lt;&gt;"", AJ506*AG506,"")</f>
        <v/>
      </c>
      <c r="AL506" s="63" t="str">
        <f aca="false">IF(AND($AE506=Constants!$B$7, T506, U506) ,IF($Z506="", "", MAX(0,1-ABS($AA506-$Z506)/$AA506)),"")</f>
        <v/>
      </c>
      <c r="AM506" s="63" t="str">
        <f aca="false">IF(AND(NOT(ISERROR(AH506)),ISERROR(AL506)),$AM$6,"")</f>
        <v/>
      </c>
      <c r="AN506" s="63" t="str">
        <f aca="false">IF($AE506=Constants!$B$7 ,IF(AND(T506,U506,W506,ISNUMBER(Z506)),IF($AL$6=0,Constants!$B$10,Constants!$B$10*AL506/$AL$6), 0),"")</f>
        <v/>
      </c>
      <c r="AO506" s="63" t="str">
        <f aca="false">IF(AN506&lt;&gt;"", AN506*AG506,"")</f>
        <v/>
      </c>
      <c r="AP506" s="63" t="str">
        <f aca="false">IF($AE506=Constants!$B$7,IF($AP$6=0,Constants!$B$8,Constants!$B$8*AB506/$AP$6),"")</f>
        <v/>
      </c>
      <c r="AQ506" s="63" t="str">
        <f aca="false">IF($AE506&lt;&gt;Constants!$B$7,$AE506,AK506+AO506+AP506)</f>
        <v/>
      </c>
      <c r="AR506" s="63" t="str">
        <f aca="false">IF(ISBLANK($C506),"",IF($AE506=Constants!$B$7,RANK(AQ506,$AQ$8:$AQ$507),$AE506))</f>
        <v/>
      </c>
      <c r="AS506" s="63" t="str">
        <f aca="false">IF(ISBLANK($C506), "",AK506)</f>
        <v/>
      </c>
      <c r="AT506" s="63" t="str">
        <f aca="false">IF(ISBLANK($C506),"",IF($AE506=Constants!$B$7,RANK(AS506,AS$8:AS$507),$AE506))</f>
        <v/>
      </c>
      <c r="AU506" s="63" t="str">
        <f aca="false">IF(ISBLANK($C506), "",AP506)</f>
        <v/>
      </c>
      <c r="AV506" s="63" t="str">
        <f aca="false">IF(ISBLANK($C506),"",IF($AE506=Constants!$B$7,RANK(AU506,AU$8:AU$507),$AE506))</f>
        <v/>
      </c>
      <c r="AW506" s="63" t="str">
        <f aca="false">IF(ISBLANK($C506), "",AC506)</f>
        <v/>
      </c>
      <c r="AX506" s="63" t="str">
        <f aca="false">IF(ISBLANK($C506),"",
IF($AE506=Constants!$B$7,
  COUNTIFS($AR$8:$AR$507,"&lt;"&amp;$AR506)
  + COUNTIFS($AR$8:$AR$507,$AR506,$AT$8:$AT$507,"&lt;"&amp;$AT506)
  + COUNTIFS($AR$8:$AR$507,$AR506,$AT$8:$AT$507,$AT506,$AV$8:$AV$507,"&lt;"&amp;$AV506)
  + COUNTIFS($AR$8:$AR$507,$AR506,$AT$8:$AT$507,$AT506,$AV$8:$AV$507,$AV506,$AW$8:$AW$507,"&lt;"&amp;$AW506)
  + 1,
$AE506))</f>
        <v/>
      </c>
      <c r="AY506" s="63" t="str">
        <f aca="false">IF(ISBLANK(C506),"",IF($AE506=Constants!$B$7, AR506-AX506,$AE506))</f>
        <v/>
      </c>
      <c r="AZ506" s="67"/>
      <c r="BA506" s="81" t="str">
        <f aca="false">IF(ISBLANK($C506),"",TRIM(AI506&amp;" "&amp;AM506))</f>
        <v/>
      </c>
      <c r="BB506" s="69" t="str">
        <f aca="false">IF(ISBLANK($C506),"",IF($AE506&lt;&gt;Constants!$B$7, $AE506 ,AQ506))</f>
        <v/>
      </c>
      <c r="BC506" s="70" t="str">
        <f aca="false">IF(ISBLANK($C506),"",IF($AE506&lt;&gt;Constants!$B$7, $AE506 ,AF506))</f>
        <v/>
      </c>
      <c r="BD506" s="71" t="str">
        <f aca="false">IF(ISBLANK(C506),"",AY506)</f>
        <v/>
      </c>
      <c r="BE506" s="71" t="str">
        <f aca="false">IF(ISBLANK(C506),"",AX506)</f>
        <v/>
      </c>
      <c r="BF506" s="72" t="str">
        <f aca="false">IF(ISBLANK(C506),"",IFERROR(_xlfn.SWITCH(BE506, Constants!$B$4, COUNTA($C$8:$C1005)+2, Constants!$B$5, COUNTA($C$8:$C1005)+1, Constants!$B$6, COUNTA($C$8:$C1005)),BE506))</f>
        <v/>
      </c>
      <c r="BG506" s="5"/>
      <c r="BH506" s="73" t="n">
        <f aca="false">IF(OR(ISNUMBER(BE506),BE506="DQ",BE506="P",BE506="NS"),
    1,
    0
)</f>
        <v>0</v>
      </c>
      <c r="BI506" s="73" t="n">
        <v>499</v>
      </c>
      <c r="BJ506" s="73" t="str">
        <f aca="false">IF(ISBLANK($C506),
    "",
   BF506+ROW($B506)/1000
)</f>
        <v/>
      </c>
      <c r="BK506" s="73" t="str">
        <f aca="false">IF(ISNUMBER(BJ506), RANK(BJ506,BJ$8:BJ$507,1), "")</f>
        <v/>
      </c>
      <c r="BL506" s="73" t="str">
        <f aca="false">IF(ISBLANK($C506),
    "",
    $B506
)</f>
        <v/>
      </c>
      <c r="BM506" s="73" t="str">
        <f aca="false">IF(ISBLANK($C506),
    "",
    $C506
)</f>
        <v/>
      </c>
      <c r="BN506" s="73" t="str">
        <f aca="false">IF(ISBLANK($C506),
    "",
    $D506
)</f>
        <v/>
      </c>
      <c r="BO506" s="74" t="str">
        <f aca="false">BC506</f>
        <v/>
      </c>
      <c r="BP506" s="75" t="str">
        <f aca="false">BB506</f>
        <v/>
      </c>
      <c r="BQ506" s="73" t="str">
        <f aca="false">IF(ISBLANK($C506),
    "",
    BE506
)</f>
        <v/>
      </c>
      <c r="BR506" s="76" t="str">
        <f aca="false">IF(BI506&gt;BH$7,
    "",
    VLOOKUP(BI506,BK$8:BQ1005,7,FALSE())
)</f>
        <v/>
      </c>
      <c r="BS506" s="77" t="str">
        <f aca="false">IF(BI506&gt;BH$7,
    "",
    VLOOKUP(BI506,BK$8:BQ1005,2,FALSE())
)</f>
        <v/>
      </c>
      <c r="BT506" s="77" t="str">
        <f aca="false">IF(BI506&gt;BH$7,
    "",
    VLOOKUP(BI506,BK$8:BQ1005,3,FALSE())
)</f>
        <v/>
      </c>
      <c r="BU506" s="77" t="str">
        <f aca="false">IF(BI506&gt;BH$7,
    "",
    VLOOKUP(BI506,BK$8:BQ1005,4,FALSE())
)</f>
        <v/>
      </c>
      <c r="BV506" s="77" t="str">
        <f aca="false">IF(BI506&gt;BH$7,
    "",
    VLOOKUP(BI506,BK$8:BQ1005,5,FALSE())
)</f>
        <v/>
      </c>
      <c r="BW506" s="78" t="str">
        <f aca="false">IF(BI506&gt;BH$7,
    "",
    VLOOKUP(BI506,BK$8:BQ1005,6,FALSE())
)</f>
        <v/>
      </c>
      <c r="BX506" s="50"/>
    </row>
    <row r="507" customFormat="false" ht="15.75" hidden="false" customHeight="false" outlineLevel="0" collapsed="false">
      <c r="A507" s="5"/>
      <c r="B507" s="126"/>
      <c r="C507" s="52"/>
      <c r="D507" s="53"/>
      <c r="E507" s="120"/>
      <c r="F507" s="120"/>
      <c r="G507" s="55"/>
      <c r="H507" s="56"/>
      <c r="I507" s="80"/>
      <c r="J507" s="80"/>
      <c r="K507" s="80"/>
      <c r="L507" s="58"/>
      <c r="M507" s="58"/>
      <c r="N507" s="58"/>
      <c r="O507" s="59"/>
      <c r="P507" s="60"/>
      <c r="Q507" s="80"/>
      <c r="R507" s="62"/>
      <c r="S507" s="63"/>
      <c r="T507" s="63" t="str">
        <f aca="false">IF(ISBLANK($C507),"",IF(G507=Constants!$B$2, TRUE(), IF(G507=Constants!$B$3, FALSE(), TRUE())))</f>
        <v/>
      </c>
      <c r="U507" s="63" t="str">
        <f aca="false">IF(ISBLANK($C507),"",IF(H507=Constants!$B$2, TRUE(), IF(H507=Constants!$B$3, FALSE(), TRUE())))</f>
        <v/>
      </c>
      <c r="V507" s="63" t="str">
        <f aca="false">IF(ISBLANK($C507),"",IF(I507=Constants!$B$2, TRUE(), IF(I507=Constants!$B$3, FALSE(), TRUE())))</f>
        <v/>
      </c>
      <c r="W507" s="63" t="str">
        <f aca="false">IF(ISBLANK($C507),"",IF(J507=Constants!$B$2, TRUE(), IF(J507=Constants!$B$3, FALSE(), TRUE())))</f>
        <v/>
      </c>
      <c r="X507" s="63" t="str">
        <f aca="false">IF(ISBLANK($C507),"",IF(K507=Constants!$B$2, TRUE(), IF(K507=Constants!$B$3, FALSE(), TRUE())))</f>
        <v/>
      </c>
      <c r="Y507" s="65" t="str">
        <f aca="false">IF(ISBLANK($C507),"",IF(ISNUMBER(L507), L507, ""))</f>
        <v/>
      </c>
      <c r="Z507" s="65" t="str">
        <f aca="false">IF(ISBLANK($C507),"",IF(ISNUMBER(M507), M507, ""))</f>
        <v/>
      </c>
      <c r="AA507" s="65" t="str">
        <f aca="false">IF(ISBLANK($C507),"",IF(ISNUMBER(N507), N507, ""))</f>
        <v/>
      </c>
      <c r="AB507" s="66" t="str">
        <f aca="false">IF(ISBLANK($C507),"",IF(ISNUMBER(O507), O507, ""))</f>
        <v/>
      </c>
      <c r="AC507" s="66" t="str">
        <f aca="false">IF(ISBLANK($C507),"",IF(ISNUMBER(P507), P507, Constants!$B$13))</f>
        <v/>
      </c>
      <c r="AD507" s="63" t="str">
        <f aca="false">IF(ISBLANK($C507),"",IF(Q507=Constants!$B$2, TRUE(), IF(Q507=Constants!$B$3, FALSE(), FALSE())))</f>
        <v/>
      </c>
      <c r="AE507" s="63" t="str">
        <f aca="false">IF(ISBLANK(C507), "", IF(AD507, Constants!$B$4,IF(COUNTA(G507:O507)=0, Constants!$B$5, Constants!$B$7)))</f>
        <v/>
      </c>
      <c r="AF507" s="63" t="str">
        <f aca="false">IF(ISBLANK($C507), "",IF($AE507=Constants!$B$7,1,$AE507))</f>
        <v/>
      </c>
      <c r="AG507" s="63" t="str">
        <f aca="false">IF($AE507=Constants!$B$7,IF(V507, 1, Constants!$B$11) * IF(X507, 1, Constants!$B$12),"")</f>
        <v/>
      </c>
      <c r="AH507" s="63" t="str">
        <f aca="false">IF(AND($AE507=Constants!$B$7, T507, U507) ,MAX(0, $AA507-$Y507),"")</f>
        <v/>
      </c>
      <c r="AI507" s="63" t="str">
        <f aca="false">IF(ISERROR(AH507),$AI$6,"")</f>
        <v/>
      </c>
      <c r="AJ507" s="63" t="str">
        <f aca="false">IF($AE507=Constants!$B$7,IF(AND(T507,U507,W507),IF($AH$6=0,Constants!$B$9,Constants!$B$9*AH507/$AH$6), 0),"")</f>
        <v/>
      </c>
      <c r="AK507" s="63" t="str">
        <f aca="false">IF(AJ507&lt;&gt;"", AJ507*AG507,"")</f>
        <v/>
      </c>
      <c r="AL507" s="63" t="str">
        <f aca="false">IF(AND($AE507=Constants!$B$7, T507, U507) ,IF($Z507="", "", MAX(0,1-ABS($AA507-$Z507)/$AA507)),"")</f>
        <v/>
      </c>
      <c r="AM507" s="63" t="str">
        <f aca="false">IF(AND(NOT(ISERROR(AH507)),ISERROR(AL507)),$AM$6,"")</f>
        <v/>
      </c>
      <c r="AN507" s="63" t="str">
        <f aca="false">IF($AE507=Constants!$B$7 ,IF(AND(T507,U507,W507,ISNUMBER(Z507)),IF($AL$6=0,Constants!$B$10,Constants!$B$10*AL507/$AL$6), 0),"")</f>
        <v/>
      </c>
      <c r="AO507" s="63" t="str">
        <f aca="false">IF(AN507&lt;&gt;"", AN507*AG507,"")</f>
        <v/>
      </c>
      <c r="AP507" s="63" t="str">
        <f aca="false">IF($AE507=Constants!$B$7,IF($AP$6=0,Constants!$B$8,Constants!$B$8*AB507/$AP$6),"")</f>
        <v/>
      </c>
      <c r="AQ507" s="63" t="str">
        <f aca="false">IF($AE507&lt;&gt;Constants!$B$7,$AE507,AK507+AO507+AP507)</f>
        <v/>
      </c>
      <c r="AR507" s="63" t="str">
        <f aca="false">IF(ISBLANK($C507),"",IF($AE507=Constants!$B$7,RANK(AQ507,$AQ$8:$AQ$507),$AE507))</f>
        <v/>
      </c>
      <c r="AS507" s="63" t="str">
        <f aca="false">IF(ISBLANK($C507), "",AK507)</f>
        <v/>
      </c>
      <c r="AT507" s="63" t="str">
        <f aca="false">IF(ISBLANK($C507),"",IF($AE507=Constants!$B$7,RANK(AS507,AS$8:AS$507),$AE507))</f>
        <v/>
      </c>
      <c r="AU507" s="63" t="str">
        <f aca="false">IF(ISBLANK($C507), "",AP507)</f>
        <v/>
      </c>
      <c r="AV507" s="63" t="str">
        <f aca="false">IF(ISBLANK($C507),"",IF($AE507=Constants!$B$7,RANK(AU507,AU$8:AU$507),$AE507))</f>
        <v/>
      </c>
      <c r="AW507" s="63" t="str">
        <f aca="false">IF(ISBLANK($C507), "",AC507)</f>
        <v/>
      </c>
      <c r="AX507" s="63" t="str">
        <f aca="false">IF(ISBLANK($C507),"",
IF($AE507=Constants!$B$7,
  COUNTIFS($AR$8:$AR$507,"&lt;"&amp;$AR507)
  + COUNTIFS($AR$8:$AR$507,$AR507,$AT$8:$AT$507,"&lt;"&amp;$AT507)
  + COUNTIFS($AR$8:$AR$507,$AR507,$AT$8:$AT$507,$AT507,$AV$8:$AV$507,"&lt;"&amp;$AV507)
  + COUNTIFS($AR$8:$AR$507,$AR507,$AT$8:$AT$507,$AT507,$AV$8:$AV$507,$AV507,$AW$8:$AW$507,"&lt;"&amp;$AW507)
  + 1,
$AE507))</f>
        <v/>
      </c>
      <c r="AY507" s="63" t="str">
        <f aca="false">IF(ISBLANK(C507),"",IF($AE507=Constants!$B$7, AR507-AX507,$AE507))</f>
        <v/>
      </c>
      <c r="AZ507" s="67"/>
      <c r="BA507" s="81" t="str">
        <f aca="false">IF(ISBLANK($C507),"",TRIM(AI507&amp;" "&amp;AM507))</f>
        <v/>
      </c>
      <c r="BB507" s="69" t="str">
        <f aca="false">IF(ISBLANK($C507),"",IF($AE507&lt;&gt;Constants!$B$7, $AE507 ,AQ507))</f>
        <v/>
      </c>
      <c r="BC507" s="70" t="str">
        <f aca="false">IF(ISBLANK($C507),"",IF($AE507&lt;&gt;Constants!$B$7, $AE507 ,AF507))</f>
        <v/>
      </c>
      <c r="BD507" s="71" t="str">
        <f aca="false">IF(ISBLANK(C507),"",AY507)</f>
        <v/>
      </c>
      <c r="BE507" s="71" t="str">
        <f aca="false">IF(ISBLANK(C507),"",AX507)</f>
        <v/>
      </c>
      <c r="BF507" s="72" t="str">
        <f aca="false">IF(ISBLANK(C507),"",IFERROR(_xlfn.SWITCH(BE507, Constants!$B$4, COUNTA($C$8:$C1006)+2, Constants!$B$5, COUNTA($C$8:$C1006)+1, Constants!$B$6, COUNTA($C$8:$C1006)),BE507))</f>
        <v/>
      </c>
      <c r="BG507" s="5"/>
      <c r="BH507" s="73" t="n">
        <f aca="false">IF(OR(ISNUMBER(BE507),BE507="DQ",BE507="P",BE507="NS"),
    1,
    0
)</f>
        <v>0</v>
      </c>
      <c r="BI507" s="73" t="n">
        <v>500</v>
      </c>
      <c r="BJ507" s="73" t="str">
        <f aca="false">IF(ISBLANK($C507),
    "",
   BF507+ROW($B507)/1000
)</f>
        <v/>
      </c>
      <c r="BK507" s="73" t="str">
        <f aca="false">IF(ISNUMBER(BJ507), RANK(BJ507,BJ$8:BJ$507,1), "")</f>
        <v/>
      </c>
      <c r="BL507" s="73" t="str">
        <f aca="false">IF(ISBLANK($C507),
    "",
    $B507
)</f>
        <v/>
      </c>
      <c r="BM507" s="73" t="str">
        <f aca="false">IF(ISBLANK($C507),
    "",
    $C507
)</f>
        <v/>
      </c>
      <c r="BN507" s="73" t="str">
        <f aca="false">IF(ISBLANK($C507),
    "",
    $D507
)</f>
        <v/>
      </c>
      <c r="BO507" s="74" t="str">
        <f aca="false">BC507</f>
        <v/>
      </c>
      <c r="BP507" s="75" t="str">
        <f aca="false">BB507</f>
        <v/>
      </c>
      <c r="BQ507" s="73" t="str">
        <f aca="false">IF(ISBLANK($C507),
    "",
    BE507
)</f>
        <v/>
      </c>
      <c r="BR507" s="76" t="str">
        <f aca="false">IF(BI507&gt;BH$7,
    "",
    VLOOKUP(BI507,BK$8:BQ1006,7,FALSE())
)</f>
        <v/>
      </c>
      <c r="BS507" s="77" t="str">
        <f aca="false">IF(BI507&gt;BH$7,
    "",
    VLOOKUP(BI507,BK$8:BQ1006,2,FALSE())
)</f>
        <v/>
      </c>
      <c r="BT507" s="77" t="str">
        <f aca="false">IF(BI507&gt;BH$7,
    "",
    VLOOKUP(BI507,BK$8:BQ1006,3,FALSE())
)</f>
        <v/>
      </c>
      <c r="BU507" s="77" t="str">
        <f aca="false">IF(BI507&gt;BH$7,
    "",
    VLOOKUP(BI507,BK$8:BQ1006,4,FALSE())
)</f>
        <v/>
      </c>
      <c r="BV507" s="77" t="str">
        <f aca="false">IF(BI507&gt;BH$7,
    "",
    VLOOKUP(BI507,BK$8:BQ1006,5,FALSE())
)</f>
        <v/>
      </c>
      <c r="BW507" s="78" t="str">
        <f aca="false">IF(BI507&gt;BH$7,
    "",
    VLOOKUP(BI507,BK$8:BQ1006,6,FALSE())
)</f>
        <v/>
      </c>
      <c r="BX507" s="50"/>
    </row>
  </sheetData>
  <mergeCells count="54">
    <mergeCell ref="B2:D3"/>
    <mergeCell ref="I2:N2"/>
    <mergeCell ref="R2:R6"/>
    <mergeCell ref="AZ2:AZ6"/>
    <mergeCell ref="BA2:BF2"/>
    <mergeCell ref="BJ2:BJ7"/>
    <mergeCell ref="BK2:BK7"/>
    <mergeCell ref="BL2:BL7"/>
    <mergeCell ref="BM2:BM7"/>
    <mergeCell ref="BN2:BN7"/>
    <mergeCell ref="BO2:BO7"/>
    <mergeCell ref="BP2:BP7"/>
    <mergeCell ref="BQ2:BQ7"/>
    <mergeCell ref="BR2:BW2"/>
    <mergeCell ref="E3:E7"/>
    <mergeCell ref="F3:F7"/>
    <mergeCell ref="G3:G7"/>
    <mergeCell ref="H3:H7"/>
    <mergeCell ref="I3:I7"/>
    <mergeCell ref="J3:J7"/>
    <mergeCell ref="K3:K7"/>
    <mergeCell ref="L3:L7"/>
    <mergeCell ref="M3:M7"/>
    <mergeCell ref="N3:N7"/>
    <mergeCell ref="O3:O7"/>
    <mergeCell ref="P3:P7"/>
    <mergeCell ref="Q3:Q7"/>
    <mergeCell ref="T3:T7"/>
    <mergeCell ref="U3:U7"/>
    <mergeCell ref="V3:V7"/>
    <mergeCell ref="W3:W7"/>
    <mergeCell ref="X3:X7"/>
    <mergeCell ref="Y3:Y7"/>
    <mergeCell ref="Z3:Z7"/>
    <mergeCell ref="AA3:AA7"/>
    <mergeCell ref="AB3:AB7"/>
    <mergeCell ref="AC3:AC7"/>
    <mergeCell ref="AD3:AD7"/>
    <mergeCell ref="BA3:BA7"/>
    <mergeCell ref="BB3:BB7"/>
    <mergeCell ref="BC3:BC7"/>
    <mergeCell ref="BD3:BD7"/>
    <mergeCell ref="BE3:BE7"/>
    <mergeCell ref="BF3:BF7"/>
    <mergeCell ref="BG3:BG7"/>
    <mergeCell ref="BR3:BR7"/>
    <mergeCell ref="BS3:BS7"/>
    <mergeCell ref="BT3:BT7"/>
    <mergeCell ref="BU3:BU7"/>
    <mergeCell ref="BV3:BV7"/>
    <mergeCell ref="BW3:BW7"/>
    <mergeCell ref="B4:D4"/>
    <mergeCell ref="B5:D5"/>
    <mergeCell ref="B6:D6"/>
  </mergeCells>
  <conditionalFormatting sqref="BE8:BE507">
    <cfRule type="expression" priority="2" aboveAverage="0" equalAverage="0" bottom="0" percent="0" rank="0" text="" dxfId="0">
      <formula>AND(ISNUMBER($BE8),COUNTIF($BE$8:$BE$507,$BE8)&gt;1)</formula>
    </cfRule>
  </conditionalFormatting>
  <conditionalFormatting sqref="G8:K507">
    <cfRule type="cellIs" priority="3" operator="equal" aboveAverage="0" equalAverage="0" bottom="0" percent="0" rank="0" text="" dxfId="1">
      <formula>Constants!$B$3</formula>
    </cfRule>
  </conditionalFormatting>
  <conditionalFormatting sqref="B4:D4">
    <cfRule type="containsText" priority="4" operator="containsText" aboveAverage="0" equalAverage="0" bottom="0" percent="0" rank="0" text="download" dxfId="2">
      <formula>NOT(ISERROR(SEARCH("download",B4)))</formula>
    </cfRule>
  </conditionalFormatting>
  <conditionalFormatting sqref="Q1 Q3:Q507 AD3:AD7">
    <cfRule type="cellIs" priority="5" operator="equal" aboveAverage="0" equalAverage="0" bottom="0" percent="0" rank="0" text="" dxfId="1">
      <formula>Constants!$B$2</formula>
    </cfRule>
  </conditionalFormatting>
  <conditionalFormatting sqref="BA8:BA507">
    <cfRule type="expression" priority="6" aboveAverage="0" equalAverage="0" bottom="0" percent="0" rank="0" text="" dxfId="1">
      <formula>LEN(BA8)&gt;0</formula>
    </cfRule>
  </conditionalFormatting>
  <conditionalFormatting sqref="L8:L507">
    <cfRule type="expression" priority="7" aboveAverage="0" equalAverage="0" bottom="0" percent="0" rank="0" text="" dxfId="3">
      <formula>AND(ISBLANK(L8),LEN($BA8)&gt;0)</formula>
    </cfRule>
  </conditionalFormatting>
  <conditionalFormatting sqref="N8:N507">
    <cfRule type="expression" priority="8" aboveAverage="0" equalAverage="0" bottom="0" percent="0" rank="0" text="" dxfId="3">
      <formula>AND(OR(ISBLANK(N8),N8=0),LEN($BA8)&gt;0)</formula>
    </cfRule>
  </conditionalFormatting>
  <dataValidations count="3">
    <dataValidation allowBlank="true" errorStyle="stop" operator="greaterThanOrEqual" showDropDown="true" showErrorMessage="false" showInputMessage="false" sqref="E8:F507 L8:P507" type="decimal">
      <formula1>0</formula1>
      <formula2>0</formula2>
    </dataValidation>
    <dataValidation allowBlank="true" errorStyle="stop" operator="between" prompt="True (T)/False (F)" showDropDown="false" showErrorMessage="true" showInputMessage="true" sqref="I8:K507 Q8:Q507" type="list">
      <formula1>"T,F"</formula1>
      <formula2>0</formula2>
    </dataValidation>
    <dataValidation allowBlank="true" errorStyle="stop" operator="greaterThanOrEqual" prompt="True (T)/False (F)" showDropDown="false" showErrorMessage="false" showInputMessage="true" sqref="G8:H507" type="list">
      <formula1>"T,F"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9.91"/>
  </cols>
  <sheetData>
    <row r="1" customFormat="false" ht="15.75" hidden="false" customHeight="false" outlineLevel="0" collapsed="false">
      <c r="A1" s="127" t="s">
        <v>59</v>
      </c>
      <c r="B1" s="127" t="s">
        <v>60</v>
      </c>
    </row>
    <row r="2" customFormat="false" ht="15.75" hidden="false" customHeight="false" outlineLevel="0" collapsed="false">
      <c r="A2" s="127" t="b">
        <f aca="false">TRUE()</f>
        <v>1</v>
      </c>
      <c r="B2" s="127" t="s">
        <v>61</v>
      </c>
    </row>
    <row r="3" customFormat="false" ht="15.75" hidden="false" customHeight="false" outlineLevel="0" collapsed="false">
      <c r="A3" s="127" t="b">
        <f aca="false">FALSE()</f>
        <v>0</v>
      </c>
      <c r="B3" s="127" t="s">
        <v>62</v>
      </c>
    </row>
    <row r="4" customFormat="false" ht="15.75" hidden="false" customHeight="false" outlineLevel="0" collapsed="false">
      <c r="A4" s="127" t="s">
        <v>63</v>
      </c>
      <c r="B4" s="127" t="s">
        <v>64</v>
      </c>
    </row>
    <row r="5" customFormat="false" ht="15.75" hidden="false" customHeight="false" outlineLevel="0" collapsed="false">
      <c r="A5" s="127" t="s">
        <v>65</v>
      </c>
      <c r="B5" s="127" t="s">
        <v>66</v>
      </c>
    </row>
    <row r="6" customFormat="false" ht="15.75" hidden="false" customHeight="false" outlineLevel="0" collapsed="false">
      <c r="A6" s="127" t="s">
        <v>67</v>
      </c>
      <c r="B6" s="127" t="s">
        <v>68</v>
      </c>
    </row>
    <row r="7" customFormat="false" ht="15.75" hidden="false" customHeight="false" outlineLevel="0" collapsed="false">
      <c r="A7" s="127" t="s">
        <v>69</v>
      </c>
      <c r="B7" s="127" t="s">
        <v>70</v>
      </c>
    </row>
    <row r="8" customFormat="false" ht="15.75" hidden="false" customHeight="false" outlineLevel="0" collapsed="false">
      <c r="A8" s="128" t="s">
        <v>71</v>
      </c>
      <c r="B8" s="127" t="n">
        <v>50</v>
      </c>
    </row>
    <row r="9" customFormat="false" ht="15.75" hidden="false" customHeight="true" outlineLevel="0" collapsed="false">
      <c r="A9" s="128" t="s">
        <v>72</v>
      </c>
      <c r="B9" s="128" t="n">
        <v>30</v>
      </c>
    </row>
    <row r="10" customFormat="false" ht="15.75" hidden="false" customHeight="true" outlineLevel="0" collapsed="false">
      <c r="A10" s="128" t="s">
        <v>73</v>
      </c>
      <c r="B10" s="128" t="n">
        <v>20</v>
      </c>
    </row>
    <row r="11" customFormat="false" ht="15.75" hidden="false" customHeight="true" outlineLevel="0" collapsed="false">
      <c r="A11" s="128" t="s">
        <v>74</v>
      </c>
      <c r="B11" s="128" t="n">
        <v>0.7</v>
      </c>
    </row>
    <row r="12" customFormat="false" ht="15.75" hidden="false" customHeight="true" outlineLevel="0" collapsed="false">
      <c r="A12" s="128" t="s">
        <v>75</v>
      </c>
      <c r="B12" s="128" t="n">
        <v>0.9</v>
      </c>
    </row>
    <row r="13" customFormat="false" ht="15.75" hidden="false" customHeight="true" outlineLevel="0" collapsed="false">
      <c r="A13" s="1" t="s">
        <v>76</v>
      </c>
      <c r="B13" s="1" t="n">
        <v>1</v>
      </c>
    </row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2.6328125" defaultRowHeight="15.75" customHeight="true" zeroHeight="false" outlineLevelRow="0" outlineLevelCol="0"/>
  <sheetData>
    <row r="1" customFormat="false" ht="24.75" hidden="false" customHeight="true" outlineLevel="0" collapsed="false">
      <c r="A1" s="129" t="s">
        <v>33</v>
      </c>
      <c r="B1" s="129" t="s">
        <v>34</v>
      </c>
      <c r="C1" s="129" t="s">
        <v>35</v>
      </c>
      <c r="D1" s="129" t="s">
        <v>41</v>
      </c>
      <c r="E1" s="129" t="s">
        <v>28</v>
      </c>
      <c r="F1" s="129" t="s">
        <v>30</v>
      </c>
      <c r="G1" s="129" t="s">
        <v>29</v>
      </c>
      <c r="H1" s="129" t="s">
        <v>32</v>
      </c>
      <c r="I1" s="129" t="s">
        <v>31</v>
      </c>
    </row>
    <row r="2" customFormat="false" ht="15.75" hidden="false" customHeight="false" outlineLevel="0" collapsed="false">
      <c r="A2" s="130" t="n">
        <f aca="false">ExportRaw!$F2</f>
        <v>0</v>
      </c>
      <c r="B2" s="130" t="n">
        <f aca="false">ExportRaw!$C2</f>
        <v>0</v>
      </c>
      <c r="C2" s="130" t="n">
        <f aca="false">ExportRaw!$G2</f>
        <v>0</v>
      </c>
      <c r="D2" s="130" t="str">
        <f aca="false">ExportRaw!$E2</f>
        <v/>
      </c>
      <c r="E2" s="131" t="str">
        <f aca="false">ExportRaw!$D2</f>
        <v/>
      </c>
      <c r="F2" s="130" t="str">
        <f aca="false">ExportRaw!$H2</f>
        <v/>
      </c>
      <c r="G2" s="132" t="str">
        <f aca="false">ExportRaw!$I2</f>
        <v/>
      </c>
      <c r="H2" s="130" t="str">
        <f aca="false">ExportRaw!$A2</f>
        <v/>
      </c>
      <c r="I2" s="130" t="str">
        <f aca="false">ExportRaw!$B2</f>
        <v/>
      </c>
    </row>
    <row r="3" customFormat="false" ht="15.75" hidden="false" customHeight="false" outlineLevel="0" collapsed="false">
      <c r="A3" s="130" t="n">
        <f aca="false">ExportRaw!$F3</f>
        <v>0</v>
      </c>
      <c r="B3" s="130" t="n">
        <f aca="false">ExportRaw!$C3</f>
        <v>0</v>
      </c>
      <c r="C3" s="130" t="n">
        <f aca="false">ExportRaw!$G3</f>
        <v>0</v>
      </c>
      <c r="D3" s="130" t="str">
        <f aca="false">ExportRaw!$E3</f>
        <v/>
      </c>
      <c r="E3" s="131" t="str">
        <f aca="false">ExportRaw!$D3</f>
        <v/>
      </c>
      <c r="F3" s="130" t="str">
        <f aca="false">ExportRaw!$H3</f>
        <v/>
      </c>
      <c r="G3" s="132" t="str">
        <f aca="false">ExportRaw!$I3</f>
        <v/>
      </c>
      <c r="H3" s="130" t="str">
        <f aca="false">ExportRaw!$A3</f>
        <v/>
      </c>
      <c r="I3" s="130" t="str">
        <f aca="false">ExportRaw!$B3</f>
        <v/>
      </c>
    </row>
    <row r="4" customFormat="false" ht="15.75" hidden="false" customHeight="false" outlineLevel="0" collapsed="false">
      <c r="A4" s="130" t="n">
        <f aca="false">ExportRaw!$F4</f>
        <v>0</v>
      </c>
      <c r="B4" s="130" t="n">
        <f aca="false">ExportRaw!$C4</f>
        <v>0</v>
      </c>
      <c r="C4" s="130" t="n">
        <f aca="false">ExportRaw!$G4</f>
        <v>0</v>
      </c>
      <c r="D4" s="130" t="str">
        <f aca="false">ExportRaw!$E4</f>
        <v/>
      </c>
      <c r="E4" s="131" t="str">
        <f aca="false">ExportRaw!$D4</f>
        <v/>
      </c>
      <c r="F4" s="130" t="str">
        <f aca="false">ExportRaw!$H4</f>
        <v/>
      </c>
      <c r="G4" s="132" t="str">
        <f aca="false">ExportRaw!$I4</f>
        <v/>
      </c>
      <c r="H4" s="130" t="str">
        <f aca="false">ExportRaw!$A4</f>
        <v/>
      </c>
      <c r="I4" s="130" t="str">
        <f aca="false">ExportRaw!$B4</f>
        <v/>
      </c>
    </row>
    <row r="5" customFormat="false" ht="15.75" hidden="false" customHeight="false" outlineLevel="0" collapsed="false">
      <c r="A5" s="130" t="n">
        <f aca="false">ExportRaw!$F5</f>
        <v>0</v>
      </c>
      <c r="B5" s="130" t="n">
        <f aca="false">ExportRaw!$C5</f>
        <v>0</v>
      </c>
      <c r="C5" s="130" t="n">
        <f aca="false">ExportRaw!$G5</f>
        <v>0</v>
      </c>
      <c r="D5" s="130" t="str">
        <f aca="false">ExportRaw!$E5</f>
        <v/>
      </c>
      <c r="E5" s="131" t="str">
        <f aca="false">ExportRaw!$D5</f>
        <v/>
      </c>
      <c r="F5" s="130" t="str">
        <f aca="false">ExportRaw!$H5</f>
        <v/>
      </c>
      <c r="G5" s="132" t="str">
        <f aca="false">ExportRaw!$I5</f>
        <v/>
      </c>
      <c r="H5" s="130" t="str">
        <f aca="false">ExportRaw!$A5</f>
        <v/>
      </c>
      <c r="I5" s="130" t="str">
        <f aca="false">ExportRaw!$B5</f>
        <v/>
      </c>
    </row>
    <row r="6" customFormat="false" ht="15.75" hidden="false" customHeight="false" outlineLevel="0" collapsed="false">
      <c r="A6" s="130" t="n">
        <f aca="false">ExportRaw!$F6</f>
        <v>0</v>
      </c>
      <c r="B6" s="130" t="n">
        <f aca="false">ExportRaw!$C6</f>
        <v>0</v>
      </c>
      <c r="C6" s="130" t="n">
        <f aca="false">ExportRaw!$G6</f>
        <v>0</v>
      </c>
      <c r="D6" s="130" t="str">
        <f aca="false">ExportRaw!$E6</f>
        <v/>
      </c>
      <c r="E6" s="131" t="str">
        <f aca="false">ExportRaw!$D6</f>
        <v/>
      </c>
      <c r="F6" s="130" t="str">
        <f aca="false">ExportRaw!$H6</f>
        <v/>
      </c>
      <c r="G6" s="132" t="str">
        <f aca="false">ExportRaw!$I6</f>
        <v/>
      </c>
      <c r="H6" s="130" t="str">
        <f aca="false">ExportRaw!$A6</f>
        <v/>
      </c>
      <c r="I6" s="130" t="str">
        <f aca="false">ExportRaw!$B6</f>
        <v/>
      </c>
    </row>
    <row r="7" customFormat="false" ht="15.75" hidden="false" customHeight="false" outlineLevel="0" collapsed="false">
      <c r="A7" s="130" t="n">
        <f aca="false">ExportRaw!$F7</f>
        <v>0</v>
      </c>
      <c r="B7" s="130" t="n">
        <f aca="false">ExportRaw!$C7</f>
        <v>0</v>
      </c>
      <c r="C7" s="130" t="n">
        <f aca="false">ExportRaw!$G7</f>
        <v>0</v>
      </c>
      <c r="D7" s="130" t="str">
        <f aca="false">ExportRaw!$E7</f>
        <v/>
      </c>
      <c r="E7" s="131" t="str">
        <f aca="false">ExportRaw!$D7</f>
        <v/>
      </c>
      <c r="F7" s="130" t="str">
        <f aca="false">ExportRaw!$H7</f>
        <v/>
      </c>
      <c r="G7" s="132" t="str">
        <f aca="false">ExportRaw!$I7</f>
        <v/>
      </c>
      <c r="H7" s="130" t="str">
        <f aca="false">ExportRaw!$A7</f>
        <v/>
      </c>
      <c r="I7" s="130" t="str">
        <f aca="false">ExportRaw!$B7</f>
        <v/>
      </c>
    </row>
    <row r="8" customFormat="false" ht="15.75" hidden="false" customHeight="false" outlineLevel="0" collapsed="false">
      <c r="A8" s="130" t="n">
        <f aca="false">ExportRaw!$F8</f>
        <v>0</v>
      </c>
      <c r="B8" s="130" t="n">
        <f aca="false">ExportRaw!$C8</f>
        <v>0</v>
      </c>
      <c r="C8" s="130" t="n">
        <f aca="false">ExportRaw!$G8</f>
        <v>0</v>
      </c>
      <c r="D8" s="130" t="str">
        <f aca="false">ExportRaw!$E8</f>
        <v/>
      </c>
      <c r="E8" s="131" t="str">
        <f aca="false">ExportRaw!$D8</f>
        <v/>
      </c>
      <c r="F8" s="130" t="str">
        <f aca="false">ExportRaw!$H8</f>
        <v/>
      </c>
      <c r="G8" s="132" t="str">
        <f aca="false">ExportRaw!$I8</f>
        <v/>
      </c>
      <c r="H8" s="130" t="str">
        <f aca="false">ExportRaw!$A8</f>
        <v/>
      </c>
      <c r="I8" s="130" t="str">
        <f aca="false">ExportRaw!$B8</f>
        <v/>
      </c>
    </row>
    <row r="9" customFormat="false" ht="15.75" hidden="false" customHeight="false" outlineLevel="0" collapsed="false">
      <c r="A9" s="130" t="n">
        <f aca="false">ExportRaw!$F9</f>
        <v>0</v>
      </c>
      <c r="B9" s="130" t="n">
        <f aca="false">ExportRaw!$C9</f>
        <v>0</v>
      </c>
      <c r="C9" s="130" t="n">
        <f aca="false">ExportRaw!$G9</f>
        <v>0</v>
      </c>
      <c r="D9" s="130" t="str">
        <f aca="false">ExportRaw!$E9</f>
        <v/>
      </c>
      <c r="E9" s="131" t="str">
        <f aca="false">ExportRaw!$D9</f>
        <v/>
      </c>
      <c r="F9" s="130" t="str">
        <f aca="false">ExportRaw!$H9</f>
        <v/>
      </c>
      <c r="G9" s="132" t="str">
        <f aca="false">ExportRaw!$I9</f>
        <v/>
      </c>
      <c r="H9" s="130" t="str">
        <f aca="false">ExportRaw!$A9</f>
        <v/>
      </c>
      <c r="I9" s="130" t="str">
        <f aca="false">ExportRaw!$B9</f>
        <v/>
      </c>
    </row>
    <row r="10" customFormat="false" ht="15.75" hidden="false" customHeight="false" outlineLevel="0" collapsed="false">
      <c r="A10" s="130" t="n">
        <f aca="false">ExportRaw!$F10</f>
        <v>0</v>
      </c>
      <c r="B10" s="130" t="n">
        <f aca="false">ExportRaw!$C10</f>
        <v>0</v>
      </c>
      <c r="C10" s="130" t="n">
        <f aca="false">ExportRaw!$G10</f>
        <v>0</v>
      </c>
      <c r="D10" s="130" t="str">
        <f aca="false">ExportRaw!$E10</f>
        <v/>
      </c>
      <c r="E10" s="131" t="str">
        <f aca="false">ExportRaw!$D10</f>
        <v/>
      </c>
      <c r="F10" s="130" t="str">
        <f aca="false">ExportRaw!$H10</f>
        <v/>
      </c>
      <c r="G10" s="132" t="str">
        <f aca="false">ExportRaw!$I10</f>
        <v/>
      </c>
      <c r="H10" s="130" t="str">
        <f aca="false">ExportRaw!$A10</f>
        <v/>
      </c>
      <c r="I10" s="130" t="str">
        <f aca="false">ExportRaw!$B10</f>
        <v/>
      </c>
    </row>
    <row r="11" customFormat="false" ht="15.75" hidden="false" customHeight="false" outlineLevel="0" collapsed="false">
      <c r="A11" s="130" t="n">
        <f aca="false">ExportRaw!$F11</f>
        <v>0</v>
      </c>
      <c r="B11" s="130" t="n">
        <f aca="false">ExportRaw!$C11</f>
        <v>0</v>
      </c>
      <c r="C11" s="130" t="n">
        <f aca="false">ExportRaw!$G11</f>
        <v>0</v>
      </c>
      <c r="D11" s="130" t="str">
        <f aca="false">ExportRaw!$E11</f>
        <v/>
      </c>
      <c r="E11" s="131" t="str">
        <f aca="false">ExportRaw!$D11</f>
        <v/>
      </c>
      <c r="F11" s="130" t="str">
        <f aca="false">ExportRaw!$H11</f>
        <v/>
      </c>
      <c r="G11" s="132" t="str">
        <f aca="false">ExportRaw!$I11</f>
        <v/>
      </c>
      <c r="H11" s="130" t="str">
        <f aca="false">ExportRaw!$A11</f>
        <v/>
      </c>
      <c r="I11" s="130" t="str">
        <f aca="false">ExportRaw!$B11</f>
        <v/>
      </c>
    </row>
    <row r="12" customFormat="false" ht="15.75" hidden="false" customHeight="false" outlineLevel="0" collapsed="false">
      <c r="A12" s="130" t="n">
        <f aca="false">ExportRaw!$F12</f>
        <v>0</v>
      </c>
      <c r="B12" s="130" t="n">
        <f aca="false">ExportRaw!$C12</f>
        <v>0</v>
      </c>
      <c r="C12" s="130" t="n">
        <f aca="false">ExportRaw!$G12</f>
        <v>0</v>
      </c>
      <c r="D12" s="130" t="str">
        <f aca="false">ExportRaw!$E12</f>
        <v/>
      </c>
      <c r="E12" s="131" t="str">
        <f aca="false">ExportRaw!$D12</f>
        <v/>
      </c>
      <c r="F12" s="130" t="str">
        <f aca="false">ExportRaw!$H12</f>
        <v/>
      </c>
      <c r="G12" s="132" t="str">
        <f aca="false">ExportRaw!$I12</f>
        <v/>
      </c>
      <c r="H12" s="130" t="str">
        <f aca="false">ExportRaw!$A12</f>
        <v/>
      </c>
      <c r="I12" s="130" t="str">
        <f aca="false">ExportRaw!$B12</f>
        <v/>
      </c>
    </row>
    <row r="13" customFormat="false" ht="15.75" hidden="false" customHeight="false" outlineLevel="0" collapsed="false">
      <c r="A13" s="130" t="n">
        <f aca="false">ExportRaw!$F13</f>
        <v>0</v>
      </c>
      <c r="B13" s="130" t="n">
        <f aca="false">ExportRaw!$C13</f>
        <v>0</v>
      </c>
      <c r="C13" s="130" t="n">
        <f aca="false">ExportRaw!$G13</f>
        <v>0</v>
      </c>
      <c r="D13" s="130" t="str">
        <f aca="false">ExportRaw!$E13</f>
        <v/>
      </c>
      <c r="E13" s="131" t="str">
        <f aca="false">ExportRaw!$D13</f>
        <v/>
      </c>
      <c r="F13" s="130" t="str">
        <f aca="false">ExportRaw!$H13</f>
        <v/>
      </c>
      <c r="G13" s="132" t="str">
        <f aca="false">ExportRaw!$I13</f>
        <v/>
      </c>
      <c r="H13" s="130" t="str">
        <f aca="false">ExportRaw!$A13</f>
        <v/>
      </c>
      <c r="I13" s="130" t="str">
        <f aca="false">ExportRaw!$B13</f>
        <v/>
      </c>
    </row>
    <row r="14" customFormat="false" ht="15.75" hidden="false" customHeight="false" outlineLevel="0" collapsed="false">
      <c r="A14" s="130" t="n">
        <f aca="false">ExportRaw!$F14</f>
        <v>0</v>
      </c>
      <c r="B14" s="130" t="n">
        <f aca="false">ExportRaw!$C14</f>
        <v>0</v>
      </c>
      <c r="C14" s="130" t="n">
        <f aca="false">ExportRaw!$G14</f>
        <v>0</v>
      </c>
      <c r="D14" s="130" t="str">
        <f aca="false">ExportRaw!$E14</f>
        <v/>
      </c>
      <c r="E14" s="131" t="str">
        <f aca="false">ExportRaw!$D14</f>
        <v/>
      </c>
      <c r="F14" s="130" t="str">
        <f aca="false">ExportRaw!$H14</f>
        <v/>
      </c>
      <c r="G14" s="132" t="str">
        <f aca="false">ExportRaw!$I14</f>
        <v/>
      </c>
      <c r="H14" s="130" t="str">
        <f aca="false">ExportRaw!$A14</f>
        <v/>
      </c>
      <c r="I14" s="130" t="str">
        <f aca="false">ExportRaw!$B14</f>
        <v/>
      </c>
    </row>
    <row r="15" customFormat="false" ht="15.75" hidden="false" customHeight="false" outlineLevel="0" collapsed="false">
      <c r="A15" s="130" t="n">
        <f aca="false">ExportRaw!$F15</f>
        <v>0</v>
      </c>
      <c r="B15" s="130" t="n">
        <f aca="false">ExportRaw!$C15</f>
        <v>0</v>
      </c>
      <c r="C15" s="130" t="n">
        <f aca="false">ExportRaw!$G15</f>
        <v>0</v>
      </c>
      <c r="D15" s="130" t="str">
        <f aca="false">ExportRaw!$E15</f>
        <v/>
      </c>
      <c r="E15" s="131" t="str">
        <f aca="false">ExportRaw!$D15</f>
        <v/>
      </c>
      <c r="F15" s="130" t="str">
        <f aca="false">ExportRaw!$H15</f>
        <v/>
      </c>
      <c r="G15" s="132" t="str">
        <f aca="false">ExportRaw!$I15</f>
        <v/>
      </c>
      <c r="H15" s="130" t="str">
        <f aca="false">ExportRaw!$A15</f>
        <v/>
      </c>
      <c r="I15" s="130" t="str">
        <f aca="false">ExportRaw!$B15</f>
        <v/>
      </c>
    </row>
    <row r="16" customFormat="false" ht="15.75" hidden="false" customHeight="false" outlineLevel="0" collapsed="false">
      <c r="A16" s="130" t="n">
        <f aca="false">ExportRaw!$F16</f>
        <v>0</v>
      </c>
      <c r="B16" s="130" t="n">
        <f aca="false">ExportRaw!$C16</f>
        <v>0</v>
      </c>
      <c r="C16" s="130" t="n">
        <f aca="false">ExportRaw!$G16</f>
        <v>0</v>
      </c>
      <c r="D16" s="130" t="str">
        <f aca="false">ExportRaw!$E16</f>
        <v/>
      </c>
      <c r="E16" s="131" t="str">
        <f aca="false">ExportRaw!$D16</f>
        <v/>
      </c>
      <c r="F16" s="130" t="str">
        <f aca="false">ExportRaw!$H16</f>
        <v/>
      </c>
      <c r="G16" s="132" t="str">
        <f aca="false">ExportRaw!$I16</f>
        <v/>
      </c>
      <c r="H16" s="130" t="str">
        <f aca="false">ExportRaw!$A16</f>
        <v/>
      </c>
      <c r="I16" s="130" t="str">
        <f aca="false">ExportRaw!$B16</f>
        <v/>
      </c>
    </row>
    <row r="17" customFormat="false" ht="15.75" hidden="false" customHeight="false" outlineLevel="0" collapsed="false">
      <c r="A17" s="130" t="n">
        <f aca="false">ExportRaw!$F17</f>
        <v>0</v>
      </c>
      <c r="B17" s="130" t="n">
        <f aca="false">ExportRaw!$C17</f>
        <v>0</v>
      </c>
      <c r="C17" s="130" t="n">
        <f aca="false">ExportRaw!$G17</f>
        <v>0</v>
      </c>
      <c r="D17" s="130" t="str">
        <f aca="false">ExportRaw!$E17</f>
        <v/>
      </c>
      <c r="E17" s="131" t="str">
        <f aca="false">ExportRaw!$D17</f>
        <v/>
      </c>
      <c r="F17" s="130" t="str">
        <f aca="false">ExportRaw!$H17</f>
        <v/>
      </c>
      <c r="G17" s="132" t="str">
        <f aca="false">ExportRaw!$I17</f>
        <v/>
      </c>
      <c r="H17" s="130" t="str">
        <f aca="false">ExportRaw!$A17</f>
        <v/>
      </c>
      <c r="I17" s="130" t="str">
        <f aca="false">ExportRaw!$B17</f>
        <v/>
      </c>
    </row>
    <row r="18" customFormat="false" ht="15.75" hidden="false" customHeight="false" outlineLevel="0" collapsed="false">
      <c r="A18" s="130" t="n">
        <f aca="false">ExportRaw!$F18</f>
        <v>0</v>
      </c>
      <c r="B18" s="130" t="n">
        <f aca="false">ExportRaw!$C18</f>
        <v>0</v>
      </c>
      <c r="C18" s="130" t="n">
        <f aca="false">ExportRaw!$G18</f>
        <v>0</v>
      </c>
      <c r="D18" s="130" t="str">
        <f aca="false">ExportRaw!$E18</f>
        <v/>
      </c>
      <c r="E18" s="131" t="str">
        <f aca="false">ExportRaw!$D18</f>
        <v/>
      </c>
      <c r="F18" s="130" t="str">
        <f aca="false">ExportRaw!$H18</f>
        <v/>
      </c>
      <c r="G18" s="132" t="str">
        <f aca="false">ExportRaw!$I18</f>
        <v/>
      </c>
      <c r="H18" s="130" t="str">
        <f aca="false">ExportRaw!$A18</f>
        <v/>
      </c>
      <c r="I18" s="130" t="str">
        <f aca="false">ExportRaw!$B18</f>
        <v/>
      </c>
    </row>
    <row r="19" customFormat="false" ht="15.75" hidden="false" customHeight="false" outlineLevel="0" collapsed="false">
      <c r="A19" s="130" t="n">
        <f aca="false">ExportRaw!$F19</f>
        <v>0</v>
      </c>
      <c r="B19" s="130" t="n">
        <f aca="false">ExportRaw!$C19</f>
        <v>0</v>
      </c>
      <c r="C19" s="130" t="n">
        <f aca="false">ExportRaw!$G19</f>
        <v>0</v>
      </c>
      <c r="D19" s="130" t="str">
        <f aca="false">ExportRaw!$E19</f>
        <v/>
      </c>
      <c r="E19" s="131" t="str">
        <f aca="false">ExportRaw!$D19</f>
        <v/>
      </c>
      <c r="F19" s="130" t="str">
        <f aca="false">ExportRaw!$H19</f>
        <v/>
      </c>
      <c r="G19" s="132" t="str">
        <f aca="false">ExportRaw!$I19</f>
        <v/>
      </c>
      <c r="H19" s="130" t="str">
        <f aca="false">ExportRaw!$A19</f>
        <v/>
      </c>
      <c r="I19" s="130" t="str">
        <f aca="false">ExportRaw!$B19</f>
        <v/>
      </c>
    </row>
    <row r="20" customFormat="false" ht="15.75" hidden="false" customHeight="false" outlineLevel="0" collapsed="false">
      <c r="A20" s="130" t="n">
        <f aca="false">ExportRaw!$F20</f>
        <v>0</v>
      </c>
      <c r="B20" s="130" t="n">
        <f aca="false">ExportRaw!$C20</f>
        <v>0</v>
      </c>
      <c r="C20" s="130" t="n">
        <f aca="false">ExportRaw!$G20</f>
        <v>0</v>
      </c>
      <c r="D20" s="130" t="str">
        <f aca="false">ExportRaw!$E20</f>
        <v/>
      </c>
      <c r="E20" s="131" t="str">
        <f aca="false">ExportRaw!$D20</f>
        <v/>
      </c>
      <c r="F20" s="130" t="str">
        <f aca="false">ExportRaw!$H20</f>
        <v/>
      </c>
      <c r="G20" s="132" t="str">
        <f aca="false">ExportRaw!$I20</f>
        <v/>
      </c>
      <c r="H20" s="130" t="str">
        <f aca="false">ExportRaw!$A20</f>
        <v/>
      </c>
      <c r="I20" s="130" t="str">
        <f aca="false">ExportRaw!$B20</f>
        <v/>
      </c>
    </row>
    <row r="21" customFormat="false" ht="15.75" hidden="false" customHeight="false" outlineLevel="0" collapsed="false">
      <c r="A21" s="130" t="n">
        <f aca="false">ExportRaw!$F21</f>
        <v>0</v>
      </c>
      <c r="B21" s="130" t="n">
        <f aca="false">ExportRaw!$C21</f>
        <v>0</v>
      </c>
      <c r="C21" s="130" t="n">
        <f aca="false">ExportRaw!$G21</f>
        <v>0</v>
      </c>
      <c r="D21" s="130" t="str">
        <f aca="false">ExportRaw!$E21</f>
        <v/>
      </c>
      <c r="E21" s="131" t="str">
        <f aca="false">ExportRaw!$D21</f>
        <v/>
      </c>
      <c r="F21" s="130" t="str">
        <f aca="false">ExportRaw!$H21</f>
        <v/>
      </c>
      <c r="G21" s="132" t="str">
        <f aca="false">ExportRaw!$I21</f>
        <v/>
      </c>
      <c r="H21" s="130" t="str">
        <f aca="false">ExportRaw!$A21</f>
        <v/>
      </c>
      <c r="I21" s="130" t="str">
        <f aca="false">ExportRaw!$B21</f>
        <v/>
      </c>
    </row>
    <row r="22" customFormat="false" ht="15.75" hidden="false" customHeight="false" outlineLevel="0" collapsed="false">
      <c r="A22" s="130" t="n">
        <f aca="false">ExportRaw!$F22</f>
        <v>0</v>
      </c>
      <c r="B22" s="130" t="n">
        <f aca="false">ExportRaw!$C22</f>
        <v>0</v>
      </c>
      <c r="C22" s="130" t="n">
        <f aca="false">ExportRaw!$G22</f>
        <v>0</v>
      </c>
      <c r="D22" s="130" t="str">
        <f aca="false">ExportRaw!$E22</f>
        <v/>
      </c>
      <c r="E22" s="131" t="str">
        <f aca="false">ExportRaw!$D22</f>
        <v/>
      </c>
      <c r="F22" s="130" t="str">
        <f aca="false">ExportRaw!$H22</f>
        <v/>
      </c>
      <c r="G22" s="132" t="str">
        <f aca="false">ExportRaw!$I22</f>
        <v/>
      </c>
      <c r="H22" s="130" t="str">
        <f aca="false">ExportRaw!$A22</f>
        <v/>
      </c>
      <c r="I22" s="130" t="str">
        <f aca="false">ExportRaw!$B22</f>
        <v/>
      </c>
    </row>
    <row r="23" customFormat="false" ht="15.75" hidden="false" customHeight="false" outlineLevel="0" collapsed="false">
      <c r="A23" s="130" t="n">
        <f aca="false">ExportRaw!$F23</f>
        <v>0</v>
      </c>
      <c r="B23" s="130" t="n">
        <f aca="false">ExportRaw!$C23</f>
        <v>0</v>
      </c>
      <c r="C23" s="130" t="n">
        <f aca="false">ExportRaw!$G23</f>
        <v>0</v>
      </c>
      <c r="D23" s="130" t="str">
        <f aca="false">ExportRaw!$E23</f>
        <v/>
      </c>
      <c r="E23" s="131" t="str">
        <f aca="false">ExportRaw!$D23</f>
        <v/>
      </c>
      <c r="F23" s="130" t="str">
        <f aca="false">ExportRaw!$H23</f>
        <v/>
      </c>
      <c r="G23" s="132" t="str">
        <f aca="false">ExportRaw!$I23</f>
        <v/>
      </c>
      <c r="H23" s="130" t="str">
        <f aca="false">ExportRaw!$A23</f>
        <v/>
      </c>
      <c r="I23" s="130" t="str">
        <f aca="false">ExportRaw!$B23</f>
        <v/>
      </c>
    </row>
    <row r="24" customFormat="false" ht="15.75" hidden="false" customHeight="false" outlineLevel="0" collapsed="false">
      <c r="A24" s="130" t="n">
        <f aca="false">ExportRaw!$F24</f>
        <v>0</v>
      </c>
      <c r="B24" s="130" t="n">
        <f aca="false">ExportRaw!$C24</f>
        <v>0</v>
      </c>
      <c r="C24" s="130" t="n">
        <f aca="false">ExportRaw!$G24</f>
        <v>0</v>
      </c>
      <c r="D24" s="130" t="str">
        <f aca="false">ExportRaw!$E24</f>
        <v/>
      </c>
      <c r="E24" s="131" t="str">
        <f aca="false">ExportRaw!$D24</f>
        <v/>
      </c>
      <c r="F24" s="130" t="str">
        <f aca="false">ExportRaw!$H24</f>
        <v/>
      </c>
      <c r="G24" s="132" t="str">
        <f aca="false">ExportRaw!$I24</f>
        <v/>
      </c>
      <c r="H24" s="130" t="str">
        <f aca="false">ExportRaw!$A24</f>
        <v/>
      </c>
      <c r="I24" s="130" t="str">
        <f aca="false">ExportRaw!$B24</f>
        <v/>
      </c>
    </row>
    <row r="25" customFormat="false" ht="15.75" hidden="false" customHeight="false" outlineLevel="0" collapsed="false">
      <c r="A25" s="130" t="n">
        <f aca="false">ExportRaw!$F25</f>
        <v>0</v>
      </c>
      <c r="B25" s="130" t="n">
        <f aca="false">ExportRaw!$C25</f>
        <v>0</v>
      </c>
      <c r="C25" s="130" t="n">
        <f aca="false">ExportRaw!$G25</f>
        <v>0</v>
      </c>
      <c r="D25" s="130" t="str">
        <f aca="false">ExportRaw!$E25</f>
        <v/>
      </c>
      <c r="E25" s="131" t="str">
        <f aca="false">ExportRaw!$D25</f>
        <v/>
      </c>
      <c r="F25" s="130" t="str">
        <f aca="false">ExportRaw!$H25</f>
        <v/>
      </c>
      <c r="G25" s="132" t="str">
        <f aca="false">ExportRaw!$I25</f>
        <v/>
      </c>
      <c r="H25" s="130" t="str">
        <f aca="false">ExportRaw!$A25</f>
        <v/>
      </c>
      <c r="I25" s="130" t="str">
        <f aca="false">ExportRaw!$B25</f>
        <v/>
      </c>
    </row>
    <row r="26" customFormat="false" ht="15.75" hidden="false" customHeight="false" outlineLevel="0" collapsed="false">
      <c r="A26" s="130" t="n">
        <f aca="false">ExportRaw!$F26</f>
        <v>0</v>
      </c>
      <c r="B26" s="130" t="n">
        <f aca="false">ExportRaw!$C26</f>
        <v>0</v>
      </c>
      <c r="C26" s="130" t="n">
        <f aca="false">ExportRaw!$G26</f>
        <v>0</v>
      </c>
      <c r="D26" s="130" t="str">
        <f aca="false">ExportRaw!$E26</f>
        <v/>
      </c>
      <c r="E26" s="131" t="str">
        <f aca="false">ExportRaw!$D26</f>
        <v/>
      </c>
      <c r="F26" s="130" t="str">
        <f aca="false">ExportRaw!$H26</f>
        <v/>
      </c>
      <c r="G26" s="132" t="str">
        <f aca="false">ExportRaw!$I26</f>
        <v/>
      </c>
      <c r="H26" s="130" t="str">
        <f aca="false">ExportRaw!$A26</f>
        <v/>
      </c>
      <c r="I26" s="130" t="str">
        <f aca="false">ExportRaw!$B26</f>
        <v/>
      </c>
    </row>
    <row r="27" customFormat="false" ht="15.75" hidden="false" customHeight="false" outlineLevel="0" collapsed="false">
      <c r="A27" s="130" t="n">
        <f aca="false">ExportRaw!$F27</f>
        <v>0</v>
      </c>
      <c r="B27" s="130" t="n">
        <f aca="false">ExportRaw!$C27</f>
        <v>0</v>
      </c>
      <c r="C27" s="130" t="n">
        <f aca="false">ExportRaw!$G27</f>
        <v>0</v>
      </c>
      <c r="D27" s="130" t="str">
        <f aca="false">ExportRaw!$E27</f>
        <v/>
      </c>
      <c r="E27" s="131" t="str">
        <f aca="false">ExportRaw!$D27</f>
        <v/>
      </c>
      <c r="F27" s="130" t="str">
        <f aca="false">ExportRaw!$H27</f>
        <v/>
      </c>
      <c r="G27" s="132" t="str">
        <f aca="false">ExportRaw!$I27</f>
        <v/>
      </c>
      <c r="H27" s="130" t="str">
        <f aca="false">ExportRaw!$A27</f>
        <v/>
      </c>
      <c r="I27" s="130" t="str">
        <f aca="false">ExportRaw!$B27</f>
        <v/>
      </c>
    </row>
    <row r="28" customFormat="false" ht="15.75" hidden="false" customHeight="false" outlineLevel="0" collapsed="false">
      <c r="A28" s="130" t="n">
        <f aca="false">ExportRaw!$F28</f>
        <v>0</v>
      </c>
      <c r="B28" s="130" t="n">
        <f aca="false">ExportRaw!$C28</f>
        <v>0</v>
      </c>
      <c r="C28" s="130" t="n">
        <f aca="false">ExportRaw!$G28</f>
        <v>0</v>
      </c>
      <c r="D28" s="130" t="str">
        <f aca="false">ExportRaw!$E28</f>
        <v/>
      </c>
      <c r="E28" s="131" t="str">
        <f aca="false">ExportRaw!$D28</f>
        <v/>
      </c>
      <c r="F28" s="130" t="str">
        <f aca="false">ExportRaw!$H28</f>
        <v/>
      </c>
      <c r="G28" s="132" t="str">
        <f aca="false">ExportRaw!$I28</f>
        <v/>
      </c>
      <c r="H28" s="130" t="str">
        <f aca="false">ExportRaw!$A28</f>
        <v/>
      </c>
      <c r="I28" s="130" t="str">
        <f aca="false">ExportRaw!$B28</f>
        <v/>
      </c>
    </row>
    <row r="29" customFormat="false" ht="15.75" hidden="false" customHeight="false" outlineLevel="0" collapsed="false">
      <c r="A29" s="130" t="n">
        <f aca="false">ExportRaw!$F29</f>
        <v>0</v>
      </c>
      <c r="B29" s="130" t="n">
        <f aca="false">ExportRaw!$C29</f>
        <v>0</v>
      </c>
      <c r="C29" s="130" t="n">
        <f aca="false">ExportRaw!$G29</f>
        <v>0</v>
      </c>
      <c r="D29" s="130" t="str">
        <f aca="false">ExportRaw!$E29</f>
        <v/>
      </c>
      <c r="E29" s="131" t="str">
        <f aca="false">ExportRaw!$D29</f>
        <v/>
      </c>
      <c r="F29" s="130" t="str">
        <f aca="false">ExportRaw!$H29</f>
        <v/>
      </c>
      <c r="G29" s="132" t="str">
        <f aca="false">ExportRaw!$I29</f>
        <v/>
      </c>
      <c r="H29" s="130" t="str">
        <f aca="false">ExportRaw!$A29</f>
        <v/>
      </c>
      <c r="I29" s="130" t="str">
        <f aca="false">ExportRaw!$B29</f>
        <v/>
      </c>
    </row>
    <row r="30" customFormat="false" ht="15.75" hidden="false" customHeight="false" outlineLevel="0" collapsed="false">
      <c r="A30" s="130" t="n">
        <f aca="false">ExportRaw!$F30</f>
        <v>0</v>
      </c>
      <c r="B30" s="130" t="n">
        <f aca="false">ExportRaw!$C30</f>
        <v>0</v>
      </c>
      <c r="C30" s="130" t="n">
        <f aca="false">ExportRaw!$G30</f>
        <v>0</v>
      </c>
      <c r="D30" s="130" t="str">
        <f aca="false">ExportRaw!$E30</f>
        <v/>
      </c>
      <c r="E30" s="131" t="str">
        <f aca="false">ExportRaw!$D30</f>
        <v/>
      </c>
      <c r="F30" s="130" t="str">
        <f aca="false">ExportRaw!$H30</f>
        <v/>
      </c>
      <c r="G30" s="132" t="str">
        <f aca="false">ExportRaw!$I30</f>
        <v/>
      </c>
      <c r="H30" s="130" t="str">
        <f aca="false">ExportRaw!$A30</f>
        <v/>
      </c>
      <c r="I30" s="130" t="str">
        <f aca="false">ExportRaw!$B30</f>
        <v/>
      </c>
    </row>
    <row r="31" customFormat="false" ht="15.75" hidden="false" customHeight="false" outlineLevel="0" collapsed="false">
      <c r="A31" s="130" t="n">
        <f aca="false">ExportRaw!$F31</f>
        <v>0</v>
      </c>
      <c r="B31" s="130" t="n">
        <f aca="false">ExportRaw!$C31</f>
        <v>0</v>
      </c>
      <c r="C31" s="130" t="n">
        <f aca="false">ExportRaw!$G31</f>
        <v>0</v>
      </c>
      <c r="D31" s="130" t="str">
        <f aca="false">ExportRaw!$E31</f>
        <v/>
      </c>
      <c r="E31" s="131" t="str">
        <f aca="false">ExportRaw!$D31</f>
        <v/>
      </c>
      <c r="F31" s="130" t="str">
        <f aca="false">ExportRaw!$H31</f>
        <v/>
      </c>
      <c r="G31" s="132" t="str">
        <f aca="false">ExportRaw!$I31</f>
        <v/>
      </c>
      <c r="H31" s="130" t="str">
        <f aca="false">ExportRaw!$A31</f>
        <v/>
      </c>
      <c r="I31" s="130" t="str">
        <f aca="false">ExportRaw!$B31</f>
        <v/>
      </c>
    </row>
    <row r="32" customFormat="false" ht="15.75" hidden="false" customHeight="false" outlineLevel="0" collapsed="false">
      <c r="A32" s="130" t="n">
        <f aca="false">ExportRaw!$F32</f>
        <v>0</v>
      </c>
      <c r="B32" s="130" t="n">
        <f aca="false">ExportRaw!$C32</f>
        <v>0</v>
      </c>
      <c r="C32" s="130" t="n">
        <f aca="false">ExportRaw!$G32</f>
        <v>0</v>
      </c>
      <c r="D32" s="130" t="str">
        <f aca="false">ExportRaw!$E32</f>
        <v/>
      </c>
      <c r="E32" s="131" t="str">
        <f aca="false">ExportRaw!$D32</f>
        <v/>
      </c>
      <c r="F32" s="130" t="str">
        <f aca="false">ExportRaw!$H32</f>
        <v/>
      </c>
      <c r="G32" s="132" t="str">
        <f aca="false">ExportRaw!$I32</f>
        <v/>
      </c>
      <c r="H32" s="130" t="str">
        <f aca="false">ExportRaw!$A32</f>
        <v/>
      </c>
      <c r="I32" s="130" t="str">
        <f aca="false">ExportRaw!$B32</f>
        <v/>
      </c>
    </row>
    <row r="33" customFormat="false" ht="15.75" hidden="false" customHeight="false" outlineLevel="0" collapsed="false">
      <c r="A33" s="130" t="n">
        <f aca="false">ExportRaw!$F33</f>
        <v>0</v>
      </c>
      <c r="B33" s="130" t="n">
        <f aca="false">ExportRaw!$C33</f>
        <v>0</v>
      </c>
      <c r="C33" s="130" t="n">
        <f aca="false">ExportRaw!$G33</f>
        <v>0</v>
      </c>
      <c r="D33" s="130" t="str">
        <f aca="false">ExportRaw!$E33</f>
        <v/>
      </c>
      <c r="E33" s="131" t="str">
        <f aca="false">ExportRaw!$D33</f>
        <v/>
      </c>
      <c r="F33" s="130" t="str">
        <f aca="false">ExportRaw!$H33</f>
        <v/>
      </c>
      <c r="G33" s="132" t="str">
        <f aca="false">ExportRaw!$I33</f>
        <v/>
      </c>
      <c r="H33" s="130" t="str">
        <f aca="false">ExportRaw!$A33</f>
        <v/>
      </c>
      <c r="I33" s="130" t="str">
        <f aca="false">ExportRaw!$B33</f>
        <v/>
      </c>
    </row>
    <row r="34" customFormat="false" ht="15.75" hidden="false" customHeight="false" outlineLevel="0" collapsed="false">
      <c r="A34" s="130" t="n">
        <f aca="false">ExportRaw!$F34</f>
        <v>0</v>
      </c>
      <c r="B34" s="130" t="n">
        <f aca="false">ExportRaw!$C34</f>
        <v>0</v>
      </c>
      <c r="C34" s="130" t="n">
        <f aca="false">ExportRaw!$G34</f>
        <v>0</v>
      </c>
      <c r="D34" s="130" t="str">
        <f aca="false">ExportRaw!$E34</f>
        <v/>
      </c>
      <c r="E34" s="131" t="str">
        <f aca="false">ExportRaw!$D34</f>
        <v/>
      </c>
      <c r="F34" s="130" t="str">
        <f aca="false">ExportRaw!$H34</f>
        <v/>
      </c>
      <c r="G34" s="132" t="str">
        <f aca="false">ExportRaw!$I34</f>
        <v/>
      </c>
      <c r="H34" s="130" t="str">
        <f aca="false">ExportRaw!$A34</f>
        <v/>
      </c>
      <c r="I34" s="130" t="str">
        <f aca="false">ExportRaw!$B34</f>
        <v/>
      </c>
    </row>
    <row r="35" customFormat="false" ht="15.75" hidden="false" customHeight="false" outlineLevel="0" collapsed="false">
      <c r="A35" s="130" t="n">
        <f aca="false">ExportRaw!$F35</f>
        <v>0</v>
      </c>
      <c r="B35" s="130" t="n">
        <f aca="false">ExportRaw!$C35</f>
        <v>0</v>
      </c>
      <c r="C35" s="130" t="n">
        <f aca="false">ExportRaw!$G35</f>
        <v>0</v>
      </c>
      <c r="D35" s="130" t="str">
        <f aca="false">ExportRaw!$E35</f>
        <v/>
      </c>
      <c r="E35" s="131" t="str">
        <f aca="false">ExportRaw!$D35</f>
        <v/>
      </c>
      <c r="F35" s="130" t="str">
        <f aca="false">ExportRaw!$H35</f>
        <v/>
      </c>
      <c r="G35" s="132" t="str">
        <f aca="false">ExportRaw!$I35</f>
        <v/>
      </c>
      <c r="H35" s="130" t="str">
        <f aca="false">ExportRaw!$A35</f>
        <v/>
      </c>
      <c r="I35" s="130" t="str">
        <f aca="false">ExportRaw!$B35</f>
        <v/>
      </c>
    </row>
    <row r="36" customFormat="false" ht="15.75" hidden="false" customHeight="false" outlineLevel="0" collapsed="false">
      <c r="A36" s="130" t="n">
        <f aca="false">ExportRaw!$F36</f>
        <v>0</v>
      </c>
      <c r="B36" s="130" t="n">
        <f aca="false">ExportRaw!$C36</f>
        <v>0</v>
      </c>
      <c r="C36" s="130" t="n">
        <f aca="false">ExportRaw!$G36</f>
        <v>0</v>
      </c>
      <c r="D36" s="130" t="str">
        <f aca="false">ExportRaw!$E36</f>
        <v/>
      </c>
      <c r="E36" s="131" t="str">
        <f aca="false">ExportRaw!$D36</f>
        <v/>
      </c>
      <c r="F36" s="130" t="str">
        <f aca="false">ExportRaw!$H36</f>
        <v/>
      </c>
      <c r="G36" s="132" t="str">
        <f aca="false">ExportRaw!$I36</f>
        <v/>
      </c>
      <c r="H36" s="130" t="str">
        <f aca="false">ExportRaw!$A36</f>
        <v/>
      </c>
      <c r="I36" s="130" t="str">
        <f aca="false">ExportRaw!$B36</f>
        <v/>
      </c>
    </row>
    <row r="37" customFormat="false" ht="15.75" hidden="false" customHeight="false" outlineLevel="0" collapsed="false">
      <c r="A37" s="130" t="n">
        <f aca="false">ExportRaw!$F37</f>
        <v>0</v>
      </c>
      <c r="B37" s="130" t="n">
        <f aca="false">ExportRaw!$C37</f>
        <v>0</v>
      </c>
      <c r="C37" s="130" t="n">
        <f aca="false">ExportRaw!$G37</f>
        <v>0</v>
      </c>
      <c r="D37" s="130" t="str">
        <f aca="false">ExportRaw!$E37</f>
        <v/>
      </c>
      <c r="E37" s="131" t="str">
        <f aca="false">ExportRaw!$D37</f>
        <v/>
      </c>
      <c r="F37" s="130" t="str">
        <f aca="false">ExportRaw!$H37</f>
        <v/>
      </c>
      <c r="G37" s="132" t="str">
        <f aca="false">ExportRaw!$I37</f>
        <v/>
      </c>
      <c r="H37" s="130" t="str">
        <f aca="false">ExportRaw!$A37</f>
        <v/>
      </c>
      <c r="I37" s="130" t="str">
        <f aca="false">ExportRaw!$B37</f>
        <v/>
      </c>
    </row>
    <row r="38" customFormat="false" ht="15.75" hidden="false" customHeight="false" outlineLevel="0" collapsed="false">
      <c r="A38" s="130" t="n">
        <f aca="false">ExportRaw!$F38</f>
        <v>0</v>
      </c>
      <c r="B38" s="130" t="n">
        <f aca="false">ExportRaw!$C38</f>
        <v>0</v>
      </c>
      <c r="C38" s="130" t="n">
        <f aca="false">ExportRaw!$G38</f>
        <v>0</v>
      </c>
      <c r="D38" s="130" t="str">
        <f aca="false">ExportRaw!$E38</f>
        <v/>
      </c>
      <c r="E38" s="131" t="str">
        <f aca="false">ExportRaw!$D38</f>
        <v/>
      </c>
      <c r="F38" s="130" t="str">
        <f aca="false">ExportRaw!$H38</f>
        <v/>
      </c>
      <c r="G38" s="132" t="str">
        <f aca="false">ExportRaw!$I38</f>
        <v/>
      </c>
      <c r="H38" s="130" t="str">
        <f aca="false">ExportRaw!$A38</f>
        <v/>
      </c>
      <c r="I38" s="130" t="str">
        <f aca="false">ExportRaw!$B38</f>
        <v/>
      </c>
    </row>
    <row r="39" customFormat="false" ht="15.75" hidden="false" customHeight="false" outlineLevel="0" collapsed="false">
      <c r="A39" s="130" t="n">
        <f aca="false">ExportRaw!$F39</f>
        <v>0</v>
      </c>
      <c r="B39" s="130" t="n">
        <f aca="false">ExportRaw!$C39</f>
        <v>0</v>
      </c>
      <c r="C39" s="130" t="n">
        <f aca="false">ExportRaw!$G39</f>
        <v>0</v>
      </c>
      <c r="D39" s="130" t="str">
        <f aca="false">ExportRaw!$E39</f>
        <v/>
      </c>
      <c r="E39" s="131" t="str">
        <f aca="false">ExportRaw!$D39</f>
        <v/>
      </c>
      <c r="F39" s="130" t="str">
        <f aca="false">ExportRaw!$H39</f>
        <v/>
      </c>
      <c r="G39" s="132" t="str">
        <f aca="false">ExportRaw!$I39</f>
        <v/>
      </c>
      <c r="H39" s="130" t="str">
        <f aca="false">ExportRaw!$A39</f>
        <v/>
      </c>
      <c r="I39" s="130" t="str">
        <f aca="false">ExportRaw!$B39</f>
        <v/>
      </c>
    </row>
    <row r="40" customFormat="false" ht="15.75" hidden="false" customHeight="false" outlineLevel="0" collapsed="false">
      <c r="A40" s="130" t="n">
        <f aca="false">ExportRaw!$F40</f>
        <v>0</v>
      </c>
      <c r="B40" s="130" t="n">
        <f aca="false">ExportRaw!$C40</f>
        <v>0</v>
      </c>
      <c r="C40" s="130" t="n">
        <f aca="false">ExportRaw!$G40</f>
        <v>0</v>
      </c>
      <c r="D40" s="130" t="str">
        <f aca="false">ExportRaw!$E40</f>
        <v/>
      </c>
      <c r="E40" s="131" t="str">
        <f aca="false">ExportRaw!$D40</f>
        <v/>
      </c>
      <c r="F40" s="130" t="str">
        <f aca="false">ExportRaw!$H40</f>
        <v/>
      </c>
      <c r="G40" s="132" t="str">
        <f aca="false">ExportRaw!$I40</f>
        <v/>
      </c>
      <c r="H40" s="130" t="str">
        <f aca="false">ExportRaw!$A40</f>
        <v/>
      </c>
      <c r="I40" s="130" t="str">
        <f aca="false">ExportRaw!$B40</f>
        <v/>
      </c>
    </row>
    <row r="41" customFormat="false" ht="15.75" hidden="false" customHeight="false" outlineLevel="0" collapsed="false">
      <c r="A41" s="130" t="n">
        <f aca="false">ExportRaw!$F41</f>
        <v>0</v>
      </c>
      <c r="B41" s="130" t="n">
        <f aca="false">ExportRaw!$C41</f>
        <v>0</v>
      </c>
      <c r="C41" s="130" t="n">
        <f aca="false">ExportRaw!$G41</f>
        <v>0</v>
      </c>
      <c r="D41" s="130" t="str">
        <f aca="false">ExportRaw!$E41</f>
        <v/>
      </c>
      <c r="E41" s="131" t="str">
        <f aca="false">ExportRaw!$D41</f>
        <v/>
      </c>
      <c r="F41" s="130" t="str">
        <f aca="false">ExportRaw!$H41</f>
        <v/>
      </c>
      <c r="G41" s="132" t="str">
        <f aca="false">ExportRaw!$I41</f>
        <v/>
      </c>
      <c r="H41" s="130" t="str">
        <f aca="false">ExportRaw!$A41</f>
        <v/>
      </c>
      <c r="I41" s="130" t="str">
        <f aca="false">ExportRaw!$B41</f>
        <v/>
      </c>
    </row>
    <row r="42" customFormat="false" ht="15.75" hidden="false" customHeight="false" outlineLevel="0" collapsed="false">
      <c r="A42" s="130" t="n">
        <f aca="false">ExportRaw!$F42</f>
        <v>0</v>
      </c>
      <c r="B42" s="130" t="n">
        <f aca="false">ExportRaw!$C42</f>
        <v>0</v>
      </c>
      <c r="C42" s="130" t="n">
        <f aca="false">ExportRaw!$G42</f>
        <v>0</v>
      </c>
      <c r="D42" s="130" t="str">
        <f aca="false">ExportRaw!$E42</f>
        <v/>
      </c>
      <c r="E42" s="131" t="str">
        <f aca="false">ExportRaw!$D42</f>
        <v/>
      </c>
      <c r="F42" s="130" t="str">
        <f aca="false">ExportRaw!$H42</f>
        <v/>
      </c>
      <c r="G42" s="132" t="str">
        <f aca="false">ExportRaw!$I42</f>
        <v/>
      </c>
      <c r="H42" s="130" t="str">
        <f aca="false">ExportRaw!$A42</f>
        <v/>
      </c>
      <c r="I42" s="130" t="str">
        <f aca="false">ExportRaw!$B42</f>
        <v/>
      </c>
    </row>
    <row r="43" customFormat="false" ht="15.75" hidden="false" customHeight="false" outlineLevel="0" collapsed="false">
      <c r="A43" s="130" t="n">
        <f aca="false">ExportRaw!$F43</f>
        <v>0</v>
      </c>
      <c r="B43" s="130" t="n">
        <f aca="false">ExportRaw!$C43</f>
        <v>0</v>
      </c>
      <c r="C43" s="130" t="n">
        <f aca="false">ExportRaw!$G43</f>
        <v>0</v>
      </c>
      <c r="D43" s="130" t="str">
        <f aca="false">ExportRaw!$E43</f>
        <v/>
      </c>
      <c r="E43" s="131" t="str">
        <f aca="false">ExportRaw!$D43</f>
        <v/>
      </c>
      <c r="F43" s="130" t="str">
        <f aca="false">ExportRaw!$H43</f>
        <v/>
      </c>
      <c r="G43" s="132" t="str">
        <f aca="false">ExportRaw!$I43</f>
        <v/>
      </c>
      <c r="H43" s="130" t="str">
        <f aca="false">ExportRaw!$A43</f>
        <v/>
      </c>
      <c r="I43" s="130" t="str">
        <f aca="false">ExportRaw!$B43</f>
        <v/>
      </c>
    </row>
    <row r="44" customFormat="false" ht="15.75" hidden="false" customHeight="false" outlineLevel="0" collapsed="false">
      <c r="A44" s="130" t="n">
        <f aca="false">ExportRaw!$F44</f>
        <v>0</v>
      </c>
      <c r="B44" s="130" t="n">
        <f aca="false">ExportRaw!$C44</f>
        <v>0</v>
      </c>
      <c r="C44" s="130" t="n">
        <f aca="false">ExportRaw!$G44</f>
        <v>0</v>
      </c>
      <c r="D44" s="130" t="str">
        <f aca="false">ExportRaw!$E44</f>
        <v/>
      </c>
      <c r="E44" s="131" t="str">
        <f aca="false">ExportRaw!$D44</f>
        <v/>
      </c>
      <c r="F44" s="130" t="str">
        <f aca="false">ExportRaw!$H44</f>
        <v/>
      </c>
      <c r="G44" s="132" t="str">
        <f aca="false">ExportRaw!$I44</f>
        <v/>
      </c>
      <c r="H44" s="130" t="str">
        <f aca="false">ExportRaw!$A44</f>
        <v/>
      </c>
      <c r="I44" s="130" t="str">
        <f aca="false">ExportRaw!$B44</f>
        <v/>
      </c>
    </row>
    <row r="45" customFormat="false" ht="15.75" hidden="false" customHeight="false" outlineLevel="0" collapsed="false">
      <c r="A45" s="130" t="n">
        <f aca="false">ExportRaw!$F45</f>
        <v>0</v>
      </c>
      <c r="B45" s="130" t="n">
        <f aca="false">ExportRaw!$C45</f>
        <v>0</v>
      </c>
      <c r="C45" s="130" t="n">
        <f aca="false">ExportRaw!$G45</f>
        <v>0</v>
      </c>
      <c r="D45" s="130" t="str">
        <f aca="false">ExportRaw!$E45</f>
        <v/>
      </c>
      <c r="E45" s="131" t="str">
        <f aca="false">ExportRaw!$D45</f>
        <v/>
      </c>
      <c r="F45" s="130" t="str">
        <f aca="false">ExportRaw!$H45</f>
        <v/>
      </c>
      <c r="G45" s="132" t="str">
        <f aca="false">ExportRaw!$I45</f>
        <v/>
      </c>
      <c r="H45" s="130" t="str">
        <f aca="false">ExportRaw!$A45</f>
        <v/>
      </c>
      <c r="I45" s="130" t="str">
        <f aca="false">ExportRaw!$B45</f>
        <v/>
      </c>
    </row>
    <row r="46" customFormat="false" ht="15.75" hidden="false" customHeight="false" outlineLevel="0" collapsed="false">
      <c r="A46" s="130" t="n">
        <f aca="false">ExportRaw!$F46</f>
        <v>0</v>
      </c>
      <c r="B46" s="130" t="n">
        <f aca="false">ExportRaw!$C46</f>
        <v>0</v>
      </c>
      <c r="C46" s="130" t="n">
        <f aca="false">ExportRaw!$G46</f>
        <v>0</v>
      </c>
      <c r="D46" s="130" t="str">
        <f aca="false">ExportRaw!$E46</f>
        <v/>
      </c>
      <c r="E46" s="131" t="str">
        <f aca="false">ExportRaw!$D46</f>
        <v/>
      </c>
      <c r="F46" s="130" t="str">
        <f aca="false">ExportRaw!$H46</f>
        <v/>
      </c>
      <c r="G46" s="132" t="str">
        <f aca="false">ExportRaw!$I46</f>
        <v/>
      </c>
      <c r="H46" s="130" t="str">
        <f aca="false">ExportRaw!$A46</f>
        <v/>
      </c>
      <c r="I46" s="130" t="str">
        <f aca="false">ExportRaw!$B46</f>
        <v/>
      </c>
    </row>
    <row r="47" customFormat="false" ht="15.75" hidden="false" customHeight="false" outlineLevel="0" collapsed="false">
      <c r="A47" s="130" t="n">
        <f aca="false">ExportRaw!$F47</f>
        <v>0</v>
      </c>
      <c r="B47" s="130" t="n">
        <f aca="false">ExportRaw!$C47</f>
        <v>0</v>
      </c>
      <c r="C47" s="130" t="n">
        <f aca="false">ExportRaw!$G47</f>
        <v>0</v>
      </c>
      <c r="D47" s="130" t="str">
        <f aca="false">ExportRaw!$E47</f>
        <v/>
      </c>
      <c r="E47" s="131" t="str">
        <f aca="false">ExportRaw!$D47</f>
        <v/>
      </c>
      <c r="F47" s="130" t="str">
        <f aca="false">ExportRaw!$H47</f>
        <v/>
      </c>
      <c r="G47" s="132" t="str">
        <f aca="false">ExportRaw!$I47</f>
        <v/>
      </c>
      <c r="H47" s="130" t="str">
        <f aca="false">ExportRaw!$A47</f>
        <v/>
      </c>
      <c r="I47" s="130" t="str">
        <f aca="false">ExportRaw!$B47</f>
        <v/>
      </c>
    </row>
    <row r="48" customFormat="false" ht="15.75" hidden="false" customHeight="false" outlineLevel="0" collapsed="false">
      <c r="A48" s="130" t="n">
        <f aca="false">ExportRaw!$F48</f>
        <v>0</v>
      </c>
      <c r="B48" s="130" t="n">
        <f aca="false">ExportRaw!$C48</f>
        <v>0</v>
      </c>
      <c r="C48" s="130" t="n">
        <f aca="false">ExportRaw!$G48</f>
        <v>0</v>
      </c>
      <c r="D48" s="130" t="str">
        <f aca="false">ExportRaw!$E48</f>
        <v/>
      </c>
      <c r="E48" s="131" t="str">
        <f aca="false">ExportRaw!$D48</f>
        <v/>
      </c>
      <c r="F48" s="130" t="str">
        <f aca="false">ExportRaw!$H48</f>
        <v/>
      </c>
      <c r="G48" s="132" t="str">
        <f aca="false">ExportRaw!$I48</f>
        <v/>
      </c>
      <c r="H48" s="130" t="str">
        <f aca="false">ExportRaw!$A48</f>
        <v/>
      </c>
      <c r="I48" s="130" t="str">
        <f aca="false">ExportRaw!$B48</f>
        <v/>
      </c>
    </row>
    <row r="49" customFormat="false" ht="15.75" hidden="false" customHeight="false" outlineLevel="0" collapsed="false">
      <c r="A49" s="130" t="n">
        <f aca="false">ExportRaw!$F49</f>
        <v>0</v>
      </c>
      <c r="B49" s="130" t="n">
        <f aca="false">ExportRaw!$C49</f>
        <v>0</v>
      </c>
      <c r="C49" s="130" t="n">
        <f aca="false">ExportRaw!$G49</f>
        <v>0</v>
      </c>
      <c r="D49" s="130" t="str">
        <f aca="false">ExportRaw!$E49</f>
        <v/>
      </c>
      <c r="E49" s="131" t="str">
        <f aca="false">ExportRaw!$D49</f>
        <v/>
      </c>
      <c r="F49" s="130" t="str">
        <f aca="false">ExportRaw!$H49</f>
        <v/>
      </c>
      <c r="G49" s="132" t="str">
        <f aca="false">ExportRaw!$I49</f>
        <v/>
      </c>
      <c r="H49" s="130" t="str">
        <f aca="false">ExportRaw!$A49</f>
        <v/>
      </c>
      <c r="I49" s="130" t="str">
        <f aca="false">ExportRaw!$B49</f>
        <v/>
      </c>
    </row>
    <row r="50" customFormat="false" ht="15.75" hidden="false" customHeight="false" outlineLevel="0" collapsed="false">
      <c r="A50" s="130" t="n">
        <f aca="false">ExportRaw!$F50</f>
        <v>0</v>
      </c>
      <c r="B50" s="130" t="n">
        <f aca="false">ExportRaw!$C50</f>
        <v>0</v>
      </c>
      <c r="C50" s="130" t="n">
        <f aca="false">ExportRaw!$G50</f>
        <v>0</v>
      </c>
      <c r="D50" s="130" t="str">
        <f aca="false">ExportRaw!$E50</f>
        <v/>
      </c>
      <c r="E50" s="131" t="str">
        <f aca="false">ExportRaw!$D50</f>
        <v/>
      </c>
      <c r="F50" s="130" t="str">
        <f aca="false">ExportRaw!$H50</f>
        <v/>
      </c>
      <c r="G50" s="132" t="str">
        <f aca="false">ExportRaw!$I50</f>
        <v/>
      </c>
      <c r="H50" s="130" t="str">
        <f aca="false">ExportRaw!$A50</f>
        <v/>
      </c>
      <c r="I50" s="130" t="str">
        <f aca="false">ExportRaw!$B50</f>
        <v/>
      </c>
    </row>
    <row r="51" customFormat="false" ht="15.75" hidden="false" customHeight="false" outlineLevel="0" collapsed="false">
      <c r="A51" s="130" t="n">
        <f aca="false">ExportRaw!$F51</f>
        <v>0</v>
      </c>
      <c r="B51" s="130" t="n">
        <f aca="false">ExportRaw!$C51</f>
        <v>0</v>
      </c>
      <c r="C51" s="130" t="n">
        <f aca="false">ExportRaw!$G51</f>
        <v>0</v>
      </c>
      <c r="D51" s="130" t="str">
        <f aca="false">ExportRaw!$E51</f>
        <v/>
      </c>
      <c r="E51" s="131" t="str">
        <f aca="false">ExportRaw!$D51</f>
        <v/>
      </c>
      <c r="F51" s="130" t="str">
        <f aca="false">ExportRaw!$H51</f>
        <v/>
      </c>
      <c r="G51" s="132" t="str">
        <f aca="false">ExportRaw!$I51</f>
        <v/>
      </c>
      <c r="H51" s="130" t="str">
        <f aca="false">ExportRaw!$A51</f>
        <v/>
      </c>
      <c r="I51" s="130" t="str">
        <f aca="false">ExportRaw!$B51</f>
        <v/>
      </c>
    </row>
    <row r="52" customFormat="false" ht="15.75" hidden="false" customHeight="false" outlineLevel="0" collapsed="false">
      <c r="A52" s="130" t="n">
        <f aca="false">ExportRaw!$F52</f>
        <v>0</v>
      </c>
      <c r="B52" s="130" t="n">
        <f aca="false">ExportRaw!$C52</f>
        <v>0</v>
      </c>
      <c r="C52" s="130" t="n">
        <f aca="false">ExportRaw!$G52</f>
        <v>0</v>
      </c>
      <c r="D52" s="130" t="str">
        <f aca="false">ExportRaw!$E52</f>
        <v/>
      </c>
      <c r="E52" s="131" t="str">
        <f aca="false">ExportRaw!$D52</f>
        <v/>
      </c>
      <c r="F52" s="130" t="str">
        <f aca="false">ExportRaw!$H52</f>
        <v/>
      </c>
      <c r="G52" s="132" t="str">
        <f aca="false">ExportRaw!$I52</f>
        <v/>
      </c>
      <c r="H52" s="130" t="str">
        <f aca="false">ExportRaw!$A52</f>
        <v/>
      </c>
      <c r="I52" s="130" t="str">
        <f aca="false">ExportRaw!$B52</f>
        <v/>
      </c>
    </row>
    <row r="53" customFormat="false" ht="15.75" hidden="false" customHeight="false" outlineLevel="0" collapsed="false">
      <c r="A53" s="130" t="n">
        <f aca="false">ExportRaw!$F53</f>
        <v>0</v>
      </c>
      <c r="B53" s="130" t="n">
        <f aca="false">ExportRaw!$C53</f>
        <v>0</v>
      </c>
      <c r="C53" s="130" t="n">
        <f aca="false">ExportRaw!$G53</f>
        <v>0</v>
      </c>
      <c r="D53" s="130" t="str">
        <f aca="false">ExportRaw!$E53</f>
        <v/>
      </c>
      <c r="E53" s="131" t="str">
        <f aca="false">ExportRaw!$D53</f>
        <v/>
      </c>
      <c r="F53" s="130" t="str">
        <f aca="false">ExportRaw!$H53</f>
        <v/>
      </c>
      <c r="G53" s="132" t="str">
        <f aca="false">ExportRaw!$I53</f>
        <v/>
      </c>
      <c r="H53" s="130" t="str">
        <f aca="false">ExportRaw!$A53</f>
        <v/>
      </c>
      <c r="I53" s="130" t="str">
        <f aca="false">ExportRaw!$B53</f>
        <v/>
      </c>
    </row>
    <row r="54" customFormat="false" ht="15.75" hidden="false" customHeight="false" outlineLevel="0" collapsed="false">
      <c r="A54" s="130" t="n">
        <f aca="false">ExportRaw!$F54</f>
        <v>0</v>
      </c>
      <c r="B54" s="130" t="n">
        <f aca="false">ExportRaw!$C54</f>
        <v>0</v>
      </c>
      <c r="C54" s="130" t="n">
        <f aca="false">ExportRaw!$G54</f>
        <v>0</v>
      </c>
      <c r="D54" s="130" t="str">
        <f aca="false">ExportRaw!$E54</f>
        <v/>
      </c>
      <c r="E54" s="131" t="str">
        <f aca="false">ExportRaw!$D54</f>
        <v/>
      </c>
      <c r="F54" s="130" t="str">
        <f aca="false">ExportRaw!$H54</f>
        <v/>
      </c>
      <c r="G54" s="132" t="str">
        <f aca="false">ExportRaw!$I54</f>
        <v/>
      </c>
      <c r="H54" s="130" t="str">
        <f aca="false">ExportRaw!$A54</f>
        <v/>
      </c>
      <c r="I54" s="130" t="str">
        <f aca="false">ExportRaw!$B54</f>
        <v/>
      </c>
    </row>
    <row r="55" customFormat="false" ht="15.75" hidden="false" customHeight="false" outlineLevel="0" collapsed="false">
      <c r="A55" s="130" t="n">
        <f aca="false">ExportRaw!$F55</f>
        <v>0</v>
      </c>
      <c r="B55" s="130" t="n">
        <f aca="false">ExportRaw!$C55</f>
        <v>0</v>
      </c>
      <c r="C55" s="130" t="n">
        <f aca="false">ExportRaw!$G55</f>
        <v>0</v>
      </c>
      <c r="D55" s="130" t="str">
        <f aca="false">ExportRaw!$E55</f>
        <v/>
      </c>
      <c r="E55" s="131" t="str">
        <f aca="false">ExportRaw!$D55</f>
        <v/>
      </c>
      <c r="F55" s="130" t="str">
        <f aca="false">ExportRaw!$H55</f>
        <v/>
      </c>
      <c r="G55" s="132" t="str">
        <f aca="false">ExportRaw!$I55</f>
        <v/>
      </c>
      <c r="H55" s="130" t="str">
        <f aca="false">ExportRaw!$A55</f>
        <v/>
      </c>
      <c r="I55" s="130" t="str">
        <f aca="false">ExportRaw!$B55</f>
        <v/>
      </c>
    </row>
    <row r="56" customFormat="false" ht="15.75" hidden="false" customHeight="false" outlineLevel="0" collapsed="false">
      <c r="A56" s="130" t="n">
        <f aca="false">ExportRaw!$F56</f>
        <v>0</v>
      </c>
      <c r="B56" s="130" t="n">
        <f aca="false">ExportRaw!$C56</f>
        <v>0</v>
      </c>
      <c r="C56" s="130" t="n">
        <f aca="false">ExportRaw!$G56</f>
        <v>0</v>
      </c>
      <c r="D56" s="130" t="str">
        <f aca="false">ExportRaw!$E56</f>
        <v/>
      </c>
      <c r="E56" s="131" t="str">
        <f aca="false">ExportRaw!$D56</f>
        <v/>
      </c>
      <c r="F56" s="130" t="str">
        <f aca="false">ExportRaw!$H56</f>
        <v/>
      </c>
      <c r="G56" s="132" t="str">
        <f aca="false">ExportRaw!$I56</f>
        <v/>
      </c>
      <c r="H56" s="130" t="str">
        <f aca="false">ExportRaw!$A56</f>
        <v/>
      </c>
      <c r="I56" s="130" t="str">
        <f aca="false">ExportRaw!$B56</f>
        <v/>
      </c>
    </row>
    <row r="57" customFormat="false" ht="15.75" hidden="false" customHeight="false" outlineLevel="0" collapsed="false">
      <c r="A57" s="130" t="n">
        <f aca="false">ExportRaw!$F57</f>
        <v>0</v>
      </c>
      <c r="B57" s="130" t="n">
        <f aca="false">ExportRaw!$C57</f>
        <v>0</v>
      </c>
      <c r="C57" s="130" t="n">
        <f aca="false">ExportRaw!$G57</f>
        <v>0</v>
      </c>
      <c r="D57" s="130" t="str">
        <f aca="false">ExportRaw!$E57</f>
        <v/>
      </c>
      <c r="E57" s="131" t="str">
        <f aca="false">ExportRaw!$D57</f>
        <v/>
      </c>
      <c r="F57" s="130" t="str">
        <f aca="false">ExportRaw!$H57</f>
        <v/>
      </c>
      <c r="G57" s="132" t="str">
        <f aca="false">ExportRaw!$I57</f>
        <v/>
      </c>
      <c r="H57" s="130" t="str">
        <f aca="false">ExportRaw!$A57</f>
        <v/>
      </c>
      <c r="I57" s="130" t="str">
        <f aca="false">ExportRaw!$B57</f>
        <v/>
      </c>
    </row>
    <row r="58" customFormat="false" ht="15.75" hidden="false" customHeight="false" outlineLevel="0" collapsed="false">
      <c r="A58" s="130" t="n">
        <f aca="false">ExportRaw!$F58</f>
        <v>0</v>
      </c>
      <c r="B58" s="130" t="n">
        <f aca="false">ExportRaw!$C58</f>
        <v>0</v>
      </c>
      <c r="C58" s="130" t="n">
        <f aca="false">ExportRaw!$G58</f>
        <v>0</v>
      </c>
      <c r="D58" s="130" t="str">
        <f aca="false">ExportRaw!$E58</f>
        <v/>
      </c>
      <c r="E58" s="131" t="str">
        <f aca="false">ExportRaw!$D58</f>
        <v/>
      </c>
      <c r="F58" s="130" t="str">
        <f aca="false">ExportRaw!$H58</f>
        <v/>
      </c>
      <c r="G58" s="132" t="str">
        <f aca="false">ExportRaw!$I58</f>
        <v/>
      </c>
      <c r="H58" s="130" t="str">
        <f aca="false">ExportRaw!$A58</f>
        <v/>
      </c>
      <c r="I58" s="130" t="str">
        <f aca="false">ExportRaw!$B58</f>
        <v/>
      </c>
    </row>
    <row r="59" customFormat="false" ht="15.75" hidden="false" customHeight="false" outlineLevel="0" collapsed="false">
      <c r="A59" s="130" t="n">
        <f aca="false">ExportRaw!$F59</f>
        <v>0</v>
      </c>
      <c r="B59" s="130" t="n">
        <f aca="false">ExportRaw!$C59</f>
        <v>0</v>
      </c>
      <c r="C59" s="130" t="n">
        <f aca="false">ExportRaw!$G59</f>
        <v>0</v>
      </c>
      <c r="D59" s="130" t="str">
        <f aca="false">ExportRaw!$E59</f>
        <v/>
      </c>
      <c r="E59" s="131" t="str">
        <f aca="false">ExportRaw!$D59</f>
        <v/>
      </c>
      <c r="F59" s="130" t="str">
        <f aca="false">ExportRaw!$H59</f>
        <v/>
      </c>
      <c r="G59" s="132" t="str">
        <f aca="false">ExportRaw!$I59</f>
        <v/>
      </c>
      <c r="H59" s="130" t="str">
        <f aca="false">ExportRaw!$A59</f>
        <v/>
      </c>
      <c r="I59" s="130" t="str">
        <f aca="false">ExportRaw!$B59</f>
        <v/>
      </c>
    </row>
    <row r="60" customFormat="false" ht="15.75" hidden="false" customHeight="false" outlineLevel="0" collapsed="false">
      <c r="A60" s="130" t="n">
        <f aca="false">ExportRaw!$F60</f>
        <v>0</v>
      </c>
      <c r="B60" s="130" t="n">
        <f aca="false">ExportRaw!$C60</f>
        <v>0</v>
      </c>
      <c r="C60" s="130" t="n">
        <f aca="false">ExportRaw!$G60</f>
        <v>0</v>
      </c>
      <c r="D60" s="130" t="str">
        <f aca="false">ExportRaw!$E60</f>
        <v/>
      </c>
      <c r="E60" s="131" t="str">
        <f aca="false">ExportRaw!$D60</f>
        <v/>
      </c>
      <c r="F60" s="130" t="str">
        <f aca="false">ExportRaw!$H60</f>
        <v/>
      </c>
      <c r="G60" s="132" t="str">
        <f aca="false">ExportRaw!$I60</f>
        <v/>
      </c>
      <c r="H60" s="130" t="str">
        <f aca="false">ExportRaw!$A60</f>
        <v/>
      </c>
      <c r="I60" s="130" t="str">
        <f aca="false">ExportRaw!$B60</f>
        <v/>
      </c>
    </row>
    <row r="61" customFormat="false" ht="15.75" hidden="false" customHeight="false" outlineLevel="0" collapsed="false">
      <c r="A61" s="130" t="n">
        <f aca="false">ExportRaw!$F61</f>
        <v>0</v>
      </c>
      <c r="B61" s="130" t="n">
        <f aca="false">ExportRaw!$C61</f>
        <v>0</v>
      </c>
      <c r="C61" s="130" t="n">
        <f aca="false">ExportRaw!$G61</f>
        <v>0</v>
      </c>
      <c r="D61" s="130" t="str">
        <f aca="false">ExportRaw!$E61</f>
        <v/>
      </c>
      <c r="E61" s="131" t="str">
        <f aca="false">ExportRaw!$D61</f>
        <v/>
      </c>
      <c r="F61" s="130" t="str">
        <f aca="false">ExportRaw!$H61</f>
        <v/>
      </c>
      <c r="G61" s="132" t="str">
        <f aca="false">ExportRaw!$I61</f>
        <v/>
      </c>
      <c r="H61" s="130" t="str">
        <f aca="false">ExportRaw!$A61</f>
        <v/>
      </c>
      <c r="I61" s="130" t="str">
        <f aca="false">ExportRaw!$B61</f>
        <v/>
      </c>
    </row>
    <row r="62" customFormat="false" ht="15.75" hidden="false" customHeight="false" outlineLevel="0" collapsed="false">
      <c r="A62" s="130" t="n">
        <f aca="false">ExportRaw!$F62</f>
        <v>0</v>
      </c>
      <c r="B62" s="130" t="n">
        <f aca="false">ExportRaw!$C62</f>
        <v>0</v>
      </c>
      <c r="C62" s="130" t="n">
        <f aca="false">ExportRaw!$G62</f>
        <v>0</v>
      </c>
      <c r="D62" s="130" t="str">
        <f aca="false">ExportRaw!$E62</f>
        <v/>
      </c>
      <c r="E62" s="131" t="str">
        <f aca="false">ExportRaw!$D62</f>
        <v/>
      </c>
      <c r="F62" s="130" t="str">
        <f aca="false">ExportRaw!$H62</f>
        <v/>
      </c>
      <c r="G62" s="132" t="str">
        <f aca="false">ExportRaw!$I62</f>
        <v/>
      </c>
      <c r="H62" s="130" t="str">
        <f aca="false">ExportRaw!$A62</f>
        <v/>
      </c>
      <c r="I62" s="130" t="str">
        <f aca="false">ExportRaw!$B62</f>
        <v/>
      </c>
    </row>
    <row r="63" customFormat="false" ht="15.75" hidden="false" customHeight="false" outlineLevel="0" collapsed="false">
      <c r="A63" s="130" t="n">
        <f aca="false">ExportRaw!$F63</f>
        <v>0</v>
      </c>
      <c r="B63" s="130" t="n">
        <f aca="false">ExportRaw!$C63</f>
        <v>0</v>
      </c>
      <c r="C63" s="130" t="n">
        <f aca="false">ExportRaw!$G63</f>
        <v>0</v>
      </c>
      <c r="D63" s="130" t="str">
        <f aca="false">ExportRaw!$E63</f>
        <v/>
      </c>
      <c r="E63" s="131" t="str">
        <f aca="false">ExportRaw!$D63</f>
        <v/>
      </c>
      <c r="F63" s="130" t="str">
        <f aca="false">ExportRaw!$H63</f>
        <v/>
      </c>
      <c r="G63" s="132" t="str">
        <f aca="false">ExportRaw!$I63</f>
        <v/>
      </c>
      <c r="H63" s="130" t="str">
        <f aca="false">ExportRaw!$A63</f>
        <v/>
      </c>
      <c r="I63" s="130" t="str">
        <f aca="false">ExportRaw!$B63</f>
        <v/>
      </c>
    </row>
    <row r="64" customFormat="false" ht="15.75" hidden="false" customHeight="false" outlineLevel="0" collapsed="false">
      <c r="A64" s="130" t="n">
        <f aca="false">ExportRaw!$F64</f>
        <v>0</v>
      </c>
      <c r="B64" s="130" t="n">
        <f aca="false">ExportRaw!$C64</f>
        <v>0</v>
      </c>
      <c r="C64" s="130" t="n">
        <f aca="false">ExportRaw!$G64</f>
        <v>0</v>
      </c>
      <c r="D64" s="130" t="str">
        <f aca="false">ExportRaw!$E64</f>
        <v/>
      </c>
      <c r="E64" s="131" t="str">
        <f aca="false">ExportRaw!$D64</f>
        <v/>
      </c>
      <c r="F64" s="130" t="str">
        <f aca="false">ExportRaw!$H64</f>
        <v/>
      </c>
      <c r="G64" s="132" t="str">
        <f aca="false">ExportRaw!$I64</f>
        <v/>
      </c>
      <c r="H64" s="130" t="str">
        <f aca="false">ExportRaw!$A64</f>
        <v/>
      </c>
      <c r="I64" s="130" t="str">
        <f aca="false">ExportRaw!$B64</f>
        <v/>
      </c>
    </row>
    <row r="65" customFormat="false" ht="15.75" hidden="false" customHeight="false" outlineLevel="0" collapsed="false">
      <c r="A65" s="130" t="n">
        <f aca="false">ExportRaw!$F65</f>
        <v>0</v>
      </c>
      <c r="B65" s="130" t="n">
        <f aca="false">ExportRaw!$C65</f>
        <v>0</v>
      </c>
      <c r="C65" s="130" t="n">
        <f aca="false">ExportRaw!$G65</f>
        <v>0</v>
      </c>
      <c r="D65" s="130" t="str">
        <f aca="false">ExportRaw!$E65</f>
        <v/>
      </c>
      <c r="E65" s="131" t="str">
        <f aca="false">ExportRaw!$D65</f>
        <v/>
      </c>
      <c r="F65" s="130" t="str">
        <f aca="false">ExportRaw!$H65</f>
        <v/>
      </c>
      <c r="G65" s="132" t="str">
        <f aca="false">ExportRaw!$I65</f>
        <v/>
      </c>
      <c r="H65" s="130" t="str">
        <f aca="false">ExportRaw!$A65</f>
        <v/>
      </c>
      <c r="I65" s="130" t="str">
        <f aca="false">ExportRaw!$B65</f>
        <v/>
      </c>
    </row>
    <row r="66" customFormat="false" ht="15.75" hidden="false" customHeight="false" outlineLevel="0" collapsed="false">
      <c r="A66" s="130" t="n">
        <f aca="false">ExportRaw!$F66</f>
        <v>0</v>
      </c>
      <c r="B66" s="130" t="n">
        <f aca="false">ExportRaw!$C66</f>
        <v>0</v>
      </c>
      <c r="C66" s="130" t="n">
        <f aca="false">ExportRaw!$G66</f>
        <v>0</v>
      </c>
      <c r="D66" s="130" t="str">
        <f aca="false">ExportRaw!$E66</f>
        <v/>
      </c>
      <c r="E66" s="131" t="str">
        <f aca="false">ExportRaw!$D66</f>
        <v/>
      </c>
      <c r="F66" s="130" t="str">
        <f aca="false">ExportRaw!$H66</f>
        <v/>
      </c>
      <c r="G66" s="132" t="str">
        <f aca="false">ExportRaw!$I66</f>
        <v/>
      </c>
      <c r="H66" s="130" t="str">
        <f aca="false">ExportRaw!$A66</f>
        <v/>
      </c>
      <c r="I66" s="130" t="str">
        <f aca="false">ExportRaw!$B66</f>
        <v/>
      </c>
    </row>
    <row r="67" customFormat="false" ht="15.75" hidden="false" customHeight="false" outlineLevel="0" collapsed="false">
      <c r="A67" s="130" t="n">
        <f aca="false">ExportRaw!$F67</f>
        <v>0</v>
      </c>
      <c r="B67" s="130" t="n">
        <f aca="false">ExportRaw!$C67</f>
        <v>0</v>
      </c>
      <c r="C67" s="130" t="n">
        <f aca="false">ExportRaw!$G67</f>
        <v>0</v>
      </c>
      <c r="D67" s="130" t="str">
        <f aca="false">ExportRaw!$E67</f>
        <v/>
      </c>
      <c r="E67" s="131" t="str">
        <f aca="false">ExportRaw!$D67</f>
        <v/>
      </c>
      <c r="F67" s="130" t="str">
        <f aca="false">ExportRaw!$H67</f>
        <v/>
      </c>
      <c r="G67" s="132" t="str">
        <f aca="false">ExportRaw!$I67</f>
        <v/>
      </c>
      <c r="H67" s="130" t="str">
        <f aca="false">ExportRaw!$A67</f>
        <v/>
      </c>
      <c r="I67" s="130" t="str">
        <f aca="false">ExportRaw!$B67</f>
        <v/>
      </c>
    </row>
    <row r="68" customFormat="false" ht="15.75" hidden="false" customHeight="false" outlineLevel="0" collapsed="false">
      <c r="A68" s="130" t="n">
        <f aca="false">ExportRaw!$F68</f>
        <v>0</v>
      </c>
      <c r="B68" s="130" t="n">
        <f aca="false">ExportRaw!$C68</f>
        <v>0</v>
      </c>
      <c r="C68" s="130" t="n">
        <f aca="false">ExportRaw!$G68</f>
        <v>0</v>
      </c>
      <c r="D68" s="130" t="str">
        <f aca="false">ExportRaw!$E68</f>
        <v/>
      </c>
      <c r="E68" s="131" t="str">
        <f aca="false">ExportRaw!$D68</f>
        <v/>
      </c>
      <c r="F68" s="130" t="str">
        <f aca="false">ExportRaw!$H68</f>
        <v/>
      </c>
      <c r="G68" s="132" t="str">
        <f aca="false">ExportRaw!$I68</f>
        <v/>
      </c>
      <c r="H68" s="130" t="str">
        <f aca="false">ExportRaw!$A68</f>
        <v/>
      </c>
      <c r="I68" s="130" t="str">
        <f aca="false">ExportRaw!$B68</f>
        <v/>
      </c>
    </row>
    <row r="69" customFormat="false" ht="15.75" hidden="false" customHeight="false" outlineLevel="0" collapsed="false">
      <c r="A69" s="130" t="n">
        <f aca="false">ExportRaw!$F69</f>
        <v>0</v>
      </c>
      <c r="B69" s="130" t="n">
        <f aca="false">ExportRaw!$C69</f>
        <v>0</v>
      </c>
      <c r="C69" s="130" t="n">
        <f aca="false">ExportRaw!$G69</f>
        <v>0</v>
      </c>
      <c r="D69" s="130" t="str">
        <f aca="false">ExportRaw!$E69</f>
        <v/>
      </c>
      <c r="E69" s="131" t="str">
        <f aca="false">ExportRaw!$D69</f>
        <v/>
      </c>
      <c r="F69" s="130" t="str">
        <f aca="false">ExportRaw!$H69</f>
        <v/>
      </c>
      <c r="G69" s="132" t="str">
        <f aca="false">ExportRaw!$I69</f>
        <v/>
      </c>
      <c r="H69" s="130" t="str">
        <f aca="false">ExportRaw!$A69</f>
        <v/>
      </c>
      <c r="I69" s="130" t="str">
        <f aca="false">ExportRaw!$B69</f>
        <v/>
      </c>
    </row>
    <row r="70" customFormat="false" ht="15.75" hidden="false" customHeight="false" outlineLevel="0" collapsed="false">
      <c r="A70" s="130" t="n">
        <f aca="false">ExportRaw!$F70</f>
        <v>0</v>
      </c>
      <c r="B70" s="130" t="n">
        <f aca="false">ExportRaw!$C70</f>
        <v>0</v>
      </c>
      <c r="C70" s="130" t="n">
        <f aca="false">ExportRaw!$G70</f>
        <v>0</v>
      </c>
      <c r="D70" s="130" t="str">
        <f aca="false">ExportRaw!$E70</f>
        <v/>
      </c>
      <c r="E70" s="131" t="str">
        <f aca="false">ExportRaw!$D70</f>
        <v/>
      </c>
      <c r="F70" s="130" t="str">
        <f aca="false">ExportRaw!$H70</f>
        <v/>
      </c>
      <c r="G70" s="132" t="str">
        <f aca="false">ExportRaw!$I70</f>
        <v/>
      </c>
      <c r="H70" s="130" t="str">
        <f aca="false">ExportRaw!$A70</f>
        <v/>
      </c>
      <c r="I70" s="130" t="str">
        <f aca="false">ExportRaw!$B70</f>
        <v/>
      </c>
    </row>
    <row r="71" customFormat="false" ht="15.75" hidden="false" customHeight="false" outlineLevel="0" collapsed="false">
      <c r="A71" s="130" t="n">
        <f aca="false">ExportRaw!$F71</f>
        <v>0</v>
      </c>
      <c r="B71" s="130" t="n">
        <f aca="false">ExportRaw!$C71</f>
        <v>0</v>
      </c>
      <c r="C71" s="130" t="n">
        <f aca="false">ExportRaw!$G71</f>
        <v>0</v>
      </c>
      <c r="D71" s="130" t="str">
        <f aca="false">ExportRaw!$E71</f>
        <v/>
      </c>
      <c r="E71" s="131" t="str">
        <f aca="false">ExportRaw!$D71</f>
        <v/>
      </c>
      <c r="F71" s="130" t="str">
        <f aca="false">ExportRaw!$H71</f>
        <v/>
      </c>
      <c r="G71" s="132" t="str">
        <f aca="false">ExportRaw!$I71</f>
        <v/>
      </c>
      <c r="H71" s="130" t="str">
        <f aca="false">ExportRaw!$A71</f>
        <v/>
      </c>
      <c r="I71" s="130" t="str">
        <f aca="false">ExportRaw!$B71</f>
        <v/>
      </c>
    </row>
    <row r="72" customFormat="false" ht="15.75" hidden="false" customHeight="false" outlineLevel="0" collapsed="false">
      <c r="A72" s="130" t="n">
        <f aca="false">ExportRaw!$F72</f>
        <v>0</v>
      </c>
      <c r="B72" s="130" t="n">
        <f aca="false">ExportRaw!$C72</f>
        <v>0</v>
      </c>
      <c r="C72" s="130" t="n">
        <f aca="false">ExportRaw!$G72</f>
        <v>0</v>
      </c>
      <c r="D72" s="130" t="str">
        <f aca="false">ExportRaw!$E72</f>
        <v/>
      </c>
      <c r="E72" s="131" t="str">
        <f aca="false">ExportRaw!$D72</f>
        <v/>
      </c>
      <c r="F72" s="130" t="str">
        <f aca="false">ExportRaw!$H72</f>
        <v/>
      </c>
      <c r="G72" s="132" t="str">
        <f aca="false">ExportRaw!$I72</f>
        <v/>
      </c>
      <c r="H72" s="130" t="str">
        <f aca="false">ExportRaw!$A72</f>
        <v/>
      </c>
      <c r="I72" s="130" t="str">
        <f aca="false">ExportRaw!$B72</f>
        <v/>
      </c>
    </row>
    <row r="73" customFormat="false" ht="15.75" hidden="false" customHeight="false" outlineLevel="0" collapsed="false">
      <c r="A73" s="130" t="n">
        <f aca="false">ExportRaw!$F73</f>
        <v>0</v>
      </c>
      <c r="B73" s="130" t="n">
        <f aca="false">ExportRaw!$C73</f>
        <v>0</v>
      </c>
      <c r="C73" s="130" t="n">
        <f aca="false">ExportRaw!$G73</f>
        <v>0</v>
      </c>
      <c r="D73" s="130" t="str">
        <f aca="false">ExportRaw!$E73</f>
        <v/>
      </c>
      <c r="E73" s="131" t="str">
        <f aca="false">ExportRaw!$D73</f>
        <v/>
      </c>
      <c r="F73" s="130" t="str">
        <f aca="false">ExportRaw!$H73</f>
        <v/>
      </c>
      <c r="G73" s="132" t="str">
        <f aca="false">ExportRaw!$I73</f>
        <v/>
      </c>
      <c r="H73" s="130" t="str">
        <f aca="false">ExportRaw!$A73</f>
        <v/>
      </c>
      <c r="I73" s="130" t="str">
        <f aca="false">ExportRaw!$B73</f>
        <v/>
      </c>
    </row>
    <row r="74" customFormat="false" ht="15.75" hidden="false" customHeight="false" outlineLevel="0" collapsed="false">
      <c r="A74" s="130" t="n">
        <f aca="false">ExportRaw!$F74</f>
        <v>0</v>
      </c>
      <c r="B74" s="130" t="n">
        <f aca="false">ExportRaw!$C74</f>
        <v>0</v>
      </c>
      <c r="C74" s="130" t="n">
        <f aca="false">ExportRaw!$G74</f>
        <v>0</v>
      </c>
      <c r="D74" s="130" t="str">
        <f aca="false">ExportRaw!$E74</f>
        <v/>
      </c>
      <c r="E74" s="131" t="str">
        <f aca="false">ExportRaw!$D74</f>
        <v/>
      </c>
      <c r="F74" s="130" t="str">
        <f aca="false">ExportRaw!$H74</f>
        <v/>
      </c>
      <c r="G74" s="132" t="str">
        <f aca="false">ExportRaw!$I74</f>
        <v/>
      </c>
      <c r="H74" s="130" t="str">
        <f aca="false">ExportRaw!$A74</f>
        <v/>
      </c>
      <c r="I74" s="130" t="str">
        <f aca="false">ExportRaw!$B74</f>
        <v/>
      </c>
    </row>
    <row r="75" customFormat="false" ht="15.75" hidden="false" customHeight="false" outlineLevel="0" collapsed="false">
      <c r="A75" s="130" t="n">
        <f aca="false">ExportRaw!$F75</f>
        <v>0</v>
      </c>
      <c r="B75" s="130" t="n">
        <f aca="false">ExportRaw!$C75</f>
        <v>0</v>
      </c>
      <c r="C75" s="130" t="n">
        <f aca="false">ExportRaw!$G75</f>
        <v>0</v>
      </c>
      <c r="D75" s="130" t="str">
        <f aca="false">ExportRaw!$E75</f>
        <v/>
      </c>
      <c r="E75" s="131" t="str">
        <f aca="false">ExportRaw!$D75</f>
        <v/>
      </c>
      <c r="F75" s="130" t="str">
        <f aca="false">ExportRaw!$H75</f>
        <v/>
      </c>
      <c r="G75" s="132" t="str">
        <f aca="false">ExportRaw!$I75</f>
        <v/>
      </c>
      <c r="H75" s="130" t="str">
        <f aca="false">ExportRaw!$A75</f>
        <v/>
      </c>
      <c r="I75" s="130" t="str">
        <f aca="false">ExportRaw!$B75</f>
        <v/>
      </c>
    </row>
    <row r="76" customFormat="false" ht="15.75" hidden="false" customHeight="false" outlineLevel="0" collapsed="false">
      <c r="A76" s="130" t="n">
        <f aca="false">ExportRaw!$F76</f>
        <v>0</v>
      </c>
      <c r="B76" s="130" t="n">
        <f aca="false">ExportRaw!$C76</f>
        <v>0</v>
      </c>
      <c r="C76" s="130" t="n">
        <f aca="false">ExportRaw!$G76</f>
        <v>0</v>
      </c>
      <c r="D76" s="130" t="str">
        <f aca="false">ExportRaw!$E76</f>
        <v/>
      </c>
      <c r="E76" s="131" t="str">
        <f aca="false">ExportRaw!$D76</f>
        <v/>
      </c>
      <c r="F76" s="130" t="str">
        <f aca="false">ExportRaw!$H76</f>
        <v/>
      </c>
      <c r="G76" s="132" t="str">
        <f aca="false">ExportRaw!$I76</f>
        <v/>
      </c>
      <c r="H76" s="130" t="str">
        <f aca="false">ExportRaw!$A76</f>
        <v/>
      </c>
      <c r="I76" s="130" t="str">
        <f aca="false">ExportRaw!$B76</f>
        <v/>
      </c>
    </row>
    <row r="77" customFormat="false" ht="15.75" hidden="false" customHeight="false" outlineLevel="0" collapsed="false">
      <c r="A77" s="130" t="n">
        <f aca="false">ExportRaw!$F77</f>
        <v>0</v>
      </c>
      <c r="B77" s="130" t="n">
        <f aca="false">ExportRaw!$C77</f>
        <v>0</v>
      </c>
      <c r="C77" s="130" t="n">
        <f aca="false">ExportRaw!$G77</f>
        <v>0</v>
      </c>
      <c r="D77" s="130" t="str">
        <f aca="false">ExportRaw!$E77</f>
        <v/>
      </c>
      <c r="E77" s="131" t="str">
        <f aca="false">ExportRaw!$D77</f>
        <v/>
      </c>
      <c r="F77" s="130" t="str">
        <f aca="false">ExportRaw!$H77</f>
        <v/>
      </c>
      <c r="G77" s="132" t="str">
        <f aca="false">ExportRaw!$I77</f>
        <v/>
      </c>
      <c r="H77" s="130" t="str">
        <f aca="false">ExportRaw!$A77</f>
        <v/>
      </c>
      <c r="I77" s="130" t="str">
        <f aca="false">ExportRaw!$B77</f>
        <v/>
      </c>
    </row>
    <row r="78" customFormat="false" ht="15.75" hidden="false" customHeight="false" outlineLevel="0" collapsed="false">
      <c r="A78" s="130" t="n">
        <f aca="false">ExportRaw!$F78</f>
        <v>0</v>
      </c>
      <c r="B78" s="130" t="n">
        <f aca="false">ExportRaw!$C78</f>
        <v>0</v>
      </c>
      <c r="C78" s="130" t="n">
        <f aca="false">ExportRaw!$G78</f>
        <v>0</v>
      </c>
      <c r="D78" s="130" t="str">
        <f aca="false">ExportRaw!$E78</f>
        <v/>
      </c>
      <c r="E78" s="131" t="str">
        <f aca="false">ExportRaw!$D78</f>
        <v/>
      </c>
      <c r="F78" s="130" t="str">
        <f aca="false">ExportRaw!$H78</f>
        <v/>
      </c>
      <c r="G78" s="132" t="str">
        <f aca="false">ExportRaw!$I78</f>
        <v/>
      </c>
      <c r="H78" s="130" t="str">
        <f aca="false">ExportRaw!$A78</f>
        <v/>
      </c>
      <c r="I78" s="130" t="str">
        <f aca="false">ExportRaw!$B78</f>
        <v/>
      </c>
    </row>
    <row r="79" customFormat="false" ht="15.75" hidden="false" customHeight="false" outlineLevel="0" collapsed="false">
      <c r="A79" s="130" t="n">
        <f aca="false">ExportRaw!$F79</f>
        <v>0</v>
      </c>
      <c r="B79" s="130" t="n">
        <f aca="false">ExportRaw!$C79</f>
        <v>0</v>
      </c>
      <c r="C79" s="130" t="n">
        <f aca="false">ExportRaw!$G79</f>
        <v>0</v>
      </c>
      <c r="D79" s="130" t="str">
        <f aca="false">ExportRaw!$E79</f>
        <v/>
      </c>
      <c r="E79" s="131" t="str">
        <f aca="false">ExportRaw!$D79</f>
        <v/>
      </c>
      <c r="F79" s="130" t="str">
        <f aca="false">ExportRaw!$H79</f>
        <v/>
      </c>
      <c r="G79" s="132" t="str">
        <f aca="false">ExportRaw!$I79</f>
        <v/>
      </c>
      <c r="H79" s="130" t="str">
        <f aca="false">ExportRaw!$A79</f>
        <v/>
      </c>
      <c r="I79" s="130" t="str">
        <f aca="false">ExportRaw!$B79</f>
        <v/>
      </c>
    </row>
    <row r="80" customFormat="false" ht="15.75" hidden="false" customHeight="false" outlineLevel="0" collapsed="false">
      <c r="A80" s="130" t="n">
        <f aca="false">ExportRaw!$F80</f>
        <v>0</v>
      </c>
      <c r="B80" s="130" t="n">
        <f aca="false">ExportRaw!$C80</f>
        <v>0</v>
      </c>
      <c r="C80" s="130" t="n">
        <f aca="false">ExportRaw!$G80</f>
        <v>0</v>
      </c>
      <c r="D80" s="130" t="str">
        <f aca="false">ExportRaw!$E80</f>
        <v/>
      </c>
      <c r="E80" s="131" t="str">
        <f aca="false">ExportRaw!$D80</f>
        <v/>
      </c>
      <c r="F80" s="130" t="str">
        <f aca="false">ExportRaw!$H80</f>
        <v/>
      </c>
      <c r="G80" s="132" t="str">
        <f aca="false">ExportRaw!$I80</f>
        <v/>
      </c>
      <c r="H80" s="130" t="str">
        <f aca="false">ExportRaw!$A80</f>
        <v/>
      </c>
      <c r="I80" s="130" t="str">
        <f aca="false">ExportRaw!$B80</f>
        <v/>
      </c>
    </row>
    <row r="81" customFormat="false" ht="15.75" hidden="false" customHeight="false" outlineLevel="0" collapsed="false">
      <c r="A81" s="130" t="n">
        <f aca="false">ExportRaw!$F81</f>
        <v>0</v>
      </c>
      <c r="B81" s="130" t="n">
        <f aca="false">ExportRaw!$C81</f>
        <v>0</v>
      </c>
      <c r="C81" s="130" t="n">
        <f aca="false">ExportRaw!$G81</f>
        <v>0</v>
      </c>
      <c r="D81" s="130" t="str">
        <f aca="false">ExportRaw!$E81</f>
        <v/>
      </c>
      <c r="E81" s="131" t="str">
        <f aca="false">ExportRaw!$D81</f>
        <v/>
      </c>
      <c r="F81" s="130" t="str">
        <f aca="false">ExportRaw!$H81</f>
        <v/>
      </c>
      <c r="G81" s="132" t="str">
        <f aca="false">ExportRaw!$I81</f>
        <v/>
      </c>
      <c r="H81" s="130" t="str">
        <f aca="false">ExportRaw!$A81</f>
        <v/>
      </c>
      <c r="I81" s="130" t="str">
        <f aca="false">ExportRaw!$B81</f>
        <v/>
      </c>
    </row>
    <row r="82" customFormat="false" ht="15.75" hidden="false" customHeight="false" outlineLevel="0" collapsed="false">
      <c r="A82" s="130" t="n">
        <f aca="false">ExportRaw!$F82</f>
        <v>0</v>
      </c>
      <c r="B82" s="130" t="n">
        <f aca="false">ExportRaw!$C82</f>
        <v>0</v>
      </c>
      <c r="C82" s="130" t="n">
        <f aca="false">ExportRaw!$G82</f>
        <v>0</v>
      </c>
      <c r="D82" s="130" t="str">
        <f aca="false">ExportRaw!$E82</f>
        <v/>
      </c>
      <c r="E82" s="131" t="str">
        <f aca="false">ExportRaw!$D82</f>
        <v/>
      </c>
      <c r="F82" s="130" t="str">
        <f aca="false">ExportRaw!$H82</f>
        <v/>
      </c>
      <c r="G82" s="132" t="str">
        <f aca="false">ExportRaw!$I82</f>
        <v/>
      </c>
      <c r="H82" s="130" t="str">
        <f aca="false">ExportRaw!$A82</f>
        <v/>
      </c>
      <c r="I82" s="130" t="str">
        <f aca="false">ExportRaw!$B82</f>
        <v/>
      </c>
    </row>
    <row r="83" customFormat="false" ht="15.75" hidden="false" customHeight="false" outlineLevel="0" collapsed="false">
      <c r="A83" s="130" t="n">
        <f aca="false">ExportRaw!$F83</f>
        <v>0</v>
      </c>
      <c r="B83" s="130" t="n">
        <f aca="false">ExportRaw!$C83</f>
        <v>0</v>
      </c>
      <c r="C83" s="130" t="n">
        <f aca="false">ExportRaw!$G83</f>
        <v>0</v>
      </c>
      <c r="D83" s="130" t="str">
        <f aca="false">ExportRaw!$E83</f>
        <v/>
      </c>
      <c r="E83" s="131" t="str">
        <f aca="false">ExportRaw!$D83</f>
        <v/>
      </c>
      <c r="F83" s="130" t="str">
        <f aca="false">ExportRaw!$H83</f>
        <v/>
      </c>
      <c r="G83" s="132" t="str">
        <f aca="false">ExportRaw!$I83</f>
        <v/>
      </c>
      <c r="H83" s="130" t="str">
        <f aca="false">ExportRaw!$A83</f>
        <v/>
      </c>
      <c r="I83" s="130" t="str">
        <f aca="false">ExportRaw!$B83</f>
        <v/>
      </c>
    </row>
    <row r="84" customFormat="false" ht="15.75" hidden="false" customHeight="false" outlineLevel="0" collapsed="false">
      <c r="A84" s="130" t="n">
        <f aca="false">ExportRaw!$F84</f>
        <v>0</v>
      </c>
      <c r="B84" s="130" t="n">
        <f aca="false">ExportRaw!$C84</f>
        <v>0</v>
      </c>
      <c r="C84" s="130" t="n">
        <f aca="false">ExportRaw!$G84</f>
        <v>0</v>
      </c>
      <c r="D84" s="130" t="str">
        <f aca="false">ExportRaw!$E84</f>
        <v/>
      </c>
      <c r="E84" s="131" t="str">
        <f aca="false">ExportRaw!$D84</f>
        <v/>
      </c>
      <c r="F84" s="130" t="str">
        <f aca="false">ExportRaw!$H84</f>
        <v/>
      </c>
      <c r="G84" s="132" t="str">
        <f aca="false">ExportRaw!$I84</f>
        <v/>
      </c>
      <c r="H84" s="130" t="str">
        <f aca="false">ExportRaw!$A84</f>
        <v/>
      </c>
      <c r="I84" s="130" t="str">
        <f aca="false">ExportRaw!$B84</f>
        <v/>
      </c>
    </row>
    <row r="85" customFormat="false" ht="15.75" hidden="false" customHeight="false" outlineLevel="0" collapsed="false">
      <c r="A85" s="130" t="n">
        <f aca="false">ExportRaw!$F85</f>
        <v>0</v>
      </c>
      <c r="B85" s="130" t="n">
        <f aca="false">ExportRaw!$C85</f>
        <v>0</v>
      </c>
      <c r="C85" s="130" t="n">
        <f aca="false">ExportRaw!$G85</f>
        <v>0</v>
      </c>
      <c r="D85" s="130" t="str">
        <f aca="false">ExportRaw!$E85</f>
        <v/>
      </c>
      <c r="E85" s="131" t="str">
        <f aca="false">ExportRaw!$D85</f>
        <v/>
      </c>
      <c r="F85" s="130" t="str">
        <f aca="false">ExportRaw!$H85</f>
        <v/>
      </c>
      <c r="G85" s="132" t="str">
        <f aca="false">ExportRaw!$I85</f>
        <v/>
      </c>
      <c r="H85" s="130" t="str">
        <f aca="false">ExportRaw!$A85</f>
        <v/>
      </c>
      <c r="I85" s="130" t="str">
        <f aca="false">ExportRaw!$B85</f>
        <v/>
      </c>
    </row>
    <row r="86" customFormat="false" ht="15.75" hidden="false" customHeight="false" outlineLevel="0" collapsed="false">
      <c r="A86" s="130" t="n">
        <f aca="false">ExportRaw!$F86</f>
        <v>0</v>
      </c>
      <c r="B86" s="130" t="n">
        <f aca="false">ExportRaw!$C86</f>
        <v>0</v>
      </c>
      <c r="C86" s="130" t="n">
        <f aca="false">ExportRaw!$G86</f>
        <v>0</v>
      </c>
      <c r="D86" s="130" t="str">
        <f aca="false">ExportRaw!$E86</f>
        <v/>
      </c>
      <c r="E86" s="131" t="str">
        <f aca="false">ExportRaw!$D86</f>
        <v/>
      </c>
      <c r="F86" s="130" t="str">
        <f aca="false">ExportRaw!$H86</f>
        <v/>
      </c>
      <c r="G86" s="132" t="str">
        <f aca="false">ExportRaw!$I86</f>
        <v/>
      </c>
      <c r="H86" s="130" t="str">
        <f aca="false">ExportRaw!$A86</f>
        <v/>
      </c>
      <c r="I86" s="130" t="str">
        <f aca="false">ExportRaw!$B86</f>
        <v/>
      </c>
    </row>
    <row r="87" customFormat="false" ht="15.75" hidden="false" customHeight="false" outlineLevel="0" collapsed="false">
      <c r="A87" s="130" t="n">
        <f aca="false">ExportRaw!$F87</f>
        <v>0</v>
      </c>
      <c r="B87" s="130" t="n">
        <f aca="false">ExportRaw!$C87</f>
        <v>0</v>
      </c>
      <c r="C87" s="130" t="n">
        <f aca="false">ExportRaw!$G87</f>
        <v>0</v>
      </c>
      <c r="D87" s="130" t="str">
        <f aca="false">ExportRaw!$E87</f>
        <v/>
      </c>
      <c r="E87" s="131" t="str">
        <f aca="false">ExportRaw!$D87</f>
        <v/>
      </c>
      <c r="F87" s="130" t="str">
        <f aca="false">ExportRaw!$H87</f>
        <v/>
      </c>
      <c r="G87" s="132" t="str">
        <f aca="false">ExportRaw!$I87</f>
        <v/>
      </c>
      <c r="H87" s="130" t="str">
        <f aca="false">ExportRaw!$A87</f>
        <v/>
      </c>
      <c r="I87" s="130" t="str">
        <f aca="false">ExportRaw!$B87</f>
        <v/>
      </c>
    </row>
    <row r="88" customFormat="false" ht="15.75" hidden="false" customHeight="false" outlineLevel="0" collapsed="false">
      <c r="A88" s="130" t="n">
        <f aca="false">ExportRaw!$F88</f>
        <v>0</v>
      </c>
      <c r="B88" s="130" t="n">
        <f aca="false">ExportRaw!$C88</f>
        <v>0</v>
      </c>
      <c r="C88" s="130" t="n">
        <f aca="false">ExportRaw!$G88</f>
        <v>0</v>
      </c>
      <c r="D88" s="130" t="str">
        <f aca="false">ExportRaw!$E88</f>
        <v/>
      </c>
      <c r="E88" s="131" t="str">
        <f aca="false">ExportRaw!$D88</f>
        <v/>
      </c>
      <c r="F88" s="130" t="str">
        <f aca="false">ExportRaw!$H88</f>
        <v/>
      </c>
      <c r="G88" s="132" t="str">
        <f aca="false">ExportRaw!$I88</f>
        <v/>
      </c>
      <c r="H88" s="130" t="str">
        <f aca="false">ExportRaw!$A88</f>
        <v/>
      </c>
      <c r="I88" s="130" t="str">
        <f aca="false">ExportRaw!$B88</f>
        <v/>
      </c>
    </row>
    <row r="89" customFormat="false" ht="15.75" hidden="false" customHeight="false" outlineLevel="0" collapsed="false">
      <c r="A89" s="130" t="n">
        <f aca="false">ExportRaw!$F89</f>
        <v>0</v>
      </c>
      <c r="B89" s="130" t="n">
        <f aca="false">ExportRaw!$C89</f>
        <v>0</v>
      </c>
      <c r="C89" s="130" t="n">
        <f aca="false">ExportRaw!$G89</f>
        <v>0</v>
      </c>
      <c r="D89" s="130" t="str">
        <f aca="false">ExportRaw!$E89</f>
        <v/>
      </c>
      <c r="E89" s="131" t="str">
        <f aca="false">ExportRaw!$D89</f>
        <v/>
      </c>
      <c r="F89" s="130" t="str">
        <f aca="false">ExportRaw!$H89</f>
        <v/>
      </c>
      <c r="G89" s="132" t="str">
        <f aca="false">ExportRaw!$I89</f>
        <v/>
      </c>
      <c r="H89" s="130" t="str">
        <f aca="false">ExportRaw!$A89</f>
        <v/>
      </c>
      <c r="I89" s="130" t="str">
        <f aca="false">ExportRaw!$B89</f>
        <v/>
      </c>
    </row>
    <row r="90" customFormat="false" ht="15.75" hidden="false" customHeight="false" outlineLevel="0" collapsed="false">
      <c r="A90" s="130" t="n">
        <f aca="false">ExportRaw!$F90</f>
        <v>0</v>
      </c>
      <c r="B90" s="130" t="n">
        <f aca="false">ExportRaw!$C90</f>
        <v>0</v>
      </c>
      <c r="C90" s="130" t="n">
        <f aca="false">ExportRaw!$G90</f>
        <v>0</v>
      </c>
      <c r="D90" s="130" t="str">
        <f aca="false">ExportRaw!$E90</f>
        <v/>
      </c>
      <c r="E90" s="131" t="str">
        <f aca="false">ExportRaw!$D90</f>
        <v/>
      </c>
      <c r="F90" s="130" t="str">
        <f aca="false">ExportRaw!$H90</f>
        <v/>
      </c>
      <c r="G90" s="132" t="str">
        <f aca="false">ExportRaw!$I90</f>
        <v/>
      </c>
      <c r="H90" s="130" t="str">
        <f aca="false">ExportRaw!$A90</f>
        <v/>
      </c>
      <c r="I90" s="130" t="str">
        <f aca="false">ExportRaw!$B90</f>
        <v/>
      </c>
    </row>
    <row r="91" customFormat="false" ht="15.75" hidden="false" customHeight="false" outlineLevel="0" collapsed="false">
      <c r="A91" s="130" t="n">
        <f aca="false">ExportRaw!$F91</f>
        <v>0</v>
      </c>
      <c r="B91" s="130" t="n">
        <f aca="false">ExportRaw!$C91</f>
        <v>0</v>
      </c>
      <c r="C91" s="130" t="n">
        <f aca="false">ExportRaw!$G91</f>
        <v>0</v>
      </c>
      <c r="D91" s="130" t="str">
        <f aca="false">ExportRaw!$E91</f>
        <v/>
      </c>
      <c r="E91" s="131" t="str">
        <f aca="false">ExportRaw!$D91</f>
        <v/>
      </c>
      <c r="F91" s="130" t="str">
        <f aca="false">ExportRaw!$H91</f>
        <v/>
      </c>
      <c r="G91" s="132" t="str">
        <f aca="false">ExportRaw!$I91</f>
        <v/>
      </c>
      <c r="H91" s="130" t="str">
        <f aca="false">ExportRaw!$A91</f>
        <v/>
      </c>
      <c r="I91" s="130" t="str">
        <f aca="false">ExportRaw!$B91</f>
        <v/>
      </c>
    </row>
    <row r="92" customFormat="false" ht="15.75" hidden="false" customHeight="false" outlineLevel="0" collapsed="false">
      <c r="A92" s="130" t="n">
        <f aca="false">ExportRaw!$F92</f>
        <v>0</v>
      </c>
      <c r="B92" s="130" t="n">
        <f aca="false">ExportRaw!$C92</f>
        <v>0</v>
      </c>
      <c r="C92" s="130" t="n">
        <f aca="false">ExportRaw!$G92</f>
        <v>0</v>
      </c>
      <c r="D92" s="130" t="str">
        <f aca="false">ExportRaw!$E92</f>
        <v/>
      </c>
      <c r="E92" s="131" t="str">
        <f aca="false">ExportRaw!$D92</f>
        <v/>
      </c>
      <c r="F92" s="130" t="str">
        <f aca="false">ExportRaw!$H92</f>
        <v/>
      </c>
      <c r="G92" s="132" t="str">
        <f aca="false">ExportRaw!$I92</f>
        <v/>
      </c>
      <c r="H92" s="130" t="str">
        <f aca="false">ExportRaw!$A92</f>
        <v/>
      </c>
      <c r="I92" s="130" t="str">
        <f aca="false">ExportRaw!$B92</f>
        <v/>
      </c>
    </row>
    <row r="93" customFormat="false" ht="15.75" hidden="false" customHeight="false" outlineLevel="0" collapsed="false">
      <c r="A93" s="130" t="n">
        <f aca="false">ExportRaw!$F93</f>
        <v>0</v>
      </c>
      <c r="B93" s="130" t="n">
        <f aca="false">ExportRaw!$C93</f>
        <v>0</v>
      </c>
      <c r="C93" s="130" t="n">
        <f aca="false">ExportRaw!$G93</f>
        <v>0</v>
      </c>
      <c r="D93" s="130" t="str">
        <f aca="false">ExportRaw!$E93</f>
        <v/>
      </c>
      <c r="E93" s="131" t="str">
        <f aca="false">ExportRaw!$D93</f>
        <v/>
      </c>
      <c r="F93" s="130" t="str">
        <f aca="false">ExportRaw!$H93</f>
        <v/>
      </c>
      <c r="G93" s="132" t="str">
        <f aca="false">ExportRaw!$I93</f>
        <v/>
      </c>
      <c r="H93" s="130" t="str">
        <f aca="false">ExportRaw!$A93</f>
        <v/>
      </c>
      <c r="I93" s="130" t="str">
        <f aca="false">ExportRaw!$B93</f>
        <v/>
      </c>
    </row>
    <row r="94" customFormat="false" ht="15.75" hidden="false" customHeight="false" outlineLevel="0" collapsed="false">
      <c r="A94" s="130" t="n">
        <f aca="false">ExportRaw!$F94</f>
        <v>0</v>
      </c>
      <c r="B94" s="130" t="n">
        <f aca="false">ExportRaw!$C94</f>
        <v>0</v>
      </c>
      <c r="C94" s="130" t="n">
        <f aca="false">ExportRaw!$G94</f>
        <v>0</v>
      </c>
      <c r="D94" s="130" t="str">
        <f aca="false">ExportRaw!$E94</f>
        <v/>
      </c>
      <c r="E94" s="131" t="str">
        <f aca="false">ExportRaw!$D94</f>
        <v/>
      </c>
      <c r="F94" s="130" t="str">
        <f aca="false">ExportRaw!$H94</f>
        <v/>
      </c>
      <c r="G94" s="132" t="str">
        <f aca="false">ExportRaw!$I94</f>
        <v/>
      </c>
      <c r="H94" s="130" t="str">
        <f aca="false">ExportRaw!$A94</f>
        <v/>
      </c>
      <c r="I94" s="130" t="str">
        <f aca="false">ExportRaw!$B94</f>
        <v/>
      </c>
    </row>
    <row r="95" customFormat="false" ht="15.75" hidden="false" customHeight="false" outlineLevel="0" collapsed="false">
      <c r="A95" s="130" t="n">
        <f aca="false">ExportRaw!$F95</f>
        <v>0</v>
      </c>
      <c r="B95" s="130" t="n">
        <f aca="false">ExportRaw!$C95</f>
        <v>0</v>
      </c>
      <c r="C95" s="130" t="n">
        <f aca="false">ExportRaw!$G95</f>
        <v>0</v>
      </c>
      <c r="D95" s="130" t="str">
        <f aca="false">ExportRaw!$E95</f>
        <v/>
      </c>
      <c r="E95" s="131" t="str">
        <f aca="false">ExportRaw!$D95</f>
        <v/>
      </c>
      <c r="F95" s="130" t="str">
        <f aca="false">ExportRaw!$H95</f>
        <v/>
      </c>
      <c r="G95" s="132" t="str">
        <f aca="false">ExportRaw!$I95</f>
        <v/>
      </c>
      <c r="H95" s="130" t="str">
        <f aca="false">ExportRaw!$A95</f>
        <v/>
      </c>
      <c r="I95" s="130" t="str">
        <f aca="false">ExportRaw!$B95</f>
        <v/>
      </c>
    </row>
    <row r="96" customFormat="false" ht="15.75" hidden="false" customHeight="false" outlineLevel="0" collapsed="false">
      <c r="A96" s="130" t="n">
        <f aca="false">ExportRaw!$F96</f>
        <v>0</v>
      </c>
      <c r="B96" s="130" t="n">
        <f aca="false">ExportRaw!$C96</f>
        <v>0</v>
      </c>
      <c r="C96" s="130" t="n">
        <f aca="false">ExportRaw!$G96</f>
        <v>0</v>
      </c>
      <c r="D96" s="130" t="str">
        <f aca="false">ExportRaw!$E96</f>
        <v/>
      </c>
      <c r="E96" s="131" t="str">
        <f aca="false">ExportRaw!$D96</f>
        <v/>
      </c>
      <c r="F96" s="130" t="str">
        <f aca="false">ExportRaw!$H96</f>
        <v/>
      </c>
      <c r="G96" s="132" t="str">
        <f aca="false">ExportRaw!$I96</f>
        <v/>
      </c>
      <c r="H96" s="130" t="str">
        <f aca="false">ExportRaw!$A96</f>
        <v/>
      </c>
      <c r="I96" s="130" t="str">
        <f aca="false">ExportRaw!$B96</f>
        <v/>
      </c>
    </row>
    <row r="97" customFormat="false" ht="15.75" hidden="false" customHeight="false" outlineLevel="0" collapsed="false">
      <c r="A97" s="130" t="n">
        <f aca="false">ExportRaw!$F97</f>
        <v>0</v>
      </c>
      <c r="B97" s="130" t="n">
        <f aca="false">ExportRaw!$C97</f>
        <v>0</v>
      </c>
      <c r="C97" s="130" t="n">
        <f aca="false">ExportRaw!$G97</f>
        <v>0</v>
      </c>
      <c r="D97" s="130" t="str">
        <f aca="false">ExportRaw!$E97</f>
        <v/>
      </c>
      <c r="E97" s="131" t="str">
        <f aca="false">ExportRaw!$D97</f>
        <v/>
      </c>
      <c r="F97" s="130" t="str">
        <f aca="false">ExportRaw!$H97</f>
        <v/>
      </c>
      <c r="G97" s="132" t="str">
        <f aca="false">ExportRaw!$I97</f>
        <v/>
      </c>
      <c r="H97" s="130" t="str">
        <f aca="false">ExportRaw!$A97</f>
        <v/>
      </c>
      <c r="I97" s="130" t="str">
        <f aca="false">ExportRaw!$B97</f>
        <v/>
      </c>
    </row>
    <row r="98" customFormat="false" ht="15.75" hidden="false" customHeight="false" outlineLevel="0" collapsed="false">
      <c r="A98" s="130" t="n">
        <f aca="false">ExportRaw!$F98</f>
        <v>0</v>
      </c>
      <c r="B98" s="130" t="n">
        <f aca="false">ExportRaw!$C98</f>
        <v>0</v>
      </c>
      <c r="C98" s="130" t="n">
        <f aca="false">ExportRaw!$G98</f>
        <v>0</v>
      </c>
      <c r="D98" s="130" t="str">
        <f aca="false">ExportRaw!$E98</f>
        <v/>
      </c>
      <c r="E98" s="131" t="str">
        <f aca="false">ExportRaw!$D98</f>
        <v/>
      </c>
      <c r="F98" s="130" t="str">
        <f aca="false">ExportRaw!$H98</f>
        <v/>
      </c>
      <c r="G98" s="132" t="str">
        <f aca="false">ExportRaw!$I98</f>
        <v/>
      </c>
      <c r="H98" s="130" t="str">
        <f aca="false">ExportRaw!$A98</f>
        <v/>
      </c>
      <c r="I98" s="130" t="str">
        <f aca="false">ExportRaw!$B98</f>
        <v/>
      </c>
    </row>
    <row r="99" customFormat="false" ht="15.75" hidden="false" customHeight="false" outlineLevel="0" collapsed="false">
      <c r="A99" s="130" t="n">
        <f aca="false">ExportRaw!$F99</f>
        <v>0</v>
      </c>
      <c r="B99" s="130" t="n">
        <f aca="false">ExportRaw!$C99</f>
        <v>0</v>
      </c>
      <c r="C99" s="130" t="n">
        <f aca="false">ExportRaw!$G99</f>
        <v>0</v>
      </c>
      <c r="D99" s="130" t="str">
        <f aca="false">ExportRaw!$E99</f>
        <v/>
      </c>
      <c r="E99" s="131" t="str">
        <f aca="false">ExportRaw!$D99</f>
        <v/>
      </c>
      <c r="F99" s="130" t="str">
        <f aca="false">ExportRaw!$H99</f>
        <v/>
      </c>
      <c r="G99" s="132" t="str">
        <f aca="false">ExportRaw!$I99</f>
        <v/>
      </c>
      <c r="H99" s="130" t="str">
        <f aca="false">ExportRaw!$A99</f>
        <v/>
      </c>
      <c r="I99" s="130" t="str">
        <f aca="false">ExportRaw!$B99</f>
        <v/>
      </c>
    </row>
    <row r="100" customFormat="false" ht="15.75" hidden="false" customHeight="false" outlineLevel="0" collapsed="false">
      <c r="A100" s="130" t="n">
        <f aca="false">ExportRaw!$F100</f>
        <v>0</v>
      </c>
      <c r="B100" s="130" t="n">
        <f aca="false">ExportRaw!$C100</f>
        <v>0</v>
      </c>
      <c r="C100" s="130" t="n">
        <f aca="false">ExportRaw!$G100</f>
        <v>0</v>
      </c>
      <c r="D100" s="130" t="str">
        <f aca="false">ExportRaw!$E100</f>
        <v/>
      </c>
      <c r="E100" s="131" t="str">
        <f aca="false">ExportRaw!$D100</f>
        <v/>
      </c>
      <c r="F100" s="130" t="str">
        <f aca="false">ExportRaw!$H100</f>
        <v/>
      </c>
      <c r="G100" s="132" t="str">
        <f aca="false">ExportRaw!$I100</f>
        <v/>
      </c>
      <c r="H100" s="130" t="str">
        <f aca="false">ExportRaw!$A100</f>
        <v/>
      </c>
      <c r="I100" s="130" t="str">
        <f aca="false">ExportRaw!$B100</f>
        <v/>
      </c>
    </row>
    <row r="101" customFormat="false" ht="15.75" hidden="false" customHeight="false" outlineLevel="0" collapsed="false">
      <c r="A101" s="130" t="n">
        <f aca="false">ExportRaw!$F101</f>
        <v>0</v>
      </c>
      <c r="B101" s="130" t="n">
        <f aca="false">ExportRaw!$C101</f>
        <v>0</v>
      </c>
      <c r="C101" s="130" t="n">
        <f aca="false">ExportRaw!$G101</f>
        <v>0</v>
      </c>
      <c r="D101" s="130" t="str">
        <f aca="false">ExportRaw!$E101</f>
        <v/>
      </c>
      <c r="E101" s="131" t="str">
        <f aca="false">ExportRaw!$D101</f>
        <v/>
      </c>
      <c r="F101" s="130" t="str">
        <f aca="false">ExportRaw!$H101</f>
        <v/>
      </c>
      <c r="G101" s="132" t="str">
        <f aca="false">ExportRaw!$I101</f>
        <v/>
      </c>
      <c r="H101" s="130" t="str">
        <f aca="false">ExportRaw!$A101</f>
        <v/>
      </c>
      <c r="I101" s="130" t="str">
        <f aca="false">ExportRaw!$B101</f>
        <v/>
      </c>
    </row>
    <row r="102" customFormat="false" ht="15.75" hidden="false" customHeight="false" outlineLevel="0" collapsed="false">
      <c r="A102" s="130" t="n">
        <f aca="false">ExportRaw!$F102</f>
        <v>0</v>
      </c>
      <c r="B102" s="130" t="n">
        <f aca="false">ExportRaw!$C102</f>
        <v>0</v>
      </c>
      <c r="C102" s="130" t="n">
        <f aca="false">ExportRaw!$G102</f>
        <v>0</v>
      </c>
      <c r="D102" s="130" t="str">
        <f aca="false">ExportRaw!$E102</f>
        <v/>
      </c>
      <c r="E102" s="131" t="str">
        <f aca="false">ExportRaw!$D102</f>
        <v/>
      </c>
      <c r="F102" s="130" t="str">
        <f aca="false">ExportRaw!$H102</f>
        <v/>
      </c>
      <c r="G102" s="132" t="str">
        <f aca="false">ExportRaw!$I102</f>
        <v/>
      </c>
      <c r="H102" s="130" t="str">
        <f aca="false">ExportRaw!$A102</f>
        <v/>
      </c>
      <c r="I102" s="130" t="str">
        <f aca="false">ExportRaw!$B102</f>
        <v/>
      </c>
    </row>
    <row r="103" customFormat="false" ht="15.75" hidden="false" customHeight="false" outlineLevel="0" collapsed="false">
      <c r="A103" s="130" t="n">
        <f aca="false">ExportRaw!$F103</f>
        <v>0</v>
      </c>
      <c r="B103" s="130" t="n">
        <f aca="false">ExportRaw!$C103</f>
        <v>0</v>
      </c>
      <c r="C103" s="130" t="n">
        <f aca="false">ExportRaw!$G103</f>
        <v>0</v>
      </c>
      <c r="D103" s="130" t="str">
        <f aca="false">ExportRaw!$E103</f>
        <v/>
      </c>
      <c r="E103" s="131" t="str">
        <f aca="false">ExportRaw!$D103</f>
        <v/>
      </c>
      <c r="F103" s="130" t="str">
        <f aca="false">ExportRaw!$H103</f>
        <v/>
      </c>
      <c r="G103" s="132" t="str">
        <f aca="false">ExportRaw!$I103</f>
        <v/>
      </c>
      <c r="H103" s="130" t="str">
        <f aca="false">ExportRaw!$A103</f>
        <v/>
      </c>
      <c r="I103" s="130" t="str">
        <f aca="false">ExportRaw!$B103</f>
        <v/>
      </c>
    </row>
    <row r="104" customFormat="false" ht="15.75" hidden="false" customHeight="false" outlineLevel="0" collapsed="false">
      <c r="A104" s="130" t="n">
        <f aca="false">ExportRaw!$F104</f>
        <v>0</v>
      </c>
      <c r="B104" s="130" t="n">
        <f aca="false">ExportRaw!$C104</f>
        <v>0</v>
      </c>
      <c r="C104" s="130" t="n">
        <f aca="false">ExportRaw!$G104</f>
        <v>0</v>
      </c>
      <c r="D104" s="130" t="str">
        <f aca="false">ExportRaw!$E104</f>
        <v/>
      </c>
      <c r="E104" s="131" t="str">
        <f aca="false">ExportRaw!$D104</f>
        <v/>
      </c>
      <c r="F104" s="130" t="str">
        <f aca="false">ExportRaw!$H104</f>
        <v/>
      </c>
      <c r="G104" s="132" t="str">
        <f aca="false">ExportRaw!$I104</f>
        <v/>
      </c>
      <c r="H104" s="130" t="str">
        <f aca="false">ExportRaw!$A104</f>
        <v/>
      </c>
      <c r="I104" s="130" t="str">
        <f aca="false">ExportRaw!$B104</f>
        <v/>
      </c>
    </row>
    <row r="105" customFormat="false" ht="15.75" hidden="false" customHeight="false" outlineLevel="0" collapsed="false">
      <c r="A105" s="130" t="n">
        <f aca="false">ExportRaw!$F105</f>
        <v>0</v>
      </c>
      <c r="B105" s="130" t="n">
        <f aca="false">ExportRaw!$C105</f>
        <v>0</v>
      </c>
      <c r="C105" s="130" t="n">
        <f aca="false">ExportRaw!$G105</f>
        <v>0</v>
      </c>
      <c r="D105" s="130" t="str">
        <f aca="false">ExportRaw!$E105</f>
        <v/>
      </c>
      <c r="E105" s="131" t="str">
        <f aca="false">ExportRaw!$D105</f>
        <v/>
      </c>
      <c r="F105" s="130" t="str">
        <f aca="false">ExportRaw!$H105</f>
        <v/>
      </c>
      <c r="G105" s="132" t="str">
        <f aca="false">ExportRaw!$I105</f>
        <v/>
      </c>
      <c r="H105" s="130" t="str">
        <f aca="false">ExportRaw!$A105</f>
        <v/>
      </c>
      <c r="I105" s="130" t="str">
        <f aca="false">ExportRaw!$B105</f>
        <v/>
      </c>
    </row>
    <row r="106" customFormat="false" ht="15.75" hidden="false" customHeight="false" outlineLevel="0" collapsed="false">
      <c r="A106" s="130" t="n">
        <f aca="false">ExportRaw!$F106</f>
        <v>0</v>
      </c>
      <c r="B106" s="130" t="n">
        <f aca="false">ExportRaw!$C106</f>
        <v>0</v>
      </c>
      <c r="C106" s="130" t="n">
        <f aca="false">ExportRaw!$G106</f>
        <v>0</v>
      </c>
      <c r="D106" s="130" t="str">
        <f aca="false">ExportRaw!$E106</f>
        <v/>
      </c>
      <c r="E106" s="131" t="str">
        <f aca="false">ExportRaw!$D106</f>
        <v/>
      </c>
      <c r="F106" s="130" t="str">
        <f aca="false">ExportRaw!$H106</f>
        <v/>
      </c>
      <c r="G106" s="132" t="str">
        <f aca="false">ExportRaw!$I106</f>
        <v/>
      </c>
      <c r="H106" s="130" t="str">
        <f aca="false">ExportRaw!$A106</f>
        <v/>
      </c>
      <c r="I106" s="130" t="str">
        <f aca="false">ExportRaw!$B106</f>
        <v/>
      </c>
    </row>
    <row r="107" customFormat="false" ht="15.75" hidden="false" customHeight="false" outlineLevel="0" collapsed="false">
      <c r="A107" s="130" t="n">
        <f aca="false">ExportRaw!$F107</f>
        <v>0</v>
      </c>
      <c r="B107" s="130" t="n">
        <f aca="false">ExportRaw!$C107</f>
        <v>0</v>
      </c>
      <c r="C107" s="130" t="n">
        <f aca="false">ExportRaw!$G107</f>
        <v>0</v>
      </c>
      <c r="D107" s="130" t="str">
        <f aca="false">ExportRaw!$E107</f>
        <v/>
      </c>
      <c r="E107" s="131" t="str">
        <f aca="false">ExportRaw!$D107</f>
        <v/>
      </c>
      <c r="F107" s="130" t="str">
        <f aca="false">ExportRaw!$H107</f>
        <v/>
      </c>
      <c r="G107" s="132" t="str">
        <f aca="false">ExportRaw!$I107</f>
        <v/>
      </c>
      <c r="H107" s="130" t="str">
        <f aca="false">ExportRaw!$A107</f>
        <v/>
      </c>
      <c r="I107" s="130" t="str">
        <f aca="false">ExportRaw!$B107</f>
        <v/>
      </c>
    </row>
    <row r="108" customFormat="false" ht="15.75" hidden="false" customHeight="false" outlineLevel="0" collapsed="false">
      <c r="A108" s="130" t="n">
        <f aca="false">ExportRaw!$F108</f>
        <v>0</v>
      </c>
      <c r="B108" s="130" t="n">
        <f aca="false">ExportRaw!$C108</f>
        <v>0</v>
      </c>
      <c r="C108" s="130" t="n">
        <f aca="false">ExportRaw!$G108</f>
        <v>0</v>
      </c>
      <c r="D108" s="130" t="str">
        <f aca="false">ExportRaw!$E108</f>
        <v/>
      </c>
      <c r="E108" s="131" t="str">
        <f aca="false">ExportRaw!$D108</f>
        <v/>
      </c>
      <c r="F108" s="130" t="str">
        <f aca="false">ExportRaw!$H108</f>
        <v/>
      </c>
      <c r="G108" s="132" t="str">
        <f aca="false">ExportRaw!$I108</f>
        <v/>
      </c>
      <c r="H108" s="130" t="str">
        <f aca="false">ExportRaw!$A108</f>
        <v/>
      </c>
      <c r="I108" s="130" t="str">
        <f aca="false">ExportRaw!$B108</f>
        <v/>
      </c>
    </row>
    <row r="109" customFormat="false" ht="15.75" hidden="false" customHeight="false" outlineLevel="0" collapsed="false">
      <c r="A109" s="130" t="n">
        <f aca="false">ExportRaw!$F109</f>
        <v>0</v>
      </c>
      <c r="B109" s="130" t="n">
        <f aca="false">ExportRaw!$C109</f>
        <v>0</v>
      </c>
      <c r="C109" s="130" t="n">
        <f aca="false">ExportRaw!$G109</f>
        <v>0</v>
      </c>
      <c r="D109" s="130" t="str">
        <f aca="false">ExportRaw!$E109</f>
        <v/>
      </c>
      <c r="E109" s="131" t="str">
        <f aca="false">ExportRaw!$D109</f>
        <v/>
      </c>
      <c r="F109" s="130" t="str">
        <f aca="false">ExportRaw!$H109</f>
        <v/>
      </c>
      <c r="G109" s="132" t="str">
        <f aca="false">ExportRaw!$I109</f>
        <v/>
      </c>
      <c r="H109" s="130" t="str">
        <f aca="false">ExportRaw!$A109</f>
        <v/>
      </c>
      <c r="I109" s="130" t="str">
        <f aca="false">ExportRaw!$B109</f>
        <v/>
      </c>
    </row>
    <row r="110" customFormat="false" ht="15.75" hidden="false" customHeight="false" outlineLevel="0" collapsed="false">
      <c r="A110" s="130" t="n">
        <f aca="false">ExportRaw!$F110</f>
        <v>0</v>
      </c>
      <c r="B110" s="130" t="n">
        <f aca="false">ExportRaw!$C110</f>
        <v>0</v>
      </c>
      <c r="C110" s="130" t="n">
        <f aca="false">ExportRaw!$G110</f>
        <v>0</v>
      </c>
      <c r="D110" s="130" t="str">
        <f aca="false">ExportRaw!$E110</f>
        <v/>
      </c>
      <c r="E110" s="131" t="str">
        <f aca="false">ExportRaw!$D110</f>
        <v/>
      </c>
      <c r="F110" s="130" t="str">
        <f aca="false">ExportRaw!$H110</f>
        <v/>
      </c>
      <c r="G110" s="132" t="str">
        <f aca="false">ExportRaw!$I110</f>
        <v/>
      </c>
      <c r="H110" s="130" t="str">
        <f aca="false">ExportRaw!$A110</f>
        <v/>
      </c>
      <c r="I110" s="130" t="str">
        <f aca="false">ExportRaw!$B110</f>
        <v/>
      </c>
    </row>
    <row r="111" customFormat="false" ht="15.75" hidden="false" customHeight="false" outlineLevel="0" collapsed="false">
      <c r="A111" s="130" t="n">
        <f aca="false">ExportRaw!$F111</f>
        <v>0</v>
      </c>
      <c r="B111" s="130" t="n">
        <f aca="false">ExportRaw!$C111</f>
        <v>0</v>
      </c>
      <c r="C111" s="130" t="n">
        <f aca="false">ExportRaw!$G111</f>
        <v>0</v>
      </c>
      <c r="D111" s="130" t="str">
        <f aca="false">ExportRaw!$E111</f>
        <v/>
      </c>
      <c r="E111" s="131" t="str">
        <f aca="false">ExportRaw!$D111</f>
        <v/>
      </c>
      <c r="F111" s="130" t="str">
        <f aca="false">ExportRaw!$H111</f>
        <v/>
      </c>
      <c r="G111" s="132" t="str">
        <f aca="false">ExportRaw!$I111</f>
        <v/>
      </c>
      <c r="H111" s="130" t="str">
        <f aca="false">ExportRaw!$A111</f>
        <v/>
      </c>
      <c r="I111" s="130" t="str">
        <f aca="false">ExportRaw!$B111</f>
        <v/>
      </c>
    </row>
    <row r="112" customFormat="false" ht="15.75" hidden="false" customHeight="false" outlineLevel="0" collapsed="false">
      <c r="A112" s="130" t="n">
        <f aca="false">ExportRaw!$F112</f>
        <v>0</v>
      </c>
      <c r="B112" s="130" t="n">
        <f aca="false">ExportRaw!$C112</f>
        <v>0</v>
      </c>
      <c r="C112" s="130" t="n">
        <f aca="false">ExportRaw!$G112</f>
        <v>0</v>
      </c>
      <c r="D112" s="130" t="str">
        <f aca="false">ExportRaw!$E112</f>
        <v/>
      </c>
      <c r="E112" s="131" t="str">
        <f aca="false">ExportRaw!$D112</f>
        <v/>
      </c>
      <c r="F112" s="130" t="str">
        <f aca="false">ExportRaw!$H112</f>
        <v/>
      </c>
      <c r="G112" s="132" t="str">
        <f aca="false">ExportRaw!$I112</f>
        <v/>
      </c>
      <c r="H112" s="130" t="str">
        <f aca="false">ExportRaw!$A112</f>
        <v/>
      </c>
      <c r="I112" s="130" t="str">
        <f aca="false">ExportRaw!$B112</f>
        <v/>
      </c>
    </row>
    <row r="113" customFormat="false" ht="15.75" hidden="false" customHeight="false" outlineLevel="0" collapsed="false">
      <c r="A113" s="130" t="n">
        <f aca="false">ExportRaw!$F113</f>
        <v>0</v>
      </c>
      <c r="B113" s="130" t="n">
        <f aca="false">ExportRaw!$C113</f>
        <v>0</v>
      </c>
      <c r="C113" s="130" t="n">
        <f aca="false">ExportRaw!$G113</f>
        <v>0</v>
      </c>
      <c r="D113" s="130" t="str">
        <f aca="false">ExportRaw!$E113</f>
        <v/>
      </c>
      <c r="E113" s="131" t="str">
        <f aca="false">ExportRaw!$D113</f>
        <v/>
      </c>
      <c r="F113" s="130" t="str">
        <f aca="false">ExportRaw!$H113</f>
        <v/>
      </c>
      <c r="G113" s="132" t="str">
        <f aca="false">ExportRaw!$I113</f>
        <v/>
      </c>
      <c r="H113" s="130" t="str">
        <f aca="false">ExportRaw!$A113</f>
        <v/>
      </c>
      <c r="I113" s="130" t="str">
        <f aca="false">ExportRaw!$B113</f>
        <v/>
      </c>
    </row>
    <row r="114" customFormat="false" ht="15.75" hidden="false" customHeight="false" outlineLevel="0" collapsed="false">
      <c r="A114" s="130" t="n">
        <f aca="false">ExportRaw!$F114</f>
        <v>0</v>
      </c>
      <c r="B114" s="130" t="n">
        <f aca="false">ExportRaw!$C114</f>
        <v>0</v>
      </c>
      <c r="C114" s="130" t="n">
        <f aca="false">ExportRaw!$G114</f>
        <v>0</v>
      </c>
      <c r="D114" s="130" t="str">
        <f aca="false">ExportRaw!$E114</f>
        <v/>
      </c>
      <c r="E114" s="131" t="str">
        <f aca="false">ExportRaw!$D114</f>
        <v/>
      </c>
      <c r="F114" s="130" t="str">
        <f aca="false">ExportRaw!$H114</f>
        <v/>
      </c>
      <c r="G114" s="132" t="str">
        <f aca="false">ExportRaw!$I114</f>
        <v/>
      </c>
      <c r="H114" s="130" t="str">
        <f aca="false">ExportRaw!$A114</f>
        <v/>
      </c>
      <c r="I114" s="130" t="str">
        <f aca="false">ExportRaw!$B114</f>
        <v/>
      </c>
    </row>
    <row r="115" customFormat="false" ht="15.75" hidden="false" customHeight="false" outlineLevel="0" collapsed="false">
      <c r="A115" s="130" t="n">
        <f aca="false">ExportRaw!$F115</f>
        <v>0</v>
      </c>
      <c r="B115" s="130" t="n">
        <f aca="false">ExportRaw!$C115</f>
        <v>0</v>
      </c>
      <c r="C115" s="130" t="n">
        <f aca="false">ExportRaw!$G115</f>
        <v>0</v>
      </c>
      <c r="D115" s="130" t="str">
        <f aca="false">ExportRaw!$E115</f>
        <v/>
      </c>
      <c r="E115" s="131" t="str">
        <f aca="false">ExportRaw!$D115</f>
        <v/>
      </c>
      <c r="F115" s="130" t="str">
        <f aca="false">ExportRaw!$H115</f>
        <v/>
      </c>
      <c r="G115" s="132" t="str">
        <f aca="false">ExportRaw!$I115</f>
        <v/>
      </c>
      <c r="H115" s="130" t="str">
        <f aca="false">ExportRaw!$A115</f>
        <v/>
      </c>
      <c r="I115" s="130" t="str">
        <f aca="false">ExportRaw!$B115</f>
        <v/>
      </c>
    </row>
    <row r="116" customFormat="false" ht="15.75" hidden="false" customHeight="false" outlineLevel="0" collapsed="false">
      <c r="A116" s="130" t="n">
        <f aca="false">ExportRaw!$F116</f>
        <v>0</v>
      </c>
      <c r="B116" s="130" t="n">
        <f aca="false">ExportRaw!$C116</f>
        <v>0</v>
      </c>
      <c r="C116" s="130" t="n">
        <f aca="false">ExportRaw!$G116</f>
        <v>0</v>
      </c>
      <c r="D116" s="130" t="str">
        <f aca="false">ExportRaw!$E116</f>
        <v/>
      </c>
      <c r="E116" s="131" t="str">
        <f aca="false">ExportRaw!$D116</f>
        <v/>
      </c>
      <c r="F116" s="130" t="str">
        <f aca="false">ExportRaw!$H116</f>
        <v/>
      </c>
      <c r="G116" s="132" t="str">
        <f aca="false">ExportRaw!$I116</f>
        <v/>
      </c>
      <c r="H116" s="130" t="str">
        <f aca="false">ExportRaw!$A116</f>
        <v/>
      </c>
      <c r="I116" s="130" t="str">
        <f aca="false">ExportRaw!$B116</f>
        <v/>
      </c>
    </row>
    <row r="117" customFormat="false" ht="15.75" hidden="false" customHeight="false" outlineLevel="0" collapsed="false">
      <c r="A117" s="130" t="n">
        <f aca="false">ExportRaw!$F117</f>
        <v>0</v>
      </c>
      <c r="B117" s="130" t="n">
        <f aca="false">ExportRaw!$C117</f>
        <v>0</v>
      </c>
      <c r="C117" s="130" t="n">
        <f aca="false">ExportRaw!$G117</f>
        <v>0</v>
      </c>
      <c r="D117" s="130" t="str">
        <f aca="false">ExportRaw!$E117</f>
        <v/>
      </c>
      <c r="E117" s="131" t="str">
        <f aca="false">ExportRaw!$D117</f>
        <v/>
      </c>
      <c r="F117" s="130" t="str">
        <f aca="false">ExportRaw!$H117</f>
        <v/>
      </c>
      <c r="G117" s="132" t="str">
        <f aca="false">ExportRaw!$I117</f>
        <v/>
      </c>
      <c r="H117" s="130" t="str">
        <f aca="false">ExportRaw!$A117</f>
        <v/>
      </c>
      <c r="I117" s="130" t="str">
        <f aca="false">ExportRaw!$B117</f>
        <v/>
      </c>
    </row>
    <row r="118" customFormat="false" ht="15.75" hidden="false" customHeight="false" outlineLevel="0" collapsed="false">
      <c r="A118" s="130" t="n">
        <f aca="false">ExportRaw!$F118</f>
        <v>0</v>
      </c>
      <c r="B118" s="130" t="n">
        <f aca="false">ExportRaw!$C118</f>
        <v>0</v>
      </c>
      <c r="C118" s="130" t="n">
        <f aca="false">ExportRaw!$G118</f>
        <v>0</v>
      </c>
      <c r="D118" s="130" t="str">
        <f aca="false">ExportRaw!$E118</f>
        <v/>
      </c>
      <c r="E118" s="131" t="str">
        <f aca="false">ExportRaw!$D118</f>
        <v/>
      </c>
      <c r="F118" s="130" t="str">
        <f aca="false">ExportRaw!$H118</f>
        <v/>
      </c>
      <c r="G118" s="132" t="str">
        <f aca="false">ExportRaw!$I118</f>
        <v/>
      </c>
      <c r="H118" s="130" t="str">
        <f aca="false">ExportRaw!$A118</f>
        <v/>
      </c>
      <c r="I118" s="130" t="str">
        <f aca="false">ExportRaw!$B118</f>
        <v/>
      </c>
    </row>
    <row r="119" customFormat="false" ht="15.75" hidden="false" customHeight="false" outlineLevel="0" collapsed="false">
      <c r="A119" s="130" t="n">
        <f aca="false">ExportRaw!$F119</f>
        <v>0</v>
      </c>
      <c r="B119" s="130" t="n">
        <f aca="false">ExportRaw!$C119</f>
        <v>0</v>
      </c>
      <c r="C119" s="130" t="n">
        <f aca="false">ExportRaw!$G119</f>
        <v>0</v>
      </c>
      <c r="D119" s="130" t="str">
        <f aca="false">ExportRaw!$E119</f>
        <v/>
      </c>
      <c r="E119" s="131" t="str">
        <f aca="false">ExportRaw!$D119</f>
        <v/>
      </c>
      <c r="F119" s="130" t="str">
        <f aca="false">ExportRaw!$H119</f>
        <v/>
      </c>
      <c r="G119" s="132" t="str">
        <f aca="false">ExportRaw!$I119</f>
        <v/>
      </c>
      <c r="H119" s="130" t="str">
        <f aca="false">ExportRaw!$A119</f>
        <v/>
      </c>
      <c r="I119" s="130" t="str">
        <f aca="false">ExportRaw!$B119</f>
        <v/>
      </c>
    </row>
    <row r="120" customFormat="false" ht="15.75" hidden="false" customHeight="false" outlineLevel="0" collapsed="false">
      <c r="A120" s="130" t="n">
        <f aca="false">ExportRaw!$F120</f>
        <v>0</v>
      </c>
      <c r="B120" s="130" t="n">
        <f aca="false">ExportRaw!$C120</f>
        <v>0</v>
      </c>
      <c r="C120" s="130" t="n">
        <f aca="false">ExportRaw!$G120</f>
        <v>0</v>
      </c>
      <c r="D120" s="130" t="str">
        <f aca="false">ExportRaw!$E120</f>
        <v/>
      </c>
      <c r="E120" s="131" t="str">
        <f aca="false">ExportRaw!$D120</f>
        <v/>
      </c>
      <c r="F120" s="130" t="str">
        <f aca="false">ExportRaw!$H120</f>
        <v/>
      </c>
      <c r="G120" s="132" t="str">
        <f aca="false">ExportRaw!$I120</f>
        <v/>
      </c>
      <c r="H120" s="130" t="str">
        <f aca="false">ExportRaw!$A120</f>
        <v/>
      </c>
      <c r="I120" s="130" t="str">
        <f aca="false">ExportRaw!$B120</f>
        <v/>
      </c>
    </row>
    <row r="121" customFormat="false" ht="15.75" hidden="false" customHeight="false" outlineLevel="0" collapsed="false">
      <c r="A121" s="130" t="n">
        <f aca="false">ExportRaw!$F121</f>
        <v>0</v>
      </c>
      <c r="B121" s="130" t="n">
        <f aca="false">ExportRaw!$C121</f>
        <v>0</v>
      </c>
      <c r="C121" s="130" t="n">
        <f aca="false">ExportRaw!$G121</f>
        <v>0</v>
      </c>
      <c r="D121" s="130" t="str">
        <f aca="false">ExportRaw!$E121</f>
        <v/>
      </c>
      <c r="E121" s="131" t="str">
        <f aca="false">ExportRaw!$D121</f>
        <v/>
      </c>
      <c r="F121" s="130" t="str">
        <f aca="false">ExportRaw!$H121</f>
        <v/>
      </c>
      <c r="G121" s="132" t="str">
        <f aca="false">ExportRaw!$I121</f>
        <v/>
      </c>
      <c r="H121" s="130" t="str">
        <f aca="false">ExportRaw!$A121</f>
        <v/>
      </c>
      <c r="I121" s="130" t="str">
        <f aca="false">ExportRaw!$B121</f>
        <v/>
      </c>
    </row>
    <row r="122" customFormat="false" ht="15.75" hidden="false" customHeight="false" outlineLevel="0" collapsed="false">
      <c r="A122" s="130" t="n">
        <f aca="false">ExportRaw!$F122</f>
        <v>0</v>
      </c>
      <c r="B122" s="130" t="n">
        <f aca="false">ExportRaw!$C122</f>
        <v>0</v>
      </c>
      <c r="C122" s="130" t="n">
        <f aca="false">ExportRaw!$G122</f>
        <v>0</v>
      </c>
      <c r="D122" s="130" t="str">
        <f aca="false">ExportRaw!$E122</f>
        <v/>
      </c>
      <c r="E122" s="131" t="str">
        <f aca="false">ExportRaw!$D122</f>
        <v/>
      </c>
      <c r="F122" s="130" t="str">
        <f aca="false">ExportRaw!$H122</f>
        <v/>
      </c>
      <c r="G122" s="132" t="str">
        <f aca="false">ExportRaw!$I122</f>
        <v/>
      </c>
      <c r="H122" s="130" t="str">
        <f aca="false">ExportRaw!$A122</f>
        <v/>
      </c>
      <c r="I122" s="130" t="str">
        <f aca="false">ExportRaw!$B122</f>
        <v/>
      </c>
    </row>
    <row r="123" customFormat="false" ht="15.75" hidden="false" customHeight="false" outlineLevel="0" collapsed="false">
      <c r="A123" s="130" t="n">
        <f aca="false">ExportRaw!$F123</f>
        <v>0</v>
      </c>
      <c r="B123" s="130" t="n">
        <f aca="false">ExportRaw!$C123</f>
        <v>0</v>
      </c>
      <c r="C123" s="130" t="n">
        <f aca="false">ExportRaw!$G123</f>
        <v>0</v>
      </c>
      <c r="D123" s="130" t="str">
        <f aca="false">ExportRaw!$E123</f>
        <v/>
      </c>
      <c r="E123" s="131" t="str">
        <f aca="false">ExportRaw!$D123</f>
        <v/>
      </c>
      <c r="F123" s="130" t="str">
        <f aca="false">ExportRaw!$H123</f>
        <v/>
      </c>
      <c r="G123" s="132" t="str">
        <f aca="false">ExportRaw!$I123</f>
        <v/>
      </c>
      <c r="H123" s="130" t="str">
        <f aca="false">ExportRaw!$A123</f>
        <v/>
      </c>
      <c r="I123" s="130" t="str">
        <f aca="false">ExportRaw!$B123</f>
        <v/>
      </c>
    </row>
    <row r="124" customFormat="false" ht="15.75" hidden="false" customHeight="false" outlineLevel="0" collapsed="false">
      <c r="A124" s="130" t="n">
        <f aca="false">ExportRaw!$F124</f>
        <v>0</v>
      </c>
      <c r="B124" s="130" t="n">
        <f aca="false">ExportRaw!$C124</f>
        <v>0</v>
      </c>
      <c r="C124" s="130" t="n">
        <f aca="false">ExportRaw!$G124</f>
        <v>0</v>
      </c>
      <c r="D124" s="130" t="str">
        <f aca="false">ExportRaw!$E124</f>
        <v/>
      </c>
      <c r="E124" s="131" t="str">
        <f aca="false">ExportRaw!$D124</f>
        <v/>
      </c>
      <c r="F124" s="130" t="str">
        <f aca="false">ExportRaw!$H124</f>
        <v/>
      </c>
      <c r="G124" s="132" t="str">
        <f aca="false">ExportRaw!$I124</f>
        <v/>
      </c>
      <c r="H124" s="130" t="str">
        <f aca="false">ExportRaw!$A124</f>
        <v/>
      </c>
      <c r="I124" s="130" t="str">
        <f aca="false">ExportRaw!$B124</f>
        <v/>
      </c>
    </row>
    <row r="125" customFormat="false" ht="15.75" hidden="false" customHeight="false" outlineLevel="0" collapsed="false">
      <c r="A125" s="130" t="n">
        <f aca="false">ExportRaw!$F125</f>
        <v>0</v>
      </c>
      <c r="B125" s="130" t="n">
        <f aca="false">ExportRaw!$C125</f>
        <v>0</v>
      </c>
      <c r="C125" s="130" t="n">
        <f aca="false">ExportRaw!$G125</f>
        <v>0</v>
      </c>
      <c r="D125" s="130" t="str">
        <f aca="false">ExportRaw!$E125</f>
        <v/>
      </c>
      <c r="E125" s="131" t="str">
        <f aca="false">ExportRaw!$D125</f>
        <v/>
      </c>
      <c r="F125" s="130" t="str">
        <f aca="false">ExportRaw!$H125</f>
        <v/>
      </c>
      <c r="G125" s="132" t="str">
        <f aca="false">ExportRaw!$I125</f>
        <v/>
      </c>
      <c r="H125" s="130" t="str">
        <f aca="false">ExportRaw!$A125</f>
        <v/>
      </c>
      <c r="I125" s="130" t="str">
        <f aca="false">ExportRaw!$B125</f>
        <v/>
      </c>
    </row>
    <row r="126" customFormat="false" ht="15.75" hidden="false" customHeight="false" outlineLevel="0" collapsed="false">
      <c r="A126" s="130" t="n">
        <f aca="false">ExportRaw!$F126</f>
        <v>0</v>
      </c>
      <c r="B126" s="130" t="n">
        <f aca="false">ExportRaw!$C126</f>
        <v>0</v>
      </c>
      <c r="C126" s="130" t="n">
        <f aca="false">ExportRaw!$G126</f>
        <v>0</v>
      </c>
      <c r="D126" s="130" t="str">
        <f aca="false">ExportRaw!$E126</f>
        <v/>
      </c>
      <c r="E126" s="131" t="str">
        <f aca="false">ExportRaw!$D126</f>
        <v/>
      </c>
      <c r="F126" s="130" t="str">
        <f aca="false">ExportRaw!$H126</f>
        <v/>
      </c>
      <c r="G126" s="132" t="str">
        <f aca="false">ExportRaw!$I126</f>
        <v/>
      </c>
      <c r="H126" s="130" t="str">
        <f aca="false">ExportRaw!$A126</f>
        <v/>
      </c>
      <c r="I126" s="130" t="str">
        <f aca="false">ExportRaw!$B126</f>
        <v/>
      </c>
    </row>
    <row r="127" customFormat="false" ht="15.75" hidden="false" customHeight="false" outlineLevel="0" collapsed="false">
      <c r="A127" s="130" t="n">
        <f aca="false">ExportRaw!$F127</f>
        <v>0</v>
      </c>
      <c r="B127" s="130" t="n">
        <f aca="false">ExportRaw!$C127</f>
        <v>0</v>
      </c>
      <c r="C127" s="130" t="n">
        <f aca="false">ExportRaw!$G127</f>
        <v>0</v>
      </c>
      <c r="D127" s="130" t="str">
        <f aca="false">ExportRaw!$E127</f>
        <v/>
      </c>
      <c r="E127" s="131" t="str">
        <f aca="false">ExportRaw!$D127</f>
        <v/>
      </c>
      <c r="F127" s="130" t="str">
        <f aca="false">ExportRaw!$H127</f>
        <v/>
      </c>
      <c r="G127" s="132" t="str">
        <f aca="false">ExportRaw!$I127</f>
        <v/>
      </c>
      <c r="H127" s="130" t="str">
        <f aca="false">ExportRaw!$A127</f>
        <v/>
      </c>
      <c r="I127" s="130" t="str">
        <f aca="false">ExportRaw!$B127</f>
        <v/>
      </c>
    </row>
    <row r="128" customFormat="false" ht="15.75" hidden="false" customHeight="false" outlineLevel="0" collapsed="false">
      <c r="A128" s="130" t="n">
        <f aca="false">ExportRaw!$F128</f>
        <v>0</v>
      </c>
      <c r="B128" s="130" t="n">
        <f aca="false">ExportRaw!$C128</f>
        <v>0</v>
      </c>
      <c r="C128" s="130" t="n">
        <f aca="false">ExportRaw!$G128</f>
        <v>0</v>
      </c>
      <c r="D128" s="130" t="str">
        <f aca="false">ExportRaw!$E128</f>
        <v/>
      </c>
      <c r="E128" s="131" t="str">
        <f aca="false">ExportRaw!$D128</f>
        <v/>
      </c>
      <c r="F128" s="130" t="str">
        <f aca="false">ExportRaw!$H128</f>
        <v/>
      </c>
      <c r="G128" s="132" t="str">
        <f aca="false">ExportRaw!$I128</f>
        <v/>
      </c>
      <c r="H128" s="130" t="str">
        <f aca="false">ExportRaw!$A128</f>
        <v/>
      </c>
      <c r="I128" s="130" t="str">
        <f aca="false">ExportRaw!$B128</f>
        <v/>
      </c>
    </row>
    <row r="129" customFormat="false" ht="15.75" hidden="false" customHeight="false" outlineLevel="0" collapsed="false">
      <c r="A129" s="130" t="n">
        <f aca="false">ExportRaw!$F129</f>
        <v>0</v>
      </c>
      <c r="B129" s="130" t="n">
        <f aca="false">ExportRaw!$C129</f>
        <v>0</v>
      </c>
      <c r="C129" s="130" t="n">
        <f aca="false">ExportRaw!$G129</f>
        <v>0</v>
      </c>
      <c r="D129" s="130" t="str">
        <f aca="false">ExportRaw!$E129</f>
        <v/>
      </c>
      <c r="E129" s="131" t="str">
        <f aca="false">ExportRaw!$D129</f>
        <v/>
      </c>
      <c r="F129" s="130" t="str">
        <f aca="false">ExportRaw!$H129</f>
        <v/>
      </c>
      <c r="G129" s="132" t="str">
        <f aca="false">ExportRaw!$I129</f>
        <v/>
      </c>
      <c r="H129" s="130" t="str">
        <f aca="false">ExportRaw!$A129</f>
        <v/>
      </c>
      <c r="I129" s="130" t="str">
        <f aca="false">ExportRaw!$B129</f>
        <v/>
      </c>
    </row>
    <row r="130" customFormat="false" ht="15.75" hidden="false" customHeight="false" outlineLevel="0" collapsed="false">
      <c r="A130" s="130" t="n">
        <f aca="false">ExportRaw!$F130</f>
        <v>0</v>
      </c>
      <c r="B130" s="130" t="n">
        <f aca="false">ExportRaw!$C130</f>
        <v>0</v>
      </c>
      <c r="C130" s="130" t="n">
        <f aca="false">ExportRaw!$G130</f>
        <v>0</v>
      </c>
      <c r="D130" s="130" t="str">
        <f aca="false">ExportRaw!$E130</f>
        <v/>
      </c>
      <c r="E130" s="131" t="str">
        <f aca="false">ExportRaw!$D130</f>
        <v/>
      </c>
      <c r="F130" s="130" t="str">
        <f aca="false">ExportRaw!$H130</f>
        <v/>
      </c>
      <c r="G130" s="132" t="str">
        <f aca="false">ExportRaw!$I130</f>
        <v/>
      </c>
      <c r="H130" s="130" t="str">
        <f aca="false">ExportRaw!$A130</f>
        <v/>
      </c>
      <c r="I130" s="130" t="str">
        <f aca="false">ExportRaw!$B130</f>
        <v/>
      </c>
    </row>
    <row r="131" customFormat="false" ht="15.75" hidden="false" customHeight="false" outlineLevel="0" collapsed="false">
      <c r="A131" s="130" t="n">
        <f aca="false">ExportRaw!$F131</f>
        <v>0</v>
      </c>
      <c r="B131" s="130" t="n">
        <f aca="false">ExportRaw!$C131</f>
        <v>0</v>
      </c>
      <c r="C131" s="130" t="n">
        <f aca="false">ExportRaw!$G131</f>
        <v>0</v>
      </c>
      <c r="D131" s="130" t="str">
        <f aca="false">ExportRaw!$E131</f>
        <v/>
      </c>
      <c r="E131" s="131" t="str">
        <f aca="false">ExportRaw!$D131</f>
        <v/>
      </c>
      <c r="F131" s="130" t="str">
        <f aca="false">ExportRaw!$H131</f>
        <v/>
      </c>
      <c r="G131" s="132" t="str">
        <f aca="false">ExportRaw!$I131</f>
        <v/>
      </c>
      <c r="H131" s="130" t="str">
        <f aca="false">ExportRaw!$A131</f>
        <v/>
      </c>
      <c r="I131" s="130" t="str">
        <f aca="false">ExportRaw!$B131</f>
        <v/>
      </c>
    </row>
    <row r="132" customFormat="false" ht="15.75" hidden="false" customHeight="false" outlineLevel="0" collapsed="false">
      <c r="A132" s="130" t="n">
        <f aca="false">ExportRaw!$F132</f>
        <v>0</v>
      </c>
      <c r="B132" s="130" t="n">
        <f aca="false">ExportRaw!$C132</f>
        <v>0</v>
      </c>
      <c r="C132" s="130" t="n">
        <f aca="false">ExportRaw!$G132</f>
        <v>0</v>
      </c>
      <c r="D132" s="130" t="str">
        <f aca="false">ExportRaw!$E132</f>
        <v/>
      </c>
      <c r="E132" s="131" t="str">
        <f aca="false">ExportRaw!$D132</f>
        <v/>
      </c>
      <c r="F132" s="130" t="str">
        <f aca="false">ExportRaw!$H132</f>
        <v/>
      </c>
      <c r="G132" s="132" t="str">
        <f aca="false">ExportRaw!$I132</f>
        <v/>
      </c>
      <c r="H132" s="130" t="str">
        <f aca="false">ExportRaw!$A132</f>
        <v/>
      </c>
      <c r="I132" s="130" t="str">
        <f aca="false">ExportRaw!$B132</f>
        <v/>
      </c>
    </row>
    <row r="133" customFormat="false" ht="15.75" hidden="false" customHeight="false" outlineLevel="0" collapsed="false">
      <c r="A133" s="130" t="n">
        <f aca="false">ExportRaw!$F133</f>
        <v>0</v>
      </c>
      <c r="B133" s="130" t="n">
        <f aca="false">ExportRaw!$C133</f>
        <v>0</v>
      </c>
      <c r="C133" s="130" t="n">
        <f aca="false">ExportRaw!$G133</f>
        <v>0</v>
      </c>
      <c r="D133" s="130" t="str">
        <f aca="false">ExportRaw!$E133</f>
        <v/>
      </c>
      <c r="E133" s="131" t="str">
        <f aca="false">ExportRaw!$D133</f>
        <v/>
      </c>
      <c r="F133" s="130" t="str">
        <f aca="false">ExportRaw!$H133</f>
        <v/>
      </c>
      <c r="G133" s="132" t="str">
        <f aca="false">ExportRaw!$I133</f>
        <v/>
      </c>
      <c r="H133" s="130" t="str">
        <f aca="false">ExportRaw!$A133</f>
        <v/>
      </c>
      <c r="I133" s="130" t="str">
        <f aca="false">ExportRaw!$B133</f>
        <v/>
      </c>
    </row>
    <row r="134" customFormat="false" ht="15.75" hidden="false" customHeight="false" outlineLevel="0" collapsed="false">
      <c r="A134" s="130" t="n">
        <f aca="false">ExportRaw!$F134</f>
        <v>0</v>
      </c>
      <c r="B134" s="130" t="n">
        <f aca="false">ExportRaw!$C134</f>
        <v>0</v>
      </c>
      <c r="C134" s="130" t="n">
        <f aca="false">ExportRaw!$G134</f>
        <v>0</v>
      </c>
      <c r="D134" s="130" t="str">
        <f aca="false">ExportRaw!$E134</f>
        <v/>
      </c>
      <c r="E134" s="131" t="str">
        <f aca="false">ExportRaw!$D134</f>
        <v/>
      </c>
      <c r="F134" s="130" t="str">
        <f aca="false">ExportRaw!$H134</f>
        <v/>
      </c>
      <c r="G134" s="132" t="str">
        <f aca="false">ExportRaw!$I134</f>
        <v/>
      </c>
      <c r="H134" s="130" t="str">
        <f aca="false">ExportRaw!$A134</f>
        <v/>
      </c>
      <c r="I134" s="130" t="str">
        <f aca="false">ExportRaw!$B134</f>
        <v/>
      </c>
    </row>
    <row r="135" customFormat="false" ht="15.75" hidden="false" customHeight="false" outlineLevel="0" collapsed="false">
      <c r="A135" s="130" t="n">
        <f aca="false">ExportRaw!$F135</f>
        <v>0</v>
      </c>
      <c r="B135" s="130" t="n">
        <f aca="false">ExportRaw!$C135</f>
        <v>0</v>
      </c>
      <c r="C135" s="130" t="n">
        <f aca="false">ExportRaw!$G135</f>
        <v>0</v>
      </c>
      <c r="D135" s="130" t="str">
        <f aca="false">ExportRaw!$E135</f>
        <v/>
      </c>
      <c r="E135" s="131" t="str">
        <f aca="false">ExportRaw!$D135</f>
        <v/>
      </c>
      <c r="F135" s="130" t="str">
        <f aca="false">ExportRaw!$H135</f>
        <v/>
      </c>
      <c r="G135" s="132" t="str">
        <f aca="false">ExportRaw!$I135</f>
        <v/>
      </c>
      <c r="H135" s="130" t="str">
        <f aca="false">ExportRaw!$A135</f>
        <v/>
      </c>
      <c r="I135" s="130" t="str">
        <f aca="false">ExportRaw!$B135</f>
        <v/>
      </c>
    </row>
    <row r="136" customFormat="false" ht="15.75" hidden="false" customHeight="false" outlineLevel="0" collapsed="false">
      <c r="A136" s="130" t="n">
        <f aca="false">ExportRaw!$F136</f>
        <v>0</v>
      </c>
      <c r="B136" s="130" t="n">
        <f aca="false">ExportRaw!$C136</f>
        <v>0</v>
      </c>
      <c r="C136" s="130" t="n">
        <f aca="false">ExportRaw!$G136</f>
        <v>0</v>
      </c>
      <c r="D136" s="130" t="str">
        <f aca="false">ExportRaw!$E136</f>
        <v/>
      </c>
      <c r="E136" s="131" t="str">
        <f aca="false">ExportRaw!$D136</f>
        <v/>
      </c>
      <c r="F136" s="130" t="str">
        <f aca="false">ExportRaw!$H136</f>
        <v/>
      </c>
      <c r="G136" s="132" t="str">
        <f aca="false">ExportRaw!$I136</f>
        <v/>
      </c>
      <c r="H136" s="130" t="str">
        <f aca="false">ExportRaw!$A136</f>
        <v/>
      </c>
      <c r="I136" s="130" t="str">
        <f aca="false">ExportRaw!$B136</f>
        <v/>
      </c>
    </row>
    <row r="137" customFormat="false" ht="15.75" hidden="false" customHeight="false" outlineLevel="0" collapsed="false">
      <c r="A137" s="130" t="n">
        <f aca="false">ExportRaw!$F137</f>
        <v>0</v>
      </c>
      <c r="B137" s="130" t="n">
        <f aca="false">ExportRaw!$C137</f>
        <v>0</v>
      </c>
      <c r="C137" s="130" t="n">
        <f aca="false">ExportRaw!$G137</f>
        <v>0</v>
      </c>
      <c r="D137" s="130" t="str">
        <f aca="false">ExportRaw!$E137</f>
        <v/>
      </c>
      <c r="E137" s="131" t="str">
        <f aca="false">ExportRaw!$D137</f>
        <v/>
      </c>
      <c r="F137" s="130" t="str">
        <f aca="false">ExportRaw!$H137</f>
        <v/>
      </c>
      <c r="G137" s="132" t="str">
        <f aca="false">ExportRaw!$I137</f>
        <v/>
      </c>
      <c r="H137" s="130" t="str">
        <f aca="false">ExportRaw!$A137</f>
        <v/>
      </c>
      <c r="I137" s="130" t="str">
        <f aca="false">ExportRaw!$B137</f>
        <v/>
      </c>
    </row>
    <row r="138" customFormat="false" ht="15.75" hidden="false" customHeight="false" outlineLevel="0" collapsed="false">
      <c r="A138" s="130" t="n">
        <f aca="false">ExportRaw!$F138</f>
        <v>0</v>
      </c>
      <c r="B138" s="130" t="n">
        <f aca="false">ExportRaw!$C138</f>
        <v>0</v>
      </c>
      <c r="C138" s="130" t="n">
        <f aca="false">ExportRaw!$G138</f>
        <v>0</v>
      </c>
      <c r="D138" s="130" t="str">
        <f aca="false">ExportRaw!$E138</f>
        <v/>
      </c>
      <c r="E138" s="131" t="str">
        <f aca="false">ExportRaw!$D138</f>
        <v/>
      </c>
      <c r="F138" s="130" t="str">
        <f aca="false">ExportRaw!$H138</f>
        <v/>
      </c>
      <c r="G138" s="132" t="str">
        <f aca="false">ExportRaw!$I138</f>
        <v/>
      </c>
      <c r="H138" s="130" t="str">
        <f aca="false">ExportRaw!$A138</f>
        <v/>
      </c>
      <c r="I138" s="130" t="str">
        <f aca="false">ExportRaw!$B138</f>
        <v/>
      </c>
    </row>
    <row r="139" customFormat="false" ht="15.75" hidden="false" customHeight="false" outlineLevel="0" collapsed="false">
      <c r="A139" s="130" t="n">
        <f aca="false">ExportRaw!$F139</f>
        <v>0</v>
      </c>
      <c r="B139" s="130" t="n">
        <f aca="false">ExportRaw!$C139</f>
        <v>0</v>
      </c>
      <c r="C139" s="130" t="n">
        <f aca="false">ExportRaw!$G139</f>
        <v>0</v>
      </c>
      <c r="D139" s="130" t="str">
        <f aca="false">ExportRaw!$E139</f>
        <v/>
      </c>
      <c r="E139" s="131" t="str">
        <f aca="false">ExportRaw!$D139</f>
        <v/>
      </c>
      <c r="F139" s="130" t="str">
        <f aca="false">ExportRaw!$H139</f>
        <v/>
      </c>
      <c r="G139" s="132" t="str">
        <f aca="false">ExportRaw!$I139</f>
        <v/>
      </c>
      <c r="H139" s="130" t="str">
        <f aca="false">ExportRaw!$A139</f>
        <v/>
      </c>
      <c r="I139" s="130" t="str">
        <f aca="false">ExportRaw!$B139</f>
        <v/>
      </c>
    </row>
    <row r="140" customFormat="false" ht="15.75" hidden="false" customHeight="false" outlineLevel="0" collapsed="false">
      <c r="A140" s="130" t="n">
        <f aca="false">ExportRaw!$F140</f>
        <v>0</v>
      </c>
      <c r="B140" s="130" t="n">
        <f aca="false">ExportRaw!$C140</f>
        <v>0</v>
      </c>
      <c r="C140" s="130" t="n">
        <f aca="false">ExportRaw!$G140</f>
        <v>0</v>
      </c>
      <c r="D140" s="130" t="str">
        <f aca="false">ExportRaw!$E140</f>
        <v/>
      </c>
      <c r="E140" s="131" t="str">
        <f aca="false">ExportRaw!$D140</f>
        <v/>
      </c>
      <c r="F140" s="130" t="str">
        <f aca="false">ExportRaw!$H140</f>
        <v/>
      </c>
      <c r="G140" s="132" t="str">
        <f aca="false">ExportRaw!$I140</f>
        <v/>
      </c>
      <c r="H140" s="130" t="str">
        <f aca="false">ExportRaw!$A140</f>
        <v/>
      </c>
      <c r="I140" s="130" t="str">
        <f aca="false">ExportRaw!$B140</f>
        <v/>
      </c>
    </row>
    <row r="141" customFormat="false" ht="15.75" hidden="false" customHeight="false" outlineLevel="0" collapsed="false">
      <c r="A141" s="130" t="n">
        <f aca="false">ExportRaw!$F141</f>
        <v>0</v>
      </c>
      <c r="B141" s="130" t="n">
        <f aca="false">ExportRaw!$C141</f>
        <v>0</v>
      </c>
      <c r="C141" s="130" t="n">
        <f aca="false">ExportRaw!$G141</f>
        <v>0</v>
      </c>
      <c r="D141" s="130" t="str">
        <f aca="false">ExportRaw!$E141</f>
        <v/>
      </c>
      <c r="E141" s="131" t="str">
        <f aca="false">ExportRaw!$D141</f>
        <v/>
      </c>
      <c r="F141" s="130" t="str">
        <f aca="false">ExportRaw!$H141</f>
        <v/>
      </c>
      <c r="G141" s="132" t="str">
        <f aca="false">ExportRaw!$I141</f>
        <v/>
      </c>
      <c r="H141" s="130" t="str">
        <f aca="false">ExportRaw!$A141</f>
        <v/>
      </c>
      <c r="I141" s="130" t="str">
        <f aca="false">ExportRaw!$B141</f>
        <v/>
      </c>
    </row>
    <row r="142" customFormat="false" ht="15.75" hidden="false" customHeight="false" outlineLevel="0" collapsed="false">
      <c r="A142" s="130" t="n">
        <f aca="false">ExportRaw!$F142</f>
        <v>0</v>
      </c>
      <c r="B142" s="130" t="n">
        <f aca="false">ExportRaw!$C142</f>
        <v>0</v>
      </c>
      <c r="C142" s="130" t="n">
        <f aca="false">ExportRaw!$G142</f>
        <v>0</v>
      </c>
      <c r="D142" s="130" t="str">
        <f aca="false">ExportRaw!$E142</f>
        <v/>
      </c>
      <c r="E142" s="131" t="str">
        <f aca="false">ExportRaw!$D142</f>
        <v/>
      </c>
      <c r="F142" s="130" t="str">
        <f aca="false">ExportRaw!$H142</f>
        <v/>
      </c>
      <c r="G142" s="132" t="str">
        <f aca="false">ExportRaw!$I142</f>
        <v/>
      </c>
      <c r="H142" s="130" t="str">
        <f aca="false">ExportRaw!$A142</f>
        <v/>
      </c>
      <c r="I142" s="130" t="str">
        <f aca="false">ExportRaw!$B142</f>
        <v/>
      </c>
    </row>
    <row r="143" customFormat="false" ht="15.75" hidden="false" customHeight="false" outlineLevel="0" collapsed="false">
      <c r="A143" s="130" t="n">
        <f aca="false">ExportRaw!$F143</f>
        <v>0</v>
      </c>
      <c r="B143" s="130" t="n">
        <f aca="false">ExportRaw!$C143</f>
        <v>0</v>
      </c>
      <c r="C143" s="130" t="n">
        <f aca="false">ExportRaw!$G143</f>
        <v>0</v>
      </c>
      <c r="D143" s="130" t="str">
        <f aca="false">ExportRaw!$E143</f>
        <v/>
      </c>
      <c r="E143" s="131" t="str">
        <f aca="false">ExportRaw!$D143</f>
        <v/>
      </c>
      <c r="F143" s="130" t="str">
        <f aca="false">ExportRaw!$H143</f>
        <v/>
      </c>
      <c r="G143" s="132" t="str">
        <f aca="false">ExportRaw!$I143</f>
        <v/>
      </c>
      <c r="H143" s="130" t="str">
        <f aca="false">ExportRaw!$A143</f>
        <v/>
      </c>
      <c r="I143" s="130" t="str">
        <f aca="false">ExportRaw!$B143</f>
        <v/>
      </c>
    </row>
    <row r="144" customFormat="false" ht="15.75" hidden="false" customHeight="false" outlineLevel="0" collapsed="false">
      <c r="A144" s="130" t="n">
        <f aca="false">ExportRaw!$F144</f>
        <v>0</v>
      </c>
      <c r="B144" s="130" t="n">
        <f aca="false">ExportRaw!$C144</f>
        <v>0</v>
      </c>
      <c r="C144" s="130" t="n">
        <f aca="false">ExportRaw!$G144</f>
        <v>0</v>
      </c>
      <c r="D144" s="130" t="str">
        <f aca="false">ExportRaw!$E144</f>
        <v/>
      </c>
      <c r="E144" s="131" t="str">
        <f aca="false">ExportRaw!$D144</f>
        <v/>
      </c>
      <c r="F144" s="130" t="str">
        <f aca="false">ExportRaw!$H144</f>
        <v/>
      </c>
      <c r="G144" s="132" t="str">
        <f aca="false">ExportRaw!$I144</f>
        <v/>
      </c>
      <c r="H144" s="130" t="str">
        <f aca="false">ExportRaw!$A144</f>
        <v/>
      </c>
      <c r="I144" s="130" t="str">
        <f aca="false">ExportRaw!$B144</f>
        <v/>
      </c>
    </row>
    <row r="145" customFormat="false" ht="15.75" hidden="false" customHeight="false" outlineLevel="0" collapsed="false">
      <c r="A145" s="130" t="n">
        <f aca="false">ExportRaw!$F145</f>
        <v>0</v>
      </c>
      <c r="B145" s="130" t="n">
        <f aca="false">ExportRaw!$C145</f>
        <v>0</v>
      </c>
      <c r="C145" s="130" t="n">
        <f aca="false">ExportRaw!$G145</f>
        <v>0</v>
      </c>
      <c r="D145" s="130" t="str">
        <f aca="false">ExportRaw!$E145</f>
        <v/>
      </c>
      <c r="E145" s="131" t="str">
        <f aca="false">ExportRaw!$D145</f>
        <v/>
      </c>
      <c r="F145" s="130" t="str">
        <f aca="false">ExportRaw!$H145</f>
        <v/>
      </c>
      <c r="G145" s="132" t="str">
        <f aca="false">ExportRaw!$I145</f>
        <v/>
      </c>
      <c r="H145" s="130" t="str">
        <f aca="false">ExportRaw!$A145</f>
        <v/>
      </c>
      <c r="I145" s="130" t="str">
        <f aca="false">ExportRaw!$B145</f>
        <v/>
      </c>
    </row>
    <row r="146" customFormat="false" ht="15.75" hidden="false" customHeight="false" outlineLevel="0" collapsed="false">
      <c r="A146" s="130" t="n">
        <f aca="false">ExportRaw!$F146</f>
        <v>0</v>
      </c>
      <c r="B146" s="130" t="n">
        <f aca="false">ExportRaw!$C146</f>
        <v>0</v>
      </c>
      <c r="C146" s="130" t="n">
        <f aca="false">ExportRaw!$G146</f>
        <v>0</v>
      </c>
      <c r="D146" s="130" t="str">
        <f aca="false">ExportRaw!$E146</f>
        <v/>
      </c>
      <c r="E146" s="131" t="str">
        <f aca="false">ExportRaw!$D146</f>
        <v/>
      </c>
      <c r="F146" s="130" t="str">
        <f aca="false">ExportRaw!$H146</f>
        <v/>
      </c>
      <c r="G146" s="132" t="str">
        <f aca="false">ExportRaw!$I146</f>
        <v/>
      </c>
      <c r="H146" s="130" t="str">
        <f aca="false">ExportRaw!$A146</f>
        <v/>
      </c>
      <c r="I146" s="130" t="str">
        <f aca="false">ExportRaw!$B146</f>
        <v/>
      </c>
    </row>
    <row r="147" customFormat="false" ht="15.75" hidden="false" customHeight="false" outlineLevel="0" collapsed="false">
      <c r="A147" s="130" t="n">
        <f aca="false">ExportRaw!$F147</f>
        <v>0</v>
      </c>
      <c r="B147" s="130" t="n">
        <f aca="false">ExportRaw!$C147</f>
        <v>0</v>
      </c>
      <c r="C147" s="130" t="n">
        <f aca="false">ExportRaw!$G147</f>
        <v>0</v>
      </c>
      <c r="D147" s="130" t="str">
        <f aca="false">ExportRaw!$E147</f>
        <v/>
      </c>
      <c r="E147" s="131" t="str">
        <f aca="false">ExportRaw!$D147</f>
        <v/>
      </c>
      <c r="F147" s="130" t="str">
        <f aca="false">ExportRaw!$H147</f>
        <v/>
      </c>
      <c r="G147" s="132" t="str">
        <f aca="false">ExportRaw!$I147</f>
        <v/>
      </c>
      <c r="H147" s="130" t="str">
        <f aca="false">ExportRaw!$A147</f>
        <v/>
      </c>
      <c r="I147" s="130" t="str">
        <f aca="false">ExportRaw!$B147</f>
        <v/>
      </c>
    </row>
    <row r="148" customFormat="false" ht="15.75" hidden="false" customHeight="false" outlineLevel="0" collapsed="false">
      <c r="A148" s="130" t="n">
        <f aca="false">ExportRaw!$F148</f>
        <v>0</v>
      </c>
      <c r="B148" s="130" t="n">
        <f aca="false">ExportRaw!$C148</f>
        <v>0</v>
      </c>
      <c r="C148" s="130" t="n">
        <f aca="false">ExportRaw!$G148</f>
        <v>0</v>
      </c>
      <c r="D148" s="130" t="str">
        <f aca="false">ExportRaw!$E148</f>
        <v/>
      </c>
      <c r="E148" s="131" t="str">
        <f aca="false">ExportRaw!$D148</f>
        <v/>
      </c>
      <c r="F148" s="130" t="str">
        <f aca="false">ExportRaw!$H148</f>
        <v/>
      </c>
      <c r="G148" s="132" t="str">
        <f aca="false">ExportRaw!$I148</f>
        <v/>
      </c>
      <c r="H148" s="130" t="str">
        <f aca="false">ExportRaw!$A148</f>
        <v/>
      </c>
      <c r="I148" s="130" t="str">
        <f aca="false">ExportRaw!$B148</f>
        <v/>
      </c>
    </row>
    <row r="149" customFormat="false" ht="15.75" hidden="false" customHeight="false" outlineLevel="0" collapsed="false">
      <c r="A149" s="130" t="n">
        <f aca="false">ExportRaw!$F149</f>
        <v>0</v>
      </c>
      <c r="B149" s="130" t="n">
        <f aca="false">ExportRaw!$C149</f>
        <v>0</v>
      </c>
      <c r="C149" s="130" t="n">
        <f aca="false">ExportRaw!$G149</f>
        <v>0</v>
      </c>
      <c r="D149" s="130" t="str">
        <f aca="false">ExportRaw!$E149</f>
        <v/>
      </c>
      <c r="E149" s="131" t="str">
        <f aca="false">ExportRaw!$D149</f>
        <v/>
      </c>
      <c r="F149" s="130" t="str">
        <f aca="false">ExportRaw!$H149</f>
        <v/>
      </c>
      <c r="G149" s="132" t="str">
        <f aca="false">ExportRaw!$I149</f>
        <v/>
      </c>
      <c r="H149" s="130" t="str">
        <f aca="false">ExportRaw!$A149</f>
        <v/>
      </c>
      <c r="I149" s="130" t="str">
        <f aca="false">ExportRaw!$B149</f>
        <v/>
      </c>
    </row>
    <row r="150" customFormat="false" ht="15.75" hidden="false" customHeight="false" outlineLevel="0" collapsed="false">
      <c r="A150" s="130" t="n">
        <f aca="false">ExportRaw!$F150</f>
        <v>0</v>
      </c>
      <c r="B150" s="130" t="n">
        <f aca="false">ExportRaw!$C150</f>
        <v>0</v>
      </c>
      <c r="C150" s="130" t="n">
        <f aca="false">ExportRaw!$G150</f>
        <v>0</v>
      </c>
      <c r="D150" s="130" t="str">
        <f aca="false">ExportRaw!$E150</f>
        <v/>
      </c>
      <c r="E150" s="131" t="str">
        <f aca="false">ExportRaw!$D150</f>
        <v/>
      </c>
      <c r="F150" s="130" t="str">
        <f aca="false">ExportRaw!$H150</f>
        <v/>
      </c>
      <c r="G150" s="132" t="str">
        <f aca="false">ExportRaw!$I150</f>
        <v/>
      </c>
      <c r="H150" s="130" t="str">
        <f aca="false">ExportRaw!$A150</f>
        <v/>
      </c>
      <c r="I150" s="130" t="str">
        <f aca="false">ExportRaw!$B150</f>
        <v/>
      </c>
    </row>
    <row r="151" customFormat="false" ht="15.75" hidden="false" customHeight="false" outlineLevel="0" collapsed="false">
      <c r="A151" s="130" t="n">
        <f aca="false">ExportRaw!$F151</f>
        <v>0</v>
      </c>
      <c r="B151" s="130" t="n">
        <f aca="false">ExportRaw!$C151</f>
        <v>0</v>
      </c>
      <c r="C151" s="130" t="n">
        <f aca="false">ExportRaw!$G151</f>
        <v>0</v>
      </c>
      <c r="D151" s="130" t="str">
        <f aca="false">ExportRaw!$E151</f>
        <v/>
      </c>
      <c r="E151" s="131" t="str">
        <f aca="false">ExportRaw!$D151</f>
        <v/>
      </c>
      <c r="F151" s="130" t="str">
        <f aca="false">ExportRaw!$H151</f>
        <v/>
      </c>
      <c r="G151" s="132" t="str">
        <f aca="false">ExportRaw!$I151</f>
        <v/>
      </c>
      <c r="H151" s="130" t="str">
        <f aca="false">ExportRaw!$A151</f>
        <v/>
      </c>
      <c r="I151" s="130" t="str">
        <f aca="false">ExportRaw!$B151</f>
        <v/>
      </c>
    </row>
    <row r="152" customFormat="false" ht="15.75" hidden="false" customHeight="false" outlineLevel="0" collapsed="false">
      <c r="A152" s="130" t="n">
        <f aca="false">ExportRaw!$F152</f>
        <v>0</v>
      </c>
      <c r="B152" s="130" t="n">
        <f aca="false">ExportRaw!$C152</f>
        <v>0</v>
      </c>
      <c r="C152" s="130" t="n">
        <f aca="false">ExportRaw!$G152</f>
        <v>0</v>
      </c>
      <c r="D152" s="130" t="str">
        <f aca="false">ExportRaw!$E152</f>
        <v/>
      </c>
      <c r="E152" s="131" t="str">
        <f aca="false">ExportRaw!$D152</f>
        <v/>
      </c>
      <c r="F152" s="130" t="str">
        <f aca="false">ExportRaw!$H152</f>
        <v/>
      </c>
      <c r="G152" s="132" t="str">
        <f aca="false">ExportRaw!$I152</f>
        <v/>
      </c>
      <c r="H152" s="130" t="str">
        <f aca="false">ExportRaw!$A152</f>
        <v/>
      </c>
      <c r="I152" s="130" t="str">
        <f aca="false">ExportRaw!$B152</f>
        <v/>
      </c>
    </row>
    <row r="153" customFormat="false" ht="15.75" hidden="false" customHeight="false" outlineLevel="0" collapsed="false">
      <c r="A153" s="130" t="n">
        <f aca="false">ExportRaw!$F153</f>
        <v>0</v>
      </c>
      <c r="B153" s="130" t="n">
        <f aca="false">ExportRaw!$C153</f>
        <v>0</v>
      </c>
      <c r="C153" s="130" t="n">
        <f aca="false">ExportRaw!$G153</f>
        <v>0</v>
      </c>
      <c r="D153" s="130" t="str">
        <f aca="false">ExportRaw!$E153</f>
        <v/>
      </c>
      <c r="E153" s="131" t="str">
        <f aca="false">ExportRaw!$D153</f>
        <v/>
      </c>
      <c r="F153" s="130" t="str">
        <f aca="false">ExportRaw!$H153</f>
        <v/>
      </c>
      <c r="G153" s="132" t="str">
        <f aca="false">ExportRaw!$I153</f>
        <v/>
      </c>
      <c r="H153" s="130" t="str">
        <f aca="false">ExportRaw!$A153</f>
        <v/>
      </c>
      <c r="I153" s="130" t="str">
        <f aca="false">ExportRaw!$B153</f>
        <v/>
      </c>
    </row>
    <row r="154" customFormat="false" ht="15.75" hidden="false" customHeight="false" outlineLevel="0" collapsed="false">
      <c r="A154" s="130" t="n">
        <f aca="false">ExportRaw!$F154</f>
        <v>0</v>
      </c>
      <c r="B154" s="130" t="n">
        <f aca="false">ExportRaw!$C154</f>
        <v>0</v>
      </c>
      <c r="C154" s="130" t="n">
        <f aca="false">ExportRaw!$G154</f>
        <v>0</v>
      </c>
      <c r="D154" s="130" t="str">
        <f aca="false">ExportRaw!$E154</f>
        <v/>
      </c>
      <c r="E154" s="131" t="str">
        <f aca="false">ExportRaw!$D154</f>
        <v/>
      </c>
      <c r="F154" s="130" t="str">
        <f aca="false">ExportRaw!$H154</f>
        <v/>
      </c>
      <c r="G154" s="132" t="str">
        <f aca="false">ExportRaw!$I154</f>
        <v/>
      </c>
      <c r="H154" s="130" t="str">
        <f aca="false">ExportRaw!$A154</f>
        <v/>
      </c>
      <c r="I154" s="130" t="str">
        <f aca="false">ExportRaw!$B154</f>
        <v/>
      </c>
    </row>
    <row r="155" customFormat="false" ht="15.75" hidden="false" customHeight="false" outlineLevel="0" collapsed="false">
      <c r="A155" s="130" t="n">
        <f aca="false">ExportRaw!$F155</f>
        <v>0</v>
      </c>
      <c r="B155" s="130" t="n">
        <f aca="false">ExportRaw!$C155</f>
        <v>0</v>
      </c>
      <c r="C155" s="130" t="n">
        <f aca="false">ExportRaw!$G155</f>
        <v>0</v>
      </c>
      <c r="D155" s="130" t="str">
        <f aca="false">ExportRaw!$E155</f>
        <v/>
      </c>
      <c r="E155" s="131" t="str">
        <f aca="false">ExportRaw!$D155</f>
        <v/>
      </c>
      <c r="F155" s="130" t="str">
        <f aca="false">ExportRaw!$H155</f>
        <v/>
      </c>
      <c r="G155" s="132" t="str">
        <f aca="false">ExportRaw!$I155</f>
        <v/>
      </c>
      <c r="H155" s="130" t="str">
        <f aca="false">ExportRaw!$A155</f>
        <v/>
      </c>
      <c r="I155" s="130" t="str">
        <f aca="false">ExportRaw!$B155</f>
        <v/>
      </c>
    </row>
    <row r="156" customFormat="false" ht="15.75" hidden="false" customHeight="false" outlineLevel="0" collapsed="false">
      <c r="A156" s="130" t="n">
        <f aca="false">ExportRaw!$F156</f>
        <v>0</v>
      </c>
      <c r="B156" s="130" t="n">
        <f aca="false">ExportRaw!$C156</f>
        <v>0</v>
      </c>
      <c r="C156" s="130" t="n">
        <f aca="false">ExportRaw!$G156</f>
        <v>0</v>
      </c>
      <c r="D156" s="130" t="str">
        <f aca="false">ExportRaw!$E156</f>
        <v/>
      </c>
      <c r="E156" s="131" t="str">
        <f aca="false">ExportRaw!$D156</f>
        <v/>
      </c>
      <c r="F156" s="130" t="str">
        <f aca="false">ExportRaw!$H156</f>
        <v/>
      </c>
      <c r="G156" s="132" t="str">
        <f aca="false">ExportRaw!$I156</f>
        <v/>
      </c>
      <c r="H156" s="130" t="str">
        <f aca="false">ExportRaw!$A156</f>
        <v/>
      </c>
      <c r="I156" s="130" t="str">
        <f aca="false">ExportRaw!$B156</f>
        <v/>
      </c>
    </row>
    <row r="157" customFormat="false" ht="15.75" hidden="false" customHeight="false" outlineLevel="0" collapsed="false">
      <c r="A157" s="130" t="n">
        <f aca="false">ExportRaw!$F157</f>
        <v>0</v>
      </c>
      <c r="B157" s="130" t="n">
        <f aca="false">ExportRaw!$C157</f>
        <v>0</v>
      </c>
      <c r="C157" s="130" t="n">
        <f aca="false">ExportRaw!$G157</f>
        <v>0</v>
      </c>
      <c r="D157" s="130" t="str">
        <f aca="false">ExportRaw!$E157</f>
        <v/>
      </c>
      <c r="E157" s="131" t="str">
        <f aca="false">ExportRaw!$D157</f>
        <v/>
      </c>
      <c r="F157" s="130" t="str">
        <f aca="false">ExportRaw!$H157</f>
        <v/>
      </c>
      <c r="G157" s="132" t="str">
        <f aca="false">ExportRaw!$I157</f>
        <v/>
      </c>
      <c r="H157" s="130" t="str">
        <f aca="false">ExportRaw!$A157</f>
        <v/>
      </c>
      <c r="I157" s="130" t="str">
        <f aca="false">ExportRaw!$B157</f>
        <v/>
      </c>
    </row>
    <row r="158" customFormat="false" ht="15.75" hidden="false" customHeight="false" outlineLevel="0" collapsed="false">
      <c r="A158" s="130" t="n">
        <f aca="false">ExportRaw!$F158</f>
        <v>0</v>
      </c>
      <c r="B158" s="130" t="n">
        <f aca="false">ExportRaw!$C158</f>
        <v>0</v>
      </c>
      <c r="C158" s="130" t="n">
        <f aca="false">ExportRaw!$G158</f>
        <v>0</v>
      </c>
      <c r="D158" s="130" t="str">
        <f aca="false">ExportRaw!$E158</f>
        <v/>
      </c>
      <c r="E158" s="131" t="str">
        <f aca="false">ExportRaw!$D158</f>
        <v/>
      </c>
      <c r="F158" s="130" t="str">
        <f aca="false">ExportRaw!$H158</f>
        <v/>
      </c>
      <c r="G158" s="132" t="str">
        <f aca="false">ExportRaw!$I158</f>
        <v/>
      </c>
      <c r="H158" s="130" t="str">
        <f aca="false">ExportRaw!$A158</f>
        <v/>
      </c>
      <c r="I158" s="130" t="str">
        <f aca="false">ExportRaw!$B158</f>
        <v/>
      </c>
    </row>
    <row r="159" customFormat="false" ht="15.75" hidden="false" customHeight="false" outlineLevel="0" collapsed="false">
      <c r="A159" s="130" t="n">
        <f aca="false">ExportRaw!$F159</f>
        <v>0</v>
      </c>
      <c r="B159" s="130" t="n">
        <f aca="false">ExportRaw!$C159</f>
        <v>0</v>
      </c>
      <c r="C159" s="130" t="n">
        <f aca="false">ExportRaw!$G159</f>
        <v>0</v>
      </c>
      <c r="D159" s="130" t="str">
        <f aca="false">ExportRaw!$E159</f>
        <v/>
      </c>
      <c r="E159" s="131" t="str">
        <f aca="false">ExportRaw!$D159</f>
        <v/>
      </c>
      <c r="F159" s="130" t="str">
        <f aca="false">ExportRaw!$H159</f>
        <v/>
      </c>
      <c r="G159" s="132" t="str">
        <f aca="false">ExportRaw!$I159</f>
        <v/>
      </c>
      <c r="H159" s="130" t="str">
        <f aca="false">ExportRaw!$A159</f>
        <v/>
      </c>
      <c r="I159" s="130" t="str">
        <f aca="false">ExportRaw!$B159</f>
        <v/>
      </c>
    </row>
    <row r="160" customFormat="false" ht="15.75" hidden="false" customHeight="false" outlineLevel="0" collapsed="false">
      <c r="A160" s="130" t="n">
        <f aca="false">ExportRaw!$F160</f>
        <v>0</v>
      </c>
      <c r="B160" s="130" t="n">
        <f aca="false">ExportRaw!$C160</f>
        <v>0</v>
      </c>
      <c r="C160" s="130" t="n">
        <f aca="false">ExportRaw!$G160</f>
        <v>0</v>
      </c>
      <c r="D160" s="130" t="str">
        <f aca="false">ExportRaw!$E160</f>
        <v/>
      </c>
      <c r="E160" s="131" t="str">
        <f aca="false">ExportRaw!$D160</f>
        <v/>
      </c>
      <c r="F160" s="130" t="str">
        <f aca="false">ExportRaw!$H160</f>
        <v/>
      </c>
      <c r="G160" s="132" t="str">
        <f aca="false">ExportRaw!$I160</f>
        <v/>
      </c>
      <c r="H160" s="130" t="str">
        <f aca="false">ExportRaw!$A160</f>
        <v/>
      </c>
      <c r="I160" s="130" t="str">
        <f aca="false">ExportRaw!$B160</f>
        <v/>
      </c>
    </row>
    <row r="161" customFormat="false" ht="15.75" hidden="false" customHeight="false" outlineLevel="0" collapsed="false">
      <c r="A161" s="130" t="n">
        <f aca="false">ExportRaw!$F161</f>
        <v>0</v>
      </c>
      <c r="B161" s="130" t="n">
        <f aca="false">ExportRaw!$C161</f>
        <v>0</v>
      </c>
      <c r="C161" s="130" t="n">
        <f aca="false">ExportRaw!$G161</f>
        <v>0</v>
      </c>
      <c r="D161" s="130" t="str">
        <f aca="false">ExportRaw!$E161</f>
        <v/>
      </c>
      <c r="E161" s="131" t="str">
        <f aca="false">ExportRaw!$D161</f>
        <v/>
      </c>
      <c r="F161" s="130" t="str">
        <f aca="false">ExportRaw!$H161</f>
        <v/>
      </c>
      <c r="G161" s="132" t="str">
        <f aca="false">ExportRaw!$I161</f>
        <v/>
      </c>
      <c r="H161" s="130" t="str">
        <f aca="false">ExportRaw!$A161</f>
        <v/>
      </c>
      <c r="I161" s="130" t="str">
        <f aca="false">ExportRaw!$B161</f>
        <v/>
      </c>
    </row>
    <row r="162" customFormat="false" ht="15.75" hidden="false" customHeight="false" outlineLevel="0" collapsed="false">
      <c r="A162" s="130" t="n">
        <f aca="false">ExportRaw!$F162</f>
        <v>0</v>
      </c>
      <c r="B162" s="130" t="n">
        <f aca="false">ExportRaw!$C162</f>
        <v>0</v>
      </c>
      <c r="C162" s="130" t="n">
        <f aca="false">ExportRaw!$G162</f>
        <v>0</v>
      </c>
      <c r="D162" s="130" t="str">
        <f aca="false">ExportRaw!$E162</f>
        <v/>
      </c>
      <c r="E162" s="131" t="str">
        <f aca="false">ExportRaw!$D162</f>
        <v/>
      </c>
      <c r="F162" s="130" t="str">
        <f aca="false">ExportRaw!$H162</f>
        <v/>
      </c>
      <c r="G162" s="132" t="str">
        <f aca="false">ExportRaw!$I162</f>
        <v/>
      </c>
      <c r="H162" s="130" t="str">
        <f aca="false">ExportRaw!$A162</f>
        <v/>
      </c>
      <c r="I162" s="130" t="str">
        <f aca="false">ExportRaw!$B162</f>
        <v/>
      </c>
    </row>
    <row r="163" customFormat="false" ht="15.75" hidden="false" customHeight="false" outlineLevel="0" collapsed="false">
      <c r="A163" s="130" t="n">
        <f aca="false">ExportRaw!$F163</f>
        <v>0</v>
      </c>
      <c r="B163" s="130" t="n">
        <f aca="false">ExportRaw!$C163</f>
        <v>0</v>
      </c>
      <c r="C163" s="130" t="n">
        <f aca="false">ExportRaw!$G163</f>
        <v>0</v>
      </c>
      <c r="D163" s="130" t="str">
        <f aca="false">ExportRaw!$E163</f>
        <v/>
      </c>
      <c r="E163" s="131" t="str">
        <f aca="false">ExportRaw!$D163</f>
        <v/>
      </c>
      <c r="F163" s="130" t="str">
        <f aca="false">ExportRaw!$H163</f>
        <v/>
      </c>
      <c r="G163" s="132" t="str">
        <f aca="false">ExportRaw!$I163</f>
        <v/>
      </c>
      <c r="H163" s="130" t="str">
        <f aca="false">ExportRaw!$A163</f>
        <v/>
      </c>
      <c r="I163" s="130" t="str">
        <f aca="false">ExportRaw!$B163</f>
        <v/>
      </c>
    </row>
    <row r="164" customFormat="false" ht="15.75" hidden="false" customHeight="false" outlineLevel="0" collapsed="false">
      <c r="A164" s="130" t="n">
        <f aca="false">ExportRaw!$F164</f>
        <v>0</v>
      </c>
      <c r="B164" s="130" t="n">
        <f aca="false">ExportRaw!$C164</f>
        <v>0</v>
      </c>
      <c r="C164" s="130" t="n">
        <f aca="false">ExportRaw!$G164</f>
        <v>0</v>
      </c>
      <c r="D164" s="130" t="str">
        <f aca="false">ExportRaw!$E164</f>
        <v/>
      </c>
      <c r="E164" s="131" t="str">
        <f aca="false">ExportRaw!$D164</f>
        <v/>
      </c>
      <c r="F164" s="130" t="str">
        <f aca="false">ExportRaw!$H164</f>
        <v/>
      </c>
      <c r="G164" s="132" t="str">
        <f aca="false">ExportRaw!$I164</f>
        <v/>
      </c>
      <c r="H164" s="130" t="str">
        <f aca="false">ExportRaw!$A164</f>
        <v/>
      </c>
      <c r="I164" s="130" t="str">
        <f aca="false">ExportRaw!$B164</f>
        <v/>
      </c>
    </row>
    <row r="165" customFormat="false" ht="15.75" hidden="false" customHeight="false" outlineLevel="0" collapsed="false">
      <c r="A165" s="130" t="n">
        <f aca="false">ExportRaw!$F165</f>
        <v>0</v>
      </c>
      <c r="B165" s="130" t="n">
        <f aca="false">ExportRaw!$C165</f>
        <v>0</v>
      </c>
      <c r="C165" s="130" t="n">
        <f aca="false">ExportRaw!$G165</f>
        <v>0</v>
      </c>
      <c r="D165" s="130" t="str">
        <f aca="false">ExportRaw!$E165</f>
        <v/>
      </c>
      <c r="E165" s="131" t="str">
        <f aca="false">ExportRaw!$D165</f>
        <v/>
      </c>
      <c r="F165" s="130" t="str">
        <f aca="false">ExportRaw!$H165</f>
        <v/>
      </c>
      <c r="G165" s="132" t="str">
        <f aca="false">ExportRaw!$I165</f>
        <v/>
      </c>
      <c r="H165" s="130" t="str">
        <f aca="false">ExportRaw!$A165</f>
        <v/>
      </c>
      <c r="I165" s="130" t="str">
        <f aca="false">ExportRaw!$B165</f>
        <v/>
      </c>
    </row>
    <row r="166" customFormat="false" ht="15.75" hidden="false" customHeight="false" outlineLevel="0" collapsed="false">
      <c r="A166" s="130" t="n">
        <f aca="false">ExportRaw!$F166</f>
        <v>0</v>
      </c>
      <c r="B166" s="130" t="n">
        <f aca="false">ExportRaw!$C166</f>
        <v>0</v>
      </c>
      <c r="C166" s="130" t="n">
        <f aca="false">ExportRaw!$G166</f>
        <v>0</v>
      </c>
      <c r="D166" s="130" t="str">
        <f aca="false">ExportRaw!$E166</f>
        <v/>
      </c>
      <c r="E166" s="131" t="str">
        <f aca="false">ExportRaw!$D166</f>
        <v/>
      </c>
      <c r="F166" s="130" t="str">
        <f aca="false">ExportRaw!$H166</f>
        <v/>
      </c>
      <c r="G166" s="132" t="str">
        <f aca="false">ExportRaw!$I166</f>
        <v/>
      </c>
      <c r="H166" s="130" t="str">
        <f aca="false">ExportRaw!$A166</f>
        <v/>
      </c>
      <c r="I166" s="130" t="str">
        <f aca="false">ExportRaw!$B166</f>
        <v/>
      </c>
    </row>
    <row r="167" customFormat="false" ht="15.75" hidden="false" customHeight="false" outlineLevel="0" collapsed="false">
      <c r="A167" s="130" t="n">
        <f aca="false">ExportRaw!$F167</f>
        <v>0</v>
      </c>
      <c r="B167" s="130" t="n">
        <f aca="false">ExportRaw!$C167</f>
        <v>0</v>
      </c>
      <c r="C167" s="130" t="n">
        <f aca="false">ExportRaw!$G167</f>
        <v>0</v>
      </c>
      <c r="D167" s="130" t="str">
        <f aca="false">ExportRaw!$E167</f>
        <v/>
      </c>
      <c r="E167" s="131" t="str">
        <f aca="false">ExportRaw!$D167</f>
        <v/>
      </c>
      <c r="F167" s="130" t="str">
        <f aca="false">ExportRaw!$H167</f>
        <v/>
      </c>
      <c r="G167" s="132" t="str">
        <f aca="false">ExportRaw!$I167</f>
        <v/>
      </c>
      <c r="H167" s="130" t="str">
        <f aca="false">ExportRaw!$A167</f>
        <v/>
      </c>
      <c r="I167" s="130" t="str">
        <f aca="false">ExportRaw!$B167</f>
        <v/>
      </c>
    </row>
    <row r="168" customFormat="false" ht="15.75" hidden="false" customHeight="false" outlineLevel="0" collapsed="false">
      <c r="A168" s="130" t="n">
        <f aca="false">ExportRaw!$F168</f>
        <v>0</v>
      </c>
      <c r="B168" s="130" t="n">
        <f aca="false">ExportRaw!$C168</f>
        <v>0</v>
      </c>
      <c r="C168" s="130" t="n">
        <f aca="false">ExportRaw!$G168</f>
        <v>0</v>
      </c>
      <c r="D168" s="130" t="str">
        <f aca="false">ExportRaw!$E168</f>
        <v/>
      </c>
      <c r="E168" s="131" t="str">
        <f aca="false">ExportRaw!$D168</f>
        <v/>
      </c>
      <c r="F168" s="130" t="str">
        <f aca="false">ExportRaw!$H168</f>
        <v/>
      </c>
      <c r="G168" s="132" t="str">
        <f aca="false">ExportRaw!$I168</f>
        <v/>
      </c>
      <c r="H168" s="130" t="str">
        <f aca="false">ExportRaw!$A168</f>
        <v/>
      </c>
      <c r="I168" s="130" t="str">
        <f aca="false">ExportRaw!$B168</f>
        <v/>
      </c>
    </row>
    <row r="169" customFormat="false" ht="15.75" hidden="false" customHeight="false" outlineLevel="0" collapsed="false">
      <c r="A169" s="130" t="n">
        <f aca="false">ExportRaw!$F169</f>
        <v>0</v>
      </c>
      <c r="B169" s="130" t="n">
        <f aca="false">ExportRaw!$C169</f>
        <v>0</v>
      </c>
      <c r="C169" s="130" t="n">
        <f aca="false">ExportRaw!$G169</f>
        <v>0</v>
      </c>
      <c r="D169" s="130" t="str">
        <f aca="false">ExportRaw!$E169</f>
        <v/>
      </c>
      <c r="E169" s="131" t="str">
        <f aca="false">ExportRaw!$D169</f>
        <v/>
      </c>
      <c r="F169" s="130" t="str">
        <f aca="false">ExportRaw!$H169</f>
        <v/>
      </c>
      <c r="G169" s="132" t="str">
        <f aca="false">ExportRaw!$I169</f>
        <v/>
      </c>
      <c r="H169" s="130" t="str">
        <f aca="false">ExportRaw!$A169</f>
        <v/>
      </c>
      <c r="I169" s="130" t="str">
        <f aca="false">ExportRaw!$B169</f>
        <v/>
      </c>
    </row>
    <row r="170" customFormat="false" ht="15.75" hidden="false" customHeight="false" outlineLevel="0" collapsed="false">
      <c r="A170" s="130" t="n">
        <f aca="false">ExportRaw!$F170</f>
        <v>0</v>
      </c>
      <c r="B170" s="130" t="n">
        <f aca="false">ExportRaw!$C170</f>
        <v>0</v>
      </c>
      <c r="C170" s="130" t="n">
        <f aca="false">ExportRaw!$G170</f>
        <v>0</v>
      </c>
      <c r="D170" s="130" t="str">
        <f aca="false">ExportRaw!$E170</f>
        <v/>
      </c>
      <c r="E170" s="131" t="str">
        <f aca="false">ExportRaw!$D170</f>
        <v/>
      </c>
      <c r="F170" s="130" t="str">
        <f aca="false">ExportRaw!$H170</f>
        <v/>
      </c>
      <c r="G170" s="132" t="str">
        <f aca="false">ExportRaw!$I170</f>
        <v/>
      </c>
      <c r="H170" s="130" t="str">
        <f aca="false">ExportRaw!$A170</f>
        <v/>
      </c>
      <c r="I170" s="130" t="str">
        <f aca="false">ExportRaw!$B170</f>
        <v/>
      </c>
    </row>
    <row r="171" customFormat="false" ht="15.75" hidden="false" customHeight="false" outlineLevel="0" collapsed="false">
      <c r="A171" s="130" t="n">
        <f aca="false">ExportRaw!$F171</f>
        <v>0</v>
      </c>
      <c r="B171" s="130" t="n">
        <f aca="false">ExportRaw!$C171</f>
        <v>0</v>
      </c>
      <c r="C171" s="130" t="n">
        <f aca="false">ExportRaw!$G171</f>
        <v>0</v>
      </c>
      <c r="D171" s="130" t="str">
        <f aca="false">ExportRaw!$E171</f>
        <v/>
      </c>
      <c r="E171" s="131" t="str">
        <f aca="false">ExportRaw!$D171</f>
        <v/>
      </c>
      <c r="F171" s="130" t="str">
        <f aca="false">ExportRaw!$H171</f>
        <v/>
      </c>
      <c r="G171" s="132" t="str">
        <f aca="false">ExportRaw!$I171</f>
        <v/>
      </c>
      <c r="H171" s="130" t="str">
        <f aca="false">ExportRaw!$A171</f>
        <v/>
      </c>
      <c r="I171" s="130" t="str">
        <f aca="false">ExportRaw!$B171</f>
        <v/>
      </c>
    </row>
    <row r="172" customFormat="false" ht="15.75" hidden="false" customHeight="false" outlineLevel="0" collapsed="false">
      <c r="A172" s="130" t="n">
        <f aca="false">ExportRaw!$F172</f>
        <v>0</v>
      </c>
      <c r="B172" s="130" t="n">
        <f aca="false">ExportRaw!$C172</f>
        <v>0</v>
      </c>
      <c r="C172" s="130" t="n">
        <f aca="false">ExportRaw!$G172</f>
        <v>0</v>
      </c>
      <c r="D172" s="130" t="str">
        <f aca="false">ExportRaw!$E172</f>
        <v/>
      </c>
      <c r="E172" s="131" t="str">
        <f aca="false">ExportRaw!$D172</f>
        <v/>
      </c>
      <c r="F172" s="130" t="str">
        <f aca="false">ExportRaw!$H172</f>
        <v/>
      </c>
      <c r="G172" s="132" t="str">
        <f aca="false">ExportRaw!$I172</f>
        <v/>
      </c>
      <c r="H172" s="130" t="str">
        <f aca="false">ExportRaw!$A172</f>
        <v/>
      </c>
      <c r="I172" s="130" t="str">
        <f aca="false">ExportRaw!$B172</f>
        <v/>
      </c>
    </row>
    <row r="173" customFormat="false" ht="15.75" hidden="false" customHeight="false" outlineLevel="0" collapsed="false">
      <c r="A173" s="130" t="n">
        <f aca="false">ExportRaw!$F173</f>
        <v>0</v>
      </c>
      <c r="B173" s="130" t="n">
        <f aca="false">ExportRaw!$C173</f>
        <v>0</v>
      </c>
      <c r="C173" s="130" t="n">
        <f aca="false">ExportRaw!$G173</f>
        <v>0</v>
      </c>
      <c r="D173" s="130" t="str">
        <f aca="false">ExportRaw!$E173</f>
        <v/>
      </c>
      <c r="E173" s="131" t="str">
        <f aca="false">ExportRaw!$D173</f>
        <v/>
      </c>
      <c r="F173" s="130" t="str">
        <f aca="false">ExportRaw!$H173</f>
        <v/>
      </c>
      <c r="G173" s="132" t="str">
        <f aca="false">ExportRaw!$I173</f>
        <v/>
      </c>
      <c r="H173" s="130" t="str">
        <f aca="false">ExportRaw!$A173</f>
        <v/>
      </c>
      <c r="I173" s="130" t="str">
        <f aca="false">ExportRaw!$B173</f>
        <v/>
      </c>
    </row>
    <row r="174" customFormat="false" ht="15.75" hidden="false" customHeight="false" outlineLevel="0" collapsed="false">
      <c r="A174" s="130" t="n">
        <f aca="false">ExportRaw!$F174</f>
        <v>0</v>
      </c>
      <c r="B174" s="130" t="n">
        <f aca="false">ExportRaw!$C174</f>
        <v>0</v>
      </c>
      <c r="C174" s="130" t="n">
        <f aca="false">ExportRaw!$G174</f>
        <v>0</v>
      </c>
      <c r="D174" s="130" t="str">
        <f aca="false">ExportRaw!$E174</f>
        <v/>
      </c>
      <c r="E174" s="131" t="str">
        <f aca="false">ExportRaw!$D174</f>
        <v/>
      </c>
      <c r="F174" s="130" t="str">
        <f aca="false">ExportRaw!$H174</f>
        <v/>
      </c>
      <c r="G174" s="132" t="str">
        <f aca="false">ExportRaw!$I174</f>
        <v/>
      </c>
      <c r="H174" s="130" t="str">
        <f aca="false">ExportRaw!$A174</f>
        <v/>
      </c>
      <c r="I174" s="130" t="str">
        <f aca="false">ExportRaw!$B174</f>
        <v/>
      </c>
    </row>
    <row r="175" customFormat="false" ht="15.75" hidden="false" customHeight="false" outlineLevel="0" collapsed="false">
      <c r="A175" s="130" t="n">
        <f aca="false">ExportRaw!$F175</f>
        <v>0</v>
      </c>
      <c r="B175" s="130" t="n">
        <f aca="false">ExportRaw!$C175</f>
        <v>0</v>
      </c>
      <c r="C175" s="130" t="n">
        <f aca="false">ExportRaw!$G175</f>
        <v>0</v>
      </c>
      <c r="D175" s="130" t="str">
        <f aca="false">ExportRaw!$E175</f>
        <v/>
      </c>
      <c r="E175" s="131" t="str">
        <f aca="false">ExportRaw!$D175</f>
        <v/>
      </c>
      <c r="F175" s="130" t="str">
        <f aca="false">ExportRaw!$H175</f>
        <v/>
      </c>
      <c r="G175" s="132" t="str">
        <f aca="false">ExportRaw!$I175</f>
        <v/>
      </c>
      <c r="H175" s="130" t="str">
        <f aca="false">ExportRaw!$A175</f>
        <v/>
      </c>
      <c r="I175" s="130" t="str">
        <f aca="false">ExportRaw!$B175</f>
        <v/>
      </c>
    </row>
    <row r="176" customFormat="false" ht="15.75" hidden="false" customHeight="false" outlineLevel="0" collapsed="false">
      <c r="A176" s="130" t="n">
        <f aca="false">ExportRaw!$F176</f>
        <v>0</v>
      </c>
      <c r="B176" s="130" t="n">
        <f aca="false">ExportRaw!$C176</f>
        <v>0</v>
      </c>
      <c r="C176" s="130" t="n">
        <f aca="false">ExportRaw!$G176</f>
        <v>0</v>
      </c>
      <c r="D176" s="130" t="str">
        <f aca="false">ExportRaw!$E176</f>
        <v/>
      </c>
      <c r="E176" s="131" t="str">
        <f aca="false">ExportRaw!$D176</f>
        <v/>
      </c>
      <c r="F176" s="130" t="str">
        <f aca="false">ExportRaw!$H176</f>
        <v/>
      </c>
      <c r="G176" s="132" t="str">
        <f aca="false">ExportRaw!$I176</f>
        <v/>
      </c>
      <c r="H176" s="130" t="str">
        <f aca="false">ExportRaw!$A176</f>
        <v/>
      </c>
      <c r="I176" s="130" t="str">
        <f aca="false">ExportRaw!$B176</f>
        <v/>
      </c>
    </row>
    <row r="177" customFormat="false" ht="15.75" hidden="false" customHeight="false" outlineLevel="0" collapsed="false">
      <c r="A177" s="130" t="n">
        <f aca="false">ExportRaw!$F177</f>
        <v>0</v>
      </c>
      <c r="B177" s="130" t="n">
        <f aca="false">ExportRaw!$C177</f>
        <v>0</v>
      </c>
      <c r="C177" s="130" t="n">
        <f aca="false">ExportRaw!$G177</f>
        <v>0</v>
      </c>
      <c r="D177" s="130" t="str">
        <f aca="false">ExportRaw!$E177</f>
        <v/>
      </c>
      <c r="E177" s="131" t="str">
        <f aca="false">ExportRaw!$D177</f>
        <v/>
      </c>
      <c r="F177" s="130" t="str">
        <f aca="false">ExportRaw!$H177</f>
        <v/>
      </c>
      <c r="G177" s="132" t="str">
        <f aca="false">ExportRaw!$I177</f>
        <v/>
      </c>
      <c r="H177" s="130" t="str">
        <f aca="false">ExportRaw!$A177</f>
        <v/>
      </c>
      <c r="I177" s="130" t="str">
        <f aca="false">ExportRaw!$B177</f>
        <v/>
      </c>
    </row>
    <row r="178" customFormat="false" ht="15.75" hidden="false" customHeight="false" outlineLevel="0" collapsed="false">
      <c r="A178" s="130" t="n">
        <f aca="false">ExportRaw!$F178</f>
        <v>0</v>
      </c>
      <c r="B178" s="130" t="n">
        <f aca="false">ExportRaw!$C178</f>
        <v>0</v>
      </c>
      <c r="C178" s="130" t="n">
        <f aca="false">ExportRaw!$G178</f>
        <v>0</v>
      </c>
      <c r="D178" s="130" t="str">
        <f aca="false">ExportRaw!$E178</f>
        <v/>
      </c>
      <c r="E178" s="131" t="str">
        <f aca="false">ExportRaw!$D178</f>
        <v/>
      </c>
      <c r="F178" s="130" t="str">
        <f aca="false">ExportRaw!$H178</f>
        <v/>
      </c>
      <c r="G178" s="132" t="str">
        <f aca="false">ExportRaw!$I178</f>
        <v/>
      </c>
      <c r="H178" s="130" t="str">
        <f aca="false">ExportRaw!$A178</f>
        <v/>
      </c>
      <c r="I178" s="130" t="str">
        <f aca="false">ExportRaw!$B178</f>
        <v/>
      </c>
    </row>
    <row r="179" customFormat="false" ht="15.75" hidden="false" customHeight="false" outlineLevel="0" collapsed="false">
      <c r="A179" s="130" t="n">
        <f aca="false">ExportRaw!$F179</f>
        <v>0</v>
      </c>
      <c r="B179" s="130" t="n">
        <f aca="false">ExportRaw!$C179</f>
        <v>0</v>
      </c>
      <c r="C179" s="130" t="n">
        <f aca="false">ExportRaw!$G179</f>
        <v>0</v>
      </c>
      <c r="D179" s="130" t="str">
        <f aca="false">ExportRaw!$E179</f>
        <v/>
      </c>
      <c r="E179" s="131" t="str">
        <f aca="false">ExportRaw!$D179</f>
        <v/>
      </c>
      <c r="F179" s="130" t="str">
        <f aca="false">ExportRaw!$H179</f>
        <v/>
      </c>
      <c r="G179" s="132" t="str">
        <f aca="false">ExportRaw!$I179</f>
        <v/>
      </c>
      <c r="H179" s="130" t="str">
        <f aca="false">ExportRaw!$A179</f>
        <v/>
      </c>
      <c r="I179" s="130" t="str">
        <f aca="false">ExportRaw!$B179</f>
        <v/>
      </c>
    </row>
    <row r="180" customFormat="false" ht="15.75" hidden="false" customHeight="false" outlineLevel="0" collapsed="false">
      <c r="A180" s="130" t="n">
        <f aca="false">ExportRaw!$F180</f>
        <v>0</v>
      </c>
      <c r="B180" s="130" t="n">
        <f aca="false">ExportRaw!$C180</f>
        <v>0</v>
      </c>
      <c r="C180" s="130" t="n">
        <f aca="false">ExportRaw!$G180</f>
        <v>0</v>
      </c>
      <c r="D180" s="130" t="str">
        <f aca="false">ExportRaw!$E180</f>
        <v/>
      </c>
      <c r="E180" s="131" t="str">
        <f aca="false">ExportRaw!$D180</f>
        <v/>
      </c>
      <c r="F180" s="130" t="str">
        <f aca="false">ExportRaw!$H180</f>
        <v/>
      </c>
      <c r="G180" s="132" t="str">
        <f aca="false">ExportRaw!$I180</f>
        <v/>
      </c>
      <c r="H180" s="130" t="str">
        <f aca="false">ExportRaw!$A180</f>
        <v/>
      </c>
      <c r="I180" s="130" t="str">
        <f aca="false">ExportRaw!$B180</f>
        <v/>
      </c>
    </row>
    <row r="181" customFormat="false" ht="15.75" hidden="false" customHeight="false" outlineLevel="0" collapsed="false">
      <c r="A181" s="130" t="n">
        <f aca="false">ExportRaw!$F181</f>
        <v>0</v>
      </c>
      <c r="B181" s="130" t="n">
        <f aca="false">ExportRaw!$C181</f>
        <v>0</v>
      </c>
      <c r="C181" s="130" t="n">
        <f aca="false">ExportRaw!$G181</f>
        <v>0</v>
      </c>
      <c r="D181" s="130" t="str">
        <f aca="false">ExportRaw!$E181</f>
        <v/>
      </c>
      <c r="E181" s="131" t="str">
        <f aca="false">ExportRaw!$D181</f>
        <v/>
      </c>
      <c r="F181" s="130" t="str">
        <f aca="false">ExportRaw!$H181</f>
        <v/>
      </c>
      <c r="G181" s="132" t="str">
        <f aca="false">ExportRaw!$I181</f>
        <v/>
      </c>
      <c r="H181" s="130" t="str">
        <f aca="false">ExportRaw!$A181</f>
        <v/>
      </c>
      <c r="I181" s="130" t="str">
        <f aca="false">ExportRaw!$B181</f>
        <v/>
      </c>
    </row>
    <row r="182" customFormat="false" ht="15.75" hidden="false" customHeight="false" outlineLevel="0" collapsed="false">
      <c r="A182" s="130" t="n">
        <f aca="false">ExportRaw!$F182</f>
        <v>0</v>
      </c>
      <c r="B182" s="130" t="n">
        <f aca="false">ExportRaw!$C182</f>
        <v>0</v>
      </c>
      <c r="C182" s="130" t="n">
        <f aca="false">ExportRaw!$G182</f>
        <v>0</v>
      </c>
      <c r="D182" s="130" t="str">
        <f aca="false">ExportRaw!$E182</f>
        <v/>
      </c>
      <c r="E182" s="131" t="str">
        <f aca="false">ExportRaw!$D182</f>
        <v/>
      </c>
      <c r="F182" s="130" t="str">
        <f aca="false">ExportRaw!$H182</f>
        <v/>
      </c>
      <c r="G182" s="132" t="str">
        <f aca="false">ExportRaw!$I182</f>
        <v/>
      </c>
      <c r="H182" s="130" t="str">
        <f aca="false">ExportRaw!$A182</f>
        <v/>
      </c>
      <c r="I182" s="130" t="str">
        <f aca="false">ExportRaw!$B182</f>
        <v/>
      </c>
    </row>
    <row r="183" customFormat="false" ht="15.75" hidden="false" customHeight="false" outlineLevel="0" collapsed="false">
      <c r="A183" s="130" t="n">
        <f aca="false">ExportRaw!$F183</f>
        <v>0</v>
      </c>
      <c r="B183" s="130" t="n">
        <f aca="false">ExportRaw!$C183</f>
        <v>0</v>
      </c>
      <c r="C183" s="130" t="n">
        <f aca="false">ExportRaw!$G183</f>
        <v>0</v>
      </c>
      <c r="D183" s="130" t="str">
        <f aca="false">ExportRaw!$E183</f>
        <v/>
      </c>
      <c r="E183" s="131" t="str">
        <f aca="false">ExportRaw!$D183</f>
        <v/>
      </c>
      <c r="F183" s="130" t="str">
        <f aca="false">ExportRaw!$H183</f>
        <v/>
      </c>
      <c r="G183" s="132" t="str">
        <f aca="false">ExportRaw!$I183</f>
        <v/>
      </c>
      <c r="H183" s="130" t="str">
        <f aca="false">ExportRaw!$A183</f>
        <v/>
      </c>
      <c r="I183" s="130" t="str">
        <f aca="false">ExportRaw!$B183</f>
        <v/>
      </c>
    </row>
    <row r="184" customFormat="false" ht="15.75" hidden="false" customHeight="false" outlineLevel="0" collapsed="false">
      <c r="A184" s="130" t="n">
        <f aca="false">ExportRaw!$F184</f>
        <v>0</v>
      </c>
      <c r="B184" s="130" t="n">
        <f aca="false">ExportRaw!$C184</f>
        <v>0</v>
      </c>
      <c r="C184" s="130" t="n">
        <f aca="false">ExportRaw!$G184</f>
        <v>0</v>
      </c>
      <c r="D184" s="130" t="str">
        <f aca="false">ExportRaw!$E184</f>
        <v/>
      </c>
      <c r="E184" s="131" t="str">
        <f aca="false">ExportRaw!$D184</f>
        <v/>
      </c>
      <c r="F184" s="130" t="str">
        <f aca="false">ExportRaw!$H184</f>
        <v/>
      </c>
      <c r="G184" s="132" t="str">
        <f aca="false">ExportRaw!$I184</f>
        <v/>
      </c>
      <c r="H184" s="130" t="str">
        <f aca="false">ExportRaw!$A184</f>
        <v/>
      </c>
      <c r="I184" s="130" t="str">
        <f aca="false">ExportRaw!$B184</f>
        <v/>
      </c>
    </row>
    <row r="185" customFormat="false" ht="15.75" hidden="false" customHeight="false" outlineLevel="0" collapsed="false">
      <c r="A185" s="130" t="n">
        <f aca="false">ExportRaw!$F185</f>
        <v>0</v>
      </c>
      <c r="B185" s="130" t="n">
        <f aca="false">ExportRaw!$C185</f>
        <v>0</v>
      </c>
      <c r="C185" s="130" t="n">
        <f aca="false">ExportRaw!$G185</f>
        <v>0</v>
      </c>
      <c r="D185" s="130" t="str">
        <f aca="false">ExportRaw!$E185</f>
        <v/>
      </c>
      <c r="E185" s="131" t="str">
        <f aca="false">ExportRaw!$D185</f>
        <v/>
      </c>
      <c r="F185" s="130" t="str">
        <f aca="false">ExportRaw!$H185</f>
        <v/>
      </c>
      <c r="G185" s="132" t="str">
        <f aca="false">ExportRaw!$I185</f>
        <v/>
      </c>
      <c r="H185" s="130" t="str">
        <f aca="false">ExportRaw!$A185</f>
        <v/>
      </c>
      <c r="I185" s="130" t="str">
        <f aca="false">ExportRaw!$B185</f>
        <v/>
      </c>
    </row>
    <row r="186" customFormat="false" ht="15.75" hidden="false" customHeight="false" outlineLevel="0" collapsed="false">
      <c r="A186" s="130" t="n">
        <f aca="false">ExportRaw!$F186</f>
        <v>0</v>
      </c>
      <c r="B186" s="130" t="n">
        <f aca="false">ExportRaw!$C186</f>
        <v>0</v>
      </c>
      <c r="C186" s="130" t="n">
        <f aca="false">ExportRaw!$G186</f>
        <v>0</v>
      </c>
      <c r="D186" s="130" t="str">
        <f aca="false">ExportRaw!$E186</f>
        <v/>
      </c>
      <c r="E186" s="131" t="str">
        <f aca="false">ExportRaw!$D186</f>
        <v/>
      </c>
      <c r="F186" s="130" t="str">
        <f aca="false">ExportRaw!$H186</f>
        <v/>
      </c>
      <c r="G186" s="132" t="str">
        <f aca="false">ExportRaw!$I186</f>
        <v/>
      </c>
      <c r="H186" s="130" t="str">
        <f aca="false">ExportRaw!$A186</f>
        <v/>
      </c>
      <c r="I186" s="130" t="str">
        <f aca="false">ExportRaw!$B186</f>
        <v/>
      </c>
    </row>
    <row r="187" customFormat="false" ht="15.75" hidden="false" customHeight="false" outlineLevel="0" collapsed="false">
      <c r="A187" s="130" t="n">
        <f aca="false">ExportRaw!$F187</f>
        <v>0</v>
      </c>
      <c r="B187" s="130" t="n">
        <f aca="false">ExportRaw!$C187</f>
        <v>0</v>
      </c>
      <c r="C187" s="130" t="n">
        <f aca="false">ExportRaw!$G187</f>
        <v>0</v>
      </c>
      <c r="D187" s="130" t="str">
        <f aca="false">ExportRaw!$E187</f>
        <v/>
      </c>
      <c r="E187" s="131" t="str">
        <f aca="false">ExportRaw!$D187</f>
        <v/>
      </c>
      <c r="F187" s="130" t="str">
        <f aca="false">ExportRaw!$H187</f>
        <v/>
      </c>
      <c r="G187" s="132" t="str">
        <f aca="false">ExportRaw!$I187</f>
        <v/>
      </c>
      <c r="H187" s="130" t="str">
        <f aca="false">ExportRaw!$A187</f>
        <v/>
      </c>
      <c r="I187" s="130" t="str">
        <f aca="false">ExportRaw!$B187</f>
        <v/>
      </c>
    </row>
    <row r="188" customFormat="false" ht="15.75" hidden="false" customHeight="false" outlineLevel="0" collapsed="false">
      <c r="A188" s="130" t="n">
        <f aca="false">ExportRaw!$F188</f>
        <v>0</v>
      </c>
      <c r="B188" s="130" t="n">
        <f aca="false">ExportRaw!$C188</f>
        <v>0</v>
      </c>
      <c r="C188" s="130" t="n">
        <f aca="false">ExportRaw!$G188</f>
        <v>0</v>
      </c>
      <c r="D188" s="130" t="str">
        <f aca="false">ExportRaw!$E188</f>
        <v/>
      </c>
      <c r="E188" s="131" t="str">
        <f aca="false">ExportRaw!$D188</f>
        <v/>
      </c>
      <c r="F188" s="130" t="str">
        <f aca="false">ExportRaw!$H188</f>
        <v/>
      </c>
      <c r="G188" s="132" t="str">
        <f aca="false">ExportRaw!$I188</f>
        <v/>
      </c>
      <c r="H188" s="130" t="str">
        <f aca="false">ExportRaw!$A188</f>
        <v/>
      </c>
      <c r="I188" s="130" t="str">
        <f aca="false">ExportRaw!$B188</f>
        <v/>
      </c>
    </row>
    <row r="189" customFormat="false" ht="15.75" hidden="false" customHeight="false" outlineLevel="0" collapsed="false">
      <c r="A189" s="130" t="n">
        <f aca="false">ExportRaw!$F189</f>
        <v>0</v>
      </c>
      <c r="B189" s="130" t="n">
        <f aca="false">ExportRaw!$C189</f>
        <v>0</v>
      </c>
      <c r="C189" s="130" t="n">
        <f aca="false">ExportRaw!$G189</f>
        <v>0</v>
      </c>
      <c r="D189" s="130" t="str">
        <f aca="false">ExportRaw!$E189</f>
        <v/>
      </c>
      <c r="E189" s="131" t="str">
        <f aca="false">ExportRaw!$D189</f>
        <v/>
      </c>
      <c r="F189" s="130" t="str">
        <f aca="false">ExportRaw!$H189</f>
        <v/>
      </c>
      <c r="G189" s="132" t="str">
        <f aca="false">ExportRaw!$I189</f>
        <v/>
      </c>
      <c r="H189" s="130" t="str">
        <f aca="false">ExportRaw!$A189</f>
        <v/>
      </c>
      <c r="I189" s="130" t="str">
        <f aca="false">ExportRaw!$B189</f>
        <v/>
      </c>
    </row>
    <row r="190" customFormat="false" ht="15.75" hidden="false" customHeight="false" outlineLevel="0" collapsed="false">
      <c r="A190" s="130" t="n">
        <f aca="false">ExportRaw!$F190</f>
        <v>0</v>
      </c>
      <c r="B190" s="130" t="n">
        <f aca="false">ExportRaw!$C190</f>
        <v>0</v>
      </c>
      <c r="C190" s="130" t="n">
        <f aca="false">ExportRaw!$G190</f>
        <v>0</v>
      </c>
      <c r="D190" s="130" t="str">
        <f aca="false">ExportRaw!$E190</f>
        <v/>
      </c>
      <c r="E190" s="131" t="str">
        <f aca="false">ExportRaw!$D190</f>
        <v/>
      </c>
      <c r="F190" s="130" t="str">
        <f aca="false">ExportRaw!$H190</f>
        <v/>
      </c>
      <c r="G190" s="132" t="str">
        <f aca="false">ExportRaw!$I190</f>
        <v/>
      </c>
      <c r="H190" s="130" t="str">
        <f aca="false">ExportRaw!$A190</f>
        <v/>
      </c>
      <c r="I190" s="130" t="str">
        <f aca="false">ExportRaw!$B190</f>
        <v/>
      </c>
    </row>
    <row r="191" customFormat="false" ht="15.75" hidden="false" customHeight="false" outlineLevel="0" collapsed="false">
      <c r="A191" s="130" t="n">
        <f aca="false">ExportRaw!$F191</f>
        <v>0</v>
      </c>
      <c r="B191" s="130" t="n">
        <f aca="false">ExportRaw!$C191</f>
        <v>0</v>
      </c>
      <c r="C191" s="130" t="n">
        <f aca="false">ExportRaw!$G191</f>
        <v>0</v>
      </c>
      <c r="D191" s="130" t="str">
        <f aca="false">ExportRaw!$E191</f>
        <v/>
      </c>
      <c r="E191" s="131" t="str">
        <f aca="false">ExportRaw!$D191</f>
        <v/>
      </c>
      <c r="F191" s="130" t="str">
        <f aca="false">ExportRaw!$H191</f>
        <v/>
      </c>
      <c r="G191" s="132" t="str">
        <f aca="false">ExportRaw!$I191</f>
        <v/>
      </c>
      <c r="H191" s="130" t="str">
        <f aca="false">ExportRaw!$A191</f>
        <v/>
      </c>
      <c r="I191" s="130" t="str">
        <f aca="false">ExportRaw!$B191</f>
        <v/>
      </c>
    </row>
    <row r="192" customFormat="false" ht="15.75" hidden="false" customHeight="false" outlineLevel="0" collapsed="false">
      <c r="A192" s="130" t="n">
        <f aca="false">ExportRaw!$F192</f>
        <v>0</v>
      </c>
      <c r="B192" s="130" t="n">
        <f aca="false">ExportRaw!$C192</f>
        <v>0</v>
      </c>
      <c r="C192" s="130" t="n">
        <f aca="false">ExportRaw!$G192</f>
        <v>0</v>
      </c>
      <c r="D192" s="130" t="str">
        <f aca="false">ExportRaw!$E192</f>
        <v/>
      </c>
      <c r="E192" s="131" t="str">
        <f aca="false">ExportRaw!$D192</f>
        <v/>
      </c>
      <c r="F192" s="130" t="str">
        <f aca="false">ExportRaw!$H192</f>
        <v/>
      </c>
      <c r="G192" s="132" t="str">
        <f aca="false">ExportRaw!$I192</f>
        <v/>
      </c>
      <c r="H192" s="130" t="str">
        <f aca="false">ExportRaw!$A192</f>
        <v/>
      </c>
      <c r="I192" s="130" t="str">
        <f aca="false">ExportRaw!$B192</f>
        <v/>
      </c>
    </row>
    <row r="193" customFormat="false" ht="15.75" hidden="false" customHeight="false" outlineLevel="0" collapsed="false">
      <c r="A193" s="130" t="n">
        <f aca="false">ExportRaw!$F193</f>
        <v>0</v>
      </c>
      <c r="B193" s="130" t="n">
        <f aca="false">ExportRaw!$C193</f>
        <v>0</v>
      </c>
      <c r="C193" s="130" t="n">
        <f aca="false">ExportRaw!$G193</f>
        <v>0</v>
      </c>
      <c r="D193" s="130" t="str">
        <f aca="false">ExportRaw!$E193</f>
        <v/>
      </c>
      <c r="E193" s="131" t="str">
        <f aca="false">ExportRaw!$D193</f>
        <v/>
      </c>
      <c r="F193" s="130" t="str">
        <f aca="false">ExportRaw!$H193</f>
        <v/>
      </c>
      <c r="G193" s="132" t="str">
        <f aca="false">ExportRaw!$I193</f>
        <v/>
      </c>
      <c r="H193" s="130" t="str">
        <f aca="false">ExportRaw!$A193</f>
        <v/>
      </c>
      <c r="I193" s="130" t="str">
        <f aca="false">ExportRaw!$B193</f>
        <v/>
      </c>
    </row>
    <row r="194" customFormat="false" ht="15.75" hidden="false" customHeight="false" outlineLevel="0" collapsed="false">
      <c r="A194" s="130" t="n">
        <f aca="false">ExportRaw!$F194</f>
        <v>0</v>
      </c>
      <c r="B194" s="130" t="n">
        <f aca="false">ExportRaw!$C194</f>
        <v>0</v>
      </c>
      <c r="C194" s="130" t="n">
        <f aca="false">ExportRaw!$G194</f>
        <v>0</v>
      </c>
      <c r="D194" s="130" t="str">
        <f aca="false">ExportRaw!$E194</f>
        <v/>
      </c>
      <c r="E194" s="131" t="str">
        <f aca="false">ExportRaw!$D194</f>
        <v/>
      </c>
      <c r="F194" s="130" t="str">
        <f aca="false">ExportRaw!$H194</f>
        <v/>
      </c>
      <c r="G194" s="132" t="str">
        <f aca="false">ExportRaw!$I194</f>
        <v/>
      </c>
      <c r="H194" s="130" t="str">
        <f aca="false">ExportRaw!$A194</f>
        <v/>
      </c>
      <c r="I194" s="130" t="str">
        <f aca="false">ExportRaw!$B194</f>
        <v/>
      </c>
    </row>
    <row r="195" customFormat="false" ht="15.75" hidden="false" customHeight="false" outlineLevel="0" collapsed="false">
      <c r="A195" s="130" t="n">
        <f aca="false">ExportRaw!$F195</f>
        <v>0</v>
      </c>
      <c r="B195" s="130" t="n">
        <f aca="false">ExportRaw!$C195</f>
        <v>0</v>
      </c>
      <c r="C195" s="130" t="n">
        <f aca="false">ExportRaw!$G195</f>
        <v>0</v>
      </c>
      <c r="D195" s="130" t="str">
        <f aca="false">ExportRaw!$E195</f>
        <v/>
      </c>
      <c r="E195" s="131" t="str">
        <f aca="false">ExportRaw!$D195</f>
        <v/>
      </c>
      <c r="F195" s="130" t="str">
        <f aca="false">ExportRaw!$H195</f>
        <v/>
      </c>
      <c r="G195" s="132" t="str">
        <f aca="false">ExportRaw!$I195</f>
        <v/>
      </c>
      <c r="H195" s="130" t="str">
        <f aca="false">ExportRaw!$A195</f>
        <v/>
      </c>
      <c r="I195" s="130" t="str">
        <f aca="false">ExportRaw!$B195</f>
        <v/>
      </c>
    </row>
    <row r="196" customFormat="false" ht="15.75" hidden="false" customHeight="false" outlineLevel="0" collapsed="false">
      <c r="A196" s="130" t="n">
        <f aca="false">ExportRaw!$F196</f>
        <v>0</v>
      </c>
      <c r="B196" s="130" t="n">
        <f aca="false">ExportRaw!$C196</f>
        <v>0</v>
      </c>
      <c r="C196" s="130" t="n">
        <f aca="false">ExportRaw!$G196</f>
        <v>0</v>
      </c>
      <c r="D196" s="130" t="str">
        <f aca="false">ExportRaw!$E196</f>
        <v/>
      </c>
      <c r="E196" s="131" t="str">
        <f aca="false">ExportRaw!$D196</f>
        <v/>
      </c>
      <c r="F196" s="130" t="str">
        <f aca="false">ExportRaw!$H196</f>
        <v/>
      </c>
      <c r="G196" s="132" t="str">
        <f aca="false">ExportRaw!$I196</f>
        <v/>
      </c>
      <c r="H196" s="130" t="str">
        <f aca="false">ExportRaw!$A196</f>
        <v/>
      </c>
      <c r="I196" s="130" t="str">
        <f aca="false">ExportRaw!$B196</f>
        <v/>
      </c>
    </row>
    <row r="197" customFormat="false" ht="15.75" hidden="false" customHeight="false" outlineLevel="0" collapsed="false">
      <c r="A197" s="130" t="n">
        <f aca="false">ExportRaw!$F197</f>
        <v>0</v>
      </c>
      <c r="B197" s="130" t="n">
        <f aca="false">ExportRaw!$C197</f>
        <v>0</v>
      </c>
      <c r="C197" s="130" t="n">
        <f aca="false">ExportRaw!$G197</f>
        <v>0</v>
      </c>
      <c r="D197" s="130" t="str">
        <f aca="false">ExportRaw!$E197</f>
        <v/>
      </c>
      <c r="E197" s="131" t="str">
        <f aca="false">ExportRaw!$D197</f>
        <v/>
      </c>
      <c r="F197" s="130" t="str">
        <f aca="false">ExportRaw!$H197</f>
        <v/>
      </c>
      <c r="G197" s="132" t="str">
        <f aca="false">ExportRaw!$I197</f>
        <v/>
      </c>
      <c r="H197" s="130" t="str">
        <f aca="false">ExportRaw!$A197</f>
        <v/>
      </c>
      <c r="I197" s="130" t="str">
        <f aca="false">ExportRaw!$B197</f>
        <v/>
      </c>
    </row>
    <row r="198" customFormat="false" ht="15.75" hidden="false" customHeight="false" outlineLevel="0" collapsed="false">
      <c r="A198" s="130" t="n">
        <f aca="false">ExportRaw!$F198</f>
        <v>0</v>
      </c>
      <c r="B198" s="130" t="n">
        <f aca="false">ExportRaw!$C198</f>
        <v>0</v>
      </c>
      <c r="C198" s="130" t="n">
        <f aca="false">ExportRaw!$G198</f>
        <v>0</v>
      </c>
      <c r="D198" s="130" t="str">
        <f aca="false">ExportRaw!$E198</f>
        <v/>
      </c>
      <c r="E198" s="131" t="str">
        <f aca="false">ExportRaw!$D198</f>
        <v/>
      </c>
      <c r="F198" s="130" t="str">
        <f aca="false">ExportRaw!$H198</f>
        <v/>
      </c>
      <c r="G198" s="132" t="str">
        <f aca="false">ExportRaw!$I198</f>
        <v/>
      </c>
      <c r="H198" s="130" t="str">
        <f aca="false">ExportRaw!$A198</f>
        <v/>
      </c>
      <c r="I198" s="130" t="str">
        <f aca="false">ExportRaw!$B198</f>
        <v/>
      </c>
    </row>
    <row r="199" customFormat="false" ht="15.75" hidden="false" customHeight="false" outlineLevel="0" collapsed="false">
      <c r="A199" s="130" t="n">
        <f aca="false">ExportRaw!$F199</f>
        <v>0</v>
      </c>
      <c r="B199" s="130" t="n">
        <f aca="false">ExportRaw!$C199</f>
        <v>0</v>
      </c>
      <c r="C199" s="130" t="n">
        <f aca="false">ExportRaw!$G199</f>
        <v>0</v>
      </c>
      <c r="D199" s="130" t="str">
        <f aca="false">ExportRaw!$E199</f>
        <v/>
      </c>
      <c r="E199" s="131" t="str">
        <f aca="false">ExportRaw!$D199</f>
        <v/>
      </c>
      <c r="F199" s="130" t="str">
        <f aca="false">ExportRaw!$H199</f>
        <v/>
      </c>
      <c r="G199" s="132" t="str">
        <f aca="false">ExportRaw!$I199</f>
        <v/>
      </c>
      <c r="H199" s="130" t="str">
        <f aca="false">ExportRaw!$A199</f>
        <v/>
      </c>
      <c r="I199" s="130" t="str">
        <f aca="false">ExportRaw!$B199</f>
        <v/>
      </c>
    </row>
    <row r="200" customFormat="false" ht="15.75" hidden="false" customHeight="false" outlineLevel="0" collapsed="false">
      <c r="A200" s="130" t="n">
        <f aca="false">ExportRaw!$F200</f>
        <v>0</v>
      </c>
      <c r="B200" s="130" t="n">
        <f aca="false">ExportRaw!$C200</f>
        <v>0</v>
      </c>
      <c r="C200" s="130" t="n">
        <f aca="false">ExportRaw!$G200</f>
        <v>0</v>
      </c>
      <c r="D200" s="130" t="str">
        <f aca="false">ExportRaw!$E200</f>
        <v/>
      </c>
      <c r="E200" s="131" t="str">
        <f aca="false">ExportRaw!$D200</f>
        <v/>
      </c>
      <c r="F200" s="130" t="str">
        <f aca="false">ExportRaw!$H200</f>
        <v/>
      </c>
      <c r="G200" s="132" t="str">
        <f aca="false">ExportRaw!$I200</f>
        <v/>
      </c>
      <c r="H200" s="130" t="str">
        <f aca="false">ExportRaw!$A200</f>
        <v/>
      </c>
      <c r="I200" s="130" t="str">
        <f aca="false">ExportRaw!$B200</f>
        <v/>
      </c>
    </row>
    <row r="201" customFormat="false" ht="15.75" hidden="false" customHeight="false" outlineLevel="0" collapsed="false">
      <c r="A201" s="130" t="n">
        <f aca="false">ExportRaw!$F201</f>
        <v>0</v>
      </c>
      <c r="B201" s="130" t="n">
        <f aca="false">ExportRaw!$C201</f>
        <v>0</v>
      </c>
      <c r="C201" s="130" t="n">
        <f aca="false">ExportRaw!$G201</f>
        <v>0</v>
      </c>
      <c r="D201" s="130" t="str">
        <f aca="false">ExportRaw!$E201</f>
        <v/>
      </c>
      <c r="E201" s="131" t="str">
        <f aca="false">ExportRaw!$D201</f>
        <v/>
      </c>
      <c r="F201" s="130" t="str">
        <f aca="false">ExportRaw!$H201</f>
        <v/>
      </c>
      <c r="G201" s="132" t="str">
        <f aca="false">ExportRaw!$I201</f>
        <v/>
      </c>
      <c r="H201" s="130" t="str">
        <f aca="false">ExportRaw!$A201</f>
        <v/>
      </c>
      <c r="I201" s="130" t="str">
        <f aca="false">ExportRaw!$B201</f>
        <v/>
      </c>
    </row>
    <row r="202" customFormat="false" ht="15.75" hidden="false" customHeight="false" outlineLevel="0" collapsed="false">
      <c r="A202" s="130" t="n">
        <f aca="false">ExportRaw!$F202</f>
        <v>0</v>
      </c>
      <c r="B202" s="130" t="n">
        <f aca="false">ExportRaw!$C202</f>
        <v>0</v>
      </c>
      <c r="C202" s="130" t="n">
        <f aca="false">ExportRaw!$G202</f>
        <v>0</v>
      </c>
      <c r="D202" s="130" t="str">
        <f aca="false">ExportRaw!$E202</f>
        <v/>
      </c>
      <c r="E202" s="131" t="str">
        <f aca="false">ExportRaw!$D202</f>
        <v/>
      </c>
      <c r="F202" s="130" t="str">
        <f aca="false">ExportRaw!$H202</f>
        <v/>
      </c>
      <c r="G202" s="132" t="str">
        <f aca="false">ExportRaw!$I202</f>
        <v/>
      </c>
      <c r="H202" s="130" t="str">
        <f aca="false">ExportRaw!$A202</f>
        <v/>
      </c>
      <c r="I202" s="130" t="str">
        <f aca="false">ExportRaw!$B202</f>
        <v/>
      </c>
    </row>
    <row r="203" customFormat="false" ht="15.75" hidden="false" customHeight="false" outlineLevel="0" collapsed="false">
      <c r="A203" s="130" t="n">
        <f aca="false">ExportRaw!$F203</f>
        <v>0</v>
      </c>
      <c r="B203" s="130" t="n">
        <f aca="false">ExportRaw!$C203</f>
        <v>0</v>
      </c>
      <c r="C203" s="130" t="n">
        <f aca="false">ExportRaw!$G203</f>
        <v>0</v>
      </c>
      <c r="D203" s="130" t="str">
        <f aca="false">ExportRaw!$E203</f>
        <v/>
      </c>
      <c r="E203" s="131" t="str">
        <f aca="false">ExportRaw!$D203</f>
        <v/>
      </c>
      <c r="F203" s="130" t="str">
        <f aca="false">ExportRaw!$H203</f>
        <v/>
      </c>
      <c r="G203" s="132" t="str">
        <f aca="false">ExportRaw!$I203</f>
        <v/>
      </c>
      <c r="H203" s="130" t="str">
        <f aca="false">ExportRaw!$A203</f>
        <v/>
      </c>
      <c r="I203" s="130" t="str">
        <f aca="false">ExportRaw!$B203</f>
        <v/>
      </c>
    </row>
    <row r="204" customFormat="false" ht="15.75" hidden="false" customHeight="false" outlineLevel="0" collapsed="false">
      <c r="A204" s="130" t="n">
        <f aca="false">ExportRaw!$F204</f>
        <v>0</v>
      </c>
      <c r="B204" s="130" t="n">
        <f aca="false">ExportRaw!$C204</f>
        <v>0</v>
      </c>
      <c r="C204" s="130" t="n">
        <f aca="false">ExportRaw!$G204</f>
        <v>0</v>
      </c>
      <c r="D204" s="130" t="str">
        <f aca="false">ExportRaw!$E204</f>
        <v/>
      </c>
      <c r="E204" s="131" t="str">
        <f aca="false">ExportRaw!$D204</f>
        <v/>
      </c>
      <c r="F204" s="130" t="str">
        <f aca="false">ExportRaw!$H204</f>
        <v/>
      </c>
      <c r="G204" s="132" t="str">
        <f aca="false">ExportRaw!$I204</f>
        <v/>
      </c>
      <c r="H204" s="130" t="str">
        <f aca="false">ExportRaw!$A204</f>
        <v/>
      </c>
      <c r="I204" s="130" t="str">
        <f aca="false">ExportRaw!$B204</f>
        <v/>
      </c>
    </row>
    <row r="205" customFormat="false" ht="15.75" hidden="false" customHeight="false" outlineLevel="0" collapsed="false">
      <c r="A205" s="130" t="n">
        <f aca="false">ExportRaw!$F205</f>
        <v>0</v>
      </c>
      <c r="B205" s="130" t="n">
        <f aca="false">ExportRaw!$C205</f>
        <v>0</v>
      </c>
      <c r="C205" s="130" t="n">
        <f aca="false">ExportRaw!$G205</f>
        <v>0</v>
      </c>
      <c r="D205" s="130" t="str">
        <f aca="false">ExportRaw!$E205</f>
        <v/>
      </c>
      <c r="E205" s="131" t="str">
        <f aca="false">ExportRaw!$D205</f>
        <v/>
      </c>
      <c r="F205" s="130" t="str">
        <f aca="false">ExportRaw!$H205</f>
        <v/>
      </c>
      <c r="G205" s="132" t="str">
        <f aca="false">ExportRaw!$I205</f>
        <v/>
      </c>
      <c r="H205" s="130" t="str">
        <f aca="false">ExportRaw!$A205</f>
        <v/>
      </c>
      <c r="I205" s="130" t="str">
        <f aca="false">ExportRaw!$B205</f>
        <v/>
      </c>
    </row>
    <row r="206" customFormat="false" ht="15.75" hidden="false" customHeight="false" outlineLevel="0" collapsed="false">
      <c r="A206" s="130" t="n">
        <f aca="false">ExportRaw!$F206</f>
        <v>0</v>
      </c>
      <c r="B206" s="130" t="n">
        <f aca="false">ExportRaw!$C206</f>
        <v>0</v>
      </c>
      <c r="C206" s="130" t="n">
        <f aca="false">ExportRaw!$G206</f>
        <v>0</v>
      </c>
      <c r="D206" s="130" t="str">
        <f aca="false">ExportRaw!$E206</f>
        <v/>
      </c>
      <c r="E206" s="131" t="str">
        <f aca="false">ExportRaw!$D206</f>
        <v/>
      </c>
      <c r="F206" s="130" t="str">
        <f aca="false">ExportRaw!$H206</f>
        <v/>
      </c>
      <c r="G206" s="132" t="str">
        <f aca="false">ExportRaw!$I206</f>
        <v/>
      </c>
      <c r="H206" s="130" t="str">
        <f aca="false">ExportRaw!$A206</f>
        <v/>
      </c>
      <c r="I206" s="130" t="str">
        <f aca="false">ExportRaw!$B206</f>
        <v/>
      </c>
    </row>
    <row r="207" customFormat="false" ht="15.75" hidden="false" customHeight="false" outlineLevel="0" collapsed="false">
      <c r="A207" s="130" t="n">
        <f aca="false">ExportRaw!$F207</f>
        <v>0</v>
      </c>
      <c r="B207" s="130" t="n">
        <f aca="false">ExportRaw!$C207</f>
        <v>0</v>
      </c>
      <c r="C207" s="130" t="n">
        <f aca="false">ExportRaw!$G207</f>
        <v>0</v>
      </c>
      <c r="D207" s="130" t="str">
        <f aca="false">ExportRaw!$E207</f>
        <v/>
      </c>
      <c r="E207" s="131" t="str">
        <f aca="false">ExportRaw!$D207</f>
        <v/>
      </c>
      <c r="F207" s="130" t="str">
        <f aca="false">ExportRaw!$H207</f>
        <v/>
      </c>
      <c r="G207" s="132" t="str">
        <f aca="false">ExportRaw!$I207</f>
        <v/>
      </c>
      <c r="H207" s="130" t="str">
        <f aca="false">ExportRaw!$A207</f>
        <v/>
      </c>
      <c r="I207" s="130" t="str">
        <f aca="false">ExportRaw!$B207</f>
        <v/>
      </c>
    </row>
    <row r="208" customFormat="false" ht="15.75" hidden="false" customHeight="false" outlineLevel="0" collapsed="false">
      <c r="A208" s="130" t="n">
        <f aca="false">ExportRaw!$F208</f>
        <v>0</v>
      </c>
      <c r="B208" s="130" t="n">
        <f aca="false">ExportRaw!$C208</f>
        <v>0</v>
      </c>
      <c r="C208" s="130" t="n">
        <f aca="false">ExportRaw!$G208</f>
        <v>0</v>
      </c>
      <c r="D208" s="130" t="str">
        <f aca="false">ExportRaw!$E208</f>
        <v/>
      </c>
      <c r="E208" s="131" t="str">
        <f aca="false">ExportRaw!$D208</f>
        <v/>
      </c>
      <c r="F208" s="130" t="str">
        <f aca="false">ExportRaw!$H208</f>
        <v/>
      </c>
      <c r="G208" s="132" t="str">
        <f aca="false">ExportRaw!$I208</f>
        <v/>
      </c>
      <c r="H208" s="130" t="str">
        <f aca="false">ExportRaw!$A208</f>
        <v/>
      </c>
      <c r="I208" s="130" t="str">
        <f aca="false">ExportRaw!$B208</f>
        <v/>
      </c>
    </row>
    <row r="209" customFormat="false" ht="15.75" hidden="false" customHeight="false" outlineLevel="0" collapsed="false">
      <c r="A209" s="130" t="n">
        <f aca="false">ExportRaw!$F209</f>
        <v>0</v>
      </c>
      <c r="B209" s="130" t="n">
        <f aca="false">ExportRaw!$C209</f>
        <v>0</v>
      </c>
      <c r="C209" s="130" t="n">
        <f aca="false">ExportRaw!$G209</f>
        <v>0</v>
      </c>
      <c r="D209" s="130" t="str">
        <f aca="false">ExportRaw!$E209</f>
        <v/>
      </c>
      <c r="E209" s="131" t="str">
        <f aca="false">ExportRaw!$D209</f>
        <v/>
      </c>
      <c r="F209" s="130" t="str">
        <f aca="false">ExportRaw!$H209</f>
        <v/>
      </c>
      <c r="G209" s="132" t="str">
        <f aca="false">ExportRaw!$I209</f>
        <v/>
      </c>
      <c r="H209" s="130" t="str">
        <f aca="false">ExportRaw!$A209</f>
        <v/>
      </c>
      <c r="I209" s="130" t="str">
        <f aca="false">ExportRaw!$B209</f>
        <v/>
      </c>
    </row>
    <row r="210" customFormat="false" ht="15.75" hidden="false" customHeight="false" outlineLevel="0" collapsed="false">
      <c r="A210" s="130" t="n">
        <f aca="false">ExportRaw!$F210</f>
        <v>0</v>
      </c>
      <c r="B210" s="130" t="n">
        <f aca="false">ExportRaw!$C210</f>
        <v>0</v>
      </c>
      <c r="C210" s="130" t="n">
        <f aca="false">ExportRaw!$G210</f>
        <v>0</v>
      </c>
      <c r="D210" s="130" t="str">
        <f aca="false">ExportRaw!$E210</f>
        <v/>
      </c>
      <c r="E210" s="131" t="str">
        <f aca="false">ExportRaw!$D210</f>
        <v/>
      </c>
      <c r="F210" s="130" t="str">
        <f aca="false">ExportRaw!$H210</f>
        <v/>
      </c>
      <c r="G210" s="132" t="str">
        <f aca="false">ExportRaw!$I210</f>
        <v/>
      </c>
      <c r="H210" s="130" t="str">
        <f aca="false">ExportRaw!$A210</f>
        <v/>
      </c>
      <c r="I210" s="130" t="str">
        <f aca="false">ExportRaw!$B210</f>
        <v/>
      </c>
    </row>
    <row r="211" customFormat="false" ht="15.75" hidden="false" customHeight="false" outlineLevel="0" collapsed="false">
      <c r="A211" s="130" t="n">
        <f aca="false">ExportRaw!$F211</f>
        <v>0</v>
      </c>
      <c r="B211" s="130" t="n">
        <f aca="false">ExportRaw!$C211</f>
        <v>0</v>
      </c>
      <c r="C211" s="130" t="n">
        <f aca="false">ExportRaw!$G211</f>
        <v>0</v>
      </c>
      <c r="D211" s="130" t="str">
        <f aca="false">ExportRaw!$E211</f>
        <v/>
      </c>
      <c r="E211" s="131" t="str">
        <f aca="false">ExportRaw!$D211</f>
        <v/>
      </c>
      <c r="F211" s="130" t="str">
        <f aca="false">ExportRaw!$H211</f>
        <v/>
      </c>
      <c r="G211" s="132" t="str">
        <f aca="false">ExportRaw!$I211</f>
        <v/>
      </c>
      <c r="H211" s="130" t="str">
        <f aca="false">ExportRaw!$A211</f>
        <v/>
      </c>
      <c r="I211" s="130" t="str">
        <f aca="false">ExportRaw!$B211</f>
        <v/>
      </c>
    </row>
    <row r="212" customFormat="false" ht="15.75" hidden="false" customHeight="false" outlineLevel="0" collapsed="false">
      <c r="A212" s="130" t="n">
        <f aca="false">ExportRaw!$F212</f>
        <v>0</v>
      </c>
      <c r="B212" s="130" t="n">
        <f aca="false">ExportRaw!$C212</f>
        <v>0</v>
      </c>
      <c r="C212" s="130" t="n">
        <f aca="false">ExportRaw!$G212</f>
        <v>0</v>
      </c>
      <c r="D212" s="130" t="str">
        <f aca="false">ExportRaw!$E212</f>
        <v/>
      </c>
      <c r="E212" s="131" t="str">
        <f aca="false">ExportRaw!$D212</f>
        <v/>
      </c>
      <c r="F212" s="130" t="str">
        <f aca="false">ExportRaw!$H212</f>
        <v/>
      </c>
      <c r="G212" s="132" t="str">
        <f aca="false">ExportRaw!$I212</f>
        <v/>
      </c>
      <c r="H212" s="130" t="str">
        <f aca="false">ExportRaw!$A212</f>
        <v/>
      </c>
      <c r="I212" s="130" t="str">
        <f aca="false">ExportRaw!$B212</f>
        <v/>
      </c>
    </row>
    <row r="213" customFormat="false" ht="15.75" hidden="false" customHeight="false" outlineLevel="0" collapsed="false">
      <c r="A213" s="130" t="n">
        <f aca="false">ExportRaw!$F213</f>
        <v>0</v>
      </c>
      <c r="B213" s="130" t="n">
        <f aca="false">ExportRaw!$C213</f>
        <v>0</v>
      </c>
      <c r="C213" s="130" t="n">
        <f aca="false">ExportRaw!$G213</f>
        <v>0</v>
      </c>
      <c r="D213" s="130" t="str">
        <f aca="false">ExportRaw!$E213</f>
        <v/>
      </c>
      <c r="E213" s="131" t="str">
        <f aca="false">ExportRaw!$D213</f>
        <v/>
      </c>
      <c r="F213" s="130" t="str">
        <f aca="false">ExportRaw!$H213</f>
        <v/>
      </c>
      <c r="G213" s="132" t="str">
        <f aca="false">ExportRaw!$I213</f>
        <v/>
      </c>
      <c r="H213" s="130" t="str">
        <f aca="false">ExportRaw!$A213</f>
        <v/>
      </c>
      <c r="I213" s="130" t="str">
        <f aca="false">ExportRaw!$B213</f>
        <v/>
      </c>
    </row>
    <row r="214" customFormat="false" ht="15.75" hidden="false" customHeight="false" outlineLevel="0" collapsed="false">
      <c r="A214" s="130" t="n">
        <f aca="false">ExportRaw!$F214</f>
        <v>0</v>
      </c>
      <c r="B214" s="130" t="n">
        <f aca="false">ExportRaw!$C214</f>
        <v>0</v>
      </c>
      <c r="C214" s="130" t="n">
        <f aca="false">ExportRaw!$G214</f>
        <v>0</v>
      </c>
      <c r="D214" s="130" t="str">
        <f aca="false">ExportRaw!$E214</f>
        <v/>
      </c>
      <c r="E214" s="131" t="str">
        <f aca="false">ExportRaw!$D214</f>
        <v/>
      </c>
      <c r="F214" s="130" t="str">
        <f aca="false">ExportRaw!$H214</f>
        <v/>
      </c>
      <c r="G214" s="132" t="str">
        <f aca="false">ExportRaw!$I214</f>
        <v/>
      </c>
      <c r="H214" s="130" t="str">
        <f aca="false">ExportRaw!$A214</f>
        <v/>
      </c>
      <c r="I214" s="130" t="str">
        <f aca="false">ExportRaw!$B214</f>
        <v/>
      </c>
    </row>
    <row r="215" customFormat="false" ht="15.75" hidden="false" customHeight="false" outlineLevel="0" collapsed="false">
      <c r="A215" s="130" t="n">
        <f aca="false">ExportRaw!$F215</f>
        <v>0</v>
      </c>
      <c r="B215" s="130" t="n">
        <f aca="false">ExportRaw!$C215</f>
        <v>0</v>
      </c>
      <c r="C215" s="130" t="n">
        <f aca="false">ExportRaw!$G215</f>
        <v>0</v>
      </c>
      <c r="D215" s="130" t="str">
        <f aca="false">ExportRaw!$E215</f>
        <v/>
      </c>
      <c r="E215" s="131" t="str">
        <f aca="false">ExportRaw!$D215</f>
        <v/>
      </c>
      <c r="F215" s="130" t="str">
        <f aca="false">ExportRaw!$H215</f>
        <v/>
      </c>
      <c r="G215" s="132" t="str">
        <f aca="false">ExportRaw!$I215</f>
        <v/>
      </c>
      <c r="H215" s="130" t="str">
        <f aca="false">ExportRaw!$A215</f>
        <v/>
      </c>
      <c r="I215" s="130" t="str">
        <f aca="false">ExportRaw!$B215</f>
        <v/>
      </c>
    </row>
    <row r="216" customFormat="false" ht="15.75" hidden="false" customHeight="false" outlineLevel="0" collapsed="false">
      <c r="A216" s="130" t="n">
        <f aca="false">ExportRaw!$F216</f>
        <v>0</v>
      </c>
      <c r="B216" s="130" t="n">
        <f aca="false">ExportRaw!$C216</f>
        <v>0</v>
      </c>
      <c r="C216" s="130" t="n">
        <f aca="false">ExportRaw!$G216</f>
        <v>0</v>
      </c>
      <c r="D216" s="130" t="str">
        <f aca="false">ExportRaw!$E216</f>
        <v/>
      </c>
      <c r="E216" s="131" t="str">
        <f aca="false">ExportRaw!$D216</f>
        <v/>
      </c>
      <c r="F216" s="130" t="str">
        <f aca="false">ExportRaw!$H216</f>
        <v/>
      </c>
      <c r="G216" s="132" t="str">
        <f aca="false">ExportRaw!$I216</f>
        <v/>
      </c>
      <c r="H216" s="130" t="str">
        <f aca="false">ExportRaw!$A216</f>
        <v/>
      </c>
      <c r="I216" s="130" t="str">
        <f aca="false">ExportRaw!$B216</f>
        <v/>
      </c>
    </row>
    <row r="217" customFormat="false" ht="15.75" hidden="false" customHeight="false" outlineLevel="0" collapsed="false">
      <c r="A217" s="130" t="n">
        <f aca="false">ExportRaw!$F217</f>
        <v>0</v>
      </c>
      <c r="B217" s="130" t="n">
        <f aca="false">ExportRaw!$C217</f>
        <v>0</v>
      </c>
      <c r="C217" s="130" t="n">
        <f aca="false">ExportRaw!$G217</f>
        <v>0</v>
      </c>
      <c r="D217" s="130" t="str">
        <f aca="false">ExportRaw!$E217</f>
        <v/>
      </c>
      <c r="E217" s="131" t="str">
        <f aca="false">ExportRaw!$D217</f>
        <v/>
      </c>
      <c r="F217" s="130" t="str">
        <f aca="false">ExportRaw!$H217</f>
        <v/>
      </c>
      <c r="G217" s="132" t="str">
        <f aca="false">ExportRaw!$I217</f>
        <v/>
      </c>
      <c r="H217" s="130" t="str">
        <f aca="false">ExportRaw!$A217</f>
        <v/>
      </c>
      <c r="I217" s="130" t="str">
        <f aca="false">ExportRaw!$B217</f>
        <v/>
      </c>
    </row>
    <row r="218" customFormat="false" ht="15.75" hidden="false" customHeight="false" outlineLevel="0" collapsed="false">
      <c r="A218" s="130" t="n">
        <f aca="false">ExportRaw!$F218</f>
        <v>0</v>
      </c>
      <c r="B218" s="130" t="n">
        <f aca="false">ExportRaw!$C218</f>
        <v>0</v>
      </c>
      <c r="C218" s="130" t="n">
        <f aca="false">ExportRaw!$G218</f>
        <v>0</v>
      </c>
      <c r="D218" s="130" t="str">
        <f aca="false">ExportRaw!$E218</f>
        <v/>
      </c>
      <c r="E218" s="131" t="str">
        <f aca="false">ExportRaw!$D218</f>
        <v/>
      </c>
      <c r="F218" s="130" t="str">
        <f aca="false">ExportRaw!$H218</f>
        <v/>
      </c>
      <c r="G218" s="132" t="str">
        <f aca="false">ExportRaw!$I218</f>
        <v/>
      </c>
      <c r="H218" s="130" t="str">
        <f aca="false">ExportRaw!$A218</f>
        <v/>
      </c>
      <c r="I218" s="130" t="str">
        <f aca="false">ExportRaw!$B218</f>
        <v/>
      </c>
    </row>
    <row r="219" customFormat="false" ht="15.75" hidden="false" customHeight="false" outlineLevel="0" collapsed="false">
      <c r="A219" s="130" t="n">
        <f aca="false">ExportRaw!$F219</f>
        <v>0</v>
      </c>
      <c r="B219" s="130" t="n">
        <f aca="false">ExportRaw!$C219</f>
        <v>0</v>
      </c>
      <c r="C219" s="130" t="n">
        <f aca="false">ExportRaw!$G219</f>
        <v>0</v>
      </c>
      <c r="D219" s="130" t="str">
        <f aca="false">ExportRaw!$E219</f>
        <v/>
      </c>
      <c r="E219" s="131" t="str">
        <f aca="false">ExportRaw!$D219</f>
        <v/>
      </c>
      <c r="F219" s="130" t="str">
        <f aca="false">ExportRaw!$H219</f>
        <v/>
      </c>
      <c r="G219" s="132" t="str">
        <f aca="false">ExportRaw!$I219</f>
        <v/>
      </c>
      <c r="H219" s="130" t="str">
        <f aca="false">ExportRaw!$A219</f>
        <v/>
      </c>
      <c r="I219" s="130" t="str">
        <f aca="false">ExportRaw!$B219</f>
        <v/>
      </c>
    </row>
    <row r="220" customFormat="false" ht="15.75" hidden="false" customHeight="false" outlineLevel="0" collapsed="false">
      <c r="A220" s="130" t="n">
        <f aca="false">ExportRaw!$F220</f>
        <v>0</v>
      </c>
      <c r="B220" s="130" t="n">
        <f aca="false">ExportRaw!$C220</f>
        <v>0</v>
      </c>
      <c r="C220" s="130" t="n">
        <f aca="false">ExportRaw!$G220</f>
        <v>0</v>
      </c>
      <c r="D220" s="130" t="str">
        <f aca="false">ExportRaw!$E220</f>
        <v/>
      </c>
      <c r="E220" s="131" t="str">
        <f aca="false">ExportRaw!$D220</f>
        <v/>
      </c>
      <c r="F220" s="130" t="str">
        <f aca="false">ExportRaw!$H220</f>
        <v/>
      </c>
      <c r="G220" s="132" t="str">
        <f aca="false">ExportRaw!$I220</f>
        <v/>
      </c>
      <c r="H220" s="130" t="str">
        <f aca="false">ExportRaw!$A220</f>
        <v/>
      </c>
      <c r="I220" s="130" t="str">
        <f aca="false">ExportRaw!$B220</f>
        <v/>
      </c>
    </row>
    <row r="221" customFormat="false" ht="15.75" hidden="false" customHeight="false" outlineLevel="0" collapsed="false">
      <c r="A221" s="130" t="n">
        <f aca="false">ExportRaw!$F221</f>
        <v>0</v>
      </c>
      <c r="B221" s="130" t="n">
        <f aca="false">ExportRaw!$C221</f>
        <v>0</v>
      </c>
      <c r="C221" s="130" t="n">
        <f aca="false">ExportRaw!$G221</f>
        <v>0</v>
      </c>
      <c r="D221" s="130" t="str">
        <f aca="false">ExportRaw!$E221</f>
        <v/>
      </c>
      <c r="E221" s="131" t="str">
        <f aca="false">ExportRaw!$D221</f>
        <v/>
      </c>
      <c r="F221" s="130" t="str">
        <f aca="false">ExportRaw!$H221</f>
        <v/>
      </c>
      <c r="G221" s="132" t="str">
        <f aca="false">ExportRaw!$I221</f>
        <v/>
      </c>
      <c r="H221" s="130" t="str">
        <f aca="false">ExportRaw!$A221</f>
        <v/>
      </c>
      <c r="I221" s="130" t="str">
        <f aca="false">ExportRaw!$B221</f>
        <v/>
      </c>
    </row>
    <row r="222" customFormat="false" ht="15.75" hidden="false" customHeight="false" outlineLevel="0" collapsed="false">
      <c r="A222" s="130" t="n">
        <f aca="false">ExportRaw!$F222</f>
        <v>0</v>
      </c>
      <c r="B222" s="130" t="n">
        <f aca="false">ExportRaw!$C222</f>
        <v>0</v>
      </c>
      <c r="C222" s="130" t="n">
        <f aca="false">ExportRaw!$G222</f>
        <v>0</v>
      </c>
      <c r="D222" s="130" t="str">
        <f aca="false">ExportRaw!$E222</f>
        <v/>
      </c>
      <c r="E222" s="131" t="str">
        <f aca="false">ExportRaw!$D222</f>
        <v/>
      </c>
      <c r="F222" s="130" t="str">
        <f aca="false">ExportRaw!$H222</f>
        <v/>
      </c>
      <c r="G222" s="132" t="str">
        <f aca="false">ExportRaw!$I222</f>
        <v/>
      </c>
      <c r="H222" s="130" t="str">
        <f aca="false">ExportRaw!$A222</f>
        <v/>
      </c>
      <c r="I222" s="130" t="str">
        <f aca="false">ExportRaw!$B222</f>
        <v/>
      </c>
    </row>
    <row r="223" customFormat="false" ht="15.75" hidden="false" customHeight="false" outlineLevel="0" collapsed="false">
      <c r="A223" s="130" t="n">
        <f aca="false">ExportRaw!$F223</f>
        <v>0</v>
      </c>
      <c r="B223" s="130" t="n">
        <f aca="false">ExportRaw!$C223</f>
        <v>0</v>
      </c>
      <c r="C223" s="130" t="n">
        <f aca="false">ExportRaw!$G223</f>
        <v>0</v>
      </c>
      <c r="D223" s="130" t="str">
        <f aca="false">ExportRaw!$E223</f>
        <v/>
      </c>
      <c r="E223" s="131" t="str">
        <f aca="false">ExportRaw!$D223</f>
        <v/>
      </c>
      <c r="F223" s="130" t="str">
        <f aca="false">ExportRaw!$H223</f>
        <v/>
      </c>
      <c r="G223" s="132" t="str">
        <f aca="false">ExportRaw!$I223</f>
        <v/>
      </c>
      <c r="H223" s="130" t="str">
        <f aca="false">ExportRaw!$A223</f>
        <v/>
      </c>
      <c r="I223" s="130" t="str">
        <f aca="false">ExportRaw!$B223</f>
        <v/>
      </c>
    </row>
    <row r="224" customFormat="false" ht="15.75" hidden="false" customHeight="false" outlineLevel="0" collapsed="false">
      <c r="A224" s="130" t="n">
        <f aca="false">ExportRaw!$F224</f>
        <v>0</v>
      </c>
      <c r="B224" s="130" t="n">
        <f aca="false">ExportRaw!$C224</f>
        <v>0</v>
      </c>
      <c r="C224" s="130" t="n">
        <f aca="false">ExportRaw!$G224</f>
        <v>0</v>
      </c>
      <c r="D224" s="130" t="str">
        <f aca="false">ExportRaw!$E224</f>
        <v/>
      </c>
      <c r="E224" s="131" t="str">
        <f aca="false">ExportRaw!$D224</f>
        <v/>
      </c>
      <c r="F224" s="130" t="str">
        <f aca="false">ExportRaw!$H224</f>
        <v/>
      </c>
      <c r="G224" s="132" t="str">
        <f aca="false">ExportRaw!$I224</f>
        <v/>
      </c>
      <c r="H224" s="130" t="str">
        <f aca="false">ExportRaw!$A224</f>
        <v/>
      </c>
      <c r="I224" s="130" t="str">
        <f aca="false">ExportRaw!$B224</f>
        <v/>
      </c>
    </row>
    <row r="225" customFormat="false" ht="15.75" hidden="false" customHeight="false" outlineLevel="0" collapsed="false">
      <c r="A225" s="130" t="n">
        <f aca="false">ExportRaw!$F225</f>
        <v>0</v>
      </c>
      <c r="B225" s="130" t="n">
        <f aca="false">ExportRaw!$C225</f>
        <v>0</v>
      </c>
      <c r="C225" s="130" t="n">
        <f aca="false">ExportRaw!$G225</f>
        <v>0</v>
      </c>
      <c r="D225" s="130" t="str">
        <f aca="false">ExportRaw!$E225</f>
        <v/>
      </c>
      <c r="E225" s="131" t="str">
        <f aca="false">ExportRaw!$D225</f>
        <v/>
      </c>
      <c r="F225" s="130" t="str">
        <f aca="false">ExportRaw!$H225</f>
        <v/>
      </c>
      <c r="G225" s="132" t="str">
        <f aca="false">ExportRaw!$I225</f>
        <v/>
      </c>
      <c r="H225" s="130" t="str">
        <f aca="false">ExportRaw!$A225</f>
        <v/>
      </c>
      <c r="I225" s="130" t="str">
        <f aca="false">ExportRaw!$B225</f>
        <v/>
      </c>
    </row>
    <row r="226" customFormat="false" ht="15.75" hidden="false" customHeight="false" outlineLevel="0" collapsed="false">
      <c r="A226" s="130" t="n">
        <f aca="false">ExportRaw!$F226</f>
        <v>0</v>
      </c>
      <c r="B226" s="130" t="n">
        <f aca="false">ExportRaw!$C226</f>
        <v>0</v>
      </c>
      <c r="C226" s="130" t="n">
        <f aca="false">ExportRaw!$G226</f>
        <v>0</v>
      </c>
      <c r="D226" s="130" t="str">
        <f aca="false">ExportRaw!$E226</f>
        <v/>
      </c>
      <c r="E226" s="131" t="str">
        <f aca="false">ExportRaw!$D226</f>
        <v/>
      </c>
      <c r="F226" s="130" t="str">
        <f aca="false">ExportRaw!$H226</f>
        <v/>
      </c>
      <c r="G226" s="132" t="str">
        <f aca="false">ExportRaw!$I226</f>
        <v/>
      </c>
      <c r="H226" s="130" t="str">
        <f aca="false">ExportRaw!$A226</f>
        <v/>
      </c>
      <c r="I226" s="130" t="str">
        <f aca="false">ExportRaw!$B226</f>
        <v/>
      </c>
    </row>
    <row r="227" customFormat="false" ht="15.75" hidden="false" customHeight="false" outlineLevel="0" collapsed="false">
      <c r="A227" s="130" t="n">
        <f aca="false">ExportRaw!$F227</f>
        <v>0</v>
      </c>
      <c r="B227" s="130" t="n">
        <f aca="false">ExportRaw!$C227</f>
        <v>0</v>
      </c>
      <c r="C227" s="130" t="n">
        <f aca="false">ExportRaw!$G227</f>
        <v>0</v>
      </c>
      <c r="D227" s="130" t="str">
        <f aca="false">ExportRaw!$E227</f>
        <v/>
      </c>
      <c r="E227" s="131" t="str">
        <f aca="false">ExportRaw!$D227</f>
        <v/>
      </c>
      <c r="F227" s="130" t="str">
        <f aca="false">ExportRaw!$H227</f>
        <v/>
      </c>
      <c r="G227" s="132" t="str">
        <f aca="false">ExportRaw!$I227</f>
        <v/>
      </c>
      <c r="H227" s="130" t="str">
        <f aca="false">ExportRaw!$A227</f>
        <v/>
      </c>
      <c r="I227" s="130" t="str">
        <f aca="false">ExportRaw!$B227</f>
        <v/>
      </c>
    </row>
    <row r="228" customFormat="false" ht="15.75" hidden="false" customHeight="false" outlineLevel="0" collapsed="false">
      <c r="A228" s="130" t="n">
        <f aca="false">ExportRaw!$F228</f>
        <v>0</v>
      </c>
      <c r="B228" s="130" t="n">
        <f aca="false">ExportRaw!$C228</f>
        <v>0</v>
      </c>
      <c r="C228" s="130" t="n">
        <f aca="false">ExportRaw!$G228</f>
        <v>0</v>
      </c>
      <c r="D228" s="130" t="str">
        <f aca="false">ExportRaw!$E228</f>
        <v/>
      </c>
      <c r="E228" s="131" t="str">
        <f aca="false">ExportRaw!$D228</f>
        <v/>
      </c>
      <c r="F228" s="130" t="str">
        <f aca="false">ExportRaw!$H228</f>
        <v/>
      </c>
      <c r="G228" s="132" t="str">
        <f aca="false">ExportRaw!$I228</f>
        <v/>
      </c>
      <c r="H228" s="130" t="str">
        <f aca="false">ExportRaw!$A228</f>
        <v/>
      </c>
      <c r="I228" s="130" t="str">
        <f aca="false">ExportRaw!$B228</f>
        <v/>
      </c>
    </row>
    <row r="229" customFormat="false" ht="15.75" hidden="false" customHeight="false" outlineLevel="0" collapsed="false">
      <c r="A229" s="130" t="n">
        <f aca="false">ExportRaw!$F229</f>
        <v>0</v>
      </c>
      <c r="B229" s="130" t="n">
        <f aca="false">ExportRaw!$C229</f>
        <v>0</v>
      </c>
      <c r="C229" s="130" t="n">
        <f aca="false">ExportRaw!$G229</f>
        <v>0</v>
      </c>
      <c r="D229" s="130" t="str">
        <f aca="false">ExportRaw!$E229</f>
        <v/>
      </c>
      <c r="E229" s="131" t="str">
        <f aca="false">ExportRaw!$D229</f>
        <v/>
      </c>
      <c r="F229" s="130" t="str">
        <f aca="false">ExportRaw!$H229</f>
        <v/>
      </c>
      <c r="G229" s="132" t="str">
        <f aca="false">ExportRaw!$I229</f>
        <v/>
      </c>
      <c r="H229" s="130" t="str">
        <f aca="false">ExportRaw!$A229</f>
        <v/>
      </c>
      <c r="I229" s="130" t="str">
        <f aca="false">ExportRaw!$B229</f>
        <v/>
      </c>
    </row>
    <row r="230" customFormat="false" ht="15.75" hidden="false" customHeight="false" outlineLevel="0" collapsed="false">
      <c r="A230" s="130" t="n">
        <f aca="false">ExportRaw!$F230</f>
        <v>0</v>
      </c>
      <c r="B230" s="130" t="n">
        <f aca="false">ExportRaw!$C230</f>
        <v>0</v>
      </c>
      <c r="C230" s="130" t="n">
        <f aca="false">ExportRaw!$G230</f>
        <v>0</v>
      </c>
      <c r="D230" s="130" t="str">
        <f aca="false">ExportRaw!$E230</f>
        <v/>
      </c>
      <c r="E230" s="131" t="str">
        <f aca="false">ExportRaw!$D230</f>
        <v/>
      </c>
      <c r="F230" s="130" t="str">
        <f aca="false">ExportRaw!$H230</f>
        <v/>
      </c>
      <c r="G230" s="132" t="str">
        <f aca="false">ExportRaw!$I230</f>
        <v/>
      </c>
      <c r="H230" s="130" t="str">
        <f aca="false">ExportRaw!$A230</f>
        <v/>
      </c>
      <c r="I230" s="130" t="str">
        <f aca="false">ExportRaw!$B230</f>
        <v/>
      </c>
    </row>
    <row r="231" customFormat="false" ht="15.75" hidden="false" customHeight="false" outlineLevel="0" collapsed="false">
      <c r="A231" s="130" t="n">
        <f aca="false">ExportRaw!$F231</f>
        <v>0</v>
      </c>
      <c r="B231" s="130" t="n">
        <f aca="false">ExportRaw!$C231</f>
        <v>0</v>
      </c>
      <c r="C231" s="130" t="n">
        <f aca="false">ExportRaw!$G231</f>
        <v>0</v>
      </c>
      <c r="D231" s="130" t="str">
        <f aca="false">ExportRaw!$E231</f>
        <v/>
      </c>
      <c r="E231" s="131" t="str">
        <f aca="false">ExportRaw!$D231</f>
        <v/>
      </c>
      <c r="F231" s="130" t="str">
        <f aca="false">ExportRaw!$H231</f>
        <v/>
      </c>
      <c r="G231" s="132" t="str">
        <f aca="false">ExportRaw!$I231</f>
        <v/>
      </c>
      <c r="H231" s="130" t="str">
        <f aca="false">ExportRaw!$A231</f>
        <v/>
      </c>
      <c r="I231" s="130" t="str">
        <f aca="false">ExportRaw!$B231</f>
        <v/>
      </c>
    </row>
    <row r="232" customFormat="false" ht="15.75" hidden="false" customHeight="false" outlineLevel="0" collapsed="false">
      <c r="A232" s="130" t="n">
        <f aca="false">ExportRaw!$F232</f>
        <v>0</v>
      </c>
      <c r="B232" s="130" t="n">
        <f aca="false">ExportRaw!$C232</f>
        <v>0</v>
      </c>
      <c r="C232" s="130" t="n">
        <f aca="false">ExportRaw!$G232</f>
        <v>0</v>
      </c>
      <c r="D232" s="130" t="str">
        <f aca="false">ExportRaw!$E232</f>
        <v/>
      </c>
      <c r="E232" s="131" t="str">
        <f aca="false">ExportRaw!$D232</f>
        <v/>
      </c>
      <c r="F232" s="130" t="str">
        <f aca="false">ExportRaw!$H232</f>
        <v/>
      </c>
      <c r="G232" s="132" t="str">
        <f aca="false">ExportRaw!$I232</f>
        <v/>
      </c>
      <c r="H232" s="130" t="str">
        <f aca="false">ExportRaw!$A232</f>
        <v/>
      </c>
      <c r="I232" s="130" t="str">
        <f aca="false">ExportRaw!$B232</f>
        <v/>
      </c>
    </row>
    <row r="233" customFormat="false" ht="15.75" hidden="false" customHeight="false" outlineLevel="0" collapsed="false">
      <c r="A233" s="130" t="n">
        <f aca="false">ExportRaw!$F233</f>
        <v>0</v>
      </c>
      <c r="B233" s="130" t="n">
        <f aca="false">ExportRaw!$C233</f>
        <v>0</v>
      </c>
      <c r="C233" s="130" t="n">
        <f aca="false">ExportRaw!$G233</f>
        <v>0</v>
      </c>
      <c r="D233" s="130" t="str">
        <f aca="false">ExportRaw!$E233</f>
        <v/>
      </c>
      <c r="E233" s="131" t="str">
        <f aca="false">ExportRaw!$D233</f>
        <v/>
      </c>
      <c r="F233" s="130" t="str">
        <f aca="false">ExportRaw!$H233</f>
        <v/>
      </c>
      <c r="G233" s="132" t="str">
        <f aca="false">ExportRaw!$I233</f>
        <v/>
      </c>
      <c r="H233" s="130" t="str">
        <f aca="false">ExportRaw!$A233</f>
        <v/>
      </c>
      <c r="I233" s="130" t="str">
        <f aca="false">ExportRaw!$B233</f>
        <v/>
      </c>
    </row>
    <row r="234" customFormat="false" ht="15.75" hidden="false" customHeight="false" outlineLevel="0" collapsed="false">
      <c r="A234" s="130" t="n">
        <f aca="false">ExportRaw!$F234</f>
        <v>0</v>
      </c>
      <c r="B234" s="130" t="n">
        <f aca="false">ExportRaw!$C234</f>
        <v>0</v>
      </c>
      <c r="C234" s="130" t="n">
        <f aca="false">ExportRaw!$G234</f>
        <v>0</v>
      </c>
      <c r="D234" s="130" t="str">
        <f aca="false">ExportRaw!$E234</f>
        <v/>
      </c>
      <c r="E234" s="131" t="str">
        <f aca="false">ExportRaw!$D234</f>
        <v/>
      </c>
      <c r="F234" s="130" t="str">
        <f aca="false">ExportRaw!$H234</f>
        <v/>
      </c>
      <c r="G234" s="132" t="str">
        <f aca="false">ExportRaw!$I234</f>
        <v/>
      </c>
      <c r="H234" s="130" t="str">
        <f aca="false">ExportRaw!$A234</f>
        <v/>
      </c>
      <c r="I234" s="130" t="str">
        <f aca="false">ExportRaw!$B234</f>
        <v/>
      </c>
    </row>
    <row r="235" customFormat="false" ht="15.75" hidden="false" customHeight="false" outlineLevel="0" collapsed="false">
      <c r="A235" s="130" t="n">
        <f aca="false">ExportRaw!$F235</f>
        <v>0</v>
      </c>
      <c r="B235" s="130" t="n">
        <f aca="false">ExportRaw!$C235</f>
        <v>0</v>
      </c>
      <c r="C235" s="130" t="n">
        <f aca="false">ExportRaw!$G235</f>
        <v>0</v>
      </c>
      <c r="D235" s="130" t="str">
        <f aca="false">ExportRaw!$E235</f>
        <v/>
      </c>
      <c r="E235" s="131" t="str">
        <f aca="false">ExportRaw!$D235</f>
        <v/>
      </c>
      <c r="F235" s="130" t="str">
        <f aca="false">ExportRaw!$H235</f>
        <v/>
      </c>
      <c r="G235" s="132" t="str">
        <f aca="false">ExportRaw!$I235</f>
        <v/>
      </c>
      <c r="H235" s="130" t="str">
        <f aca="false">ExportRaw!$A235</f>
        <v/>
      </c>
      <c r="I235" s="130" t="str">
        <f aca="false">ExportRaw!$B235</f>
        <v/>
      </c>
    </row>
    <row r="236" customFormat="false" ht="15.75" hidden="false" customHeight="false" outlineLevel="0" collapsed="false">
      <c r="A236" s="130" t="n">
        <f aca="false">ExportRaw!$F236</f>
        <v>0</v>
      </c>
      <c r="B236" s="130" t="n">
        <f aca="false">ExportRaw!$C236</f>
        <v>0</v>
      </c>
      <c r="C236" s="130" t="n">
        <f aca="false">ExportRaw!$G236</f>
        <v>0</v>
      </c>
      <c r="D236" s="130" t="str">
        <f aca="false">ExportRaw!$E236</f>
        <v/>
      </c>
      <c r="E236" s="131" t="str">
        <f aca="false">ExportRaw!$D236</f>
        <v/>
      </c>
      <c r="F236" s="130" t="str">
        <f aca="false">ExportRaw!$H236</f>
        <v/>
      </c>
      <c r="G236" s="132" t="str">
        <f aca="false">ExportRaw!$I236</f>
        <v/>
      </c>
      <c r="H236" s="130" t="str">
        <f aca="false">ExportRaw!$A236</f>
        <v/>
      </c>
      <c r="I236" s="130" t="str">
        <f aca="false">ExportRaw!$B236</f>
        <v/>
      </c>
    </row>
    <row r="237" customFormat="false" ht="15.75" hidden="false" customHeight="false" outlineLevel="0" collapsed="false">
      <c r="A237" s="130" t="n">
        <f aca="false">ExportRaw!$F237</f>
        <v>0</v>
      </c>
      <c r="B237" s="130" t="n">
        <f aca="false">ExportRaw!$C237</f>
        <v>0</v>
      </c>
      <c r="C237" s="130" t="n">
        <f aca="false">ExportRaw!$G237</f>
        <v>0</v>
      </c>
      <c r="D237" s="130" t="str">
        <f aca="false">ExportRaw!$E237</f>
        <v/>
      </c>
      <c r="E237" s="131" t="str">
        <f aca="false">ExportRaw!$D237</f>
        <v/>
      </c>
      <c r="F237" s="130" t="str">
        <f aca="false">ExportRaw!$H237</f>
        <v/>
      </c>
      <c r="G237" s="132" t="str">
        <f aca="false">ExportRaw!$I237</f>
        <v/>
      </c>
      <c r="H237" s="130" t="str">
        <f aca="false">ExportRaw!$A237</f>
        <v/>
      </c>
      <c r="I237" s="130" t="str">
        <f aca="false">ExportRaw!$B237</f>
        <v/>
      </c>
    </row>
    <row r="238" customFormat="false" ht="15.75" hidden="false" customHeight="false" outlineLevel="0" collapsed="false">
      <c r="A238" s="130" t="n">
        <f aca="false">ExportRaw!$F238</f>
        <v>0</v>
      </c>
      <c r="B238" s="130" t="n">
        <f aca="false">ExportRaw!$C238</f>
        <v>0</v>
      </c>
      <c r="C238" s="130" t="n">
        <f aca="false">ExportRaw!$G238</f>
        <v>0</v>
      </c>
      <c r="D238" s="130" t="str">
        <f aca="false">ExportRaw!$E238</f>
        <v/>
      </c>
      <c r="E238" s="131" t="str">
        <f aca="false">ExportRaw!$D238</f>
        <v/>
      </c>
      <c r="F238" s="130" t="str">
        <f aca="false">ExportRaw!$H238</f>
        <v/>
      </c>
      <c r="G238" s="132" t="str">
        <f aca="false">ExportRaw!$I238</f>
        <v/>
      </c>
      <c r="H238" s="130" t="str">
        <f aca="false">ExportRaw!$A238</f>
        <v/>
      </c>
      <c r="I238" s="130" t="str">
        <f aca="false">ExportRaw!$B238</f>
        <v/>
      </c>
    </row>
    <row r="239" customFormat="false" ht="15.75" hidden="false" customHeight="false" outlineLevel="0" collapsed="false">
      <c r="A239" s="130" t="n">
        <f aca="false">ExportRaw!$F239</f>
        <v>0</v>
      </c>
      <c r="B239" s="130" t="n">
        <f aca="false">ExportRaw!$C239</f>
        <v>0</v>
      </c>
      <c r="C239" s="130" t="n">
        <f aca="false">ExportRaw!$G239</f>
        <v>0</v>
      </c>
      <c r="D239" s="130" t="str">
        <f aca="false">ExportRaw!$E239</f>
        <v/>
      </c>
      <c r="E239" s="131" t="str">
        <f aca="false">ExportRaw!$D239</f>
        <v/>
      </c>
      <c r="F239" s="130" t="str">
        <f aca="false">ExportRaw!$H239</f>
        <v/>
      </c>
      <c r="G239" s="132" t="str">
        <f aca="false">ExportRaw!$I239</f>
        <v/>
      </c>
      <c r="H239" s="130" t="str">
        <f aca="false">ExportRaw!$A239</f>
        <v/>
      </c>
      <c r="I239" s="130" t="str">
        <f aca="false">ExportRaw!$B239</f>
        <v/>
      </c>
    </row>
    <row r="240" customFormat="false" ht="15.75" hidden="false" customHeight="false" outlineLevel="0" collapsed="false">
      <c r="A240" s="130" t="n">
        <f aca="false">ExportRaw!$F240</f>
        <v>0</v>
      </c>
      <c r="B240" s="130" t="n">
        <f aca="false">ExportRaw!$C240</f>
        <v>0</v>
      </c>
      <c r="C240" s="130" t="n">
        <f aca="false">ExportRaw!$G240</f>
        <v>0</v>
      </c>
      <c r="D240" s="130" t="str">
        <f aca="false">ExportRaw!$E240</f>
        <v/>
      </c>
      <c r="E240" s="131" t="str">
        <f aca="false">ExportRaw!$D240</f>
        <v/>
      </c>
      <c r="F240" s="130" t="str">
        <f aca="false">ExportRaw!$H240</f>
        <v/>
      </c>
      <c r="G240" s="132" t="str">
        <f aca="false">ExportRaw!$I240</f>
        <v/>
      </c>
      <c r="H240" s="130" t="str">
        <f aca="false">ExportRaw!$A240</f>
        <v/>
      </c>
      <c r="I240" s="130" t="str">
        <f aca="false">ExportRaw!$B240</f>
        <v/>
      </c>
    </row>
    <row r="241" customFormat="false" ht="15.75" hidden="false" customHeight="false" outlineLevel="0" collapsed="false">
      <c r="A241" s="130" t="n">
        <f aca="false">ExportRaw!$F241</f>
        <v>0</v>
      </c>
      <c r="B241" s="130" t="n">
        <f aca="false">ExportRaw!$C241</f>
        <v>0</v>
      </c>
      <c r="C241" s="130" t="n">
        <f aca="false">ExportRaw!$G241</f>
        <v>0</v>
      </c>
      <c r="D241" s="130" t="str">
        <f aca="false">ExportRaw!$E241</f>
        <v/>
      </c>
      <c r="E241" s="131" t="str">
        <f aca="false">ExportRaw!$D241</f>
        <v/>
      </c>
      <c r="F241" s="130" t="str">
        <f aca="false">ExportRaw!$H241</f>
        <v/>
      </c>
      <c r="G241" s="132" t="str">
        <f aca="false">ExportRaw!$I241</f>
        <v/>
      </c>
      <c r="H241" s="130" t="str">
        <f aca="false">ExportRaw!$A241</f>
        <v/>
      </c>
      <c r="I241" s="130" t="str">
        <f aca="false">ExportRaw!$B241</f>
        <v/>
      </c>
    </row>
    <row r="242" customFormat="false" ht="15.75" hidden="false" customHeight="false" outlineLevel="0" collapsed="false">
      <c r="A242" s="130" t="n">
        <f aca="false">ExportRaw!$F242</f>
        <v>0</v>
      </c>
      <c r="B242" s="130" t="n">
        <f aca="false">ExportRaw!$C242</f>
        <v>0</v>
      </c>
      <c r="C242" s="130" t="n">
        <f aca="false">ExportRaw!$G242</f>
        <v>0</v>
      </c>
      <c r="D242" s="130" t="str">
        <f aca="false">ExportRaw!$E242</f>
        <v/>
      </c>
      <c r="E242" s="131" t="str">
        <f aca="false">ExportRaw!$D242</f>
        <v/>
      </c>
      <c r="F242" s="130" t="str">
        <f aca="false">ExportRaw!$H242</f>
        <v/>
      </c>
      <c r="G242" s="132" t="str">
        <f aca="false">ExportRaw!$I242</f>
        <v/>
      </c>
      <c r="H242" s="130" t="str">
        <f aca="false">ExportRaw!$A242</f>
        <v/>
      </c>
      <c r="I242" s="130" t="str">
        <f aca="false">ExportRaw!$B242</f>
        <v/>
      </c>
    </row>
    <row r="243" customFormat="false" ht="15.75" hidden="false" customHeight="false" outlineLevel="0" collapsed="false">
      <c r="A243" s="130" t="n">
        <f aca="false">ExportRaw!$F243</f>
        <v>0</v>
      </c>
      <c r="B243" s="130" t="n">
        <f aca="false">ExportRaw!$C243</f>
        <v>0</v>
      </c>
      <c r="C243" s="130" t="n">
        <f aca="false">ExportRaw!$G243</f>
        <v>0</v>
      </c>
      <c r="D243" s="130" t="str">
        <f aca="false">ExportRaw!$E243</f>
        <v/>
      </c>
      <c r="E243" s="131" t="str">
        <f aca="false">ExportRaw!$D243</f>
        <v/>
      </c>
      <c r="F243" s="130" t="str">
        <f aca="false">ExportRaw!$H243</f>
        <v/>
      </c>
      <c r="G243" s="132" t="str">
        <f aca="false">ExportRaw!$I243</f>
        <v/>
      </c>
      <c r="H243" s="130" t="str">
        <f aca="false">ExportRaw!$A243</f>
        <v/>
      </c>
      <c r="I243" s="130" t="str">
        <f aca="false">ExportRaw!$B243</f>
        <v/>
      </c>
    </row>
    <row r="244" customFormat="false" ht="15.75" hidden="false" customHeight="false" outlineLevel="0" collapsed="false">
      <c r="A244" s="130" t="n">
        <f aca="false">ExportRaw!$F244</f>
        <v>0</v>
      </c>
      <c r="B244" s="130" t="n">
        <f aca="false">ExportRaw!$C244</f>
        <v>0</v>
      </c>
      <c r="C244" s="130" t="n">
        <f aca="false">ExportRaw!$G244</f>
        <v>0</v>
      </c>
      <c r="D244" s="130" t="str">
        <f aca="false">ExportRaw!$E244</f>
        <v/>
      </c>
      <c r="E244" s="131" t="str">
        <f aca="false">ExportRaw!$D244</f>
        <v/>
      </c>
      <c r="F244" s="130" t="str">
        <f aca="false">ExportRaw!$H244</f>
        <v/>
      </c>
      <c r="G244" s="132" t="str">
        <f aca="false">ExportRaw!$I244</f>
        <v/>
      </c>
      <c r="H244" s="130" t="str">
        <f aca="false">ExportRaw!$A244</f>
        <v/>
      </c>
      <c r="I244" s="130" t="str">
        <f aca="false">ExportRaw!$B244</f>
        <v/>
      </c>
    </row>
    <row r="245" customFormat="false" ht="15.75" hidden="false" customHeight="false" outlineLevel="0" collapsed="false">
      <c r="A245" s="130" t="n">
        <f aca="false">ExportRaw!$F245</f>
        <v>0</v>
      </c>
      <c r="B245" s="130" t="n">
        <f aca="false">ExportRaw!$C245</f>
        <v>0</v>
      </c>
      <c r="C245" s="130" t="n">
        <f aca="false">ExportRaw!$G245</f>
        <v>0</v>
      </c>
      <c r="D245" s="130" t="str">
        <f aca="false">ExportRaw!$E245</f>
        <v/>
      </c>
      <c r="E245" s="131" t="str">
        <f aca="false">ExportRaw!$D245</f>
        <v/>
      </c>
      <c r="F245" s="130" t="str">
        <f aca="false">ExportRaw!$H245</f>
        <v/>
      </c>
      <c r="G245" s="132" t="str">
        <f aca="false">ExportRaw!$I245</f>
        <v/>
      </c>
      <c r="H245" s="130" t="str">
        <f aca="false">ExportRaw!$A245</f>
        <v/>
      </c>
      <c r="I245" s="130" t="str">
        <f aca="false">ExportRaw!$B245</f>
        <v/>
      </c>
    </row>
    <row r="246" customFormat="false" ht="15.75" hidden="false" customHeight="false" outlineLevel="0" collapsed="false">
      <c r="A246" s="130" t="n">
        <f aca="false">ExportRaw!$F246</f>
        <v>0</v>
      </c>
      <c r="B246" s="130" t="n">
        <f aca="false">ExportRaw!$C246</f>
        <v>0</v>
      </c>
      <c r="C246" s="130" t="n">
        <f aca="false">ExportRaw!$G246</f>
        <v>0</v>
      </c>
      <c r="D246" s="130" t="str">
        <f aca="false">ExportRaw!$E246</f>
        <v/>
      </c>
      <c r="E246" s="131" t="str">
        <f aca="false">ExportRaw!$D246</f>
        <v/>
      </c>
      <c r="F246" s="130" t="str">
        <f aca="false">ExportRaw!$H246</f>
        <v/>
      </c>
      <c r="G246" s="132" t="str">
        <f aca="false">ExportRaw!$I246</f>
        <v/>
      </c>
      <c r="H246" s="130" t="str">
        <f aca="false">ExportRaw!$A246</f>
        <v/>
      </c>
      <c r="I246" s="130" t="str">
        <f aca="false">ExportRaw!$B246</f>
        <v/>
      </c>
    </row>
    <row r="247" customFormat="false" ht="15.75" hidden="false" customHeight="false" outlineLevel="0" collapsed="false">
      <c r="A247" s="130" t="n">
        <f aca="false">ExportRaw!$F247</f>
        <v>0</v>
      </c>
      <c r="B247" s="130" t="n">
        <f aca="false">ExportRaw!$C247</f>
        <v>0</v>
      </c>
      <c r="C247" s="130" t="n">
        <f aca="false">ExportRaw!$G247</f>
        <v>0</v>
      </c>
      <c r="D247" s="130" t="str">
        <f aca="false">ExportRaw!$E247</f>
        <v/>
      </c>
      <c r="E247" s="131" t="str">
        <f aca="false">ExportRaw!$D247</f>
        <v/>
      </c>
      <c r="F247" s="130" t="str">
        <f aca="false">ExportRaw!$H247</f>
        <v/>
      </c>
      <c r="G247" s="132" t="str">
        <f aca="false">ExportRaw!$I247</f>
        <v/>
      </c>
      <c r="H247" s="130" t="str">
        <f aca="false">ExportRaw!$A247</f>
        <v/>
      </c>
      <c r="I247" s="130" t="str">
        <f aca="false">ExportRaw!$B247</f>
        <v/>
      </c>
    </row>
    <row r="248" customFormat="false" ht="15.75" hidden="false" customHeight="false" outlineLevel="0" collapsed="false">
      <c r="A248" s="130" t="n">
        <f aca="false">ExportRaw!$F248</f>
        <v>0</v>
      </c>
      <c r="B248" s="130" t="n">
        <f aca="false">ExportRaw!$C248</f>
        <v>0</v>
      </c>
      <c r="C248" s="130" t="n">
        <f aca="false">ExportRaw!$G248</f>
        <v>0</v>
      </c>
      <c r="D248" s="130" t="str">
        <f aca="false">ExportRaw!$E248</f>
        <v/>
      </c>
      <c r="E248" s="131" t="str">
        <f aca="false">ExportRaw!$D248</f>
        <v/>
      </c>
      <c r="F248" s="130" t="str">
        <f aca="false">ExportRaw!$H248</f>
        <v/>
      </c>
      <c r="G248" s="132" t="str">
        <f aca="false">ExportRaw!$I248</f>
        <v/>
      </c>
      <c r="H248" s="130" t="str">
        <f aca="false">ExportRaw!$A248</f>
        <v/>
      </c>
      <c r="I248" s="130" t="str">
        <f aca="false">ExportRaw!$B248</f>
        <v/>
      </c>
    </row>
    <row r="249" customFormat="false" ht="15.75" hidden="false" customHeight="false" outlineLevel="0" collapsed="false">
      <c r="A249" s="130" t="n">
        <f aca="false">ExportRaw!$F249</f>
        <v>0</v>
      </c>
      <c r="B249" s="130" t="n">
        <f aca="false">ExportRaw!$C249</f>
        <v>0</v>
      </c>
      <c r="C249" s="130" t="n">
        <f aca="false">ExportRaw!$G249</f>
        <v>0</v>
      </c>
      <c r="D249" s="130" t="str">
        <f aca="false">ExportRaw!$E249</f>
        <v/>
      </c>
      <c r="E249" s="131" t="str">
        <f aca="false">ExportRaw!$D249</f>
        <v/>
      </c>
      <c r="F249" s="130" t="str">
        <f aca="false">ExportRaw!$H249</f>
        <v/>
      </c>
      <c r="G249" s="132" t="str">
        <f aca="false">ExportRaw!$I249</f>
        <v/>
      </c>
      <c r="H249" s="130" t="str">
        <f aca="false">ExportRaw!$A249</f>
        <v/>
      </c>
      <c r="I249" s="130" t="str">
        <f aca="false">ExportRaw!$B249</f>
        <v/>
      </c>
    </row>
    <row r="250" customFormat="false" ht="15.75" hidden="false" customHeight="false" outlineLevel="0" collapsed="false">
      <c r="A250" s="130" t="n">
        <f aca="false">ExportRaw!$F250</f>
        <v>0</v>
      </c>
      <c r="B250" s="130" t="n">
        <f aca="false">ExportRaw!$C250</f>
        <v>0</v>
      </c>
      <c r="C250" s="130" t="n">
        <f aca="false">ExportRaw!$G250</f>
        <v>0</v>
      </c>
      <c r="D250" s="130" t="str">
        <f aca="false">ExportRaw!$E250</f>
        <v/>
      </c>
      <c r="E250" s="131" t="str">
        <f aca="false">ExportRaw!$D250</f>
        <v/>
      </c>
      <c r="F250" s="130" t="str">
        <f aca="false">ExportRaw!$H250</f>
        <v/>
      </c>
      <c r="G250" s="132" t="str">
        <f aca="false">ExportRaw!$I250</f>
        <v/>
      </c>
      <c r="H250" s="130" t="str">
        <f aca="false">ExportRaw!$A250</f>
        <v/>
      </c>
      <c r="I250" s="130" t="str">
        <f aca="false">ExportRaw!$B250</f>
        <v/>
      </c>
    </row>
    <row r="251" customFormat="false" ht="15.75" hidden="false" customHeight="false" outlineLevel="0" collapsed="false">
      <c r="A251" s="130" t="n">
        <f aca="false">ExportRaw!$F251</f>
        <v>0</v>
      </c>
      <c r="B251" s="130" t="n">
        <f aca="false">ExportRaw!$C251</f>
        <v>0</v>
      </c>
      <c r="C251" s="130" t="n">
        <f aca="false">ExportRaw!$G251</f>
        <v>0</v>
      </c>
      <c r="D251" s="130" t="str">
        <f aca="false">ExportRaw!$E251</f>
        <v/>
      </c>
      <c r="E251" s="131" t="str">
        <f aca="false">ExportRaw!$D251</f>
        <v/>
      </c>
      <c r="F251" s="130" t="str">
        <f aca="false">ExportRaw!$H251</f>
        <v/>
      </c>
      <c r="G251" s="132" t="str">
        <f aca="false">ExportRaw!$I251</f>
        <v/>
      </c>
      <c r="H251" s="130" t="str">
        <f aca="false">ExportRaw!$A251</f>
        <v/>
      </c>
      <c r="I251" s="130" t="str">
        <f aca="false">ExportRaw!$B251</f>
        <v/>
      </c>
    </row>
    <row r="252" customFormat="false" ht="15.75" hidden="false" customHeight="false" outlineLevel="0" collapsed="false">
      <c r="A252" s="130" t="n">
        <f aca="false">ExportRaw!$F252</f>
        <v>0</v>
      </c>
      <c r="B252" s="130" t="n">
        <f aca="false">ExportRaw!$C252</f>
        <v>0</v>
      </c>
      <c r="C252" s="130" t="n">
        <f aca="false">ExportRaw!$G252</f>
        <v>0</v>
      </c>
      <c r="D252" s="130" t="str">
        <f aca="false">ExportRaw!$E252</f>
        <v/>
      </c>
      <c r="E252" s="131" t="str">
        <f aca="false">ExportRaw!$D252</f>
        <v/>
      </c>
      <c r="F252" s="130" t="str">
        <f aca="false">ExportRaw!$H252</f>
        <v/>
      </c>
      <c r="G252" s="132" t="str">
        <f aca="false">ExportRaw!$I252</f>
        <v/>
      </c>
      <c r="H252" s="130" t="str">
        <f aca="false">ExportRaw!$A252</f>
        <v/>
      </c>
      <c r="I252" s="130" t="str">
        <f aca="false">ExportRaw!$B252</f>
        <v/>
      </c>
    </row>
    <row r="253" customFormat="false" ht="15.75" hidden="false" customHeight="false" outlineLevel="0" collapsed="false">
      <c r="A253" s="130" t="n">
        <f aca="false">ExportRaw!$F253</f>
        <v>0</v>
      </c>
      <c r="B253" s="130" t="n">
        <f aca="false">ExportRaw!$C253</f>
        <v>0</v>
      </c>
      <c r="C253" s="130" t="n">
        <f aca="false">ExportRaw!$G253</f>
        <v>0</v>
      </c>
      <c r="D253" s="130" t="str">
        <f aca="false">ExportRaw!$E253</f>
        <v/>
      </c>
      <c r="E253" s="131" t="str">
        <f aca="false">ExportRaw!$D253</f>
        <v/>
      </c>
      <c r="F253" s="130" t="str">
        <f aca="false">ExportRaw!$H253</f>
        <v/>
      </c>
      <c r="G253" s="132" t="str">
        <f aca="false">ExportRaw!$I253</f>
        <v/>
      </c>
      <c r="H253" s="130" t="str">
        <f aca="false">ExportRaw!$A253</f>
        <v/>
      </c>
      <c r="I253" s="130" t="str">
        <f aca="false">ExportRaw!$B253</f>
        <v/>
      </c>
    </row>
    <row r="254" customFormat="false" ht="15.75" hidden="false" customHeight="false" outlineLevel="0" collapsed="false">
      <c r="A254" s="130" t="n">
        <f aca="false">ExportRaw!$F254</f>
        <v>0</v>
      </c>
      <c r="B254" s="130" t="n">
        <f aca="false">ExportRaw!$C254</f>
        <v>0</v>
      </c>
      <c r="C254" s="130" t="n">
        <f aca="false">ExportRaw!$G254</f>
        <v>0</v>
      </c>
      <c r="D254" s="130" t="str">
        <f aca="false">ExportRaw!$E254</f>
        <v/>
      </c>
      <c r="E254" s="131" t="str">
        <f aca="false">ExportRaw!$D254</f>
        <v/>
      </c>
      <c r="F254" s="130" t="str">
        <f aca="false">ExportRaw!$H254</f>
        <v/>
      </c>
      <c r="G254" s="132" t="str">
        <f aca="false">ExportRaw!$I254</f>
        <v/>
      </c>
      <c r="H254" s="130" t="str">
        <f aca="false">ExportRaw!$A254</f>
        <v/>
      </c>
      <c r="I254" s="130" t="str">
        <f aca="false">ExportRaw!$B254</f>
        <v/>
      </c>
    </row>
    <row r="255" customFormat="false" ht="15.75" hidden="false" customHeight="false" outlineLevel="0" collapsed="false">
      <c r="A255" s="130" t="n">
        <f aca="false">ExportRaw!$F255</f>
        <v>0</v>
      </c>
      <c r="B255" s="130" t="n">
        <f aca="false">ExportRaw!$C255</f>
        <v>0</v>
      </c>
      <c r="C255" s="130" t="n">
        <f aca="false">ExportRaw!$G255</f>
        <v>0</v>
      </c>
      <c r="D255" s="130" t="str">
        <f aca="false">ExportRaw!$E255</f>
        <v/>
      </c>
      <c r="E255" s="131" t="str">
        <f aca="false">ExportRaw!$D255</f>
        <v/>
      </c>
      <c r="F255" s="130" t="str">
        <f aca="false">ExportRaw!$H255</f>
        <v/>
      </c>
      <c r="G255" s="132" t="str">
        <f aca="false">ExportRaw!$I255</f>
        <v/>
      </c>
      <c r="H255" s="130" t="str">
        <f aca="false">ExportRaw!$A255</f>
        <v/>
      </c>
      <c r="I255" s="130" t="str">
        <f aca="false">ExportRaw!$B255</f>
        <v/>
      </c>
    </row>
    <row r="256" customFormat="false" ht="15.75" hidden="false" customHeight="false" outlineLevel="0" collapsed="false">
      <c r="A256" s="130" t="n">
        <f aca="false">ExportRaw!$F256</f>
        <v>0</v>
      </c>
      <c r="B256" s="130" t="n">
        <f aca="false">ExportRaw!$C256</f>
        <v>0</v>
      </c>
      <c r="C256" s="130" t="n">
        <f aca="false">ExportRaw!$G256</f>
        <v>0</v>
      </c>
      <c r="D256" s="130" t="str">
        <f aca="false">ExportRaw!$E256</f>
        <v/>
      </c>
      <c r="E256" s="131" t="str">
        <f aca="false">ExportRaw!$D256</f>
        <v/>
      </c>
      <c r="F256" s="130" t="str">
        <f aca="false">ExportRaw!$H256</f>
        <v/>
      </c>
      <c r="G256" s="132" t="str">
        <f aca="false">ExportRaw!$I256</f>
        <v/>
      </c>
      <c r="H256" s="130" t="str">
        <f aca="false">ExportRaw!$A256</f>
        <v/>
      </c>
      <c r="I256" s="130" t="str">
        <f aca="false">ExportRaw!$B256</f>
        <v/>
      </c>
    </row>
    <row r="257" customFormat="false" ht="15.75" hidden="false" customHeight="false" outlineLevel="0" collapsed="false">
      <c r="A257" s="130" t="n">
        <f aca="false">ExportRaw!$F257</f>
        <v>0</v>
      </c>
      <c r="B257" s="130" t="n">
        <f aca="false">ExportRaw!$C257</f>
        <v>0</v>
      </c>
      <c r="C257" s="130" t="n">
        <f aca="false">ExportRaw!$G257</f>
        <v>0</v>
      </c>
      <c r="D257" s="130" t="str">
        <f aca="false">ExportRaw!$E257</f>
        <v/>
      </c>
      <c r="E257" s="131" t="str">
        <f aca="false">ExportRaw!$D257</f>
        <v/>
      </c>
      <c r="F257" s="130" t="str">
        <f aca="false">ExportRaw!$H257</f>
        <v/>
      </c>
      <c r="G257" s="132" t="str">
        <f aca="false">ExportRaw!$I257</f>
        <v/>
      </c>
      <c r="H257" s="130" t="str">
        <f aca="false">ExportRaw!$A257</f>
        <v/>
      </c>
      <c r="I257" s="130" t="str">
        <f aca="false">ExportRaw!$B257</f>
        <v/>
      </c>
    </row>
    <row r="258" customFormat="false" ht="15.75" hidden="false" customHeight="false" outlineLevel="0" collapsed="false">
      <c r="A258" s="130" t="n">
        <f aca="false">ExportRaw!$F258</f>
        <v>0</v>
      </c>
      <c r="B258" s="130" t="n">
        <f aca="false">ExportRaw!$C258</f>
        <v>0</v>
      </c>
      <c r="C258" s="130" t="n">
        <f aca="false">ExportRaw!$G258</f>
        <v>0</v>
      </c>
      <c r="D258" s="130" t="str">
        <f aca="false">ExportRaw!$E258</f>
        <v/>
      </c>
      <c r="E258" s="131" t="str">
        <f aca="false">ExportRaw!$D258</f>
        <v/>
      </c>
      <c r="F258" s="130" t="str">
        <f aca="false">ExportRaw!$H258</f>
        <v/>
      </c>
      <c r="G258" s="132" t="str">
        <f aca="false">ExportRaw!$I258</f>
        <v/>
      </c>
      <c r="H258" s="130" t="str">
        <f aca="false">ExportRaw!$A258</f>
        <v/>
      </c>
      <c r="I258" s="130" t="str">
        <f aca="false">ExportRaw!$B258</f>
        <v/>
      </c>
    </row>
    <row r="259" customFormat="false" ht="15.75" hidden="false" customHeight="false" outlineLevel="0" collapsed="false">
      <c r="A259" s="130" t="n">
        <f aca="false">ExportRaw!$F259</f>
        <v>0</v>
      </c>
      <c r="B259" s="130" t="n">
        <f aca="false">ExportRaw!$C259</f>
        <v>0</v>
      </c>
      <c r="C259" s="130" t="n">
        <f aca="false">ExportRaw!$G259</f>
        <v>0</v>
      </c>
      <c r="D259" s="130" t="str">
        <f aca="false">ExportRaw!$E259</f>
        <v/>
      </c>
      <c r="E259" s="131" t="str">
        <f aca="false">ExportRaw!$D259</f>
        <v/>
      </c>
      <c r="F259" s="130" t="str">
        <f aca="false">ExportRaw!$H259</f>
        <v/>
      </c>
      <c r="G259" s="132" t="str">
        <f aca="false">ExportRaw!$I259</f>
        <v/>
      </c>
      <c r="H259" s="130" t="str">
        <f aca="false">ExportRaw!$A259</f>
        <v/>
      </c>
      <c r="I259" s="130" t="str">
        <f aca="false">ExportRaw!$B259</f>
        <v/>
      </c>
    </row>
    <row r="260" customFormat="false" ht="15.75" hidden="false" customHeight="false" outlineLevel="0" collapsed="false">
      <c r="A260" s="130" t="n">
        <f aca="false">ExportRaw!$F260</f>
        <v>0</v>
      </c>
      <c r="B260" s="130" t="n">
        <f aca="false">ExportRaw!$C260</f>
        <v>0</v>
      </c>
      <c r="C260" s="130" t="n">
        <f aca="false">ExportRaw!$G260</f>
        <v>0</v>
      </c>
      <c r="D260" s="130" t="str">
        <f aca="false">ExportRaw!$E260</f>
        <v/>
      </c>
      <c r="E260" s="131" t="str">
        <f aca="false">ExportRaw!$D260</f>
        <v/>
      </c>
      <c r="F260" s="130" t="str">
        <f aca="false">ExportRaw!$H260</f>
        <v/>
      </c>
      <c r="G260" s="132" t="str">
        <f aca="false">ExportRaw!$I260</f>
        <v/>
      </c>
      <c r="H260" s="130" t="str">
        <f aca="false">ExportRaw!$A260</f>
        <v/>
      </c>
      <c r="I260" s="130" t="str">
        <f aca="false">ExportRaw!$B260</f>
        <v/>
      </c>
    </row>
    <row r="261" customFormat="false" ht="15.75" hidden="false" customHeight="false" outlineLevel="0" collapsed="false">
      <c r="A261" s="130" t="n">
        <f aca="false">ExportRaw!$F261</f>
        <v>0</v>
      </c>
      <c r="B261" s="130" t="n">
        <f aca="false">ExportRaw!$C261</f>
        <v>0</v>
      </c>
      <c r="C261" s="130" t="n">
        <f aca="false">ExportRaw!$G261</f>
        <v>0</v>
      </c>
      <c r="D261" s="130" t="str">
        <f aca="false">ExportRaw!$E261</f>
        <v/>
      </c>
      <c r="E261" s="131" t="str">
        <f aca="false">ExportRaw!$D261</f>
        <v/>
      </c>
      <c r="F261" s="130" t="str">
        <f aca="false">ExportRaw!$H261</f>
        <v/>
      </c>
      <c r="G261" s="132" t="str">
        <f aca="false">ExportRaw!$I261</f>
        <v/>
      </c>
      <c r="H261" s="130" t="str">
        <f aca="false">ExportRaw!$A261</f>
        <v/>
      </c>
      <c r="I261" s="130" t="str">
        <f aca="false">ExportRaw!$B261</f>
        <v/>
      </c>
    </row>
    <row r="262" customFormat="false" ht="15.75" hidden="false" customHeight="false" outlineLevel="0" collapsed="false">
      <c r="A262" s="130" t="n">
        <f aca="false">ExportRaw!$F262</f>
        <v>0</v>
      </c>
      <c r="B262" s="130" t="n">
        <f aca="false">ExportRaw!$C262</f>
        <v>0</v>
      </c>
      <c r="C262" s="130" t="n">
        <f aca="false">ExportRaw!$G262</f>
        <v>0</v>
      </c>
      <c r="D262" s="130" t="str">
        <f aca="false">ExportRaw!$E262</f>
        <v/>
      </c>
      <c r="E262" s="131" t="str">
        <f aca="false">ExportRaw!$D262</f>
        <v/>
      </c>
      <c r="F262" s="130" t="str">
        <f aca="false">ExportRaw!$H262</f>
        <v/>
      </c>
      <c r="G262" s="132" t="str">
        <f aca="false">ExportRaw!$I262</f>
        <v/>
      </c>
      <c r="H262" s="130" t="str">
        <f aca="false">ExportRaw!$A262</f>
        <v/>
      </c>
      <c r="I262" s="130" t="str">
        <f aca="false">ExportRaw!$B262</f>
        <v/>
      </c>
    </row>
    <row r="263" customFormat="false" ht="15.75" hidden="false" customHeight="false" outlineLevel="0" collapsed="false">
      <c r="A263" s="130" t="n">
        <f aca="false">ExportRaw!$F263</f>
        <v>0</v>
      </c>
      <c r="B263" s="130" t="n">
        <f aca="false">ExportRaw!$C263</f>
        <v>0</v>
      </c>
      <c r="C263" s="130" t="n">
        <f aca="false">ExportRaw!$G263</f>
        <v>0</v>
      </c>
      <c r="D263" s="130" t="str">
        <f aca="false">ExportRaw!$E263</f>
        <v/>
      </c>
      <c r="E263" s="131" t="str">
        <f aca="false">ExportRaw!$D263</f>
        <v/>
      </c>
      <c r="F263" s="130" t="str">
        <f aca="false">ExportRaw!$H263</f>
        <v/>
      </c>
      <c r="G263" s="132" t="str">
        <f aca="false">ExportRaw!$I263</f>
        <v/>
      </c>
      <c r="H263" s="130" t="str">
        <f aca="false">ExportRaw!$A263</f>
        <v/>
      </c>
      <c r="I263" s="130" t="str">
        <f aca="false">ExportRaw!$B263</f>
        <v/>
      </c>
    </row>
    <row r="264" customFormat="false" ht="15.75" hidden="false" customHeight="false" outlineLevel="0" collapsed="false">
      <c r="A264" s="130" t="n">
        <f aca="false">ExportRaw!$F264</f>
        <v>0</v>
      </c>
      <c r="B264" s="130" t="n">
        <f aca="false">ExportRaw!$C264</f>
        <v>0</v>
      </c>
      <c r="C264" s="130" t="n">
        <f aca="false">ExportRaw!$G264</f>
        <v>0</v>
      </c>
      <c r="D264" s="130" t="str">
        <f aca="false">ExportRaw!$E264</f>
        <v/>
      </c>
      <c r="E264" s="131" t="str">
        <f aca="false">ExportRaw!$D264</f>
        <v/>
      </c>
      <c r="F264" s="130" t="str">
        <f aca="false">ExportRaw!$H264</f>
        <v/>
      </c>
      <c r="G264" s="132" t="str">
        <f aca="false">ExportRaw!$I264</f>
        <v/>
      </c>
      <c r="H264" s="130" t="str">
        <f aca="false">ExportRaw!$A264</f>
        <v/>
      </c>
      <c r="I264" s="130" t="str">
        <f aca="false">ExportRaw!$B264</f>
        <v/>
      </c>
    </row>
    <row r="265" customFormat="false" ht="15.75" hidden="false" customHeight="false" outlineLevel="0" collapsed="false">
      <c r="A265" s="130" t="n">
        <f aca="false">ExportRaw!$F265</f>
        <v>0</v>
      </c>
      <c r="B265" s="130" t="n">
        <f aca="false">ExportRaw!$C265</f>
        <v>0</v>
      </c>
      <c r="C265" s="130" t="n">
        <f aca="false">ExportRaw!$G265</f>
        <v>0</v>
      </c>
      <c r="D265" s="130" t="str">
        <f aca="false">ExportRaw!$E265</f>
        <v/>
      </c>
      <c r="E265" s="131" t="str">
        <f aca="false">ExportRaw!$D265</f>
        <v/>
      </c>
      <c r="F265" s="130" t="str">
        <f aca="false">ExportRaw!$H265</f>
        <v/>
      </c>
      <c r="G265" s="132" t="str">
        <f aca="false">ExportRaw!$I265</f>
        <v/>
      </c>
      <c r="H265" s="130" t="str">
        <f aca="false">ExportRaw!$A265</f>
        <v/>
      </c>
      <c r="I265" s="130" t="str">
        <f aca="false">ExportRaw!$B265</f>
        <v/>
      </c>
    </row>
    <row r="266" customFormat="false" ht="15.75" hidden="false" customHeight="false" outlineLevel="0" collapsed="false">
      <c r="A266" s="130" t="n">
        <f aca="false">ExportRaw!$F266</f>
        <v>0</v>
      </c>
      <c r="B266" s="130" t="n">
        <f aca="false">ExportRaw!$C266</f>
        <v>0</v>
      </c>
      <c r="C266" s="130" t="n">
        <f aca="false">ExportRaw!$G266</f>
        <v>0</v>
      </c>
      <c r="D266" s="130" t="str">
        <f aca="false">ExportRaw!$E266</f>
        <v/>
      </c>
      <c r="E266" s="131" t="str">
        <f aca="false">ExportRaw!$D266</f>
        <v/>
      </c>
      <c r="F266" s="130" t="str">
        <f aca="false">ExportRaw!$H266</f>
        <v/>
      </c>
      <c r="G266" s="132" t="str">
        <f aca="false">ExportRaw!$I266</f>
        <v/>
      </c>
      <c r="H266" s="130" t="str">
        <f aca="false">ExportRaw!$A266</f>
        <v/>
      </c>
      <c r="I266" s="130" t="str">
        <f aca="false">ExportRaw!$B266</f>
        <v/>
      </c>
    </row>
    <row r="267" customFormat="false" ht="15.75" hidden="false" customHeight="false" outlineLevel="0" collapsed="false">
      <c r="A267" s="130" t="n">
        <f aca="false">ExportRaw!$F267</f>
        <v>0</v>
      </c>
      <c r="B267" s="130" t="n">
        <f aca="false">ExportRaw!$C267</f>
        <v>0</v>
      </c>
      <c r="C267" s="130" t="n">
        <f aca="false">ExportRaw!$G267</f>
        <v>0</v>
      </c>
      <c r="D267" s="130" t="str">
        <f aca="false">ExportRaw!$E267</f>
        <v/>
      </c>
      <c r="E267" s="131" t="str">
        <f aca="false">ExportRaw!$D267</f>
        <v/>
      </c>
      <c r="F267" s="130" t="str">
        <f aca="false">ExportRaw!$H267</f>
        <v/>
      </c>
      <c r="G267" s="132" t="str">
        <f aca="false">ExportRaw!$I267</f>
        <v/>
      </c>
      <c r="H267" s="130" t="str">
        <f aca="false">ExportRaw!$A267</f>
        <v/>
      </c>
      <c r="I267" s="130" t="str">
        <f aca="false">ExportRaw!$B267</f>
        <v/>
      </c>
    </row>
    <row r="268" customFormat="false" ht="15.75" hidden="false" customHeight="false" outlineLevel="0" collapsed="false">
      <c r="A268" s="130" t="n">
        <f aca="false">ExportRaw!$F268</f>
        <v>0</v>
      </c>
      <c r="B268" s="130" t="n">
        <f aca="false">ExportRaw!$C268</f>
        <v>0</v>
      </c>
      <c r="C268" s="130" t="n">
        <f aca="false">ExportRaw!$G268</f>
        <v>0</v>
      </c>
      <c r="D268" s="130" t="str">
        <f aca="false">ExportRaw!$E268</f>
        <v/>
      </c>
      <c r="E268" s="131" t="str">
        <f aca="false">ExportRaw!$D268</f>
        <v/>
      </c>
      <c r="F268" s="130" t="str">
        <f aca="false">ExportRaw!$H268</f>
        <v/>
      </c>
      <c r="G268" s="132" t="str">
        <f aca="false">ExportRaw!$I268</f>
        <v/>
      </c>
      <c r="H268" s="130" t="str">
        <f aca="false">ExportRaw!$A268</f>
        <v/>
      </c>
      <c r="I268" s="130" t="str">
        <f aca="false">ExportRaw!$B268</f>
        <v/>
      </c>
    </row>
    <row r="269" customFormat="false" ht="15.75" hidden="false" customHeight="false" outlineLevel="0" collapsed="false">
      <c r="A269" s="130" t="n">
        <f aca="false">ExportRaw!$F269</f>
        <v>0</v>
      </c>
      <c r="B269" s="130" t="n">
        <f aca="false">ExportRaw!$C269</f>
        <v>0</v>
      </c>
      <c r="C269" s="130" t="n">
        <f aca="false">ExportRaw!$G269</f>
        <v>0</v>
      </c>
      <c r="D269" s="130" t="str">
        <f aca="false">ExportRaw!$E269</f>
        <v/>
      </c>
      <c r="E269" s="131" t="str">
        <f aca="false">ExportRaw!$D269</f>
        <v/>
      </c>
      <c r="F269" s="130" t="str">
        <f aca="false">ExportRaw!$H269</f>
        <v/>
      </c>
      <c r="G269" s="132" t="str">
        <f aca="false">ExportRaw!$I269</f>
        <v/>
      </c>
      <c r="H269" s="130" t="str">
        <f aca="false">ExportRaw!$A269</f>
        <v/>
      </c>
      <c r="I269" s="130" t="str">
        <f aca="false">ExportRaw!$B269</f>
        <v/>
      </c>
    </row>
    <row r="270" customFormat="false" ht="15.75" hidden="false" customHeight="false" outlineLevel="0" collapsed="false">
      <c r="A270" s="130" t="n">
        <f aca="false">ExportRaw!$F270</f>
        <v>0</v>
      </c>
      <c r="B270" s="130" t="n">
        <f aca="false">ExportRaw!$C270</f>
        <v>0</v>
      </c>
      <c r="C270" s="130" t="n">
        <f aca="false">ExportRaw!$G270</f>
        <v>0</v>
      </c>
      <c r="D270" s="130" t="str">
        <f aca="false">ExportRaw!$E270</f>
        <v/>
      </c>
      <c r="E270" s="131" t="str">
        <f aca="false">ExportRaw!$D270</f>
        <v/>
      </c>
      <c r="F270" s="130" t="str">
        <f aca="false">ExportRaw!$H270</f>
        <v/>
      </c>
      <c r="G270" s="132" t="str">
        <f aca="false">ExportRaw!$I270</f>
        <v/>
      </c>
      <c r="H270" s="130" t="str">
        <f aca="false">ExportRaw!$A270</f>
        <v/>
      </c>
      <c r="I270" s="130" t="str">
        <f aca="false">ExportRaw!$B270</f>
        <v/>
      </c>
    </row>
    <row r="271" customFormat="false" ht="15.75" hidden="false" customHeight="false" outlineLevel="0" collapsed="false">
      <c r="A271" s="130" t="n">
        <f aca="false">ExportRaw!$F271</f>
        <v>0</v>
      </c>
      <c r="B271" s="130" t="n">
        <f aca="false">ExportRaw!$C271</f>
        <v>0</v>
      </c>
      <c r="C271" s="130" t="n">
        <f aca="false">ExportRaw!$G271</f>
        <v>0</v>
      </c>
      <c r="D271" s="130" t="str">
        <f aca="false">ExportRaw!$E271</f>
        <v/>
      </c>
      <c r="E271" s="131" t="str">
        <f aca="false">ExportRaw!$D271</f>
        <v/>
      </c>
      <c r="F271" s="130" t="str">
        <f aca="false">ExportRaw!$H271</f>
        <v/>
      </c>
      <c r="G271" s="132" t="str">
        <f aca="false">ExportRaw!$I271</f>
        <v/>
      </c>
      <c r="H271" s="130" t="str">
        <f aca="false">ExportRaw!$A271</f>
        <v/>
      </c>
      <c r="I271" s="130" t="str">
        <f aca="false">ExportRaw!$B271</f>
        <v/>
      </c>
    </row>
    <row r="272" customFormat="false" ht="15.75" hidden="false" customHeight="false" outlineLevel="0" collapsed="false">
      <c r="A272" s="130" t="n">
        <f aca="false">ExportRaw!$F272</f>
        <v>0</v>
      </c>
      <c r="B272" s="130" t="n">
        <f aca="false">ExportRaw!$C272</f>
        <v>0</v>
      </c>
      <c r="C272" s="130" t="n">
        <f aca="false">ExportRaw!$G272</f>
        <v>0</v>
      </c>
      <c r="D272" s="130" t="str">
        <f aca="false">ExportRaw!$E272</f>
        <v/>
      </c>
      <c r="E272" s="131" t="str">
        <f aca="false">ExportRaw!$D272</f>
        <v/>
      </c>
      <c r="F272" s="130" t="str">
        <f aca="false">ExportRaw!$H272</f>
        <v/>
      </c>
      <c r="G272" s="132" t="str">
        <f aca="false">ExportRaw!$I272</f>
        <v/>
      </c>
      <c r="H272" s="130" t="str">
        <f aca="false">ExportRaw!$A272</f>
        <v/>
      </c>
      <c r="I272" s="130" t="str">
        <f aca="false">ExportRaw!$B272</f>
        <v/>
      </c>
    </row>
    <row r="273" customFormat="false" ht="15.75" hidden="false" customHeight="false" outlineLevel="0" collapsed="false">
      <c r="A273" s="130" t="n">
        <f aca="false">ExportRaw!$F273</f>
        <v>0</v>
      </c>
      <c r="B273" s="130" t="n">
        <f aca="false">ExportRaw!$C273</f>
        <v>0</v>
      </c>
      <c r="C273" s="130" t="n">
        <f aca="false">ExportRaw!$G273</f>
        <v>0</v>
      </c>
      <c r="D273" s="130" t="str">
        <f aca="false">ExportRaw!$E273</f>
        <v/>
      </c>
      <c r="E273" s="131" t="str">
        <f aca="false">ExportRaw!$D273</f>
        <v/>
      </c>
      <c r="F273" s="130" t="str">
        <f aca="false">ExportRaw!$H273</f>
        <v/>
      </c>
      <c r="G273" s="132" t="str">
        <f aca="false">ExportRaw!$I273</f>
        <v/>
      </c>
      <c r="H273" s="130" t="str">
        <f aca="false">ExportRaw!$A273</f>
        <v/>
      </c>
      <c r="I273" s="130" t="str">
        <f aca="false">ExportRaw!$B273</f>
        <v/>
      </c>
    </row>
    <row r="274" customFormat="false" ht="15.75" hidden="false" customHeight="false" outlineLevel="0" collapsed="false">
      <c r="A274" s="130" t="n">
        <f aca="false">ExportRaw!$F274</f>
        <v>0</v>
      </c>
      <c r="B274" s="130" t="n">
        <f aca="false">ExportRaw!$C274</f>
        <v>0</v>
      </c>
      <c r="C274" s="130" t="n">
        <f aca="false">ExportRaw!$G274</f>
        <v>0</v>
      </c>
      <c r="D274" s="130" t="str">
        <f aca="false">ExportRaw!$E274</f>
        <v/>
      </c>
      <c r="E274" s="131" t="str">
        <f aca="false">ExportRaw!$D274</f>
        <v/>
      </c>
      <c r="F274" s="130" t="str">
        <f aca="false">ExportRaw!$H274</f>
        <v/>
      </c>
      <c r="G274" s="132" t="str">
        <f aca="false">ExportRaw!$I274</f>
        <v/>
      </c>
      <c r="H274" s="130" t="str">
        <f aca="false">ExportRaw!$A274</f>
        <v/>
      </c>
      <c r="I274" s="130" t="str">
        <f aca="false">ExportRaw!$B274</f>
        <v/>
      </c>
    </row>
    <row r="275" customFormat="false" ht="15.75" hidden="false" customHeight="false" outlineLevel="0" collapsed="false">
      <c r="A275" s="130" t="n">
        <f aca="false">ExportRaw!$F275</f>
        <v>0</v>
      </c>
      <c r="B275" s="130" t="n">
        <f aca="false">ExportRaw!$C275</f>
        <v>0</v>
      </c>
      <c r="C275" s="130" t="n">
        <f aca="false">ExportRaw!$G275</f>
        <v>0</v>
      </c>
      <c r="D275" s="130" t="str">
        <f aca="false">ExportRaw!$E275</f>
        <v/>
      </c>
      <c r="E275" s="131" t="str">
        <f aca="false">ExportRaw!$D275</f>
        <v/>
      </c>
      <c r="F275" s="130" t="str">
        <f aca="false">ExportRaw!$H275</f>
        <v/>
      </c>
      <c r="G275" s="132" t="str">
        <f aca="false">ExportRaw!$I275</f>
        <v/>
      </c>
      <c r="H275" s="130" t="str">
        <f aca="false">ExportRaw!$A275</f>
        <v/>
      </c>
      <c r="I275" s="130" t="str">
        <f aca="false">ExportRaw!$B275</f>
        <v/>
      </c>
    </row>
    <row r="276" customFormat="false" ht="15.75" hidden="false" customHeight="false" outlineLevel="0" collapsed="false">
      <c r="A276" s="130" t="n">
        <f aca="false">ExportRaw!$F276</f>
        <v>0</v>
      </c>
      <c r="B276" s="130" t="n">
        <f aca="false">ExportRaw!$C276</f>
        <v>0</v>
      </c>
      <c r="C276" s="130" t="n">
        <f aca="false">ExportRaw!$G276</f>
        <v>0</v>
      </c>
      <c r="D276" s="130" t="str">
        <f aca="false">ExportRaw!$E276</f>
        <v/>
      </c>
      <c r="E276" s="131" t="str">
        <f aca="false">ExportRaw!$D276</f>
        <v/>
      </c>
      <c r="F276" s="130" t="str">
        <f aca="false">ExportRaw!$H276</f>
        <v/>
      </c>
      <c r="G276" s="132" t="str">
        <f aca="false">ExportRaw!$I276</f>
        <v/>
      </c>
      <c r="H276" s="130" t="str">
        <f aca="false">ExportRaw!$A276</f>
        <v/>
      </c>
      <c r="I276" s="130" t="str">
        <f aca="false">ExportRaw!$B276</f>
        <v/>
      </c>
    </row>
    <row r="277" customFormat="false" ht="15.75" hidden="false" customHeight="false" outlineLevel="0" collapsed="false">
      <c r="A277" s="130" t="n">
        <f aca="false">ExportRaw!$F277</f>
        <v>0</v>
      </c>
      <c r="B277" s="130" t="n">
        <f aca="false">ExportRaw!$C277</f>
        <v>0</v>
      </c>
      <c r="C277" s="130" t="n">
        <f aca="false">ExportRaw!$G277</f>
        <v>0</v>
      </c>
      <c r="D277" s="130" t="str">
        <f aca="false">ExportRaw!$E277</f>
        <v/>
      </c>
      <c r="E277" s="131" t="str">
        <f aca="false">ExportRaw!$D277</f>
        <v/>
      </c>
      <c r="F277" s="130" t="str">
        <f aca="false">ExportRaw!$H277</f>
        <v/>
      </c>
      <c r="G277" s="132" t="str">
        <f aca="false">ExportRaw!$I277</f>
        <v/>
      </c>
      <c r="H277" s="130" t="str">
        <f aca="false">ExportRaw!$A277</f>
        <v/>
      </c>
      <c r="I277" s="130" t="str">
        <f aca="false">ExportRaw!$B277</f>
        <v/>
      </c>
    </row>
    <row r="278" customFormat="false" ht="15.75" hidden="false" customHeight="false" outlineLevel="0" collapsed="false">
      <c r="A278" s="130" t="n">
        <f aca="false">ExportRaw!$F278</f>
        <v>0</v>
      </c>
      <c r="B278" s="130" t="n">
        <f aca="false">ExportRaw!$C278</f>
        <v>0</v>
      </c>
      <c r="C278" s="130" t="n">
        <f aca="false">ExportRaw!$G278</f>
        <v>0</v>
      </c>
      <c r="D278" s="130" t="str">
        <f aca="false">ExportRaw!$E278</f>
        <v/>
      </c>
      <c r="E278" s="131" t="str">
        <f aca="false">ExportRaw!$D278</f>
        <v/>
      </c>
      <c r="F278" s="130" t="str">
        <f aca="false">ExportRaw!$H278</f>
        <v/>
      </c>
      <c r="G278" s="132" t="str">
        <f aca="false">ExportRaw!$I278</f>
        <v/>
      </c>
      <c r="H278" s="130" t="str">
        <f aca="false">ExportRaw!$A278</f>
        <v/>
      </c>
      <c r="I278" s="130" t="str">
        <f aca="false">ExportRaw!$B278</f>
        <v/>
      </c>
    </row>
    <row r="279" customFormat="false" ht="15.75" hidden="false" customHeight="false" outlineLevel="0" collapsed="false">
      <c r="A279" s="130" t="n">
        <f aca="false">ExportRaw!$F279</f>
        <v>0</v>
      </c>
      <c r="B279" s="130" t="n">
        <f aca="false">ExportRaw!$C279</f>
        <v>0</v>
      </c>
      <c r="C279" s="130" t="n">
        <f aca="false">ExportRaw!$G279</f>
        <v>0</v>
      </c>
      <c r="D279" s="130" t="str">
        <f aca="false">ExportRaw!$E279</f>
        <v/>
      </c>
      <c r="E279" s="131" t="str">
        <f aca="false">ExportRaw!$D279</f>
        <v/>
      </c>
      <c r="F279" s="130" t="str">
        <f aca="false">ExportRaw!$H279</f>
        <v/>
      </c>
      <c r="G279" s="132" t="str">
        <f aca="false">ExportRaw!$I279</f>
        <v/>
      </c>
      <c r="H279" s="130" t="str">
        <f aca="false">ExportRaw!$A279</f>
        <v/>
      </c>
      <c r="I279" s="130" t="str">
        <f aca="false">ExportRaw!$B279</f>
        <v/>
      </c>
    </row>
    <row r="280" customFormat="false" ht="15.75" hidden="false" customHeight="false" outlineLevel="0" collapsed="false">
      <c r="A280" s="130" t="n">
        <f aca="false">ExportRaw!$F280</f>
        <v>0</v>
      </c>
      <c r="B280" s="130" t="n">
        <f aca="false">ExportRaw!$C280</f>
        <v>0</v>
      </c>
      <c r="C280" s="130" t="n">
        <f aca="false">ExportRaw!$G280</f>
        <v>0</v>
      </c>
      <c r="D280" s="130" t="str">
        <f aca="false">ExportRaw!$E280</f>
        <v/>
      </c>
      <c r="E280" s="131" t="str">
        <f aca="false">ExportRaw!$D280</f>
        <v/>
      </c>
      <c r="F280" s="130" t="str">
        <f aca="false">ExportRaw!$H280</f>
        <v/>
      </c>
      <c r="G280" s="132" t="str">
        <f aca="false">ExportRaw!$I280</f>
        <v/>
      </c>
      <c r="H280" s="130" t="str">
        <f aca="false">ExportRaw!$A280</f>
        <v/>
      </c>
      <c r="I280" s="130" t="str">
        <f aca="false">ExportRaw!$B280</f>
        <v/>
      </c>
    </row>
    <row r="281" customFormat="false" ht="15.75" hidden="false" customHeight="false" outlineLevel="0" collapsed="false">
      <c r="A281" s="130" t="n">
        <f aca="false">ExportRaw!$F281</f>
        <v>0</v>
      </c>
      <c r="B281" s="130" t="n">
        <f aca="false">ExportRaw!$C281</f>
        <v>0</v>
      </c>
      <c r="C281" s="130" t="n">
        <f aca="false">ExportRaw!$G281</f>
        <v>0</v>
      </c>
      <c r="D281" s="130" t="str">
        <f aca="false">ExportRaw!$E281</f>
        <v/>
      </c>
      <c r="E281" s="131" t="str">
        <f aca="false">ExportRaw!$D281</f>
        <v/>
      </c>
      <c r="F281" s="130" t="str">
        <f aca="false">ExportRaw!$H281</f>
        <v/>
      </c>
      <c r="G281" s="132" t="str">
        <f aca="false">ExportRaw!$I281</f>
        <v/>
      </c>
      <c r="H281" s="130" t="str">
        <f aca="false">ExportRaw!$A281</f>
        <v/>
      </c>
      <c r="I281" s="130" t="str">
        <f aca="false">ExportRaw!$B281</f>
        <v/>
      </c>
    </row>
    <row r="282" customFormat="false" ht="15.75" hidden="false" customHeight="false" outlineLevel="0" collapsed="false">
      <c r="A282" s="130" t="n">
        <f aca="false">ExportRaw!$F282</f>
        <v>0</v>
      </c>
      <c r="B282" s="130" t="n">
        <f aca="false">ExportRaw!$C282</f>
        <v>0</v>
      </c>
      <c r="C282" s="130" t="n">
        <f aca="false">ExportRaw!$G282</f>
        <v>0</v>
      </c>
      <c r="D282" s="130" t="str">
        <f aca="false">ExportRaw!$E282</f>
        <v/>
      </c>
      <c r="E282" s="131" t="str">
        <f aca="false">ExportRaw!$D282</f>
        <v/>
      </c>
      <c r="F282" s="130" t="str">
        <f aca="false">ExportRaw!$H282</f>
        <v/>
      </c>
      <c r="G282" s="132" t="str">
        <f aca="false">ExportRaw!$I282</f>
        <v/>
      </c>
      <c r="H282" s="130" t="str">
        <f aca="false">ExportRaw!$A282</f>
        <v/>
      </c>
      <c r="I282" s="130" t="str">
        <f aca="false">ExportRaw!$B282</f>
        <v/>
      </c>
    </row>
    <row r="283" customFormat="false" ht="15.75" hidden="false" customHeight="false" outlineLevel="0" collapsed="false">
      <c r="A283" s="130" t="n">
        <f aca="false">ExportRaw!$F283</f>
        <v>0</v>
      </c>
      <c r="B283" s="130" t="n">
        <f aca="false">ExportRaw!$C283</f>
        <v>0</v>
      </c>
      <c r="C283" s="130" t="n">
        <f aca="false">ExportRaw!$G283</f>
        <v>0</v>
      </c>
      <c r="D283" s="130" t="str">
        <f aca="false">ExportRaw!$E283</f>
        <v/>
      </c>
      <c r="E283" s="131" t="str">
        <f aca="false">ExportRaw!$D283</f>
        <v/>
      </c>
      <c r="F283" s="130" t="str">
        <f aca="false">ExportRaw!$H283</f>
        <v/>
      </c>
      <c r="G283" s="132" t="str">
        <f aca="false">ExportRaw!$I283</f>
        <v/>
      </c>
      <c r="H283" s="130" t="str">
        <f aca="false">ExportRaw!$A283</f>
        <v/>
      </c>
      <c r="I283" s="130" t="str">
        <f aca="false">ExportRaw!$B283</f>
        <v/>
      </c>
    </row>
    <row r="284" customFormat="false" ht="15.75" hidden="false" customHeight="false" outlineLevel="0" collapsed="false">
      <c r="A284" s="130" t="n">
        <f aca="false">ExportRaw!$F284</f>
        <v>0</v>
      </c>
      <c r="B284" s="130" t="n">
        <f aca="false">ExportRaw!$C284</f>
        <v>0</v>
      </c>
      <c r="C284" s="130" t="n">
        <f aca="false">ExportRaw!$G284</f>
        <v>0</v>
      </c>
      <c r="D284" s="130" t="str">
        <f aca="false">ExportRaw!$E284</f>
        <v/>
      </c>
      <c r="E284" s="131" t="str">
        <f aca="false">ExportRaw!$D284</f>
        <v/>
      </c>
      <c r="F284" s="130" t="str">
        <f aca="false">ExportRaw!$H284</f>
        <v/>
      </c>
      <c r="G284" s="132" t="str">
        <f aca="false">ExportRaw!$I284</f>
        <v/>
      </c>
      <c r="H284" s="130" t="str">
        <f aca="false">ExportRaw!$A284</f>
        <v/>
      </c>
      <c r="I284" s="130" t="str">
        <f aca="false">ExportRaw!$B284</f>
        <v/>
      </c>
    </row>
    <row r="285" customFormat="false" ht="15.75" hidden="false" customHeight="false" outlineLevel="0" collapsed="false">
      <c r="A285" s="130" t="n">
        <f aca="false">ExportRaw!$F285</f>
        <v>0</v>
      </c>
      <c r="B285" s="130" t="n">
        <f aca="false">ExportRaw!$C285</f>
        <v>0</v>
      </c>
      <c r="C285" s="130" t="n">
        <f aca="false">ExportRaw!$G285</f>
        <v>0</v>
      </c>
      <c r="D285" s="130" t="str">
        <f aca="false">ExportRaw!$E285</f>
        <v/>
      </c>
      <c r="E285" s="131" t="str">
        <f aca="false">ExportRaw!$D285</f>
        <v/>
      </c>
      <c r="F285" s="130" t="str">
        <f aca="false">ExportRaw!$H285</f>
        <v/>
      </c>
      <c r="G285" s="132" t="str">
        <f aca="false">ExportRaw!$I285</f>
        <v/>
      </c>
      <c r="H285" s="130" t="str">
        <f aca="false">ExportRaw!$A285</f>
        <v/>
      </c>
      <c r="I285" s="130" t="str">
        <f aca="false">ExportRaw!$B285</f>
        <v/>
      </c>
    </row>
    <row r="286" customFormat="false" ht="15.75" hidden="false" customHeight="false" outlineLevel="0" collapsed="false">
      <c r="A286" s="130" t="n">
        <f aca="false">ExportRaw!$F286</f>
        <v>0</v>
      </c>
      <c r="B286" s="130" t="n">
        <f aca="false">ExportRaw!$C286</f>
        <v>0</v>
      </c>
      <c r="C286" s="130" t="n">
        <f aca="false">ExportRaw!$G286</f>
        <v>0</v>
      </c>
      <c r="D286" s="130" t="str">
        <f aca="false">ExportRaw!$E286</f>
        <v/>
      </c>
      <c r="E286" s="131" t="str">
        <f aca="false">ExportRaw!$D286</f>
        <v/>
      </c>
      <c r="F286" s="130" t="str">
        <f aca="false">ExportRaw!$H286</f>
        <v/>
      </c>
      <c r="G286" s="132" t="str">
        <f aca="false">ExportRaw!$I286</f>
        <v/>
      </c>
      <c r="H286" s="130" t="str">
        <f aca="false">ExportRaw!$A286</f>
        <v/>
      </c>
      <c r="I286" s="130" t="str">
        <f aca="false">ExportRaw!$B286</f>
        <v/>
      </c>
    </row>
    <row r="287" customFormat="false" ht="15.75" hidden="false" customHeight="false" outlineLevel="0" collapsed="false">
      <c r="A287" s="130" t="n">
        <f aca="false">ExportRaw!$F287</f>
        <v>0</v>
      </c>
      <c r="B287" s="130" t="n">
        <f aca="false">ExportRaw!$C287</f>
        <v>0</v>
      </c>
      <c r="C287" s="130" t="n">
        <f aca="false">ExportRaw!$G287</f>
        <v>0</v>
      </c>
      <c r="D287" s="130" t="str">
        <f aca="false">ExportRaw!$E287</f>
        <v/>
      </c>
      <c r="E287" s="131" t="str">
        <f aca="false">ExportRaw!$D287</f>
        <v/>
      </c>
      <c r="F287" s="130" t="str">
        <f aca="false">ExportRaw!$H287</f>
        <v/>
      </c>
      <c r="G287" s="132" t="str">
        <f aca="false">ExportRaw!$I287</f>
        <v/>
      </c>
      <c r="H287" s="130" t="str">
        <f aca="false">ExportRaw!$A287</f>
        <v/>
      </c>
      <c r="I287" s="130" t="str">
        <f aca="false">ExportRaw!$B287</f>
        <v/>
      </c>
    </row>
    <row r="288" customFormat="false" ht="15.75" hidden="false" customHeight="false" outlineLevel="0" collapsed="false">
      <c r="A288" s="130" t="n">
        <f aca="false">ExportRaw!$F288</f>
        <v>0</v>
      </c>
      <c r="B288" s="130" t="n">
        <f aca="false">ExportRaw!$C288</f>
        <v>0</v>
      </c>
      <c r="C288" s="130" t="n">
        <f aca="false">ExportRaw!$G288</f>
        <v>0</v>
      </c>
      <c r="D288" s="130" t="str">
        <f aca="false">ExportRaw!$E288</f>
        <v/>
      </c>
      <c r="E288" s="131" t="str">
        <f aca="false">ExportRaw!$D288</f>
        <v/>
      </c>
      <c r="F288" s="130" t="str">
        <f aca="false">ExportRaw!$H288</f>
        <v/>
      </c>
      <c r="G288" s="132" t="str">
        <f aca="false">ExportRaw!$I288</f>
        <v/>
      </c>
      <c r="H288" s="130" t="str">
        <f aca="false">ExportRaw!$A288</f>
        <v/>
      </c>
      <c r="I288" s="130" t="str">
        <f aca="false">ExportRaw!$B288</f>
        <v/>
      </c>
    </row>
    <row r="289" customFormat="false" ht="15.75" hidden="false" customHeight="false" outlineLevel="0" collapsed="false">
      <c r="A289" s="130" t="n">
        <f aca="false">ExportRaw!$F289</f>
        <v>0</v>
      </c>
      <c r="B289" s="130" t="n">
        <f aca="false">ExportRaw!$C289</f>
        <v>0</v>
      </c>
      <c r="C289" s="130" t="n">
        <f aca="false">ExportRaw!$G289</f>
        <v>0</v>
      </c>
      <c r="D289" s="130" t="str">
        <f aca="false">ExportRaw!$E289</f>
        <v/>
      </c>
      <c r="E289" s="131" t="str">
        <f aca="false">ExportRaw!$D289</f>
        <v/>
      </c>
      <c r="F289" s="130" t="str">
        <f aca="false">ExportRaw!$H289</f>
        <v/>
      </c>
      <c r="G289" s="132" t="str">
        <f aca="false">ExportRaw!$I289</f>
        <v/>
      </c>
      <c r="H289" s="130" t="str">
        <f aca="false">ExportRaw!$A289</f>
        <v/>
      </c>
      <c r="I289" s="130" t="str">
        <f aca="false">ExportRaw!$B289</f>
        <v/>
      </c>
    </row>
    <row r="290" customFormat="false" ht="15.75" hidden="false" customHeight="false" outlineLevel="0" collapsed="false">
      <c r="A290" s="130" t="n">
        <f aca="false">ExportRaw!$F290</f>
        <v>0</v>
      </c>
      <c r="B290" s="130" t="n">
        <f aca="false">ExportRaw!$C290</f>
        <v>0</v>
      </c>
      <c r="C290" s="130" t="n">
        <f aca="false">ExportRaw!$G290</f>
        <v>0</v>
      </c>
      <c r="D290" s="130" t="str">
        <f aca="false">ExportRaw!$E290</f>
        <v/>
      </c>
      <c r="E290" s="131" t="str">
        <f aca="false">ExportRaw!$D290</f>
        <v/>
      </c>
      <c r="F290" s="130" t="str">
        <f aca="false">ExportRaw!$H290</f>
        <v/>
      </c>
      <c r="G290" s="132" t="str">
        <f aca="false">ExportRaw!$I290</f>
        <v/>
      </c>
      <c r="H290" s="130" t="str">
        <f aca="false">ExportRaw!$A290</f>
        <v/>
      </c>
      <c r="I290" s="130" t="str">
        <f aca="false">ExportRaw!$B290</f>
        <v/>
      </c>
    </row>
    <row r="291" customFormat="false" ht="15.75" hidden="false" customHeight="false" outlineLevel="0" collapsed="false">
      <c r="A291" s="130" t="n">
        <f aca="false">ExportRaw!$F291</f>
        <v>0</v>
      </c>
      <c r="B291" s="130" t="n">
        <f aca="false">ExportRaw!$C291</f>
        <v>0</v>
      </c>
      <c r="C291" s="130" t="n">
        <f aca="false">ExportRaw!$G291</f>
        <v>0</v>
      </c>
      <c r="D291" s="130" t="str">
        <f aca="false">ExportRaw!$E291</f>
        <v/>
      </c>
      <c r="E291" s="131" t="str">
        <f aca="false">ExportRaw!$D291</f>
        <v/>
      </c>
      <c r="F291" s="130" t="str">
        <f aca="false">ExportRaw!$H291</f>
        <v/>
      </c>
      <c r="G291" s="132" t="str">
        <f aca="false">ExportRaw!$I291</f>
        <v/>
      </c>
      <c r="H291" s="130" t="str">
        <f aca="false">ExportRaw!$A291</f>
        <v/>
      </c>
      <c r="I291" s="130" t="str">
        <f aca="false">ExportRaw!$B291</f>
        <v/>
      </c>
    </row>
    <row r="292" customFormat="false" ht="15.75" hidden="false" customHeight="false" outlineLevel="0" collapsed="false">
      <c r="A292" s="130" t="n">
        <f aca="false">ExportRaw!$F292</f>
        <v>0</v>
      </c>
      <c r="B292" s="130" t="n">
        <f aca="false">ExportRaw!$C292</f>
        <v>0</v>
      </c>
      <c r="C292" s="130" t="n">
        <f aca="false">ExportRaw!$G292</f>
        <v>0</v>
      </c>
      <c r="D292" s="130" t="str">
        <f aca="false">ExportRaw!$E292</f>
        <v/>
      </c>
      <c r="E292" s="131" t="str">
        <f aca="false">ExportRaw!$D292</f>
        <v/>
      </c>
      <c r="F292" s="130" t="str">
        <f aca="false">ExportRaw!$H292</f>
        <v/>
      </c>
      <c r="G292" s="132" t="str">
        <f aca="false">ExportRaw!$I292</f>
        <v/>
      </c>
      <c r="H292" s="130" t="str">
        <f aca="false">ExportRaw!$A292</f>
        <v/>
      </c>
      <c r="I292" s="130" t="str">
        <f aca="false">ExportRaw!$B292</f>
        <v/>
      </c>
    </row>
    <row r="293" customFormat="false" ht="15.75" hidden="false" customHeight="false" outlineLevel="0" collapsed="false">
      <c r="A293" s="130" t="n">
        <f aca="false">ExportRaw!$F293</f>
        <v>0</v>
      </c>
      <c r="B293" s="130" t="n">
        <f aca="false">ExportRaw!$C293</f>
        <v>0</v>
      </c>
      <c r="C293" s="130" t="n">
        <f aca="false">ExportRaw!$G293</f>
        <v>0</v>
      </c>
      <c r="D293" s="130" t="str">
        <f aca="false">ExportRaw!$E293</f>
        <v/>
      </c>
      <c r="E293" s="131" t="str">
        <f aca="false">ExportRaw!$D293</f>
        <v/>
      </c>
      <c r="F293" s="130" t="str">
        <f aca="false">ExportRaw!$H293</f>
        <v/>
      </c>
      <c r="G293" s="132" t="str">
        <f aca="false">ExportRaw!$I293</f>
        <v/>
      </c>
      <c r="H293" s="130" t="str">
        <f aca="false">ExportRaw!$A293</f>
        <v/>
      </c>
      <c r="I293" s="130" t="str">
        <f aca="false">ExportRaw!$B293</f>
        <v/>
      </c>
    </row>
    <row r="294" customFormat="false" ht="15.75" hidden="false" customHeight="false" outlineLevel="0" collapsed="false">
      <c r="A294" s="130" t="n">
        <f aca="false">ExportRaw!$F294</f>
        <v>0</v>
      </c>
      <c r="B294" s="130" t="n">
        <f aca="false">ExportRaw!$C294</f>
        <v>0</v>
      </c>
      <c r="C294" s="130" t="n">
        <f aca="false">ExportRaw!$G294</f>
        <v>0</v>
      </c>
      <c r="D294" s="130" t="str">
        <f aca="false">ExportRaw!$E294</f>
        <v/>
      </c>
      <c r="E294" s="131" t="str">
        <f aca="false">ExportRaw!$D294</f>
        <v/>
      </c>
      <c r="F294" s="130" t="str">
        <f aca="false">ExportRaw!$H294</f>
        <v/>
      </c>
      <c r="G294" s="132" t="str">
        <f aca="false">ExportRaw!$I294</f>
        <v/>
      </c>
      <c r="H294" s="130" t="str">
        <f aca="false">ExportRaw!$A294</f>
        <v/>
      </c>
      <c r="I294" s="130" t="str">
        <f aca="false">ExportRaw!$B294</f>
        <v/>
      </c>
    </row>
    <row r="295" customFormat="false" ht="15.75" hidden="false" customHeight="false" outlineLevel="0" collapsed="false">
      <c r="A295" s="130" t="n">
        <f aca="false">ExportRaw!$F295</f>
        <v>0</v>
      </c>
      <c r="B295" s="130" t="n">
        <f aca="false">ExportRaw!$C295</f>
        <v>0</v>
      </c>
      <c r="C295" s="130" t="n">
        <f aca="false">ExportRaw!$G295</f>
        <v>0</v>
      </c>
      <c r="D295" s="130" t="str">
        <f aca="false">ExportRaw!$E295</f>
        <v/>
      </c>
      <c r="E295" s="131" t="str">
        <f aca="false">ExportRaw!$D295</f>
        <v/>
      </c>
      <c r="F295" s="130" t="str">
        <f aca="false">ExportRaw!$H295</f>
        <v/>
      </c>
      <c r="G295" s="132" t="str">
        <f aca="false">ExportRaw!$I295</f>
        <v/>
      </c>
      <c r="H295" s="130" t="str">
        <f aca="false">ExportRaw!$A295</f>
        <v/>
      </c>
      <c r="I295" s="130" t="str">
        <f aca="false">ExportRaw!$B295</f>
        <v/>
      </c>
    </row>
    <row r="296" customFormat="false" ht="15.75" hidden="false" customHeight="false" outlineLevel="0" collapsed="false">
      <c r="A296" s="130" t="n">
        <f aca="false">ExportRaw!$F296</f>
        <v>0</v>
      </c>
      <c r="B296" s="130" t="n">
        <f aca="false">ExportRaw!$C296</f>
        <v>0</v>
      </c>
      <c r="C296" s="130" t="n">
        <f aca="false">ExportRaw!$G296</f>
        <v>0</v>
      </c>
      <c r="D296" s="130" t="str">
        <f aca="false">ExportRaw!$E296</f>
        <v/>
      </c>
      <c r="E296" s="131" t="str">
        <f aca="false">ExportRaw!$D296</f>
        <v/>
      </c>
      <c r="F296" s="130" t="str">
        <f aca="false">ExportRaw!$H296</f>
        <v/>
      </c>
      <c r="G296" s="132" t="str">
        <f aca="false">ExportRaw!$I296</f>
        <v/>
      </c>
      <c r="H296" s="130" t="str">
        <f aca="false">ExportRaw!$A296</f>
        <v/>
      </c>
      <c r="I296" s="130" t="str">
        <f aca="false">ExportRaw!$B296</f>
        <v/>
      </c>
    </row>
    <row r="297" customFormat="false" ht="15.75" hidden="false" customHeight="false" outlineLevel="0" collapsed="false">
      <c r="A297" s="130" t="n">
        <f aca="false">ExportRaw!$F297</f>
        <v>0</v>
      </c>
      <c r="B297" s="130" t="n">
        <f aca="false">ExportRaw!$C297</f>
        <v>0</v>
      </c>
      <c r="C297" s="130" t="n">
        <f aca="false">ExportRaw!$G297</f>
        <v>0</v>
      </c>
      <c r="D297" s="130" t="str">
        <f aca="false">ExportRaw!$E297</f>
        <v/>
      </c>
      <c r="E297" s="131" t="str">
        <f aca="false">ExportRaw!$D297</f>
        <v/>
      </c>
      <c r="F297" s="130" t="str">
        <f aca="false">ExportRaw!$H297</f>
        <v/>
      </c>
      <c r="G297" s="132" t="str">
        <f aca="false">ExportRaw!$I297</f>
        <v/>
      </c>
      <c r="H297" s="130" t="str">
        <f aca="false">ExportRaw!$A297</f>
        <v/>
      </c>
      <c r="I297" s="130" t="str">
        <f aca="false">ExportRaw!$B297</f>
        <v/>
      </c>
    </row>
    <row r="298" customFormat="false" ht="15.75" hidden="false" customHeight="false" outlineLevel="0" collapsed="false">
      <c r="A298" s="130" t="n">
        <f aca="false">ExportRaw!$F298</f>
        <v>0</v>
      </c>
      <c r="B298" s="130" t="n">
        <f aca="false">ExportRaw!$C298</f>
        <v>0</v>
      </c>
      <c r="C298" s="130" t="n">
        <f aca="false">ExportRaw!$G298</f>
        <v>0</v>
      </c>
      <c r="D298" s="130" t="str">
        <f aca="false">ExportRaw!$E298</f>
        <v/>
      </c>
      <c r="E298" s="131" t="str">
        <f aca="false">ExportRaw!$D298</f>
        <v/>
      </c>
      <c r="F298" s="130" t="str">
        <f aca="false">ExportRaw!$H298</f>
        <v/>
      </c>
      <c r="G298" s="132" t="str">
        <f aca="false">ExportRaw!$I298</f>
        <v/>
      </c>
      <c r="H298" s="130" t="str">
        <f aca="false">ExportRaw!$A298</f>
        <v/>
      </c>
      <c r="I298" s="130" t="str">
        <f aca="false">ExportRaw!$B298</f>
        <v/>
      </c>
    </row>
    <row r="299" customFormat="false" ht="15.75" hidden="false" customHeight="false" outlineLevel="0" collapsed="false">
      <c r="A299" s="130" t="n">
        <f aca="false">ExportRaw!$F299</f>
        <v>0</v>
      </c>
      <c r="B299" s="130" t="n">
        <f aca="false">ExportRaw!$C299</f>
        <v>0</v>
      </c>
      <c r="C299" s="130" t="n">
        <f aca="false">ExportRaw!$G299</f>
        <v>0</v>
      </c>
      <c r="D299" s="130" t="str">
        <f aca="false">ExportRaw!$E299</f>
        <v/>
      </c>
      <c r="E299" s="131" t="str">
        <f aca="false">ExportRaw!$D299</f>
        <v/>
      </c>
      <c r="F299" s="130" t="str">
        <f aca="false">ExportRaw!$H299</f>
        <v/>
      </c>
      <c r="G299" s="132" t="str">
        <f aca="false">ExportRaw!$I299</f>
        <v/>
      </c>
      <c r="H299" s="130" t="str">
        <f aca="false">ExportRaw!$A299</f>
        <v/>
      </c>
      <c r="I299" s="130" t="str">
        <f aca="false">ExportRaw!$B299</f>
        <v/>
      </c>
    </row>
    <row r="300" customFormat="false" ht="15.75" hidden="false" customHeight="false" outlineLevel="0" collapsed="false">
      <c r="A300" s="130" t="n">
        <f aca="false">ExportRaw!$F300</f>
        <v>0</v>
      </c>
      <c r="B300" s="130" t="n">
        <f aca="false">ExportRaw!$C300</f>
        <v>0</v>
      </c>
      <c r="C300" s="130" t="n">
        <f aca="false">ExportRaw!$G300</f>
        <v>0</v>
      </c>
      <c r="D300" s="130" t="str">
        <f aca="false">ExportRaw!$E300</f>
        <v/>
      </c>
      <c r="E300" s="131" t="str">
        <f aca="false">ExportRaw!$D300</f>
        <v/>
      </c>
      <c r="F300" s="130" t="str">
        <f aca="false">ExportRaw!$H300</f>
        <v/>
      </c>
      <c r="G300" s="132" t="str">
        <f aca="false">ExportRaw!$I300</f>
        <v/>
      </c>
      <c r="H300" s="130" t="str">
        <f aca="false">ExportRaw!$A300</f>
        <v/>
      </c>
      <c r="I300" s="130" t="str">
        <f aca="false">ExportRaw!$B300</f>
        <v/>
      </c>
    </row>
    <row r="301" customFormat="false" ht="15.75" hidden="false" customHeight="false" outlineLevel="0" collapsed="false">
      <c r="A301" s="130" t="n">
        <f aca="false">ExportRaw!$F301</f>
        <v>0</v>
      </c>
      <c r="B301" s="130" t="n">
        <f aca="false">ExportRaw!$C301</f>
        <v>0</v>
      </c>
      <c r="C301" s="130" t="n">
        <f aca="false">ExportRaw!$G301</f>
        <v>0</v>
      </c>
      <c r="D301" s="130" t="str">
        <f aca="false">ExportRaw!$E301</f>
        <v/>
      </c>
      <c r="E301" s="131" t="str">
        <f aca="false">ExportRaw!$D301</f>
        <v/>
      </c>
      <c r="F301" s="130" t="str">
        <f aca="false">ExportRaw!$H301</f>
        <v/>
      </c>
      <c r="G301" s="132" t="str">
        <f aca="false">ExportRaw!$I301</f>
        <v/>
      </c>
      <c r="H301" s="130" t="str">
        <f aca="false">ExportRaw!$A301</f>
        <v/>
      </c>
      <c r="I301" s="130" t="str">
        <f aca="false">ExportRaw!$B301</f>
        <v/>
      </c>
    </row>
    <row r="302" customFormat="false" ht="15.75" hidden="false" customHeight="false" outlineLevel="0" collapsed="false">
      <c r="A302" s="130" t="n">
        <f aca="false">ExportRaw!$F302</f>
        <v>0</v>
      </c>
      <c r="B302" s="130" t="n">
        <f aca="false">ExportRaw!$C302</f>
        <v>0</v>
      </c>
      <c r="C302" s="130" t="n">
        <f aca="false">ExportRaw!$G302</f>
        <v>0</v>
      </c>
      <c r="D302" s="130" t="str">
        <f aca="false">ExportRaw!$E302</f>
        <v/>
      </c>
      <c r="E302" s="131" t="str">
        <f aca="false">ExportRaw!$D302</f>
        <v/>
      </c>
      <c r="F302" s="130" t="str">
        <f aca="false">ExportRaw!$H302</f>
        <v/>
      </c>
      <c r="G302" s="132" t="str">
        <f aca="false">ExportRaw!$I302</f>
        <v/>
      </c>
      <c r="H302" s="130" t="str">
        <f aca="false">ExportRaw!$A302</f>
        <v/>
      </c>
      <c r="I302" s="130" t="str">
        <f aca="false">ExportRaw!$B302</f>
        <v/>
      </c>
    </row>
    <row r="303" customFormat="false" ht="15.75" hidden="false" customHeight="false" outlineLevel="0" collapsed="false">
      <c r="A303" s="130" t="n">
        <f aca="false">ExportRaw!$F303</f>
        <v>0</v>
      </c>
      <c r="B303" s="130" t="n">
        <f aca="false">ExportRaw!$C303</f>
        <v>0</v>
      </c>
      <c r="C303" s="130" t="n">
        <f aca="false">ExportRaw!$G303</f>
        <v>0</v>
      </c>
      <c r="D303" s="130" t="str">
        <f aca="false">ExportRaw!$E303</f>
        <v/>
      </c>
      <c r="E303" s="131" t="str">
        <f aca="false">ExportRaw!$D303</f>
        <v/>
      </c>
      <c r="F303" s="130" t="str">
        <f aca="false">ExportRaw!$H303</f>
        <v/>
      </c>
      <c r="G303" s="132" t="str">
        <f aca="false">ExportRaw!$I303</f>
        <v/>
      </c>
      <c r="H303" s="130" t="str">
        <f aca="false">ExportRaw!$A303</f>
        <v/>
      </c>
      <c r="I303" s="130" t="str">
        <f aca="false">ExportRaw!$B303</f>
        <v/>
      </c>
    </row>
    <row r="304" customFormat="false" ht="15.75" hidden="false" customHeight="false" outlineLevel="0" collapsed="false">
      <c r="A304" s="130" t="n">
        <f aca="false">ExportRaw!$F304</f>
        <v>0</v>
      </c>
      <c r="B304" s="130" t="n">
        <f aca="false">ExportRaw!$C304</f>
        <v>0</v>
      </c>
      <c r="C304" s="130" t="n">
        <f aca="false">ExportRaw!$G304</f>
        <v>0</v>
      </c>
      <c r="D304" s="130" t="str">
        <f aca="false">ExportRaw!$E304</f>
        <v/>
      </c>
      <c r="E304" s="131" t="str">
        <f aca="false">ExportRaw!$D304</f>
        <v/>
      </c>
      <c r="F304" s="130" t="str">
        <f aca="false">ExportRaw!$H304</f>
        <v/>
      </c>
      <c r="G304" s="132" t="str">
        <f aca="false">ExportRaw!$I304</f>
        <v/>
      </c>
      <c r="H304" s="130" t="str">
        <f aca="false">ExportRaw!$A304</f>
        <v/>
      </c>
      <c r="I304" s="130" t="str">
        <f aca="false">ExportRaw!$B304</f>
        <v/>
      </c>
    </row>
    <row r="305" customFormat="false" ht="15.75" hidden="false" customHeight="false" outlineLevel="0" collapsed="false">
      <c r="A305" s="130" t="n">
        <f aca="false">ExportRaw!$F305</f>
        <v>0</v>
      </c>
      <c r="B305" s="130" t="n">
        <f aca="false">ExportRaw!$C305</f>
        <v>0</v>
      </c>
      <c r="C305" s="130" t="n">
        <f aca="false">ExportRaw!$G305</f>
        <v>0</v>
      </c>
      <c r="D305" s="130" t="str">
        <f aca="false">ExportRaw!$E305</f>
        <v/>
      </c>
      <c r="E305" s="131" t="str">
        <f aca="false">ExportRaw!$D305</f>
        <v/>
      </c>
      <c r="F305" s="130" t="str">
        <f aca="false">ExportRaw!$H305</f>
        <v/>
      </c>
      <c r="G305" s="132" t="str">
        <f aca="false">ExportRaw!$I305</f>
        <v/>
      </c>
      <c r="H305" s="130" t="str">
        <f aca="false">ExportRaw!$A305</f>
        <v/>
      </c>
      <c r="I305" s="130" t="str">
        <f aca="false">ExportRaw!$B305</f>
        <v/>
      </c>
    </row>
    <row r="306" customFormat="false" ht="15.75" hidden="false" customHeight="false" outlineLevel="0" collapsed="false">
      <c r="A306" s="130" t="n">
        <f aca="false">ExportRaw!$F306</f>
        <v>0</v>
      </c>
      <c r="B306" s="130" t="n">
        <f aca="false">ExportRaw!$C306</f>
        <v>0</v>
      </c>
      <c r="C306" s="130" t="n">
        <f aca="false">ExportRaw!$G306</f>
        <v>0</v>
      </c>
      <c r="D306" s="130" t="str">
        <f aca="false">ExportRaw!$E306</f>
        <v/>
      </c>
      <c r="E306" s="131" t="str">
        <f aca="false">ExportRaw!$D306</f>
        <v/>
      </c>
      <c r="F306" s="130" t="str">
        <f aca="false">ExportRaw!$H306</f>
        <v/>
      </c>
      <c r="G306" s="132" t="str">
        <f aca="false">ExportRaw!$I306</f>
        <v/>
      </c>
      <c r="H306" s="130" t="str">
        <f aca="false">ExportRaw!$A306</f>
        <v/>
      </c>
      <c r="I306" s="130" t="str">
        <f aca="false">ExportRaw!$B306</f>
        <v/>
      </c>
    </row>
    <row r="307" customFormat="false" ht="15.75" hidden="false" customHeight="false" outlineLevel="0" collapsed="false">
      <c r="A307" s="130" t="n">
        <f aca="false">ExportRaw!$F307</f>
        <v>0</v>
      </c>
      <c r="B307" s="130" t="n">
        <f aca="false">ExportRaw!$C307</f>
        <v>0</v>
      </c>
      <c r="C307" s="130" t="n">
        <f aca="false">ExportRaw!$G307</f>
        <v>0</v>
      </c>
      <c r="D307" s="130" t="str">
        <f aca="false">ExportRaw!$E307</f>
        <v/>
      </c>
      <c r="E307" s="131" t="str">
        <f aca="false">ExportRaw!$D307</f>
        <v/>
      </c>
      <c r="F307" s="130" t="str">
        <f aca="false">ExportRaw!$H307</f>
        <v/>
      </c>
      <c r="G307" s="132" t="str">
        <f aca="false">ExportRaw!$I307</f>
        <v/>
      </c>
      <c r="H307" s="130" t="str">
        <f aca="false">ExportRaw!$A307</f>
        <v/>
      </c>
      <c r="I307" s="130" t="str">
        <f aca="false">ExportRaw!$B307</f>
        <v/>
      </c>
    </row>
    <row r="308" customFormat="false" ht="15.75" hidden="false" customHeight="false" outlineLevel="0" collapsed="false">
      <c r="A308" s="130" t="n">
        <f aca="false">ExportRaw!$F308</f>
        <v>0</v>
      </c>
      <c r="B308" s="130" t="n">
        <f aca="false">ExportRaw!$C308</f>
        <v>0</v>
      </c>
      <c r="C308" s="130" t="n">
        <f aca="false">ExportRaw!$G308</f>
        <v>0</v>
      </c>
      <c r="D308" s="130" t="str">
        <f aca="false">ExportRaw!$E308</f>
        <v/>
      </c>
      <c r="E308" s="131" t="str">
        <f aca="false">ExportRaw!$D308</f>
        <v/>
      </c>
      <c r="F308" s="130" t="str">
        <f aca="false">ExportRaw!$H308</f>
        <v/>
      </c>
      <c r="G308" s="132" t="str">
        <f aca="false">ExportRaw!$I308</f>
        <v/>
      </c>
      <c r="H308" s="130" t="str">
        <f aca="false">ExportRaw!$A308</f>
        <v/>
      </c>
      <c r="I308" s="130" t="str">
        <f aca="false">ExportRaw!$B308</f>
        <v/>
      </c>
    </row>
    <row r="309" customFormat="false" ht="15.75" hidden="false" customHeight="false" outlineLevel="0" collapsed="false">
      <c r="A309" s="130" t="n">
        <f aca="false">ExportRaw!$F309</f>
        <v>0</v>
      </c>
      <c r="B309" s="130" t="n">
        <f aca="false">ExportRaw!$C309</f>
        <v>0</v>
      </c>
      <c r="C309" s="130" t="n">
        <f aca="false">ExportRaw!$G309</f>
        <v>0</v>
      </c>
      <c r="D309" s="130" t="str">
        <f aca="false">ExportRaw!$E309</f>
        <v/>
      </c>
      <c r="E309" s="131" t="str">
        <f aca="false">ExportRaw!$D309</f>
        <v/>
      </c>
      <c r="F309" s="130" t="str">
        <f aca="false">ExportRaw!$H309</f>
        <v/>
      </c>
      <c r="G309" s="132" t="str">
        <f aca="false">ExportRaw!$I309</f>
        <v/>
      </c>
      <c r="H309" s="130" t="str">
        <f aca="false">ExportRaw!$A309</f>
        <v/>
      </c>
      <c r="I309" s="130" t="str">
        <f aca="false">ExportRaw!$B309</f>
        <v/>
      </c>
    </row>
    <row r="310" customFormat="false" ht="15.75" hidden="false" customHeight="false" outlineLevel="0" collapsed="false">
      <c r="A310" s="130" t="n">
        <f aca="false">ExportRaw!$F310</f>
        <v>0</v>
      </c>
      <c r="B310" s="130" t="n">
        <f aca="false">ExportRaw!$C310</f>
        <v>0</v>
      </c>
      <c r="C310" s="130" t="n">
        <f aca="false">ExportRaw!$G310</f>
        <v>0</v>
      </c>
      <c r="D310" s="130" t="str">
        <f aca="false">ExportRaw!$E310</f>
        <v/>
      </c>
      <c r="E310" s="131" t="str">
        <f aca="false">ExportRaw!$D310</f>
        <v/>
      </c>
      <c r="F310" s="130" t="str">
        <f aca="false">ExportRaw!$H310</f>
        <v/>
      </c>
      <c r="G310" s="132" t="str">
        <f aca="false">ExportRaw!$I310</f>
        <v/>
      </c>
      <c r="H310" s="130" t="str">
        <f aca="false">ExportRaw!$A310</f>
        <v/>
      </c>
      <c r="I310" s="130" t="str">
        <f aca="false">ExportRaw!$B310</f>
        <v/>
      </c>
    </row>
    <row r="311" customFormat="false" ht="15.75" hidden="false" customHeight="false" outlineLevel="0" collapsed="false">
      <c r="A311" s="130" t="n">
        <f aca="false">ExportRaw!$F311</f>
        <v>0</v>
      </c>
      <c r="B311" s="130" t="n">
        <f aca="false">ExportRaw!$C311</f>
        <v>0</v>
      </c>
      <c r="C311" s="130" t="n">
        <f aca="false">ExportRaw!$G311</f>
        <v>0</v>
      </c>
      <c r="D311" s="130" t="str">
        <f aca="false">ExportRaw!$E311</f>
        <v/>
      </c>
      <c r="E311" s="131" t="str">
        <f aca="false">ExportRaw!$D311</f>
        <v/>
      </c>
      <c r="F311" s="130" t="str">
        <f aca="false">ExportRaw!$H311</f>
        <v/>
      </c>
      <c r="G311" s="132" t="str">
        <f aca="false">ExportRaw!$I311</f>
        <v/>
      </c>
      <c r="H311" s="130" t="str">
        <f aca="false">ExportRaw!$A311</f>
        <v/>
      </c>
      <c r="I311" s="130" t="str">
        <f aca="false">ExportRaw!$B311</f>
        <v/>
      </c>
    </row>
    <row r="312" customFormat="false" ht="15.75" hidden="false" customHeight="false" outlineLevel="0" collapsed="false">
      <c r="A312" s="130" t="n">
        <f aca="false">ExportRaw!$F312</f>
        <v>0</v>
      </c>
      <c r="B312" s="130" t="n">
        <f aca="false">ExportRaw!$C312</f>
        <v>0</v>
      </c>
      <c r="C312" s="130" t="n">
        <f aca="false">ExportRaw!$G312</f>
        <v>0</v>
      </c>
      <c r="D312" s="130" t="str">
        <f aca="false">ExportRaw!$E312</f>
        <v/>
      </c>
      <c r="E312" s="131" t="str">
        <f aca="false">ExportRaw!$D312</f>
        <v/>
      </c>
      <c r="F312" s="130" t="str">
        <f aca="false">ExportRaw!$H312</f>
        <v/>
      </c>
      <c r="G312" s="132" t="str">
        <f aca="false">ExportRaw!$I312</f>
        <v/>
      </c>
      <c r="H312" s="130" t="str">
        <f aca="false">ExportRaw!$A312</f>
        <v/>
      </c>
      <c r="I312" s="130" t="str">
        <f aca="false">ExportRaw!$B312</f>
        <v/>
      </c>
    </row>
    <row r="313" customFormat="false" ht="15.75" hidden="false" customHeight="false" outlineLevel="0" collapsed="false">
      <c r="A313" s="130" t="n">
        <f aca="false">ExportRaw!$F313</f>
        <v>0</v>
      </c>
      <c r="B313" s="130" t="n">
        <f aca="false">ExportRaw!$C313</f>
        <v>0</v>
      </c>
      <c r="C313" s="130" t="n">
        <f aca="false">ExportRaw!$G313</f>
        <v>0</v>
      </c>
      <c r="D313" s="130" t="str">
        <f aca="false">ExportRaw!$E313</f>
        <v/>
      </c>
      <c r="E313" s="131" t="str">
        <f aca="false">ExportRaw!$D313</f>
        <v/>
      </c>
      <c r="F313" s="130" t="str">
        <f aca="false">ExportRaw!$H313</f>
        <v/>
      </c>
      <c r="G313" s="132" t="str">
        <f aca="false">ExportRaw!$I313</f>
        <v/>
      </c>
      <c r="H313" s="130" t="str">
        <f aca="false">ExportRaw!$A313</f>
        <v/>
      </c>
      <c r="I313" s="130" t="str">
        <f aca="false">ExportRaw!$B313</f>
        <v/>
      </c>
    </row>
    <row r="314" customFormat="false" ht="15.75" hidden="false" customHeight="false" outlineLevel="0" collapsed="false">
      <c r="A314" s="130" t="n">
        <f aca="false">ExportRaw!$F314</f>
        <v>0</v>
      </c>
      <c r="B314" s="130" t="n">
        <f aca="false">ExportRaw!$C314</f>
        <v>0</v>
      </c>
      <c r="C314" s="130" t="n">
        <f aca="false">ExportRaw!$G314</f>
        <v>0</v>
      </c>
      <c r="D314" s="130" t="str">
        <f aca="false">ExportRaw!$E314</f>
        <v/>
      </c>
      <c r="E314" s="131" t="str">
        <f aca="false">ExportRaw!$D314</f>
        <v/>
      </c>
      <c r="F314" s="130" t="str">
        <f aca="false">ExportRaw!$H314</f>
        <v/>
      </c>
      <c r="G314" s="132" t="str">
        <f aca="false">ExportRaw!$I314</f>
        <v/>
      </c>
      <c r="H314" s="130" t="str">
        <f aca="false">ExportRaw!$A314</f>
        <v/>
      </c>
      <c r="I314" s="130" t="str">
        <f aca="false">ExportRaw!$B314</f>
        <v/>
      </c>
    </row>
    <row r="315" customFormat="false" ht="15.75" hidden="false" customHeight="false" outlineLevel="0" collapsed="false">
      <c r="A315" s="130" t="n">
        <f aca="false">ExportRaw!$F315</f>
        <v>0</v>
      </c>
      <c r="B315" s="130" t="n">
        <f aca="false">ExportRaw!$C315</f>
        <v>0</v>
      </c>
      <c r="C315" s="130" t="n">
        <f aca="false">ExportRaw!$G315</f>
        <v>0</v>
      </c>
      <c r="D315" s="130" t="str">
        <f aca="false">ExportRaw!$E315</f>
        <v/>
      </c>
      <c r="E315" s="131" t="str">
        <f aca="false">ExportRaw!$D315</f>
        <v/>
      </c>
      <c r="F315" s="130" t="str">
        <f aca="false">ExportRaw!$H315</f>
        <v/>
      </c>
      <c r="G315" s="132" t="str">
        <f aca="false">ExportRaw!$I315</f>
        <v/>
      </c>
      <c r="H315" s="130" t="str">
        <f aca="false">ExportRaw!$A315</f>
        <v/>
      </c>
      <c r="I315" s="130" t="str">
        <f aca="false">ExportRaw!$B315</f>
        <v/>
      </c>
    </row>
    <row r="316" customFormat="false" ht="15.75" hidden="false" customHeight="false" outlineLevel="0" collapsed="false">
      <c r="A316" s="130" t="n">
        <f aca="false">ExportRaw!$F316</f>
        <v>0</v>
      </c>
      <c r="B316" s="130" t="n">
        <f aca="false">ExportRaw!$C316</f>
        <v>0</v>
      </c>
      <c r="C316" s="130" t="n">
        <f aca="false">ExportRaw!$G316</f>
        <v>0</v>
      </c>
      <c r="D316" s="130" t="str">
        <f aca="false">ExportRaw!$E316</f>
        <v/>
      </c>
      <c r="E316" s="131" t="str">
        <f aca="false">ExportRaw!$D316</f>
        <v/>
      </c>
      <c r="F316" s="130" t="str">
        <f aca="false">ExportRaw!$H316</f>
        <v/>
      </c>
      <c r="G316" s="132" t="str">
        <f aca="false">ExportRaw!$I316</f>
        <v/>
      </c>
      <c r="H316" s="130" t="str">
        <f aca="false">ExportRaw!$A316</f>
        <v/>
      </c>
      <c r="I316" s="130" t="str">
        <f aca="false">ExportRaw!$B316</f>
        <v/>
      </c>
    </row>
    <row r="317" customFormat="false" ht="15.75" hidden="false" customHeight="false" outlineLevel="0" collapsed="false">
      <c r="A317" s="130" t="n">
        <f aca="false">ExportRaw!$F317</f>
        <v>0</v>
      </c>
      <c r="B317" s="130" t="n">
        <f aca="false">ExportRaw!$C317</f>
        <v>0</v>
      </c>
      <c r="C317" s="130" t="n">
        <f aca="false">ExportRaw!$G317</f>
        <v>0</v>
      </c>
      <c r="D317" s="130" t="str">
        <f aca="false">ExportRaw!$E317</f>
        <v/>
      </c>
      <c r="E317" s="131" t="str">
        <f aca="false">ExportRaw!$D317</f>
        <v/>
      </c>
      <c r="F317" s="130" t="str">
        <f aca="false">ExportRaw!$H317</f>
        <v/>
      </c>
      <c r="G317" s="132" t="str">
        <f aca="false">ExportRaw!$I317</f>
        <v/>
      </c>
      <c r="H317" s="130" t="str">
        <f aca="false">ExportRaw!$A317</f>
        <v/>
      </c>
      <c r="I317" s="130" t="str">
        <f aca="false">ExportRaw!$B317</f>
        <v/>
      </c>
    </row>
    <row r="318" customFormat="false" ht="15.75" hidden="false" customHeight="false" outlineLevel="0" collapsed="false">
      <c r="A318" s="130" t="n">
        <f aca="false">ExportRaw!$F318</f>
        <v>0</v>
      </c>
      <c r="B318" s="130" t="n">
        <f aca="false">ExportRaw!$C318</f>
        <v>0</v>
      </c>
      <c r="C318" s="130" t="n">
        <f aca="false">ExportRaw!$G318</f>
        <v>0</v>
      </c>
      <c r="D318" s="130" t="str">
        <f aca="false">ExportRaw!$E318</f>
        <v/>
      </c>
      <c r="E318" s="131" t="str">
        <f aca="false">ExportRaw!$D318</f>
        <v/>
      </c>
      <c r="F318" s="130" t="str">
        <f aca="false">ExportRaw!$H318</f>
        <v/>
      </c>
      <c r="G318" s="132" t="str">
        <f aca="false">ExportRaw!$I318</f>
        <v/>
      </c>
      <c r="H318" s="130" t="str">
        <f aca="false">ExportRaw!$A318</f>
        <v/>
      </c>
      <c r="I318" s="130" t="str">
        <f aca="false">ExportRaw!$B318</f>
        <v/>
      </c>
    </row>
    <row r="319" customFormat="false" ht="15.75" hidden="false" customHeight="false" outlineLevel="0" collapsed="false">
      <c r="A319" s="130" t="n">
        <f aca="false">ExportRaw!$F319</f>
        <v>0</v>
      </c>
      <c r="B319" s="130" t="n">
        <f aca="false">ExportRaw!$C319</f>
        <v>0</v>
      </c>
      <c r="C319" s="130" t="n">
        <f aca="false">ExportRaw!$G319</f>
        <v>0</v>
      </c>
      <c r="D319" s="130" t="str">
        <f aca="false">ExportRaw!$E319</f>
        <v/>
      </c>
      <c r="E319" s="131" t="str">
        <f aca="false">ExportRaw!$D319</f>
        <v/>
      </c>
      <c r="F319" s="130" t="str">
        <f aca="false">ExportRaw!$H319</f>
        <v/>
      </c>
      <c r="G319" s="132" t="str">
        <f aca="false">ExportRaw!$I319</f>
        <v/>
      </c>
      <c r="H319" s="130" t="str">
        <f aca="false">ExportRaw!$A319</f>
        <v/>
      </c>
      <c r="I319" s="130" t="str">
        <f aca="false">ExportRaw!$B319</f>
        <v/>
      </c>
    </row>
    <row r="320" customFormat="false" ht="15.75" hidden="false" customHeight="false" outlineLevel="0" collapsed="false">
      <c r="A320" s="130" t="n">
        <f aca="false">ExportRaw!$F320</f>
        <v>0</v>
      </c>
      <c r="B320" s="130" t="n">
        <f aca="false">ExportRaw!$C320</f>
        <v>0</v>
      </c>
      <c r="C320" s="130" t="n">
        <f aca="false">ExportRaw!$G320</f>
        <v>0</v>
      </c>
      <c r="D320" s="130" t="str">
        <f aca="false">ExportRaw!$E320</f>
        <v/>
      </c>
      <c r="E320" s="131" t="str">
        <f aca="false">ExportRaw!$D320</f>
        <v/>
      </c>
      <c r="F320" s="130" t="str">
        <f aca="false">ExportRaw!$H320</f>
        <v/>
      </c>
      <c r="G320" s="132" t="str">
        <f aca="false">ExportRaw!$I320</f>
        <v/>
      </c>
      <c r="H320" s="130" t="str">
        <f aca="false">ExportRaw!$A320</f>
        <v/>
      </c>
      <c r="I320" s="130" t="str">
        <f aca="false">ExportRaw!$B320</f>
        <v/>
      </c>
    </row>
    <row r="321" customFormat="false" ht="15.75" hidden="false" customHeight="false" outlineLevel="0" collapsed="false">
      <c r="A321" s="130" t="n">
        <f aca="false">ExportRaw!$F321</f>
        <v>0</v>
      </c>
      <c r="B321" s="130" t="n">
        <f aca="false">ExportRaw!$C321</f>
        <v>0</v>
      </c>
      <c r="C321" s="130" t="n">
        <f aca="false">ExportRaw!$G321</f>
        <v>0</v>
      </c>
      <c r="D321" s="130" t="str">
        <f aca="false">ExportRaw!$E321</f>
        <v/>
      </c>
      <c r="E321" s="131" t="str">
        <f aca="false">ExportRaw!$D321</f>
        <v/>
      </c>
      <c r="F321" s="130" t="str">
        <f aca="false">ExportRaw!$H321</f>
        <v/>
      </c>
      <c r="G321" s="132" t="str">
        <f aca="false">ExportRaw!$I321</f>
        <v/>
      </c>
      <c r="H321" s="130" t="str">
        <f aca="false">ExportRaw!$A321</f>
        <v/>
      </c>
      <c r="I321" s="130" t="str">
        <f aca="false">ExportRaw!$B321</f>
        <v/>
      </c>
    </row>
    <row r="322" customFormat="false" ht="15.75" hidden="false" customHeight="false" outlineLevel="0" collapsed="false">
      <c r="A322" s="130" t="n">
        <f aca="false">ExportRaw!$F322</f>
        <v>0</v>
      </c>
      <c r="B322" s="130" t="n">
        <f aca="false">ExportRaw!$C322</f>
        <v>0</v>
      </c>
      <c r="C322" s="130" t="n">
        <f aca="false">ExportRaw!$G322</f>
        <v>0</v>
      </c>
      <c r="D322" s="130" t="str">
        <f aca="false">ExportRaw!$E322</f>
        <v/>
      </c>
      <c r="E322" s="131" t="str">
        <f aca="false">ExportRaw!$D322</f>
        <v/>
      </c>
      <c r="F322" s="130" t="str">
        <f aca="false">ExportRaw!$H322</f>
        <v/>
      </c>
      <c r="G322" s="132" t="str">
        <f aca="false">ExportRaw!$I322</f>
        <v/>
      </c>
      <c r="H322" s="130" t="str">
        <f aca="false">ExportRaw!$A322</f>
        <v/>
      </c>
      <c r="I322" s="130" t="str">
        <f aca="false">ExportRaw!$B322</f>
        <v/>
      </c>
    </row>
    <row r="323" customFormat="false" ht="15.75" hidden="false" customHeight="false" outlineLevel="0" collapsed="false">
      <c r="A323" s="130" t="n">
        <f aca="false">ExportRaw!$F323</f>
        <v>0</v>
      </c>
      <c r="B323" s="130" t="n">
        <f aca="false">ExportRaw!$C323</f>
        <v>0</v>
      </c>
      <c r="C323" s="130" t="n">
        <f aca="false">ExportRaw!$G323</f>
        <v>0</v>
      </c>
      <c r="D323" s="130" t="str">
        <f aca="false">ExportRaw!$E323</f>
        <v/>
      </c>
      <c r="E323" s="131" t="str">
        <f aca="false">ExportRaw!$D323</f>
        <v/>
      </c>
      <c r="F323" s="130" t="str">
        <f aca="false">ExportRaw!$H323</f>
        <v/>
      </c>
      <c r="G323" s="132" t="str">
        <f aca="false">ExportRaw!$I323</f>
        <v/>
      </c>
      <c r="H323" s="130" t="str">
        <f aca="false">ExportRaw!$A323</f>
        <v/>
      </c>
      <c r="I323" s="130" t="str">
        <f aca="false">ExportRaw!$B323</f>
        <v/>
      </c>
    </row>
    <row r="324" customFormat="false" ht="15.75" hidden="false" customHeight="false" outlineLevel="0" collapsed="false">
      <c r="A324" s="130" t="n">
        <f aca="false">ExportRaw!$F324</f>
        <v>0</v>
      </c>
      <c r="B324" s="130" t="n">
        <f aca="false">ExportRaw!$C324</f>
        <v>0</v>
      </c>
      <c r="C324" s="130" t="n">
        <f aca="false">ExportRaw!$G324</f>
        <v>0</v>
      </c>
      <c r="D324" s="130" t="str">
        <f aca="false">ExportRaw!$E324</f>
        <v/>
      </c>
      <c r="E324" s="131" t="str">
        <f aca="false">ExportRaw!$D324</f>
        <v/>
      </c>
      <c r="F324" s="130" t="str">
        <f aca="false">ExportRaw!$H324</f>
        <v/>
      </c>
      <c r="G324" s="132" t="str">
        <f aca="false">ExportRaw!$I324</f>
        <v/>
      </c>
      <c r="H324" s="130" t="str">
        <f aca="false">ExportRaw!$A324</f>
        <v/>
      </c>
      <c r="I324" s="130" t="str">
        <f aca="false">ExportRaw!$B324</f>
        <v/>
      </c>
    </row>
    <row r="325" customFormat="false" ht="15.75" hidden="false" customHeight="false" outlineLevel="0" collapsed="false">
      <c r="A325" s="130" t="n">
        <f aca="false">ExportRaw!$F325</f>
        <v>0</v>
      </c>
      <c r="B325" s="130" t="n">
        <f aca="false">ExportRaw!$C325</f>
        <v>0</v>
      </c>
      <c r="C325" s="130" t="n">
        <f aca="false">ExportRaw!$G325</f>
        <v>0</v>
      </c>
      <c r="D325" s="130" t="str">
        <f aca="false">ExportRaw!$E325</f>
        <v/>
      </c>
      <c r="E325" s="131" t="str">
        <f aca="false">ExportRaw!$D325</f>
        <v/>
      </c>
      <c r="F325" s="130" t="str">
        <f aca="false">ExportRaw!$H325</f>
        <v/>
      </c>
      <c r="G325" s="132" t="str">
        <f aca="false">ExportRaw!$I325</f>
        <v/>
      </c>
      <c r="H325" s="130" t="str">
        <f aca="false">ExportRaw!$A325</f>
        <v/>
      </c>
      <c r="I325" s="130" t="str">
        <f aca="false">ExportRaw!$B325</f>
        <v/>
      </c>
    </row>
    <row r="326" customFormat="false" ht="15.75" hidden="false" customHeight="false" outlineLevel="0" collapsed="false">
      <c r="A326" s="130" t="n">
        <f aca="false">ExportRaw!$F326</f>
        <v>0</v>
      </c>
      <c r="B326" s="130" t="n">
        <f aca="false">ExportRaw!$C326</f>
        <v>0</v>
      </c>
      <c r="C326" s="130" t="n">
        <f aca="false">ExportRaw!$G326</f>
        <v>0</v>
      </c>
      <c r="D326" s="130" t="str">
        <f aca="false">ExportRaw!$E326</f>
        <v/>
      </c>
      <c r="E326" s="131" t="str">
        <f aca="false">ExportRaw!$D326</f>
        <v/>
      </c>
      <c r="F326" s="130" t="str">
        <f aca="false">ExportRaw!$H326</f>
        <v/>
      </c>
      <c r="G326" s="132" t="str">
        <f aca="false">ExportRaw!$I326</f>
        <v/>
      </c>
      <c r="H326" s="130" t="str">
        <f aca="false">ExportRaw!$A326</f>
        <v/>
      </c>
      <c r="I326" s="130" t="str">
        <f aca="false">ExportRaw!$B326</f>
        <v/>
      </c>
    </row>
    <row r="327" customFormat="false" ht="15.75" hidden="false" customHeight="false" outlineLevel="0" collapsed="false">
      <c r="A327" s="130" t="n">
        <f aca="false">ExportRaw!$F327</f>
        <v>0</v>
      </c>
      <c r="B327" s="130" t="n">
        <f aca="false">ExportRaw!$C327</f>
        <v>0</v>
      </c>
      <c r="C327" s="130" t="n">
        <f aca="false">ExportRaw!$G327</f>
        <v>0</v>
      </c>
      <c r="D327" s="130" t="str">
        <f aca="false">ExportRaw!$E327</f>
        <v/>
      </c>
      <c r="E327" s="131" t="str">
        <f aca="false">ExportRaw!$D327</f>
        <v/>
      </c>
      <c r="F327" s="130" t="str">
        <f aca="false">ExportRaw!$H327</f>
        <v/>
      </c>
      <c r="G327" s="132" t="str">
        <f aca="false">ExportRaw!$I327</f>
        <v/>
      </c>
      <c r="H327" s="130" t="str">
        <f aca="false">ExportRaw!$A327</f>
        <v/>
      </c>
      <c r="I327" s="130" t="str">
        <f aca="false">ExportRaw!$B327</f>
        <v/>
      </c>
    </row>
    <row r="328" customFormat="false" ht="15.75" hidden="false" customHeight="false" outlineLevel="0" collapsed="false">
      <c r="A328" s="130" t="n">
        <f aca="false">ExportRaw!$F328</f>
        <v>0</v>
      </c>
      <c r="B328" s="130" t="n">
        <f aca="false">ExportRaw!$C328</f>
        <v>0</v>
      </c>
      <c r="C328" s="130" t="n">
        <f aca="false">ExportRaw!$G328</f>
        <v>0</v>
      </c>
      <c r="D328" s="130" t="str">
        <f aca="false">ExportRaw!$E328</f>
        <v/>
      </c>
      <c r="E328" s="131" t="str">
        <f aca="false">ExportRaw!$D328</f>
        <v/>
      </c>
      <c r="F328" s="130" t="str">
        <f aca="false">ExportRaw!$H328</f>
        <v/>
      </c>
      <c r="G328" s="132" t="str">
        <f aca="false">ExportRaw!$I328</f>
        <v/>
      </c>
      <c r="H328" s="130" t="str">
        <f aca="false">ExportRaw!$A328</f>
        <v/>
      </c>
      <c r="I328" s="130" t="str">
        <f aca="false">ExportRaw!$B328</f>
        <v/>
      </c>
    </row>
    <row r="329" customFormat="false" ht="15.75" hidden="false" customHeight="false" outlineLevel="0" collapsed="false">
      <c r="A329" s="130" t="n">
        <f aca="false">ExportRaw!$F329</f>
        <v>0</v>
      </c>
      <c r="B329" s="130" t="n">
        <f aca="false">ExportRaw!$C329</f>
        <v>0</v>
      </c>
      <c r="C329" s="130" t="n">
        <f aca="false">ExportRaw!$G329</f>
        <v>0</v>
      </c>
      <c r="D329" s="130" t="str">
        <f aca="false">ExportRaw!$E329</f>
        <v/>
      </c>
      <c r="E329" s="131" t="str">
        <f aca="false">ExportRaw!$D329</f>
        <v/>
      </c>
      <c r="F329" s="130" t="str">
        <f aca="false">ExportRaw!$H329</f>
        <v/>
      </c>
      <c r="G329" s="132" t="str">
        <f aca="false">ExportRaw!$I329</f>
        <v/>
      </c>
      <c r="H329" s="130" t="str">
        <f aca="false">ExportRaw!$A329</f>
        <v/>
      </c>
      <c r="I329" s="130" t="str">
        <f aca="false">ExportRaw!$B329</f>
        <v/>
      </c>
    </row>
    <row r="330" customFormat="false" ht="15.75" hidden="false" customHeight="false" outlineLevel="0" collapsed="false">
      <c r="A330" s="130" t="n">
        <f aca="false">ExportRaw!$F330</f>
        <v>0</v>
      </c>
      <c r="B330" s="130" t="n">
        <f aca="false">ExportRaw!$C330</f>
        <v>0</v>
      </c>
      <c r="C330" s="130" t="n">
        <f aca="false">ExportRaw!$G330</f>
        <v>0</v>
      </c>
      <c r="D330" s="130" t="str">
        <f aca="false">ExportRaw!$E330</f>
        <v/>
      </c>
      <c r="E330" s="131" t="str">
        <f aca="false">ExportRaw!$D330</f>
        <v/>
      </c>
      <c r="F330" s="130" t="str">
        <f aca="false">ExportRaw!$H330</f>
        <v/>
      </c>
      <c r="G330" s="132" t="str">
        <f aca="false">ExportRaw!$I330</f>
        <v/>
      </c>
      <c r="H330" s="130" t="str">
        <f aca="false">ExportRaw!$A330</f>
        <v/>
      </c>
      <c r="I330" s="130" t="str">
        <f aca="false">ExportRaw!$B330</f>
        <v/>
      </c>
    </row>
    <row r="331" customFormat="false" ht="15.75" hidden="false" customHeight="false" outlineLevel="0" collapsed="false">
      <c r="A331" s="130" t="n">
        <f aca="false">ExportRaw!$F331</f>
        <v>0</v>
      </c>
      <c r="B331" s="130" t="n">
        <f aca="false">ExportRaw!$C331</f>
        <v>0</v>
      </c>
      <c r="C331" s="130" t="n">
        <f aca="false">ExportRaw!$G331</f>
        <v>0</v>
      </c>
      <c r="D331" s="130" t="str">
        <f aca="false">ExportRaw!$E331</f>
        <v/>
      </c>
      <c r="E331" s="131" t="str">
        <f aca="false">ExportRaw!$D331</f>
        <v/>
      </c>
      <c r="F331" s="130" t="str">
        <f aca="false">ExportRaw!$H331</f>
        <v/>
      </c>
      <c r="G331" s="132" t="str">
        <f aca="false">ExportRaw!$I331</f>
        <v/>
      </c>
      <c r="H331" s="130" t="str">
        <f aca="false">ExportRaw!$A331</f>
        <v/>
      </c>
      <c r="I331" s="130" t="str">
        <f aca="false">ExportRaw!$B331</f>
        <v/>
      </c>
    </row>
    <row r="332" customFormat="false" ht="15.75" hidden="false" customHeight="false" outlineLevel="0" collapsed="false">
      <c r="A332" s="130" t="n">
        <f aca="false">ExportRaw!$F332</f>
        <v>0</v>
      </c>
      <c r="B332" s="130" t="n">
        <f aca="false">ExportRaw!$C332</f>
        <v>0</v>
      </c>
      <c r="C332" s="130" t="n">
        <f aca="false">ExportRaw!$G332</f>
        <v>0</v>
      </c>
      <c r="D332" s="130" t="str">
        <f aca="false">ExportRaw!$E332</f>
        <v/>
      </c>
      <c r="E332" s="131" t="str">
        <f aca="false">ExportRaw!$D332</f>
        <v/>
      </c>
      <c r="F332" s="130" t="str">
        <f aca="false">ExportRaw!$H332</f>
        <v/>
      </c>
      <c r="G332" s="132" t="str">
        <f aca="false">ExportRaw!$I332</f>
        <v/>
      </c>
      <c r="H332" s="130" t="str">
        <f aca="false">ExportRaw!$A332</f>
        <v/>
      </c>
      <c r="I332" s="130" t="str">
        <f aca="false">ExportRaw!$B332</f>
        <v/>
      </c>
    </row>
    <row r="333" customFormat="false" ht="15.75" hidden="false" customHeight="false" outlineLevel="0" collapsed="false">
      <c r="A333" s="130" t="n">
        <f aca="false">ExportRaw!$F333</f>
        <v>0</v>
      </c>
      <c r="B333" s="130" t="n">
        <f aca="false">ExportRaw!$C333</f>
        <v>0</v>
      </c>
      <c r="C333" s="130" t="n">
        <f aca="false">ExportRaw!$G333</f>
        <v>0</v>
      </c>
      <c r="D333" s="130" t="str">
        <f aca="false">ExportRaw!$E333</f>
        <v/>
      </c>
      <c r="E333" s="131" t="str">
        <f aca="false">ExportRaw!$D333</f>
        <v/>
      </c>
      <c r="F333" s="130" t="str">
        <f aca="false">ExportRaw!$H333</f>
        <v/>
      </c>
      <c r="G333" s="132" t="str">
        <f aca="false">ExportRaw!$I333</f>
        <v/>
      </c>
      <c r="H333" s="130" t="str">
        <f aca="false">ExportRaw!$A333</f>
        <v/>
      </c>
      <c r="I333" s="130" t="str">
        <f aca="false">ExportRaw!$B333</f>
        <v/>
      </c>
    </row>
    <row r="334" customFormat="false" ht="15.75" hidden="false" customHeight="false" outlineLevel="0" collapsed="false">
      <c r="A334" s="130" t="n">
        <f aca="false">ExportRaw!$F334</f>
        <v>0</v>
      </c>
      <c r="B334" s="130" t="n">
        <f aca="false">ExportRaw!$C334</f>
        <v>0</v>
      </c>
      <c r="C334" s="130" t="n">
        <f aca="false">ExportRaw!$G334</f>
        <v>0</v>
      </c>
      <c r="D334" s="130" t="str">
        <f aca="false">ExportRaw!$E334</f>
        <v/>
      </c>
      <c r="E334" s="131" t="str">
        <f aca="false">ExportRaw!$D334</f>
        <v/>
      </c>
      <c r="F334" s="130" t="str">
        <f aca="false">ExportRaw!$H334</f>
        <v/>
      </c>
      <c r="G334" s="132" t="str">
        <f aca="false">ExportRaw!$I334</f>
        <v/>
      </c>
      <c r="H334" s="130" t="str">
        <f aca="false">ExportRaw!$A334</f>
        <v/>
      </c>
      <c r="I334" s="130" t="str">
        <f aca="false">ExportRaw!$B334</f>
        <v/>
      </c>
    </row>
    <row r="335" customFormat="false" ht="15.75" hidden="false" customHeight="false" outlineLevel="0" collapsed="false">
      <c r="A335" s="130" t="n">
        <f aca="false">ExportRaw!$F335</f>
        <v>0</v>
      </c>
      <c r="B335" s="130" t="n">
        <f aca="false">ExportRaw!$C335</f>
        <v>0</v>
      </c>
      <c r="C335" s="130" t="n">
        <f aca="false">ExportRaw!$G335</f>
        <v>0</v>
      </c>
      <c r="D335" s="130" t="str">
        <f aca="false">ExportRaw!$E335</f>
        <v/>
      </c>
      <c r="E335" s="131" t="str">
        <f aca="false">ExportRaw!$D335</f>
        <v/>
      </c>
      <c r="F335" s="130" t="str">
        <f aca="false">ExportRaw!$H335</f>
        <v/>
      </c>
      <c r="G335" s="132" t="str">
        <f aca="false">ExportRaw!$I335</f>
        <v/>
      </c>
      <c r="H335" s="130" t="str">
        <f aca="false">ExportRaw!$A335</f>
        <v/>
      </c>
      <c r="I335" s="130" t="str">
        <f aca="false">ExportRaw!$B335</f>
        <v/>
      </c>
    </row>
    <row r="336" customFormat="false" ht="15.75" hidden="false" customHeight="false" outlineLevel="0" collapsed="false">
      <c r="A336" s="130" t="n">
        <f aca="false">ExportRaw!$F336</f>
        <v>0</v>
      </c>
      <c r="B336" s="130" t="n">
        <f aca="false">ExportRaw!$C336</f>
        <v>0</v>
      </c>
      <c r="C336" s="130" t="n">
        <f aca="false">ExportRaw!$G336</f>
        <v>0</v>
      </c>
      <c r="D336" s="130" t="str">
        <f aca="false">ExportRaw!$E336</f>
        <v/>
      </c>
      <c r="E336" s="131" t="str">
        <f aca="false">ExportRaw!$D336</f>
        <v/>
      </c>
      <c r="F336" s="130" t="str">
        <f aca="false">ExportRaw!$H336</f>
        <v/>
      </c>
      <c r="G336" s="132" t="str">
        <f aca="false">ExportRaw!$I336</f>
        <v/>
      </c>
      <c r="H336" s="130" t="str">
        <f aca="false">ExportRaw!$A336</f>
        <v/>
      </c>
      <c r="I336" s="130" t="str">
        <f aca="false">ExportRaw!$B336</f>
        <v/>
      </c>
    </row>
    <row r="337" customFormat="false" ht="15.75" hidden="false" customHeight="false" outlineLevel="0" collapsed="false">
      <c r="A337" s="130" t="n">
        <f aca="false">ExportRaw!$F337</f>
        <v>0</v>
      </c>
      <c r="B337" s="130" t="n">
        <f aca="false">ExportRaw!$C337</f>
        <v>0</v>
      </c>
      <c r="C337" s="130" t="n">
        <f aca="false">ExportRaw!$G337</f>
        <v>0</v>
      </c>
      <c r="D337" s="130" t="str">
        <f aca="false">ExportRaw!$E337</f>
        <v/>
      </c>
      <c r="E337" s="131" t="str">
        <f aca="false">ExportRaw!$D337</f>
        <v/>
      </c>
      <c r="F337" s="130" t="str">
        <f aca="false">ExportRaw!$H337</f>
        <v/>
      </c>
      <c r="G337" s="132" t="str">
        <f aca="false">ExportRaw!$I337</f>
        <v/>
      </c>
      <c r="H337" s="130" t="str">
        <f aca="false">ExportRaw!$A337</f>
        <v/>
      </c>
      <c r="I337" s="130" t="str">
        <f aca="false">ExportRaw!$B337</f>
        <v/>
      </c>
    </row>
    <row r="338" customFormat="false" ht="15.75" hidden="false" customHeight="false" outlineLevel="0" collapsed="false">
      <c r="A338" s="130" t="n">
        <f aca="false">ExportRaw!$F338</f>
        <v>0</v>
      </c>
      <c r="B338" s="130" t="n">
        <f aca="false">ExportRaw!$C338</f>
        <v>0</v>
      </c>
      <c r="C338" s="130" t="n">
        <f aca="false">ExportRaw!$G338</f>
        <v>0</v>
      </c>
      <c r="D338" s="130" t="str">
        <f aca="false">ExportRaw!$E338</f>
        <v/>
      </c>
      <c r="E338" s="131" t="str">
        <f aca="false">ExportRaw!$D338</f>
        <v/>
      </c>
      <c r="F338" s="130" t="str">
        <f aca="false">ExportRaw!$H338</f>
        <v/>
      </c>
      <c r="G338" s="132" t="str">
        <f aca="false">ExportRaw!$I338</f>
        <v/>
      </c>
      <c r="H338" s="130" t="str">
        <f aca="false">ExportRaw!$A338</f>
        <v/>
      </c>
      <c r="I338" s="130" t="str">
        <f aca="false">ExportRaw!$B338</f>
        <v/>
      </c>
    </row>
    <row r="339" customFormat="false" ht="15.75" hidden="false" customHeight="false" outlineLevel="0" collapsed="false">
      <c r="A339" s="130" t="n">
        <f aca="false">ExportRaw!$F339</f>
        <v>0</v>
      </c>
      <c r="B339" s="130" t="n">
        <f aca="false">ExportRaw!$C339</f>
        <v>0</v>
      </c>
      <c r="C339" s="130" t="n">
        <f aca="false">ExportRaw!$G339</f>
        <v>0</v>
      </c>
      <c r="D339" s="130" t="str">
        <f aca="false">ExportRaw!$E339</f>
        <v/>
      </c>
      <c r="E339" s="131" t="str">
        <f aca="false">ExportRaw!$D339</f>
        <v/>
      </c>
      <c r="F339" s="130" t="str">
        <f aca="false">ExportRaw!$H339</f>
        <v/>
      </c>
      <c r="G339" s="132" t="str">
        <f aca="false">ExportRaw!$I339</f>
        <v/>
      </c>
      <c r="H339" s="130" t="str">
        <f aca="false">ExportRaw!$A339</f>
        <v/>
      </c>
      <c r="I339" s="130" t="str">
        <f aca="false">ExportRaw!$B339</f>
        <v/>
      </c>
    </row>
    <row r="340" customFormat="false" ht="15.75" hidden="false" customHeight="false" outlineLevel="0" collapsed="false">
      <c r="A340" s="130" t="n">
        <f aca="false">ExportRaw!$F340</f>
        <v>0</v>
      </c>
      <c r="B340" s="130" t="n">
        <f aca="false">ExportRaw!$C340</f>
        <v>0</v>
      </c>
      <c r="C340" s="130" t="n">
        <f aca="false">ExportRaw!$G340</f>
        <v>0</v>
      </c>
      <c r="D340" s="130" t="str">
        <f aca="false">ExportRaw!$E340</f>
        <v/>
      </c>
      <c r="E340" s="131" t="str">
        <f aca="false">ExportRaw!$D340</f>
        <v/>
      </c>
      <c r="F340" s="130" t="str">
        <f aca="false">ExportRaw!$H340</f>
        <v/>
      </c>
      <c r="G340" s="132" t="str">
        <f aca="false">ExportRaw!$I340</f>
        <v/>
      </c>
      <c r="H340" s="130" t="str">
        <f aca="false">ExportRaw!$A340</f>
        <v/>
      </c>
      <c r="I340" s="130" t="str">
        <f aca="false">ExportRaw!$B340</f>
        <v/>
      </c>
    </row>
    <row r="341" customFormat="false" ht="15.75" hidden="false" customHeight="false" outlineLevel="0" collapsed="false">
      <c r="A341" s="130" t="n">
        <f aca="false">ExportRaw!$F341</f>
        <v>0</v>
      </c>
      <c r="B341" s="130" t="n">
        <f aca="false">ExportRaw!$C341</f>
        <v>0</v>
      </c>
      <c r="C341" s="130" t="n">
        <f aca="false">ExportRaw!$G341</f>
        <v>0</v>
      </c>
      <c r="D341" s="130" t="str">
        <f aca="false">ExportRaw!$E341</f>
        <v/>
      </c>
      <c r="E341" s="131" t="str">
        <f aca="false">ExportRaw!$D341</f>
        <v/>
      </c>
      <c r="F341" s="130" t="str">
        <f aca="false">ExportRaw!$H341</f>
        <v/>
      </c>
      <c r="G341" s="132" t="str">
        <f aca="false">ExportRaw!$I341</f>
        <v/>
      </c>
      <c r="H341" s="130" t="str">
        <f aca="false">ExportRaw!$A341</f>
        <v/>
      </c>
      <c r="I341" s="130" t="str">
        <f aca="false">ExportRaw!$B341</f>
        <v/>
      </c>
    </row>
    <row r="342" customFormat="false" ht="15.75" hidden="false" customHeight="false" outlineLevel="0" collapsed="false">
      <c r="A342" s="130" t="n">
        <f aca="false">ExportRaw!$F342</f>
        <v>0</v>
      </c>
      <c r="B342" s="130" t="n">
        <f aca="false">ExportRaw!$C342</f>
        <v>0</v>
      </c>
      <c r="C342" s="130" t="n">
        <f aca="false">ExportRaw!$G342</f>
        <v>0</v>
      </c>
      <c r="D342" s="130" t="str">
        <f aca="false">ExportRaw!$E342</f>
        <v/>
      </c>
      <c r="E342" s="131" t="str">
        <f aca="false">ExportRaw!$D342</f>
        <v/>
      </c>
      <c r="F342" s="130" t="str">
        <f aca="false">ExportRaw!$H342</f>
        <v/>
      </c>
      <c r="G342" s="132" t="str">
        <f aca="false">ExportRaw!$I342</f>
        <v/>
      </c>
      <c r="H342" s="130" t="str">
        <f aca="false">ExportRaw!$A342</f>
        <v/>
      </c>
      <c r="I342" s="130" t="str">
        <f aca="false">ExportRaw!$B342</f>
        <v/>
      </c>
    </row>
    <row r="343" customFormat="false" ht="15.75" hidden="false" customHeight="false" outlineLevel="0" collapsed="false">
      <c r="A343" s="130" t="n">
        <f aca="false">ExportRaw!$F343</f>
        <v>0</v>
      </c>
      <c r="B343" s="130" t="n">
        <f aca="false">ExportRaw!$C343</f>
        <v>0</v>
      </c>
      <c r="C343" s="130" t="n">
        <f aca="false">ExportRaw!$G343</f>
        <v>0</v>
      </c>
      <c r="D343" s="130" t="str">
        <f aca="false">ExportRaw!$E343</f>
        <v/>
      </c>
      <c r="E343" s="131" t="str">
        <f aca="false">ExportRaw!$D343</f>
        <v/>
      </c>
      <c r="F343" s="130" t="str">
        <f aca="false">ExportRaw!$H343</f>
        <v/>
      </c>
      <c r="G343" s="132" t="str">
        <f aca="false">ExportRaw!$I343</f>
        <v/>
      </c>
      <c r="H343" s="130" t="str">
        <f aca="false">ExportRaw!$A343</f>
        <v/>
      </c>
      <c r="I343" s="130" t="str">
        <f aca="false">ExportRaw!$B343</f>
        <v/>
      </c>
    </row>
    <row r="344" customFormat="false" ht="15.75" hidden="false" customHeight="false" outlineLevel="0" collapsed="false">
      <c r="A344" s="130" t="n">
        <f aca="false">ExportRaw!$F344</f>
        <v>0</v>
      </c>
      <c r="B344" s="130" t="n">
        <f aca="false">ExportRaw!$C344</f>
        <v>0</v>
      </c>
      <c r="C344" s="130" t="n">
        <f aca="false">ExportRaw!$G344</f>
        <v>0</v>
      </c>
      <c r="D344" s="130" t="str">
        <f aca="false">ExportRaw!$E344</f>
        <v/>
      </c>
      <c r="E344" s="131" t="str">
        <f aca="false">ExportRaw!$D344</f>
        <v/>
      </c>
      <c r="F344" s="130" t="str">
        <f aca="false">ExportRaw!$H344</f>
        <v/>
      </c>
      <c r="G344" s="132" t="str">
        <f aca="false">ExportRaw!$I344</f>
        <v/>
      </c>
      <c r="H344" s="130" t="str">
        <f aca="false">ExportRaw!$A344</f>
        <v/>
      </c>
      <c r="I344" s="130" t="str">
        <f aca="false">ExportRaw!$B344</f>
        <v/>
      </c>
    </row>
    <row r="345" customFormat="false" ht="15.75" hidden="false" customHeight="false" outlineLevel="0" collapsed="false">
      <c r="A345" s="130" t="n">
        <f aca="false">ExportRaw!$F345</f>
        <v>0</v>
      </c>
      <c r="B345" s="130" t="n">
        <f aca="false">ExportRaw!$C345</f>
        <v>0</v>
      </c>
      <c r="C345" s="130" t="n">
        <f aca="false">ExportRaw!$G345</f>
        <v>0</v>
      </c>
      <c r="D345" s="130" t="str">
        <f aca="false">ExportRaw!$E345</f>
        <v/>
      </c>
      <c r="E345" s="131" t="str">
        <f aca="false">ExportRaw!$D345</f>
        <v/>
      </c>
      <c r="F345" s="130" t="str">
        <f aca="false">ExportRaw!$H345</f>
        <v/>
      </c>
      <c r="G345" s="132" t="str">
        <f aca="false">ExportRaw!$I345</f>
        <v/>
      </c>
      <c r="H345" s="130" t="str">
        <f aca="false">ExportRaw!$A345</f>
        <v/>
      </c>
      <c r="I345" s="130" t="str">
        <f aca="false">ExportRaw!$B345</f>
        <v/>
      </c>
    </row>
    <row r="346" customFormat="false" ht="15.75" hidden="false" customHeight="false" outlineLevel="0" collapsed="false">
      <c r="A346" s="130" t="n">
        <f aca="false">ExportRaw!$F346</f>
        <v>0</v>
      </c>
      <c r="B346" s="130" t="n">
        <f aca="false">ExportRaw!$C346</f>
        <v>0</v>
      </c>
      <c r="C346" s="130" t="n">
        <f aca="false">ExportRaw!$G346</f>
        <v>0</v>
      </c>
      <c r="D346" s="130" t="str">
        <f aca="false">ExportRaw!$E346</f>
        <v/>
      </c>
      <c r="E346" s="131" t="str">
        <f aca="false">ExportRaw!$D346</f>
        <v/>
      </c>
      <c r="F346" s="130" t="str">
        <f aca="false">ExportRaw!$H346</f>
        <v/>
      </c>
      <c r="G346" s="132" t="str">
        <f aca="false">ExportRaw!$I346</f>
        <v/>
      </c>
      <c r="H346" s="130" t="str">
        <f aca="false">ExportRaw!$A346</f>
        <v/>
      </c>
      <c r="I346" s="130" t="str">
        <f aca="false">ExportRaw!$B346</f>
        <v/>
      </c>
    </row>
    <row r="347" customFormat="false" ht="15.75" hidden="false" customHeight="false" outlineLevel="0" collapsed="false">
      <c r="A347" s="130" t="n">
        <f aca="false">ExportRaw!$F347</f>
        <v>0</v>
      </c>
      <c r="B347" s="130" t="n">
        <f aca="false">ExportRaw!$C347</f>
        <v>0</v>
      </c>
      <c r="C347" s="130" t="n">
        <f aca="false">ExportRaw!$G347</f>
        <v>0</v>
      </c>
      <c r="D347" s="130" t="str">
        <f aca="false">ExportRaw!$E347</f>
        <v/>
      </c>
      <c r="E347" s="131" t="str">
        <f aca="false">ExportRaw!$D347</f>
        <v/>
      </c>
      <c r="F347" s="130" t="str">
        <f aca="false">ExportRaw!$H347</f>
        <v/>
      </c>
      <c r="G347" s="132" t="str">
        <f aca="false">ExportRaw!$I347</f>
        <v/>
      </c>
      <c r="H347" s="130" t="str">
        <f aca="false">ExportRaw!$A347</f>
        <v/>
      </c>
      <c r="I347" s="130" t="str">
        <f aca="false">ExportRaw!$B347</f>
        <v/>
      </c>
    </row>
    <row r="348" customFormat="false" ht="15.75" hidden="false" customHeight="false" outlineLevel="0" collapsed="false">
      <c r="A348" s="130" t="n">
        <f aca="false">ExportRaw!$F348</f>
        <v>0</v>
      </c>
      <c r="B348" s="130" t="n">
        <f aca="false">ExportRaw!$C348</f>
        <v>0</v>
      </c>
      <c r="C348" s="130" t="n">
        <f aca="false">ExportRaw!$G348</f>
        <v>0</v>
      </c>
      <c r="D348" s="130" t="str">
        <f aca="false">ExportRaw!$E348</f>
        <v/>
      </c>
      <c r="E348" s="131" t="str">
        <f aca="false">ExportRaw!$D348</f>
        <v/>
      </c>
      <c r="F348" s="130" t="str">
        <f aca="false">ExportRaw!$H348</f>
        <v/>
      </c>
      <c r="G348" s="132" t="str">
        <f aca="false">ExportRaw!$I348</f>
        <v/>
      </c>
      <c r="H348" s="130" t="str">
        <f aca="false">ExportRaw!$A348</f>
        <v/>
      </c>
      <c r="I348" s="130" t="str">
        <f aca="false">ExportRaw!$B348</f>
        <v/>
      </c>
    </row>
    <row r="349" customFormat="false" ht="15.75" hidden="false" customHeight="false" outlineLevel="0" collapsed="false">
      <c r="A349" s="130" t="n">
        <f aca="false">ExportRaw!$F349</f>
        <v>0</v>
      </c>
      <c r="B349" s="130" t="n">
        <f aca="false">ExportRaw!$C349</f>
        <v>0</v>
      </c>
      <c r="C349" s="130" t="n">
        <f aca="false">ExportRaw!$G349</f>
        <v>0</v>
      </c>
      <c r="D349" s="130" t="str">
        <f aca="false">ExportRaw!$E349</f>
        <v/>
      </c>
      <c r="E349" s="131" t="str">
        <f aca="false">ExportRaw!$D349</f>
        <v/>
      </c>
      <c r="F349" s="130" t="str">
        <f aca="false">ExportRaw!$H349</f>
        <v/>
      </c>
      <c r="G349" s="132" t="str">
        <f aca="false">ExportRaw!$I349</f>
        <v/>
      </c>
      <c r="H349" s="130" t="str">
        <f aca="false">ExportRaw!$A349</f>
        <v/>
      </c>
      <c r="I349" s="130" t="str">
        <f aca="false">ExportRaw!$B349</f>
        <v/>
      </c>
    </row>
    <row r="350" customFormat="false" ht="15.75" hidden="false" customHeight="false" outlineLevel="0" collapsed="false">
      <c r="A350" s="130" t="n">
        <f aca="false">ExportRaw!$F350</f>
        <v>0</v>
      </c>
      <c r="B350" s="130" t="n">
        <f aca="false">ExportRaw!$C350</f>
        <v>0</v>
      </c>
      <c r="C350" s="130" t="n">
        <f aca="false">ExportRaw!$G350</f>
        <v>0</v>
      </c>
      <c r="D350" s="130" t="str">
        <f aca="false">ExportRaw!$E350</f>
        <v/>
      </c>
      <c r="E350" s="131" t="str">
        <f aca="false">ExportRaw!$D350</f>
        <v/>
      </c>
      <c r="F350" s="130" t="str">
        <f aca="false">ExportRaw!$H350</f>
        <v/>
      </c>
      <c r="G350" s="132" t="str">
        <f aca="false">ExportRaw!$I350</f>
        <v/>
      </c>
      <c r="H350" s="130" t="str">
        <f aca="false">ExportRaw!$A350</f>
        <v/>
      </c>
      <c r="I350" s="130" t="str">
        <f aca="false">ExportRaw!$B350</f>
        <v/>
      </c>
    </row>
    <row r="351" customFormat="false" ht="15.75" hidden="false" customHeight="false" outlineLevel="0" collapsed="false">
      <c r="A351" s="130" t="n">
        <f aca="false">ExportRaw!$F351</f>
        <v>0</v>
      </c>
      <c r="B351" s="130" t="n">
        <f aca="false">ExportRaw!$C351</f>
        <v>0</v>
      </c>
      <c r="C351" s="130" t="n">
        <f aca="false">ExportRaw!$G351</f>
        <v>0</v>
      </c>
      <c r="D351" s="130" t="str">
        <f aca="false">ExportRaw!$E351</f>
        <v/>
      </c>
      <c r="E351" s="131" t="str">
        <f aca="false">ExportRaw!$D351</f>
        <v/>
      </c>
      <c r="F351" s="130" t="str">
        <f aca="false">ExportRaw!$H351</f>
        <v/>
      </c>
      <c r="G351" s="132" t="str">
        <f aca="false">ExportRaw!$I351</f>
        <v/>
      </c>
      <c r="H351" s="130" t="str">
        <f aca="false">ExportRaw!$A351</f>
        <v/>
      </c>
      <c r="I351" s="130" t="str">
        <f aca="false">ExportRaw!$B351</f>
        <v/>
      </c>
    </row>
    <row r="352" customFormat="false" ht="15.75" hidden="false" customHeight="false" outlineLevel="0" collapsed="false">
      <c r="A352" s="130" t="n">
        <f aca="false">ExportRaw!$F352</f>
        <v>0</v>
      </c>
      <c r="B352" s="130" t="n">
        <f aca="false">ExportRaw!$C352</f>
        <v>0</v>
      </c>
      <c r="C352" s="130" t="n">
        <f aca="false">ExportRaw!$G352</f>
        <v>0</v>
      </c>
      <c r="D352" s="130" t="str">
        <f aca="false">ExportRaw!$E352</f>
        <v/>
      </c>
      <c r="E352" s="131" t="str">
        <f aca="false">ExportRaw!$D352</f>
        <v/>
      </c>
      <c r="F352" s="130" t="str">
        <f aca="false">ExportRaw!$H352</f>
        <v/>
      </c>
      <c r="G352" s="132" t="str">
        <f aca="false">ExportRaw!$I352</f>
        <v/>
      </c>
      <c r="H352" s="130" t="str">
        <f aca="false">ExportRaw!$A352</f>
        <v/>
      </c>
      <c r="I352" s="130" t="str">
        <f aca="false">ExportRaw!$B352</f>
        <v/>
      </c>
    </row>
    <row r="353" customFormat="false" ht="15.75" hidden="false" customHeight="false" outlineLevel="0" collapsed="false">
      <c r="A353" s="130" t="n">
        <f aca="false">ExportRaw!$F353</f>
        <v>0</v>
      </c>
      <c r="B353" s="130" t="n">
        <f aca="false">ExportRaw!$C353</f>
        <v>0</v>
      </c>
      <c r="C353" s="130" t="n">
        <f aca="false">ExportRaw!$G353</f>
        <v>0</v>
      </c>
      <c r="D353" s="130" t="str">
        <f aca="false">ExportRaw!$E353</f>
        <v/>
      </c>
      <c r="E353" s="131" t="str">
        <f aca="false">ExportRaw!$D353</f>
        <v/>
      </c>
      <c r="F353" s="130" t="str">
        <f aca="false">ExportRaw!$H353</f>
        <v/>
      </c>
      <c r="G353" s="132" t="str">
        <f aca="false">ExportRaw!$I353</f>
        <v/>
      </c>
      <c r="H353" s="130" t="str">
        <f aca="false">ExportRaw!$A353</f>
        <v/>
      </c>
      <c r="I353" s="130" t="str">
        <f aca="false">ExportRaw!$B353</f>
        <v/>
      </c>
    </row>
    <row r="354" customFormat="false" ht="15.75" hidden="false" customHeight="false" outlineLevel="0" collapsed="false">
      <c r="A354" s="130" t="n">
        <f aca="false">ExportRaw!$F354</f>
        <v>0</v>
      </c>
      <c r="B354" s="130" t="n">
        <f aca="false">ExportRaw!$C354</f>
        <v>0</v>
      </c>
      <c r="C354" s="130" t="n">
        <f aca="false">ExportRaw!$G354</f>
        <v>0</v>
      </c>
      <c r="D354" s="130" t="str">
        <f aca="false">ExportRaw!$E354</f>
        <v/>
      </c>
      <c r="E354" s="131" t="str">
        <f aca="false">ExportRaw!$D354</f>
        <v/>
      </c>
      <c r="F354" s="130" t="str">
        <f aca="false">ExportRaw!$H354</f>
        <v/>
      </c>
      <c r="G354" s="132" t="str">
        <f aca="false">ExportRaw!$I354</f>
        <v/>
      </c>
      <c r="H354" s="130" t="str">
        <f aca="false">ExportRaw!$A354</f>
        <v/>
      </c>
      <c r="I354" s="130" t="str">
        <f aca="false">ExportRaw!$B354</f>
        <v/>
      </c>
    </row>
    <row r="355" customFormat="false" ht="15.75" hidden="false" customHeight="false" outlineLevel="0" collapsed="false">
      <c r="A355" s="130" t="n">
        <f aca="false">ExportRaw!$F355</f>
        <v>0</v>
      </c>
      <c r="B355" s="130" t="n">
        <f aca="false">ExportRaw!$C355</f>
        <v>0</v>
      </c>
      <c r="C355" s="130" t="n">
        <f aca="false">ExportRaw!$G355</f>
        <v>0</v>
      </c>
      <c r="D355" s="130" t="str">
        <f aca="false">ExportRaw!$E355</f>
        <v/>
      </c>
      <c r="E355" s="131" t="str">
        <f aca="false">ExportRaw!$D355</f>
        <v/>
      </c>
      <c r="F355" s="130" t="str">
        <f aca="false">ExportRaw!$H355</f>
        <v/>
      </c>
      <c r="G355" s="132" t="str">
        <f aca="false">ExportRaw!$I355</f>
        <v/>
      </c>
      <c r="H355" s="130" t="str">
        <f aca="false">ExportRaw!$A355</f>
        <v/>
      </c>
      <c r="I355" s="130" t="str">
        <f aca="false">ExportRaw!$B355</f>
        <v/>
      </c>
    </row>
    <row r="356" customFormat="false" ht="15.75" hidden="false" customHeight="false" outlineLevel="0" collapsed="false">
      <c r="A356" s="130" t="n">
        <f aca="false">ExportRaw!$F356</f>
        <v>0</v>
      </c>
      <c r="B356" s="130" t="n">
        <f aca="false">ExportRaw!$C356</f>
        <v>0</v>
      </c>
      <c r="C356" s="130" t="n">
        <f aca="false">ExportRaw!$G356</f>
        <v>0</v>
      </c>
      <c r="D356" s="130" t="str">
        <f aca="false">ExportRaw!$E356</f>
        <v/>
      </c>
      <c r="E356" s="131" t="str">
        <f aca="false">ExportRaw!$D356</f>
        <v/>
      </c>
      <c r="F356" s="130" t="str">
        <f aca="false">ExportRaw!$H356</f>
        <v/>
      </c>
      <c r="G356" s="132" t="str">
        <f aca="false">ExportRaw!$I356</f>
        <v/>
      </c>
      <c r="H356" s="130" t="str">
        <f aca="false">ExportRaw!$A356</f>
        <v/>
      </c>
      <c r="I356" s="130" t="str">
        <f aca="false">ExportRaw!$B356</f>
        <v/>
      </c>
    </row>
    <row r="357" customFormat="false" ht="15.75" hidden="false" customHeight="false" outlineLevel="0" collapsed="false">
      <c r="A357" s="130" t="n">
        <f aca="false">ExportRaw!$F357</f>
        <v>0</v>
      </c>
      <c r="B357" s="130" t="n">
        <f aca="false">ExportRaw!$C357</f>
        <v>0</v>
      </c>
      <c r="C357" s="130" t="n">
        <f aca="false">ExportRaw!$G357</f>
        <v>0</v>
      </c>
      <c r="D357" s="130" t="str">
        <f aca="false">ExportRaw!$E357</f>
        <v/>
      </c>
      <c r="E357" s="131" t="str">
        <f aca="false">ExportRaw!$D357</f>
        <v/>
      </c>
      <c r="F357" s="130" t="str">
        <f aca="false">ExportRaw!$H357</f>
        <v/>
      </c>
      <c r="G357" s="132" t="str">
        <f aca="false">ExportRaw!$I357</f>
        <v/>
      </c>
      <c r="H357" s="130" t="str">
        <f aca="false">ExportRaw!$A357</f>
        <v/>
      </c>
      <c r="I357" s="130" t="str">
        <f aca="false">ExportRaw!$B357</f>
        <v/>
      </c>
    </row>
    <row r="358" customFormat="false" ht="15.75" hidden="false" customHeight="false" outlineLevel="0" collapsed="false">
      <c r="A358" s="130" t="n">
        <f aca="false">ExportRaw!$F358</f>
        <v>0</v>
      </c>
      <c r="B358" s="130" t="n">
        <f aca="false">ExportRaw!$C358</f>
        <v>0</v>
      </c>
      <c r="C358" s="130" t="n">
        <f aca="false">ExportRaw!$G358</f>
        <v>0</v>
      </c>
      <c r="D358" s="130" t="str">
        <f aca="false">ExportRaw!$E358</f>
        <v/>
      </c>
      <c r="E358" s="131" t="str">
        <f aca="false">ExportRaw!$D358</f>
        <v/>
      </c>
      <c r="F358" s="130" t="str">
        <f aca="false">ExportRaw!$H358</f>
        <v/>
      </c>
      <c r="G358" s="132" t="str">
        <f aca="false">ExportRaw!$I358</f>
        <v/>
      </c>
      <c r="H358" s="130" t="str">
        <f aca="false">ExportRaw!$A358</f>
        <v/>
      </c>
      <c r="I358" s="130" t="str">
        <f aca="false">ExportRaw!$B358</f>
        <v/>
      </c>
    </row>
    <row r="359" customFormat="false" ht="15.75" hidden="false" customHeight="false" outlineLevel="0" collapsed="false">
      <c r="A359" s="130" t="n">
        <f aca="false">ExportRaw!$F359</f>
        <v>0</v>
      </c>
      <c r="B359" s="130" t="n">
        <f aca="false">ExportRaw!$C359</f>
        <v>0</v>
      </c>
      <c r="C359" s="130" t="n">
        <f aca="false">ExportRaw!$G359</f>
        <v>0</v>
      </c>
      <c r="D359" s="130" t="str">
        <f aca="false">ExportRaw!$E359</f>
        <v/>
      </c>
      <c r="E359" s="131" t="str">
        <f aca="false">ExportRaw!$D359</f>
        <v/>
      </c>
      <c r="F359" s="130" t="str">
        <f aca="false">ExportRaw!$H359</f>
        <v/>
      </c>
      <c r="G359" s="132" t="str">
        <f aca="false">ExportRaw!$I359</f>
        <v/>
      </c>
      <c r="H359" s="130" t="str">
        <f aca="false">ExportRaw!$A359</f>
        <v/>
      </c>
      <c r="I359" s="130" t="str">
        <f aca="false">ExportRaw!$B359</f>
        <v/>
      </c>
    </row>
    <row r="360" customFormat="false" ht="15.75" hidden="false" customHeight="false" outlineLevel="0" collapsed="false">
      <c r="A360" s="130" t="n">
        <f aca="false">ExportRaw!$F360</f>
        <v>0</v>
      </c>
      <c r="B360" s="130" t="n">
        <f aca="false">ExportRaw!$C360</f>
        <v>0</v>
      </c>
      <c r="C360" s="130" t="n">
        <f aca="false">ExportRaw!$G360</f>
        <v>0</v>
      </c>
      <c r="D360" s="130" t="str">
        <f aca="false">ExportRaw!$E360</f>
        <v/>
      </c>
      <c r="E360" s="131" t="str">
        <f aca="false">ExportRaw!$D360</f>
        <v/>
      </c>
      <c r="F360" s="130" t="str">
        <f aca="false">ExportRaw!$H360</f>
        <v/>
      </c>
      <c r="G360" s="132" t="str">
        <f aca="false">ExportRaw!$I360</f>
        <v/>
      </c>
      <c r="H360" s="130" t="str">
        <f aca="false">ExportRaw!$A360</f>
        <v/>
      </c>
      <c r="I360" s="130" t="str">
        <f aca="false">ExportRaw!$B360</f>
        <v/>
      </c>
    </row>
    <row r="361" customFormat="false" ht="15.75" hidden="false" customHeight="false" outlineLevel="0" collapsed="false">
      <c r="A361" s="130" t="n">
        <f aca="false">ExportRaw!$F361</f>
        <v>0</v>
      </c>
      <c r="B361" s="130" t="n">
        <f aca="false">ExportRaw!$C361</f>
        <v>0</v>
      </c>
      <c r="C361" s="130" t="n">
        <f aca="false">ExportRaw!$G361</f>
        <v>0</v>
      </c>
      <c r="D361" s="130" t="str">
        <f aca="false">ExportRaw!$E361</f>
        <v/>
      </c>
      <c r="E361" s="131" t="str">
        <f aca="false">ExportRaw!$D361</f>
        <v/>
      </c>
      <c r="F361" s="130" t="str">
        <f aca="false">ExportRaw!$H361</f>
        <v/>
      </c>
      <c r="G361" s="132" t="str">
        <f aca="false">ExportRaw!$I361</f>
        <v/>
      </c>
      <c r="H361" s="130" t="str">
        <f aca="false">ExportRaw!$A361</f>
        <v/>
      </c>
      <c r="I361" s="130" t="str">
        <f aca="false">ExportRaw!$B361</f>
        <v/>
      </c>
    </row>
    <row r="362" customFormat="false" ht="15.75" hidden="false" customHeight="false" outlineLevel="0" collapsed="false">
      <c r="A362" s="130" t="n">
        <f aca="false">ExportRaw!$F362</f>
        <v>0</v>
      </c>
      <c r="B362" s="130" t="n">
        <f aca="false">ExportRaw!$C362</f>
        <v>0</v>
      </c>
      <c r="C362" s="130" t="n">
        <f aca="false">ExportRaw!$G362</f>
        <v>0</v>
      </c>
      <c r="D362" s="130" t="str">
        <f aca="false">ExportRaw!$E362</f>
        <v/>
      </c>
      <c r="E362" s="131" t="str">
        <f aca="false">ExportRaw!$D362</f>
        <v/>
      </c>
      <c r="F362" s="130" t="str">
        <f aca="false">ExportRaw!$H362</f>
        <v/>
      </c>
      <c r="G362" s="132" t="str">
        <f aca="false">ExportRaw!$I362</f>
        <v/>
      </c>
      <c r="H362" s="130" t="str">
        <f aca="false">ExportRaw!$A362</f>
        <v/>
      </c>
      <c r="I362" s="130" t="str">
        <f aca="false">ExportRaw!$B362</f>
        <v/>
      </c>
    </row>
    <row r="363" customFormat="false" ht="15.75" hidden="false" customHeight="false" outlineLevel="0" collapsed="false">
      <c r="A363" s="130" t="n">
        <f aca="false">ExportRaw!$F363</f>
        <v>0</v>
      </c>
      <c r="B363" s="130" t="n">
        <f aca="false">ExportRaw!$C363</f>
        <v>0</v>
      </c>
      <c r="C363" s="130" t="n">
        <f aca="false">ExportRaw!$G363</f>
        <v>0</v>
      </c>
      <c r="D363" s="130" t="str">
        <f aca="false">ExportRaw!$E363</f>
        <v/>
      </c>
      <c r="E363" s="131" t="str">
        <f aca="false">ExportRaw!$D363</f>
        <v/>
      </c>
      <c r="F363" s="130" t="str">
        <f aca="false">ExportRaw!$H363</f>
        <v/>
      </c>
      <c r="G363" s="132" t="str">
        <f aca="false">ExportRaw!$I363</f>
        <v/>
      </c>
      <c r="H363" s="130" t="str">
        <f aca="false">ExportRaw!$A363</f>
        <v/>
      </c>
      <c r="I363" s="130" t="str">
        <f aca="false">ExportRaw!$B363</f>
        <v/>
      </c>
    </row>
    <row r="364" customFormat="false" ht="15.75" hidden="false" customHeight="false" outlineLevel="0" collapsed="false">
      <c r="A364" s="130" t="n">
        <f aca="false">ExportRaw!$F364</f>
        <v>0</v>
      </c>
      <c r="B364" s="130" t="n">
        <f aca="false">ExportRaw!$C364</f>
        <v>0</v>
      </c>
      <c r="C364" s="130" t="n">
        <f aca="false">ExportRaw!$G364</f>
        <v>0</v>
      </c>
      <c r="D364" s="130" t="str">
        <f aca="false">ExportRaw!$E364</f>
        <v/>
      </c>
      <c r="E364" s="131" t="str">
        <f aca="false">ExportRaw!$D364</f>
        <v/>
      </c>
      <c r="F364" s="130" t="str">
        <f aca="false">ExportRaw!$H364</f>
        <v/>
      </c>
      <c r="G364" s="132" t="str">
        <f aca="false">ExportRaw!$I364</f>
        <v/>
      </c>
      <c r="H364" s="130" t="str">
        <f aca="false">ExportRaw!$A364</f>
        <v/>
      </c>
      <c r="I364" s="130" t="str">
        <f aca="false">ExportRaw!$B364</f>
        <v/>
      </c>
    </row>
    <row r="365" customFormat="false" ht="15.75" hidden="false" customHeight="false" outlineLevel="0" collapsed="false">
      <c r="A365" s="130" t="n">
        <f aca="false">ExportRaw!$F365</f>
        <v>0</v>
      </c>
      <c r="B365" s="130" t="n">
        <f aca="false">ExportRaw!$C365</f>
        <v>0</v>
      </c>
      <c r="C365" s="130" t="n">
        <f aca="false">ExportRaw!$G365</f>
        <v>0</v>
      </c>
      <c r="D365" s="130" t="str">
        <f aca="false">ExportRaw!$E365</f>
        <v/>
      </c>
      <c r="E365" s="131" t="str">
        <f aca="false">ExportRaw!$D365</f>
        <v/>
      </c>
      <c r="F365" s="130" t="str">
        <f aca="false">ExportRaw!$H365</f>
        <v/>
      </c>
      <c r="G365" s="132" t="str">
        <f aca="false">ExportRaw!$I365</f>
        <v/>
      </c>
      <c r="H365" s="130" t="str">
        <f aca="false">ExportRaw!$A365</f>
        <v/>
      </c>
      <c r="I365" s="130" t="str">
        <f aca="false">ExportRaw!$B365</f>
        <v/>
      </c>
    </row>
    <row r="366" customFormat="false" ht="15.75" hidden="false" customHeight="false" outlineLevel="0" collapsed="false">
      <c r="A366" s="130" t="n">
        <f aca="false">ExportRaw!$F366</f>
        <v>0</v>
      </c>
      <c r="B366" s="130" t="n">
        <f aca="false">ExportRaw!$C366</f>
        <v>0</v>
      </c>
      <c r="C366" s="130" t="n">
        <f aca="false">ExportRaw!$G366</f>
        <v>0</v>
      </c>
      <c r="D366" s="130" t="str">
        <f aca="false">ExportRaw!$E366</f>
        <v/>
      </c>
      <c r="E366" s="131" t="str">
        <f aca="false">ExportRaw!$D366</f>
        <v/>
      </c>
      <c r="F366" s="130" t="str">
        <f aca="false">ExportRaw!$H366</f>
        <v/>
      </c>
      <c r="G366" s="132" t="str">
        <f aca="false">ExportRaw!$I366</f>
        <v/>
      </c>
      <c r="H366" s="130" t="str">
        <f aca="false">ExportRaw!$A366</f>
        <v/>
      </c>
      <c r="I366" s="130" t="str">
        <f aca="false">ExportRaw!$B366</f>
        <v/>
      </c>
    </row>
    <row r="367" customFormat="false" ht="15.75" hidden="false" customHeight="false" outlineLevel="0" collapsed="false">
      <c r="A367" s="130" t="n">
        <f aca="false">ExportRaw!$F367</f>
        <v>0</v>
      </c>
      <c r="B367" s="130" t="n">
        <f aca="false">ExportRaw!$C367</f>
        <v>0</v>
      </c>
      <c r="C367" s="130" t="n">
        <f aca="false">ExportRaw!$G367</f>
        <v>0</v>
      </c>
      <c r="D367" s="130" t="str">
        <f aca="false">ExportRaw!$E367</f>
        <v/>
      </c>
      <c r="E367" s="131" t="str">
        <f aca="false">ExportRaw!$D367</f>
        <v/>
      </c>
      <c r="F367" s="130" t="str">
        <f aca="false">ExportRaw!$H367</f>
        <v/>
      </c>
      <c r="G367" s="132" t="str">
        <f aca="false">ExportRaw!$I367</f>
        <v/>
      </c>
      <c r="H367" s="130" t="str">
        <f aca="false">ExportRaw!$A367</f>
        <v/>
      </c>
      <c r="I367" s="130" t="str">
        <f aca="false">ExportRaw!$B367</f>
        <v/>
      </c>
    </row>
    <row r="368" customFormat="false" ht="15.75" hidden="false" customHeight="false" outlineLevel="0" collapsed="false">
      <c r="A368" s="130" t="n">
        <f aca="false">ExportRaw!$F368</f>
        <v>0</v>
      </c>
      <c r="B368" s="130" t="n">
        <f aca="false">ExportRaw!$C368</f>
        <v>0</v>
      </c>
      <c r="C368" s="130" t="n">
        <f aca="false">ExportRaw!$G368</f>
        <v>0</v>
      </c>
      <c r="D368" s="130" t="str">
        <f aca="false">ExportRaw!$E368</f>
        <v/>
      </c>
      <c r="E368" s="131" t="str">
        <f aca="false">ExportRaw!$D368</f>
        <v/>
      </c>
      <c r="F368" s="130" t="str">
        <f aca="false">ExportRaw!$H368</f>
        <v/>
      </c>
      <c r="G368" s="132" t="str">
        <f aca="false">ExportRaw!$I368</f>
        <v/>
      </c>
      <c r="H368" s="130" t="str">
        <f aca="false">ExportRaw!$A368</f>
        <v/>
      </c>
      <c r="I368" s="130" t="str">
        <f aca="false">ExportRaw!$B368</f>
        <v/>
      </c>
    </row>
    <row r="369" customFormat="false" ht="15.75" hidden="false" customHeight="false" outlineLevel="0" collapsed="false">
      <c r="A369" s="130" t="n">
        <f aca="false">ExportRaw!$F369</f>
        <v>0</v>
      </c>
      <c r="B369" s="130" t="n">
        <f aca="false">ExportRaw!$C369</f>
        <v>0</v>
      </c>
      <c r="C369" s="130" t="n">
        <f aca="false">ExportRaw!$G369</f>
        <v>0</v>
      </c>
      <c r="D369" s="130" t="str">
        <f aca="false">ExportRaw!$E369</f>
        <v/>
      </c>
      <c r="E369" s="131" t="str">
        <f aca="false">ExportRaw!$D369</f>
        <v/>
      </c>
      <c r="F369" s="130" t="str">
        <f aca="false">ExportRaw!$H369</f>
        <v/>
      </c>
      <c r="G369" s="132" t="str">
        <f aca="false">ExportRaw!$I369</f>
        <v/>
      </c>
      <c r="H369" s="130" t="str">
        <f aca="false">ExportRaw!$A369</f>
        <v/>
      </c>
      <c r="I369" s="130" t="str">
        <f aca="false">ExportRaw!$B369</f>
        <v/>
      </c>
    </row>
    <row r="370" customFormat="false" ht="15.75" hidden="false" customHeight="false" outlineLevel="0" collapsed="false">
      <c r="A370" s="130" t="n">
        <f aca="false">ExportRaw!$F370</f>
        <v>0</v>
      </c>
      <c r="B370" s="130" t="n">
        <f aca="false">ExportRaw!$C370</f>
        <v>0</v>
      </c>
      <c r="C370" s="130" t="n">
        <f aca="false">ExportRaw!$G370</f>
        <v>0</v>
      </c>
      <c r="D370" s="130" t="str">
        <f aca="false">ExportRaw!$E370</f>
        <v/>
      </c>
      <c r="E370" s="131" t="str">
        <f aca="false">ExportRaw!$D370</f>
        <v/>
      </c>
      <c r="F370" s="130" t="str">
        <f aca="false">ExportRaw!$H370</f>
        <v/>
      </c>
      <c r="G370" s="132" t="str">
        <f aca="false">ExportRaw!$I370</f>
        <v/>
      </c>
      <c r="H370" s="130" t="str">
        <f aca="false">ExportRaw!$A370</f>
        <v/>
      </c>
      <c r="I370" s="130" t="str">
        <f aca="false">ExportRaw!$B370</f>
        <v/>
      </c>
    </row>
    <row r="371" customFormat="false" ht="15.75" hidden="false" customHeight="false" outlineLevel="0" collapsed="false">
      <c r="A371" s="130" t="n">
        <f aca="false">ExportRaw!$F371</f>
        <v>0</v>
      </c>
      <c r="B371" s="130" t="n">
        <f aca="false">ExportRaw!$C371</f>
        <v>0</v>
      </c>
      <c r="C371" s="130" t="n">
        <f aca="false">ExportRaw!$G371</f>
        <v>0</v>
      </c>
      <c r="D371" s="130" t="str">
        <f aca="false">ExportRaw!$E371</f>
        <v/>
      </c>
      <c r="E371" s="131" t="str">
        <f aca="false">ExportRaw!$D371</f>
        <v/>
      </c>
      <c r="F371" s="130" t="str">
        <f aca="false">ExportRaw!$H371</f>
        <v/>
      </c>
      <c r="G371" s="132" t="str">
        <f aca="false">ExportRaw!$I371</f>
        <v/>
      </c>
      <c r="H371" s="130" t="str">
        <f aca="false">ExportRaw!$A371</f>
        <v/>
      </c>
      <c r="I371" s="130" t="str">
        <f aca="false">ExportRaw!$B371</f>
        <v/>
      </c>
    </row>
    <row r="372" customFormat="false" ht="15.75" hidden="false" customHeight="false" outlineLevel="0" collapsed="false">
      <c r="A372" s="130" t="n">
        <f aca="false">ExportRaw!$F372</f>
        <v>0</v>
      </c>
      <c r="B372" s="130" t="n">
        <f aca="false">ExportRaw!$C372</f>
        <v>0</v>
      </c>
      <c r="C372" s="130" t="n">
        <f aca="false">ExportRaw!$G372</f>
        <v>0</v>
      </c>
      <c r="D372" s="130" t="str">
        <f aca="false">ExportRaw!$E372</f>
        <v/>
      </c>
      <c r="E372" s="131" t="str">
        <f aca="false">ExportRaw!$D372</f>
        <v/>
      </c>
      <c r="F372" s="130" t="str">
        <f aca="false">ExportRaw!$H372</f>
        <v/>
      </c>
      <c r="G372" s="132" t="str">
        <f aca="false">ExportRaw!$I372</f>
        <v/>
      </c>
      <c r="H372" s="130" t="str">
        <f aca="false">ExportRaw!$A372</f>
        <v/>
      </c>
      <c r="I372" s="130" t="str">
        <f aca="false">ExportRaw!$B372</f>
        <v/>
      </c>
    </row>
    <row r="373" customFormat="false" ht="15.75" hidden="false" customHeight="false" outlineLevel="0" collapsed="false">
      <c r="A373" s="130" t="n">
        <f aca="false">ExportRaw!$F373</f>
        <v>0</v>
      </c>
      <c r="B373" s="130" t="n">
        <f aca="false">ExportRaw!$C373</f>
        <v>0</v>
      </c>
      <c r="C373" s="130" t="n">
        <f aca="false">ExportRaw!$G373</f>
        <v>0</v>
      </c>
      <c r="D373" s="130" t="str">
        <f aca="false">ExportRaw!$E373</f>
        <v/>
      </c>
      <c r="E373" s="131" t="str">
        <f aca="false">ExportRaw!$D373</f>
        <v/>
      </c>
      <c r="F373" s="130" t="str">
        <f aca="false">ExportRaw!$H373</f>
        <v/>
      </c>
      <c r="G373" s="132" t="str">
        <f aca="false">ExportRaw!$I373</f>
        <v/>
      </c>
      <c r="H373" s="130" t="str">
        <f aca="false">ExportRaw!$A373</f>
        <v/>
      </c>
      <c r="I373" s="130" t="str">
        <f aca="false">ExportRaw!$B373</f>
        <v/>
      </c>
    </row>
    <row r="374" customFormat="false" ht="15.75" hidden="false" customHeight="false" outlineLevel="0" collapsed="false">
      <c r="A374" s="130" t="n">
        <f aca="false">ExportRaw!$F374</f>
        <v>0</v>
      </c>
      <c r="B374" s="130" t="n">
        <f aca="false">ExportRaw!$C374</f>
        <v>0</v>
      </c>
      <c r="C374" s="130" t="n">
        <f aca="false">ExportRaw!$G374</f>
        <v>0</v>
      </c>
      <c r="D374" s="130" t="str">
        <f aca="false">ExportRaw!$E374</f>
        <v/>
      </c>
      <c r="E374" s="131" t="str">
        <f aca="false">ExportRaw!$D374</f>
        <v/>
      </c>
      <c r="F374" s="130" t="str">
        <f aca="false">ExportRaw!$H374</f>
        <v/>
      </c>
      <c r="G374" s="132" t="str">
        <f aca="false">ExportRaw!$I374</f>
        <v/>
      </c>
      <c r="H374" s="130" t="str">
        <f aca="false">ExportRaw!$A374</f>
        <v/>
      </c>
      <c r="I374" s="130" t="str">
        <f aca="false">ExportRaw!$B374</f>
        <v/>
      </c>
    </row>
    <row r="375" customFormat="false" ht="15.75" hidden="false" customHeight="false" outlineLevel="0" collapsed="false">
      <c r="A375" s="130" t="n">
        <f aca="false">ExportRaw!$F375</f>
        <v>0</v>
      </c>
      <c r="B375" s="130" t="n">
        <f aca="false">ExportRaw!$C375</f>
        <v>0</v>
      </c>
      <c r="C375" s="130" t="n">
        <f aca="false">ExportRaw!$G375</f>
        <v>0</v>
      </c>
      <c r="D375" s="130" t="str">
        <f aca="false">ExportRaw!$E375</f>
        <v/>
      </c>
      <c r="E375" s="131" t="str">
        <f aca="false">ExportRaw!$D375</f>
        <v/>
      </c>
      <c r="F375" s="130" t="str">
        <f aca="false">ExportRaw!$H375</f>
        <v/>
      </c>
      <c r="G375" s="132" t="str">
        <f aca="false">ExportRaw!$I375</f>
        <v/>
      </c>
      <c r="H375" s="130" t="str">
        <f aca="false">ExportRaw!$A375</f>
        <v/>
      </c>
      <c r="I375" s="130" t="str">
        <f aca="false">ExportRaw!$B375</f>
        <v/>
      </c>
    </row>
    <row r="376" customFormat="false" ht="15.75" hidden="false" customHeight="false" outlineLevel="0" collapsed="false">
      <c r="A376" s="130" t="n">
        <f aca="false">ExportRaw!$F376</f>
        <v>0</v>
      </c>
      <c r="B376" s="130" t="n">
        <f aca="false">ExportRaw!$C376</f>
        <v>0</v>
      </c>
      <c r="C376" s="130" t="n">
        <f aca="false">ExportRaw!$G376</f>
        <v>0</v>
      </c>
      <c r="D376" s="130" t="str">
        <f aca="false">ExportRaw!$E376</f>
        <v/>
      </c>
      <c r="E376" s="131" t="str">
        <f aca="false">ExportRaw!$D376</f>
        <v/>
      </c>
      <c r="F376" s="130" t="str">
        <f aca="false">ExportRaw!$H376</f>
        <v/>
      </c>
      <c r="G376" s="132" t="str">
        <f aca="false">ExportRaw!$I376</f>
        <v/>
      </c>
      <c r="H376" s="130" t="str">
        <f aca="false">ExportRaw!$A376</f>
        <v/>
      </c>
      <c r="I376" s="130" t="str">
        <f aca="false">ExportRaw!$B376</f>
        <v/>
      </c>
    </row>
    <row r="377" customFormat="false" ht="15.75" hidden="false" customHeight="false" outlineLevel="0" collapsed="false">
      <c r="A377" s="130" t="n">
        <f aca="false">ExportRaw!$F377</f>
        <v>0</v>
      </c>
      <c r="B377" s="130" t="n">
        <f aca="false">ExportRaw!$C377</f>
        <v>0</v>
      </c>
      <c r="C377" s="130" t="n">
        <f aca="false">ExportRaw!$G377</f>
        <v>0</v>
      </c>
      <c r="D377" s="130" t="str">
        <f aca="false">ExportRaw!$E377</f>
        <v/>
      </c>
      <c r="E377" s="131" t="str">
        <f aca="false">ExportRaw!$D377</f>
        <v/>
      </c>
      <c r="F377" s="130" t="str">
        <f aca="false">ExportRaw!$H377</f>
        <v/>
      </c>
      <c r="G377" s="132" t="str">
        <f aca="false">ExportRaw!$I377</f>
        <v/>
      </c>
      <c r="H377" s="130" t="str">
        <f aca="false">ExportRaw!$A377</f>
        <v/>
      </c>
      <c r="I377" s="130" t="str">
        <f aca="false">ExportRaw!$B377</f>
        <v/>
      </c>
    </row>
    <row r="378" customFormat="false" ht="15.75" hidden="false" customHeight="false" outlineLevel="0" collapsed="false">
      <c r="A378" s="130" t="n">
        <f aca="false">ExportRaw!$F378</f>
        <v>0</v>
      </c>
      <c r="B378" s="130" t="n">
        <f aca="false">ExportRaw!$C378</f>
        <v>0</v>
      </c>
      <c r="C378" s="130" t="n">
        <f aca="false">ExportRaw!$G378</f>
        <v>0</v>
      </c>
      <c r="D378" s="130" t="str">
        <f aca="false">ExportRaw!$E378</f>
        <v/>
      </c>
      <c r="E378" s="131" t="str">
        <f aca="false">ExportRaw!$D378</f>
        <v/>
      </c>
      <c r="F378" s="130" t="str">
        <f aca="false">ExportRaw!$H378</f>
        <v/>
      </c>
      <c r="G378" s="132" t="str">
        <f aca="false">ExportRaw!$I378</f>
        <v/>
      </c>
      <c r="H378" s="130" t="str">
        <f aca="false">ExportRaw!$A378</f>
        <v/>
      </c>
      <c r="I378" s="130" t="str">
        <f aca="false">ExportRaw!$B378</f>
        <v/>
      </c>
    </row>
    <row r="379" customFormat="false" ht="15.75" hidden="false" customHeight="false" outlineLevel="0" collapsed="false">
      <c r="A379" s="130" t="n">
        <f aca="false">ExportRaw!$F379</f>
        <v>0</v>
      </c>
      <c r="B379" s="130" t="n">
        <f aca="false">ExportRaw!$C379</f>
        <v>0</v>
      </c>
      <c r="C379" s="130" t="n">
        <f aca="false">ExportRaw!$G379</f>
        <v>0</v>
      </c>
      <c r="D379" s="130" t="str">
        <f aca="false">ExportRaw!$E379</f>
        <v/>
      </c>
      <c r="E379" s="131" t="str">
        <f aca="false">ExportRaw!$D379</f>
        <v/>
      </c>
      <c r="F379" s="130" t="str">
        <f aca="false">ExportRaw!$H379</f>
        <v/>
      </c>
      <c r="G379" s="132" t="str">
        <f aca="false">ExportRaw!$I379</f>
        <v/>
      </c>
      <c r="H379" s="130" t="str">
        <f aca="false">ExportRaw!$A379</f>
        <v/>
      </c>
      <c r="I379" s="130" t="str">
        <f aca="false">ExportRaw!$B379</f>
        <v/>
      </c>
    </row>
    <row r="380" customFormat="false" ht="15.75" hidden="false" customHeight="false" outlineLevel="0" collapsed="false">
      <c r="A380" s="130" t="n">
        <f aca="false">ExportRaw!$F380</f>
        <v>0</v>
      </c>
      <c r="B380" s="130" t="n">
        <f aca="false">ExportRaw!$C380</f>
        <v>0</v>
      </c>
      <c r="C380" s="130" t="n">
        <f aca="false">ExportRaw!$G380</f>
        <v>0</v>
      </c>
      <c r="D380" s="130" t="str">
        <f aca="false">ExportRaw!$E380</f>
        <v/>
      </c>
      <c r="E380" s="131" t="str">
        <f aca="false">ExportRaw!$D380</f>
        <v/>
      </c>
      <c r="F380" s="130" t="str">
        <f aca="false">ExportRaw!$H380</f>
        <v/>
      </c>
      <c r="G380" s="132" t="str">
        <f aca="false">ExportRaw!$I380</f>
        <v/>
      </c>
      <c r="H380" s="130" t="str">
        <f aca="false">ExportRaw!$A380</f>
        <v/>
      </c>
      <c r="I380" s="130" t="str">
        <f aca="false">ExportRaw!$B380</f>
        <v/>
      </c>
    </row>
    <row r="381" customFormat="false" ht="15.75" hidden="false" customHeight="false" outlineLevel="0" collapsed="false">
      <c r="A381" s="130" t="n">
        <f aca="false">ExportRaw!$F381</f>
        <v>0</v>
      </c>
      <c r="B381" s="130" t="n">
        <f aca="false">ExportRaw!$C381</f>
        <v>0</v>
      </c>
      <c r="C381" s="130" t="n">
        <f aca="false">ExportRaw!$G381</f>
        <v>0</v>
      </c>
      <c r="D381" s="130" t="str">
        <f aca="false">ExportRaw!$E381</f>
        <v/>
      </c>
      <c r="E381" s="131" t="str">
        <f aca="false">ExportRaw!$D381</f>
        <v/>
      </c>
      <c r="F381" s="130" t="str">
        <f aca="false">ExportRaw!$H381</f>
        <v/>
      </c>
      <c r="G381" s="132" t="str">
        <f aca="false">ExportRaw!$I381</f>
        <v/>
      </c>
      <c r="H381" s="130" t="str">
        <f aca="false">ExportRaw!$A381</f>
        <v/>
      </c>
      <c r="I381" s="130" t="str">
        <f aca="false">ExportRaw!$B381</f>
        <v/>
      </c>
    </row>
    <row r="382" customFormat="false" ht="15.75" hidden="false" customHeight="false" outlineLevel="0" collapsed="false">
      <c r="A382" s="130" t="n">
        <f aca="false">ExportRaw!$F382</f>
        <v>0</v>
      </c>
      <c r="B382" s="130" t="n">
        <f aca="false">ExportRaw!$C382</f>
        <v>0</v>
      </c>
      <c r="C382" s="130" t="n">
        <f aca="false">ExportRaw!$G382</f>
        <v>0</v>
      </c>
      <c r="D382" s="130" t="str">
        <f aca="false">ExportRaw!$E382</f>
        <v/>
      </c>
      <c r="E382" s="131" t="str">
        <f aca="false">ExportRaw!$D382</f>
        <v/>
      </c>
      <c r="F382" s="130" t="str">
        <f aca="false">ExportRaw!$H382</f>
        <v/>
      </c>
      <c r="G382" s="132" t="str">
        <f aca="false">ExportRaw!$I382</f>
        <v/>
      </c>
      <c r="H382" s="130" t="str">
        <f aca="false">ExportRaw!$A382</f>
        <v/>
      </c>
      <c r="I382" s="130" t="str">
        <f aca="false">ExportRaw!$B382</f>
        <v/>
      </c>
    </row>
    <row r="383" customFormat="false" ht="15.75" hidden="false" customHeight="false" outlineLevel="0" collapsed="false">
      <c r="A383" s="130" t="n">
        <f aca="false">ExportRaw!$F383</f>
        <v>0</v>
      </c>
      <c r="B383" s="130" t="n">
        <f aca="false">ExportRaw!$C383</f>
        <v>0</v>
      </c>
      <c r="C383" s="130" t="n">
        <f aca="false">ExportRaw!$G383</f>
        <v>0</v>
      </c>
      <c r="D383" s="130" t="str">
        <f aca="false">ExportRaw!$E383</f>
        <v/>
      </c>
      <c r="E383" s="131" t="str">
        <f aca="false">ExportRaw!$D383</f>
        <v/>
      </c>
      <c r="F383" s="130" t="str">
        <f aca="false">ExportRaw!$H383</f>
        <v/>
      </c>
      <c r="G383" s="132" t="str">
        <f aca="false">ExportRaw!$I383</f>
        <v/>
      </c>
      <c r="H383" s="130" t="str">
        <f aca="false">ExportRaw!$A383</f>
        <v/>
      </c>
      <c r="I383" s="130" t="str">
        <f aca="false">ExportRaw!$B383</f>
        <v/>
      </c>
    </row>
    <row r="384" customFormat="false" ht="15.75" hidden="false" customHeight="false" outlineLevel="0" collapsed="false">
      <c r="A384" s="130" t="n">
        <f aca="false">ExportRaw!$F384</f>
        <v>0</v>
      </c>
      <c r="B384" s="130" t="n">
        <f aca="false">ExportRaw!$C384</f>
        <v>0</v>
      </c>
      <c r="C384" s="130" t="n">
        <f aca="false">ExportRaw!$G384</f>
        <v>0</v>
      </c>
      <c r="D384" s="130" t="str">
        <f aca="false">ExportRaw!$E384</f>
        <v/>
      </c>
      <c r="E384" s="131" t="str">
        <f aca="false">ExportRaw!$D384</f>
        <v/>
      </c>
      <c r="F384" s="130" t="str">
        <f aca="false">ExportRaw!$H384</f>
        <v/>
      </c>
      <c r="G384" s="132" t="str">
        <f aca="false">ExportRaw!$I384</f>
        <v/>
      </c>
      <c r="H384" s="130" t="str">
        <f aca="false">ExportRaw!$A384</f>
        <v/>
      </c>
      <c r="I384" s="130" t="str">
        <f aca="false">ExportRaw!$B384</f>
        <v/>
      </c>
    </row>
    <row r="385" customFormat="false" ht="15.75" hidden="false" customHeight="false" outlineLevel="0" collapsed="false">
      <c r="A385" s="130" t="n">
        <f aca="false">ExportRaw!$F385</f>
        <v>0</v>
      </c>
      <c r="B385" s="130" t="n">
        <f aca="false">ExportRaw!$C385</f>
        <v>0</v>
      </c>
      <c r="C385" s="130" t="n">
        <f aca="false">ExportRaw!$G385</f>
        <v>0</v>
      </c>
      <c r="D385" s="130" t="str">
        <f aca="false">ExportRaw!$E385</f>
        <v/>
      </c>
      <c r="E385" s="131" t="str">
        <f aca="false">ExportRaw!$D385</f>
        <v/>
      </c>
      <c r="F385" s="130" t="str">
        <f aca="false">ExportRaw!$H385</f>
        <v/>
      </c>
      <c r="G385" s="132" t="str">
        <f aca="false">ExportRaw!$I385</f>
        <v/>
      </c>
      <c r="H385" s="130" t="str">
        <f aca="false">ExportRaw!$A385</f>
        <v/>
      </c>
      <c r="I385" s="130" t="str">
        <f aca="false">ExportRaw!$B385</f>
        <v/>
      </c>
    </row>
    <row r="386" customFormat="false" ht="15.75" hidden="false" customHeight="false" outlineLevel="0" collapsed="false">
      <c r="A386" s="130" t="n">
        <f aca="false">ExportRaw!$F386</f>
        <v>0</v>
      </c>
      <c r="B386" s="130" t="n">
        <f aca="false">ExportRaw!$C386</f>
        <v>0</v>
      </c>
      <c r="C386" s="130" t="n">
        <f aca="false">ExportRaw!$G386</f>
        <v>0</v>
      </c>
      <c r="D386" s="130" t="str">
        <f aca="false">ExportRaw!$E386</f>
        <v/>
      </c>
      <c r="E386" s="131" t="str">
        <f aca="false">ExportRaw!$D386</f>
        <v/>
      </c>
      <c r="F386" s="130" t="str">
        <f aca="false">ExportRaw!$H386</f>
        <v/>
      </c>
      <c r="G386" s="132" t="str">
        <f aca="false">ExportRaw!$I386</f>
        <v/>
      </c>
      <c r="H386" s="130" t="str">
        <f aca="false">ExportRaw!$A386</f>
        <v/>
      </c>
      <c r="I386" s="130" t="str">
        <f aca="false">ExportRaw!$B386</f>
        <v/>
      </c>
    </row>
    <row r="387" customFormat="false" ht="15.75" hidden="false" customHeight="false" outlineLevel="0" collapsed="false">
      <c r="A387" s="130" t="n">
        <f aca="false">ExportRaw!$F387</f>
        <v>0</v>
      </c>
      <c r="B387" s="130" t="n">
        <f aca="false">ExportRaw!$C387</f>
        <v>0</v>
      </c>
      <c r="C387" s="130" t="n">
        <f aca="false">ExportRaw!$G387</f>
        <v>0</v>
      </c>
      <c r="D387" s="130" t="str">
        <f aca="false">ExportRaw!$E387</f>
        <v/>
      </c>
      <c r="E387" s="131" t="str">
        <f aca="false">ExportRaw!$D387</f>
        <v/>
      </c>
      <c r="F387" s="130" t="str">
        <f aca="false">ExportRaw!$H387</f>
        <v/>
      </c>
      <c r="G387" s="132" t="str">
        <f aca="false">ExportRaw!$I387</f>
        <v/>
      </c>
      <c r="H387" s="130" t="str">
        <f aca="false">ExportRaw!$A387</f>
        <v/>
      </c>
      <c r="I387" s="130" t="str">
        <f aca="false">ExportRaw!$B387</f>
        <v/>
      </c>
    </row>
    <row r="388" customFormat="false" ht="15.75" hidden="false" customHeight="false" outlineLevel="0" collapsed="false">
      <c r="A388" s="130" t="n">
        <f aca="false">ExportRaw!$F388</f>
        <v>0</v>
      </c>
      <c r="B388" s="130" t="n">
        <f aca="false">ExportRaw!$C388</f>
        <v>0</v>
      </c>
      <c r="C388" s="130" t="n">
        <f aca="false">ExportRaw!$G388</f>
        <v>0</v>
      </c>
      <c r="D388" s="130" t="str">
        <f aca="false">ExportRaw!$E388</f>
        <v/>
      </c>
      <c r="E388" s="131" t="str">
        <f aca="false">ExportRaw!$D388</f>
        <v/>
      </c>
      <c r="F388" s="130" t="str">
        <f aca="false">ExportRaw!$H388</f>
        <v/>
      </c>
      <c r="G388" s="132" t="str">
        <f aca="false">ExportRaw!$I388</f>
        <v/>
      </c>
      <c r="H388" s="130" t="str">
        <f aca="false">ExportRaw!$A388</f>
        <v/>
      </c>
      <c r="I388" s="130" t="str">
        <f aca="false">ExportRaw!$B388</f>
        <v/>
      </c>
    </row>
    <row r="389" customFormat="false" ht="15.75" hidden="false" customHeight="false" outlineLevel="0" collapsed="false">
      <c r="A389" s="130" t="n">
        <f aca="false">ExportRaw!$F389</f>
        <v>0</v>
      </c>
      <c r="B389" s="130" t="n">
        <f aca="false">ExportRaw!$C389</f>
        <v>0</v>
      </c>
      <c r="C389" s="130" t="n">
        <f aca="false">ExportRaw!$G389</f>
        <v>0</v>
      </c>
      <c r="D389" s="130" t="str">
        <f aca="false">ExportRaw!$E389</f>
        <v/>
      </c>
      <c r="E389" s="131" t="str">
        <f aca="false">ExportRaw!$D389</f>
        <v/>
      </c>
      <c r="F389" s="130" t="str">
        <f aca="false">ExportRaw!$H389</f>
        <v/>
      </c>
      <c r="G389" s="132" t="str">
        <f aca="false">ExportRaw!$I389</f>
        <v/>
      </c>
      <c r="H389" s="130" t="str">
        <f aca="false">ExportRaw!$A389</f>
        <v/>
      </c>
      <c r="I389" s="130" t="str">
        <f aca="false">ExportRaw!$B389</f>
        <v/>
      </c>
    </row>
    <row r="390" customFormat="false" ht="15.75" hidden="false" customHeight="false" outlineLevel="0" collapsed="false">
      <c r="A390" s="130" t="n">
        <f aca="false">ExportRaw!$F390</f>
        <v>0</v>
      </c>
      <c r="B390" s="130" t="n">
        <f aca="false">ExportRaw!$C390</f>
        <v>0</v>
      </c>
      <c r="C390" s="130" t="n">
        <f aca="false">ExportRaw!$G390</f>
        <v>0</v>
      </c>
      <c r="D390" s="130" t="str">
        <f aca="false">ExportRaw!$E390</f>
        <v/>
      </c>
      <c r="E390" s="131" t="str">
        <f aca="false">ExportRaw!$D390</f>
        <v/>
      </c>
      <c r="F390" s="130" t="str">
        <f aca="false">ExportRaw!$H390</f>
        <v/>
      </c>
      <c r="G390" s="132" t="str">
        <f aca="false">ExportRaw!$I390</f>
        <v/>
      </c>
      <c r="H390" s="130" t="str">
        <f aca="false">ExportRaw!$A390</f>
        <v/>
      </c>
      <c r="I390" s="130" t="str">
        <f aca="false">ExportRaw!$B390</f>
        <v/>
      </c>
    </row>
    <row r="391" customFormat="false" ht="15.75" hidden="false" customHeight="false" outlineLevel="0" collapsed="false">
      <c r="A391" s="130" t="n">
        <f aca="false">ExportRaw!$F391</f>
        <v>0</v>
      </c>
      <c r="B391" s="130" t="n">
        <f aca="false">ExportRaw!$C391</f>
        <v>0</v>
      </c>
      <c r="C391" s="130" t="n">
        <f aca="false">ExportRaw!$G391</f>
        <v>0</v>
      </c>
      <c r="D391" s="130" t="str">
        <f aca="false">ExportRaw!$E391</f>
        <v/>
      </c>
      <c r="E391" s="131" t="str">
        <f aca="false">ExportRaw!$D391</f>
        <v/>
      </c>
      <c r="F391" s="130" t="str">
        <f aca="false">ExportRaw!$H391</f>
        <v/>
      </c>
      <c r="G391" s="132" t="str">
        <f aca="false">ExportRaw!$I391</f>
        <v/>
      </c>
      <c r="H391" s="130" t="str">
        <f aca="false">ExportRaw!$A391</f>
        <v/>
      </c>
      <c r="I391" s="130" t="str">
        <f aca="false">ExportRaw!$B391</f>
        <v/>
      </c>
    </row>
    <row r="392" customFormat="false" ht="15.75" hidden="false" customHeight="false" outlineLevel="0" collapsed="false">
      <c r="A392" s="130" t="n">
        <f aca="false">ExportRaw!$F392</f>
        <v>0</v>
      </c>
      <c r="B392" s="130" t="n">
        <f aca="false">ExportRaw!$C392</f>
        <v>0</v>
      </c>
      <c r="C392" s="130" t="n">
        <f aca="false">ExportRaw!$G392</f>
        <v>0</v>
      </c>
      <c r="D392" s="130" t="str">
        <f aca="false">ExportRaw!$E392</f>
        <v/>
      </c>
      <c r="E392" s="131" t="str">
        <f aca="false">ExportRaw!$D392</f>
        <v/>
      </c>
      <c r="F392" s="130" t="str">
        <f aca="false">ExportRaw!$H392</f>
        <v/>
      </c>
      <c r="G392" s="132" t="str">
        <f aca="false">ExportRaw!$I392</f>
        <v/>
      </c>
      <c r="H392" s="130" t="str">
        <f aca="false">ExportRaw!$A392</f>
        <v/>
      </c>
      <c r="I392" s="130" t="str">
        <f aca="false">ExportRaw!$B392</f>
        <v/>
      </c>
    </row>
    <row r="393" customFormat="false" ht="15.75" hidden="false" customHeight="false" outlineLevel="0" collapsed="false">
      <c r="A393" s="130" t="n">
        <f aca="false">ExportRaw!$F393</f>
        <v>0</v>
      </c>
      <c r="B393" s="130" t="n">
        <f aca="false">ExportRaw!$C393</f>
        <v>0</v>
      </c>
      <c r="C393" s="130" t="n">
        <f aca="false">ExportRaw!$G393</f>
        <v>0</v>
      </c>
      <c r="D393" s="130" t="str">
        <f aca="false">ExportRaw!$E393</f>
        <v/>
      </c>
      <c r="E393" s="131" t="str">
        <f aca="false">ExportRaw!$D393</f>
        <v/>
      </c>
      <c r="F393" s="130" t="str">
        <f aca="false">ExportRaw!$H393</f>
        <v/>
      </c>
      <c r="G393" s="132" t="str">
        <f aca="false">ExportRaw!$I393</f>
        <v/>
      </c>
      <c r="H393" s="130" t="str">
        <f aca="false">ExportRaw!$A393</f>
        <v/>
      </c>
      <c r="I393" s="130" t="str">
        <f aca="false">ExportRaw!$B393</f>
        <v/>
      </c>
    </row>
    <row r="394" customFormat="false" ht="15.75" hidden="false" customHeight="false" outlineLevel="0" collapsed="false">
      <c r="A394" s="130" t="n">
        <f aca="false">ExportRaw!$F394</f>
        <v>0</v>
      </c>
      <c r="B394" s="130" t="n">
        <f aca="false">ExportRaw!$C394</f>
        <v>0</v>
      </c>
      <c r="C394" s="130" t="n">
        <f aca="false">ExportRaw!$G394</f>
        <v>0</v>
      </c>
      <c r="D394" s="130" t="str">
        <f aca="false">ExportRaw!$E394</f>
        <v/>
      </c>
      <c r="E394" s="131" t="str">
        <f aca="false">ExportRaw!$D394</f>
        <v/>
      </c>
      <c r="F394" s="130" t="str">
        <f aca="false">ExportRaw!$H394</f>
        <v/>
      </c>
      <c r="G394" s="132" t="str">
        <f aca="false">ExportRaw!$I394</f>
        <v/>
      </c>
      <c r="H394" s="130" t="str">
        <f aca="false">ExportRaw!$A394</f>
        <v/>
      </c>
      <c r="I394" s="130" t="str">
        <f aca="false">ExportRaw!$B394</f>
        <v/>
      </c>
    </row>
    <row r="395" customFormat="false" ht="15.75" hidden="false" customHeight="false" outlineLevel="0" collapsed="false">
      <c r="A395" s="130" t="n">
        <f aca="false">ExportRaw!$F395</f>
        <v>0</v>
      </c>
      <c r="B395" s="130" t="n">
        <f aca="false">ExportRaw!$C395</f>
        <v>0</v>
      </c>
      <c r="C395" s="130" t="n">
        <f aca="false">ExportRaw!$G395</f>
        <v>0</v>
      </c>
      <c r="D395" s="130" t="str">
        <f aca="false">ExportRaw!$E395</f>
        <v/>
      </c>
      <c r="E395" s="131" t="str">
        <f aca="false">ExportRaw!$D395</f>
        <v/>
      </c>
      <c r="F395" s="130" t="str">
        <f aca="false">ExportRaw!$H395</f>
        <v/>
      </c>
      <c r="G395" s="132" t="str">
        <f aca="false">ExportRaw!$I395</f>
        <v/>
      </c>
      <c r="H395" s="130" t="str">
        <f aca="false">ExportRaw!$A395</f>
        <v/>
      </c>
      <c r="I395" s="130" t="str">
        <f aca="false">ExportRaw!$B395</f>
        <v/>
      </c>
    </row>
    <row r="396" customFormat="false" ht="15.75" hidden="false" customHeight="false" outlineLevel="0" collapsed="false">
      <c r="A396" s="130" t="n">
        <f aca="false">ExportRaw!$F396</f>
        <v>0</v>
      </c>
      <c r="B396" s="130" t="n">
        <f aca="false">ExportRaw!$C396</f>
        <v>0</v>
      </c>
      <c r="C396" s="130" t="n">
        <f aca="false">ExportRaw!$G396</f>
        <v>0</v>
      </c>
      <c r="D396" s="130" t="str">
        <f aca="false">ExportRaw!$E396</f>
        <v/>
      </c>
      <c r="E396" s="131" t="str">
        <f aca="false">ExportRaw!$D396</f>
        <v/>
      </c>
      <c r="F396" s="130" t="str">
        <f aca="false">ExportRaw!$H396</f>
        <v/>
      </c>
      <c r="G396" s="132" t="str">
        <f aca="false">ExportRaw!$I396</f>
        <v/>
      </c>
      <c r="H396" s="130" t="str">
        <f aca="false">ExportRaw!$A396</f>
        <v/>
      </c>
      <c r="I396" s="130" t="str">
        <f aca="false">ExportRaw!$B396</f>
        <v/>
      </c>
    </row>
    <row r="397" customFormat="false" ht="15.75" hidden="false" customHeight="false" outlineLevel="0" collapsed="false">
      <c r="A397" s="130" t="n">
        <f aca="false">ExportRaw!$F397</f>
        <v>0</v>
      </c>
      <c r="B397" s="130" t="n">
        <f aca="false">ExportRaw!$C397</f>
        <v>0</v>
      </c>
      <c r="C397" s="130" t="n">
        <f aca="false">ExportRaw!$G397</f>
        <v>0</v>
      </c>
      <c r="D397" s="130" t="str">
        <f aca="false">ExportRaw!$E397</f>
        <v/>
      </c>
      <c r="E397" s="131" t="str">
        <f aca="false">ExportRaw!$D397</f>
        <v/>
      </c>
      <c r="F397" s="130" t="str">
        <f aca="false">ExportRaw!$H397</f>
        <v/>
      </c>
      <c r="G397" s="132" t="str">
        <f aca="false">ExportRaw!$I397</f>
        <v/>
      </c>
      <c r="H397" s="130" t="str">
        <f aca="false">ExportRaw!$A397</f>
        <v/>
      </c>
      <c r="I397" s="130" t="str">
        <f aca="false">ExportRaw!$B397</f>
        <v/>
      </c>
    </row>
    <row r="398" customFormat="false" ht="15.75" hidden="false" customHeight="false" outlineLevel="0" collapsed="false">
      <c r="A398" s="130" t="n">
        <f aca="false">ExportRaw!$F398</f>
        <v>0</v>
      </c>
      <c r="B398" s="130" t="n">
        <f aca="false">ExportRaw!$C398</f>
        <v>0</v>
      </c>
      <c r="C398" s="130" t="n">
        <f aca="false">ExportRaw!$G398</f>
        <v>0</v>
      </c>
      <c r="D398" s="130" t="str">
        <f aca="false">ExportRaw!$E398</f>
        <v/>
      </c>
      <c r="E398" s="131" t="str">
        <f aca="false">ExportRaw!$D398</f>
        <v/>
      </c>
      <c r="F398" s="130" t="str">
        <f aca="false">ExportRaw!$H398</f>
        <v/>
      </c>
      <c r="G398" s="132" t="str">
        <f aca="false">ExportRaw!$I398</f>
        <v/>
      </c>
      <c r="H398" s="130" t="str">
        <f aca="false">ExportRaw!$A398</f>
        <v/>
      </c>
      <c r="I398" s="130" t="str">
        <f aca="false">ExportRaw!$B398</f>
        <v/>
      </c>
    </row>
    <row r="399" customFormat="false" ht="15.75" hidden="false" customHeight="false" outlineLevel="0" collapsed="false">
      <c r="A399" s="130" t="n">
        <f aca="false">ExportRaw!$F399</f>
        <v>0</v>
      </c>
      <c r="B399" s="130" t="n">
        <f aca="false">ExportRaw!$C399</f>
        <v>0</v>
      </c>
      <c r="C399" s="130" t="n">
        <f aca="false">ExportRaw!$G399</f>
        <v>0</v>
      </c>
      <c r="D399" s="130" t="str">
        <f aca="false">ExportRaw!$E399</f>
        <v/>
      </c>
      <c r="E399" s="131" t="str">
        <f aca="false">ExportRaw!$D399</f>
        <v/>
      </c>
      <c r="F399" s="130" t="str">
        <f aca="false">ExportRaw!$H399</f>
        <v/>
      </c>
      <c r="G399" s="132" t="str">
        <f aca="false">ExportRaw!$I399</f>
        <v/>
      </c>
      <c r="H399" s="130" t="str">
        <f aca="false">ExportRaw!$A399</f>
        <v/>
      </c>
      <c r="I399" s="130" t="str">
        <f aca="false">ExportRaw!$B399</f>
        <v/>
      </c>
    </row>
    <row r="400" customFormat="false" ht="15.75" hidden="false" customHeight="false" outlineLevel="0" collapsed="false">
      <c r="A400" s="130" t="n">
        <f aca="false">ExportRaw!$F400</f>
        <v>0</v>
      </c>
      <c r="B400" s="130" t="n">
        <f aca="false">ExportRaw!$C400</f>
        <v>0</v>
      </c>
      <c r="C400" s="130" t="n">
        <f aca="false">ExportRaw!$G400</f>
        <v>0</v>
      </c>
      <c r="D400" s="130" t="str">
        <f aca="false">ExportRaw!$E400</f>
        <v/>
      </c>
      <c r="E400" s="131" t="str">
        <f aca="false">ExportRaw!$D400</f>
        <v/>
      </c>
      <c r="F400" s="130" t="str">
        <f aca="false">ExportRaw!$H400</f>
        <v/>
      </c>
      <c r="G400" s="132" t="str">
        <f aca="false">ExportRaw!$I400</f>
        <v/>
      </c>
      <c r="H400" s="130" t="str">
        <f aca="false">ExportRaw!$A400</f>
        <v/>
      </c>
      <c r="I400" s="130" t="str">
        <f aca="false">ExportRaw!$B400</f>
        <v/>
      </c>
    </row>
    <row r="401" customFormat="false" ht="15.75" hidden="false" customHeight="false" outlineLevel="0" collapsed="false">
      <c r="A401" s="130" t="n">
        <f aca="false">ExportRaw!$F401</f>
        <v>0</v>
      </c>
      <c r="B401" s="130" t="n">
        <f aca="false">ExportRaw!$C401</f>
        <v>0</v>
      </c>
      <c r="C401" s="130" t="n">
        <f aca="false">ExportRaw!$G401</f>
        <v>0</v>
      </c>
      <c r="D401" s="130" t="str">
        <f aca="false">ExportRaw!$E401</f>
        <v/>
      </c>
      <c r="E401" s="131" t="str">
        <f aca="false">ExportRaw!$D401</f>
        <v/>
      </c>
      <c r="F401" s="130" t="str">
        <f aca="false">ExportRaw!$H401</f>
        <v/>
      </c>
      <c r="G401" s="132" t="str">
        <f aca="false">ExportRaw!$I401</f>
        <v/>
      </c>
      <c r="H401" s="130" t="str">
        <f aca="false">ExportRaw!$A401</f>
        <v/>
      </c>
      <c r="I401" s="130" t="str">
        <f aca="false">ExportRaw!$B401</f>
        <v/>
      </c>
    </row>
    <row r="402" customFormat="false" ht="15.75" hidden="false" customHeight="false" outlineLevel="0" collapsed="false">
      <c r="A402" s="130" t="n">
        <f aca="false">ExportRaw!$F402</f>
        <v>0</v>
      </c>
      <c r="B402" s="130" t="n">
        <f aca="false">ExportRaw!$C402</f>
        <v>0</v>
      </c>
      <c r="C402" s="130" t="n">
        <f aca="false">ExportRaw!$G402</f>
        <v>0</v>
      </c>
      <c r="D402" s="130" t="str">
        <f aca="false">ExportRaw!$E402</f>
        <v/>
      </c>
      <c r="E402" s="131" t="str">
        <f aca="false">ExportRaw!$D402</f>
        <v/>
      </c>
      <c r="F402" s="130" t="str">
        <f aca="false">ExportRaw!$H402</f>
        <v/>
      </c>
      <c r="G402" s="132" t="str">
        <f aca="false">ExportRaw!$I402</f>
        <v/>
      </c>
      <c r="H402" s="130" t="str">
        <f aca="false">ExportRaw!$A402</f>
        <v/>
      </c>
      <c r="I402" s="130" t="str">
        <f aca="false">ExportRaw!$B402</f>
        <v/>
      </c>
    </row>
    <row r="403" customFormat="false" ht="15.75" hidden="false" customHeight="false" outlineLevel="0" collapsed="false">
      <c r="A403" s="130" t="n">
        <f aca="false">ExportRaw!$F403</f>
        <v>0</v>
      </c>
      <c r="B403" s="130" t="n">
        <f aca="false">ExportRaw!$C403</f>
        <v>0</v>
      </c>
      <c r="C403" s="130" t="n">
        <f aca="false">ExportRaw!$G403</f>
        <v>0</v>
      </c>
      <c r="D403" s="130" t="str">
        <f aca="false">ExportRaw!$E403</f>
        <v/>
      </c>
      <c r="E403" s="131" t="str">
        <f aca="false">ExportRaw!$D403</f>
        <v/>
      </c>
      <c r="F403" s="130" t="str">
        <f aca="false">ExportRaw!$H403</f>
        <v/>
      </c>
      <c r="G403" s="132" t="str">
        <f aca="false">ExportRaw!$I403</f>
        <v/>
      </c>
      <c r="H403" s="130" t="str">
        <f aca="false">ExportRaw!$A403</f>
        <v/>
      </c>
      <c r="I403" s="130" t="str">
        <f aca="false">ExportRaw!$B403</f>
        <v/>
      </c>
    </row>
    <row r="404" customFormat="false" ht="15.75" hidden="false" customHeight="false" outlineLevel="0" collapsed="false">
      <c r="A404" s="130" t="n">
        <f aca="false">ExportRaw!$F404</f>
        <v>0</v>
      </c>
      <c r="B404" s="130" t="n">
        <f aca="false">ExportRaw!$C404</f>
        <v>0</v>
      </c>
      <c r="C404" s="130" t="n">
        <f aca="false">ExportRaw!$G404</f>
        <v>0</v>
      </c>
      <c r="D404" s="130" t="str">
        <f aca="false">ExportRaw!$E404</f>
        <v/>
      </c>
      <c r="E404" s="131" t="str">
        <f aca="false">ExportRaw!$D404</f>
        <v/>
      </c>
      <c r="F404" s="130" t="str">
        <f aca="false">ExportRaw!$H404</f>
        <v/>
      </c>
      <c r="G404" s="132" t="str">
        <f aca="false">ExportRaw!$I404</f>
        <v/>
      </c>
      <c r="H404" s="130" t="str">
        <f aca="false">ExportRaw!$A404</f>
        <v/>
      </c>
      <c r="I404" s="130" t="str">
        <f aca="false">ExportRaw!$B404</f>
        <v/>
      </c>
    </row>
    <row r="405" customFormat="false" ht="15.75" hidden="false" customHeight="false" outlineLevel="0" collapsed="false">
      <c r="A405" s="130" t="n">
        <f aca="false">ExportRaw!$F405</f>
        <v>0</v>
      </c>
      <c r="B405" s="130" t="n">
        <f aca="false">ExportRaw!$C405</f>
        <v>0</v>
      </c>
      <c r="C405" s="130" t="n">
        <f aca="false">ExportRaw!$G405</f>
        <v>0</v>
      </c>
      <c r="D405" s="130" t="str">
        <f aca="false">ExportRaw!$E405</f>
        <v/>
      </c>
      <c r="E405" s="131" t="str">
        <f aca="false">ExportRaw!$D405</f>
        <v/>
      </c>
      <c r="F405" s="130" t="str">
        <f aca="false">ExportRaw!$H405</f>
        <v/>
      </c>
      <c r="G405" s="132" t="str">
        <f aca="false">ExportRaw!$I405</f>
        <v/>
      </c>
      <c r="H405" s="130" t="str">
        <f aca="false">ExportRaw!$A405</f>
        <v/>
      </c>
      <c r="I405" s="130" t="str">
        <f aca="false">ExportRaw!$B405</f>
        <v/>
      </c>
    </row>
    <row r="406" customFormat="false" ht="15.75" hidden="false" customHeight="false" outlineLevel="0" collapsed="false">
      <c r="A406" s="130" t="n">
        <f aca="false">ExportRaw!$F406</f>
        <v>0</v>
      </c>
      <c r="B406" s="130" t="n">
        <f aca="false">ExportRaw!$C406</f>
        <v>0</v>
      </c>
      <c r="C406" s="130" t="n">
        <f aca="false">ExportRaw!$G406</f>
        <v>0</v>
      </c>
      <c r="D406" s="130" t="str">
        <f aca="false">ExportRaw!$E406</f>
        <v/>
      </c>
      <c r="E406" s="131" t="str">
        <f aca="false">ExportRaw!$D406</f>
        <v/>
      </c>
      <c r="F406" s="130" t="str">
        <f aca="false">ExportRaw!$H406</f>
        <v/>
      </c>
      <c r="G406" s="132" t="str">
        <f aca="false">ExportRaw!$I406</f>
        <v/>
      </c>
      <c r="H406" s="130" t="str">
        <f aca="false">ExportRaw!$A406</f>
        <v/>
      </c>
      <c r="I406" s="130" t="str">
        <f aca="false">ExportRaw!$B406</f>
        <v/>
      </c>
    </row>
    <row r="407" customFormat="false" ht="15.75" hidden="false" customHeight="false" outlineLevel="0" collapsed="false">
      <c r="A407" s="130" t="n">
        <f aca="false">ExportRaw!$F407</f>
        <v>0</v>
      </c>
      <c r="B407" s="130" t="n">
        <f aca="false">ExportRaw!$C407</f>
        <v>0</v>
      </c>
      <c r="C407" s="130" t="n">
        <f aca="false">ExportRaw!$G407</f>
        <v>0</v>
      </c>
      <c r="D407" s="130" t="str">
        <f aca="false">ExportRaw!$E407</f>
        <v/>
      </c>
      <c r="E407" s="131" t="str">
        <f aca="false">ExportRaw!$D407</f>
        <v/>
      </c>
      <c r="F407" s="130" t="str">
        <f aca="false">ExportRaw!$H407</f>
        <v/>
      </c>
      <c r="G407" s="132" t="str">
        <f aca="false">ExportRaw!$I407</f>
        <v/>
      </c>
      <c r="H407" s="130" t="str">
        <f aca="false">ExportRaw!$A407</f>
        <v/>
      </c>
      <c r="I407" s="130" t="str">
        <f aca="false">ExportRaw!$B407</f>
        <v/>
      </c>
    </row>
    <row r="408" customFormat="false" ht="15.75" hidden="false" customHeight="false" outlineLevel="0" collapsed="false">
      <c r="A408" s="130" t="n">
        <f aca="false">ExportRaw!$F408</f>
        <v>0</v>
      </c>
      <c r="B408" s="130" t="n">
        <f aca="false">ExportRaw!$C408</f>
        <v>0</v>
      </c>
      <c r="C408" s="130" t="n">
        <f aca="false">ExportRaw!$G408</f>
        <v>0</v>
      </c>
      <c r="D408" s="130" t="str">
        <f aca="false">ExportRaw!$E408</f>
        <v/>
      </c>
      <c r="E408" s="131" t="str">
        <f aca="false">ExportRaw!$D408</f>
        <v/>
      </c>
      <c r="F408" s="130" t="str">
        <f aca="false">ExportRaw!$H408</f>
        <v/>
      </c>
      <c r="G408" s="132" t="str">
        <f aca="false">ExportRaw!$I408</f>
        <v/>
      </c>
      <c r="H408" s="130" t="str">
        <f aca="false">ExportRaw!$A408</f>
        <v/>
      </c>
      <c r="I408" s="130" t="str">
        <f aca="false">ExportRaw!$B408</f>
        <v/>
      </c>
    </row>
    <row r="409" customFormat="false" ht="15.75" hidden="false" customHeight="false" outlineLevel="0" collapsed="false">
      <c r="A409" s="130" t="n">
        <f aca="false">ExportRaw!$F409</f>
        <v>0</v>
      </c>
      <c r="B409" s="130" t="n">
        <f aca="false">ExportRaw!$C409</f>
        <v>0</v>
      </c>
      <c r="C409" s="130" t="n">
        <f aca="false">ExportRaw!$G409</f>
        <v>0</v>
      </c>
      <c r="D409" s="130" t="str">
        <f aca="false">ExportRaw!$E409</f>
        <v/>
      </c>
      <c r="E409" s="131" t="str">
        <f aca="false">ExportRaw!$D409</f>
        <v/>
      </c>
      <c r="F409" s="130" t="str">
        <f aca="false">ExportRaw!$H409</f>
        <v/>
      </c>
      <c r="G409" s="132" t="str">
        <f aca="false">ExportRaw!$I409</f>
        <v/>
      </c>
      <c r="H409" s="130" t="str">
        <f aca="false">ExportRaw!$A409</f>
        <v/>
      </c>
      <c r="I409" s="130" t="str">
        <f aca="false">ExportRaw!$B409</f>
        <v/>
      </c>
    </row>
    <row r="410" customFormat="false" ht="15.75" hidden="false" customHeight="false" outlineLevel="0" collapsed="false">
      <c r="A410" s="130" t="n">
        <f aca="false">ExportRaw!$F410</f>
        <v>0</v>
      </c>
      <c r="B410" s="130" t="n">
        <f aca="false">ExportRaw!$C410</f>
        <v>0</v>
      </c>
      <c r="C410" s="130" t="n">
        <f aca="false">ExportRaw!$G410</f>
        <v>0</v>
      </c>
      <c r="D410" s="130" t="str">
        <f aca="false">ExportRaw!$E410</f>
        <v/>
      </c>
      <c r="E410" s="131" t="str">
        <f aca="false">ExportRaw!$D410</f>
        <v/>
      </c>
      <c r="F410" s="130" t="str">
        <f aca="false">ExportRaw!$H410</f>
        <v/>
      </c>
      <c r="G410" s="132" t="str">
        <f aca="false">ExportRaw!$I410</f>
        <v/>
      </c>
      <c r="H410" s="130" t="str">
        <f aca="false">ExportRaw!$A410</f>
        <v/>
      </c>
      <c r="I410" s="130" t="str">
        <f aca="false">ExportRaw!$B410</f>
        <v/>
      </c>
    </row>
    <row r="411" customFormat="false" ht="15.75" hidden="false" customHeight="false" outlineLevel="0" collapsed="false">
      <c r="A411" s="130" t="n">
        <f aca="false">ExportRaw!$F411</f>
        <v>0</v>
      </c>
      <c r="B411" s="130" t="n">
        <f aca="false">ExportRaw!$C411</f>
        <v>0</v>
      </c>
      <c r="C411" s="130" t="n">
        <f aca="false">ExportRaw!$G411</f>
        <v>0</v>
      </c>
      <c r="D411" s="130" t="str">
        <f aca="false">ExportRaw!$E411</f>
        <v/>
      </c>
      <c r="E411" s="131" t="str">
        <f aca="false">ExportRaw!$D411</f>
        <v/>
      </c>
      <c r="F411" s="130" t="str">
        <f aca="false">ExportRaw!$H411</f>
        <v/>
      </c>
      <c r="G411" s="132" t="str">
        <f aca="false">ExportRaw!$I411</f>
        <v/>
      </c>
      <c r="H411" s="130" t="str">
        <f aca="false">ExportRaw!$A411</f>
        <v/>
      </c>
      <c r="I411" s="130" t="str">
        <f aca="false">ExportRaw!$B411</f>
        <v/>
      </c>
    </row>
    <row r="412" customFormat="false" ht="15.75" hidden="false" customHeight="false" outlineLevel="0" collapsed="false">
      <c r="A412" s="130" t="n">
        <f aca="false">ExportRaw!$F412</f>
        <v>0</v>
      </c>
      <c r="B412" s="130" t="n">
        <f aca="false">ExportRaw!$C412</f>
        <v>0</v>
      </c>
      <c r="C412" s="130" t="n">
        <f aca="false">ExportRaw!$G412</f>
        <v>0</v>
      </c>
      <c r="D412" s="130" t="str">
        <f aca="false">ExportRaw!$E412</f>
        <v/>
      </c>
      <c r="E412" s="131" t="str">
        <f aca="false">ExportRaw!$D412</f>
        <v/>
      </c>
      <c r="F412" s="130" t="str">
        <f aca="false">ExportRaw!$H412</f>
        <v/>
      </c>
      <c r="G412" s="132" t="str">
        <f aca="false">ExportRaw!$I412</f>
        <v/>
      </c>
      <c r="H412" s="130" t="str">
        <f aca="false">ExportRaw!$A412</f>
        <v/>
      </c>
      <c r="I412" s="130" t="str">
        <f aca="false">ExportRaw!$B412</f>
        <v/>
      </c>
    </row>
    <row r="413" customFormat="false" ht="15.75" hidden="false" customHeight="false" outlineLevel="0" collapsed="false">
      <c r="A413" s="130" t="n">
        <f aca="false">ExportRaw!$F413</f>
        <v>0</v>
      </c>
      <c r="B413" s="130" t="n">
        <f aca="false">ExportRaw!$C413</f>
        <v>0</v>
      </c>
      <c r="C413" s="130" t="n">
        <f aca="false">ExportRaw!$G413</f>
        <v>0</v>
      </c>
      <c r="D413" s="130" t="str">
        <f aca="false">ExportRaw!$E413</f>
        <v/>
      </c>
      <c r="E413" s="131" t="str">
        <f aca="false">ExportRaw!$D413</f>
        <v/>
      </c>
      <c r="F413" s="130" t="str">
        <f aca="false">ExportRaw!$H413</f>
        <v/>
      </c>
      <c r="G413" s="132" t="str">
        <f aca="false">ExportRaw!$I413</f>
        <v/>
      </c>
      <c r="H413" s="130" t="str">
        <f aca="false">ExportRaw!$A413</f>
        <v/>
      </c>
      <c r="I413" s="130" t="str">
        <f aca="false">ExportRaw!$B413</f>
        <v/>
      </c>
    </row>
    <row r="414" customFormat="false" ht="15.75" hidden="false" customHeight="false" outlineLevel="0" collapsed="false">
      <c r="A414" s="130" t="n">
        <f aca="false">ExportRaw!$F414</f>
        <v>0</v>
      </c>
      <c r="B414" s="130" t="n">
        <f aca="false">ExportRaw!$C414</f>
        <v>0</v>
      </c>
      <c r="C414" s="130" t="n">
        <f aca="false">ExportRaw!$G414</f>
        <v>0</v>
      </c>
      <c r="D414" s="130" t="str">
        <f aca="false">ExportRaw!$E414</f>
        <v/>
      </c>
      <c r="E414" s="131" t="str">
        <f aca="false">ExportRaw!$D414</f>
        <v/>
      </c>
      <c r="F414" s="130" t="str">
        <f aca="false">ExportRaw!$H414</f>
        <v/>
      </c>
      <c r="G414" s="132" t="str">
        <f aca="false">ExportRaw!$I414</f>
        <v/>
      </c>
      <c r="H414" s="130" t="str">
        <f aca="false">ExportRaw!$A414</f>
        <v/>
      </c>
      <c r="I414" s="130" t="str">
        <f aca="false">ExportRaw!$B414</f>
        <v/>
      </c>
    </row>
    <row r="415" customFormat="false" ht="15.75" hidden="false" customHeight="false" outlineLevel="0" collapsed="false">
      <c r="A415" s="130" t="n">
        <f aca="false">ExportRaw!$F415</f>
        <v>0</v>
      </c>
      <c r="B415" s="130" t="n">
        <f aca="false">ExportRaw!$C415</f>
        <v>0</v>
      </c>
      <c r="C415" s="130" t="n">
        <f aca="false">ExportRaw!$G415</f>
        <v>0</v>
      </c>
      <c r="D415" s="130" t="str">
        <f aca="false">ExportRaw!$E415</f>
        <v/>
      </c>
      <c r="E415" s="131" t="str">
        <f aca="false">ExportRaw!$D415</f>
        <v/>
      </c>
      <c r="F415" s="130" t="str">
        <f aca="false">ExportRaw!$H415</f>
        <v/>
      </c>
      <c r="G415" s="132" t="str">
        <f aca="false">ExportRaw!$I415</f>
        <v/>
      </c>
      <c r="H415" s="130" t="str">
        <f aca="false">ExportRaw!$A415</f>
        <v/>
      </c>
      <c r="I415" s="130" t="str">
        <f aca="false">ExportRaw!$B415</f>
        <v/>
      </c>
    </row>
    <row r="416" customFormat="false" ht="15.75" hidden="false" customHeight="false" outlineLevel="0" collapsed="false">
      <c r="A416" s="130" t="n">
        <f aca="false">ExportRaw!$F416</f>
        <v>0</v>
      </c>
      <c r="B416" s="130" t="n">
        <f aca="false">ExportRaw!$C416</f>
        <v>0</v>
      </c>
      <c r="C416" s="130" t="n">
        <f aca="false">ExportRaw!$G416</f>
        <v>0</v>
      </c>
      <c r="D416" s="130" t="str">
        <f aca="false">ExportRaw!$E416</f>
        <v/>
      </c>
      <c r="E416" s="131" t="str">
        <f aca="false">ExportRaw!$D416</f>
        <v/>
      </c>
      <c r="F416" s="130" t="str">
        <f aca="false">ExportRaw!$H416</f>
        <v/>
      </c>
      <c r="G416" s="132" t="str">
        <f aca="false">ExportRaw!$I416</f>
        <v/>
      </c>
      <c r="H416" s="130" t="str">
        <f aca="false">ExportRaw!$A416</f>
        <v/>
      </c>
      <c r="I416" s="130" t="str">
        <f aca="false">ExportRaw!$B416</f>
        <v/>
      </c>
    </row>
    <row r="417" customFormat="false" ht="15.75" hidden="false" customHeight="false" outlineLevel="0" collapsed="false">
      <c r="A417" s="130" t="n">
        <f aca="false">ExportRaw!$F417</f>
        <v>0</v>
      </c>
      <c r="B417" s="130" t="n">
        <f aca="false">ExportRaw!$C417</f>
        <v>0</v>
      </c>
      <c r="C417" s="130" t="n">
        <f aca="false">ExportRaw!$G417</f>
        <v>0</v>
      </c>
      <c r="D417" s="130" t="str">
        <f aca="false">ExportRaw!$E417</f>
        <v/>
      </c>
      <c r="E417" s="131" t="str">
        <f aca="false">ExportRaw!$D417</f>
        <v/>
      </c>
      <c r="F417" s="130" t="str">
        <f aca="false">ExportRaw!$H417</f>
        <v/>
      </c>
      <c r="G417" s="132" t="str">
        <f aca="false">ExportRaw!$I417</f>
        <v/>
      </c>
      <c r="H417" s="130" t="str">
        <f aca="false">ExportRaw!$A417</f>
        <v/>
      </c>
      <c r="I417" s="130" t="str">
        <f aca="false">ExportRaw!$B417</f>
        <v/>
      </c>
    </row>
    <row r="418" customFormat="false" ht="15.75" hidden="false" customHeight="false" outlineLevel="0" collapsed="false">
      <c r="A418" s="130" t="n">
        <f aca="false">ExportRaw!$F418</f>
        <v>0</v>
      </c>
      <c r="B418" s="130" t="n">
        <f aca="false">ExportRaw!$C418</f>
        <v>0</v>
      </c>
      <c r="C418" s="130" t="n">
        <f aca="false">ExportRaw!$G418</f>
        <v>0</v>
      </c>
      <c r="D418" s="130" t="str">
        <f aca="false">ExportRaw!$E418</f>
        <v/>
      </c>
      <c r="E418" s="131" t="str">
        <f aca="false">ExportRaw!$D418</f>
        <v/>
      </c>
      <c r="F418" s="130" t="str">
        <f aca="false">ExportRaw!$H418</f>
        <v/>
      </c>
      <c r="G418" s="132" t="str">
        <f aca="false">ExportRaw!$I418</f>
        <v/>
      </c>
      <c r="H418" s="130" t="str">
        <f aca="false">ExportRaw!$A418</f>
        <v/>
      </c>
      <c r="I418" s="130" t="str">
        <f aca="false">ExportRaw!$B418</f>
        <v/>
      </c>
    </row>
    <row r="419" customFormat="false" ht="15.75" hidden="false" customHeight="false" outlineLevel="0" collapsed="false">
      <c r="A419" s="130" t="n">
        <f aca="false">ExportRaw!$F419</f>
        <v>0</v>
      </c>
      <c r="B419" s="130" t="n">
        <f aca="false">ExportRaw!$C419</f>
        <v>0</v>
      </c>
      <c r="C419" s="130" t="n">
        <f aca="false">ExportRaw!$G419</f>
        <v>0</v>
      </c>
      <c r="D419" s="130" t="str">
        <f aca="false">ExportRaw!$E419</f>
        <v/>
      </c>
      <c r="E419" s="131" t="str">
        <f aca="false">ExportRaw!$D419</f>
        <v/>
      </c>
      <c r="F419" s="130" t="str">
        <f aca="false">ExportRaw!$H419</f>
        <v/>
      </c>
      <c r="G419" s="132" t="str">
        <f aca="false">ExportRaw!$I419</f>
        <v/>
      </c>
      <c r="H419" s="130" t="str">
        <f aca="false">ExportRaw!$A419</f>
        <v/>
      </c>
      <c r="I419" s="130" t="str">
        <f aca="false">ExportRaw!$B419</f>
        <v/>
      </c>
    </row>
    <row r="420" customFormat="false" ht="15.75" hidden="false" customHeight="false" outlineLevel="0" collapsed="false">
      <c r="A420" s="130" t="n">
        <f aca="false">ExportRaw!$F420</f>
        <v>0</v>
      </c>
      <c r="B420" s="130" t="n">
        <f aca="false">ExportRaw!$C420</f>
        <v>0</v>
      </c>
      <c r="C420" s="130" t="n">
        <f aca="false">ExportRaw!$G420</f>
        <v>0</v>
      </c>
      <c r="D420" s="130" t="str">
        <f aca="false">ExportRaw!$E420</f>
        <v/>
      </c>
      <c r="E420" s="131" t="str">
        <f aca="false">ExportRaw!$D420</f>
        <v/>
      </c>
      <c r="F420" s="130" t="str">
        <f aca="false">ExportRaw!$H420</f>
        <v/>
      </c>
      <c r="G420" s="132" t="str">
        <f aca="false">ExportRaw!$I420</f>
        <v/>
      </c>
      <c r="H420" s="130" t="str">
        <f aca="false">ExportRaw!$A420</f>
        <v/>
      </c>
      <c r="I420" s="130" t="str">
        <f aca="false">ExportRaw!$B420</f>
        <v/>
      </c>
    </row>
    <row r="421" customFormat="false" ht="15.75" hidden="false" customHeight="false" outlineLevel="0" collapsed="false">
      <c r="A421" s="130" t="n">
        <f aca="false">ExportRaw!$F421</f>
        <v>0</v>
      </c>
      <c r="B421" s="130" t="n">
        <f aca="false">ExportRaw!$C421</f>
        <v>0</v>
      </c>
      <c r="C421" s="130" t="n">
        <f aca="false">ExportRaw!$G421</f>
        <v>0</v>
      </c>
      <c r="D421" s="130" t="str">
        <f aca="false">ExportRaw!$E421</f>
        <v/>
      </c>
      <c r="E421" s="131" t="str">
        <f aca="false">ExportRaw!$D421</f>
        <v/>
      </c>
      <c r="F421" s="130" t="str">
        <f aca="false">ExportRaw!$H421</f>
        <v/>
      </c>
      <c r="G421" s="132" t="str">
        <f aca="false">ExportRaw!$I421</f>
        <v/>
      </c>
      <c r="H421" s="130" t="str">
        <f aca="false">ExportRaw!$A421</f>
        <v/>
      </c>
      <c r="I421" s="130" t="str">
        <f aca="false">ExportRaw!$B421</f>
        <v/>
      </c>
    </row>
    <row r="422" customFormat="false" ht="15.75" hidden="false" customHeight="false" outlineLevel="0" collapsed="false">
      <c r="A422" s="130" t="n">
        <f aca="false">ExportRaw!$F422</f>
        <v>0</v>
      </c>
      <c r="B422" s="130" t="n">
        <f aca="false">ExportRaw!$C422</f>
        <v>0</v>
      </c>
      <c r="C422" s="130" t="n">
        <f aca="false">ExportRaw!$G422</f>
        <v>0</v>
      </c>
      <c r="D422" s="130" t="str">
        <f aca="false">ExportRaw!$E422</f>
        <v/>
      </c>
      <c r="E422" s="131" t="str">
        <f aca="false">ExportRaw!$D422</f>
        <v/>
      </c>
      <c r="F422" s="130" t="str">
        <f aca="false">ExportRaw!$H422</f>
        <v/>
      </c>
      <c r="G422" s="132" t="str">
        <f aca="false">ExportRaw!$I422</f>
        <v/>
      </c>
      <c r="H422" s="130" t="str">
        <f aca="false">ExportRaw!$A422</f>
        <v/>
      </c>
      <c r="I422" s="130" t="str">
        <f aca="false">ExportRaw!$B422</f>
        <v/>
      </c>
    </row>
    <row r="423" customFormat="false" ht="15.75" hidden="false" customHeight="false" outlineLevel="0" collapsed="false">
      <c r="A423" s="130" t="n">
        <f aca="false">ExportRaw!$F423</f>
        <v>0</v>
      </c>
      <c r="B423" s="130" t="n">
        <f aca="false">ExportRaw!$C423</f>
        <v>0</v>
      </c>
      <c r="C423" s="130" t="n">
        <f aca="false">ExportRaw!$G423</f>
        <v>0</v>
      </c>
      <c r="D423" s="130" t="str">
        <f aca="false">ExportRaw!$E423</f>
        <v/>
      </c>
      <c r="E423" s="131" t="str">
        <f aca="false">ExportRaw!$D423</f>
        <v/>
      </c>
      <c r="F423" s="130" t="str">
        <f aca="false">ExportRaw!$H423</f>
        <v/>
      </c>
      <c r="G423" s="132" t="str">
        <f aca="false">ExportRaw!$I423</f>
        <v/>
      </c>
      <c r="H423" s="130" t="str">
        <f aca="false">ExportRaw!$A423</f>
        <v/>
      </c>
      <c r="I423" s="130" t="str">
        <f aca="false">ExportRaw!$B423</f>
        <v/>
      </c>
    </row>
    <row r="424" customFormat="false" ht="15.75" hidden="false" customHeight="false" outlineLevel="0" collapsed="false">
      <c r="A424" s="130" t="n">
        <f aca="false">ExportRaw!$F424</f>
        <v>0</v>
      </c>
      <c r="B424" s="130" t="n">
        <f aca="false">ExportRaw!$C424</f>
        <v>0</v>
      </c>
      <c r="C424" s="130" t="n">
        <f aca="false">ExportRaw!$G424</f>
        <v>0</v>
      </c>
      <c r="D424" s="130" t="str">
        <f aca="false">ExportRaw!$E424</f>
        <v/>
      </c>
      <c r="E424" s="131" t="str">
        <f aca="false">ExportRaw!$D424</f>
        <v/>
      </c>
      <c r="F424" s="130" t="str">
        <f aca="false">ExportRaw!$H424</f>
        <v/>
      </c>
      <c r="G424" s="132" t="str">
        <f aca="false">ExportRaw!$I424</f>
        <v/>
      </c>
      <c r="H424" s="130" t="str">
        <f aca="false">ExportRaw!$A424</f>
        <v/>
      </c>
      <c r="I424" s="130" t="str">
        <f aca="false">ExportRaw!$B424</f>
        <v/>
      </c>
    </row>
    <row r="425" customFormat="false" ht="15.75" hidden="false" customHeight="false" outlineLevel="0" collapsed="false">
      <c r="A425" s="130" t="n">
        <f aca="false">ExportRaw!$F425</f>
        <v>0</v>
      </c>
      <c r="B425" s="130" t="n">
        <f aca="false">ExportRaw!$C425</f>
        <v>0</v>
      </c>
      <c r="C425" s="130" t="n">
        <f aca="false">ExportRaw!$G425</f>
        <v>0</v>
      </c>
      <c r="D425" s="130" t="str">
        <f aca="false">ExportRaw!$E425</f>
        <v/>
      </c>
      <c r="E425" s="131" t="str">
        <f aca="false">ExportRaw!$D425</f>
        <v/>
      </c>
      <c r="F425" s="130" t="str">
        <f aca="false">ExportRaw!$H425</f>
        <v/>
      </c>
      <c r="G425" s="132" t="str">
        <f aca="false">ExportRaw!$I425</f>
        <v/>
      </c>
      <c r="H425" s="130" t="str">
        <f aca="false">ExportRaw!$A425</f>
        <v/>
      </c>
      <c r="I425" s="130" t="str">
        <f aca="false">ExportRaw!$B425</f>
        <v/>
      </c>
    </row>
    <row r="426" customFormat="false" ht="15.75" hidden="false" customHeight="false" outlineLevel="0" collapsed="false">
      <c r="A426" s="130" t="n">
        <f aca="false">ExportRaw!$F426</f>
        <v>0</v>
      </c>
      <c r="B426" s="130" t="n">
        <f aca="false">ExportRaw!$C426</f>
        <v>0</v>
      </c>
      <c r="C426" s="130" t="n">
        <f aca="false">ExportRaw!$G426</f>
        <v>0</v>
      </c>
      <c r="D426" s="130" t="str">
        <f aca="false">ExportRaw!$E426</f>
        <v/>
      </c>
      <c r="E426" s="131" t="str">
        <f aca="false">ExportRaw!$D426</f>
        <v/>
      </c>
      <c r="F426" s="130" t="str">
        <f aca="false">ExportRaw!$H426</f>
        <v/>
      </c>
      <c r="G426" s="132" t="str">
        <f aca="false">ExportRaw!$I426</f>
        <v/>
      </c>
      <c r="H426" s="130" t="str">
        <f aca="false">ExportRaw!$A426</f>
        <v/>
      </c>
      <c r="I426" s="130" t="str">
        <f aca="false">ExportRaw!$B426</f>
        <v/>
      </c>
    </row>
    <row r="427" customFormat="false" ht="15.75" hidden="false" customHeight="false" outlineLevel="0" collapsed="false">
      <c r="A427" s="130" t="n">
        <f aca="false">ExportRaw!$F427</f>
        <v>0</v>
      </c>
      <c r="B427" s="130" t="n">
        <f aca="false">ExportRaw!$C427</f>
        <v>0</v>
      </c>
      <c r="C427" s="130" t="n">
        <f aca="false">ExportRaw!$G427</f>
        <v>0</v>
      </c>
      <c r="D427" s="130" t="str">
        <f aca="false">ExportRaw!$E427</f>
        <v/>
      </c>
      <c r="E427" s="131" t="str">
        <f aca="false">ExportRaw!$D427</f>
        <v/>
      </c>
      <c r="F427" s="130" t="str">
        <f aca="false">ExportRaw!$H427</f>
        <v/>
      </c>
      <c r="G427" s="132" t="str">
        <f aca="false">ExportRaw!$I427</f>
        <v/>
      </c>
      <c r="H427" s="130" t="str">
        <f aca="false">ExportRaw!$A427</f>
        <v/>
      </c>
      <c r="I427" s="130" t="str">
        <f aca="false">ExportRaw!$B427</f>
        <v/>
      </c>
    </row>
    <row r="428" customFormat="false" ht="15.75" hidden="false" customHeight="false" outlineLevel="0" collapsed="false">
      <c r="A428" s="130" t="n">
        <f aca="false">ExportRaw!$F428</f>
        <v>0</v>
      </c>
      <c r="B428" s="130" t="n">
        <f aca="false">ExportRaw!$C428</f>
        <v>0</v>
      </c>
      <c r="C428" s="130" t="n">
        <f aca="false">ExportRaw!$G428</f>
        <v>0</v>
      </c>
      <c r="D428" s="130" t="str">
        <f aca="false">ExportRaw!$E428</f>
        <v/>
      </c>
      <c r="E428" s="131" t="str">
        <f aca="false">ExportRaw!$D428</f>
        <v/>
      </c>
      <c r="F428" s="130" t="str">
        <f aca="false">ExportRaw!$H428</f>
        <v/>
      </c>
      <c r="G428" s="132" t="str">
        <f aca="false">ExportRaw!$I428</f>
        <v/>
      </c>
      <c r="H428" s="130" t="str">
        <f aca="false">ExportRaw!$A428</f>
        <v/>
      </c>
      <c r="I428" s="130" t="str">
        <f aca="false">ExportRaw!$B428</f>
        <v/>
      </c>
    </row>
    <row r="429" customFormat="false" ht="15.75" hidden="false" customHeight="false" outlineLevel="0" collapsed="false">
      <c r="A429" s="130" t="n">
        <f aca="false">ExportRaw!$F429</f>
        <v>0</v>
      </c>
      <c r="B429" s="130" t="n">
        <f aca="false">ExportRaw!$C429</f>
        <v>0</v>
      </c>
      <c r="C429" s="130" t="n">
        <f aca="false">ExportRaw!$G429</f>
        <v>0</v>
      </c>
      <c r="D429" s="130" t="str">
        <f aca="false">ExportRaw!$E429</f>
        <v/>
      </c>
      <c r="E429" s="131" t="str">
        <f aca="false">ExportRaw!$D429</f>
        <v/>
      </c>
      <c r="F429" s="130" t="str">
        <f aca="false">ExportRaw!$H429</f>
        <v/>
      </c>
      <c r="G429" s="132" t="str">
        <f aca="false">ExportRaw!$I429</f>
        <v/>
      </c>
      <c r="H429" s="130" t="str">
        <f aca="false">ExportRaw!$A429</f>
        <v/>
      </c>
      <c r="I429" s="130" t="str">
        <f aca="false">ExportRaw!$B429</f>
        <v/>
      </c>
    </row>
    <row r="430" customFormat="false" ht="15.75" hidden="false" customHeight="false" outlineLevel="0" collapsed="false">
      <c r="A430" s="130" t="n">
        <f aca="false">ExportRaw!$F430</f>
        <v>0</v>
      </c>
      <c r="B430" s="130" t="n">
        <f aca="false">ExportRaw!$C430</f>
        <v>0</v>
      </c>
      <c r="C430" s="130" t="n">
        <f aca="false">ExportRaw!$G430</f>
        <v>0</v>
      </c>
      <c r="D430" s="130" t="str">
        <f aca="false">ExportRaw!$E430</f>
        <v/>
      </c>
      <c r="E430" s="131" t="str">
        <f aca="false">ExportRaw!$D430</f>
        <v/>
      </c>
      <c r="F430" s="130" t="str">
        <f aca="false">ExportRaw!$H430</f>
        <v/>
      </c>
      <c r="G430" s="132" t="str">
        <f aca="false">ExportRaw!$I430</f>
        <v/>
      </c>
      <c r="H430" s="130" t="str">
        <f aca="false">ExportRaw!$A430</f>
        <v/>
      </c>
      <c r="I430" s="130" t="str">
        <f aca="false">ExportRaw!$B430</f>
        <v/>
      </c>
    </row>
    <row r="431" customFormat="false" ht="15.75" hidden="false" customHeight="false" outlineLevel="0" collapsed="false">
      <c r="A431" s="130" t="n">
        <f aca="false">ExportRaw!$F431</f>
        <v>0</v>
      </c>
      <c r="B431" s="130" t="n">
        <f aca="false">ExportRaw!$C431</f>
        <v>0</v>
      </c>
      <c r="C431" s="130" t="n">
        <f aca="false">ExportRaw!$G431</f>
        <v>0</v>
      </c>
      <c r="D431" s="130" t="str">
        <f aca="false">ExportRaw!$E431</f>
        <v/>
      </c>
      <c r="E431" s="131" t="str">
        <f aca="false">ExportRaw!$D431</f>
        <v/>
      </c>
      <c r="F431" s="130" t="str">
        <f aca="false">ExportRaw!$H431</f>
        <v/>
      </c>
      <c r="G431" s="132" t="str">
        <f aca="false">ExportRaw!$I431</f>
        <v/>
      </c>
      <c r="H431" s="130" t="str">
        <f aca="false">ExportRaw!$A431</f>
        <v/>
      </c>
      <c r="I431" s="130" t="str">
        <f aca="false">ExportRaw!$B431</f>
        <v/>
      </c>
    </row>
    <row r="432" customFormat="false" ht="15.75" hidden="false" customHeight="false" outlineLevel="0" collapsed="false">
      <c r="A432" s="130" t="n">
        <f aca="false">ExportRaw!$F432</f>
        <v>0</v>
      </c>
      <c r="B432" s="130" t="n">
        <f aca="false">ExportRaw!$C432</f>
        <v>0</v>
      </c>
      <c r="C432" s="130" t="n">
        <f aca="false">ExportRaw!$G432</f>
        <v>0</v>
      </c>
      <c r="D432" s="130" t="str">
        <f aca="false">ExportRaw!$E432</f>
        <v/>
      </c>
      <c r="E432" s="131" t="str">
        <f aca="false">ExportRaw!$D432</f>
        <v/>
      </c>
      <c r="F432" s="130" t="str">
        <f aca="false">ExportRaw!$H432</f>
        <v/>
      </c>
      <c r="G432" s="132" t="str">
        <f aca="false">ExportRaw!$I432</f>
        <v/>
      </c>
      <c r="H432" s="130" t="str">
        <f aca="false">ExportRaw!$A432</f>
        <v/>
      </c>
      <c r="I432" s="130" t="str">
        <f aca="false">ExportRaw!$B432</f>
        <v/>
      </c>
    </row>
    <row r="433" customFormat="false" ht="15.75" hidden="false" customHeight="false" outlineLevel="0" collapsed="false">
      <c r="A433" s="130" t="n">
        <f aca="false">ExportRaw!$F433</f>
        <v>0</v>
      </c>
      <c r="B433" s="130" t="n">
        <f aca="false">ExportRaw!$C433</f>
        <v>0</v>
      </c>
      <c r="C433" s="130" t="n">
        <f aca="false">ExportRaw!$G433</f>
        <v>0</v>
      </c>
      <c r="D433" s="130" t="str">
        <f aca="false">ExportRaw!$E433</f>
        <v/>
      </c>
      <c r="E433" s="131" t="str">
        <f aca="false">ExportRaw!$D433</f>
        <v/>
      </c>
      <c r="F433" s="130" t="str">
        <f aca="false">ExportRaw!$H433</f>
        <v/>
      </c>
      <c r="G433" s="132" t="str">
        <f aca="false">ExportRaw!$I433</f>
        <v/>
      </c>
      <c r="H433" s="130" t="str">
        <f aca="false">ExportRaw!$A433</f>
        <v/>
      </c>
      <c r="I433" s="130" t="str">
        <f aca="false">ExportRaw!$B433</f>
        <v/>
      </c>
    </row>
    <row r="434" customFormat="false" ht="15.75" hidden="false" customHeight="false" outlineLevel="0" collapsed="false">
      <c r="A434" s="130" t="n">
        <f aca="false">ExportRaw!$F434</f>
        <v>0</v>
      </c>
      <c r="B434" s="130" t="n">
        <f aca="false">ExportRaw!$C434</f>
        <v>0</v>
      </c>
      <c r="C434" s="130" t="n">
        <f aca="false">ExportRaw!$G434</f>
        <v>0</v>
      </c>
      <c r="D434" s="130" t="str">
        <f aca="false">ExportRaw!$E434</f>
        <v/>
      </c>
      <c r="E434" s="131" t="str">
        <f aca="false">ExportRaw!$D434</f>
        <v/>
      </c>
      <c r="F434" s="130" t="str">
        <f aca="false">ExportRaw!$H434</f>
        <v/>
      </c>
      <c r="G434" s="132" t="str">
        <f aca="false">ExportRaw!$I434</f>
        <v/>
      </c>
      <c r="H434" s="130" t="str">
        <f aca="false">ExportRaw!$A434</f>
        <v/>
      </c>
      <c r="I434" s="130" t="str">
        <f aca="false">ExportRaw!$B434</f>
        <v/>
      </c>
    </row>
    <row r="435" customFormat="false" ht="15.75" hidden="false" customHeight="false" outlineLevel="0" collapsed="false">
      <c r="A435" s="130" t="n">
        <f aca="false">ExportRaw!$F435</f>
        <v>0</v>
      </c>
      <c r="B435" s="130" t="n">
        <f aca="false">ExportRaw!$C435</f>
        <v>0</v>
      </c>
      <c r="C435" s="130" t="n">
        <f aca="false">ExportRaw!$G435</f>
        <v>0</v>
      </c>
      <c r="D435" s="130" t="str">
        <f aca="false">ExportRaw!$E435</f>
        <v/>
      </c>
      <c r="E435" s="131" t="str">
        <f aca="false">ExportRaw!$D435</f>
        <v/>
      </c>
      <c r="F435" s="130" t="str">
        <f aca="false">ExportRaw!$H435</f>
        <v/>
      </c>
      <c r="G435" s="132" t="str">
        <f aca="false">ExportRaw!$I435</f>
        <v/>
      </c>
      <c r="H435" s="130" t="str">
        <f aca="false">ExportRaw!$A435</f>
        <v/>
      </c>
      <c r="I435" s="130" t="str">
        <f aca="false">ExportRaw!$B435</f>
        <v/>
      </c>
    </row>
    <row r="436" customFormat="false" ht="15.75" hidden="false" customHeight="false" outlineLevel="0" collapsed="false">
      <c r="A436" s="130" t="n">
        <f aca="false">ExportRaw!$F436</f>
        <v>0</v>
      </c>
      <c r="B436" s="130" t="n">
        <f aca="false">ExportRaw!$C436</f>
        <v>0</v>
      </c>
      <c r="C436" s="130" t="n">
        <f aca="false">ExportRaw!$G436</f>
        <v>0</v>
      </c>
      <c r="D436" s="130" t="str">
        <f aca="false">ExportRaw!$E436</f>
        <v/>
      </c>
      <c r="E436" s="131" t="str">
        <f aca="false">ExportRaw!$D436</f>
        <v/>
      </c>
      <c r="F436" s="130" t="str">
        <f aca="false">ExportRaw!$H436</f>
        <v/>
      </c>
      <c r="G436" s="132" t="str">
        <f aca="false">ExportRaw!$I436</f>
        <v/>
      </c>
      <c r="H436" s="130" t="str">
        <f aca="false">ExportRaw!$A436</f>
        <v/>
      </c>
      <c r="I436" s="130" t="str">
        <f aca="false">ExportRaw!$B436</f>
        <v/>
      </c>
    </row>
    <row r="437" customFormat="false" ht="15.75" hidden="false" customHeight="false" outlineLevel="0" collapsed="false">
      <c r="A437" s="130" t="n">
        <f aca="false">ExportRaw!$F437</f>
        <v>0</v>
      </c>
      <c r="B437" s="130" t="n">
        <f aca="false">ExportRaw!$C437</f>
        <v>0</v>
      </c>
      <c r="C437" s="130" t="n">
        <f aca="false">ExportRaw!$G437</f>
        <v>0</v>
      </c>
      <c r="D437" s="130" t="str">
        <f aca="false">ExportRaw!$E437</f>
        <v/>
      </c>
      <c r="E437" s="131" t="str">
        <f aca="false">ExportRaw!$D437</f>
        <v/>
      </c>
      <c r="F437" s="130" t="str">
        <f aca="false">ExportRaw!$H437</f>
        <v/>
      </c>
      <c r="G437" s="132" t="str">
        <f aca="false">ExportRaw!$I437</f>
        <v/>
      </c>
      <c r="H437" s="130" t="str">
        <f aca="false">ExportRaw!$A437</f>
        <v/>
      </c>
      <c r="I437" s="130" t="str">
        <f aca="false">ExportRaw!$B437</f>
        <v/>
      </c>
    </row>
    <row r="438" customFormat="false" ht="15.75" hidden="false" customHeight="false" outlineLevel="0" collapsed="false">
      <c r="A438" s="130" t="n">
        <f aca="false">ExportRaw!$F438</f>
        <v>0</v>
      </c>
      <c r="B438" s="130" t="n">
        <f aca="false">ExportRaw!$C438</f>
        <v>0</v>
      </c>
      <c r="C438" s="130" t="n">
        <f aca="false">ExportRaw!$G438</f>
        <v>0</v>
      </c>
      <c r="D438" s="130" t="str">
        <f aca="false">ExportRaw!$E438</f>
        <v/>
      </c>
      <c r="E438" s="131" t="str">
        <f aca="false">ExportRaw!$D438</f>
        <v/>
      </c>
      <c r="F438" s="130" t="str">
        <f aca="false">ExportRaw!$H438</f>
        <v/>
      </c>
      <c r="G438" s="132" t="str">
        <f aca="false">ExportRaw!$I438</f>
        <v/>
      </c>
      <c r="H438" s="130" t="str">
        <f aca="false">ExportRaw!$A438</f>
        <v/>
      </c>
      <c r="I438" s="130" t="str">
        <f aca="false">ExportRaw!$B438</f>
        <v/>
      </c>
    </row>
    <row r="439" customFormat="false" ht="15.75" hidden="false" customHeight="false" outlineLevel="0" collapsed="false">
      <c r="A439" s="130" t="n">
        <f aca="false">ExportRaw!$F439</f>
        <v>0</v>
      </c>
      <c r="B439" s="130" t="n">
        <f aca="false">ExportRaw!$C439</f>
        <v>0</v>
      </c>
      <c r="C439" s="130" t="n">
        <f aca="false">ExportRaw!$G439</f>
        <v>0</v>
      </c>
      <c r="D439" s="130" t="str">
        <f aca="false">ExportRaw!$E439</f>
        <v/>
      </c>
      <c r="E439" s="131" t="str">
        <f aca="false">ExportRaw!$D439</f>
        <v/>
      </c>
      <c r="F439" s="130" t="str">
        <f aca="false">ExportRaw!$H439</f>
        <v/>
      </c>
      <c r="G439" s="132" t="str">
        <f aca="false">ExportRaw!$I439</f>
        <v/>
      </c>
      <c r="H439" s="130" t="str">
        <f aca="false">ExportRaw!$A439</f>
        <v/>
      </c>
      <c r="I439" s="130" t="str">
        <f aca="false">ExportRaw!$B439</f>
        <v/>
      </c>
    </row>
    <row r="440" customFormat="false" ht="15.75" hidden="false" customHeight="false" outlineLevel="0" collapsed="false">
      <c r="A440" s="130" t="n">
        <f aca="false">ExportRaw!$F440</f>
        <v>0</v>
      </c>
      <c r="B440" s="130" t="n">
        <f aca="false">ExportRaw!$C440</f>
        <v>0</v>
      </c>
      <c r="C440" s="130" t="n">
        <f aca="false">ExportRaw!$G440</f>
        <v>0</v>
      </c>
      <c r="D440" s="130" t="str">
        <f aca="false">ExportRaw!$E440</f>
        <v/>
      </c>
      <c r="E440" s="131" t="str">
        <f aca="false">ExportRaw!$D440</f>
        <v/>
      </c>
      <c r="F440" s="130" t="str">
        <f aca="false">ExportRaw!$H440</f>
        <v/>
      </c>
      <c r="G440" s="132" t="str">
        <f aca="false">ExportRaw!$I440</f>
        <v/>
      </c>
      <c r="H440" s="130" t="str">
        <f aca="false">ExportRaw!$A440</f>
        <v/>
      </c>
      <c r="I440" s="130" t="str">
        <f aca="false">ExportRaw!$B440</f>
        <v/>
      </c>
    </row>
    <row r="441" customFormat="false" ht="15.75" hidden="false" customHeight="false" outlineLevel="0" collapsed="false">
      <c r="A441" s="130" t="n">
        <f aca="false">ExportRaw!$F441</f>
        <v>0</v>
      </c>
      <c r="B441" s="130" t="n">
        <f aca="false">ExportRaw!$C441</f>
        <v>0</v>
      </c>
      <c r="C441" s="130" t="n">
        <f aca="false">ExportRaw!$G441</f>
        <v>0</v>
      </c>
      <c r="D441" s="130" t="str">
        <f aca="false">ExportRaw!$E441</f>
        <v/>
      </c>
      <c r="E441" s="131" t="str">
        <f aca="false">ExportRaw!$D441</f>
        <v/>
      </c>
      <c r="F441" s="130" t="str">
        <f aca="false">ExportRaw!$H441</f>
        <v/>
      </c>
      <c r="G441" s="132" t="str">
        <f aca="false">ExportRaw!$I441</f>
        <v/>
      </c>
      <c r="H441" s="130" t="str">
        <f aca="false">ExportRaw!$A441</f>
        <v/>
      </c>
      <c r="I441" s="130" t="str">
        <f aca="false">ExportRaw!$B441</f>
        <v/>
      </c>
    </row>
    <row r="442" customFormat="false" ht="15.75" hidden="false" customHeight="false" outlineLevel="0" collapsed="false">
      <c r="A442" s="130" t="n">
        <f aca="false">ExportRaw!$F442</f>
        <v>0</v>
      </c>
      <c r="B442" s="130" t="n">
        <f aca="false">ExportRaw!$C442</f>
        <v>0</v>
      </c>
      <c r="C442" s="130" t="n">
        <f aca="false">ExportRaw!$G442</f>
        <v>0</v>
      </c>
      <c r="D442" s="130" t="str">
        <f aca="false">ExportRaw!$E442</f>
        <v/>
      </c>
      <c r="E442" s="131" t="str">
        <f aca="false">ExportRaw!$D442</f>
        <v/>
      </c>
      <c r="F442" s="130" t="str">
        <f aca="false">ExportRaw!$H442</f>
        <v/>
      </c>
      <c r="G442" s="132" t="str">
        <f aca="false">ExportRaw!$I442</f>
        <v/>
      </c>
      <c r="H442" s="130" t="str">
        <f aca="false">ExportRaw!$A442</f>
        <v/>
      </c>
      <c r="I442" s="130" t="str">
        <f aca="false">ExportRaw!$B442</f>
        <v/>
      </c>
    </row>
    <row r="443" customFormat="false" ht="15.75" hidden="false" customHeight="false" outlineLevel="0" collapsed="false">
      <c r="A443" s="130" t="n">
        <f aca="false">ExportRaw!$F443</f>
        <v>0</v>
      </c>
      <c r="B443" s="130" t="n">
        <f aca="false">ExportRaw!$C443</f>
        <v>0</v>
      </c>
      <c r="C443" s="130" t="n">
        <f aca="false">ExportRaw!$G443</f>
        <v>0</v>
      </c>
      <c r="D443" s="130" t="str">
        <f aca="false">ExportRaw!$E443</f>
        <v/>
      </c>
      <c r="E443" s="131" t="str">
        <f aca="false">ExportRaw!$D443</f>
        <v/>
      </c>
      <c r="F443" s="130" t="str">
        <f aca="false">ExportRaw!$H443</f>
        <v/>
      </c>
      <c r="G443" s="132" t="str">
        <f aca="false">ExportRaw!$I443</f>
        <v/>
      </c>
      <c r="H443" s="130" t="str">
        <f aca="false">ExportRaw!$A443</f>
        <v/>
      </c>
      <c r="I443" s="130" t="str">
        <f aca="false">ExportRaw!$B443</f>
        <v/>
      </c>
    </row>
    <row r="444" customFormat="false" ht="15.75" hidden="false" customHeight="false" outlineLevel="0" collapsed="false">
      <c r="A444" s="130" t="n">
        <f aca="false">ExportRaw!$F444</f>
        <v>0</v>
      </c>
      <c r="B444" s="130" t="n">
        <f aca="false">ExportRaw!$C444</f>
        <v>0</v>
      </c>
      <c r="C444" s="130" t="n">
        <f aca="false">ExportRaw!$G444</f>
        <v>0</v>
      </c>
      <c r="D444" s="130" t="str">
        <f aca="false">ExportRaw!$E444</f>
        <v/>
      </c>
      <c r="E444" s="131" t="str">
        <f aca="false">ExportRaw!$D444</f>
        <v/>
      </c>
      <c r="F444" s="130" t="str">
        <f aca="false">ExportRaw!$H444</f>
        <v/>
      </c>
      <c r="G444" s="132" t="str">
        <f aca="false">ExportRaw!$I444</f>
        <v/>
      </c>
      <c r="H444" s="130" t="str">
        <f aca="false">ExportRaw!$A444</f>
        <v/>
      </c>
      <c r="I444" s="130" t="str">
        <f aca="false">ExportRaw!$B444</f>
        <v/>
      </c>
    </row>
    <row r="445" customFormat="false" ht="15.75" hidden="false" customHeight="false" outlineLevel="0" collapsed="false">
      <c r="A445" s="130" t="n">
        <f aca="false">ExportRaw!$F445</f>
        <v>0</v>
      </c>
      <c r="B445" s="130" t="n">
        <f aca="false">ExportRaw!$C445</f>
        <v>0</v>
      </c>
      <c r="C445" s="130" t="n">
        <f aca="false">ExportRaw!$G445</f>
        <v>0</v>
      </c>
      <c r="D445" s="130" t="str">
        <f aca="false">ExportRaw!$E445</f>
        <v/>
      </c>
      <c r="E445" s="131" t="str">
        <f aca="false">ExportRaw!$D445</f>
        <v/>
      </c>
      <c r="F445" s="130" t="str">
        <f aca="false">ExportRaw!$H445</f>
        <v/>
      </c>
      <c r="G445" s="132" t="str">
        <f aca="false">ExportRaw!$I445</f>
        <v/>
      </c>
      <c r="H445" s="130" t="str">
        <f aca="false">ExportRaw!$A445</f>
        <v/>
      </c>
      <c r="I445" s="130" t="str">
        <f aca="false">ExportRaw!$B445</f>
        <v/>
      </c>
    </row>
    <row r="446" customFormat="false" ht="15.75" hidden="false" customHeight="false" outlineLevel="0" collapsed="false">
      <c r="A446" s="130" t="n">
        <f aca="false">ExportRaw!$F446</f>
        <v>0</v>
      </c>
      <c r="B446" s="130" t="n">
        <f aca="false">ExportRaw!$C446</f>
        <v>0</v>
      </c>
      <c r="C446" s="130" t="n">
        <f aca="false">ExportRaw!$G446</f>
        <v>0</v>
      </c>
      <c r="D446" s="130" t="str">
        <f aca="false">ExportRaw!$E446</f>
        <v/>
      </c>
      <c r="E446" s="131" t="str">
        <f aca="false">ExportRaw!$D446</f>
        <v/>
      </c>
      <c r="F446" s="130" t="str">
        <f aca="false">ExportRaw!$H446</f>
        <v/>
      </c>
      <c r="G446" s="132" t="str">
        <f aca="false">ExportRaw!$I446</f>
        <v/>
      </c>
      <c r="H446" s="130" t="str">
        <f aca="false">ExportRaw!$A446</f>
        <v/>
      </c>
      <c r="I446" s="130" t="str">
        <f aca="false">ExportRaw!$B446</f>
        <v/>
      </c>
    </row>
    <row r="447" customFormat="false" ht="15.75" hidden="false" customHeight="false" outlineLevel="0" collapsed="false">
      <c r="A447" s="130" t="n">
        <f aca="false">ExportRaw!$F447</f>
        <v>0</v>
      </c>
      <c r="B447" s="130" t="n">
        <f aca="false">ExportRaw!$C447</f>
        <v>0</v>
      </c>
      <c r="C447" s="130" t="n">
        <f aca="false">ExportRaw!$G447</f>
        <v>0</v>
      </c>
      <c r="D447" s="130" t="str">
        <f aca="false">ExportRaw!$E447</f>
        <v/>
      </c>
      <c r="E447" s="131" t="str">
        <f aca="false">ExportRaw!$D447</f>
        <v/>
      </c>
      <c r="F447" s="130" t="str">
        <f aca="false">ExportRaw!$H447</f>
        <v/>
      </c>
      <c r="G447" s="132" t="str">
        <f aca="false">ExportRaw!$I447</f>
        <v/>
      </c>
      <c r="H447" s="130" t="str">
        <f aca="false">ExportRaw!$A447</f>
        <v/>
      </c>
      <c r="I447" s="130" t="str">
        <f aca="false">ExportRaw!$B447</f>
        <v/>
      </c>
    </row>
    <row r="448" customFormat="false" ht="15.75" hidden="false" customHeight="false" outlineLevel="0" collapsed="false">
      <c r="A448" s="130" t="n">
        <f aca="false">ExportRaw!$F448</f>
        <v>0</v>
      </c>
      <c r="B448" s="130" t="n">
        <f aca="false">ExportRaw!$C448</f>
        <v>0</v>
      </c>
      <c r="C448" s="130" t="n">
        <f aca="false">ExportRaw!$G448</f>
        <v>0</v>
      </c>
      <c r="D448" s="130" t="str">
        <f aca="false">ExportRaw!$E448</f>
        <v/>
      </c>
      <c r="E448" s="131" t="str">
        <f aca="false">ExportRaw!$D448</f>
        <v/>
      </c>
      <c r="F448" s="130" t="str">
        <f aca="false">ExportRaw!$H448</f>
        <v/>
      </c>
      <c r="G448" s="132" t="str">
        <f aca="false">ExportRaw!$I448</f>
        <v/>
      </c>
      <c r="H448" s="130" t="str">
        <f aca="false">ExportRaw!$A448</f>
        <v/>
      </c>
      <c r="I448" s="130" t="str">
        <f aca="false">ExportRaw!$B448</f>
        <v/>
      </c>
    </row>
    <row r="449" customFormat="false" ht="15.75" hidden="false" customHeight="false" outlineLevel="0" collapsed="false">
      <c r="A449" s="130" t="n">
        <f aca="false">ExportRaw!$F449</f>
        <v>0</v>
      </c>
      <c r="B449" s="130" t="n">
        <f aca="false">ExportRaw!$C449</f>
        <v>0</v>
      </c>
      <c r="C449" s="130" t="n">
        <f aca="false">ExportRaw!$G449</f>
        <v>0</v>
      </c>
      <c r="D449" s="130" t="str">
        <f aca="false">ExportRaw!$E449</f>
        <v/>
      </c>
      <c r="E449" s="131" t="str">
        <f aca="false">ExportRaw!$D449</f>
        <v/>
      </c>
      <c r="F449" s="130" t="str">
        <f aca="false">ExportRaw!$H449</f>
        <v/>
      </c>
      <c r="G449" s="132" t="str">
        <f aca="false">ExportRaw!$I449</f>
        <v/>
      </c>
      <c r="H449" s="130" t="str">
        <f aca="false">ExportRaw!$A449</f>
        <v/>
      </c>
      <c r="I449" s="130" t="str">
        <f aca="false">ExportRaw!$B449</f>
        <v/>
      </c>
    </row>
    <row r="450" customFormat="false" ht="15.75" hidden="false" customHeight="false" outlineLevel="0" collapsed="false">
      <c r="A450" s="130" t="n">
        <f aca="false">ExportRaw!$F450</f>
        <v>0</v>
      </c>
      <c r="B450" s="130" t="n">
        <f aca="false">ExportRaw!$C450</f>
        <v>0</v>
      </c>
      <c r="C450" s="130" t="n">
        <f aca="false">ExportRaw!$G450</f>
        <v>0</v>
      </c>
      <c r="D450" s="130" t="str">
        <f aca="false">ExportRaw!$E450</f>
        <v/>
      </c>
      <c r="E450" s="131" t="str">
        <f aca="false">ExportRaw!$D450</f>
        <v/>
      </c>
      <c r="F450" s="130" t="str">
        <f aca="false">ExportRaw!$H450</f>
        <v/>
      </c>
      <c r="G450" s="132" t="str">
        <f aca="false">ExportRaw!$I450</f>
        <v/>
      </c>
      <c r="H450" s="130" t="str">
        <f aca="false">ExportRaw!$A450</f>
        <v/>
      </c>
      <c r="I450" s="130" t="str">
        <f aca="false">ExportRaw!$B450</f>
        <v/>
      </c>
    </row>
    <row r="451" customFormat="false" ht="15.75" hidden="false" customHeight="false" outlineLevel="0" collapsed="false">
      <c r="A451" s="130" t="n">
        <f aca="false">ExportRaw!$F451</f>
        <v>0</v>
      </c>
      <c r="B451" s="130" t="n">
        <f aca="false">ExportRaw!$C451</f>
        <v>0</v>
      </c>
      <c r="C451" s="130" t="n">
        <f aca="false">ExportRaw!$G451</f>
        <v>0</v>
      </c>
      <c r="D451" s="130" t="str">
        <f aca="false">ExportRaw!$E451</f>
        <v/>
      </c>
      <c r="E451" s="131" t="str">
        <f aca="false">ExportRaw!$D451</f>
        <v/>
      </c>
      <c r="F451" s="130" t="str">
        <f aca="false">ExportRaw!$H451</f>
        <v/>
      </c>
      <c r="G451" s="132" t="str">
        <f aca="false">ExportRaw!$I451</f>
        <v/>
      </c>
      <c r="H451" s="130" t="str">
        <f aca="false">ExportRaw!$A451</f>
        <v/>
      </c>
      <c r="I451" s="130" t="str">
        <f aca="false">ExportRaw!$B451</f>
        <v/>
      </c>
    </row>
    <row r="452" customFormat="false" ht="15.75" hidden="false" customHeight="false" outlineLevel="0" collapsed="false">
      <c r="A452" s="130" t="n">
        <f aca="false">ExportRaw!$F452</f>
        <v>0</v>
      </c>
      <c r="B452" s="130" t="n">
        <f aca="false">ExportRaw!$C452</f>
        <v>0</v>
      </c>
      <c r="C452" s="130" t="n">
        <f aca="false">ExportRaw!$G452</f>
        <v>0</v>
      </c>
      <c r="D452" s="130" t="str">
        <f aca="false">ExportRaw!$E452</f>
        <v/>
      </c>
      <c r="E452" s="131" t="str">
        <f aca="false">ExportRaw!$D452</f>
        <v/>
      </c>
      <c r="F452" s="130" t="str">
        <f aca="false">ExportRaw!$H452</f>
        <v/>
      </c>
      <c r="G452" s="132" t="str">
        <f aca="false">ExportRaw!$I452</f>
        <v/>
      </c>
      <c r="H452" s="130" t="str">
        <f aca="false">ExportRaw!$A452</f>
        <v/>
      </c>
      <c r="I452" s="130" t="str">
        <f aca="false">ExportRaw!$B452</f>
        <v/>
      </c>
    </row>
    <row r="453" customFormat="false" ht="15.75" hidden="false" customHeight="false" outlineLevel="0" collapsed="false">
      <c r="A453" s="130" t="n">
        <f aca="false">ExportRaw!$F453</f>
        <v>0</v>
      </c>
      <c r="B453" s="130" t="n">
        <f aca="false">ExportRaw!$C453</f>
        <v>0</v>
      </c>
      <c r="C453" s="130" t="n">
        <f aca="false">ExportRaw!$G453</f>
        <v>0</v>
      </c>
      <c r="D453" s="130" t="str">
        <f aca="false">ExportRaw!$E453</f>
        <v/>
      </c>
      <c r="E453" s="131" t="str">
        <f aca="false">ExportRaw!$D453</f>
        <v/>
      </c>
      <c r="F453" s="130" t="str">
        <f aca="false">ExportRaw!$H453</f>
        <v/>
      </c>
      <c r="G453" s="132" t="str">
        <f aca="false">ExportRaw!$I453</f>
        <v/>
      </c>
      <c r="H453" s="130" t="str">
        <f aca="false">ExportRaw!$A453</f>
        <v/>
      </c>
      <c r="I453" s="130" t="str">
        <f aca="false">ExportRaw!$B453</f>
        <v/>
      </c>
    </row>
    <row r="454" customFormat="false" ht="15.75" hidden="false" customHeight="false" outlineLevel="0" collapsed="false">
      <c r="A454" s="130" t="n">
        <f aca="false">ExportRaw!$F454</f>
        <v>0</v>
      </c>
      <c r="B454" s="130" t="n">
        <f aca="false">ExportRaw!$C454</f>
        <v>0</v>
      </c>
      <c r="C454" s="130" t="n">
        <f aca="false">ExportRaw!$G454</f>
        <v>0</v>
      </c>
      <c r="D454" s="130" t="str">
        <f aca="false">ExportRaw!$E454</f>
        <v/>
      </c>
      <c r="E454" s="131" t="str">
        <f aca="false">ExportRaw!$D454</f>
        <v/>
      </c>
      <c r="F454" s="130" t="str">
        <f aca="false">ExportRaw!$H454</f>
        <v/>
      </c>
      <c r="G454" s="132" t="str">
        <f aca="false">ExportRaw!$I454</f>
        <v/>
      </c>
      <c r="H454" s="130" t="str">
        <f aca="false">ExportRaw!$A454</f>
        <v/>
      </c>
      <c r="I454" s="130" t="str">
        <f aca="false">ExportRaw!$B454</f>
        <v/>
      </c>
    </row>
    <row r="455" customFormat="false" ht="15.75" hidden="false" customHeight="false" outlineLevel="0" collapsed="false">
      <c r="A455" s="130" t="n">
        <f aca="false">ExportRaw!$F455</f>
        <v>0</v>
      </c>
      <c r="B455" s="130" t="n">
        <f aca="false">ExportRaw!$C455</f>
        <v>0</v>
      </c>
      <c r="C455" s="130" t="n">
        <f aca="false">ExportRaw!$G455</f>
        <v>0</v>
      </c>
      <c r="D455" s="130" t="str">
        <f aca="false">ExportRaw!$E455</f>
        <v/>
      </c>
      <c r="E455" s="131" t="str">
        <f aca="false">ExportRaw!$D455</f>
        <v/>
      </c>
      <c r="F455" s="130" t="str">
        <f aca="false">ExportRaw!$H455</f>
        <v/>
      </c>
      <c r="G455" s="132" t="str">
        <f aca="false">ExportRaw!$I455</f>
        <v/>
      </c>
      <c r="H455" s="130" t="str">
        <f aca="false">ExportRaw!$A455</f>
        <v/>
      </c>
      <c r="I455" s="130" t="str">
        <f aca="false">ExportRaw!$B455</f>
        <v/>
      </c>
    </row>
    <row r="456" customFormat="false" ht="15.75" hidden="false" customHeight="false" outlineLevel="0" collapsed="false">
      <c r="A456" s="130" t="n">
        <f aca="false">ExportRaw!$F456</f>
        <v>0</v>
      </c>
      <c r="B456" s="130" t="n">
        <f aca="false">ExportRaw!$C456</f>
        <v>0</v>
      </c>
      <c r="C456" s="130" t="n">
        <f aca="false">ExportRaw!$G456</f>
        <v>0</v>
      </c>
      <c r="D456" s="130" t="str">
        <f aca="false">ExportRaw!$E456</f>
        <v/>
      </c>
      <c r="E456" s="131" t="str">
        <f aca="false">ExportRaw!$D456</f>
        <v/>
      </c>
      <c r="F456" s="130" t="str">
        <f aca="false">ExportRaw!$H456</f>
        <v/>
      </c>
      <c r="G456" s="132" t="str">
        <f aca="false">ExportRaw!$I456</f>
        <v/>
      </c>
      <c r="H456" s="130" t="str">
        <f aca="false">ExportRaw!$A456</f>
        <v/>
      </c>
      <c r="I456" s="130" t="str">
        <f aca="false">ExportRaw!$B456</f>
        <v/>
      </c>
    </row>
    <row r="457" customFormat="false" ht="15.75" hidden="false" customHeight="false" outlineLevel="0" collapsed="false">
      <c r="A457" s="130" t="n">
        <f aca="false">ExportRaw!$F457</f>
        <v>0</v>
      </c>
      <c r="B457" s="130" t="n">
        <f aca="false">ExportRaw!$C457</f>
        <v>0</v>
      </c>
      <c r="C457" s="130" t="n">
        <f aca="false">ExportRaw!$G457</f>
        <v>0</v>
      </c>
      <c r="D457" s="130" t="str">
        <f aca="false">ExportRaw!$E457</f>
        <v/>
      </c>
      <c r="E457" s="131" t="str">
        <f aca="false">ExportRaw!$D457</f>
        <v/>
      </c>
      <c r="F457" s="130" t="str">
        <f aca="false">ExportRaw!$H457</f>
        <v/>
      </c>
      <c r="G457" s="132" t="str">
        <f aca="false">ExportRaw!$I457</f>
        <v/>
      </c>
      <c r="H457" s="130" t="str">
        <f aca="false">ExportRaw!$A457</f>
        <v/>
      </c>
      <c r="I457" s="130" t="str">
        <f aca="false">ExportRaw!$B457</f>
        <v/>
      </c>
    </row>
    <row r="458" customFormat="false" ht="15.75" hidden="false" customHeight="false" outlineLevel="0" collapsed="false">
      <c r="A458" s="130" t="n">
        <f aca="false">ExportRaw!$F458</f>
        <v>0</v>
      </c>
      <c r="B458" s="130" t="n">
        <f aca="false">ExportRaw!$C458</f>
        <v>0</v>
      </c>
      <c r="C458" s="130" t="n">
        <f aca="false">ExportRaw!$G458</f>
        <v>0</v>
      </c>
      <c r="D458" s="130" t="str">
        <f aca="false">ExportRaw!$E458</f>
        <v/>
      </c>
      <c r="E458" s="131" t="str">
        <f aca="false">ExportRaw!$D458</f>
        <v/>
      </c>
      <c r="F458" s="130" t="str">
        <f aca="false">ExportRaw!$H458</f>
        <v/>
      </c>
      <c r="G458" s="132" t="str">
        <f aca="false">ExportRaw!$I458</f>
        <v/>
      </c>
      <c r="H458" s="130" t="str">
        <f aca="false">ExportRaw!$A458</f>
        <v/>
      </c>
      <c r="I458" s="130" t="str">
        <f aca="false">ExportRaw!$B458</f>
        <v/>
      </c>
    </row>
    <row r="459" customFormat="false" ht="15.75" hidden="false" customHeight="false" outlineLevel="0" collapsed="false">
      <c r="A459" s="130" t="n">
        <f aca="false">ExportRaw!$F459</f>
        <v>0</v>
      </c>
      <c r="B459" s="130" t="n">
        <f aca="false">ExportRaw!$C459</f>
        <v>0</v>
      </c>
      <c r="C459" s="130" t="n">
        <f aca="false">ExportRaw!$G459</f>
        <v>0</v>
      </c>
      <c r="D459" s="130" t="str">
        <f aca="false">ExportRaw!$E459</f>
        <v/>
      </c>
      <c r="E459" s="131" t="str">
        <f aca="false">ExportRaw!$D459</f>
        <v/>
      </c>
      <c r="F459" s="130" t="str">
        <f aca="false">ExportRaw!$H459</f>
        <v/>
      </c>
      <c r="G459" s="132" t="str">
        <f aca="false">ExportRaw!$I459</f>
        <v/>
      </c>
      <c r="H459" s="130" t="str">
        <f aca="false">ExportRaw!$A459</f>
        <v/>
      </c>
      <c r="I459" s="130" t="str">
        <f aca="false">ExportRaw!$B459</f>
        <v/>
      </c>
    </row>
    <row r="460" customFormat="false" ht="15.75" hidden="false" customHeight="false" outlineLevel="0" collapsed="false">
      <c r="A460" s="130" t="n">
        <f aca="false">ExportRaw!$F460</f>
        <v>0</v>
      </c>
      <c r="B460" s="130" t="n">
        <f aca="false">ExportRaw!$C460</f>
        <v>0</v>
      </c>
      <c r="C460" s="130" t="n">
        <f aca="false">ExportRaw!$G460</f>
        <v>0</v>
      </c>
      <c r="D460" s="130" t="str">
        <f aca="false">ExportRaw!$E460</f>
        <v/>
      </c>
      <c r="E460" s="131" t="str">
        <f aca="false">ExportRaw!$D460</f>
        <v/>
      </c>
      <c r="F460" s="130" t="str">
        <f aca="false">ExportRaw!$H460</f>
        <v/>
      </c>
      <c r="G460" s="132" t="str">
        <f aca="false">ExportRaw!$I460</f>
        <v/>
      </c>
      <c r="H460" s="130" t="str">
        <f aca="false">ExportRaw!$A460</f>
        <v/>
      </c>
      <c r="I460" s="130" t="str">
        <f aca="false">ExportRaw!$B460</f>
        <v/>
      </c>
    </row>
    <row r="461" customFormat="false" ht="15.75" hidden="false" customHeight="false" outlineLevel="0" collapsed="false">
      <c r="A461" s="130" t="n">
        <f aca="false">ExportRaw!$F461</f>
        <v>0</v>
      </c>
      <c r="B461" s="130" t="n">
        <f aca="false">ExportRaw!$C461</f>
        <v>0</v>
      </c>
      <c r="C461" s="130" t="n">
        <f aca="false">ExportRaw!$G461</f>
        <v>0</v>
      </c>
      <c r="D461" s="130" t="str">
        <f aca="false">ExportRaw!$E461</f>
        <v/>
      </c>
      <c r="E461" s="131" t="str">
        <f aca="false">ExportRaw!$D461</f>
        <v/>
      </c>
      <c r="F461" s="130" t="str">
        <f aca="false">ExportRaw!$H461</f>
        <v/>
      </c>
      <c r="G461" s="132" t="str">
        <f aca="false">ExportRaw!$I461</f>
        <v/>
      </c>
      <c r="H461" s="130" t="str">
        <f aca="false">ExportRaw!$A461</f>
        <v/>
      </c>
      <c r="I461" s="130" t="str">
        <f aca="false">ExportRaw!$B461</f>
        <v/>
      </c>
    </row>
    <row r="462" customFormat="false" ht="15.75" hidden="false" customHeight="false" outlineLevel="0" collapsed="false">
      <c r="A462" s="130" t="n">
        <f aca="false">ExportRaw!$F462</f>
        <v>0</v>
      </c>
      <c r="B462" s="130" t="n">
        <f aca="false">ExportRaw!$C462</f>
        <v>0</v>
      </c>
      <c r="C462" s="130" t="n">
        <f aca="false">ExportRaw!$G462</f>
        <v>0</v>
      </c>
      <c r="D462" s="130" t="str">
        <f aca="false">ExportRaw!$E462</f>
        <v/>
      </c>
      <c r="E462" s="131" t="str">
        <f aca="false">ExportRaw!$D462</f>
        <v/>
      </c>
      <c r="F462" s="130" t="str">
        <f aca="false">ExportRaw!$H462</f>
        <v/>
      </c>
      <c r="G462" s="132" t="str">
        <f aca="false">ExportRaw!$I462</f>
        <v/>
      </c>
      <c r="H462" s="130" t="str">
        <f aca="false">ExportRaw!$A462</f>
        <v/>
      </c>
      <c r="I462" s="130" t="str">
        <f aca="false">ExportRaw!$B462</f>
        <v/>
      </c>
    </row>
    <row r="463" customFormat="false" ht="15.75" hidden="false" customHeight="false" outlineLevel="0" collapsed="false">
      <c r="A463" s="130" t="n">
        <f aca="false">ExportRaw!$F463</f>
        <v>0</v>
      </c>
      <c r="B463" s="130" t="n">
        <f aca="false">ExportRaw!$C463</f>
        <v>0</v>
      </c>
      <c r="C463" s="130" t="n">
        <f aca="false">ExportRaw!$G463</f>
        <v>0</v>
      </c>
      <c r="D463" s="130" t="str">
        <f aca="false">ExportRaw!$E463</f>
        <v/>
      </c>
      <c r="E463" s="131" t="str">
        <f aca="false">ExportRaw!$D463</f>
        <v/>
      </c>
      <c r="F463" s="130" t="str">
        <f aca="false">ExportRaw!$H463</f>
        <v/>
      </c>
      <c r="G463" s="132" t="str">
        <f aca="false">ExportRaw!$I463</f>
        <v/>
      </c>
      <c r="H463" s="130" t="str">
        <f aca="false">ExportRaw!$A463</f>
        <v/>
      </c>
      <c r="I463" s="130" t="str">
        <f aca="false">ExportRaw!$B463</f>
        <v/>
      </c>
    </row>
    <row r="464" customFormat="false" ht="15.75" hidden="false" customHeight="false" outlineLevel="0" collapsed="false">
      <c r="A464" s="130" t="n">
        <f aca="false">ExportRaw!$F464</f>
        <v>0</v>
      </c>
      <c r="B464" s="130" t="n">
        <f aca="false">ExportRaw!$C464</f>
        <v>0</v>
      </c>
      <c r="C464" s="130" t="n">
        <f aca="false">ExportRaw!$G464</f>
        <v>0</v>
      </c>
      <c r="D464" s="130" t="str">
        <f aca="false">ExportRaw!$E464</f>
        <v/>
      </c>
      <c r="E464" s="131" t="str">
        <f aca="false">ExportRaw!$D464</f>
        <v/>
      </c>
      <c r="F464" s="130" t="str">
        <f aca="false">ExportRaw!$H464</f>
        <v/>
      </c>
      <c r="G464" s="132" t="str">
        <f aca="false">ExportRaw!$I464</f>
        <v/>
      </c>
      <c r="H464" s="130" t="str">
        <f aca="false">ExportRaw!$A464</f>
        <v/>
      </c>
      <c r="I464" s="130" t="str">
        <f aca="false">ExportRaw!$B464</f>
        <v/>
      </c>
    </row>
    <row r="465" customFormat="false" ht="15.75" hidden="false" customHeight="false" outlineLevel="0" collapsed="false">
      <c r="A465" s="130" t="n">
        <f aca="false">ExportRaw!$F465</f>
        <v>0</v>
      </c>
      <c r="B465" s="130" t="n">
        <f aca="false">ExportRaw!$C465</f>
        <v>0</v>
      </c>
      <c r="C465" s="130" t="n">
        <f aca="false">ExportRaw!$G465</f>
        <v>0</v>
      </c>
      <c r="D465" s="130" t="str">
        <f aca="false">ExportRaw!$E465</f>
        <v/>
      </c>
      <c r="E465" s="131" t="str">
        <f aca="false">ExportRaw!$D465</f>
        <v/>
      </c>
      <c r="F465" s="130" t="str">
        <f aca="false">ExportRaw!$H465</f>
        <v/>
      </c>
      <c r="G465" s="132" t="str">
        <f aca="false">ExportRaw!$I465</f>
        <v/>
      </c>
      <c r="H465" s="130" t="str">
        <f aca="false">ExportRaw!$A465</f>
        <v/>
      </c>
      <c r="I465" s="130" t="str">
        <f aca="false">ExportRaw!$B465</f>
        <v/>
      </c>
    </row>
    <row r="466" customFormat="false" ht="15.75" hidden="false" customHeight="false" outlineLevel="0" collapsed="false">
      <c r="A466" s="130" t="n">
        <f aca="false">ExportRaw!$F466</f>
        <v>0</v>
      </c>
      <c r="B466" s="130" t="n">
        <f aca="false">ExportRaw!$C466</f>
        <v>0</v>
      </c>
      <c r="C466" s="130" t="n">
        <f aca="false">ExportRaw!$G466</f>
        <v>0</v>
      </c>
      <c r="D466" s="130" t="str">
        <f aca="false">ExportRaw!$E466</f>
        <v/>
      </c>
      <c r="E466" s="131" t="str">
        <f aca="false">ExportRaw!$D466</f>
        <v/>
      </c>
      <c r="F466" s="130" t="str">
        <f aca="false">ExportRaw!$H466</f>
        <v/>
      </c>
      <c r="G466" s="132" t="str">
        <f aca="false">ExportRaw!$I466</f>
        <v/>
      </c>
      <c r="H466" s="130" t="str">
        <f aca="false">ExportRaw!$A466</f>
        <v/>
      </c>
      <c r="I466" s="130" t="str">
        <f aca="false">ExportRaw!$B466</f>
        <v/>
      </c>
    </row>
    <row r="467" customFormat="false" ht="15.75" hidden="false" customHeight="false" outlineLevel="0" collapsed="false">
      <c r="A467" s="130" t="n">
        <f aca="false">ExportRaw!$F467</f>
        <v>0</v>
      </c>
      <c r="B467" s="130" t="n">
        <f aca="false">ExportRaw!$C467</f>
        <v>0</v>
      </c>
      <c r="C467" s="130" t="n">
        <f aca="false">ExportRaw!$G467</f>
        <v>0</v>
      </c>
      <c r="D467" s="130" t="str">
        <f aca="false">ExportRaw!$E467</f>
        <v/>
      </c>
      <c r="E467" s="131" t="str">
        <f aca="false">ExportRaw!$D467</f>
        <v/>
      </c>
      <c r="F467" s="130" t="str">
        <f aca="false">ExportRaw!$H467</f>
        <v/>
      </c>
      <c r="G467" s="132" t="str">
        <f aca="false">ExportRaw!$I467</f>
        <v/>
      </c>
      <c r="H467" s="130" t="str">
        <f aca="false">ExportRaw!$A467</f>
        <v/>
      </c>
      <c r="I467" s="130" t="str">
        <f aca="false">ExportRaw!$B467</f>
        <v/>
      </c>
    </row>
    <row r="468" customFormat="false" ht="15.75" hidden="false" customHeight="false" outlineLevel="0" collapsed="false">
      <c r="A468" s="130" t="n">
        <f aca="false">ExportRaw!$F468</f>
        <v>0</v>
      </c>
      <c r="B468" s="130" t="n">
        <f aca="false">ExportRaw!$C468</f>
        <v>0</v>
      </c>
      <c r="C468" s="130" t="n">
        <f aca="false">ExportRaw!$G468</f>
        <v>0</v>
      </c>
      <c r="D468" s="130" t="str">
        <f aca="false">ExportRaw!$E468</f>
        <v/>
      </c>
      <c r="E468" s="131" t="str">
        <f aca="false">ExportRaw!$D468</f>
        <v/>
      </c>
      <c r="F468" s="130" t="str">
        <f aca="false">ExportRaw!$H468</f>
        <v/>
      </c>
      <c r="G468" s="132" t="str">
        <f aca="false">ExportRaw!$I468</f>
        <v/>
      </c>
      <c r="H468" s="130" t="str">
        <f aca="false">ExportRaw!$A468</f>
        <v/>
      </c>
      <c r="I468" s="130" t="str">
        <f aca="false">ExportRaw!$B468</f>
        <v/>
      </c>
    </row>
    <row r="469" customFormat="false" ht="15.75" hidden="false" customHeight="false" outlineLevel="0" collapsed="false">
      <c r="A469" s="130" t="n">
        <f aca="false">ExportRaw!$F469</f>
        <v>0</v>
      </c>
      <c r="B469" s="130" t="n">
        <f aca="false">ExportRaw!$C469</f>
        <v>0</v>
      </c>
      <c r="C469" s="130" t="n">
        <f aca="false">ExportRaw!$G469</f>
        <v>0</v>
      </c>
      <c r="D469" s="130" t="str">
        <f aca="false">ExportRaw!$E469</f>
        <v/>
      </c>
      <c r="E469" s="131" t="str">
        <f aca="false">ExportRaw!$D469</f>
        <v/>
      </c>
      <c r="F469" s="130" t="str">
        <f aca="false">ExportRaw!$H469</f>
        <v/>
      </c>
      <c r="G469" s="132" t="str">
        <f aca="false">ExportRaw!$I469</f>
        <v/>
      </c>
      <c r="H469" s="130" t="str">
        <f aca="false">ExportRaw!$A469</f>
        <v/>
      </c>
      <c r="I469" s="130" t="str">
        <f aca="false">ExportRaw!$B469</f>
        <v/>
      </c>
    </row>
    <row r="470" customFormat="false" ht="15.75" hidden="false" customHeight="false" outlineLevel="0" collapsed="false">
      <c r="A470" s="130" t="n">
        <f aca="false">ExportRaw!$F470</f>
        <v>0</v>
      </c>
      <c r="B470" s="130" t="n">
        <f aca="false">ExportRaw!$C470</f>
        <v>0</v>
      </c>
      <c r="C470" s="130" t="n">
        <f aca="false">ExportRaw!$G470</f>
        <v>0</v>
      </c>
      <c r="D470" s="130" t="str">
        <f aca="false">ExportRaw!$E470</f>
        <v/>
      </c>
      <c r="E470" s="131" t="str">
        <f aca="false">ExportRaw!$D470</f>
        <v/>
      </c>
      <c r="F470" s="130" t="str">
        <f aca="false">ExportRaw!$H470</f>
        <v/>
      </c>
      <c r="G470" s="132" t="str">
        <f aca="false">ExportRaw!$I470</f>
        <v/>
      </c>
      <c r="H470" s="130" t="str">
        <f aca="false">ExportRaw!$A470</f>
        <v/>
      </c>
      <c r="I470" s="130" t="str">
        <f aca="false">ExportRaw!$B470</f>
        <v/>
      </c>
    </row>
    <row r="471" customFormat="false" ht="15.75" hidden="false" customHeight="false" outlineLevel="0" collapsed="false">
      <c r="A471" s="130" t="n">
        <f aca="false">ExportRaw!$F471</f>
        <v>0</v>
      </c>
      <c r="B471" s="130" t="n">
        <f aca="false">ExportRaw!$C471</f>
        <v>0</v>
      </c>
      <c r="C471" s="130" t="n">
        <f aca="false">ExportRaw!$G471</f>
        <v>0</v>
      </c>
      <c r="D471" s="130" t="str">
        <f aca="false">ExportRaw!$E471</f>
        <v/>
      </c>
      <c r="E471" s="131" t="str">
        <f aca="false">ExportRaw!$D471</f>
        <v/>
      </c>
      <c r="F471" s="130" t="str">
        <f aca="false">ExportRaw!$H471</f>
        <v/>
      </c>
      <c r="G471" s="132" t="str">
        <f aca="false">ExportRaw!$I471</f>
        <v/>
      </c>
      <c r="H471" s="130" t="str">
        <f aca="false">ExportRaw!$A471</f>
        <v/>
      </c>
      <c r="I471" s="130" t="str">
        <f aca="false">ExportRaw!$B471</f>
        <v/>
      </c>
    </row>
    <row r="472" customFormat="false" ht="15.75" hidden="false" customHeight="false" outlineLevel="0" collapsed="false">
      <c r="A472" s="130" t="n">
        <f aca="false">ExportRaw!$F472</f>
        <v>0</v>
      </c>
      <c r="B472" s="130" t="n">
        <f aca="false">ExportRaw!$C472</f>
        <v>0</v>
      </c>
      <c r="C472" s="130" t="n">
        <f aca="false">ExportRaw!$G472</f>
        <v>0</v>
      </c>
      <c r="D472" s="130" t="str">
        <f aca="false">ExportRaw!$E472</f>
        <v/>
      </c>
      <c r="E472" s="131" t="str">
        <f aca="false">ExportRaw!$D472</f>
        <v/>
      </c>
      <c r="F472" s="130" t="str">
        <f aca="false">ExportRaw!$H472</f>
        <v/>
      </c>
      <c r="G472" s="132" t="str">
        <f aca="false">ExportRaw!$I472</f>
        <v/>
      </c>
      <c r="H472" s="130" t="str">
        <f aca="false">ExportRaw!$A472</f>
        <v/>
      </c>
      <c r="I472" s="130" t="str">
        <f aca="false">ExportRaw!$B472</f>
        <v/>
      </c>
    </row>
    <row r="473" customFormat="false" ht="15.75" hidden="false" customHeight="false" outlineLevel="0" collapsed="false">
      <c r="A473" s="130" t="n">
        <f aca="false">ExportRaw!$F473</f>
        <v>0</v>
      </c>
      <c r="B473" s="130" t="n">
        <f aca="false">ExportRaw!$C473</f>
        <v>0</v>
      </c>
      <c r="C473" s="130" t="n">
        <f aca="false">ExportRaw!$G473</f>
        <v>0</v>
      </c>
      <c r="D473" s="130" t="str">
        <f aca="false">ExportRaw!$E473</f>
        <v/>
      </c>
      <c r="E473" s="131" t="str">
        <f aca="false">ExportRaw!$D473</f>
        <v/>
      </c>
      <c r="F473" s="130" t="str">
        <f aca="false">ExportRaw!$H473</f>
        <v/>
      </c>
      <c r="G473" s="132" t="str">
        <f aca="false">ExportRaw!$I473</f>
        <v/>
      </c>
      <c r="H473" s="130" t="str">
        <f aca="false">ExportRaw!$A473</f>
        <v/>
      </c>
      <c r="I473" s="130" t="str">
        <f aca="false">ExportRaw!$B473</f>
        <v/>
      </c>
    </row>
    <row r="474" customFormat="false" ht="15.75" hidden="false" customHeight="false" outlineLevel="0" collapsed="false">
      <c r="A474" s="130" t="n">
        <f aca="false">ExportRaw!$F474</f>
        <v>0</v>
      </c>
      <c r="B474" s="130" t="n">
        <f aca="false">ExportRaw!$C474</f>
        <v>0</v>
      </c>
      <c r="C474" s="130" t="n">
        <f aca="false">ExportRaw!$G474</f>
        <v>0</v>
      </c>
      <c r="D474" s="130" t="str">
        <f aca="false">ExportRaw!$E474</f>
        <v/>
      </c>
      <c r="E474" s="131" t="str">
        <f aca="false">ExportRaw!$D474</f>
        <v/>
      </c>
      <c r="F474" s="130" t="str">
        <f aca="false">ExportRaw!$H474</f>
        <v/>
      </c>
      <c r="G474" s="132" t="str">
        <f aca="false">ExportRaw!$I474</f>
        <v/>
      </c>
      <c r="H474" s="130" t="str">
        <f aca="false">ExportRaw!$A474</f>
        <v/>
      </c>
      <c r="I474" s="130" t="str">
        <f aca="false">ExportRaw!$B474</f>
        <v/>
      </c>
    </row>
    <row r="475" customFormat="false" ht="15.75" hidden="false" customHeight="false" outlineLevel="0" collapsed="false">
      <c r="A475" s="130" t="n">
        <f aca="false">ExportRaw!$F475</f>
        <v>0</v>
      </c>
      <c r="B475" s="130" t="n">
        <f aca="false">ExportRaw!$C475</f>
        <v>0</v>
      </c>
      <c r="C475" s="130" t="n">
        <f aca="false">ExportRaw!$G475</f>
        <v>0</v>
      </c>
      <c r="D475" s="130" t="str">
        <f aca="false">ExportRaw!$E475</f>
        <v/>
      </c>
      <c r="E475" s="131" t="str">
        <f aca="false">ExportRaw!$D475</f>
        <v/>
      </c>
      <c r="F475" s="130" t="str">
        <f aca="false">ExportRaw!$H475</f>
        <v/>
      </c>
      <c r="G475" s="132" t="str">
        <f aca="false">ExportRaw!$I475</f>
        <v/>
      </c>
      <c r="H475" s="130" t="str">
        <f aca="false">ExportRaw!$A475</f>
        <v/>
      </c>
      <c r="I475" s="130" t="str">
        <f aca="false">ExportRaw!$B475</f>
        <v/>
      </c>
    </row>
    <row r="476" customFormat="false" ht="15.75" hidden="false" customHeight="false" outlineLevel="0" collapsed="false">
      <c r="A476" s="130" t="n">
        <f aca="false">ExportRaw!$F476</f>
        <v>0</v>
      </c>
      <c r="B476" s="130" t="n">
        <f aca="false">ExportRaw!$C476</f>
        <v>0</v>
      </c>
      <c r="C476" s="130" t="n">
        <f aca="false">ExportRaw!$G476</f>
        <v>0</v>
      </c>
      <c r="D476" s="130" t="str">
        <f aca="false">ExportRaw!$E476</f>
        <v/>
      </c>
      <c r="E476" s="131" t="str">
        <f aca="false">ExportRaw!$D476</f>
        <v/>
      </c>
      <c r="F476" s="130" t="str">
        <f aca="false">ExportRaw!$H476</f>
        <v/>
      </c>
      <c r="G476" s="132" t="str">
        <f aca="false">ExportRaw!$I476</f>
        <v/>
      </c>
      <c r="H476" s="130" t="str">
        <f aca="false">ExportRaw!$A476</f>
        <v/>
      </c>
      <c r="I476" s="130" t="str">
        <f aca="false">ExportRaw!$B476</f>
        <v/>
      </c>
    </row>
    <row r="477" customFormat="false" ht="15.75" hidden="false" customHeight="false" outlineLevel="0" collapsed="false">
      <c r="A477" s="130" t="n">
        <f aca="false">ExportRaw!$F477</f>
        <v>0</v>
      </c>
      <c r="B477" s="130" t="n">
        <f aca="false">ExportRaw!$C477</f>
        <v>0</v>
      </c>
      <c r="C477" s="130" t="n">
        <f aca="false">ExportRaw!$G477</f>
        <v>0</v>
      </c>
      <c r="D477" s="130" t="str">
        <f aca="false">ExportRaw!$E477</f>
        <v/>
      </c>
      <c r="E477" s="131" t="str">
        <f aca="false">ExportRaw!$D477</f>
        <v/>
      </c>
      <c r="F477" s="130" t="str">
        <f aca="false">ExportRaw!$H477</f>
        <v/>
      </c>
      <c r="G477" s="132" t="str">
        <f aca="false">ExportRaw!$I477</f>
        <v/>
      </c>
      <c r="H477" s="130" t="str">
        <f aca="false">ExportRaw!$A477</f>
        <v/>
      </c>
      <c r="I477" s="130" t="str">
        <f aca="false">ExportRaw!$B477</f>
        <v/>
      </c>
    </row>
    <row r="478" customFormat="false" ht="15.75" hidden="false" customHeight="false" outlineLevel="0" collapsed="false">
      <c r="A478" s="130" t="n">
        <f aca="false">ExportRaw!$F478</f>
        <v>0</v>
      </c>
      <c r="B478" s="130" t="n">
        <f aca="false">ExportRaw!$C478</f>
        <v>0</v>
      </c>
      <c r="C478" s="130" t="n">
        <f aca="false">ExportRaw!$G478</f>
        <v>0</v>
      </c>
      <c r="D478" s="130" t="str">
        <f aca="false">ExportRaw!$E478</f>
        <v/>
      </c>
      <c r="E478" s="131" t="str">
        <f aca="false">ExportRaw!$D478</f>
        <v/>
      </c>
      <c r="F478" s="130" t="str">
        <f aca="false">ExportRaw!$H478</f>
        <v/>
      </c>
      <c r="G478" s="132" t="str">
        <f aca="false">ExportRaw!$I478</f>
        <v/>
      </c>
      <c r="H478" s="130" t="str">
        <f aca="false">ExportRaw!$A478</f>
        <v/>
      </c>
      <c r="I478" s="130" t="str">
        <f aca="false">ExportRaw!$B478</f>
        <v/>
      </c>
    </row>
    <row r="479" customFormat="false" ht="15.75" hidden="false" customHeight="false" outlineLevel="0" collapsed="false">
      <c r="A479" s="130" t="n">
        <f aca="false">ExportRaw!$F479</f>
        <v>0</v>
      </c>
      <c r="B479" s="130" t="n">
        <f aca="false">ExportRaw!$C479</f>
        <v>0</v>
      </c>
      <c r="C479" s="130" t="n">
        <f aca="false">ExportRaw!$G479</f>
        <v>0</v>
      </c>
      <c r="D479" s="130" t="str">
        <f aca="false">ExportRaw!$E479</f>
        <v/>
      </c>
      <c r="E479" s="131" t="str">
        <f aca="false">ExportRaw!$D479</f>
        <v/>
      </c>
      <c r="F479" s="130" t="str">
        <f aca="false">ExportRaw!$H479</f>
        <v/>
      </c>
      <c r="G479" s="132" t="str">
        <f aca="false">ExportRaw!$I479</f>
        <v/>
      </c>
      <c r="H479" s="130" t="str">
        <f aca="false">ExportRaw!$A479</f>
        <v/>
      </c>
      <c r="I479" s="130" t="str">
        <f aca="false">ExportRaw!$B479</f>
        <v/>
      </c>
    </row>
    <row r="480" customFormat="false" ht="15.75" hidden="false" customHeight="false" outlineLevel="0" collapsed="false">
      <c r="A480" s="130" t="n">
        <f aca="false">ExportRaw!$F480</f>
        <v>0</v>
      </c>
      <c r="B480" s="130" t="n">
        <f aca="false">ExportRaw!$C480</f>
        <v>0</v>
      </c>
      <c r="C480" s="130" t="n">
        <f aca="false">ExportRaw!$G480</f>
        <v>0</v>
      </c>
      <c r="D480" s="130" t="str">
        <f aca="false">ExportRaw!$E480</f>
        <v/>
      </c>
      <c r="E480" s="131" t="str">
        <f aca="false">ExportRaw!$D480</f>
        <v/>
      </c>
      <c r="F480" s="130" t="str">
        <f aca="false">ExportRaw!$H480</f>
        <v/>
      </c>
      <c r="G480" s="132" t="str">
        <f aca="false">ExportRaw!$I480</f>
        <v/>
      </c>
      <c r="H480" s="130" t="str">
        <f aca="false">ExportRaw!$A480</f>
        <v/>
      </c>
      <c r="I480" s="130" t="str">
        <f aca="false">ExportRaw!$B480</f>
        <v/>
      </c>
    </row>
    <row r="481" customFormat="false" ht="15.75" hidden="false" customHeight="false" outlineLevel="0" collapsed="false">
      <c r="A481" s="130" t="n">
        <f aca="false">ExportRaw!$F481</f>
        <v>0</v>
      </c>
      <c r="B481" s="130" t="n">
        <f aca="false">ExportRaw!$C481</f>
        <v>0</v>
      </c>
      <c r="C481" s="130" t="n">
        <f aca="false">ExportRaw!$G481</f>
        <v>0</v>
      </c>
      <c r="D481" s="130" t="str">
        <f aca="false">ExportRaw!$E481</f>
        <v/>
      </c>
      <c r="E481" s="131" t="str">
        <f aca="false">ExportRaw!$D481</f>
        <v/>
      </c>
      <c r="F481" s="130" t="str">
        <f aca="false">ExportRaw!$H481</f>
        <v/>
      </c>
      <c r="G481" s="132" t="str">
        <f aca="false">ExportRaw!$I481</f>
        <v/>
      </c>
      <c r="H481" s="130" t="str">
        <f aca="false">ExportRaw!$A481</f>
        <v/>
      </c>
      <c r="I481" s="130" t="str">
        <f aca="false">ExportRaw!$B481</f>
        <v/>
      </c>
    </row>
    <row r="482" customFormat="false" ht="15.75" hidden="false" customHeight="false" outlineLevel="0" collapsed="false">
      <c r="A482" s="130" t="n">
        <f aca="false">ExportRaw!$F482</f>
        <v>0</v>
      </c>
      <c r="B482" s="130" t="n">
        <f aca="false">ExportRaw!$C482</f>
        <v>0</v>
      </c>
      <c r="C482" s="130" t="n">
        <f aca="false">ExportRaw!$G482</f>
        <v>0</v>
      </c>
      <c r="D482" s="130" t="str">
        <f aca="false">ExportRaw!$E482</f>
        <v/>
      </c>
      <c r="E482" s="131" t="str">
        <f aca="false">ExportRaw!$D482</f>
        <v/>
      </c>
      <c r="F482" s="130" t="str">
        <f aca="false">ExportRaw!$H482</f>
        <v/>
      </c>
      <c r="G482" s="132" t="str">
        <f aca="false">ExportRaw!$I482</f>
        <v/>
      </c>
      <c r="H482" s="130" t="str">
        <f aca="false">ExportRaw!$A482</f>
        <v/>
      </c>
      <c r="I482" s="130" t="str">
        <f aca="false">ExportRaw!$B482</f>
        <v/>
      </c>
    </row>
    <row r="483" customFormat="false" ht="15.75" hidden="false" customHeight="false" outlineLevel="0" collapsed="false">
      <c r="A483" s="130" t="n">
        <f aca="false">ExportRaw!$F483</f>
        <v>0</v>
      </c>
      <c r="B483" s="130" t="n">
        <f aca="false">ExportRaw!$C483</f>
        <v>0</v>
      </c>
      <c r="C483" s="130" t="n">
        <f aca="false">ExportRaw!$G483</f>
        <v>0</v>
      </c>
      <c r="D483" s="130" t="str">
        <f aca="false">ExportRaw!$E483</f>
        <v/>
      </c>
      <c r="E483" s="131" t="str">
        <f aca="false">ExportRaw!$D483</f>
        <v/>
      </c>
      <c r="F483" s="130" t="str">
        <f aca="false">ExportRaw!$H483</f>
        <v/>
      </c>
      <c r="G483" s="132" t="str">
        <f aca="false">ExportRaw!$I483</f>
        <v/>
      </c>
      <c r="H483" s="130" t="str">
        <f aca="false">ExportRaw!$A483</f>
        <v/>
      </c>
      <c r="I483" s="130" t="str">
        <f aca="false">ExportRaw!$B483</f>
        <v/>
      </c>
    </row>
    <row r="484" customFormat="false" ht="15.75" hidden="false" customHeight="false" outlineLevel="0" collapsed="false">
      <c r="A484" s="130" t="n">
        <f aca="false">ExportRaw!$F484</f>
        <v>0</v>
      </c>
      <c r="B484" s="130" t="n">
        <f aca="false">ExportRaw!$C484</f>
        <v>0</v>
      </c>
      <c r="C484" s="130" t="n">
        <f aca="false">ExportRaw!$G484</f>
        <v>0</v>
      </c>
      <c r="D484" s="130" t="str">
        <f aca="false">ExportRaw!$E484</f>
        <v/>
      </c>
      <c r="E484" s="131" t="str">
        <f aca="false">ExportRaw!$D484</f>
        <v/>
      </c>
      <c r="F484" s="130" t="str">
        <f aca="false">ExportRaw!$H484</f>
        <v/>
      </c>
      <c r="G484" s="132" t="str">
        <f aca="false">ExportRaw!$I484</f>
        <v/>
      </c>
      <c r="H484" s="130" t="str">
        <f aca="false">ExportRaw!$A484</f>
        <v/>
      </c>
      <c r="I484" s="130" t="str">
        <f aca="false">ExportRaw!$B484</f>
        <v/>
      </c>
    </row>
    <row r="485" customFormat="false" ht="15.75" hidden="false" customHeight="false" outlineLevel="0" collapsed="false">
      <c r="A485" s="130" t="n">
        <f aca="false">ExportRaw!$F485</f>
        <v>0</v>
      </c>
      <c r="B485" s="130" t="n">
        <f aca="false">ExportRaw!$C485</f>
        <v>0</v>
      </c>
      <c r="C485" s="130" t="n">
        <f aca="false">ExportRaw!$G485</f>
        <v>0</v>
      </c>
      <c r="D485" s="130" t="str">
        <f aca="false">ExportRaw!$E485</f>
        <v/>
      </c>
      <c r="E485" s="131" t="str">
        <f aca="false">ExportRaw!$D485</f>
        <v/>
      </c>
      <c r="F485" s="130" t="str">
        <f aca="false">ExportRaw!$H485</f>
        <v/>
      </c>
      <c r="G485" s="132" t="str">
        <f aca="false">ExportRaw!$I485</f>
        <v/>
      </c>
      <c r="H485" s="130" t="str">
        <f aca="false">ExportRaw!$A485</f>
        <v/>
      </c>
      <c r="I485" s="130" t="str">
        <f aca="false">ExportRaw!$B485</f>
        <v/>
      </c>
    </row>
    <row r="486" customFormat="false" ht="15.75" hidden="false" customHeight="false" outlineLevel="0" collapsed="false">
      <c r="A486" s="130" t="n">
        <f aca="false">ExportRaw!$F486</f>
        <v>0</v>
      </c>
      <c r="B486" s="130" t="n">
        <f aca="false">ExportRaw!$C486</f>
        <v>0</v>
      </c>
      <c r="C486" s="130" t="n">
        <f aca="false">ExportRaw!$G486</f>
        <v>0</v>
      </c>
      <c r="D486" s="130" t="str">
        <f aca="false">ExportRaw!$E486</f>
        <v/>
      </c>
      <c r="E486" s="131" t="str">
        <f aca="false">ExportRaw!$D486</f>
        <v/>
      </c>
      <c r="F486" s="130" t="str">
        <f aca="false">ExportRaw!$H486</f>
        <v/>
      </c>
      <c r="G486" s="132" t="str">
        <f aca="false">ExportRaw!$I486</f>
        <v/>
      </c>
      <c r="H486" s="130" t="str">
        <f aca="false">ExportRaw!$A486</f>
        <v/>
      </c>
      <c r="I486" s="130" t="str">
        <f aca="false">ExportRaw!$B486</f>
        <v/>
      </c>
    </row>
    <row r="487" customFormat="false" ht="15.75" hidden="false" customHeight="false" outlineLevel="0" collapsed="false">
      <c r="A487" s="130" t="n">
        <f aca="false">ExportRaw!$F487</f>
        <v>0</v>
      </c>
      <c r="B487" s="130" t="n">
        <f aca="false">ExportRaw!$C487</f>
        <v>0</v>
      </c>
      <c r="C487" s="130" t="n">
        <f aca="false">ExportRaw!$G487</f>
        <v>0</v>
      </c>
      <c r="D487" s="130" t="str">
        <f aca="false">ExportRaw!$E487</f>
        <v/>
      </c>
      <c r="E487" s="131" t="str">
        <f aca="false">ExportRaw!$D487</f>
        <v/>
      </c>
      <c r="F487" s="130" t="str">
        <f aca="false">ExportRaw!$H487</f>
        <v/>
      </c>
      <c r="G487" s="132" t="str">
        <f aca="false">ExportRaw!$I487</f>
        <v/>
      </c>
      <c r="H487" s="130" t="str">
        <f aca="false">ExportRaw!$A487</f>
        <v/>
      </c>
      <c r="I487" s="130" t="str">
        <f aca="false">ExportRaw!$B487</f>
        <v/>
      </c>
    </row>
    <row r="488" customFormat="false" ht="15.75" hidden="false" customHeight="false" outlineLevel="0" collapsed="false">
      <c r="A488" s="130" t="n">
        <f aca="false">ExportRaw!$F488</f>
        <v>0</v>
      </c>
      <c r="B488" s="130" t="n">
        <f aca="false">ExportRaw!$C488</f>
        <v>0</v>
      </c>
      <c r="C488" s="130" t="n">
        <f aca="false">ExportRaw!$G488</f>
        <v>0</v>
      </c>
      <c r="D488" s="130" t="str">
        <f aca="false">ExportRaw!$E488</f>
        <v/>
      </c>
      <c r="E488" s="131" t="str">
        <f aca="false">ExportRaw!$D488</f>
        <v/>
      </c>
      <c r="F488" s="130" t="str">
        <f aca="false">ExportRaw!$H488</f>
        <v/>
      </c>
      <c r="G488" s="132" t="str">
        <f aca="false">ExportRaw!$I488</f>
        <v/>
      </c>
      <c r="H488" s="130" t="str">
        <f aca="false">ExportRaw!$A488</f>
        <v/>
      </c>
      <c r="I488" s="130" t="str">
        <f aca="false">ExportRaw!$B488</f>
        <v/>
      </c>
    </row>
    <row r="489" customFormat="false" ht="15.75" hidden="false" customHeight="false" outlineLevel="0" collapsed="false">
      <c r="A489" s="130" t="n">
        <f aca="false">ExportRaw!$F489</f>
        <v>0</v>
      </c>
      <c r="B489" s="130" t="n">
        <f aca="false">ExportRaw!$C489</f>
        <v>0</v>
      </c>
      <c r="C489" s="130" t="n">
        <f aca="false">ExportRaw!$G489</f>
        <v>0</v>
      </c>
      <c r="D489" s="130" t="str">
        <f aca="false">ExportRaw!$E489</f>
        <v/>
      </c>
      <c r="E489" s="131" t="str">
        <f aca="false">ExportRaw!$D489</f>
        <v/>
      </c>
      <c r="F489" s="130" t="str">
        <f aca="false">ExportRaw!$H489</f>
        <v/>
      </c>
      <c r="G489" s="132" t="str">
        <f aca="false">ExportRaw!$I489</f>
        <v/>
      </c>
      <c r="H489" s="130" t="str">
        <f aca="false">ExportRaw!$A489</f>
        <v/>
      </c>
      <c r="I489" s="130" t="str">
        <f aca="false">ExportRaw!$B489</f>
        <v/>
      </c>
    </row>
    <row r="490" customFormat="false" ht="15.75" hidden="false" customHeight="false" outlineLevel="0" collapsed="false">
      <c r="A490" s="130" t="n">
        <f aca="false">ExportRaw!$F490</f>
        <v>0</v>
      </c>
      <c r="B490" s="130" t="n">
        <f aca="false">ExportRaw!$C490</f>
        <v>0</v>
      </c>
      <c r="C490" s="130" t="n">
        <f aca="false">ExportRaw!$G490</f>
        <v>0</v>
      </c>
      <c r="D490" s="130" t="str">
        <f aca="false">ExportRaw!$E490</f>
        <v/>
      </c>
      <c r="E490" s="131" t="str">
        <f aca="false">ExportRaw!$D490</f>
        <v/>
      </c>
      <c r="F490" s="130" t="str">
        <f aca="false">ExportRaw!$H490</f>
        <v/>
      </c>
      <c r="G490" s="132" t="str">
        <f aca="false">ExportRaw!$I490</f>
        <v/>
      </c>
      <c r="H490" s="130" t="str">
        <f aca="false">ExportRaw!$A490</f>
        <v/>
      </c>
      <c r="I490" s="130" t="str">
        <f aca="false">ExportRaw!$B490</f>
        <v/>
      </c>
    </row>
    <row r="491" customFormat="false" ht="15.75" hidden="false" customHeight="false" outlineLevel="0" collapsed="false">
      <c r="A491" s="130" t="n">
        <f aca="false">ExportRaw!$F491</f>
        <v>0</v>
      </c>
      <c r="B491" s="130" t="n">
        <f aca="false">ExportRaw!$C491</f>
        <v>0</v>
      </c>
      <c r="C491" s="130" t="n">
        <f aca="false">ExportRaw!$G491</f>
        <v>0</v>
      </c>
      <c r="D491" s="130" t="str">
        <f aca="false">ExportRaw!$E491</f>
        <v/>
      </c>
      <c r="E491" s="131" t="str">
        <f aca="false">ExportRaw!$D491</f>
        <v/>
      </c>
      <c r="F491" s="130" t="str">
        <f aca="false">ExportRaw!$H491</f>
        <v/>
      </c>
      <c r="G491" s="132" t="str">
        <f aca="false">ExportRaw!$I491</f>
        <v/>
      </c>
      <c r="H491" s="130" t="str">
        <f aca="false">ExportRaw!$A491</f>
        <v/>
      </c>
      <c r="I491" s="130" t="str">
        <f aca="false">ExportRaw!$B491</f>
        <v/>
      </c>
    </row>
    <row r="492" customFormat="false" ht="15.75" hidden="false" customHeight="false" outlineLevel="0" collapsed="false">
      <c r="A492" s="130" t="n">
        <f aca="false">ExportRaw!$F492</f>
        <v>0</v>
      </c>
      <c r="B492" s="130" t="n">
        <f aca="false">ExportRaw!$C492</f>
        <v>0</v>
      </c>
      <c r="C492" s="130" t="n">
        <f aca="false">ExportRaw!$G492</f>
        <v>0</v>
      </c>
      <c r="D492" s="130" t="str">
        <f aca="false">ExportRaw!$E492</f>
        <v/>
      </c>
      <c r="E492" s="131" t="str">
        <f aca="false">ExportRaw!$D492</f>
        <v/>
      </c>
      <c r="F492" s="130" t="str">
        <f aca="false">ExportRaw!$H492</f>
        <v/>
      </c>
      <c r="G492" s="132" t="str">
        <f aca="false">ExportRaw!$I492</f>
        <v/>
      </c>
      <c r="H492" s="130" t="str">
        <f aca="false">ExportRaw!$A492</f>
        <v/>
      </c>
      <c r="I492" s="130" t="str">
        <f aca="false">ExportRaw!$B492</f>
        <v/>
      </c>
    </row>
    <row r="493" customFormat="false" ht="15.75" hidden="false" customHeight="false" outlineLevel="0" collapsed="false">
      <c r="A493" s="130" t="n">
        <f aca="false">ExportRaw!$F493</f>
        <v>0</v>
      </c>
      <c r="B493" s="130" t="n">
        <f aca="false">ExportRaw!$C493</f>
        <v>0</v>
      </c>
      <c r="C493" s="130" t="n">
        <f aca="false">ExportRaw!$G493</f>
        <v>0</v>
      </c>
      <c r="D493" s="130" t="str">
        <f aca="false">ExportRaw!$E493</f>
        <v/>
      </c>
      <c r="E493" s="131" t="str">
        <f aca="false">ExportRaw!$D493</f>
        <v/>
      </c>
      <c r="F493" s="130" t="str">
        <f aca="false">ExportRaw!$H493</f>
        <v/>
      </c>
      <c r="G493" s="132" t="str">
        <f aca="false">ExportRaw!$I493</f>
        <v/>
      </c>
      <c r="H493" s="130" t="str">
        <f aca="false">ExportRaw!$A493</f>
        <v/>
      </c>
      <c r="I493" s="130" t="str">
        <f aca="false">ExportRaw!$B493</f>
        <v/>
      </c>
    </row>
    <row r="494" customFormat="false" ht="15.75" hidden="false" customHeight="false" outlineLevel="0" collapsed="false">
      <c r="A494" s="130" t="n">
        <f aca="false">ExportRaw!$F494</f>
        <v>0</v>
      </c>
      <c r="B494" s="130" t="n">
        <f aca="false">ExportRaw!$C494</f>
        <v>0</v>
      </c>
      <c r="C494" s="130" t="n">
        <f aca="false">ExportRaw!$G494</f>
        <v>0</v>
      </c>
      <c r="D494" s="130" t="str">
        <f aca="false">ExportRaw!$E494</f>
        <v/>
      </c>
      <c r="E494" s="131" t="str">
        <f aca="false">ExportRaw!$D494</f>
        <v/>
      </c>
      <c r="F494" s="130" t="str">
        <f aca="false">ExportRaw!$H494</f>
        <v/>
      </c>
      <c r="G494" s="132" t="str">
        <f aca="false">ExportRaw!$I494</f>
        <v/>
      </c>
      <c r="H494" s="130" t="str">
        <f aca="false">ExportRaw!$A494</f>
        <v/>
      </c>
      <c r="I494" s="130" t="str">
        <f aca="false">ExportRaw!$B494</f>
        <v/>
      </c>
    </row>
    <row r="495" customFormat="false" ht="15.75" hidden="false" customHeight="false" outlineLevel="0" collapsed="false">
      <c r="A495" s="130" t="n">
        <f aca="false">ExportRaw!$F495</f>
        <v>0</v>
      </c>
      <c r="B495" s="130" t="n">
        <f aca="false">ExportRaw!$C495</f>
        <v>0</v>
      </c>
      <c r="C495" s="130" t="n">
        <f aca="false">ExportRaw!$G495</f>
        <v>0</v>
      </c>
      <c r="D495" s="130" t="str">
        <f aca="false">ExportRaw!$E495</f>
        <v/>
      </c>
      <c r="E495" s="131" t="str">
        <f aca="false">ExportRaw!$D495</f>
        <v/>
      </c>
      <c r="F495" s="130" t="str">
        <f aca="false">ExportRaw!$H495</f>
        <v/>
      </c>
      <c r="G495" s="132" t="str">
        <f aca="false">ExportRaw!$I495</f>
        <v/>
      </c>
      <c r="H495" s="130" t="str">
        <f aca="false">ExportRaw!$A495</f>
        <v/>
      </c>
      <c r="I495" s="130" t="str">
        <f aca="false">ExportRaw!$B495</f>
        <v/>
      </c>
    </row>
    <row r="496" customFormat="false" ht="15.75" hidden="false" customHeight="false" outlineLevel="0" collapsed="false">
      <c r="A496" s="130" t="n">
        <f aca="false">ExportRaw!$F496</f>
        <v>0</v>
      </c>
      <c r="B496" s="130" t="n">
        <f aca="false">ExportRaw!$C496</f>
        <v>0</v>
      </c>
      <c r="C496" s="130" t="n">
        <f aca="false">ExportRaw!$G496</f>
        <v>0</v>
      </c>
      <c r="D496" s="130" t="str">
        <f aca="false">ExportRaw!$E496</f>
        <v/>
      </c>
      <c r="E496" s="131" t="str">
        <f aca="false">ExportRaw!$D496</f>
        <v/>
      </c>
      <c r="F496" s="130" t="str">
        <f aca="false">ExportRaw!$H496</f>
        <v/>
      </c>
      <c r="G496" s="132" t="str">
        <f aca="false">ExportRaw!$I496</f>
        <v/>
      </c>
      <c r="H496" s="130" t="str">
        <f aca="false">ExportRaw!$A496</f>
        <v/>
      </c>
      <c r="I496" s="130" t="str">
        <f aca="false">ExportRaw!$B496</f>
        <v/>
      </c>
    </row>
    <row r="497" customFormat="false" ht="15.75" hidden="false" customHeight="false" outlineLevel="0" collapsed="false">
      <c r="A497" s="130" t="n">
        <f aca="false">ExportRaw!$F497</f>
        <v>0</v>
      </c>
      <c r="B497" s="130" t="n">
        <f aca="false">ExportRaw!$C497</f>
        <v>0</v>
      </c>
      <c r="C497" s="130" t="n">
        <f aca="false">ExportRaw!$G497</f>
        <v>0</v>
      </c>
      <c r="D497" s="130" t="str">
        <f aca="false">ExportRaw!$E497</f>
        <v/>
      </c>
      <c r="E497" s="131" t="str">
        <f aca="false">ExportRaw!$D497</f>
        <v/>
      </c>
      <c r="F497" s="130" t="str">
        <f aca="false">ExportRaw!$H497</f>
        <v/>
      </c>
      <c r="G497" s="132" t="str">
        <f aca="false">ExportRaw!$I497</f>
        <v/>
      </c>
      <c r="H497" s="130" t="str">
        <f aca="false">ExportRaw!$A497</f>
        <v/>
      </c>
      <c r="I497" s="130" t="str">
        <f aca="false">ExportRaw!$B497</f>
        <v/>
      </c>
    </row>
    <row r="498" customFormat="false" ht="15.75" hidden="false" customHeight="false" outlineLevel="0" collapsed="false">
      <c r="A498" s="130" t="n">
        <f aca="false">ExportRaw!$F498</f>
        <v>0</v>
      </c>
      <c r="B498" s="130" t="n">
        <f aca="false">ExportRaw!$C498</f>
        <v>0</v>
      </c>
      <c r="C498" s="130" t="n">
        <f aca="false">ExportRaw!$G498</f>
        <v>0</v>
      </c>
      <c r="D498" s="130" t="str">
        <f aca="false">ExportRaw!$E498</f>
        <v/>
      </c>
      <c r="E498" s="131" t="str">
        <f aca="false">ExportRaw!$D498</f>
        <v/>
      </c>
      <c r="F498" s="130" t="str">
        <f aca="false">ExportRaw!$H498</f>
        <v/>
      </c>
      <c r="G498" s="132" t="str">
        <f aca="false">ExportRaw!$I498</f>
        <v/>
      </c>
      <c r="H498" s="130" t="str">
        <f aca="false">ExportRaw!$A498</f>
        <v/>
      </c>
      <c r="I498" s="130" t="str">
        <f aca="false">ExportRaw!$B498</f>
        <v/>
      </c>
    </row>
    <row r="499" customFormat="false" ht="15.75" hidden="false" customHeight="false" outlineLevel="0" collapsed="false">
      <c r="A499" s="130" t="n">
        <f aca="false">ExportRaw!$F499</f>
        <v>0</v>
      </c>
      <c r="B499" s="130" t="n">
        <f aca="false">ExportRaw!$C499</f>
        <v>0</v>
      </c>
      <c r="C499" s="130" t="n">
        <f aca="false">ExportRaw!$G499</f>
        <v>0</v>
      </c>
      <c r="D499" s="130" t="str">
        <f aca="false">ExportRaw!$E499</f>
        <v/>
      </c>
      <c r="E499" s="131" t="str">
        <f aca="false">ExportRaw!$D499</f>
        <v/>
      </c>
      <c r="F499" s="130" t="str">
        <f aca="false">ExportRaw!$H499</f>
        <v/>
      </c>
      <c r="G499" s="132" t="str">
        <f aca="false">ExportRaw!$I499</f>
        <v/>
      </c>
      <c r="H499" s="130" t="str">
        <f aca="false">ExportRaw!$A499</f>
        <v/>
      </c>
      <c r="I499" s="130" t="str">
        <f aca="false">ExportRaw!$B499</f>
        <v/>
      </c>
    </row>
    <row r="500" customFormat="false" ht="15.75" hidden="false" customHeight="false" outlineLevel="0" collapsed="false">
      <c r="A500" s="130" t="n">
        <f aca="false">ExportRaw!$F500</f>
        <v>0</v>
      </c>
      <c r="B500" s="130" t="n">
        <f aca="false">ExportRaw!$C500</f>
        <v>0</v>
      </c>
      <c r="C500" s="130" t="n">
        <f aca="false">ExportRaw!$G500</f>
        <v>0</v>
      </c>
      <c r="D500" s="130" t="str">
        <f aca="false">ExportRaw!$E500</f>
        <v/>
      </c>
      <c r="E500" s="131" t="str">
        <f aca="false">ExportRaw!$D500</f>
        <v/>
      </c>
      <c r="F500" s="130" t="str">
        <f aca="false">ExportRaw!$H500</f>
        <v/>
      </c>
      <c r="G500" s="132" t="str">
        <f aca="false">ExportRaw!$I500</f>
        <v/>
      </c>
      <c r="H500" s="130" t="str">
        <f aca="false">ExportRaw!$A500</f>
        <v/>
      </c>
      <c r="I500" s="130" t="str">
        <f aca="false">ExportRaw!$B500</f>
        <v/>
      </c>
    </row>
    <row r="501" customFormat="false" ht="15.75" hidden="false" customHeight="false" outlineLevel="0" collapsed="false">
      <c r="A501" s="130" t="n">
        <f aca="false">ExportRaw!$F501</f>
        <v>0</v>
      </c>
      <c r="B501" s="130" t="n">
        <f aca="false">ExportRaw!$C501</f>
        <v>0</v>
      </c>
      <c r="C501" s="130" t="n">
        <f aca="false">ExportRaw!$G501</f>
        <v>0</v>
      </c>
      <c r="D501" s="130" t="str">
        <f aca="false">ExportRaw!$E501</f>
        <v/>
      </c>
      <c r="E501" s="131" t="str">
        <f aca="false">ExportRaw!$D501</f>
        <v/>
      </c>
      <c r="F501" s="130" t="str">
        <f aca="false">ExportRaw!$H501</f>
        <v/>
      </c>
      <c r="G501" s="132" t="str">
        <f aca="false">ExportRaw!$I501</f>
        <v/>
      </c>
      <c r="H501" s="130" t="str">
        <f aca="false">ExportRaw!$A501</f>
        <v/>
      </c>
      <c r="I501" s="130" t="str">
        <f aca="false">ExportRaw!$B501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27"/>
    <col collapsed="false" customWidth="true" hidden="false" outlineLevel="0" max="3" min="3" style="1" width="104.88"/>
  </cols>
  <sheetData>
    <row r="1" customFormat="false" ht="15.75" hidden="false" customHeight="false" outlineLevel="0" collapsed="false">
      <c r="A1" s="129" t="s">
        <v>77</v>
      </c>
      <c r="B1" s="129" t="s">
        <v>78</v>
      </c>
      <c r="C1" s="129" t="s">
        <v>79</v>
      </c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 customFormat="false" ht="15.75" hidden="false" customHeight="false" outlineLevel="0" collapsed="false">
      <c r="A2" s="133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customFormat="false" ht="15.75" hidden="false" customHeight="false" outlineLevel="0" collapsed="false">
      <c r="A3" s="133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</row>
    <row r="4" customFormat="false" ht="15.75" hidden="false" customHeight="false" outlineLevel="0" collapsed="false">
      <c r="A4" s="133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 customFormat="false" ht="15.75" hidden="false" customHeight="false" outlineLevel="0" collapsed="false">
      <c r="A5" s="134"/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 customFormat="false" ht="15.75" hidden="false" customHeight="false" outlineLevel="0" collapsed="false">
      <c r="A6" s="134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</row>
    <row r="7" customFormat="false" ht="15.75" hidden="false" customHeight="false" outlineLevel="0" collapsed="false">
      <c r="A7" s="134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customFormat="false" ht="15.75" hidden="false" customHeight="false" outlineLevel="0" collapsed="false">
      <c r="A8" s="130"/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 customFormat="false" ht="15.75" hidden="false" customHeight="false" outlineLevel="0" collapsed="false">
      <c r="A9" s="130"/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customFormat="false" ht="15.75" hidden="false" customHeight="false" outlineLevel="0" collapsed="false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customFormat="false" ht="15.75" hidden="false" customHeight="false" outlineLevel="0" collapsed="false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customFormat="false" ht="15.75" hidden="false" customHeight="false" outlineLevel="0" collapsed="false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 customFormat="false" ht="15.75" hidden="false" customHeight="false" outlineLevel="0" collapsed="false">
      <c r="A13" s="130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customFormat="false" ht="15.75" hidden="false" customHeight="false" outlineLevel="0" collapsed="false">
      <c r="A14" s="130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 customFormat="false" ht="15.75" hidden="false" customHeight="false" outlineLevel="0" collapsed="false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</row>
    <row r="16" customFormat="false" ht="15.75" hidden="false" customHeight="false" outlineLevel="0" collapsed="false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</row>
    <row r="17" customFormat="false" ht="15.75" hidden="false" customHeight="false" outlineLevel="0" collapsed="false">
      <c r="A17" s="130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customFormat="false" ht="15.75" hidden="false" customHeight="false" outlineLevel="0" collapsed="false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customFormat="false" ht="15.75" hidden="false" customHeight="false" outlineLevel="0" collapsed="false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customFormat="false" ht="15.75" hidden="false" customHeight="false" outlineLevel="0" collapsed="false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customFormat="false" ht="15.75" hidden="false" customHeight="false" outlineLevel="0" collapsed="false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 customFormat="false" ht="15.75" hidden="false" customHeight="false" outlineLevel="0" collapsed="false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customFormat="false" ht="15.75" hidden="false" customHeight="false" outlineLevel="0" collapsed="false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customFormat="false" ht="15.75" hidden="false" customHeight="false" outlineLevel="0" collapsed="false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customFormat="false" ht="15.75" hidden="false" customHeight="false" outlineLevel="0" collapsed="false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customFormat="false" ht="15.75" hidden="false" customHeight="false" outlineLevel="0" collapsed="false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customFormat="false" ht="15.75" hidden="false" customHeight="false" outlineLevel="0" collapsed="false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customFormat="false" ht="15.75" hidden="false" customHeight="false" outlineLevel="0" collapsed="false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customFormat="false" ht="15.75" hidden="false" customHeight="false" outlineLevel="0" collapsed="false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customFormat="false" ht="15.75" hidden="false" customHeight="false" outlineLevel="0" collapsed="false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customFormat="false" ht="15.75" hidden="false" customHeight="false" outlineLevel="0" collapsed="false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customFormat="false" ht="15.75" hidden="false" customHeight="false" outlineLevel="0" collapsed="false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customFormat="false" ht="15.75" hidden="false" customHeight="false" outlineLevel="0" collapsed="false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customFormat="false" ht="15.75" hidden="false" customHeight="false" outlineLevel="0" collapsed="false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 customFormat="false" ht="15.75" hidden="false" customHeight="false" outlineLevel="0" collapsed="false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customFormat="false" ht="15.75" hidden="false" customHeight="false" outlineLevel="0" collapsed="false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customFormat="false" ht="15.75" hidden="false" customHeight="false" outlineLevel="0" collapsed="false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customFormat="false" ht="15.75" hidden="false" customHeight="false" outlineLevel="0" collapsed="false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customFormat="false" ht="15.75" hidden="false" customHeight="false" outlineLevel="0" collapsed="false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customFormat="false" ht="15.75" hidden="false" customHeight="false" outlineLevel="0" collapsed="false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customFormat="false" ht="15.75" hidden="false" customHeight="false" outlineLevel="0" collapsed="false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 customFormat="false" ht="15.75" hidden="false" customHeight="false" outlineLevel="0" collapsed="false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customFormat="false" ht="15.75" hidden="false" customHeight="false" outlineLevel="0" collapsed="false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 customFormat="false" ht="15.75" hidden="false" customHeight="false" outlineLevel="0" collapsed="false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customFormat="false" ht="15.75" hidden="false" customHeight="false" outlineLevel="0" collapsed="false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customFormat="false" ht="15.75" hidden="false" customHeight="false" outlineLevel="0" collapsed="false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 customFormat="false" ht="15.75" hidden="false" customHeight="false" outlineLevel="0" collapsed="false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customFormat="false" ht="15.75" hidden="false" customHeight="false" outlineLevel="0" collapsed="false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customFormat="false" ht="15.75" hidden="false" customHeight="false" outlineLevel="0" collapsed="false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customFormat="false" ht="15.75" hidden="false" customHeight="false" outlineLevel="0" collapsed="false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customFormat="false" ht="15.75" hidden="false" customHeight="false" outlineLevel="0" collapsed="false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 customFormat="false" ht="15.75" hidden="false" customHeight="false" outlineLevel="0" collapsed="false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customFormat="false" ht="15.75" hidden="false" customHeight="false" outlineLevel="0" collapsed="false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 customFormat="false" ht="15.75" hidden="false" customHeight="false" outlineLevel="0" collapsed="false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 customFormat="false" ht="15.75" hidden="false" customHeight="false" outlineLevel="0" collapsed="false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 customFormat="false" ht="15.75" hidden="false" customHeight="false" outlineLevel="0" collapsed="false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 customFormat="false" ht="15.75" hidden="false" customHeight="false" outlineLevel="0" collapsed="false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 customFormat="false" ht="15.75" hidden="false" customHeight="false" outlineLevel="0" collapsed="false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 customFormat="false" ht="15.75" hidden="false" customHeight="false" outlineLevel="0" collapsed="false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 customFormat="false" ht="15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 customFormat="false" ht="15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customFormat="false" ht="15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 customFormat="false" ht="15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 customFormat="false" ht="15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customFormat="false" ht="15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 customFormat="false" ht="15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</row>
    <row r="67" customFormat="false" ht="15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</row>
    <row r="68" customFormat="false" ht="15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</row>
    <row r="69" customFormat="false" ht="15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 customFormat="false" ht="15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1" customFormat="false" ht="15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 customFormat="false" ht="15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 customFormat="false" ht="15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</row>
    <row r="74" customFormat="false" ht="15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 customFormat="false" ht="15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</row>
    <row r="76" customFormat="false" ht="15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</row>
    <row r="77" customFormat="false" ht="15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</row>
    <row r="78" customFormat="false" ht="15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</row>
    <row r="79" customFormat="false" ht="15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 customFormat="false" ht="15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 customFormat="false" ht="15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 customFormat="false" ht="15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 customFormat="false" ht="15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</row>
    <row r="84" customFormat="false" ht="15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 customFormat="false" ht="15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 customFormat="false" ht="15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 customFormat="false" ht="15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 customFormat="false" ht="15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 customFormat="false" ht="15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 customFormat="false" ht="15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 customFormat="false" ht="15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 customFormat="false" ht="15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 customFormat="false" ht="15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</row>
    <row r="94" customFormat="false" ht="15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 customFormat="false" ht="15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</row>
    <row r="96" customFormat="false" ht="15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 customFormat="false" ht="15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 customFormat="false" ht="15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 customFormat="false" ht="15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 customFormat="false" ht="15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 customFormat="false" ht="15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 customFormat="false" ht="15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</row>
    <row r="103" customFormat="false" ht="15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 customFormat="false" ht="15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 customFormat="false" ht="15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 customFormat="false" ht="15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 customFormat="false" ht="15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customFormat="false" ht="15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 customFormat="false" ht="15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 customFormat="false" ht="15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 customFormat="false" ht="15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 customFormat="false" ht="15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 customFormat="false" ht="15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 customFormat="false" ht="15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 customFormat="false" ht="15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 customFormat="false" ht="15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 customFormat="false" ht="15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 customFormat="false" ht="15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 customFormat="false" ht="15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 customFormat="false" ht="15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</row>
    <row r="121" customFormat="false" ht="15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</row>
    <row r="122" customFormat="false" ht="15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</row>
    <row r="123" customFormat="false" ht="15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</row>
    <row r="124" customFormat="false" ht="15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</row>
    <row r="125" customFormat="false" ht="15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</row>
    <row r="126" customFormat="false" ht="15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</row>
    <row r="127" customFormat="false" ht="15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</row>
    <row r="128" customFormat="false" ht="15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</row>
    <row r="129" customFormat="false" ht="15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</row>
    <row r="130" customFormat="false" ht="15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</row>
    <row r="131" customFormat="false" ht="15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</row>
    <row r="132" customFormat="false" ht="15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</row>
    <row r="133" customFormat="false" ht="15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</row>
    <row r="134" customFormat="false" ht="15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</row>
    <row r="135" customFormat="false" ht="15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</row>
    <row r="136" customFormat="false" ht="15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</row>
    <row r="137" customFormat="false" ht="15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 customFormat="false" ht="15.75" hidden="false" customHeight="false" outlineLevel="0" collapsed="false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</row>
    <row r="139" customFormat="false" ht="15.75" hidden="false" customHeight="false" outlineLevel="0" collapsed="false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0" customFormat="false" ht="15.75" hidden="false" customHeight="false" outlineLevel="0" collapsed="false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 customFormat="false" ht="15.75" hidden="false" customHeight="false" outlineLevel="0" collapsed="false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</row>
    <row r="142" customFormat="false" ht="15.75" hidden="false" customHeight="false" outlineLevel="0" collapsed="false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</row>
    <row r="143" customFormat="false" ht="15.75" hidden="false" customHeight="false" outlineLevel="0" collapsed="false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 customFormat="false" ht="15.75" hidden="false" customHeight="false" outlineLevel="0" collapsed="false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</row>
    <row r="145" customFormat="false" ht="15.75" hidden="false" customHeight="false" outlineLevel="0" collapsed="false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</row>
    <row r="146" customFormat="false" ht="15.75" hidden="false" customHeight="false" outlineLevel="0" collapsed="false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</row>
    <row r="147" customFormat="false" ht="15.75" hidden="false" customHeight="false" outlineLevel="0" collapsed="false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</row>
    <row r="148" customFormat="false" ht="15.75" hidden="false" customHeight="false" outlineLevel="0" collapsed="false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 customFormat="false" ht="15.75" hidden="false" customHeight="false" outlineLevel="0" collapsed="false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 customFormat="false" ht="15.75" hidden="false" customHeight="false" outlineLevel="0" collapsed="false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 customFormat="false" ht="15.75" hidden="false" customHeight="false" outlineLevel="0" collapsed="false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 customFormat="false" ht="15.75" hidden="false" customHeight="false" outlineLevel="0" collapsed="false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 customFormat="false" ht="15.75" hidden="false" customHeight="false" outlineLevel="0" collapsed="false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</row>
    <row r="154" customFormat="false" ht="15.75" hidden="false" customHeight="false" outlineLevel="0" collapsed="false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</row>
    <row r="155" customFormat="false" ht="15.75" hidden="false" customHeight="false" outlineLevel="0" collapsed="false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</row>
    <row r="156" customFormat="false" ht="15.75" hidden="false" customHeight="false" outlineLevel="0" collapsed="false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</row>
    <row r="157" customFormat="false" ht="15.75" hidden="false" customHeight="false" outlineLevel="0" collapsed="false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</row>
    <row r="158" customFormat="false" ht="15.75" hidden="false" customHeight="false" outlineLevel="0" collapsed="false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</row>
    <row r="159" customFormat="false" ht="15.75" hidden="false" customHeight="false" outlineLevel="0" collapsed="false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</row>
    <row r="160" customFormat="false" ht="15.75" hidden="false" customHeight="false" outlineLevel="0" collapsed="false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</row>
    <row r="161" customFormat="false" ht="15.75" hidden="false" customHeight="false" outlineLevel="0" collapsed="false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</row>
    <row r="162" customFormat="false" ht="15.75" hidden="false" customHeight="false" outlineLevel="0" collapsed="false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</row>
    <row r="163" customFormat="false" ht="15.75" hidden="false" customHeight="false" outlineLevel="0" collapsed="false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</row>
    <row r="164" customFormat="false" ht="15.75" hidden="false" customHeight="false" outlineLevel="0" collapsed="false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</row>
    <row r="165" customFormat="false" ht="15.75" hidden="false" customHeight="false" outlineLevel="0" collapsed="false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</row>
    <row r="166" customFormat="false" ht="15.75" hidden="false" customHeight="false" outlineLevel="0" collapsed="false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</row>
    <row r="167" customFormat="false" ht="15.75" hidden="false" customHeight="false" outlineLevel="0" collapsed="false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</row>
    <row r="168" customFormat="false" ht="15.75" hidden="false" customHeight="false" outlineLevel="0" collapsed="false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</row>
    <row r="169" customFormat="false" ht="15.75" hidden="false" customHeight="false" outlineLevel="0" collapsed="false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</row>
    <row r="170" customFormat="false" ht="15.75" hidden="false" customHeight="false" outlineLevel="0" collapsed="false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</row>
    <row r="171" customFormat="false" ht="15.75" hidden="false" customHeight="false" outlineLevel="0" collapsed="false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</row>
    <row r="172" customFormat="false" ht="15.75" hidden="false" customHeight="false" outlineLevel="0" collapsed="false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</row>
    <row r="173" customFormat="false" ht="15.75" hidden="false" customHeight="false" outlineLevel="0" collapsed="false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</row>
    <row r="174" customFormat="false" ht="15.75" hidden="false" customHeight="false" outlineLevel="0" collapsed="false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</row>
    <row r="175" customFormat="false" ht="15.75" hidden="false" customHeight="false" outlineLevel="0" collapsed="false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</row>
    <row r="176" customFormat="false" ht="15.75" hidden="false" customHeight="false" outlineLevel="0" collapsed="false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</row>
    <row r="177" customFormat="false" ht="15.75" hidden="false" customHeight="false" outlineLevel="0" collapsed="false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</row>
    <row r="178" customFormat="false" ht="15.75" hidden="false" customHeight="false" outlineLevel="0" collapsed="false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</row>
    <row r="179" customFormat="false" ht="15.75" hidden="false" customHeight="false" outlineLevel="0" collapsed="false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</row>
    <row r="180" customFormat="false" ht="15.75" hidden="false" customHeight="false" outlineLevel="0" collapsed="false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</row>
    <row r="181" customFormat="false" ht="15.75" hidden="false" customHeight="false" outlineLevel="0" collapsed="false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</row>
    <row r="182" customFormat="false" ht="15.75" hidden="false" customHeight="false" outlineLevel="0" collapsed="false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</row>
    <row r="183" customFormat="false" ht="15.75" hidden="false" customHeight="false" outlineLevel="0" collapsed="false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</row>
    <row r="184" customFormat="false" ht="15.75" hidden="false" customHeight="false" outlineLevel="0" collapsed="false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</row>
    <row r="185" customFormat="false" ht="15.75" hidden="false" customHeight="false" outlineLevel="0" collapsed="false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</row>
    <row r="186" customFormat="false" ht="15.75" hidden="false" customHeight="false" outlineLevel="0" collapsed="false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</row>
    <row r="187" customFormat="false" ht="15.75" hidden="false" customHeight="false" outlineLevel="0" collapsed="false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</row>
    <row r="188" customFormat="false" ht="15.75" hidden="false" customHeight="false" outlineLevel="0" collapsed="false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</row>
    <row r="189" customFormat="false" ht="15.75" hidden="false" customHeight="false" outlineLevel="0" collapsed="false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</row>
    <row r="190" customFormat="false" ht="15.75" hidden="false" customHeight="false" outlineLevel="0" collapsed="false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</row>
    <row r="191" customFormat="false" ht="15.75" hidden="false" customHeight="false" outlineLevel="0" collapsed="false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</row>
    <row r="192" customFormat="false" ht="15.75" hidden="false" customHeight="false" outlineLevel="0" collapsed="false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</row>
    <row r="193" customFormat="false" ht="15.75" hidden="false" customHeight="false" outlineLevel="0" collapsed="false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</row>
    <row r="194" customFormat="false" ht="15.75" hidden="false" customHeight="false" outlineLevel="0" collapsed="false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</row>
    <row r="195" customFormat="false" ht="15.75" hidden="false" customHeight="false" outlineLevel="0" collapsed="false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</row>
    <row r="196" customFormat="false" ht="15.75" hidden="false" customHeight="false" outlineLevel="0" collapsed="false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</row>
    <row r="197" customFormat="false" ht="15.75" hidden="false" customHeight="false" outlineLevel="0" collapsed="false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</row>
    <row r="198" customFormat="false" ht="15.75" hidden="false" customHeight="false" outlineLevel="0" collapsed="false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</row>
    <row r="199" customFormat="false" ht="15.75" hidden="false" customHeight="false" outlineLevel="0" collapsed="false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</row>
    <row r="200" customFormat="false" ht="15.75" hidden="false" customHeight="false" outlineLevel="0" collapsed="false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</row>
    <row r="201" customFormat="false" ht="15.75" hidden="false" customHeight="false" outlineLevel="0" collapsed="false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</row>
    <row r="202" customFormat="false" ht="15.75" hidden="false" customHeight="false" outlineLevel="0" collapsed="false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</row>
    <row r="203" customFormat="false" ht="15.75" hidden="false" customHeight="false" outlineLevel="0" collapsed="false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</row>
    <row r="204" customFormat="false" ht="15.75" hidden="false" customHeight="false" outlineLevel="0" collapsed="false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</row>
    <row r="205" customFormat="false" ht="15.75" hidden="false" customHeight="false" outlineLevel="0" collapsed="false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</row>
    <row r="206" customFormat="false" ht="15.75" hidden="false" customHeight="false" outlineLevel="0" collapsed="false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</row>
    <row r="207" customFormat="false" ht="15.75" hidden="false" customHeight="false" outlineLevel="0" collapsed="false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</row>
    <row r="208" customFormat="false" ht="15.75" hidden="false" customHeight="false" outlineLevel="0" collapsed="false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</row>
    <row r="209" customFormat="false" ht="15.75" hidden="false" customHeight="false" outlineLevel="0" collapsed="false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</row>
    <row r="210" customFormat="false" ht="15.75" hidden="false" customHeight="false" outlineLevel="0" collapsed="false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</row>
    <row r="211" customFormat="false" ht="15.75" hidden="false" customHeight="false" outlineLevel="0" collapsed="false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</row>
    <row r="212" customFormat="false" ht="15.75" hidden="false" customHeight="false" outlineLevel="0" collapsed="false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</row>
    <row r="213" customFormat="false" ht="15.75" hidden="false" customHeight="false" outlineLevel="0" collapsed="false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</row>
    <row r="214" customFormat="false" ht="15.75" hidden="false" customHeight="false" outlineLevel="0" collapsed="false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</row>
    <row r="215" customFormat="false" ht="15.75" hidden="false" customHeight="false" outlineLevel="0" collapsed="false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</row>
    <row r="216" customFormat="false" ht="15.75" hidden="false" customHeight="false" outlineLevel="0" collapsed="false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</row>
    <row r="217" customFormat="false" ht="15.75" hidden="false" customHeight="false" outlineLevel="0" collapsed="false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</row>
    <row r="218" customFormat="false" ht="15.75" hidden="false" customHeight="false" outlineLevel="0" collapsed="false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</row>
    <row r="219" customFormat="false" ht="15.75" hidden="false" customHeight="false" outlineLevel="0" collapsed="false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</row>
    <row r="220" customFormat="false" ht="15.75" hidden="false" customHeight="false" outlineLevel="0" collapsed="false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</row>
    <row r="221" customFormat="false" ht="15.75" hidden="false" customHeight="false" outlineLevel="0" collapsed="false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</row>
    <row r="222" customFormat="false" ht="15.75" hidden="false" customHeight="false" outlineLevel="0" collapsed="false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</row>
    <row r="223" customFormat="false" ht="15.75" hidden="false" customHeight="false" outlineLevel="0" collapsed="false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</row>
    <row r="224" customFormat="false" ht="15.75" hidden="false" customHeight="false" outlineLevel="0" collapsed="false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</row>
    <row r="225" customFormat="false" ht="15.75" hidden="false" customHeight="false" outlineLevel="0" collapsed="false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</row>
    <row r="226" customFormat="false" ht="15.75" hidden="false" customHeight="false" outlineLevel="0" collapsed="false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</row>
    <row r="227" customFormat="false" ht="15.75" hidden="false" customHeight="false" outlineLevel="0" collapsed="false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</row>
    <row r="228" customFormat="false" ht="15.75" hidden="false" customHeight="false" outlineLevel="0" collapsed="false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</row>
    <row r="229" customFormat="false" ht="15.75" hidden="false" customHeight="false" outlineLevel="0" collapsed="false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</row>
    <row r="230" customFormat="false" ht="15.75" hidden="false" customHeight="false" outlineLevel="0" collapsed="false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</row>
    <row r="231" customFormat="false" ht="15.75" hidden="false" customHeight="false" outlineLevel="0" collapsed="false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</row>
    <row r="232" customFormat="false" ht="15.75" hidden="false" customHeight="false" outlineLevel="0" collapsed="false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</row>
    <row r="233" customFormat="false" ht="15.75" hidden="false" customHeight="false" outlineLevel="0" collapsed="false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</row>
    <row r="234" customFormat="false" ht="15.75" hidden="false" customHeight="false" outlineLevel="0" collapsed="false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</row>
    <row r="235" customFormat="false" ht="15.75" hidden="false" customHeight="false" outlineLevel="0" collapsed="false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</row>
    <row r="236" customFormat="false" ht="15.75" hidden="false" customHeight="false" outlineLevel="0" collapsed="false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</row>
    <row r="237" customFormat="false" ht="15.75" hidden="false" customHeight="false" outlineLevel="0" collapsed="false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</row>
    <row r="238" customFormat="false" ht="15.75" hidden="false" customHeight="false" outlineLevel="0" collapsed="false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</row>
    <row r="239" customFormat="false" ht="15.75" hidden="false" customHeight="false" outlineLevel="0" collapsed="false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</row>
    <row r="240" customFormat="false" ht="15.75" hidden="false" customHeight="false" outlineLevel="0" collapsed="false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</row>
    <row r="241" customFormat="false" ht="15.75" hidden="false" customHeight="false" outlineLevel="0" collapsed="false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</row>
    <row r="242" customFormat="false" ht="15.75" hidden="false" customHeight="false" outlineLevel="0" collapsed="false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</row>
    <row r="243" customFormat="false" ht="15.75" hidden="false" customHeight="false" outlineLevel="0" collapsed="false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</row>
    <row r="244" customFormat="false" ht="15.75" hidden="false" customHeight="false" outlineLevel="0" collapsed="false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</row>
    <row r="245" customFormat="false" ht="15.75" hidden="false" customHeight="false" outlineLevel="0" collapsed="false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</row>
    <row r="246" customFormat="false" ht="15.75" hidden="false" customHeight="false" outlineLevel="0" collapsed="false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</row>
    <row r="247" customFormat="false" ht="15.75" hidden="false" customHeight="false" outlineLevel="0" collapsed="false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</row>
    <row r="248" customFormat="false" ht="15.75" hidden="false" customHeight="false" outlineLevel="0" collapsed="false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</row>
    <row r="249" customFormat="false" ht="15.75" hidden="false" customHeight="false" outlineLevel="0" collapsed="false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</row>
    <row r="250" customFormat="false" ht="15.75" hidden="false" customHeight="false" outlineLevel="0" collapsed="false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</row>
    <row r="251" customFormat="false" ht="15.75" hidden="false" customHeight="false" outlineLevel="0" collapsed="false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</row>
    <row r="252" customFormat="false" ht="15.75" hidden="false" customHeight="false" outlineLevel="0" collapsed="false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</row>
    <row r="253" customFormat="false" ht="15.75" hidden="false" customHeight="false" outlineLevel="0" collapsed="false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</row>
    <row r="254" customFormat="false" ht="15.75" hidden="false" customHeight="false" outlineLevel="0" collapsed="false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</row>
    <row r="255" customFormat="false" ht="15.75" hidden="false" customHeight="false" outlineLevel="0" collapsed="false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</row>
    <row r="256" customFormat="false" ht="15.75" hidden="false" customHeight="false" outlineLevel="0" collapsed="false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</row>
    <row r="257" customFormat="false" ht="15.75" hidden="false" customHeight="false" outlineLevel="0" collapsed="false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</row>
    <row r="258" customFormat="false" ht="15.75" hidden="false" customHeight="false" outlineLevel="0" collapsed="false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</row>
    <row r="259" customFormat="false" ht="15.75" hidden="false" customHeight="false" outlineLevel="0" collapsed="false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</row>
    <row r="260" customFormat="false" ht="15.75" hidden="false" customHeight="false" outlineLevel="0" collapsed="false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</row>
    <row r="261" customFormat="false" ht="15.75" hidden="false" customHeight="false" outlineLevel="0" collapsed="false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</row>
    <row r="262" customFormat="false" ht="15.75" hidden="false" customHeight="false" outlineLevel="0" collapsed="false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</row>
    <row r="263" customFormat="false" ht="15.75" hidden="false" customHeight="false" outlineLevel="0" collapsed="false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</row>
    <row r="264" customFormat="false" ht="15.75" hidden="false" customHeight="false" outlineLevel="0" collapsed="false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</row>
    <row r="265" customFormat="false" ht="15.75" hidden="false" customHeight="false" outlineLevel="0" collapsed="false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</row>
    <row r="266" customFormat="false" ht="15.75" hidden="false" customHeight="false" outlineLevel="0" collapsed="false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</row>
    <row r="267" customFormat="false" ht="15.75" hidden="false" customHeight="false" outlineLevel="0" collapsed="false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</row>
    <row r="268" customFormat="false" ht="15.75" hidden="false" customHeight="false" outlineLevel="0" collapsed="false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</row>
    <row r="269" customFormat="false" ht="15.75" hidden="false" customHeight="false" outlineLevel="0" collapsed="false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</row>
    <row r="270" customFormat="false" ht="15.75" hidden="false" customHeight="false" outlineLevel="0" collapsed="false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</row>
    <row r="271" customFormat="false" ht="15.75" hidden="false" customHeight="false" outlineLevel="0" collapsed="false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</row>
    <row r="272" customFormat="false" ht="15.75" hidden="false" customHeight="false" outlineLevel="0" collapsed="false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</row>
    <row r="273" customFormat="false" ht="15.75" hidden="false" customHeight="false" outlineLevel="0" collapsed="false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</row>
    <row r="274" customFormat="false" ht="15.75" hidden="false" customHeight="false" outlineLevel="0" collapsed="false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</row>
    <row r="275" customFormat="false" ht="15.75" hidden="false" customHeight="false" outlineLevel="0" collapsed="false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</row>
    <row r="276" customFormat="false" ht="15.75" hidden="false" customHeight="false" outlineLevel="0" collapsed="false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</row>
    <row r="277" customFormat="false" ht="15.75" hidden="false" customHeight="false" outlineLevel="0" collapsed="false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</row>
    <row r="278" customFormat="false" ht="15.75" hidden="false" customHeight="false" outlineLevel="0" collapsed="false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</row>
    <row r="279" customFormat="false" ht="15.75" hidden="false" customHeight="false" outlineLevel="0" collapsed="false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</row>
    <row r="280" customFormat="false" ht="15.75" hidden="false" customHeight="false" outlineLevel="0" collapsed="false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</row>
    <row r="281" customFormat="false" ht="15.75" hidden="false" customHeight="false" outlineLevel="0" collapsed="false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</row>
    <row r="282" customFormat="false" ht="15.75" hidden="false" customHeight="false" outlineLevel="0" collapsed="false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</row>
    <row r="283" customFormat="false" ht="15.75" hidden="false" customHeight="false" outlineLevel="0" collapsed="false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</row>
    <row r="284" customFormat="false" ht="15.75" hidden="false" customHeight="false" outlineLevel="0" collapsed="false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</row>
    <row r="285" customFormat="false" ht="15.75" hidden="false" customHeight="false" outlineLevel="0" collapsed="false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</row>
    <row r="286" customFormat="false" ht="15.75" hidden="false" customHeight="false" outlineLevel="0" collapsed="false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</row>
    <row r="287" customFormat="false" ht="15.75" hidden="false" customHeight="false" outlineLevel="0" collapsed="false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</row>
    <row r="288" customFormat="false" ht="15.75" hidden="false" customHeight="false" outlineLevel="0" collapsed="false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</row>
    <row r="289" customFormat="false" ht="15.75" hidden="false" customHeight="false" outlineLevel="0" collapsed="false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</row>
    <row r="290" customFormat="false" ht="15.75" hidden="false" customHeight="false" outlineLevel="0" collapsed="false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</row>
    <row r="291" customFormat="false" ht="15.75" hidden="false" customHeight="false" outlineLevel="0" collapsed="false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</row>
    <row r="292" customFormat="false" ht="15.75" hidden="false" customHeight="false" outlineLevel="0" collapsed="false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</row>
    <row r="293" customFormat="false" ht="15.75" hidden="false" customHeight="false" outlineLevel="0" collapsed="false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</row>
    <row r="294" customFormat="false" ht="15.75" hidden="false" customHeight="false" outlineLevel="0" collapsed="false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</row>
    <row r="295" customFormat="false" ht="15.75" hidden="false" customHeight="false" outlineLevel="0" collapsed="false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</row>
    <row r="296" customFormat="false" ht="15.75" hidden="false" customHeight="false" outlineLevel="0" collapsed="false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</row>
    <row r="297" customFormat="false" ht="15.75" hidden="false" customHeight="false" outlineLevel="0" collapsed="false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</row>
    <row r="298" customFormat="false" ht="15.75" hidden="false" customHeight="false" outlineLevel="0" collapsed="false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</row>
    <row r="299" customFormat="false" ht="15.75" hidden="false" customHeight="false" outlineLevel="0" collapsed="false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</row>
    <row r="300" customFormat="false" ht="15.75" hidden="false" customHeight="false" outlineLevel="0" collapsed="false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</row>
    <row r="301" customFormat="false" ht="15.75" hidden="false" customHeight="false" outlineLevel="0" collapsed="false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</row>
    <row r="302" customFormat="false" ht="15.75" hidden="false" customHeight="false" outlineLevel="0" collapsed="false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</row>
    <row r="303" customFormat="false" ht="15.75" hidden="false" customHeight="false" outlineLevel="0" collapsed="false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</row>
    <row r="304" customFormat="false" ht="15.75" hidden="false" customHeight="false" outlineLevel="0" collapsed="false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</row>
    <row r="305" customFormat="false" ht="15.75" hidden="false" customHeight="false" outlineLevel="0" collapsed="false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</row>
    <row r="306" customFormat="false" ht="15.75" hidden="false" customHeight="false" outlineLevel="0" collapsed="false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</row>
    <row r="307" customFormat="false" ht="15.75" hidden="false" customHeight="false" outlineLevel="0" collapsed="false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</row>
    <row r="308" customFormat="false" ht="15.75" hidden="false" customHeight="false" outlineLevel="0" collapsed="false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</row>
    <row r="309" customFormat="false" ht="15.75" hidden="false" customHeight="false" outlineLevel="0" collapsed="false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</row>
    <row r="310" customFormat="false" ht="15.75" hidden="false" customHeight="false" outlineLevel="0" collapsed="false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</row>
    <row r="311" customFormat="false" ht="15.75" hidden="false" customHeight="false" outlineLevel="0" collapsed="false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</row>
    <row r="312" customFormat="false" ht="15.75" hidden="false" customHeight="false" outlineLevel="0" collapsed="false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</row>
    <row r="313" customFormat="false" ht="15.75" hidden="false" customHeight="false" outlineLevel="0" collapsed="false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</row>
    <row r="314" customFormat="false" ht="15.75" hidden="false" customHeight="false" outlineLevel="0" collapsed="false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</row>
    <row r="315" customFormat="false" ht="15.75" hidden="false" customHeight="false" outlineLevel="0" collapsed="false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</row>
    <row r="316" customFormat="false" ht="15.75" hidden="false" customHeight="false" outlineLevel="0" collapsed="false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</row>
    <row r="317" customFormat="false" ht="15.75" hidden="false" customHeight="false" outlineLevel="0" collapsed="false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</row>
    <row r="318" customFormat="false" ht="15.75" hidden="false" customHeight="false" outlineLevel="0" collapsed="false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</row>
    <row r="319" customFormat="false" ht="15.75" hidden="false" customHeight="false" outlineLevel="0" collapsed="false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</row>
    <row r="320" customFormat="false" ht="15.75" hidden="false" customHeight="false" outlineLevel="0" collapsed="false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</row>
    <row r="321" customFormat="false" ht="15.75" hidden="false" customHeight="false" outlineLevel="0" collapsed="false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</row>
    <row r="322" customFormat="false" ht="15.75" hidden="false" customHeight="false" outlineLevel="0" collapsed="false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</row>
    <row r="323" customFormat="false" ht="15.75" hidden="false" customHeight="false" outlineLevel="0" collapsed="false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</row>
    <row r="324" customFormat="false" ht="15.75" hidden="false" customHeight="false" outlineLevel="0" collapsed="false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</row>
    <row r="325" customFormat="false" ht="15.75" hidden="false" customHeight="false" outlineLevel="0" collapsed="false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</row>
    <row r="326" customFormat="false" ht="15.75" hidden="false" customHeight="false" outlineLevel="0" collapsed="false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</row>
    <row r="327" customFormat="false" ht="15.75" hidden="false" customHeight="false" outlineLevel="0" collapsed="false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</row>
    <row r="328" customFormat="false" ht="15.75" hidden="false" customHeight="false" outlineLevel="0" collapsed="false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</row>
    <row r="329" customFormat="false" ht="15.75" hidden="false" customHeight="false" outlineLevel="0" collapsed="false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</row>
    <row r="330" customFormat="false" ht="15.75" hidden="false" customHeight="false" outlineLevel="0" collapsed="false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</row>
    <row r="331" customFormat="false" ht="15.75" hidden="false" customHeight="false" outlineLevel="0" collapsed="false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</row>
    <row r="332" customFormat="false" ht="15.75" hidden="false" customHeight="false" outlineLevel="0" collapsed="false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</row>
    <row r="333" customFormat="false" ht="15.75" hidden="false" customHeight="false" outlineLevel="0" collapsed="false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</row>
    <row r="334" customFormat="false" ht="15.75" hidden="false" customHeight="false" outlineLevel="0" collapsed="false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</row>
    <row r="335" customFormat="false" ht="15.75" hidden="false" customHeight="false" outlineLevel="0" collapsed="false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</row>
    <row r="336" customFormat="false" ht="15.75" hidden="false" customHeight="false" outlineLevel="0" collapsed="false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</row>
    <row r="337" customFormat="false" ht="15.75" hidden="false" customHeight="false" outlineLevel="0" collapsed="false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</row>
    <row r="338" customFormat="false" ht="15.75" hidden="false" customHeight="false" outlineLevel="0" collapsed="false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</row>
    <row r="339" customFormat="false" ht="15.75" hidden="false" customHeight="false" outlineLevel="0" collapsed="false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</row>
    <row r="340" customFormat="false" ht="15.75" hidden="false" customHeight="false" outlineLevel="0" collapsed="false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</row>
    <row r="341" customFormat="false" ht="15.75" hidden="false" customHeight="false" outlineLevel="0" collapsed="false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</row>
    <row r="342" customFormat="false" ht="15.75" hidden="false" customHeight="false" outlineLevel="0" collapsed="false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</row>
    <row r="343" customFormat="false" ht="15.75" hidden="false" customHeight="false" outlineLevel="0" collapsed="false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</row>
    <row r="344" customFormat="false" ht="15.75" hidden="false" customHeight="false" outlineLevel="0" collapsed="false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</row>
    <row r="345" customFormat="false" ht="15.75" hidden="false" customHeight="false" outlineLevel="0" collapsed="false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</row>
    <row r="346" customFormat="false" ht="15.75" hidden="false" customHeight="false" outlineLevel="0" collapsed="false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</row>
    <row r="347" customFormat="false" ht="15.75" hidden="false" customHeight="false" outlineLevel="0" collapsed="false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</row>
    <row r="348" customFormat="false" ht="15.75" hidden="false" customHeight="false" outlineLevel="0" collapsed="false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</row>
    <row r="349" customFormat="false" ht="15.75" hidden="false" customHeight="false" outlineLevel="0" collapsed="false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</row>
    <row r="350" customFormat="false" ht="15.75" hidden="false" customHeight="false" outlineLevel="0" collapsed="false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</row>
    <row r="351" customFormat="false" ht="15.75" hidden="false" customHeight="false" outlineLevel="0" collapsed="false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</row>
    <row r="352" customFormat="false" ht="15.75" hidden="false" customHeight="false" outlineLevel="0" collapsed="false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</row>
    <row r="353" customFormat="false" ht="15.75" hidden="false" customHeight="false" outlineLevel="0" collapsed="false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</row>
    <row r="354" customFormat="false" ht="15.75" hidden="false" customHeight="false" outlineLevel="0" collapsed="false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</row>
    <row r="355" customFormat="false" ht="15.75" hidden="false" customHeight="false" outlineLevel="0" collapsed="false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</row>
    <row r="356" customFormat="false" ht="15.75" hidden="false" customHeight="false" outlineLevel="0" collapsed="false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</row>
    <row r="357" customFormat="false" ht="15.75" hidden="false" customHeight="false" outlineLevel="0" collapsed="false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</row>
    <row r="358" customFormat="false" ht="15.75" hidden="false" customHeight="false" outlineLevel="0" collapsed="false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</row>
    <row r="359" customFormat="false" ht="15.75" hidden="false" customHeight="false" outlineLevel="0" collapsed="false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</row>
    <row r="360" customFormat="false" ht="15.75" hidden="false" customHeight="false" outlineLevel="0" collapsed="false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</row>
    <row r="361" customFormat="false" ht="15.75" hidden="false" customHeight="false" outlineLevel="0" collapsed="false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</row>
    <row r="362" customFormat="false" ht="15.75" hidden="false" customHeight="false" outlineLevel="0" collapsed="false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</row>
    <row r="363" customFormat="false" ht="15.75" hidden="false" customHeight="false" outlineLevel="0" collapsed="false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</row>
    <row r="364" customFormat="false" ht="15.75" hidden="false" customHeight="false" outlineLevel="0" collapsed="false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</row>
    <row r="365" customFormat="false" ht="15.75" hidden="false" customHeight="false" outlineLevel="0" collapsed="false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</row>
    <row r="366" customFormat="false" ht="15.75" hidden="false" customHeight="false" outlineLevel="0" collapsed="false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</row>
    <row r="367" customFormat="false" ht="15.75" hidden="false" customHeight="false" outlineLevel="0" collapsed="false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</row>
    <row r="368" customFormat="false" ht="15.75" hidden="false" customHeight="false" outlineLevel="0" collapsed="false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</row>
    <row r="369" customFormat="false" ht="15.75" hidden="false" customHeight="false" outlineLevel="0" collapsed="false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</row>
    <row r="370" customFormat="false" ht="15.75" hidden="false" customHeight="false" outlineLevel="0" collapsed="false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</row>
    <row r="371" customFormat="false" ht="15.75" hidden="false" customHeight="false" outlineLevel="0" collapsed="false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</row>
    <row r="372" customFormat="false" ht="15.75" hidden="false" customHeight="false" outlineLevel="0" collapsed="false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</row>
    <row r="373" customFormat="false" ht="15.75" hidden="false" customHeight="false" outlineLevel="0" collapsed="false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</row>
    <row r="374" customFormat="false" ht="15.75" hidden="false" customHeight="false" outlineLevel="0" collapsed="false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</row>
    <row r="375" customFormat="false" ht="15.75" hidden="false" customHeight="false" outlineLevel="0" collapsed="false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</row>
    <row r="376" customFormat="false" ht="15.75" hidden="false" customHeight="false" outlineLevel="0" collapsed="false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</row>
    <row r="377" customFormat="false" ht="15.75" hidden="false" customHeight="false" outlineLevel="0" collapsed="false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</row>
    <row r="378" customFormat="false" ht="15.75" hidden="false" customHeight="false" outlineLevel="0" collapsed="false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</row>
    <row r="379" customFormat="false" ht="15.75" hidden="false" customHeight="false" outlineLevel="0" collapsed="false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</row>
    <row r="380" customFormat="false" ht="15.75" hidden="false" customHeight="false" outlineLevel="0" collapsed="false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</row>
    <row r="381" customFormat="false" ht="15.75" hidden="false" customHeight="false" outlineLevel="0" collapsed="false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</row>
    <row r="382" customFormat="false" ht="15.75" hidden="false" customHeight="false" outlineLevel="0" collapsed="false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</row>
    <row r="383" customFormat="false" ht="15.75" hidden="false" customHeight="false" outlineLevel="0" collapsed="false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</row>
    <row r="384" customFormat="false" ht="15.75" hidden="false" customHeight="false" outlineLevel="0" collapsed="false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</row>
    <row r="385" customFormat="false" ht="15.75" hidden="false" customHeight="false" outlineLevel="0" collapsed="false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</row>
    <row r="386" customFormat="false" ht="15.75" hidden="false" customHeight="false" outlineLevel="0" collapsed="false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</row>
    <row r="387" customFormat="false" ht="15.75" hidden="false" customHeight="false" outlineLevel="0" collapsed="false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</row>
    <row r="388" customFormat="false" ht="15.75" hidden="false" customHeight="false" outlineLevel="0" collapsed="false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</row>
    <row r="389" customFormat="false" ht="15.75" hidden="false" customHeight="false" outlineLevel="0" collapsed="false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</row>
    <row r="390" customFormat="false" ht="15.75" hidden="false" customHeight="false" outlineLevel="0" collapsed="false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</row>
    <row r="391" customFormat="false" ht="15.75" hidden="false" customHeight="false" outlineLevel="0" collapsed="false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</row>
    <row r="392" customFormat="false" ht="15.75" hidden="false" customHeight="false" outlineLevel="0" collapsed="false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</row>
    <row r="393" customFormat="false" ht="15.75" hidden="false" customHeight="false" outlineLevel="0" collapsed="false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</row>
    <row r="394" customFormat="false" ht="15.75" hidden="false" customHeight="false" outlineLevel="0" collapsed="false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</row>
    <row r="395" customFormat="false" ht="15.75" hidden="false" customHeight="false" outlineLevel="0" collapsed="false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</row>
    <row r="396" customFormat="false" ht="15.75" hidden="false" customHeight="false" outlineLevel="0" collapsed="false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</row>
    <row r="397" customFormat="false" ht="15.75" hidden="false" customHeight="false" outlineLevel="0" collapsed="false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</row>
    <row r="398" customFormat="false" ht="15.75" hidden="false" customHeight="false" outlineLevel="0" collapsed="false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</row>
    <row r="399" customFormat="false" ht="15.75" hidden="false" customHeight="false" outlineLevel="0" collapsed="false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</row>
    <row r="400" customFormat="false" ht="15.75" hidden="false" customHeight="false" outlineLevel="0" collapsed="false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</row>
    <row r="401" customFormat="false" ht="15.75" hidden="false" customHeight="false" outlineLevel="0" collapsed="false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</row>
    <row r="402" customFormat="false" ht="15.75" hidden="false" customHeight="false" outlineLevel="0" collapsed="false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</row>
    <row r="403" customFormat="false" ht="15.75" hidden="false" customHeight="false" outlineLevel="0" collapsed="false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</row>
    <row r="404" customFormat="false" ht="15.75" hidden="false" customHeight="false" outlineLevel="0" collapsed="false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</row>
    <row r="405" customFormat="false" ht="15.75" hidden="false" customHeight="false" outlineLevel="0" collapsed="false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</row>
    <row r="406" customFormat="false" ht="15.75" hidden="false" customHeight="false" outlineLevel="0" collapsed="false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</row>
    <row r="407" customFormat="false" ht="15.75" hidden="false" customHeight="false" outlineLevel="0" collapsed="false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</row>
    <row r="408" customFormat="false" ht="15.75" hidden="false" customHeight="false" outlineLevel="0" collapsed="false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</row>
    <row r="409" customFormat="false" ht="15.75" hidden="false" customHeight="false" outlineLevel="0" collapsed="false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</row>
    <row r="410" customFormat="false" ht="15.75" hidden="false" customHeight="false" outlineLevel="0" collapsed="false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</row>
    <row r="411" customFormat="false" ht="15.75" hidden="false" customHeight="false" outlineLevel="0" collapsed="false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</row>
    <row r="412" customFormat="false" ht="15.75" hidden="false" customHeight="false" outlineLevel="0" collapsed="false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</row>
    <row r="413" customFormat="false" ht="15.75" hidden="false" customHeight="false" outlineLevel="0" collapsed="false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</row>
    <row r="414" customFormat="false" ht="15.75" hidden="false" customHeight="false" outlineLevel="0" collapsed="false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</row>
    <row r="415" customFormat="false" ht="15.75" hidden="false" customHeight="false" outlineLevel="0" collapsed="false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</row>
    <row r="416" customFormat="false" ht="15.75" hidden="false" customHeight="false" outlineLevel="0" collapsed="false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</row>
    <row r="417" customFormat="false" ht="15.75" hidden="false" customHeight="false" outlineLevel="0" collapsed="false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</row>
    <row r="418" customFormat="false" ht="15.75" hidden="false" customHeight="false" outlineLevel="0" collapsed="false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</row>
    <row r="419" customFormat="false" ht="15.75" hidden="false" customHeight="false" outlineLevel="0" collapsed="false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</row>
    <row r="420" customFormat="false" ht="15.75" hidden="false" customHeight="false" outlineLevel="0" collapsed="false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</row>
    <row r="421" customFormat="false" ht="15.75" hidden="false" customHeight="false" outlineLevel="0" collapsed="false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</row>
    <row r="422" customFormat="false" ht="15.75" hidden="false" customHeight="false" outlineLevel="0" collapsed="false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</row>
    <row r="423" customFormat="false" ht="15.75" hidden="false" customHeight="false" outlineLevel="0" collapsed="false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</row>
    <row r="424" customFormat="false" ht="15.75" hidden="false" customHeight="false" outlineLevel="0" collapsed="false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</row>
    <row r="425" customFormat="false" ht="15.75" hidden="false" customHeight="false" outlineLevel="0" collapsed="false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</row>
    <row r="426" customFormat="false" ht="15.75" hidden="false" customHeight="false" outlineLevel="0" collapsed="false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</row>
    <row r="427" customFormat="false" ht="15.75" hidden="false" customHeight="false" outlineLevel="0" collapsed="false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</row>
    <row r="428" customFormat="false" ht="15.75" hidden="false" customHeight="false" outlineLevel="0" collapsed="false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</row>
    <row r="429" customFormat="false" ht="15.75" hidden="false" customHeight="false" outlineLevel="0" collapsed="false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</row>
    <row r="430" customFormat="false" ht="15.75" hidden="false" customHeight="false" outlineLevel="0" collapsed="false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</row>
    <row r="431" customFormat="false" ht="15.75" hidden="false" customHeight="false" outlineLevel="0" collapsed="false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</row>
    <row r="432" customFormat="false" ht="15.75" hidden="false" customHeight="false" outlineLevel="0" collapsed="false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</row>
    <row r="433" customFormat="false" ht="15.75" hidden="false" customHeight="false" outlineLevel="0" collapsed="false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</row>
    <row r="434" customFormat="false" ht="15.75" hidden="false" customHeight="false" outlineLevel="0" collapsed="false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</row>
    <row r="435" customFormat="false" ht="15.75" hidden="false" customHeight="false" outlineLevel="0" collapsed="false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</row>
    <row r="436" customFormat="false" ht="15.75" hidden="false" customHeight="false" outlineLevel="0" collapsed="false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</row>
    <row r="437" customFormat="false" ht="15.75" hidden="false" customHeight="false" outlineLevel="0" collapsed="false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</row>
    <row r="438" customFormat="false" ht="15.75" hidden="false" customHeight="false" outlineLevel="0" collapsed="false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</row>
    <row r="439" customFormat="false" ht="15.75" hidden="false" customHeight="false" outlineLevel="0" collapsed="false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</row>
    <row r="440" customFormat="false" ht="15.75" hidden="false" customHeight="false" outlineLevel="0" collapsed="false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</row>
    <row r="441" customFormat="false" ht="15.75" hidden="false" customHeight="false" outlineLevel="0" collapsed="false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</row>
    <row r="442" customFormat="false" ht="15.75" hidden="false" customHeight="false" outlineLevel="0" collapsed="false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</row>
    <row r="443" customFormat="false" ht="15.75" hidden="false" customHeight="false" outlineLevel="0" collapsed="false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</row>
    <row r="444" customFormat="false" ht="15.75" hidden="false" customHeight="false" outlineLevel="0" collapsed="false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</row>
    <row r="445" customFormat="false" ht="15.75" hidden="false" customHeight="false" outlineLevel="0" collapsed="false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</row>
    <row r="446" customFormat="false" ht="15.75" hidden="false" customHeight="false" outlineLevel="0" collapsed="false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</row>
    <row r="447" customFormat="false" ht="15.75" hidden="false" customHeight="false" outlineLevel="0" collapsed="false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</row>
    <row r="448" customFormat="false" ht="15.75" hidden="false" customHeight="false" outlineLevel="0" collapsed="false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</row>
    <row r="449" customFormat="false" ht="15.75" hidden="false" customHeight="false" outlineLevel="0" collapsed="false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</row>
    <row r="450" customFormat="false" ht="15.75" hidden="false" customHeight="false" outlineLevel="0" collapsed="false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</row>
    <row r="451" customFormat="false" ht="15.75" hidden="false" customHeight="false" outlineLevel="0" collapsed="false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</row>
    <row r="452" customFormat="false" ht="15.75" hidden="false" customHeight="false" outlineLevel="0" collapsed="false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</row>
    <row r="453" customFormat="false" ht="15.75" hidden="false" customHeight="false" outlineLevel="0" collapsed="false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</row>
    <row r="454" customFormat="false" ht="15.75" hidden="false" customHeight="false" outlineLevel="0" collapsed="false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</row>
    <row r="455" customFormat="false" ht="15.75" hidden="false" customHeight="false" outlineLevel="0" collapsed="false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</row>
    <row r="456" customFormat="false" ht="15.75" hidden="false" customHeight="false" outlineLevel="0" collapsed="false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</row>
    <row r="457" customFormat="false" ht="15.75" hidden="false" customHeight="false" outlineLevel="0" collapsed="false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</row>
    <row r="458" customFormat="false" ht="15.75" hidden="false" customHeight="false" outlineLevel="0" collapsed="false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</row>
    <row r="459" customFormat="false" ht="15.75" hidden="false" customHeight="false" outlineLevel="0" collapsed="false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</row>
    <row r="460" customFormat="false" ht="15.75" hidden="false" customHeight="false" outlineLevel="0" collapsed="false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</row>
    <row r="461" customFormat="false" ht="15.75" hidden="false" customHeight="false" outlineLevel="0" collapsed="false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</row>
    <row r="462" customFormat="false" ht="15.75" hidden="false" customHeight="false" outlineLevel="0" collapsed="false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</row>
    <row r="463" customFormat="false" ht="15.75" hidden="false" customHeight="false" outlineLevel="0" collapsed="false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</row>
    <row r="464" customFormat="false" ht="15.75" hidden="false" customHeight="false" outlineLevel="0" collapsed="false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</row>
    <row r="465" customFormat="false" ht="15.75" hidden="false" customHeight="false" outlineLevel="0" collapsed="false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</row>
    <row r="466" customFormat="false" ht="15.75" hidden="false" customHeight="false" outlineLevel="0" collapsed="false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</row>
    <row r="467" customFormat="false" ht="15.75" hidden="false" customHeight="false" outlineLevel="0" collapsed="false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</row>
    <row r="468" customFormat="false" ht="15.75" hidden="false" customHeight="false" outlineLevel="0" collapsed="false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</row>
    <row r="469" customFormat="false" ht="15.75" hidden="false" customHeight="false" outlineLevel="0" collapsed="false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</row>
    <row r="470" customFormat="false" ht="15.75" hidden="false" customHeight="false" outlineLevel="0" collapsed="false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</row>
    <row r="471" customFormat="false" ht="15.75" hidden="false" customHeight="false" outlineLevel="0" collapsed="false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</row>
    <row r="472" customFormat="false" ht="15.75" hidden="false" customHeight="false" outlineLevel="0" collapsed="false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</row>
    <row r="473" customFormat="false" ht="15.75" hidden="false" customHeight="false" outlineLevel="0" collapsed="false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</row>
    <row r="474" customFormat="false" ht="15.75" hidden="false" customHeight="false" outlineLevel="0" collapsed="false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</row>
    <row r="475" customFormat="false" ht="15.75" hidden="false" customHeight="false" outlineLevel="0" collapsed="false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</row>
    <row r="476" customFormat="false" ht="15.75" hidden="false" customHeight="false" outlineLevel="0" collapsed="false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</row>
    <row r="477" customFormat="false" ht="15.75" hidden="false" customHeight="false" outlineLevel="0" collapsed="false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</row>
    <row r="478" customFormat="false" ht="15.75" hidden="false" customHeight="false" outlineLevel="0" collapsed="false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</row>
    <row r="479" customFormat="false" ht="15.75" hidden="false" customHeight="false" outlineLevel="0" collapsed="false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</row>
    <row r="480" customFormat="false" ht="15.75" hidden="false" customHeight="false" outlineLevel="0" collapsed="false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</row>
    <row r="481" customFormat="false" ht="15.75" hidden="false" customHeight="false" outlineLevel="0" collapsed="false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</row>
    <row r="482" customFormat="false" ht="15.75" hidden="false" customHeight="false" outlineLevel="0" collapsed="false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</row>
    <row r="483" customFormat="false" ht="15.75" hidden="false" customHeight="false" outlineLevel="0" collapsed="false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</row>
    <row r="484" customFormat="false" ht="15.75" hidden="false" customHeight="false" outlineLevel="0" collapsed="false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</row>
    <row r="485" customFormat="false" ht="15.75" hidden="false" customHeight="false" outlineLevel="0" collapsed="false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</row>
    <row r="486" customFormat="false" ht="15.75" hidden="false" customHeight="false" outlineLevel="0" collapsed="false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</row>
    <row r="487" customFormat="false" ht="15.75" hidden="false" customHeight="false" outlineLevel="0" collapsed="false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</row>
    <row r="488" customFormat="false" ht="15.75" hidden="false" customHeight="false" outlineLevel="0" collapsed="false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</row>
    <row r="489" customFormat="false" ht="15.75" hidden="false" customHeight="false" outlineLevel="0" collapsed="false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</row>
    <row r="490" customFormat="false" ht="15.75" hidden="false" customHeight="false" outlineLevel="0" collapsed="false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</row>
    <row r="491" customFormat="false" ht="15.75" hidden="false" customHeight="false" outlineLevel="0" collapsed="false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</row>
    <row r="492" customFormat="false" ht="15.75" hidden="false" customHeight="false" outlineLevel="0" collapsed="false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</row>
    <row r="493" customFormat="false" ht="15.75" hidden="false" customHeight="false" outlineLevel="0" collapsed="false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</row>
    <row r="494" customFormat="false" ht="15.75" hidden="false" customHeight="false" outlineLevel="0" collapsed="false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</row>
    <row r="495" customFormat="false" ht="15.75" hidden="false" customHeight="false" outlineLevel="0" collapsed="false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</row>
    <row r="496" customFormat="false" ht="15.75" hidden="false" customHeight="false" outlineLevel="0" collapsed="false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</row>
    <row r="497" customFormat="false" ht="15.75" hidden="false" customHeight="false" outlineLevel="0" collapsed="false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</row>
    <row r="498" customFormat="false" ht="15.75" hidden="false" customHeight="false" outlineLevel="0" collapsed="false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</row>
    <row r="499" customFormat="false" ht="15.75" hidden="false" customHeight="false" outlineLevel="0" collapsed="false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</row>
    <row r="500" customFormat="false" ht="15.75" hidden="false" customHeight="false" outlineLevel="0" collapsed="false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</row>
    <row r="501" customFormat="false" ht="15.75" hidden="false" customHeight="false" outlineLevel="0" collapsed="false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</row>
    <row r="502" customFormat="false" ht="15.75" hidden="false" customHeight="false" outlineLevel="0" collapsed="false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</row>
    <row r="503" customFormat="false" ht="15.75" hidden="false" customHeight="false" outlineLevel="0" collapsed="false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</row>
    <row r="504" customFormat="false" ht="15.75" hidden="false" customHeight="false" outlineLevel="0" collapsed="false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</row>
    <row r="505" customFormat="false" ht="15.75" hidden="false" customHeight="false" outlineLevel="0" collapsed="false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</row>
    <row r="506" customFormat="false" ht="15.75" hidden="false" customHeight="false" outlineLevel="0" collapsed="false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</row>
    <row r="507" customFormat="false" ht="15.75" hidden="false" customHeight="false" outlineLevel="0" collapsed="false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</row>
    <row r="508" customFormat="false" ht="15.75" hidden="false" customHeight="false" outlineLevel="0" collapsed="false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</row>
    <row r="509" customFormat="false" ht="15.75" hidden="false" customHeight="false" outlineLevel="0" collapsed="false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</row>
    <row r="510" customFormat="false" ht="15.75" hidden="false" customHeight="false" outlineLevel="0" collapsed="false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</row>
    <row r="511" customFormat="false" ht="15.75" hidden="false" customHeight="false" outlineLevel="0" collapsed="false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</row>
    <row r="512" customFormat="false" ht="15.75" hidden="false" customHeight="false" outlineLevel="0" collapsed="false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</row>
    <row r="513" customFormat="false" ht="15.75" hidden="false" customHeight="false" outlineLevel="0" collapsed="false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</row>
    <row r="514" customFormat="false" ht="15.75" hidden="false" customHeight="false" outlineLevel="0" collapsed="false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</row>
    <row r="515" customFormat="false" ht="15.75" hidden="false" customHeight="false" outlineLevel="0" collapsed="false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</row>
    <row r="516" customFormat="false" ht="15.75" hidden="false" customHeight="false" outlineLevel="0" collapsed="false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</row>
    <row r="517" customFormat="false" ht="15.75" hidden="false" customHeight="false" outlineLevel="0" collapsed="false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</row>
    <row r="518" customFormat="false" ht="15.75" hidden="false" customHeight="false" outlineLevel="0" collapsed="false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</row>
    <row r="519" customFormat="false" ht="15.75" hidden="false" customHeight="false" outlineLevel="0" collapsed="false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</row>
    <row r="520" customFormat="false" ht="15.75" hidden="false" customHeight="false" outlineLevel="0" collapsed="false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</row>
    <row r="521" customFormat="false" ht="15.75" hidden="false" customHeight="false" outlineLevel="0" collapsed="false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</row>
    <row r="522" customFormat="false" ht="15.75" hidden="false" customHeight="false" outlineLevel="0" collapsed="false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</row>
    <row r="523" customFormat="false" ht="15.75" hidden="false" customHeight="false" outlineLevel="0" collapsed="false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</row>
    <row r="524" customFormat="false" ht="15.75" hidden="false" customHeight="false" outlineLevel="0" collapsed="false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</row>
    <row r="525" customFormat="false" ht="15.75" hidden="false" customHeight="false" outlineLevel="0" collapsed="false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</row>
    <row r="526" customFormat="false" ht="15.75" hidden="false" customHeight="false" outlineLevel="0" collapsed="false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</row>
    <row r="527" customFormat="false" ht="15.75" hidden="false" customHeight="false" outlineLevel="0" collapsed="false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</row>
    <row r="528" customFormat="false" ht="15.75" hidden="false" customHeight="false" outlineLevel="0" collapsed="false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</row>
    <row r="529" customFormat="false" ht="15.75" hidden="false" customHeight="false" outlineLevel="0" collapsed="false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</row>
    <row r="530" customFormat="false" ht="15.75" hidden="false" customHeight="false" outlineLevel="0" collapsed="false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</row>
    <row r="531" customFormat="false" ht="15.75" hidden="false" customHeight="false" outlineLevel="0" collapsed="false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</row>
    <row r="532" customFormat="false" ht="15.75" hidden="false" customHeight="false" outlineLevel="0" collapsed="false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</row>
    <row r="533" customFormat="false" ht="15.75" hidden="false" customHeight="false" outlineLevel="0" collapsed="false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</row>
    <row r="534" customFormat="false" ht="15.75" hidden="false" customHeight="false" outlineLevel="0" collapsed="false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</row>
    <row r="535" customFormat="false" ht="15.75" hidden="false" customHeight="false" outlineLevel="0" collapsed="false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</row>
    <row r="536" customFormat="false" ht="15.75" hidden="false" customHeight="false" outlineLevel="0" collapsed="false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</row>
    <row r="537" customFormat="false" ht="15.75" hidden="false" customHeight="false" outlineLevel="0" collapsed="false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</row>
    <row r="538" customFormat="false" ht="15.75" hidden="false" customHeight="false" outlineLevel="0" collapsed="false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</row>
    <row r="539" customFormat="false" ht="15.75" hidden="false" customHeight="false" outlineLevel="0" collapsed="false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</row>
    <row r="540" customFormat="false" ht="15.75" hidden="false" customHeight="false" outlineLevel="0" collapsed="false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</row>
    <row r="541" customFormat="false" ht="15.75" hidden="false" customHeight="false" outlineLevel="0" collapsed="false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</row>
    <row r="542" customFormat="false" ht="15.75" hidden="false" customHeight="false" outlineLevel="0" collapsed="false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</row>
    <row r="543" customFormat="false" ht="15.75" hidden="false" customHeight="false" outlineLevel="0" collapsed="false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</row>
    <row r="544" customFormat="false" ht="15.75" hidden="false" customHeight="false" outlineLevel="0" collapsed="false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</row>
    <row r="545" customFormat="false" ht="15.75" hidden="false" customHeight="false" outlineLevel="0" collapsed="false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</row>
    <row r="546" customFormat="false" ht="15.75" hidden="false" customHeight="false" outlineLevel="0" collapsed="false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</row>
    <row r="547" customFormat="false" ht="15.75" hidden="false" customHeight="false" outlineLevel="0" collapsed="false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</row>
    <row r="548" customFormat="false" ht="15.75" hidden="false" customHeight="false" outlineLevel="0" collapsed="false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</row>
    <row r="549" customFormat="false" ht="15.75" hidden="false" customHeight="false" outlineLevel="0" collapsed="false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</row>
    <row r="550" customFormat="false" ht="15.75" hidden="false" customHeight="false" outlineLevel="0" collapsed="false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</row>
    <row r="551" customFormat="false" ht="15.75" hidden="false" customHeight="false" outlineLevel="0" collapsed="false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</row>
    <row r="552" customFormat="false" ht="15.75" hidden="false" customHeight="false" outlineLevel="0" collapsed="false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</row>
    <row r="553" customFormat="false" ht="15.75" hidden="false" customHeight="false" outlineLevel="0" collapsed="false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</row>
    <row r="554" customFormat="false" ht="15.75" hidden="false" customHeight="false" outlineLevel="0" collapsed="false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</row>
    <row r="555" customFormat="false" ht="15.75" hidden="false" customHeight="false" outlineLevel="0" collapsed="false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</row>
    <row r="556" customFormat="false" ht="15.75" hidden="false" customHeight="false" outlineLevel="0" collapsed="false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</row>
    <row r="557" customFormat="false" ht="15.75" hidden="false" customHeight="false" outlineLevel="0" collapsed="false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</row>
    <row r="558" customFormat="false" ht="15.75" hidden="false" customHeight="false" outlineLevel="0" collapsed="false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</row>
    <row r="559" customFormat="false" ht="15.75" hidden="false" customHeight="false" outlineLevel="0" collapsed="false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</row>
    <row r="560" customFormat="false" ht="15.75" hidden="false" customHeight="false" outlineLevel="0" collapsed="false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</row>
    <row r="561" customFormat="false" ht="15.75" hidden="false" customHeight="false" outlineLevel="0" collapsed="false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</row>
    <row r="562" customFormat="false" ht="15.75" hidden="false" customHeight="false" outlineLevel="0" collapsed="false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</row>
    <row r="563" customFormat="false" ht="15.75" hidden="false" customHeight="false" outlineLevel="0" collapsed="false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</row>
    <row r="564" customFormat="false" ht="15.75" hidden="false" customHeight="false" outlineLevel="0" collapsed="false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</row>
    <row r="565" customFormat="false" ht="15.75" hidden="false" customHeight="false" outlineLevel="0" collapsed="false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</row>
    <row r="566" customFormat="false" ht="15.75" hidden="false" customHeight="false" outlineLevel="0" collapsed="false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</row>
    <row r="567" customFormat="false" ht="15.75" hidden="false" customHeight="false" outlineLevel="0" collapsed="false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</row>
    <row r="568" customFormat="false" ht="15.75" hidden="false" customHeight="false" outlineLevel="0" collapsed="false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</row>
    <row r="569" customFormat="false" ht="15.75" hidden="false" customHeight="false" outlineLevel="0" collapsed="false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</row>
    <row r="570" customFormat="false" ht="15.75" hidden="false" customHeight="false" outlineLevel="0" collapsed="false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</row>
    <row r="571" customFormat="false" ht="15.75" hidden="false" customHeight="false" outlineLevel="0" collapsed="false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</row>
    <row r="572" customFormat="false" ht="15.75" hidden="false" customHeight="false" outlineLevel="0" collapsed="false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</row>
    <row r="573" customFormat="false" ht="15.75" hidden="false" customHeight="false" outlineLevel="0" collapsed="false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</row>
    <row r="574" customFormat="false" ht="15.75" hidden="false" customHeight="false" outlineLevel="0" collapsed="false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</row>
    <row r="575" customFormat="false" ht="15.75" hidden="false" customHeight="false" outlineLevel="0" collapsed="false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</row>
    <row r="576" customFormat="false" ht="15.75" hidden="false" customHeight="false" outlineLevel="0" collapsed="false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</row>
    <row r="577" customFormat="false" ht="15.75" hidden="false" customHeight="false" outlineLevel="0" collapsed="false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</row>
    <row r="578" customFormat="false" ht="15.75" hidden="false" customHeight="false" outlineLevel="0" collapsed="false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</row>
    <row r="579" customFormat="false" ht="15.75" hidden="false" customHeight="false" outlineLevel="0" collapsed="false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</row>
    <row r="580" customFormat="false" ht="15.75" hidden="false" customHeight="false" outlineLevel="0" collapsed="false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</row>
    <row r="581" customFormat="false" ht="15.75" hidden="false" customHeight="false" outlineLevel="0" collapsed="false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</row>
    <row r="582" customFormat="false" ht="15.75" hidden="false" customHeight="false" outlineLevel="0" collapsed="false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</row>
    <row r="583" customFormat="false" ht="15.75" hidden="false" customHeight="false" outlineLevel="0" collapsed="false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</row>
    <row r="584" customFormat="false" ht="15.75" hidden="false" customHeight="false" outlineLevel="0" collapsed="false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</row>
    <row r="585" customFormat="false" ht="15.75" hidden="false" customHeight="false" outlineLevel="0" collapsed="false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</row>
    <row r="586" customFormat="false" ht="15.75" hidden="false" customHeight="false" outlineLevel="0" collapsed="false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</row>
    <row r="587" customFormat="false" ht="15.75" hidden="false" customHeight="false" outlineLevel="0" collapsed="false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</row>
    <row r="588" customFormat="false" ht="15.75" hidden="false" customHeight="false" outlineLevel="0" collapsed="false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</row>
    <row r="589" customFormat="false" ht="15.75" hidden="false" customHeight="false" outlineLevel="0" collapsed="false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</row>
    <row r="590" customFormat="false" ht="15.75" hidden="false" customHeight="false" outlineLevel="0" collapsed="false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</row>
    <row r="591" customFormat="false" ht="15.75" hidden="false" customHeight="false" outlineLevel="0" collapsed="false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</row>
    <row r="592" customFormat="false" ht="15.75" hidden="false" customHeight="false" outlineLevel="0" collapsed="false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</row>
    <row r="593" customFormat="false" ht="15.75" hidden="false" customHeight="false" outlineLevel="0" collapsed="false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</row>
    <row r="594" customFormat="false" ht="15.75" hidden="false" customHeight="false" outlineLevel="0" collapsed="false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</row>
    <row r="595" customFormat="false" ht="15.75" hidden="false" customHeight="false" outlineLevel="0" collapsed="false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</row>
    <row r="596" customFormat="false" ht="15.75" hidden="false" customHeight="false" outlineLevel="0" collapsed="false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</row>
    <row r="597" customFormat="false" ht="15.75" hidden="false" customHeight="false" outlineLevel="0" collapsed="false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</row>
    <row r="598" customFormat="false" ht="15.75" hidden="false" customHeight="false" outlineLevel="0" collapsed="false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</row>
    <row r="599" customFormat="false" ht="15.75" hidden="false" customHeight="false" outlineLevel="0" collapsed="false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</row>
    <row r="600" customFormat="false" ht="15.75" hidden="false" customHeight="false" outlineLevel="0" collapsed="false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</row>
    <row r="601" customFormat="false" ht="15.75" hidden="false" customHeight="false" outlineLevel="0" collapsed="false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</row>
    <row r="602" customFormat="false" ht="15.75" hidden="false" customHeight="false" outlineLevel="0" collapsed="false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</row>
    <row r="603" customFormat="false" ht="15.75" hidden="false" customHeight="false" outlineLevel="0" collapsed="false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</row>
    <row r="604" customFormat="false" ht="15.75" hidden="false" customHeight="false" outlineLevel="0" collapsed="false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</row>
    <row r="605" customFormat="false" ht="15.75" hidden="false" customHeight="false" outlineLevel="0" collapsed="false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</row>
    <row r="606" customFormat="false" ht="15.75" hidden="false" customHeight="false" outlineLevel="0" collapsed="false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</row>
    <row r="607" customFormat="false" ht="15.75" hidden="false" customHeight="false" outlineLevel="0" collapsed="false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</row>
    <row r="608" customFormat="false" ht="15.75" hidden="false" customHeight="false" outlineLevel="0" collapsed="false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</row>
    <row r="609" customFormat="false" ht="15.75" hidden="false" customHeight="false" outlineLevel="0" collapsed="false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</row>
    <row r="610" customFormat="false" ht="15.75" hidden="false" customHeight="false" outlineLevel="0" collapsed="false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</row>
    <row r="611" customFormat="false" ht="15.75" hidden="false" customHeight="false" outlineLevel="0" collapsed="false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</row>
    <row r="612" customFormat="false" ht="15.75" hidden="false" customHeight="false" outlineLevel="0" collapsed="false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</row>
    <row r="613" customFormat="false" ht="15.75" hidden="false" customHeight="false" outlineLevel="0" collapsed="false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</row>
    <row r="614" customFormat="false" ht="15.75" hidden="false" customHeight="false" outlineLevel="0" collapsed="false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</row>
    <row r="615" customFormat="false" ht="15.75" hidden="false" customHeight="false" outlineLevel="0" collapsed="false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</row>
    <row r="616" customFormat="false" ht="15.75" hidden="false" customHeight="false" outlineLevel="0" collapsed="false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</row>
    <row r="617" customFormat="false" ht="15.75" hidden="false" customHeight="false" outlineLevel="0" collapsed="false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</row>
    <row r="618" customFormat="false" ht="15.75" hidden="false" customHeight="false" outlineLevel="0" collapsed="false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</row>
    <row r="619" customFormat="false" ht="15.75" hidden="false" customHeight="false" outlineLevel="0" collapsed="false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</row>
    <row r="620" customFormat="false" ht="15.75" hidden="false" customHeight="false" outlineLevel="0" collapsed="false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</row>
    <row r="621" customFormat="false" ht="15.75" hidden="false" customHeight="false" outlineLevel="0" collapsed="false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</row>
    <row r="622" customFormat="false" ht="15.75" hidden="false" customHeight="false" outlineLevel="0" collapsed="false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</row>
    <row r="623" customFormat="false" ht="15.75" hidden="false" customHeight="false" outlineLevel="0" collapsed="false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</row>
    <row r="624" customFormat="false" ht="15.75" hidden="false" customHeight="false" outlineLevel="0" collapsed="false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</row>
    <row r="625" customFormat="false" ht="15.75" hidden="false" customHeight="false" outlineLevel="0" collapsed="false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</row>
    <row r="626" customFormat="false" ht="15.75" hidden="false" customHeight="false" outlineLevel="0" collapsed="false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</row>
    <row r="627" customFormat="false" ht="15.75" hidden="false" customHeight="false" outlineLevel="0" collapsed="false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</row>
    <row r="628" customFormat="false" ht="15.75" hidden="false" customHeight="false" outlineLevel="0" collapsed="false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</row>
    <row r="629" customFormat="false" ht="15.75" hidden="false" customHeight="false" outlineLevel="0" collapsed="false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</row>
    <row r="630" customFormat="false" ht="15.75" hidden="false" customHeight="false" outlineLevel="0" collapsed="false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</row>
    <row r="631" customFormat="false" ht="15.75" hidden="false" customHeight="false" outlineLevel="0" collapsed="false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</row>
    <row r="632" customFormat="false" ht="15.75" hidden="false" customHeight="false" outlineLevel="0" collapsed="false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</row>
    <row r="633" customFormat="false" ht="15.75" hidden="false" customHeight="false" outlineLevel="0" collapsed="false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</row>
    <row r="634" customFormat="false" ht="15.75" hidden="false" customHeight="false" outlineLevel="0" collapsed="false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</row>
    <row r="635" customFormat="false" ht="15.75" hidden="false" customHeight="false" outlineLevel="0" collapsed="false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</row>
    <row r="636" customFormat="false" ht="15.75" hidden="false" customHeight="false" outlineLevel="0" collapsed="false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</row>
    <row r="637" customFormat="false" ht="15.75" hidden="false" customHeight="false" outlineLevel="0" collapsed="false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</row>
    <row r="638" customFormat="false" ht="15.75" hidden="false" customHeight="false" outlineLevel="0" collapsed="false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</row>
    <row r="639" customFormat="false" ht="15.75" hidden="false" customHeight="false" outlineLevel="0" collapsed="false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</row>
    <row r="640" customFormat="false" ht="15.75" hidden="false" customHeight="false" outlineLevel="0" collapsed="false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</row>
    <row r="641" customFormat="false" ht="15.75" hidden="false" customHeight="false" outlineLevel="0" collapsed="false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</row>
    <row r="642" customFormat="false" ht="15.75" hidden="false" customHeight="false" outlineLevel="0" collapsed="false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</row>
    <row r="643" customFormat="false" ht="15.75" hidden="false" customHeight="false" outlineLevel="0" collapsed="false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</row>
    <row r="644" customFormat="false" ht="15.75" hidden="false" customHeight="false" outlineLevel="0" collapsed="false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</row>
    <row r="645" customFormat="false" ht="15.75" hidden="false" customHeight="false" outlineLevel="0" collapsed="false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</row>
    <row r="646" customFormat="false" ht="15.75" hidden="false" customHeight="false" outlineLevel="0" collapsed="false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</row>
    <row r="647" customFormat="false" ht="15.75" hidden="false" customHeight="false" outlineLevel="0" collapsed="false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</row>
    <row r="648" customFormat="false" ht="15.75" hidden="false" customHeight="false" outlineLevel="0" collapsed="false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</row>
    <row r="649" customFormat="false" ht="15.75" hidden="false" customHeight="false" outlineLevel="0" collapsed="false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</row>
    <row r="650" customFormat="false" ht="15.75" hidden="false" customHeight="false" outlineLevel="0" collapsed="false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</row>
    <row r="651" customFormat="false" ht="15.75" hidden="false" customHeight="false" outlineLevel="0" collapsed="false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</row>
    <row r="652" customFormat="false" ht="15.75" hidden="false" customHeight="false" outlineLevel="0" collapsed="false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</row>
    <row r="653" customFormat="false" ht="15.75" hidden="false" customHeight="false" outlineLevel="0" collapsed="false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</row>
    <row r="654" customFormat="false" ht="15.75" hidden="false" customHeight="false" outlineLevel="0" collapsed="false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</row>
    <row r="655" customFormat="false" ht="15.75" hidden="false" customHeight="false" outlineLevel="0" collapsed="false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</row>
    <row r="656" customFormat="false" ht="15.75" hidden="false" customHeight="false" outlineLevel="0" collapsed="false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</row>
    <row r="657" customFormat="false" ht="15.75" hidden="false" customHeight="false" outlineLevel="0" collapsed="false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</row>
    <row r="658" customFormat="false" ht="15.75" hidden="false" customHeight="false" outlineLevel="0" collapsed="false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</row>
    <row r="659" customFormat="false" ht="15.75" hidden="false" customHeight="false" outlineLevel="0" collapsed="false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</row>
    <row r="660" customFormat="false" ht="15.75" hidden="false" customHeight="false" outlineLevel="0" collapsed="false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</row>
    <row r="661" customFormat="false" ht="15.75" hidden="false" customHeight="false" outlineLevel="0" collapsed="false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</row>
    <row r="662" customFormat="false" ht="15.75" hidden="false" customHeight="false" outlineLevel="0" collapsed="false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</row>
    <row r="663" customFormat="false" ht="15.75" hidden="false" customHeight="false" outlineLevel="0" collapsed="false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</row>
    <row r="664" customFormat="false" ht="15.75" hidden="false" customHeight="false" outlineLevel="0" collapsed="false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</row>
    <row r="665" customFormat="false" ht="15.75" hidden="false" customHeight="false" outlineLevel="0" collapsed="false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</row>
    <row r="666" customFormat="false" ht="15.75" hidden="false" customHeight="false" outlineLevel="0" collapsed="false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</row>
    <row r="667" customFormat="false" ht="15.75" hidden="false" customHeight="false" outlineLevel="0" collapsed="false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</row>
    <row r="668" customFormat="false" ht="15.75" hidden="false" customHeight="false" outlineLevel="0" collapsed="false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</row>
    <row r="669" customFormat="false" ht="15.75" hidden="false" customHeight="false" outlineLevel="0" collapsed="false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</row>
    <row r="670" customFormat="false" ht="15.75" hidden="false" customHeight="false" outlineLevel="0" collapsed="false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</row>
    <row r="671" customFormat="false" ht="15.75" hidden="false" customHeight="false" outlineLevel="0" collapsed="false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</row>
    <row r="672" customFormat="false" ht="15.75" hidden="false" customHeight="false" outlineLevel="0" collapsed="false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</row>
    <row r="673" customFormat="false" ht="15.75" hidden="false" customHeight="false" outlineLevel="0" collapsed="false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</row>
    <row r="674" customFormat="false" ht="15.75" hidden="false" customHeight="false" outlineLevel="0" collapsed="false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</row>
    <row r="675" customFormat="false" ht="15.75" hidden="false" customHeight="false" outlineLevel="0" collapsed="false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</row>
    <row r="676" customFormat="false" ht="15.75" hidden="false" customHeight="false" outlineLevel="0" collapsed="false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</row>
    <row r="677" customFormat="false" ht="15.75" hidden="false" customHeight="false" outlineLevel="0" collapsed="false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</row>
    <row r="678" customFormat="false" ht="15.75" hidden="false" customHeight="false" outlineLevel="0" collapsed="false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</row>
    <row r="679" customFormat="false" ht="15.75" hidden="false" customHeight="false" outlineLevel="0" collapsed="false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</row>
    <row r="680" customFormat="false" ht="15.75" hidden="false" customHeight="false" outlineLevel="0" collapsed="false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</row>
    <row r="681" customFormat="false" ht="15.75" hidden="false" customHeight="false" outlineLevel="0" collapsed="false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</row>
    <row r="682" customFormat="false" ht="15.75" hidden="false" customHeight="false" outlineLevel="0" collapsed="false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</row>
    <row r="683" customFormat="false" ht="15.75" hidden="false" customHeight="false" outlineLevel="0" collapsed="false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</row>
    <row r="684" customFormat="false" ht="15.75" hidden="false" customHeight="false" outlineLevel="0" collapsed="false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</row>
    <row r="685" customFormat="false" ht="15.75" hidden="false" customHeight="false" outlineLevel="0" collapsed="false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</row>
    <row r="686" customFormat="false" ht="15.75" hidden="false" customHeight="false" outlineLevel="0" collapsed="false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</row>
    <row r="687" customFormat="false" ht="15.75" hidden="false" customHeight="false" outlineLevel="0" collapsed="false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</row>
    <row r="688" customFormat="false" ht="15.75" hidden="false" customHeight="false" outlineLevel="0" collapsed="false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</row>
    <row r="689" customFormat="false" ht="15.75" hidden="false" customHeight="false" outlineLevel="0" collapsed="false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</row>
    <row r="690" customFormat="false" ht="15.75" hidden="false" customHeight="false" outlineLevel="0" collapsed="false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</row>
    <row r="691" customFormat="false" ht="15.75" hidden="false" customHeight="false" outlineLevel="0" collapsed="false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</row>
    <row r="692" customFormat="false" ht="15.75" hidden="false" customHeight="false" outlineLevel="0" collapsed="false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</row>
    <row r="693" customFormat="false" ht="15.75" hidden="false" customHeight="false" outlineLevel="0" collapsed="false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</row>
    <row r="694" customFormat="false" ht="15.75" hidden="false" customHeight="false" outlineLevel="0" collapsed="false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</row>
    <row r="695" customFormat="false" ht="15.75" hidden="false" customHeight="false" outlineLevel="0" collapsed="false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</row>
    <row r="696" customFormat="false" ht="15.75" hidden="false" customHeight="false" outlineLevel="0" collapsed="false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</row>
    <row r="697" customFormat="false" ht="15.75" hidden="false" customHeight="false" outlineLevel="0" collapsed="false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</row>
    <row r="698" customFormat="false" ht="15.75" hidden="false" customHeight="false" outlineLevel="0" collapsed="false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</row>
    <row r="699" customFormat="false" ht="15.75" hidden="false" customHeight="false" outlineLevel="0" collapsed="false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</row>
    <row r="700" customFormat="false" ht="15.75" hidden="false" customHeight="false" outlineLevel="0" collapsed="false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</row>
    <row r="701" customFormat="false" ht="15.75" hidden="false" customHeight="false" outlineLevel="0" collapsed="false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</row>
    <row r="702" customFormat="false" ht="15.75" hidden="false" customHeight="false" outlineLevel="0" collapsed="false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</row>
    <row r="703" customFormat="false" ht="15.75" hidden="false" customHeight="false" outlineLevel="0" collapsed="false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</row>
    <row r="704" customFormat="false" ht="15.75" hidden="false" customHeight="false" outlineLevel="0" collapsed="false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</row>
    <row r="705" customFormat="false" ht="15.75" hidden="false" customHeight="false" outlineLevel="0" collapsed="false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</row>
    <row r="706" customFormat="false" ht="15.75" hidden="false" customHeight="false" outlineLevel="0" collapsed="false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</row>
    <row r="707" customFormat="false" ht="15.75" hidden="false" customHeight="false" outlineLevel="0" collapsed="false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</row>
    <row r="708" customFormat="false" ht="15.75" hidden="false" customHeight="false" outlineLevel="0" collapsed="false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</row>
    <row r="709" customFormat="false" ht="15.75" hidden="false" customHeight="false" outlineLevel="0" collapsed="false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</row>
    <row r="710" customFormat="false" ht="15.75" hidden="false" customHeight="false" outlineLevel="0" collapsed="false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</row>
    <row r="711" customFormat="false" ht="15.75" hidden="false" customHeight="false" outlineLevel="0" collapsed="false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</row>
    <row r="712" customFormat="false" ht="15.75" hidden="false" customHeight="false" outlineLevel="0" collapsed="false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</row>
    <row r="713" customFormat="false" ht="15.75" hidden="false" customHeight="false" outlineLevel="0" collapsed="false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</row>
    <row r="714" customFormat="false" ht="15.75" hidden="false" customHeight="false" outlineLevel="0" collapsed="false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</row>
    <row r="715" customFormat="false" ht="15.75" hidden="false" customHeight="false" outlineLevel="0" collapsed="false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</row>
    <row r="716" customFormat="false" ht="15.75" hidden="false" customHeight="false" outlineLevel="0" collapsed="false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</row>
    <row r="717" customFormat="false" ht="15.75" hidden="false" customHeight="false" outlineLevel="0" collapsed="false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</row>
    <row r="718" customFormat="false" ht="15.75" hidden="false" customHeight="false" outlineLevel="0" collapsed="false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</row>
    <row r="719" customFormat="false" ht="15.75" hidden="false" customHeight="false" outlineLevel="0" collapsed="false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</row>
    <row r="720" customFormat="false" ht="15.75" hidden="false" customHeight="false" outlineLevel="0" collapsed="false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</row>
    <row r="721" customFormat="false" ht="15.75" hidden="false" customHeight="false" outlineLevel="0" collapsed="false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</row>
    <row r="722" customFormat="false" ht="15.75" hidden="false" customHeight="false" outlineLevel="0" collapsed="false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</row>
    <row r="723" customFormat="false" ht="15.75" hidden="false" customHeight="false" outlineLevel="0" collapsed="false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</row>
    <row r="724" customFormat="false" ht="15.75" hidden="false" customHeight="false" outlineLevel="0" collapsed="false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</row>
    <row r="725" customFormat="false" ht="15.75" hidden="false" customHeight="false" outlineLevel="0" collapsed="false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</row>
    <row r="726" customFormat="false" ht="15.75" hidden="false" customHeight="false" outlineLevel="0" collapsed="false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</row>
    <row r="727" customFormat="false" ht="15.75" hidden="false" customHeight="false" outlineLevel="0" collapsed="false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</row>
    <row r="728" customFormat="false" ht="15.75" hidden="false" customHeight="false" outlineLevel="0" collapsed="false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</row>
    <row r="729" customFormat="false" ht="15.75" hidden="false" customHeight="false" outlineLevel="0" collapsed="false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</row>
    <row r="730" customFormat="false" ht="15.75" hidden="false" customHeight="false" outlineLevel="0" collapsed="false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</row>
    <row r="731" customFormat="false" ht="15.75" hidden="false" customHeight="false" outlineLevel="0" collapsed="false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</row>
    <row r="732" customFormat="false" ht="15.75" hidden="false" customHeight="false" outlineLevel="0" collapsed="false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</row>
    <row r="733" customFormat="false" ht="15.75" hidden="false" customHeight="false" outlineLevel="0" collapsed="false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</row>
    <row r="734" customFormat="false" ht="15.75" hidden="false" customHeight="false" outlineLevel="0" collapsed="false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</row>
    <row r="735" customFormat="false" ht="15.75" hidden="false" customHeight="false" outlineLevel="0" collapsed="false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</row>
    <row r="736" customFormat="false" ht="15.75" hidden="false" customHeight="false" outlineLevel="0" collapsed="false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</row>
    <row r="737" customFormat="false" ht="15.75" hidden="false" customHeight="false" outlineLevel="0" collapsed="false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</row>
    <row r="738" customFormat="false" ht="15.75" hidden="false" customHeight="false" outlineLevel="0" collapsed="false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</row>
    <row r="739" customFormat="false" ht="15.75" hidden="false" customHeight="false" outlineLevel="0" collapsed="false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</row>
    <row r="740" customFormat="false" ht="15.75" hidden="false" customHeight="false" outlineLevel="0" collapsed="false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</row>
    <row r="741" customFormat="false" ht="15.75" hidden="false" customHeight="false" outlineLevel="0" collapsed="false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</row>
    <row r="742" customFormat="false" ht="15.75" hidden="false" customHeight="false" outlineLevel="0" collapsed="false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</row>
    <row r="743" customFormat="false" ht="15.75" hidden="false" customHeight="false" outlineLevel="0" collapsed="false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</row>
    <row r="744" customFormat="false" ht="15.75" hidden="false" customHeight="false" outlineLevel="0" collapsed="false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</row>
    <row r="745" customFormat="false" ht="15.75" hidden="false" customHeight="false" outlineLevel="0" collapsed="false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</row>
    <row r="746" customFormat="false" ht="15.75" hidden="false" customHeight="false" outlineLevel="0" collapsed="false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</row>
    <row r="747" customFormat="false" ht="15.75" hidden="false" customHeight="false" outlineLevel="0" collapsed="false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</row>
    <row r="748" customFormat="false" ht="15.75" hidden="false" customHeight="false" outlineLevel="0" collapsed="false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</row>
    <row r="749" customFormat="false" ht="15.75" hidden="false" customHeight="false" outlineLevel="0" collapsed="false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</row>
    <row r="750" customFormat="false" ht="15.75" hidden="false" customHeight="false" outlineLevel="0" collapsed="false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</row>
    <row r="751" customFormat="false" ht="15.75" hidden="false" customHeight="false" outlineLevel="0" collapsed="false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</row>
    <row r="752" customFormat="false" ht="15.75" hidden="false" customHeight="false" outlineLevel="0" collapsed="false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</row>
    <row r="753" customFormat="false" ht="15.75" hidden="false" customHeight="false" outlineLevel="0" collapsed="false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</row>
    <row r="754" customFormat="false" ht="15.75" hidden="false" customHeight="false" outlineLevel="0" collapsed="false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</row>
    <row r="755" customFormat="false" ht="15.75" hidden="false" customHeight="false" outlineLevel="0" collapsed="false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</row>
    <row r="756" customFormat="false" ht="15.75" hidden="false" customHeight="false" outlineLevel="0" collapsed="false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</row>
    <row r="757" customFormat="false" ht="15.75" hidden="false" customHeight="false" outlineLevel="0" collapsed="false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</row>
    <row r="758" customFormat="false" ht="15.75" hidden="false" customHeight="false" outlineLevel="0" collapsed="false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</row>
    <row r="759" customFormat="false" ht="15.75" hidden="false" customHeight="false" outlineLevel="0" collapsed="false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</row>
    <row r="760" customFormat="false" ht="15.75" hidden="false" customHeight="false" outlineLevel="0" collapsed="false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</row>
    <row r="761" customFormat="false" ht="15.75" hidden="false" customHeight="false" outlineLevel="0" collapsed="false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</row>
    <row r="762" customFormat="false" ht="15.75" hidden="false" customHeight="false" outlineLevel="0" collapsed="false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</row>
    <row r="763" customFormat="false" ht="15.75" hidden="false" customHeight="false" outlineLevel="0" collapsed="false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</row>
    <row r="764" customFormat="false" ht="15.75" hidden="false" customHeight="false" outlineLevel="0" collapsed="false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</row>
    <row r="765" customFormat="false" ht="15.75" hidden="false" customHeight="false" outlineLevel="0" collapsed="false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</row>
    <row r="766" customFormat="false" ht="15.75" hidden="false" customHeight="false" outlineLevel="0" collapsed="false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</row>
    <row r="767" customFormat="false" ht="15.75" hidden="false" customHeight="false" outlineLevel="0" collapsed="false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</row>
    <row r="768" customFormat="false" ht="15.75" hidden="false" customHeight="false" outlineLevel="0" collapsed="false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</row>
    <row r="769" customFormat="false" ht="15.75" hidden="false" customHeight="false" outlineLevel="0" collapsed="false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</row>
    <row r="770" customFormat="false" ht="15.75" hidden="false" customHeight="false" outlineLevel="0" collapsed="false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</row>
    <row r="771" customFormat="false" ht="15.75" hidden="false" customHeight="false" outlineLevel="0" collapsed="false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</row>
    <row r="772" customFormat="false" ht="15.75" hidden="false" customHeight="false" outlineLevel="0" collapsed="false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</row>
    <row r="773" customFormat="false" ht="15.75" hidden="false" customHeight="false" outlineLevel="0" collapsed="false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</row>
    <row r="774" customFormat="false" ht="15.75" hidden="false" customHeight="false" outlineLevel="0" collapsed="false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</row>
    <row r="775" customFormat="false" ht="15.75" hidden="false" customHeight="false" outlineLevel="0" collapsed="false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</row>
    <row r="776" customFormat="false" ht="15.75" hidden="false" customHeight="false" outlineLevel="0" collapsed="false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</row>
    <row r="777" customFormat="false" ht="15.75" hidden="false" customHeight="false" outlineLevel="0" collapsed="false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</row>
    <row r="778" customFormat="false" ht="15.75" hidden="false" customHeight="false" outlineLevel="0" collapsed="false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</row>
    <row r="779" customFormat="false" ht="15.75" hidden="false" customHeight="false" outlineLevel="0" collapsed="false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</row>
    <row r="780" customFormat="false" ht="15.75" hidden="false" customHeight="false" outlineLevel="0" collapsed="false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</row>
    <row r="781" customFormat="false" ht="15.75" hidden="false" customHeight="false" outlineLevel="0" collapsed="false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</row>
    <row r="782" customFormat="false" ht="15.75" hidden="false" customHeight="false" outlineLevel="0" collapsed="false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</row>
    <row r="783" customFormat="false" ht="15.75" hidden="false" customHeight="false" outlineLevel="0" collapsed="false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</row>
    <row r="784" customFormat="false" ht="15.75" hidden="false" customHeight="false" outlineLevel="0" collapsed="false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</row>
    <row r="785" customFormat="false" ht="15.75" hidden="false" customHeight="false" outlineLevel="0" collapsed="false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</row>
    <row r="786" customFormat="false" ht="15.75" hidden="false" customHeight="false" outlineLevel="0" collapsed="false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</row>
    <row r="787" customFormat="false" ht="15.75" hidden="false" customHeight="false" outlineLevel="0" collapsed="false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</row>
    <row r="788" customFormat="false" ht="15.75" hidden="false" customHeight="false" outlineLevel="0" collapsed="false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</row>
    <row r="789" customFormat="false" ht="15.75" hidden="false" customHeight="false" outlineLevel="0" collapsed="false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</row>
    <row r="790" customFormat="false" ht="15.75" hidden="false" customHeight="false" outlineLevel="0" collapsed="false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</row>
    <row r="791" customFormat="false" ht="15.75" hidden="false" customHeight="false" outlineLevel="0" collapsed="false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</row>
    <row r="792" customFormat="false" ht="15.75" hidden="false" customHeight="false" outlineLevel="0" collapsed="false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</row>
    <row r="793" customFormat="false" ht="15.75" hidden="false" customHeight="false" outlineLevel="0" collapsed="false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</row>
    <row r="794" customFormat="false" ht="15.75" hidden="false" customHeight="false" outlineLevel="0" collapsed="false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</row>
    <row r="795" customFormat="false" ht="15.75" hidden="false" customHeight="false" outlineLevel="0" collapsed="false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</row>
    <row r="796" customFormat="false" ht="15.75" hidden="false" customHeight="false" outlineLevel="0" collapsed="false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</row>
    <row r="797" customFormat="false" ht="15.75" hidden="false" customHeight="false" outlineLevel="0" collapsed="false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</row>
    <row r="798" customFormat="false" ht="15.75" hidden="false" customHeight="false" outlineLevel="0" collapsed="false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</row>
    <row r="799" customFormat="false" ht="15.75" hidden="false" customHeight="false" outlineLevel="0" collapsed="false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</row>
    <row r="800" customFormat="false" ht="15.75" hidden="false" customHeight="false" outlineLevel="0" collapsed="false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</row>
    <row r="801" customFormat="false" ht="15.75" hidden="false" customHeight="false" outlineLevel="0" collapsed="false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</row>
    <row r="802" customFormat="false" ht="15.75" hidden="false" customHeight="false" outlineLevel="0" collapsed="false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</row>
    <row r="803" customFormat="false" ht="15.75" hidden="false" customHeight="false" outlineLevel="0" collapsed="false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</row>
    <row r="804" customFormat="false" ht="15.75" hidden="false" customHeight="false" outlineLevel="0" collapsed="false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</row>
    <row r="805" customFormat="false" ht="15.75" hidden="false" customHeight="false" outlineLevel="0" collapsed="false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</row>
    <row r="806" customFormat="false" ht="15.75" hidden="false" customHeight="false" outlineLevel="0" collapsed="false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</row>
    <row r="807" customFormat="false" ht="15.75" hidden="false" customHeight="false" outlineLevel="0" collapsed="false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</row>
    <row r="808" customFormat="false" ht="15.75" hidden="false" customHeight="false" outlineLevel="0" collapsed="false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</row>
    <row r="809" customFormat="false" ht="15.75" hidden="false" customHeight="false" outlineLevel="0" collapsed="false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</row>
    <row r="810" customFormat="false" ht="15.75" hidden="false" customHeight="false" outlineLevel="0" collapsed="false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</row>
    <row r="811" customFormat="false" ht="15.75" hidden="false" customHeight="false" outlineLevel="0" collapsed="false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</row>
    <row r="812" customFormat="false" ht="15.75" hidden="false" customHeight="false" outlineLevel="0" collapsed="false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</row>
    <row r="813" customFormat="false" ht="15.75" hidden="false" customHeight="false" outlineLevel="0" collapsed="false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</row>
    <row r="814" customFormat="false" ht="15.75" hidden="false" customHeight="false" outlineLevel="0" collapsed="false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</row>
    <row r="815" customFormat="false" ht="15.75" hidden="false" customHeight="false" outlineLevel="0" collapsed="false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</row>
    <row r="816" customFormat="false" ht="15.75" hidden="false" customHeight="false" outlineLevel="0" collapsed="false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</row>
    <row r="817" customFormat="false" ht="15.75" hidden="false" customHeight="false" outlineLevel="0" collapsed="false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</row>
    <row r="818" customFormat="false" ht="15.75" hidden="false" customHeight="false" outlineLevel="0" collapsed="false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</row>
    <row r="819" customFormat="false" ht="15.75" hidden="false" customHeight="false" outlineLevel="0" collapsed="false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</row>
    <row r="820" customFormat="false" ht="15.75" hidden="false" customHeight="false" outlineLevel="0" collapsed="false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</row>
    <row r="821" customFormat="false" ht="15.75" hidden="false" customHeight="false" outlineLevel="0" collapsed="false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</row>
    <row r="822" customFormat="false" ht="15.75" hidden="false" customHeight="false" outlineLevel="0" collapsed="false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</row>
    <row r="823" customFormat="false" ht="15.75" hidden="false" customHeight="false" outlineLevel="0" collapsed="false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</row>
    <row r="824" customFormat="false" ht="15.75" hidden="false" customHeight="false" outlineLevel="0" collapsed="false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</row>
    <row r="825" customFormat="false" ht="15.75" hidden="false" customHeight="false" outlineLevel="0" collapsed="false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</row>
    <row r="826" customFormat="false" ht="15.75" hidden="false" customHeight="false" outlineLevel="0" collapsed="false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</row>
    <row r="827" customFormat="false" ht="15.75" hidden="false" customHeight="false" outlineLevel="0" collapsed="false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</row>
    <row r="828" customFormat="false" ht="15.75" hidden="false" customHeight="false" outlineLevel="0" collapsed="false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</row>
    <row r="829" customFormat="false" ht="15.75" hidden="false" customHeight="false" outlineLevel="0" collapsed="false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</row>
    <row r="830" customFormat="false" ht="15.75" hidden="false" customHeight="false" outlineLevel="0" collapsed="false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</row>
    <row r="831" customFormat="false" ht="15.75" hidden="false" customHeight="false" outlineLevel="0" collapsed="false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</row>
    <row r="832" customFormat="false" ht="15.75" hidden="false" customHeight="false" outlineLevel="0" collapsed="false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</row>
    <row r="833" customFormat="false" ht="15.75" hidden="false" customHeight="false" outlineLevel="0" collapsed="false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</row>
    <row r="834" customFormat="false" ht="15.75" hidden="false" customHeight="false" outlineLevel="0" collapsed="false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</row>
    <row r="835" customFormat="false" ht="15.75" hidden="false" customHeight="false" outlineLevel="0" collapsed="false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</row>
    <row r="836" customFormat="false" ht="15.75" hidden="false" customHeight="false" outlineLevel="0" collapsed="false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</row>
    <row r="837" customFormat="false" ht="15.75" hidden="false" customHeight="false" outlineLevel="0" collapsed="false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</row>
    <row r="838" customFormat="false" ht="15.75" hidden="false" customHeight="false" outlineLevel="0" collapsed="false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</row>
    <row r="839" customFormat="false" ht="15.75" hidden="false" customHeight="false" outlineLevel="0" collapsed="false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</row>
    <row r="840" customFormat="false" ht="15.75" hidden="false" customHeight="false" outlineLevel="0" collapsed="false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</row>
    <row r="841" customFormat="false" ht="15.75" hidden="false" customHeight="false" outlineLevel="0" collapsed="false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</row>
    <row r="842" customFormat="false" ht="15.75" hidden="false" customHeight="false" outlineLevel="0" collapsed="false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</row>
    <row r="843" customFormat="false" ht="15.75" hidden="false" customHeight="false" outlineLevel="0" collapsed="false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</row>
    <row r="844" customFormat="false" ht="15.75" hidden="false" customHeight="false" outlineLevel="0" collapsed="false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</row>
    <row r="845" customFormat="false" ht="15.75" hidden="false" customHeight="false" outlineLevel="0" collapsed="false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</row>
    <row r="846" customFormat="false" ht="15.75" hidden="false" customHeight="false" outlineLevel="0" collapsed="false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</row>
    <row r="847" customFormat="false" ht="15.75" hidden="false" customHeight="false" outlineLevel="0" collapsed="false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</row>
    <row r="848" customFormat="false" ht="15.75" hidden="false" customHeight="false" outlineLevel="0" collapsed="false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</row>
    <row r="849" customFormat="false" ht="15.75" hidden="false" customHeight="false" outlineLevel="0" collapsed="false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</row>
    <row r="850" customFormat="false" ht="15.75" hidden="false" customHeight="false" outlineLevel="0" collapsed="false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</row>
    <row r="851" customFormat="false" ht="15.75" hidden="false" customHeight="false" outlineLevel="0" collapsed="false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</row>
    <row r="852" customFormat="false" ht="15.75" hidden="false" customHeight="false" outlineLevel="0" collapsed="false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</row>
    <row r="853" customFormat="false" ht="15.75" hidden="false" customHeight="false" outlineLevel="0" collapsed="false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</row>
    <row r="854" customFormat="false" ht="15.75" hidden="false" customHeight="false" outlineLevel="0" collapsed="false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</row>
    <row r="855" customFormat="false" ht="15.75" hidden="false" customHeight="false" outlineLevel="0" collapsed="false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</row>
    <row r="856" customFormat="false" ht="15.75" hidden="false" customHeight="false" outlineLevel="0" collapsed="false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</row>
    <row r="857" customFormat="false" ht="15.75" hidden="false" customHeight="false" outlineLevel="0" collapsed="false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</row>
    <row r="858" customFormat="false" ht="15.75" hidden="false" customHeight="false" outlineLevel="0" collapsed="false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</row>
    <row r="859" customFormat="false" ht="15.75" hidden="false" customHeight="false" outlineLevel="0" collapsed="false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</row>
    <row r="860" customFormat="false" ht="15.75" hidden="false" customHeight="false" outlineLevel="0" collapsed="false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</row>
    <row r="861" customFormat="false" ht="15.75" hidden="false" customHeight="false" outlineLevel="0" collapsed="false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</row>
    <row r="862" customFormat="false" ht="15.75" hidden="false" customHeight="false" outlineLevel="0" collapsed="false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</row>
    <row r="863" customFormat="false" ht="15.75" hidden="false" customHeight="false" outlineLevel="0" collapsed="false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</row>
    <row r="864" customFormat="false" ht="15.75" hidden="false" customHeight="false" outlineLevel="0" collapsed="false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</row>
    <row r="865" customFormat="false" ht="15.75" hidden="false" customHeight="false" outlineLevel="0" collapsed="false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</row>
    <row r="866" customFormat="false" ht="15.75" hidden="false" customHeight="false" outlineLevel="0" collapsed="false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</row>
    <row r="867" customFormat="false" ht="15.75" hidden="false" customHeight="false" outlineLevel="0" collapsed="false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</row>
    <row r="868" customFormat="false" ht="15.75" hidden="false" customHeight="false" outlineLevel="0" collapsed="false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</row>
    <row r="869" customFormat="false" ht="15.75" hidden="false" customHeight="false" outlineLevel="0" collapsed="false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</row>
    <row r="870" customFormat="false" ht="15.75" hidden="false" customHeight="false" outlineLevel="0" collapsed="false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</row>
    <row r="871" customFormat="false" ht="15.75" hidden="false" customHeight="false" outlineLevel="0" collapsed="false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</row>
    <row r="872" customFormat="false" ht="15.75" hidden="false" customHeight="false" outlineLevel="0" collapsed="false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</row>
    <row r="873" customFormat="false" ht="15.75" hidden="false" customHeight="false" outlineLevel="0" collapsed="false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</row>
    <row r="874" customFormat="false" ht="15.75" hidden="false" customHeight="false" outlineLevel="0" collapsed="false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</row>
    <row r="875" customFormat="false" ht="15.75" hidden="false" customHeight="false" outlineLevel="0" collapsed="false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</row>
    <row r="876" customFormat="false" ht="15.75" hidden="false" customHeight="false" outlineLevel="0" collapsed="false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</row>
    <row r="877" customFormat="false" ht="15.75" hidden="false" customHeight="false" outlineLevel="0" collapsed="false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</row>
    <row r="878" customFormat="false" ht="15.75" hidden="false" customHeight="false" outlineLevel="0" collapsed="false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</row>
    <row r="879" customFormat="false" ht="15.75" hidden="false" customHeight="false" outlineLevel="0" collapsed="false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</row>
    <row r="880" customFormat="false" ht="15.75" hidden="false" customHeight="false" outlineLevel="0" collapsed="false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</row>
    <row r="881" customFormat="false" ht="15.75" hidden="false" customHeight="false" outlineLevel="0" collapsed="false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</row>
    <row r="882" customFormat="false" ht="15.75" hidden="false" customHeight="false" outlineLevel="0" collapsed="false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</row>
    <row r="883" customFormat="false" ht="15.75" hidden="false" customHeight="false" outlineLevel="0" collapsed="false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</row>
    <row r="884" customFormat="false" ht="15.75" hidden="false" customHeight="false" outlineLevel="0" collapsed="false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</row>
    <row r="885" customFormat="false" ht="15.75" hidden="false" customHeight="false" outlineLevel="0" collapsed="false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</row>
    <row r="886" customFormat="false" ht="15.75" hidden="false" customHeight="false" outlineLevel="0" collapsed="false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</row>
    <row r="887" customFormat="false" ht="15.75" hidden="false" customHeight="false" outlineLevel="0" collapsed="false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</row>
    <row r="888" customFormat="false" ht="15.75" hidden="false" customHeight="false" outlineLevel="0" collapsed="false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</row>
    <row r="889" customFormat="false" ht="15.75" hidden="false" customHeight="false" outlineLevel="0" collapsed="false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</row>
    <row r="890" customFormat="false" ht="15.75" hidden="false" customHeight="false" outlineLevel="0" collapsed="false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</row>
    <row r="891" customFormat="false" ht="15.75" hidden="false" customHeight="false" outlineLevel="0" collapsed="false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</row>
    <row r="892" customFormat="false" ht="15.75" hidden="false" customHeight="false" outlineLevel="0" collapsed="false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</row>
    <row r="893" customFormat="false" ht="15.75" hidden="false" customHeight="false" outlineLevel="0" collapsed="false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</row>
    <row r="894" customFormat="false" ht="15.75" hidden="false" customHeight="false" outlineLevel="0" collapsed="false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</row>
    <row r="895" customFormat="false" ht="15.75" hidden="false" customHeight="false" outlineLevel="0" collapsed="false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</row>
    <row r="896" customFormat="false" ht="15.75" hidden="false" customHeight="false" outlineLevel="0" collapsed="false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</row>
    <row r="897" customFormat="false" ht="15.75" hidden="false" customHeight="false" outlineLevel="0" collapsed="false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</row>
    <row r="898" customFormat="false" ht="15.75" hidden="false" customHeight="false" outlineLevel="0" collapsed="false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</row>
    <row r="899" customFormat="false" ht="15.75" hidden="false" customHeight="false" outlineLevel="0" collapsed="false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</row>
    <row r="900" customFormat="false" ht="15.75" hidden="false" customHeight="false" outlineLevel="0" collapsed="false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</row>
    <row r="901" customFormat="false" ht="15.75" hidden="false" customHeight="false" outlineLevel="0" collapsed="false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</row>
    <row r="902" customFormat="false" ht="15.75" hidden="false" customHeight="false" outlineLevel="0" collapsed="false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</row>
    <row r="903" customFormat="false" ht="15.75" hidden="false" customHeight="false" outlineLevel="0" collapsed="false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</row>
    <row r="904" customFormat="false" ht="15.75" hidden="false" customHeight="false" outlineLevel="0" collapsed="false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</row>
    <row r="905" customFormat="false" ht="15.75" hidden="false" customHeight="false" outlineLevel="0" collapsed="false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</row>
    <row r="906" customFormat="false" ht="15.75" hidden="false" customHeight="false" outlineLevel="0" collapsed="false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</row>
    <row r="907" customFormat="false" ht="15.75" hidden="false" customHeight="false" outlineLevel="0" collapsed="false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</row>
    <row r="908" customFormat="false" ht="15.75" hidden="false" customHeight="false" outlineLevel="0" collapsed="false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</row>
    <row r="909" customFormat="false" ht="15.75" hidden="false" customHeight="false" outlineLevel="0" collapsed="false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</row>
    <row r="910" customFormat="false" ht="15.75" hidden="false" customHeight="false" outlineLevel="0" collapsed="false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</row>
    <row r="911" customFormat="false" ht="15.75" hidden="false" customHeight="false" outlineLevel="0" collapsed="false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</row>
    <row r="912" customFormat="false" ht="15.75" hidden="false" customHeight="false" outlineLevel="0" collapsed="false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</row>
    <row r="913" customFormat="false" ht="15.75" hidden="false" customHeight="false" outlineLevel="0" collapsed="false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</row>
    <row r="914" customFormat="false" ht="15.75" hidden="false" customHeight="false" outlineLevel="0" collapsed="false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</row>
    <row r="915" customFormat="false" ht="15.75" hidden="false" customHeight="false" outlineLevel="0" collapsed="false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</row>
    <row r="916" customFormat="false" ht="15.75" hidden="false" customHeight="false" outlineLevel="0" collapsed="false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</row>
    <row r="917" customFormat="false" ht="15.75" hidden="false" customHeight="false" outlineLevel="0" collapsed="false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</row>
    <row r="918" customFormat="false" ht="15.75" hidden="false" customHeight="false" outlineLevel="0" collapsed="false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</row>
    <row r="919" customFormat="false" ht="15.75" hidden="false" customHeight="false" outlineLevel="0" collapsed="false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</row>
    <row r="920" customFormat="false" ht="15.75" hidden="false" customHeight="false" outlineLevel="0" collapsed="false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</row>
    <row r="921" customFormat="false" ht="15.75" hidden="false" customHeight="false" outlineLevel="0" collapsed="false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</row>
    <row r="922" customFormat="false" ht="15.75" hidden="false" customHeight="false" outlineLevel="0" collapsed="false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</row>
    <row r="923" customFormat="false" ht="15.75" hidden="false" customHeight="false" outlineLevel="0" collapsed="false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</row>
    <row r="924" customFormat="false" ht="15.75" hidden="false" customHeight="false" outlineLevel="0" collapsed="false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</row>
    <row r="925" customFormat="false" ht="15.75" hidden="false" customHeight="false" outlineLevel="0" collapsed="false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</row>
    <row r="926" customFormat="false" ht="15.75" hidden="false" customHeight="false" outlineLevel="0" collapsed="false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</row>
    <row r="927" customFormat="false" ht="15.75" hidden="false" customHeight="false" outlineLevel="0" collapsed="false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</row>
    <row r="928" customFormat="false" ht="15.75" hidden="false" customHeight="false" outlineLevel="0" collapsed="false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</row>
    <row r="929" customFormat="false" ht="15.75" hidden="false" customHeight="false" outlineLevel="0" collapsed="false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</row>
    <row r="930" customFormat="false" ht="15.75" hidden="false" customHeight="false" outlineLevel="0" collapsed="false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</row>
    <row r="931" customFormat="false" ht="15.75" hidden="false" customHeight="false" outlineLevel="0" collapsed="false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</row>
    <row r="932" customFormat="false" ht="15.75" hidden="false" customHeight="false" outlineLevel="0" collapsed="false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</row>
    <row r="933" customFormat="false" ht="15.75" hidden="false" customHeight="false" outlineLevel="0" collapsed="false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</row>
    <row r="934" customFormat="false" ht="15.75" hidden="false" customHeight="false" outlineLevel="0" collapsed="false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</row>
    <row r="935" customFormat="false" ht="15.75" hidden="false" customHeight="false" outlineLevel="0" collapsed="false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</row>
    <row r="936" customFormat="false" ht="15.75" hidden="false" customHeight="false" outlineLevel="0" collapsed="false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</row>
    <row r="937" customFormat="false" ht="15.75" hidden="false" customHeight="false" outlineLevel="0" collapsed="false">
      <c r="A937" s="130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</row>
    <row r="938" customFormat="false" ht="15.75" hidden="false" customHeight="false" outlineLevel="0" collapsed="false">
      <c r="A938" s="130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</row>
    <row r="939" customFormat="false" ht="15.75" hidden="false" customHeight="false" outlineLevel="0" collapsed="false">
      <c r="A939" s="130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</row>
    <row r="940" customFormat="false" ht="15.75" hidden="false" customHeight="false" outlineLevel="0" collapsed="false">
      <c r="A940" s="130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</row>
    <row r="941" customFormat="false" ht="15.75" hidden="false" customHeight="false" outlineLevel="0" collapsed="false">
      <c r="A941" s="130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</row>
    <row r="942" customFormat="false" ht="15.75" hidden="false" customHeight="false" outlineLevel="0" collapsed="false">
      <c r="A942" s="130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</row>
    <row r="943" customFormat="false" ht="15.75" hidden="false" customHeight="false" outlineLevel="0" collapsed="false">
      <c r="A943" s="130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</row>
    <row r="944" customFormat="false" ht="15.75" hidden="false" customHeight="false" outlineLevel="0" collapsed="false">
      <c r="A944" s="130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</row>
    <row r="945" customFormat="false" ht="15.75" hidden="false" customHeight="false" outlineLevel="0" collapsed="false">
      <c r="A945" s="130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</row>
    <row r="946" customFormat="false" ht="15.75" hidden="false" customHeight="false" outlineLevel="0" collapsed="false">
      <c r="A946" s="130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</row>
    <row r="947" customFormat="false" ht="15.75" hidden="false" customHeight="false" outlineLevel="0" collapsed="false">
      <c r="A947" s="130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</row>
    <row r="948" customFormat="false" ht="15.75" hidden="false" customHeight="false" outlineLevel="0" collapsed="false">
      <c r="A948" s="130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</row>
    <row r="949" customFormat="false" ht="15.75" hidden="false" customHeight="false" outlineLevel="0" collapsed="false">
      <c r="A949" s="130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</row>
    <row r="950" customFormat="false" ht="15.75" hidden="false" customHeight="false" outlineLevel="0" collapsed="false">
      <c r="A950" s="130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</row>
    <row r="951" customFormat="false" ht="15.75" hidden="false" customHeight="false" outlineLevel="0" collapsed="false">
      <c r="A951" s="130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</row>
    <row r="952" customFormat="false" ht="15.75" hidden="false" customHeight="false" outlineLevel="0" collapsed="false">
      <c r="A952" s="130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</row>
    <row r="953" customFormat="false" ht="15.75" hidden="false" customHeight="false" outlineLevel="0" collapsed="false">
      <c r="A953" s="130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</row>
    <row r="954" customFormat="false" ht="15.75" hidden="false" customHeight="false" outlineLevel="0" collapsed="false">
      <c r="A954" s="130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</row>
    <row r="955" customFormat="false" ht="15.75" hidden="false" customHeight="false" outlineLevel="0" collapsed="false">
      <c r="A955" s="130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</row>
    <row r="956" customFormat="false" ht="15.75" hidden="false" customHeight="false" outlineLevel="0" collapsed="false">
      <c r="A956" s="130"/>
      <c r="B956" s="130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</row>
    <row r="957" customFormat="false" ht="15.75" hidden="false" customHeight="false" outlineLevel="0" collapsed="false">
      <c r="A957" s="130"/>
      <c r="B957" s="130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</row>
    <row r="958" customFormat="false" ht="15.75" hidden="false" customHeight="false" outlineLevel="0" collapsed="false">
      <c r="A958" s="130"/>
      <c r="B958" s="130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</row>
    <row r="959" customFormat="false" ht="15.75" hidden="false" customHeight="false" outlineLevel="0" collapsed="false">
      <c r="A959" s="130"/>
      <c r="B959" s="130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</row>
    <row r="960" customFormat="false" ht="15.75" hidden="false" customHeight="false" outlineLevel="0" collapsed="false">
      <c r="A960" s="130"/>
      <c r="B960" s="130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</row>
    <row r="961" customFormat="false" ht="15.75" hidden="false" customHeight="false" outlineLevel="0" collapsed="false">
      <c r="A961" s="130"/>
      <c r="B961" s="130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</row>
    <row r="962" customFormat="false" ht="15.75" hidden="false" customHeight="false" outlineLevel="0" collapsed="false">
      <c r="A962" s="130"/>
      <c r="B962" s="130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</row>
    <row r="963" customFormat="false" ht="15.75" hidden="false" customHeight="false" outlineLevel="0" collapsed="false">
      <c r="A963" s="130"/>
      <c r="B963" s="130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</row>
    <row r="964" customFormat="false" ht="15.75" hidden="false" customHeight="false" outlineLevel="0" collapsed="false">
      <c r="A964" s="130"/>
      <c r="B964" s="130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</row>
    <row r="965" customFormat="false" ht="15.75" hidden="false" customHeight="false" outlineLevel="0" collapsed="false">
      <c r="A965" s="130"/>
      <c r="B965" s="130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</row>
    <row r="966" customFormat="false" ht="15.75" hidden="false" customHeight="false" outlineLevel="0" collapsed="false">
      <c r="A966" s="130"/>
      <c r="B966" s="130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</row>
    <row r="967" customFormat="false" ht="15.75" hidden="false" customHeight="false" outlineLevel="0" collapsed="false">
      <c r="A967" s="130"/>
      <c r="B967" s="130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</row>
    <row r="968" customFormat="false" ht="15.75" hidden="false" customHeight="false" outlineLevel="0" collapsed="false">
      <c r="A968" s="130"/>
      <c r="B968" s="130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</row>
    <row r="969" customFormat="false" ht="15.75" hidden="false" customHeight="false" outlineLevel="0" collapsed="false">
      <c r="A969" s="130"/>
      <c r="B969" s="130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</row>
    <row r="970" customFormat="false" ht="15.75" hidden="false" customHeight="false" outlineLevel="0" collapsed="false">
      <c r="A970" s="130"/>
      <c r="B970" s="130"/>
      <c r="C970" s="130"/>
      <c r="D970" s="130"/>
      <c r="E970" s="130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</row>
    <row r="971" customFormat="false" ht="15.75" hidden="false" customHeight="false" outlineLevel="0" collapsed="false">
      <c r="A971" s="130"/>
      <c r="B971" s="130"/>
      <c r="C971" s="130"/>
      <c r="D971" s="130"/>
      <c r="E971" s="130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</row>
    <row r="972" customFormat="false" ht="15.75" hidden="false" customHeight="false" outlineLevel="0" collapsed="false">
      <c r="A972" s="130"/>
      <c r="B972" s="130"/>
      <c r="C972" s="130"/>
      <c r="D972" s="130"/>
      <c r="E972" s="130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</row>
    <row r="973" customFormat="false" ht="15.75" hidden="false" customHeight="false" outlineLevel="0" collapsed="false">
      <c r="A973" s="130"/>
      <c r="B973" s="130"/>
      <c r="C973" s="130"/>
      <c r="D973" s="130"/>
      <c r="E973" s="130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</row>
    <row r="974" customFormat="false" ht="15.75" hidden="false" customHeight="false" outlineLevel="0" collapsed="false">
      <c r="A974" s="130"/>
      <c r="B974" s="130"/>
      <c r="C974" s="130"/>
      <c r="D974" s="130"/>
      <c r="E974" s="130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</row>
    <row r="975" customFormat="false" ht="15.75" hidden="false" customHeight="false" outlineLevel="0" collapsed="false">
      <c r="A975" s="130"/>
      <c r="B975" s="130"/>
      <c r="C975" s="130"/>
      <c r="D975" s="130"/>
      <c r="E975" s="130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</row>
    <row r="976" customFormat="false" ht="15.75" hidden="false" customHeight="false" outlineLevel="0" collapsed="false">
      <c r="A976" s="130"/>
      <c r="B976" s="130"/>
      <c r="C976" s="130"/>
      <c r="D976" s="130"/>
      <c r="E976" s="130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</row>
    <row r="977" customFormat="false" ht="15.75" hidden="false" customHeight="false" outlineLevel="0" collapsed="false">
      <c r="A977" s="130"/>
      <c r="B977" s="130"/>
      <c r="C977" s="130"/>
      <c r="D977" s="130"/>
      <c r="E977" s="130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</row>
    <row r="978" customFormat="false" ht="15.75" hidden="false" customHeight="false" outlineLevel="0" collapsed="false">
      <c r="A978" s="130"/>
      <c r="B978" s="130"/>
      <c r="C978" s="130"/>
      <c r="D978" s="130"/>
      <c r="E978" s="130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</row>
    <row r="979" customFormat="false" ht="15.75" hidden="false" customHeight="false" outlineLevel="0" collapsed="false">
      <c r="A979" s="130"/>
      <c r="B979" s="130"/>
      <c r="C979" s="130"/>
      <c r="D979" s="130"/>
      <c r="E979" s="130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</row>
    <row r="980" customFormat="false" ht="15.75" hidden="false" customHeight="false" outlineLevel="0" collapsed="false">
      <c r="A980" s="130"/>
      <c r="B980" s="130"/>
      <c r="C980" s="130"/>
      <c r="D980" s="130"/>
      <c r="E980" s="130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</row>
    <row r="981" customFormat="false" ht="15.75" hidden="false" customHeight="false" outlineLevel="0" collapsed="false">
      <c r="A981" s="130"/>
      <c r="B981" s="130"/>
      <c r="C981" s="130"/>
      <c r="D981" s="130"/>
      <c r="E981" s="130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</row>
    <row r="982" customFormat="false" ht="15.75" hidden="false" customHeight="false" outlineLevel="0" collapsed="false">
      <c r="A982" s="130"/>
      <c r="B982" s="130"/>
      <c r="C982" s="130"/>
      <c r="D982" s="130"/>
      <c r="E982" s="130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</row>
    <row r="983" customFormat="false" ht="15.75" hidden="false" customHeight="false" outlineLevel="0" collapsed="false">
      <c r="A983" s="130"/>
      <c r="B983" s="130"/>
      <c r="C983" s="130"/>
      <c r="D983" s="130"/>
      <c r="E983" s="130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</row>
    <row r="984" customFormat="false" ht="15.75" hidden="false" customHeight="false" outlineLevel="0" collapsed="false">
      <c r="A984" s="130"/>
      <c r="B984" s="130"/>
      <c r="C984" s="130"/>
      <c r="D984" s="130"/>
      <c r="E984" s="130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</row>
    <row r="985" customFormat="false" ht="15.75" hidden="false" customHeight="false" outlineLevel="0" collapsed="false">
      <c r="A985" s="130"/>
      <c r="B985" s="130"/>
      <c r="C985" s="130"/>
      <c r="D985" s="130"/>
      <c r="E985" s="130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</row>
    <row r="986" customFormat="false" ht="15.75" hidden="false" customHeight="false" outlineLevel="0" collapsed="false">
      <c r="A986" s="130"/>
      <c r="B986" s="130"/>
      <c r="C986" s="130"/>
      <c r="D986" s="130"/>
      <c r="E986" s="130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</row>
    <row r="987" customFormat="false" ht="15.75" hidden="false" customHeight="false" outlineLevel="0" collapsed="false">
      <c r="A987" s="130"/>
      <c r="B987" s="130"/>
      <c r="C987" s="130"/>
      <c r="D987" s="130"/>
      <c r="E987" s="130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</row>
    <row r="988" customFormat="false" ht="15.75" hidden="false" customHeight="false" outlineLevel="0" collapsed="false">
      <c r="A988" s="130"/>
      <c r="B988" s="130"/>
      <c r="C988" s="130"/>
      <c r="D988" s="130"/>
      <c r="E988" s="130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</row>
    <row r="989" customFormat="false" ht="15.75" hidden="false" customHeight="false" outlineLevel="0" collapsed="false">
      <c r="A989" s="130"/>
      <c r="B989" s="130"/>
      <c r="C989" s="130"/>
      <c r="D989" s="130"/>
      <c r="E989" s="130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</row>
    <row r="990" customFormat="false" ht="15.75" hidden="false" customHeight="false" outlineLevel="0" collapsed="false">
      <c r="A990" s="130"/>
      <c r="B990" s="130"/>
      <c r="C990" s="130"/>
      <c r="D990" s="130"/>
      <c r="E990" s="130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</row>
    <row r="991" customFormat="false" ht="15.75" hidden="false" customHeight="false" outlineLevel="0" collapsed="false">
      <c r="A991" s="130"/>
      <c r="B991" s="130"/>
      <c r="C991" s="130"/>
      <c r="D991" s="130"/>
      <c r="E991" s="130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</row>
    <row r="992" customFormat="false" ht="15.75" hidden="false" customHeight="false" outlineLevel="0" collapsed="false">
      <c r="A992" s="130"/>
      <c r="B992" s="130"/>
      <c r="C992" s="130"/>
      <c r="D992" s="130"/>
      <c r="E992" s="130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</row>
    <row r="993" customFormat="false" ht="15.75" hidden="false" customHeight="false" outlineLevel="0" collapsed="false">
      <c r="A993" s="130"/>
      <c r="B993" s="130"/>
      <c r="C993" s="130"/>
      <c r="D993" s="130"/>
      <c r="E993" s="130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</row>
    <row r="994" customFormat="false" ht="15.75" hidden="false" customHeight="false" outlineLevel="0" collapsed="false">
      <c r="A994" s="130"/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</row>
    <row r="995" customFormat="false" ht="15.75" hidden="false" customHeight="false" outlineLevel="0" collapsed="false">
      <c r="A995" s="130"/>
      <c r="B995" s="130"/>
      <c r="C995" s="130"/>
      <c r="D995" s="130"/>
      <c r="E995" s="130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</row>
    <row r="996" customFormat="false" ht="15.75" hidden="false" customHeight="false" outlineLevel="0" collapsed="false">
      <c r="A996" s="130"/>
      <c r="B996" s="130"/>
      <c r="C996" s="130"/>
      <c r="D996" s="130"/>
      <c r="E996" s="130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</row>
    <row r="997" customFormat="false" ht="15.75" hidden="false" customHeight="false" outlineLevel="0" collapsed="false">
      <c r="A997" s="130"/>
      <c r="B997" s="130"/>
      <c r="C997" s="130"/>
      <c r="D997" s="130"/>
      <c r="E997" s="130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</row>
    <row r="998" customFormat="false" ht="15.75" hidden="false" customHeight="false" outlineLevel="0" collapsed="false">
      <c r="A998" s="130"/>
      <c r="B998" s="130"/>
      <c r="C998" s="130"/>
      <c r="D998" s="130"/>
      <c r="E998" s="130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</row>
    <row r="999" customFormat="false" ht="15.75" hidden="false" customHeight="false" outlineLevel="0" collapsed="false">
      <c r="A999" s="130"/>
      <c r="B999" s="130"/>
      <c r="C999" s="130"/>
      <c r="D999" s="130"/>
      <c r="E999" s="130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89"/>
  </cols>
  <sheetData>
    <row r="1" customFormat="false" ht="15.75" hidden="false" customHeight="false" outlineLevel="0" collapsed="false">
      <c r="A1" s="130"/>
      <c r="B1" s="135"/>
      <c r="C1" s="130"/>
      <c r="D1" s="130"/>
      <c r="E1" s="136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</row>
    <row r="2" customFormat="false" ht="15.75" hidden="false" customHeight="false" outlineLevel="0" collapsed="false">
      <c r="A2" s="130"/>
      <c r="B2" s="130"/>
      <c r="C2" s="130"/>
      <c r="D2" s="130"/>
      <c r="E2" s="136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</row>
    <row r="3" customFormat="false" ht="15.75" hidden="false" customHeight="false" outlineLevel="0" collapsed="false">
      <c r="A3" s="130"/>
      <c r="B3" s="130"/>
      <c r="C3" s="130"/>
      <c r="D3" s="130"/>
      <c r="E3" s="136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</row>
    <row r="4" customFormat="false" ht="15.75" hidden="false" customHeight="false" outlineLevel="0" collapsed="false">
      <c r="A4" s="130"/>
      <c r="B4" s="130"/>
      <c r="C4" s="130"/>
      <c r="D4" s="130"/>
      <c r="E4" s="136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</row>
    <row r="5" customFormat="false" ht="15.75" hidden="false" customHeight="false" outlineLevel="0" collapsed="false">
      <c r="A5" s="130"/>
      <c r="B5" s="130"/>
      <c r="C5" s="130"/>
      <c r="D5" s="130"/>
      <c r="E5" s="136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</row>
    <row r="6" customFormat="false" ht="15.75" hidden="false" customHeight="false" outlineLevel="0" collapsed="false">
      <c r="A6" s="130"/>
      <c r="B6" s="130"/>
      <c r="C6" s="130"/>
      <c r="D6" s="130"/>
      <c r="E6" s="136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</row>
    <row r="7" customFormat="false" ht="15.75" hidden="false" customHeight="false" outlineLevel="0" collapsed="false">
      <c r="A7" s="130"/>
      <c r="B7" s="130"/>
      <c r="C7" s="130"/>
      <c r="D7" s="130"/>
      <c r="E7" s="136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</row>
    <row r="8" customFormat="false" ht="15.75" hidden="false" customHeight="false" outlineLevel="0" collapsed="false">
      <c r="A8" s="130"/>
      <c r="B8" s="130"/>
      <c r="C8" s="130"/>
      <c r="D8" s="130"/>
      <c r="E8" s="136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</row>
    <row r="9" customFormat="false" ht="15.75" hidden="false" customHeight="false" outlineLevel="0" collapsed="false">
      <c r="A9" s="130"/>
      <c r="B9" s="130"/>
      <c r="C9" s="130"/>
      <c r="D9" s="130"/>
      <c r="E9" s="136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</row>
    <row r="10" customFormat="false" ht="15.75" hidden="false" customHeight="false" outlineLevel="0" collapsed="false">
      <c r="A10" s="130"/>
      <c r="B10" s="130"/>
      <c r="C10" s="130"/>
      <c r="D10" s="130"/>
      <c r="E10" s="136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</row>
    <row r="11" customFormat="false" ht="15.75" hidden="false" customHeight="false" outlineLevel="0" collapsed="false">
      <c r="A11" s="130"/>
      <c r="B11" s="130"/>
      <c r="C11" s="130"/>
      <c r="D11" s="130"/>
      <c r="E11" s="136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</row>
    <row r="12" customFormat="false" ht="15.75" hidden="false" customHeight="false" outlineLevel="0" collapsed="false">
      <c r="A12" s="130"/>
      <c r="B12" s="130"/>
      <c r="C12" s="130"/>
      <c r="D12" s="130"/>
      <c r="E12" s="136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</row>
    <row r="13" customFormat="false" ht="15.75" hidden="false" customHeight="false" outlineLevel="0" collapsed="false">
      <c r="A13" s="130"/>
      <c r="B13" s="130"/>
      <c r="C13" s="130"/>
      <c r="D13" s="130"/>
      <c r="E13" s="136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</row>
    <row r="14" customFormat="false" ht="15.75" hidden="false" customHeight="false" outlineLevel="0" collapsed="false">
      <c r="A14" s="130"/>
      <c r="B14" s="130"/>
      <c r="C14" s="130"/>
      <c r="D14" s="130"/>
      <c r="E14" s="136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</row>
    <row r="15" customFormat="false" ht="15.75" hidden="false" customHeight="false" outlineLevel="0" collapsed="false">
      <c r="A15" s="130"/>
      <c r="B15" s="130"/>
      <c r="C15" s="130"/>
      <c r="D15" s="130"/>
      <c r="E15" s="136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</row>
    <row r="16" customFormat="false" ht="15.75" hidden="false" customHeight="false" outlineLevel="0" collapsed="false">
      <c r="A16" s="130"/>
      <c r="B16" s="130"/>
      <c r="C16" s="130"/>
      <c r="D16" s="130"/>
      <c r="E16" s="136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</row>
    <row r="17" customFormat="false" ht="15.75" hidden="false" customHeight="false" outlineLevel="0" collapsed="false">
      <c r="A17" s="130"/>
      <c r="B17" s="130"/>
      <c r="C17" s="130"/>
      <c r="D17" s="130"/>
      <c r="E17" s="136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</row>
    <row r="18" customFormat="false" ht="15.75" hidden="false" customHeight="false" outlineLevel="0" collapsed="false">
      <c r="A18" s="130"/>
      <c r="B18" s="130"/>
      <c r="C18" s="130"/>
      <c r="D18" s="130"/>
      <c r="E18" s="136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</row>
    <row r="19" customFormat="false" ht="15.75" hidden="false" customHeight="false" outlineLevel="0" collapsed="false">
      <c r="A19" s="130"/>
      <c r="B19" s="130"/>
      <c r="C19" s="130"/>
      <c r="D19" s="130"/>
      <c r="E19" s="136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</row>
    <row r="20" customFormat="false" ht="15.75" hidden="false" customHeight="false" outlineLevel="0" collapsed="false">
      <c r="A20" s="130"/>
      <c r="B20" s="130"/>
      <c r="C20" s="130"/>
      <c r="D20" s="130"/>
      <c r="E20" s="136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</row>
    <row r="21" customFormat="false" ht="15.75" hidden="false" customHeight="false" outlineLevel="0" collapsed="false">
      <c r="A21" s="130" t="str">
        <f aca="false">IF(ISBLANK(B21),"",B21&amp;"|"&amp;C21)</f>
        <v/>
      </c>
      <c r="B21" s="130"/>
      <c r="C21" s="130"/>
      <c r="D21" s="130"/>
      <c r="E21" s="136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</row>
    <row r="22" customFormat="false" ht="15.75" hidden="false" customHeight="false" outlineLevel="0" collapsed="false">
      <c r="A22" s="130" t="str">
        <f aca="false">IF(ISBLANK(B22),"",B22&amp;"|"&amp;C22)</f>
        <v/>
      </c>
      <c r="B22" s="130"/>
      <c r="C22" s="130"/>
      <c r="D22" s="130"/>
      <c r="E22" s="136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</row>
    <row r="23" customFormat="false" ht="15.75" hidden="false" customHeight="false" outlineLevel="0" collapsed="false">
      <c r="A23" s="130" t="str">
        <f aca="false">IF(ISBLANK(B23),"",B23&amp;"|"&amp;C23)</f>
        <v/>
      </c>
      <c r="B23" s="130"/>
      <c r="C23" s="130"/>
      <c r="D23" s="130"/>
      <c r="E23" s="136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</row>
    <row r="24" customFormat="false" ht="15.75" hidden="false" customHeight="false" outlineLevel="0" collapsed="false">
      <c r="A24" s="130" t="str">
        <f aca="false">IF(ISBLANK(B24),"",B24&amp;"|"&amp;C24)</f>
        <v/>
      </c>
      <c r="B24" s="130"/>
      <c r="C24" s="130"/>
      <c r="D24" s="130"/>
      <c r="E24" s="136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</row>
    <row r="25" customFormat="false" ht="15.75" hidden="false" customHeight="false" outlineLevel="0" collapsed="false">
      <c r="A25" s="130" t="str">
        <f aca="false">IF(ISBLANK(B25),"",B25&amp;"|"&amp;C25)</f>
        <v/>
      </c>
      <c r="B25" s="130"/>
      <c r="C25" s="130"/>
      <c r="D25" s="130"/>
      <c r="E25" s="136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</row>
    <row r="26" customFormat="false" ht="15.75" hidden="false" customHeight="false" outlineLevel="0" collapsed="false">
      <c r="A26" s="130" t="str">
        <f aca="false">IF(ISBLANK(B26),"",B26&amp;"|"&amp;C26)</f>
        <v/>
      </c>
      <c r="B26" s="130"/>
      <c r="C26" s="130"/>
      <c r="D26" s="130"/>
      <c r="E26" s="136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</row>
    <row r="27" customFormat="false" ht="15.75" hidden="false" customHeight="false" outlineLevel="0" collapsed="false">
      <c r="A27" s="130" t="str">
        <f aca="false">IF(ISBLANK(B27),"",B27&amp;"|"&amp;C27)</f>
        <v/>
      </c>
      <c r="B27" s="130"/>
      <c r="C27" s="130"/>
      <c r="D27" s="130"/>
      <c r="E27" s="136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</row>
    <row r="28" customFormat="false" ht="15.75" hidden="false" customHeight="false" outlineLevel="0" collapsed="false">
      <c r="A28" s="130" t="str">
        <f aca="false">IF(ISBLANK(B28),"",B28&amp;"|"&amp;C28)</f>
        <v/>
      </c>
      <c r="B28" s="130"/>
      <c r="C28" s="130"/>
      <c r="D28" s="130"/>
      <c r="E28" s="136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</row>
    <row r="29" customFormat="false" ht="15.75" hidden="false" customHeight="false" outlineLevel="0" collapsed="false">
      <c r="A29" s="130" t="str">
        <f aca="false">IF(ISBLANK(B29),"",B29&amp;"|"&amp;C29)</f>
        <v/>
      </c>
      <c r="B29" s="130"/>
      <c r="C29" s="130"/>
      <c r="D29" s="130"/>
      <c r="E29" s="136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</row>
    <row r="30" customFormat="false" ht="15.75" hidden="false" customHeight="false" outlineLevel="0" collapsed="false">
      <c r="A30" s="130" t="str">
        <f aca="false">IF(ISBLANK(B30),"",B30&amp;"|"&amp;C30)</f>
        <v/>
      </c>
      <c r="B30" s="130"/>
      <c r="C30" s="130"/>
      <c r="D30" s="130"/>
      <c r="E30" s="136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</row>
    <row r="31" customFormat="false" ht="15.75" hidden="false" customHeight="false" outlineLevel="0" collapsed="false">
      <c r="A31" s="130" t="str">
        <f aca="false">IF(ISBLANK(B31),"",B31&amp;"|"&amp;C31)</f>
        <v/>
      </c>
      <c r="B31" s="130"/>
      <c r="C31" s="130"/>
      <c r="D31" s="130"/>
      <c r="E31" s="136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</row>
    <row r="32" customFormat="false" ht="15.75" hidden="false" customHeight="false" outlineLevel="0" collapsed="false">
      <c r="A32" s="130" t="str">
        <f aca="false">IF(ISBLANK(B32),"",B32&amp;"|"&amp;C32)</f>
        <v/>
      </c>
      <c r="B32" s="130"/>
      <c r="C32" s="130"/>
      <c r="D32" s="130"/>
      <c r="E32" s="136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</row>
    <row r="33" customFormat="false" ht="15.75" hidden="false" customHeight="false" outlineLevel="0" collapsed="false">
      <c r="A33" s="130" t="str">
        <f aca="false">IF(ISBLANK(B33),"",B33&amp;"|"&amp;C33)</f>
        <v/>
      </c>
      <c r="B33" s="130"/>
      <c r="C33" s="130"/>
      <c r="D33" s="130"/>
      <c r="E33" s="136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</row>
    <row r="34" customFormat="false" ht="15.75" hidden="false" customHeight="false" outlineLevel="0" collapsed="false">
      <c r="A34" s="130" t="str">
        <f aca="false">IF(ISBLANK(B34),"",B34&amp;"|"&amp;C34)</f>
        <v/>
      </c>
      <c r="B34" s="130"/>
      <c r="C34" s="130"/>
      <c r="D34" s="130"/>
      <c r="E34" s="136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</row>
    <row r="35" customFormat="false" ht="15.75" hidden="false" customHeight="false" outlineLevel="0" collapsed="false">
      <c r="A35" s="130" t="str">
        <f aca="false">IF(ISBLANK(B35),"",B35&amp;"|"&amp;C35)</f>
        <v/>
      </c>
      <c r="B35" s="130"/>
      <c r="C35" s="130"/>
      <c r="D35" s="130"/>
      <c r="E35" s="136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</row>
    <row r="36" customFormat="false" ht="15.75" hidden="false" customHeight="false" outlineLevel="0" collapsed="false">
      <c r="A36" s="130" t="str">
        <f aca="false">IF(ISBLANK(B36),"",B36&amp;"|"&amp;C36)</f>
        <v/>
      </c>
      <c r="B36" s="130"/>
      <c r="C36" s="130"/>
      <c r="D36" s="130"/>
      <c r="E36" s="136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</row>
    <row r="37" customFormat="false" ht="15.75" hidden="false" customHeight="false" outlineLevel="0" collapsed="false">
      <c r="A37" s="130" t="str">
        <f aca="false">IF(ISBLANK(B37),"",B37&amp;"|"&amp;C37)</f>
        <v/>
      </c>
      <c r="B37" s="130"/>
      <c r="C37" s="130"/>
      <c r="D37" s="130"/>
      <c r="E37" s="136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</row>
    <row r="38" customFormat="false" ht="15.75" hidden="false" customHeight="false" outlineLevel="0" collapsed="false">
      <c r="A38" s="130" t="str">
        <f aca="false">IF(ISBLANK(B38),"",B38&amp;"|"&amp;C38)</f>
        <v/>
      </c>
      <c r="B38" s="130"/>
      <c r="C38" s="130"/>
      <c r="D38" s="130"/>
      <c r="E38" s="136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</row>
    <row r="39" customFormat="false" ht="15.75" hidden="false" customHeight="false" outlineLevel="0" collapsed="false">
      <c r="A39" s="130" t="str">
        <f aca="false">IF(ISBLANK(B39),"",B39&amp;"|"&amp;C39)</f>
        <v/>
      </c>
      <c r="B39" s="130"/>
      <c r="C39" s="130"/>
      <c r="D39" s="130"/>
      <c r="E39" s="136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</row>
    <row r="40" customFormat="false" ht="15.75" hidden="false" customHeight="false" outlineLevel="0" collapsed="false">
      <c r="A40" s="130" t="str">
        <f aca="false">IF(ISBLANK(B40),"",B40&amp;"|"&amp;C40)</f>
        <v/>
      </c>
      <c r="B40" s="130"/>
      <c r="C40" s="130"/>
      <c r="D40" s="130"/>
      <c r="E40" s="136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</row>
    <row r="41" customFormat="false" ht="15.75" hidden="false" customHeight="false" outlineLevel="0" collapsed="false">
      <c r="A41" s="130" t="str">
        <f aca="false">IF(ISBLANK(B41),"",B41&amp;"|"&amp;C41)</f>
        <v/>
      </c>
      <c r="B41" s="130"/>
      <c r="C41" s="130"/>
      <c r="D41" s="130"/>
      <c r="E41" s="136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</row>
    <row r="42" customFormat="false" ht="15.75" hidden="false" customHeight="false" outlineLevel="0" collapsed="false">
      <c r="A42" s="130" t="str">
        <f aca="false">IF(ISBLANK(B42),"",B42&amp;"|"&amp;C42)</f>
        <v/>
      </c>
      <c r="B42" s="130"/>
      <c r="C42" s="130"/>
      <c r="D42" s="130"/>
      <c r="E42" s="136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</row>
    <row r="43" customFormat="false" ht="15.75" hidden="false" customHeight="false" outlineLevel="0" collapsed="false">
      <c r="A43" s="130" t="str">
        <f aca="false">IF(ISBLANK(B43),"",B43&amp;"|"&amp;C43)</f>
        <v/>
      </c>
      <c r="B43" s="130"/>
      <c r="C43" s="130"/>
      <c r="D43" s="130"/>
      <c r="E43" s="136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</row>
    <row r="44" customFormat="false" ht="15.75" hidden="false" customHeight="false" outlineLevel="0" collapsed="false">
      <c r="A44" s="130" t="str">
        <f aca="false">IF(ISBLANK(B44),"",B44&amp;"|"&amp;C44)</f>
        <v/>
      </c>
      <c r="B44" s="130"/>
      <c r="C44" s="130"/>
      <c r="D44" s="130"/>
      <c r="E44" s="136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</row>
    <row r="45" customFormat="false" ht="15.75" hidden="false" customHeight="false" outlineLevel="0" collapsed="false">
      <c r="A45" s="130" t="str">
        <f aca="false">IF(ISBLANK(B45),"",B45&amp;"|"&amp;C45)</f>
        <v/>
      </c>
      <c r="B45" s="130"/>
      <c r="C45" s="130"/>
      <c r="D45" s="130"/>
      <c r="E45" s="136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</row>
    <row r="46" customFormat="false" ht="15.75" hidden="false" customHeight="false" outlineLevel="0" collapsed="false">
      <c r="A46" s="130" t="str">
        <f aca="false">IF(ISBLANK(B46),"",B46&amp;"|"&amp;C46)</f>
        <v/>
      </c>
      <c r="B46" s="130"/>
      <c r="C46" s="130"/>
      <c r="D46" s="130"/>
      <c r="E46" s="136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</row>
    <row r="47" customFormat="false" ht="15.75" hidden="false" customHeight="false" outlineLevel="0" collapsed="false">
      <c r="A47" s="130" t="str">
        <f aca="false">IF(ISBLANK(B47),"",B47&amp;"|"&amp;C47)</f>
        <v/>
      </c>
      <c r="B47" s="130"/>
      <c r="C47" s="130"/>
      <c r="D47" s="130"/>
      <c r="E47" s="136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</row>
    <row r="48" customFormat="false" ht="15.75" hidden="false" customHeight="false" outlineLevel="0" collapsed="false">
      <c r="A48" s="130" t="str">
        <f aca="false">IF(ISBLANK(B48),"",B48&amp;"|"&amp;C48)</f>
        <v/>
      </c>
      <c r="B48" s="130"/>
      <c r="C48" s="130"/>
      <c r="D48" s="130"/>
      <c r="E48" s="136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</row>
    <row r="49" customFormat="false" ht="15.75" hidden="false" customHeight="false" outlineLevel="0" collapsed="false">
      <c r="A49" s="130" t="str">
        <f aca="false">IF(ISBLANK(B49),"",B49&amp;"|"&amp;C49)</f>
        <v/>
      </c>
      <c r="B49" s="130"/>
      <c r="C49" s="130"/>
      <c r="D49" s="130"/>
      <c r="E49" s="136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</row>
    <row r="50" customFormat="false" ht="15.75" hidden="false" customHeight="false" outlineLevel="0" collapsed="false">
      <c r="A50" s="130" t="str">
        <f aca="false">IF(ISBLANK(B50),"",B50&amp;"|"&amp;C50)</f>
        <v/>
      </c>
      <c r="B50" s="130"/>
      <c r="C50" s="130"/>
      <c r="D50" s="130"/>
      <c r="E50" s="136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</row>
    <row r="51" customFormat="false" ht="15.75" hidden="false" customHeight="false" outlineLevel="0" collapsed="false">
      <c r="A51" s="130" t="str">
        <f aca="false">IF(ISBLANK(B51),"",B51&amp;"|"&amp;C51)</f>
        <v/>
      </c>
      <c r="B51" s="130"/>
      <c r="C51" s="130"/>
      <c r="D51" s="130"/>
      <c r="E51" s="136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</row>
    <row r="52" customFormat="false" ht="15.75" hidden="false" customHeight="false" outlineLevel="0" collapsed="false">
      <c r="A52" s="130" t="str">
        <f aca="false">IF(ISBLANK(B52),"",B52&amp;"|"&amp;C52)</f>
        <v/>
      </c>
      <c r="B52" s="130"/>
      <c r="C52" s="130"/>
      <c r="D52" s="130"/>
      <c r="E52" s="136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</row>
    <row r="53" customFormat="false" ht="15.75" hidden="false" customHeight="false" outlineLevel="0" collapsed="false">
      <c r="A53" s="130" t="str">
        <f aca="false">IF(ISBLANK(B53),"",B53&amp;"|"&amp;C53)</f>
        <v/>
      </c>
      <c r="B53" s="130"/>
      <c r="C53" s="130"/>
      <c r="D53" s="130"/>
      <c r="E53" s="136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</row>
    <row r="54" customFormat="false" ht="15.75" hidden="false" customHeight="false" outlineLevel="0" collapsed="false">
      <c r="A54" s="130" t="str">
        <f aca="false">IF(ISBLANK(B54),"",B54&amp;"|"&amp;C54)</f>
        <v/>
      </c>
      <c r="B54" s="130"/>
      <c r="C54" s="130"/>
      <c r="D54" s="130"/>
      <c r="E54" s="136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</row>
    <row r="55" customFormat="false" ht="15.75" hidden="false" customHeight="false" outlineLevel="0" collapsed="false">
      <c r="A55" s="130" t="str">
        <f aca="false">IF(ISBLANK(B55),"",B55&amp;"|"&amp;C55)</f>
        <v/>
      </c>
      <c r="B55" s="130"/>
      <c r="C55" s="130"/>
      <c r="D55" s="130"/>
      <c r="E55" s="136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</row>
    <row r="56" customFormat="false" ht="15.75" hidden="false" customHeight="false" outlineLevel="0" collapsed="false">
      <c r="A56" s="130" t="str">
        <f aca="false">IF(ISBLANK(B56),"",B56&amp;"|"&amp;C56)</f>
        <v/>
      </c>
      <c r="B56" s="130"/>
      <c r="C56" s="130"/>
      <c r="D56" s="130"/>
      <c r="E56" s="136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</row>
    <row r="57" customFormat="false" ht="15.75" hidden="false" customHeight="false" outlineLevel="0" collapsed="false">
      <c r="A57" s="130" t="str">
        <f aca="false">IF(ISBLANK(B57),"",B57&amp;"|"&amp;C57)</f>
        <v/>
      </c>
      <c r="B57" s="130"/>
      <c r="C57" s="130"/>
      <c r="D57" s="130"/>
      <c r="E57" s="136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</row>
    <row r="58" customFormat="false" ht="15.75" hidden="false" customHeight="false" outlineLevel="0" collapsed="false">
      <c r="A58" s="130" t="str">
        <f aca="false">IF(ISBLANK(B58),"",B58&amp;"|"&amp;C58)</f>
        <v/>
      </c>
      <c r="B58" s="130"/>
      <c r="C58" s="130"/>
      <c r="D58" s="130"/>
      <c r="E58" s="136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</row>
    <row r="59" customFormat="false" ht="15.75" hidden="false" customHeight="false" outlineLevel="0" collapsed="false">
      <c r="A59" s="130" t="str">
        <f aca="false">IF(ISBLANK(B59),"",B59&amp;"|"&amp;C59)</f>
        <v/>
      </c>
      <c r="B59" s="130"/>
      <c r="C59" s="130"/>
      <c r="D59" s="130"/>
      <c r="E59" s="136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</row>
    <row r="60" customFormat="false" ht="15.75" hidden="false" customHeight="false" outlineLevel="0" collapsed="false">
      <c r="A60" s="130" t="str">
        <f aca="false">IF(ISBLANK(B60),"",B60&amp;"|"&amp;C60)</f>
        <v/>
      </c>
      <c r="B60" s="130"/>
      <c r="C60" s="130"/>
      <c r="D60" s="130"/>
      <c r="E60" s="136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</row>
    <row r="61" customFormat="false" ht="15.75" hidden="false" customHeight="false" outlineLevel="0" collapsed="false">
      <c r="A61" s="130" t="str">
        <f aca="false">IF(ISBLANK(B61),"",B61&amp;"|"&amp;C61)</f>
        <v/>
      </c>
      <c r="B61" s="130"/>
      <c r="C61" s="130"/>
      <c r="D61" s="130"/>
      <c r="E61" s="136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</row>
    <row r="62" customFormat="false" ht="15.75" hidden="false" customHeight="false" outlineLevel="0" collapsed="false">
      <c r="A62" s="130" t="str">
        <f aca="false">IF(ISBLANK(B62),"",B62&amp;"|"&amp;C62)</f>
        <v/>
      </c>
      <c r="B62" s="130"/>
      <c r="C62" s="130"/>
      <c r="D62" s="130"/>
      <c r="E62" s="136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</row>
    <row r="63" customFormat="false" ht="15.75" hidden="false" customHeight="false" outlineLevel="0" collapsed="false">
      <c r="A63" s="130" t="str">
        <f aca="false">IF(ISBLANK(B63),"",B63&amp;"|"&amp;C63)</f>
        <v/>
      </c>
      <c r="B63" s="130"/>
      <c r="C63" s="130"/>
      <c r="D63" s="130"/>
      <c r="E63" s="136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</row>
    <row r="64" customFormat="false" ht="15.75" hidden="false" customHeight="false" outlineLevel="0" collapsed="false">
      <c r="A64" s="130" t="str">
        <f aca="false">IF(ISBLANK(B64),"",B64&amp;"|"&amp;C64)</f>
        <v/>
      </c>
      <c r="B64" s="130"/>
      <c r="C64" s="130"/>
      <c r="D64" s="130"/>
      <c r="E64" s="136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</row>
    <row r="65" customFormat="false" ht="15.75" hidden="false" customHeight="false" outlineLevel="0" collapsed="false">
      <c r="A65" s="130" t="str">
        <f aca="false">IF(ISBLANK(B65),"",B65&amp;"|"&amp;C65)</f>
        <v/>
      </c>
      <c r="B65" s="130"/>
      <c r="C65" s="130"/>
      <c r="D65" s="130"/>
      <c r="E65" s="136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</row>
    <row r="66" customFormat="false" ht="15.75" hidden="false" customHeight="false" outlineLevel="0" collapsed="false">
      <c r="A66" s="130" t="str">
        <f aca="false">IF(ISBLANK(B66),"",B66&amp;"|"&amp;C66)</f>
        <v/>
      </c>
      <c r="B66" s="130"/>
      <c r="C66" s="130"/>
      <c r="D66" s="130"/>
      <c r="E66" s="136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</row>
    <row r="67" customFormat="false" ht="15.75" hidden="false" customHeight="false" outlineLevel="0" collapsed="false">
      <c r="A67" s="130" t="str">
        <f aca="false">IF(ISBLANK(B67),"",B67&amp;"|"&amp;C67)</f>
        <v/>
      </c>
      <c r="B67" s="130"/>
      <c r="C67" s="130"/>
      <c r="D67" s="130"/>
      <c r="E67" s="136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</row>
    <row r="68" customFormat="false" ht="15.75" hidden="false" customHeight="false" outlineLevel="0" collapsed="false">
      <c r="A68" s="130" t="str">
        <f aca="false">IF(ISBLANK(B68),"",B68&amp;"|"&amp;C68)</f>
        <v/>
      </c>
      <c r="B68" s="130"/>
      <c r="C68" s="130"/>
      <c r="D68" s="130"/>
      <c r="E68" s="136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</row>
    <row r="69" customFormat="false" ht="15.75" hidden="false" customHeight="false" outlineLevel="0" collapsed="false">
      <c r="A69" s="130" t="str">
        <f aca="false">IF(ISBLANK(B69),"",B69&amp;"|"&amp;C69)</f>
        <v/>
      </c>
      <c r="B69" s="130"/>
      <c r="C69" s="130"/>
      <c r="D69" s="130"/>
      <c r="E69" s="136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</row>
    <row r="70" customFormat="false" ht="15.75" hidden="false" customHeight="false" outlineLevel="0" collapsed="false">
      <c r="A70" s="130" t="str">
        <f aca="false">IF(ISBLANK(B70),"",B70&amp;"|"&amp;C70)</f>
        <v/>
      </c>
      <c r="B70" s="130"/>
      <c r="C70" s="130"/>
      <c r="D70" s="130"/>
      <c r="E70" s="136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</row>
    <row r="71" customFormat="false" ht="15.75" hidden="false" customHeight="false" outlineLevel="0" collapsed="false">
      <c r="A71" s="130" t="str">
        <f aca="false">IF(ISBLANK(B71),"",B71&amp;"|"&amp;C71)</f>
        <v/>
      </c>
      <c r="B71" s="130"/>
      <c r="C71" s="130"/>
      <c r="D71" s="130"/>
      <c r="E71" s="136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</row>
    <row r="72" customFormat="false" ht="15.75" hidden="false" customHeight="false" outlineLevel="0" collapsed="false">
      <c r="A72" s="130" t="str">
        <f aca="false">IF(ISBLANK(B72),"",B72&amp;"|"&amp;C72)</f>
        <v/>
      </c>
      <c r="B72" s="130"/>
      <c r="C72" s="130"/>
      <c r="D72" s="130"/>
      <c r="E72" s="136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</row>
    <row r="73" customFormat="false" ht="15.75" hidden="false" customHeight="false" outlineLevel="0" collapsed="false">
      <c r="A73" s="130" t="str">
        <f aca="false">IF(ISBLANK(B73),"",B73&amp;"|"&amp;C73)</f>
        <v/>
      </c>
      <c r="B73" s="130"/>
      <c r="C73" s="130"/>
      <c r="D73" s="130"/>
      <c r="E73" s="136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</row>
    <row r="74" customFormat="false" ht="15.75" hidden="false" customHeight="false" outlineLevel="0" collapsed="false">
      <c r="A74" s="130" t="str">
        <f aca="false">IF(ISBLANK(B74),"",B74&amp;"|"&amp;C74)</f>
        <v/>
      </c>
      <c r="B74" s="130"/>
      <c r="C74" s="130"/>
      <c r="D74" s="130"/>
      <c r="E74" s="136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</row>
    <row r="75" customFormat="false" ht="15.75" hidden="false" customHeight="false" outlineLevel="0" collapsed="false">
      <c r="A75" s="130" t="str">
        <f aca="false">IF(ISBLANK(B75),"",B75&amp;"|"&amp;C75)</f>
        <v/>
      </c>
      <c r="B75" s="130"/>
      <c r="C75" s="130"/>
      <c r="D75" s="130"/>
      <c r="E75" s="136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</row>
    <row r="76" customFormat="false" ht="15.75" hidden="false" customHeight="false" outlineLevel="0" collapsed="false">
      <c r="A76" s="130" t="str">
        <f aca="false">IF(ISBLANK(B76),"",B76&amp;"|"&amp;C76)</f>
        <v/>
      </c>
      <c r="B76" s="130"/>
      <c r="C76" s="130"/>
      <c r="D76" s="130"/>
      <c r="E76" s="136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</row>
    <row r="77" customFormat="false" ht="15.75" hidden="false" customHeight="false" outlineLevel="0" collapsed="false">
      <c r="A77" s="130" t="str">
        <f aca="false">IF(ISBLANK(B77),"",B77&amp;"|"&amp;C77)</f>
        <v/>
      </c>
      <c r="B77" s="130"/>
      <c r="C77" s="130"/>
      <c r="D77" s="130"/>
      <c r="E77" s="136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</row>
    <row r="78" customFormat="false" ht="15.75" hidden="false" customHeight="false" outlineLevel="0" collapsed="false">
      <c r="A78" s="130" t="str">
        <f aca="false">IF(ISBLANK(B78),"",B78&amp;"|"&amp;C78)</f>
        <v/>
      </c>
      <c r="B78" s="130"/>
      <c r="C78" s="130"/>
      <c r="D78" s="130"/>
      <c r="E78" s="136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</row>
    <row r="79" customFormat="false" ht="15.75" hidden="false" customHeight="false" outlineLevel="0" collapsed="false">
      <c r="A79" s="130" t="str">
        <f aca="false">IF(ISBLANK(B79),"",B79&amp;"|"&amp;C79)</f>
        <v/>
      </c>
      <c r="B79" s="130"/>
      <c r="C79" s="130"/>
      <c r="D79" s="130"/>
      <c r="E79" s="136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</row>
    <row r="80" customFormat="false" ht="15.75" hidden="false" customHeight="false" outlineLevel="0" collapsed="false">
      <c r="A80" s="130" t="str">
        <f aca="false">IF(ISBLANK(B80),"",B80&amp;"|"&amp;C80)</f>
        <v/>
      </c>
      <c r="B80" s="130"/>
      <c r="C80" s="130"/>
      <c r="D80" s="130"/>
      <c r="E80" s="136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</row>
    <row r="81" customFormat="false" ht="15.75" hidden="false" customHeight="false" outlineLevel="0" collapsed="false">
      <c r="A81" s="130" t="str">
        <f aca="false">IF(ISBLANK(B81),"",B81&amp;"|"&amp;C81)</f>
        <v/>
      </c>
      <c r="B81" s="130"/>
      <c r="C81" s="130"/>
      <c r="D81" s="130"/>
      <c r="E81" s="136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</row>
    <row r="82" customFormat="false" ht="15.75" hidden="false" customHeight="false" outlineLevel="0" collapsed="false">
      <c r="A82" s="130" t="str">
        <f aca="false">IF(ISBLANK(B82),"",B82&amp;"|"&amp;C82)</f>
        <v/>
      </c>
      <c r="B82" s="130"/>
      <c r="C82" s="130"/>
      <c r="D82" s="130"/>
      <c r="E82" s="136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</row>
    <row r="83" customFormat="false" ht="15.75" hidden="false" customHeight="false" outlineLevel="0" collapsed="false">
      <c r="A83" s="130" t="str">
        <f aca="false">IF(ISBLANK(B83),"",B83&amp;"|"&amp;C83)</f>
        <v/>
      </c>
      <c r="B83" s="130"/>
      <c r="C83" s="130"/>
      <c r="D83" s="130"/>
      <c r="E83" s="136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</row>
    <row r="84" customFormat="false" ht="15.75" hidden="false" customHeight="false" outlineLevel="0" collapsed="false">
      <c r="A84" s="130" t="str">
        <f aca="false">IF(ISBLANK(B84),"",B84&amp;"|"&amp;C84)</f>
        <v/>
      </c>
      <c r="B84" s="130"/>
      <c r="C84" s="130"/>
      <c r="D84" s="130"/>
      <c r="E84" s="136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</row>
    <row r="85" customFormat="false" ht="15.75" hidden="false" customHeight="false" outlineLevel="0" collapsed="false">
      <c r="A85" s="130" t="str">
        <f aca="false">IF(ISBLANK(B85),"",B85&amp;"|"&amp;C85)</f>
        <v/>
      </c>
      <c r="B85" s="130"/>
      <c r="C85" s="130"/>
      <c r="D85" s="130"/>
      <c r="E85" s="136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</row>
    <row r="86" customFormat="false" ht="15.75" hidden="false" customHeight="false" outlineLevel="0" collapsed="false">
      <c r="A86" s="130" t="str">
        <f aca="false">IF(ISBLANK(B86),"",B86&amp;"|"&amp;C86)</f>
        <v/>
      </c>
      <c r="B86" s="130"/>
      <c r="C86" s="130"/>
      <c r="D86" s="130"/>
      <c r="E86" s="136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</row>
    <row r="87" customFormat="false" ht="15.75" hidden="false" customHeight="false" outlineLevel="0" collapsed="false">
      <c r="A87" s="130" t="str">
        <f aca="false">IF(ISBLANK(B87),"",B87&amp;"|"&amp;C87)</f>
        <v/>
      </c>
      <c r="B87" s="130"/>
      <c r="C87" s="130"/>
      <c r="D87" s="130"/>
      <c r="E87" s="136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</row>
    <row r="88" customFormat="false" ht="15.75" hidden="false" customHeight="false" outlineLevel="0" collapsed="false">
      <c r="A88" s="130" t="str">
        <f aca="false">IF(ISBLANK(B88),"",B88&amp;"|"&amp;C88)</f>
        <v/>
      </c>
      <c r="B88" s="130"/>
      <c r="C88" s="130"/>
      <c r="D88" s="130"/>
      <c r="E88" s="136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</row>
    <row r="89" customFormat="false" ht="15.75" hidden="false" customHeight="false" outlineLevel="0" collapsed="false">
      <c r="A89" s="130" t="str">
        <f aca="false">IF(ISBLANK(B89),"",B89&amp;"|"&amp;C89)</f>
        <v/>
      </c>
      <c r="B89" s="130"/>
      <c r="C89" s="130"/>
      <c r="D89" s="130"/>
      <c r="E89" s="136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</row>
    <row r="90" customFormat="false" ht="15.75" hidden="false" customHeight="false" outlineLevel="0" collapsed="false">
      <c r="A90" s="130" t="str">
        <f aca="false">IF(ISBLANK(B90),"",B90&amp;"|"&amp;C90)</f>
        <v/>
      </c>
      <c r="B90" s="130"/>
      <c r="C90" s="130"/>
      <c r="D90" s="130"/>
      <c r="E90" s="136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</row>
    <row r="91" customFormat="false" ht="15.75" hidden="false" customHeight="false" outlineLevel="0" collapsed="false">
      <c r="A91" s="130" t="str">
        <f aca="false">IF(ISBLANK(B91),"",B91&amp;"|"&amp;C91)</f>
        <v/>
      </c>
      <c r="B91" s="130"/>
      <c r="C91" s="130"/>
      <c r="D91" s="130"/>
      <c r="E91" s="136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</row>
    <row r="92" customFormat="false" ht="15.75" hidden="false" customHeight="false" outlineLevel="0" collapsed="false">
      <c r="A92" s="130" t="str">
        <f aca="false">IF(ISBLANK(B92),"",B92&amp;"|"&amp;C92)</f>
        <v/>
      </c>
      <c r="B92" s="130"/>
      <c r="C92" s="130"/>
      <c r="D92" s="130"/>
      <c r="E92" s="136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</row>
    <row r="93" customFormat="false" ht="15.75" hidden="false" customHeight="false" outlineLevel="0" collapsed="false">
      <c r="A93" s="130" t="str">
        <f aca="false">IF(ISBLANK(B93),"",B93&amp;"|"&amp;C93)</f>
        <v/>
      </c>
      <c r="B93" s="130"/>
      <c r="C93" s="130"/>
      <c r="D93" s="130"/>
      <c r="E93" s="136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</row>
    <row r="94" customFormat="false" ht="15.75" hidden="false" customHeight="false" outlineLevel="0" collapsed="false">
      <c r="A94" s="130" t="str">
        <f aca="false">IF(ISBLANK(B94),"",B94&amp;"|"&amp;C94)</f>
        <v/>
      </c>
      <c r="B94" s="130"/>
      <c r="C94" s="130"/>
      <c r="D94" s="130"/>
      <c r="E94" s="136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</row>
    <row r="95" customFormat="false" ht="15.75" hidden="false" customHeight="false" outlineLevel="0" collapsed="false">
      <c r="A95" s="130" t="str">
        <f aca="false">IF(ISBLANK(B95),"",B95&amp;"|"&amp;C95)</f>
        <v/>
      </c>
      <c r="B95" s="130"/>
      <c r="C95" s="130"/>
      <c r="D95" s="130"/>
      <c r="E95" s="136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</row>
    <row r="96" customFormat="false" ht="15.75" hidden="false" customHeight="false" outlineLevel="0" collapsed="false">
      <c r="A96" s="130" t="str">
        <f aca="false">IF(ISBLANK(B96),"",B96&amp;"|"&amp;C96)</f>
        <v/>
      </c>
      <c r="B96" s="130"/>
      <c r="C96" s="130"/>
      <c r="D96" s="130"/>
      <c r="E96" s="136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</row>
    <row r="97" customFormat="false" ht="15.75" hidden="false" customHeight="false" outlineLevel="0" collapsed="false">
      <c r="A97" s="130" t="str">
        <f aca="false">IF(ISBLANK(B97),"",B97&amp;"|"&amp;C97)</f>
        <v/>
      </c>
      <c r="B97" s="130"/>
      <c r="C97" s="130"/>
      <c r="D97" s="130"/>
      <c r="E97" s="136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</row>
    <row r="98" customFormat="false" ht="15.75" hidden="false" customHeight="false" outlineLevel="0" collapsed="false">
      <c r="A98" s="130" t="str">
        <f aca="false">IF(ISBLANK(B98),"",B98&amp;"|"&amp;C98)</f>
        <v/>
      </c>
      <c r="B98" s="130"/>
      <c r="C98" s="130"/>
      <c r="D98" s="130"/>
      <c r="E98" s="136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</row>
    <row r="99" customFormat="false" ht="15.75" hidden="false" customHeight="false" outlineLevel="0" collapsed="false">
      <c r="A99" s="130" t="str">
        <f aca="false">IF(ISBLANK(B99),"",B99&amp;"|"&amp;C99)</f>
        <v/>
      </c>
      <c r="B99" s="130"/>
      <c r="C99" s="130"/>
      <c r="D99" s="130"/>
      <c r="E99" s="136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</row>
    <row r="100" customFormat="false" ht="15.75" hidden="false" customHeight="false" outlineLevel="0" collapsed="false">
      <c r="A100" s="130" t="str">
        <f aca="false">IF(ISBLANK(B100),"",B100&amp;"|"&amp;C100)</f>
        <v/>
      </c>
      <c r="B100" s="130"/>
      <c r="C100" s="130"/>
      <c r="D100" s="130"/>
      <c r="E100" s="136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</row>
    <row r="101" customFormat="false" ht="15.75" hidden="false" customHeight="false" outlineLevel="0" collapsed="false">
      <c r="A101" s="130" t="str">
        <f aca="false">IF(ISBLANK(B101),"",B101&amp;"|"&amp;C101)</f>
        <v/>
      </c>
      <c r="B101" s="130"/>
      <c r="C101" s="130"/>
      <c r="D101" s="130"/>
      <c r="E101" s="136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</row>
    <row r="102" customFormat="false" ht="15.75" hidden="false" customHeight="false" outlineLevel="0" collapsed="false">
      <c r="A102" s="130" t="str">
        <f aca="false">IF(ISBLANK(B102),"",B102&amp;"|"&amp;C102)</f>
        <v/>
      </c>
      <c r="B102" s="130"/>
      <c r="C102" s="130"/>
      <c r="D102" s="130"/>
      <c r="E102" s="136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</row>
    <row r="103" customFormat="false" ht="15.75" hidden="false" customHeight="false" outlineLevel="0" collapsed="false">
      <c r="A103" s="130" t="str">
        <f aca="false">IF(ISBLANK(B103),"",B103&amp;"|"&amp;C103)</f>
        <v/>
      </c>
      <c r="B103" s="130"/>
      <c r="C103" s="130"/>
      <c r="D103" s="130"/>
      <c r="E103" s="136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</row>
    <row r="104" customFormat="false" ht="15.75" hidden="false" customHeight="false" outlineLevel="0" collapsed="false">
      <c r="A104" s="130" t="str">
        <f aca="false">IF(ISBLANK(B104),"",B104&amp;"|"&amp;C104)</f>
        <v/>
      </c>
      <c r="B104" s="130"/>
      <c r="C104" s="130"/>
      <c r="D104" s="130"/>
      <c r="E104" s="136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</row>
    <row r="105" customFormat="false" ht="15.75" hidden="false" customHeight="false" outlineLevel="0" collapsed="false">
      <c r="A105" s="130" t="str">
        <f aca="false">IF(ISBLANK(B105),"",B105&amp;"|"&amp;C105)</f>
        <v/>
      </c>
      <c r="B105" s="130"/>
      <c r="C105" s="130"/>
      <c r="D105" s="130"/>
      <c r="E105" s="136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</row>
    <row r="106" customFormat="false" ht="15.75" hidden="false" customHeight="false" outlineLevel="0" collapsed="false">
      <c r="A106" s="130" t="str">
        <f aca="false">IF(ISBLANK(B106),"",B106&amp;"|"&amp;C106)</f>
        <v/>
      </c>
      <c r="B106" s="130"/>
      <c r="C106" s="130"/>
      <c r="D106" s="130"/>
      <c r="E106" s="136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</row>
    <row r="107" customFormat="false" ht="15.75" hidden="false" customHeight="false" outlineLevel="0" collapsed="false">
      <c r="A107" s="130" t="str">
        <f aca="false">IF(ISBLANK(B107),"",B107&amp;"|"&amp;C107)</f>
        <v/>
      </c>
      <c r="B107" s="130"/>
      <c r="C107" s="130"/>
      <c r="D107" s="130"/>
      <c r="E107" s="136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</row>
    <row r="108" customFormat="false" ht="15.75" hidden="false" customHeight="false" outlineLevel="0" collapsed="false">
      <c r="A108" s="130" t="str">
        <f aca="false">IF(ISBLANK(B108),"",B108&amp;"|"&amp;C108)</f>
        <v/>
      </c>
      <c r="B108" s="130"/>
      <c r="C108" s="130"/>
      <c r="D108" s="130"/>
      <c r="E108" s="136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</row>
    <row r="109" customFormat="false" ht="15.75" hidden="false" customHeight="false" outlineLevel="0" collapsed="false">
      <c r="A109" s="130" t="str">
        <f aca="false">IF(ISBLANK(B109),"",B109&amp;"|"&amp;C109)</f>
        <v/>
      </c>
      <c r="B109" s="130"/>
      <c r="C109" s="130"/>
      <c r="D109" s="130"/>
      <c r="E109" s="136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</row>
    <row r="110" customFormat="false" ht="15.75" hidden="false" customHeight="false" outlineLevel="0" collapsed="false">
      <c r="A110" s="130" t="str">
        <f aca="false">IF(ISBLANK(B110),"",B110&amp;"|"&amp;C110)</f>
        <v/>
      </c>
      <c r="B110" s="130"/>
      <c r="C110" s="130"/>
      <c r="D110" s="130"/>
      <c r="E110" s="136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</row>
    <row r="111" customFormat="false" ht="15.75" hidden="false" customHeight="false" outlineLevel="0" collapsed="false">
      <c r="A111" s="130" t="str">
        <f aca="false">IF(ISBLANK(B111),"",B111&amp;"|"&amp;C111)</f>
        <v/>
      </c>
      <c r="B111" s="130"/>
      <c r="C111" s="130"/>
      <c r="D111" s="130"/>
      <c r="E111" s="136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</row>
    <row r="112" customFormat="false" ht="15.75" hidden="false" customHeight="false" outlineLevel="0" collapsed="false">
      <c r="A112" s="130" t="str">
        <f aca="false">IF(ISBLANK(B112),"",B112&amp;"|"&amp;C112)</f>
        <v/>
      </c>
      <c r="B112" s="130"/>
      <c r="C112" s="130"/>
      <c r="D112" s="130"/>
      <c r="E112" s="136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</row>
    <row r="113" customFormat="false" ht="15.75" hidden="false" customHeight="false" outlineLevel="0" collapsed="false">
      <c r="A113" s="130" t="str">
        <f aca="false">IF(ISBLANK(B113),"",B113&amp;"|"&amp;C113)</f>
        <v/>
      </c>
      <c r="B113" s="130"/>
      <c r="C113" s="130"/>
      <c r="D113" s="130"/>
      <c r="E113" s="136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</row>
    <row r="114" customFormat="false" ht="15.75" hidden="false" customHeight="false" outlineLevel="0" collapsed="false">
      <c r="A114" s="130" t="str">
        <f aca="false">IF(ISBLANK(B114),"",B114&amp;"|"&amp;C114)</f>
        <v/>
      </c>
      <c r="B114" s="130"/>
      <c r="C114" s="130"/>
      <c r="D114" s="130"/>
      <c r="E114" s="136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</row>
    <row r="115" customFormat="false" ht="15.75" hidden="false" customHeight="false" outlineLevel="0" collapsed="false">
      <c r="A115" s="130" t="str">
        <f aca="false">IF(ISBLANK(B115),"",B115&amp;"|"&amp;C115)</f>
        <v/>
      </c>
      <c r="B115" s="130"/>
      <c r="C115" s="130"/>
      <c r="D115" s="130"/>
      <c r="E115" s="136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</row>
    <row r="116" customFormat="false" ht="15.75" hidden="false" customHeight="false" outlineLevel="0" collapsed="false">
      <c r="A116" s="130" t="str">
        <f aca="false">IF(ISBLANK(B116),"",B116&amp;"|"&amp;C116)</f>
        <v/>
      </c>
      <c r="B116" s="130"/>
      <c r="C116" s="130"/>
      <c r="D116" s="130"/>
      <c r="E116" s="136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</row>
    <row r="117" customFormat="false" ht="15.75" hidden="false" customHeight="false" outlineLevel="0" collapsed="false">
      <c r="A117" s="130" t="str">
        <f aca="false">IF(ISBLANK(B117),"",B117&amp;"|"&amp;C117)</f>
        <v/>
      </c>
      <c r="B117" s="130"/>
      <c r="C117" s="130"/>
      <c r="D117" s="130"/>
      <c r="E117" s="136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</row>
    <row r="118" customFormat="false" ht="15.75" hidden="false" customHeight="false" outlineLevel="0" collapsed="false">
      <c r="A118" s="130" t="str">
        <f aca="false">IF(ISBLANK(B118),"",B118&amp;"|"&amp;C118)</f>
        <v/>
      </c>
      <c r="B118" s="130"/>
      <c r="C118" s="130"/>
      <c r="D118" s="130"/>
      <c r="E118" s="136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</row>
    <row r="119" customFormat="false" ht="15.75" hidden="false" customHeight="false" outlineLevel="0" collapsed="false">
      <c r="A119" s="130" t="str">
        <f aca="false">IF(ISBLANK(B119),"",B119&amp;"|"&amp;C119)</f>
        <v/>
      </c>
      <c r="B119" s="130"/>
      <c r="C119" s="130"/>
      <c r="D119" s="130"/>
      <c r="E119" s="136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</row>
    <row r="120" customFormat="false" ht="15.75" hidden="false" customHeight="false" outlineLevel="0" collapsed="false">
      <c r="A120" s="130" t="str">
        <f aca="false">IF(ISBLANK(B120),"",B120&amp;"|"&amp;C120)</f>
        <v/>
      </c>
      <c r="B120" s="130"/>
      <c r="C120" s="130"/>
      <c r="D120" s="130"/>
      <c r="E120" s="136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</row>
    <row r="121" customFormat="false" ht="15.75" hidden="false" customHeight="false" outlineLevel="0" collapsed="false">
      <c r="A121" s="130" t="str">
        <f aca="false">IF(ISBLANK(B121),"",B121&amp;"|"&amp;C121)</f>
        <v/>
      </c>
      <c r="B121" s="130"/>
      <c r="C121" s="130"/>
      <c r="D121" s="130"/>
      <c r="E121" s="136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</row>
    <row r="122" customFormat="false" ht="15.75" hidden="false" customHeight="false" outlineLevel="0" collapsed="false">
      <c r="A122" s="130" t="str">
        <f aca="false">IF(ISBLANK(B122),"",B122&amp;"|"&amp;C122)</f>
        <v/>
      </c>
      <c r="B122" s="130"/>
      <c r="C122" s="130"/>
      <c r="D122" s="130"/>
      <c r="E122" s="136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</row>
    <row r="123" customFormat="false" ht="15.75" hidden="false" customHeight="false" outlineLevel="0" collapsed="false">
      <c r="A123" s="130" t="str">
        <f aca="false">IF(ISBLANK(B123),"",B123&amp;"|"&amp;C123)</f>
        <v/>
      </c>
      <c r="B123" s="130"/>
      <c r="C123" s="130"/>
      <c r="D123" s="130"/>
      <c r="E123" s="136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</row>
    <row r="124" customFormat="false" ht="15.75" hidden="false" customHeight="false" outlineLevel="0" collapsed="false">
      <c r="A124" s="130" t="str">
        <f aca="false">IF(ISBLANK(B124),"",B124&amp;"|"&amp;C124)</f>
        <v/>
      </c>
      <c r="B124" s="130"/>
      <c r="C124" s="130"/>
      <c r="D124" s="130"/>
      <c r="E124" s="136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</row>
    <row r="125" customFormat="false" ht="15.75" hidden="false" customHeight="false" outlineLevel="0" collapsed="false">
      <c r="A125" s="130" t="str">
        <f aca="false">IF(ISBLANK(B125),"",B125&amp;"|"&amp;C125)</f>
        <v/>
      </c>
      <c r="B125" s="130"/>
      <c r="C125" s="130"/>
      <c r="D125" s="130"/>
      <c r="E125" s="136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</row>
    <row r="126" customFormat="false" ht="15.75" hidden="false" customHeight="false" outlineLevel="0" collapsed="false">
      <c r="A126" s="130" t="str">
        <f aca="false">IF(ISBLANK(B126),"",B126&amp;"|"&amp;C126)</f>
        <v/>
      </c>
      <c r="B126" s="130"/>
      <c r="C126" s="130"/>
      <c r="D126" s="130"/>
      <c r="E126" s="136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</row>
    <row r="127" customFormat="false" ht="15.75" hidden="false" customHeight="false" outlineLevel="0" collapsed="false">
      <c r="A127" s="130" t="str">
        <f aca="false">IF(ISBLANK(B127),"",B127&amp;"|"&amp;C127)</f>
        <v/>
      </c>
      <c r="B127" s="130"/>
      <c r="C127" s="130"/>
      <c r="D127" s="130"/>
      <c r="E127" s="136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</row>
    <row r="128" customFormat="false" ht="15.75" hidden="false" customHeight="false" outlineLevel="0" collapsed="false">
      <c r="A128" s="130" t="str">
        <f aca="false">IF(ISBLANK(B128),"",B128&amp;"|"&amp;C128)</f>
        <v/>
      </c>
      <c r="B128" s="130"/>
      <c r="C128" s="130"/>
      <c r="D128" s="130"/>
      <c r="E128" s="136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</row>
    <row r="129" customFormat="false" ht="15.75" hidden="false" customHeight="false" outlineLevel="0" collapsed="false">
      <c r="A129" s="130" t="str">
        <f aca="false">IF(ISBLANK(B129),"",B129&amp;"|"&amp;C129)</f>
        <v/>
      </c>
      <c r="B129" s="130"/>
      <c r="C129" s="130"/>
      <c r="D129" s="130"/>
      <c r="E129" s="136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</row>
    <row r="130" customFormat="false" ht="15.75" hidden="false" customHeight="false" outlineLevel="0" collapsed="false">
      <c r="A130" s="130" t="str">
        <f aca="false">IF(ISBLANK(B130),"",B130&amp;"|"&amp;C130)</f>
        <v/>
      </c>
      <c r="B130" s="130"/>
      <c r="C130" s="130"/>
      <c r="D130" s="130"/>
      <c r="E130" s="136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</row>
    <row r="131" customFormat="false" ht="15.75" hidden="false" customHeight="false" outlineLevel="0" collapsed="false">
      <c r="A131" s="130" t="str">
        <f aca="false">IF(ISBLANK(B131),"",B131&amp;"|"&amp;C131)</f>
        <v/>
      </c>
      <c r="B131" s="130"/>
      <c r="C131" s="130"/>
      <c r="D131" s="130"/>
      <c r="E131" s="136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</row>
    <row r="132" customFormat="false" ht="15.75" hidden="false" customHeight="false" outlineLevel="0" collapsed="false">
      <c r="A132" s="130" t="str">
        <f aca="false">IF(ISBLANK(B132),"",B132&amp;"|"&amp;C132)</f>
        <v/>
      </c>
      <c r="B132" s="130"/>
      <c r="C132" s="130"/>
      <c r="D132" s="130"/>
      <c r="E132" s="136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</row>
    <row r="133" customFormat="false" ht="15.75" hidden="false" customHeight="false" outlineLevel="0" collapsed="false">
      <c r="A133" s="130" t="str">
        <f aca="false">IF(ISBLANK(B133),"",B133&amp;"|"&amp;C133)</f>
        <v/>
      </c>
      <c r="B133" s="130"/>
      <c r="C133" s="130"/>
      <c r="D133" s="130"/>
      <c r="E133" s="136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</row>
    <row r="134" customFormat="false" ht="15.75" hidden="false" customHeight="false" outlineLevel="0" collapsed="false">
      <c r="A134" s="130" t="str">
        <f aca="false">IF(ISBLANK(B134),"",B134&amp;"|"&amp;C134)</f>
        <v/>
      </c>
      <c r="B134" s="130"/>
      <c r="C134" s="130"/>
      <c r="D134" s="130"/>
      <c r="E134" s="136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</row>
    <row r="135" customFormat="false" ht="15.75" hidden="false" customHeight="false" outlineLevel="0" collapsed="false">
      <c r="A135" s="130" t="str">
        <f aca="false">IF(ISBLANK(B135),"",B135&amp;"|"&amp;C135)</f>
        <v/>
      </c>
      <c r="B135" s="130"/>
      <c r="C135" s="130"/>
      <c r="D135" s="130"/>
      <c r="E135" s="136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</row>
    <row r="136" customFormat="false" ht="15.75" hidden="false" customHeight="false" outlineLevel="0" collapsed="false">
      <c r="A136" s="130" t="str">
        <f aca="false">IF(ISBLANK(B136),"",B136&amp;"|"&amp;C136)</f>
        <v/>
      </c>
      <c r="B136" s="130"/>
      <c r="C136" s="130"/>
      <c r="D136" s="130"/>
      <c r="E136" s="136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</row>
    <row r="137" customFormat="false" ht="15.75" hidden="false" customHeight="false" outlineLevel="0" collapsed="false">
      <c r="A137" s="130" t="str">
        <f aca="false">IF(ISBLANK(B137),"",B137&amp;"|"&amp;C137)</f>
        <v/>
      </c>
      <c r="B137" s="130"/>
      <c r="C137" s="130"/>
      <c r="D137" s="130"/>
      <c r="E137" s="136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</row>
    <row r="138" customFormat="false" ht="15.75" hidden="false" customHeight="false" outlineLevel="0" collapsed="false">
      <c r="A138" s="130" t="str">
        <f aca="false">IF(ISBLANK(B138),"",B138&amp;"|"&amp;C138)</f>
        <v/>
      </c>
      <c r="B138" s="130"/>
      <c r="C138" s="130"/>
      <c r="D138" s="130"/>
      <c r="E138" s="136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</row>
    <row r="139" customFormat="false" ht="15.75" hidden="false" customHeight="false" outlineLevel="0" collapsed="false">
      <c r="A139" s="130" t="str">
        <f aca="false">IF(ISBLANK(B139),"",B139&amp;"|"&amp;C139)</f>
        <v/>
      </c>
      <c r="B139" s="130"/>
      <c r="C139" s="130"/>
      <c r="D139" s="130"/>
      <c r="E139" s="136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</row>
    <row r="140" customFormat="false" ht="15.75" hidden="false" customHeight="false" outlineLevel="0" collapsed="false">
      <c r="A140" s="130" t="str">
        <f aca="false">IF(ISBLANK(B140),"",B140&amp;"|"&amp;C140)</f>
        <v/>
      </c>
      <c r="B140" s="130"/>
      <c r="C140" s="130"/>
      <c r="D140" s="130"/>
      <c r="E140" s="136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</row>
    <row r="141" customFormat="false" ht="15.75" hidden="false" customHeight="false" outlineLevel="0" collapsed="false">
      <c r="A141" s="130" t="str">
        <f aca="false">IF(ISBLANK(B141),"",B141&amp;"|"&amp;C141)</f>
        <v/>
      </c>
      <c r="B141" s="130"/>
      <c r="C141" s="130"/>
      <c r="D141" s="130"/>
      <c r="E141" s="136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</row>
    <row r="142" customFormat="false" ht="15.75" hidden="false" customHeight="false" outlineLevel="0" collapsed="false">
      <c r="A142" s="130" t="str">
        <f aca="false">IF(ISBLANK(B142),"",B142&amp;"|"&amp;C142)</f>
        <v/>
      </c>
      <c r="B142" s="130"/>
      <c r="C142" s="130"/>
      <c r="D142" s="130"/>
      <c r="E142" s="136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</row>
    <row r="143" customFormat="false" ht="15.75" hidden="false" customHeight="false" outlineLevel="0" collapsed="false">
      <c r="A143" s="130" t="str">
        <f aca="false">IF(ISBLANK(B143),"",B143&amp;"|"&amp;C143)</f>
        <v/>
      </c>
      <c r="B143" s="130"/>
      <c r="C143" s="130"/>
      <c r="D143" s="130"/>
      <c r="E143" s="136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</row>
    <row r="144" customFormat="false" ht="15.75" hidden="false" customHeight="false" outlineLevel="0" collapsed="false">
      <c r="A144" s="130" t="str">
        <f aca="false">IF(ISBLANK(B144),"",B144&amp;"|"&amp;C144)</f>
        <v/>
      </c>
      <c r="B144" s="130"/>
      <c r="C144" s="130"/>
      <c r="D144" s="130"/>
      <c r="E144" s="136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</row>
    <row r="145" customFormat="false" ht="15.75" hidden="false" customHeight="false" outlineLevel="0" collapsed="false">
      <c r="A145" s="130" t="str">
        <f aca="false">IF(ISBLANK(B145),"",B145&amp;"|"&amp;C145)</f>
        <v/>
      </c>
      <c r="B145" s="130"/>
      <c r="C145" s="130"/>
      <c r="D145" s="130"/>
      <c r="E145" s="136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</row>
    <row r="146" customFormat="false" ht="15.75" hidden="false" customHeight="false" outlineLevel="0" collapsed="false">
      <c r="A146" s="130" t="str">
        <f aca="false">IF(ISBLANK(B146),"",B146&amp;"|"&amp;C146)</f>
        <v/>
      </c>
      <c r="B146" s="130"/>
      <c r="C146" s="130"/>
      <c r="D146" s="130"/>
      <c r="E146" s="136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</row>
    <row r="147" customFormat="false" ht="15.75" hidden="false" customHeight="false" outlineLevel="0" collapsed="false">
      <c r="A147" s="130" t="str">
        <f aca="false">IF(ISBLANK(B147),"",B147&amp;"|"&amp;C147)</f>
        <v/>
      </c>
      <c r="B147" s="130"/>
      <c r="C147" s="130"/>
      <c r="D147" s="130"/>
      <c r="E147" s="136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</row>
    <row r="148" customFormat="false" ht="15.75" hidden="false" customHeight="false" outlineLevel="0" collapsed="false">
      <c r="A148" s="130" t="str">
        <f aca="false">IF(ISBLANK(B148),"",B148&amp;"|"&amp;C148)</f>
        <v/>
      </c>
      <c r="B148" s="130"/>
      <c r="C148" s="130"/>
      <c r="D148" s="130"/>
      <c r="E148" s="136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</row>
    <row r="149" customFormat="false" ht="15.75" hidden="false" customHeight="false" outlineLevel="0" collapsed="false">
      <c r="A149" s="130" t="str">
        <f aca="false">IF(ISBLANK(B149),"",B149&amp;"|"&amp;C149)</f>
        <v/>
      </c>
      <c r="B149" s="130"/>
      <c r="C149" s="130"/>
      <c r="D149" s="130"/>
      <c r="E149" s="136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</row>
    <row r="150" customFormat="false" ht="15.75" hidden="false" customHeight="false" outlineLevel="0" collapsed="false">
      <c r="A150" s="130" t="str">
        <f aca="false">IF(ISBLANK(B150),"",B150&amp;"|"&amp;C150)</f>
        <v/>
      </c>
      <c r="B150" s="130"/>
      <c r="C150" s="130"/>
      <c r="D150" s="130"/>
      <c r="E150" s="136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</row>
    <row r="151" customFormat="false" ht="15.75" hidden="false" customHeight="false" outlineLevel="0" collapsed="false">
      <c r="A151" s="130" t="str">
        <f aca="false">IF(ISBLANK(B151),"",B151&amp;"|"&amp;C151)</f>
        <v/>
      </c>
      <c r="B151" s="130"/>
      <c r="C151" s="130"/>
      <c r="D151" s="130"/>
      <c r="E151" s="136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</row>
    <row r="152" customFormat="false" ht="15.75" hidden="false" customHeight="false" outlineLevel="0" collapsed="false">
      <c r="A152" s="130" t="str">
        <f aca="false">IF(ISBLANK(B152),"",B152&amp;"|"&amp;C152)</f>
        <v/>
      </c>
      <c r="B152" s="130"/>
      <c r="C152" s="130"/>
      <c r="D152" s="130"/>
      <c r="E152" s="136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</row>
    <row r="153" customFormat="false" ht="15.75" hidden="false" customHeight="false" outlineLevel="0" collapsed="false">
      <c r="A153" s="130" t="str">
        <f aca="false">IF(ISBLANK(B153),"",B153&amp;"|"&amp;C153)</f>
        <v/>
      </c>
      <c r="B153" s="130"/>
      <c r="C153" s="130"/>
      <c r="D153" s="130"/>
      <c r="E153" s="136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</row>
    <row r="154" customFormat="false" ht="15.75" hidden="false" customHeight="false" outlineLevel="0" collapsed="false">
      <c r="A154" s="130" t="str">
        <f aca="false">IF(ISBLANK(B154),"",B154&amp;"|"&amp;C154)</f>
        <v/>
      </c>
      <c r="B154" s="130"/>
      <c r="C154" s="130"/>
      <c r="D154" s="130"/>
      <c r="E154" s="136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</row>
    <row r="155" customFormat="false" ht="15.75" hidden="false" customHeight="false" outlineLevel="0" collapsed="false">
      <c r="A155" s="130" t="str">
        <f aca="false">IF(ISBLANK(B155),"",B155&amp;"|"&amp;C155)</f>
        <v/>
      </c>
      <c r="B155" s="130"/>
      <c r="C155" s="130"/>
      <c r="D155" s="130"/>
      <c r="E155" s="136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</row>
    <row r="156" customFormat="false" ht="15.75" hidden="false" customHeight="false" outlineLevel="0" collapsed="false">
      <c r="A156" s="130" t="str">
        <f aca="false">IF(ISBLANK(B156),"",B156&amp;"|"&amp;C156)</f>
        <v/>
      </c>
      <c r="B156" s="130"/>
      <c r="C156" s="130"/>
      <c r="D156" s="130"/>
      <c r="E156" s="136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</row>
    <row r="157" customFormat="false" ht="15.75" hidden="false" customHeight="false" outlineLevel="0" collapsed="false">
      <c r="A157" s="130" t="str">
        <f aca="false">IF(ISBLANK(B157),"",B157&amp;"|"&amp;C157)</f>
        <v/>
      </c>
      <c r="B157" s="130"/>
      <c r="C157" s="130"/>
      <c r="D157" s="130"/>
      <c r="E157" s="136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</row>
    <row r="158" customFormat="false" ht="15.75" hidden="false" customHeight="false" outlineLevel="0" collapsed="false">
      <c r="A158" s="130" t="str">
        <f aca="false">IF(ISBLANK(B158),"",B158&amp;"|"&amp;C158)</f>
        <v/>
      </c>
      <c r="B158" s="130"/>
      <c r="C158" s="130"/>
      <c r="D158" s="130"/>
      <c r="E158" s="136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</row>
    <row r="159" customFormat="false" ht="15.75" hidden="false" customHeight="false" outlineLevel="0" collapsed="false">
      <c r="A159" s="130" t="str">
        <f aca="false">IF(ISBLANK(B159),"",B159&amp;"|"&amp;C159)</f>
        <v/>
      </c>
      <c r="B159" s="130"/>
      <c r="C159" s="130"/>
      <c r="D159" s="130"/>
      <c r="E159" s="136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</row>
    <row r="160" customFormat="false" ht="15.75" hidden="false" customHeight="false" outlineLevel="0" collapsed="false">
      <c r="A160" s="130" t="str">
        <f aca="false">IF(ISBLANK(B160),"",B160&amp;"|"&amp;C160)</f>
        <v/>
      </c>
      <c r="B160" s="130"/>
      <c r="C160" s="130"/>
      <c r="D160" s="130"/>
      <c r="E160" s="136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</row>
    <row r="161" customFormat="false" ht="15.75" hidden="false" customHeight="false" outlineLevel="0" collapsed="false">
      <c r="A161" s="130" t="str">
        <f aca="false">IF(ISBLANK(B161),"",B161&amp;"|"&amp;C161)</f>
        <v/>
      </c>
      <c r="B161" s="130"/>
      <c r="C161" s="130"/>
      <c r="D161" s="130"/>
      <c r="E161" s="136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</row>
    <row r="162" customFormat="false" ht="15.75" hidden="false" customHeight="false" outlineLevel="0" collapsed="false">
      <c r="A162" s="130" t="str">
        <f aca="false">IF(ISBLANK(B162),"",B162&amp;"|"&amp;C162)</f>
        <v/>
      </c>
      <c r="B162" s="130"/>
      <c r="C162" s="130"/>
      <c r="D162" s="130"/>
      <c r="E162" s="136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</row>
    <row r="163" customFormat="false" ht="15.75" hidden="false" customHeight="false" outlineLevel="0" collapsed="false">
      <c r="A163" s="130" t="str">
        <f aca="false">IF(ISBLANK(B163),"",B163&amp;"|"&amp;C163)</f>
        <v/>
      </c>
      <c r="B163" s="130"/>
      <c r="C163" s="130"/>
      <c r="D163" s="130"/>
      <c r="E163" s="136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</row>
    <row r="164" customFormat="false" ht="15.75" hidden="false" customHeight="false" outlineLevel="0" collapsed="false">
      <c r="A164" s="130" t="str">
        <f aca="false">IF(ISBLANK(B164),"",B164&amp;"|"&amp;C164)</f>
        <v/>
      </c>
      <c r="B164" s="130"/>
      <c r="C164" s="130"/>
      <c r="D164" s="130"/>
      <c r="E164" s="136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</row>
    <row r="165" customFormat="false" ht="15.75" hidden="false" customHeight="false" outlineLevel="0" collapsed="false">
      <c r="A165" s="130" t="str">
        <f aca="false">IF(ISBLANK(B165),"",B165&amp;"|"&amp;C165)</f>
        <v/>
      </c>
      <c r="B165" s="130"/>
      <c r="C165" s="130"/>
      <c r="D165" s="130"/>
      <c r="E165" s="136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</row>
    <row r="166" customFormat="false" ht="15.75" hidden="false" customHeight="false" outlineLevel="0" collapsed="false">
      <c r="A166" s="130" t="str">
        <f aca="false">IF(ISBLANK(B166),"",B166&amp;"|"&amp;C166)</f>
        <v/>
      </c>
      <c r="B166" s="130"/>
      <c r="C166" s="130"/>
      <c r="D166" s="130"/>
      <c r="E166" s="136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</row>
    <row r="167" customFormat="false" ht="15.75" hidden="false" customHeight="false" outlineLevel="0" collapsed="false">
      <c r="A167" s="130" t="str">
        <f aca="false">IF(ISBLANK(B167),"",B167&amp;"|"&amp;C167)</f>
        <v/>
      </c>
      <c r="B167" s="130"/>
      <c r="C167" s="130"/>
      <c r="D167" s="130"/>
      <c r="E167" s="136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</row>
    <row r="168" customFormat="false" ht="15.75" hidden="false" customHeight="false" outlineLevel="0" collapsed="false">
      <c r="A168" s="130" t="str">
        <f aca="false">IF(ISBLANK(B168),"",B168&amp;"|"&amp;C168)</f>
        <v/>
      </c>
      <c r="B168" s="130"/>
      <c r="C168" s="130"/>
      <c r="D168" s="130"/>
      <c r="E168" s="136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</row>
    <row r="169" customFormat="false" ht="15.75" hidden="false" customHeight="false" outlineLevel="0" collapsed="false">
      <c r="A169" s="130" t="str">
        <f aca="false">IF(ISBLANK(B169),"",B169&amp;"|"&amp;C169)</f>
        <v/>
      </c>
      <c r="B169" s="130"/>
      <c r="C169" s="130"/>
      <c r="D169" s="130"/>
      <c r="E169" s="136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</row>
    <row r="170" customFormat="false" ht="15.75" hidden="false" customHeight="false" outlineLevel="0" collapsed="false">
      <c r="A170" s="130" t="str">
        <f aca="false">IF(ISBLANK(B170),"",B170&amp;"|"&amp;C170)</f>
        <v/>
      </c>
      <c r="B170" s="130"/>
      <c r="C170" s="130"/>
      <c r="D170" s="130"/>
      <c r="E170" s="136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</row>
    <row r="171" customFormat="false" ht="15.75" hidden="false" customHeight="false" outlineLevel="0" collapsed="false">
      <c r="A171" s="130" t="str">
        <f aca="false">IF(ISBLANK(B171),"",B171&amp;"|"&amp;C171)</f>
        <v/>
      </c>
      <c r="B171" s="130"/>
      <c r="C171" s="130"/>
      <c r="D171" s="130"/>
      <c r="E171" s="136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</row>
    <row r="172" customFormat="false" ht="15.75" hidden="false" customHeight="false" outlineLevel="0" collapsed="false">
      <c r="A172" s="130" t="str">
        <f aca="false">IF(ISBLANK(B172),"",B172&amp;"|"&amp;C172)</f>
        <v/>
      </c>
      <c r="B172" s="130"/>
      <c r="C172" s="130"/>
      <c r="D172" s="130"/>
      <c r="E172" s="136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</row>
    <row r="173" customFormat="false" ht="15.75" hidden="false" customHeight="false" outlineLevel="0" collapsed="false">
      <c r="A173" s="130" t="str">
        <f aca="false">IF(ISBLANK(B173),"",B173&amp;"|"&amp;C173)</f>
        <v/>
      </c>
      <c r="B173" s="130"/>
      <c r="C173" s="130"/>
      <c r="D173" s="130"/>
      <c r="E173" s="136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</row>
    <row r="174" customFormat="false" ht="15.75" hidden="false" customHeight="false" outlineLevel="0" collapsed="false">
      <c r="A174" s="130" t="str">
        <f aca="false">IF(ISBLANK(B174),"",B174&amp;"|"&amp;C174)</f>
        <v/>
      </c>
      <c r="B174" s="130"/>
      <c r="C174" s="130"/>
      <c r="D174" s="130"/>
      <c r="E174" s="136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</row>
    <row r="175" customFormat="false" ht="15.75" hidden="false" customHeight="false" outlineLevel="0" collapsed="false">
      <c r="A175" s="130" t="str">
        <f aca="false">IF(ISBLANK(B175),"",B175&amp;"|"&amp;C175)</f>
        <v/>
      </c>
      <c r="B175" s="130"/>
      <c r="C175" s="130"/>
      <c r="D175" s="130"/>
      <c r="E175" s="136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</row>
    <row r="176" customFormat="false" ht="15.75" hidden="false" customHeight="false" outlineLevel="0" collapsed="false">
      <c r="A176" s="130" t="str">
        <f aca="false">IF(ISBLANK(B176),"",B176&amp;"|"&amp;C176)</f>
        <v/>
      </c>
      <c r="B176" s="130"/>
      <c r="C176" s="130"/>
      <c r="D176" s="130"/>
      <c r="E176" s="136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</row>
    <row r="177" customFormat="false" ht="15.75" hidden="false" customHeight="false" outlineLevel="0" collapsed="false">
      <c r="A177" s="130" t="str">
        <f aca="false">IF(ISBLANK(B177),"",B177&amp;"|"&amp;C177)</f>
        <v/>
      </c>
      <c r="B177" s="130"/>
      <c r="C177" s="130"/>
      <c r="D177" s="130"/>
      <c r="E177" s="136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</row>
    <row r="178" customFormat="false" ht="15.75" hidden="false" customHeight="false" outlineLevel="0" collapsed="false">
      <c r="A178" s="130" t="str">
        <f aca="false">IF(ISBLANK(B178),"",B178&amp;"|"&amp;C178)</f>
        <v/>
      </c>
      <c r="B178" s="130"/>
      <c r="C178" s="130"/>
      <c r="D178" s="130"/>
      <c r="E178" s="136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</row>
    <row r="179" customFormat="false" ht="15.75" hidden="false" customHeight="false" outlineLevel="0" collapsed="false">
      <c r="A179" s="130" t="str">
        <f aca="false">IF(ISBLANK(B179),"",B179&amp;"|"&amp;C179)</f>
        <v/>
      </c>
      <c r="B179" s="130"/>
      <c r="C179" s="130"/>
      <c r="D179" s="130"/>
      <c r="E179" s="136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</row>
    <row r="180" customFormat="false" ht="15.75" hidden="false" customHeight="false" outlineLevel="0" collapsed="false">
      <c r="A180" s="130" t="str">
        <f aca="false">IF(ISBLANK(B180),"",B180&amp;"|"&amp;C180)</f>
        <v/>
      </c>
      <c r="B180" s="130"/>
      <c r="C180" s="130"/>
      <c r="D180" s="130"/>
      <c r="E180" s="136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</row>
    <row r="181" customFormat="false" ht="15.75" hidden="false" customHeight="false" outlineLevel="0" collapsed="false">
      <c r="A181" s="130" t="str">
        <f aca="false">IF(ISBLANK(B181),"",B181&amp;"|"&amp;C181)</f>
        <v/>
      </c>
      <c r="B181" s="130"/>
      <c r="C181" s="130"/>
      <c r="D181" s="130"/>
      <c r="E181" s="136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</row>
    <row r="182" customFormat="false" ht="15.75" hidden="false" customHeight="false" outlineLevel="0" collapsed="false">
      <c r="A182" s="130" t="str">
        <f aca="false">IF(ISBLANK(B182),"",B182&amp;"|"&amp;C182)</f>
        <v/>
      </c>
      <c r="B182" s="130"/>
      <c r="C182" s="130"/>
      <c r="D182" s="130"/>
      <c r="E182" s="136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</row>
    <row r="183" customFormat="false" ht="15.75" hidden="false" customHeight="false" outlineLevel="0" collapsed="false">
      <c r="A183" s="130" t="str">
        <f aca="false">IF(ISBLANK(B183),"",B183&amp;"|"&amp;C183)</f>
        <v/>
      </c>
      <c r="B183" s="130"/>
      <c r="C183" s="130"/>
      <c r="D183" s="130"/>
      <c r="E183" s="136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</row>
    <row r="184" customFormat="false" ht="15.75" hidden="false" customHeight="false" outlineLevel="0" collapsed="false">
      <c r="A184" s="130" t="str">
        <f aca="false">IF(ISBLANK(B184),"",B184&amp;"|"&amp;C184)</f>
        <v/>
      </c>
      <c r="B184" s="130"/>
      <c r="C184" s="130"/>
      <c r="D184" s="130"/>
      <c r="E184" s="136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</row>
    <row r="185" customFormat="false" ht="15.75" hidden="false" customHeight="false" outlineLevel="0" collapsed="false">
      <c r="A185" s="130" t="str">
        <f aca="false">IF(ISBLANK(B185),"",B185&amp;"|"&amp;C185)</f>
        <v/>
      </c>
      <c r="B185" s="130"/>
      <c r="C185" s="130"/>
      <c r="D185" s="130"/>
      <c r="E185" s="136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</row>
    <row r="186" customFormat="false" ht="15.75" hidden="false" customHeight="false" outlineLevel="0" collapsed="false">
      <c r="A186" s="130" t="str">
        <f aca="false">IF(ISBLANK(B186),"",B186&amp;"|"&amp;C186)</f>
        <v/>
      </c>
      <c r="B186" s="130"/>
      <c r="C186" s="130"/>
      <c r="D186" s="130"/>
      <c r="E186" s="136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</row>
    <row r="187" customFormat="false" ht="15.75" hidden="false" customHeight="false" outlineLevel="0" collapsed="false">
      <c r="A187" s="130" t="str">
        <f aca="false">IF(ISBLANK(B187),"",B187&amp;"|"&amp;C187)</f>
        <v/>
      </c>
      <c r="B187" s="130"/>
      <c r="C187" s="130"/>
      <c r="D187" s="130"/>
      <c r="E187" s="136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</row>
    <row r="188" customFormat="false" ht="15.75" hidden="false" customHeight="false" outlineLevel="0" collapsed="false">
      <c r="A188" s="130" t="str">
        <f aca="false">IF(ISBLANK(B188),"",B188&amp;"|"&amp;C188)</f>
        <v/>
      </c>
      <c r="B188" s="130"/>
      <c r="C188" s="130"/>
      <c r="D188" s="130"/>
      <c r="E188" s="136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</row>
    <row r="189" customFormat="false" ht="15.75" hidden="false" customHeight="false" outlineLevel="0" collapsed="false">
      <c r="A189" s="130" t="str">
        <f aca="false">IF(ISBLANK(B189),"",B189&amp;"|"&amp;C189)</f>
        <v/>
      </c>
      <c r="B189" s="130"/>
      <c r="C189" s="130"/>
      <c r="D189" s="130"/>
      <c r="E189" s="136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</row>
    <row r="190" customFormat="false" ht="15.75" hidden="false" customHeight="false" outlineLevel="0" collapsed="false">
      <c r="A190" s="130" t="str">
        <f aca="false">IF(ISBLANK(B190),"",B190&amp;"|"&amp;C190)</f>
        <v/>
      </c>
      <c r="B190" s="130"/>
      <c r="C190" s="130"/>
      <c r="D190" s="130"/>
      <c r="E190" s="136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</row>
    <row r="191" customFormat="false" ht="15.75" hidden="false" customHeight="false" outlineLevel="0" collapsed="false">
      <c r="A191" s="130" t="str">
        <f aca="false">IF(ISBLANK(B191),"",B191&amp;"|"&amp;C191)</f>
        <v/>
      </c>
      <c r="B191" s="130"/>
      <c r="C191" s="130"/>
      <c r="D191" s="130"/>
      <c r="E191" s="136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</row>
    <row r="192" customFormat="false" ht="15.75" hidden="false" customHeight="false" outlineLevel="0" collapsed="false">
      <c r="A192" s="130" t="str">
        <f aca="false">IF(ISBLANK(B192),"",B192&amp;"|"&amp;C192)</f>
        <v/>
      </c>
      <c r="B192" s="130"/>
      <c r="C192" s="130"/>
      <c r="D192" s="130"/>
      <c r="E192" s="136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</row>
    <row r="193" customFormat="false" ht="15.75" hidden="false" customHeight="false" outlineLevel="0" collapsed="false">
      <c r="A193" s="130" t="str">
        <f aca="false">IF(ISBLANK(B193),"",B193&amp;"|"&amp;C193)</f>
        <v/>
      </c>
      <c r="B193" s="130"/>
      <c r="C193" s="130"/>
      <c r="D193" s="130"/>
      <c r="E193" s="136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</row>
    <row r="194" customFormat="false" ht="15.75" hidden="false" customHeight="false" outlineLevel="0" collapsed="false">
      <c r="A194" s="130" t="str">
        <f aca="false">IF(ISBLANK(B194),"",B194&amp;"|"&amp;C194)</f>
        <v/>
      </c>
      <c r="B194" s="130"/>
      <c r="C194" s="130"/>
      <c r="D194" s="130"/>
      <c r="E194" s="136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</row>
    <row r="195" customFormat="false" ht="15.75" hidden="false" customHeight="false" outlineLevel="0" collapsed="false">
      <c r="A195" s="130" t="str">
        <f aca="false">IF(ISBLANK(B195),"",B195&amp;"|"&amp;C195)</f>
        <v/>
      </c>
      <c r="B195" s="130"/>
      <c r="C195" s="130"/>
      <c r="D195" s="130"/>
      <c r="E195" s="136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</row>
    <row r="196" customFormat="false" ht="15.75" hidden="false" customHeight="false" outlineLevel="0" collapsed="false">
      <c r="A196" s="130" t="str">
        <f aca="false">IF(ISBLANK(B196),"",B196&amp;"|"&amp;C196)</f>
        <v/>
      </c>
      <c r="B196" s="130"/>
      <c r="C196" s="130"/>
      <c r="D196" s="130"/>
      <c r="E196" s="136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</row>
    <row r="197" customFormat="false" ht="15.75" hidden="false" customHeight="false" outlineLevel="0" collapsed="false">
      <c r="A197" s="130" t="str">
        <f aca="false">IF(ISBLANK(B197),"",B197&amp;"|"&amp;C197)</f>
        <v/>
      </c>
      <c r="B197" s="130"/>
      <c r="C197" s="130"/>
      <c r="D197" s="130"/>
      <c r="E197" s="136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</row>
    <row r="198" customFormat="false" ht="15.75" hidden="false" customHeight="false" outlineLevel="0" collapsed="false">
      <c r="A198" s="130" t="str">
        <f aca="false">IF(ISBLANK(B198),"",B198&amp;"|"&amp;C198)</f>
        <v/>
      </c>
      <c r="B198" s="130"/>
      <c r="C198" s="130"/>
      <c r="D198" s="130"/>
      <c r="E198" s="136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</row>
    <row r="199" customFormat="false" ht="15.75" hidden="false" customHeight="false" outlineLevel="0" collapsed="false">
      <c r="A199" s="130" t="str">
        <f aca="false">IF(ISBLANK(B199),"",B199&amp;"|"&amp;C199)</f>
        <v/>
      </c>
      <c r="B199" s="130"/>
      <c r="C199" s="130"/>
      <c r="D199" s="130"/>
      <c r="E199" s="136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</row>
    <row r="200" customFormat="false" ht="15.75" hidden="false" customHeight="false" outlineLevel="0" collapsed="false">
      <c r="A200" s="130" t="str">
        <f aca="false">IF(ISBLANK(B200),"",B200&amp;"|"&amp;C200)</f>
        <v/>
      </c>
      <c r="B200" s="130"/>
      <c r="C200" s="130"/>
      <c r="D200" s="130"/>
      <c r="E200" s="136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</row>
    <row r="201" customFormat="false" ht="15.75" hidden="false" customHeight="false" outlineLevel="0" collapsed="false">
      <c r="A201" s="130" t="str">
        <f aca="false">IF(ISBLANK(B201),"",B201&amp;"|"&amp;C201)</f>
        <v/>
      </c>
      <c r="B201" s="130"/>
      <c r="C201" s="130"/>
      <c r="D201" s="130"/>
      <c r="E201" s="136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</row>
    <row r="202" customFormat="false" ht="15.75" hidden="false" customHeight="false" outlineLevel="0" collapsed="false">
      <c r="A202" s="130" t="str">
        <f aca="false">IF(ISBLANK(B202),"",B202&amp;"|"&amp;C202)</f>
        <v/>
      </c>
      <c r="B202" s="130"/>
      <c r="C202" s="130"/>
      <c r="D202" s="130"/>
      <c r="E202" s="136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</row>
    <row r="203" customFormat="false" ht="15.75" hidden="false" customHeight="false" outlineLevel="0" collapsed="false">
      <c r="A203" s="130" t="str">
        <f aca="false">IF(ISBLANK(B203),"",B203&amp;"|"&amp;C203)</f>
        <v/>
      </c>
      <c r="B203" s="130"/>
      <c r="C203" s="130"/>
      <c r="D203" s="130"/>
      <c r="E203" s="136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</row>
    <row r="204" customFormat="false" ht="15.75" hidden="false" customHeight="false" outlineLevel="0" collapsed="false">
      <c r="A204" s="130" t="str">
        <f aca="false">IF(ISBLANK(B204),"",B204&amp;"|"&amp;C204)</f>
        <v/>
      </c>
      <c r="B204" s="130"/>
      <c r="C204" s="130"/>
      <c r="D204" s="130"/>
      <c r="E204" s="136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</row>
    <row r="205" customFormat="false" ht="15.75" hidden="false" customHeight="false" outlineLevel="0" collapsed="false">
      <c r="A205" s="130" t="str">
        <f aca="false">IF(ISBLANK(B205),"",B205&amp;"|"&amp;C205)</f>
        <v/>
      </c>
      <c r="B205" s="130"/>
      <c r="C205" s="130"/>
      <c r="D205" s="130"/>
      <c r="E205" s="136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</row>
    <row r="206" customFormat="false" ht="15.75" hidden="false" customHeight="false" outlineLevel="0" collapsed="false">
      <c r="A206" s="130" t="str">
        <f aca="false">IF(ISBLANK(B206),"",B206&amp;"|"&amp;C206)</f>
        <v/>
      </c>
      <c r="B206" s="130"/>
      <c r="C206" s="130"/>
      <c r="D206" s="130"/>
      <c r="E206" s="136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</row>
    <row r="207" customFormat="false" ht="15.75" hidden="false" customHeight="false" outlineLevel="0" collapsed="false">
      <c r="A207" s="130" t="str">
        <f aca="false">IF(ISBLANK(B207),"",B207&amp;"|"&amp;C207)</f>
        <v/>
      </c>
      <c r="B207" s="130"/>
      <c r="C207" s="130"/>
      <c r="D207" s="130"/>
      <c r="E207" s="136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</row>
    <row r="208" customFormat="false" ht="15.75" hidden="false" customHeight="false" outlineLevel="0" collapsed="false">
      <c r="A208" s="130" t="str">
        <f aca="false">IF(ISBLANK(B208),"",B208&amp;"|"&amp;C208)</f>
        <v/>
      </c>
      <c r="B208" s="130"/>
      <c r="C208" s="130"/>
      <c r="D208" s="130"/>
      <c r="E208" s="136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</row>
    <row r="209" customFormat="false" ht="15.75" hidden="false" customHeight="false" outlineLevel="0" collapsed="false">
      <c r="A209" s="130" t="str">
        <f aca="false">IF(ISBLANK(B209),"",B209&amp;"|"&amp;C209)</f>
        <v/>
      </c>
      <c r="B209" s="130"/>
      <c r="C209" s="130"/>
      <c r="D209" s="130"/>
      <c r="E209" s="136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</row>
    <row r="210" customFormat="false" ht="15.75" hidden="false" customHeight="false" outlineLevel="0" collapsed="false">
      <c r="A210" s="130" t="str">
        <f aca="false">IF(ISBLANK(B210),"",B210&amp;"|"&amp;C210)</f>
        <v/>
      </c>
      <c r="B210" s="130"/>
      <c r="C210" s="130"/>
      <c r="D210" s="130"/>
      <c r="E210" s="136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</row>
    <row r="211" customFormat="false" ht="15.75" hidden="false" customHeight="false" outlineLevel="0" collapsed="false">
      <c r="A211" s="130" t="str">
        <f aca="false">IF(ISBLANK(B211),"",B211&amp;"|"&amp;C211)</f>
        <v/>
      </c>
      <c r="B211" s="130"/>
      <c r="C211" s="130"/>
      <c r="D211" s="130"/>
      <c r="E211" s="136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</row>
    <row r="212" customFormat="false" ht="15.75" hidden="false" customHeight="false" outlineLevel="0" collapsed="false">
      <c r="A212" s="130" t="str">
        <f aca="false">IF(ISBLANK(B212),"",B212&amp;"|"&amp;C212)</f>
        <v/>
      </c>
      <c r="B212" s="130"/>
      <c r="C212" s="130"/>
      <c r="D212" s="130"/>
      <c r="E212" s="136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</row>
    <row r="213" customFormat="false" ht="15.75" hidden="false" customHeight="false" outlineLevel="0" collapsed="false">
      <c r="A213" s="130" t="str">
        <f aca="false">IF(ISBLANK(B213),"",B213&amp;"|"&amp;C213)</f>
        <v/>
      </c>
      <c r="B213" s="130"/>
      <c r="C213" s="130"/>
      <c r="D213" s="130"/>
      <c r="E213" s="136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</row>
    <row r="214" customFormat="false" ht="15.75" hidden="false" customHeight="false" outlineLevel="0" collapsed="false">
      <c r="A214" s="130" t="str">
        <f aca="false">IF(ISBLANK(B214),"",B214&amp;"|"&amp;C214)</f>
        <v/>
      </c>
      <c r="B214" s="130"/>
      <c r="C214" s="130"/>
      <c r="D214" s="130"/>
      <c r="E214" s="136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</row>
    <row r="215" customFormat="false" ht="15.75" hidden="false" customHeight="false" outlineLevel="0" collapsed="false">
      <c r="A215" s="130" t="str">
        <f aca="false">IF(ISBLANK(B215),"",B215&amp;"|"&amp;C215)</f>
        <v/>
      </c>
      <c r="B215" s="130"/>
      <c r="C215" s="130"/>
      <c r="D215" s="130"/>
      <c r="E215" s="136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</row>
    <row r="216" customFormat="false" ht="15.75" hidden="false" customHeight="false" outlineLevel="0" collapsed="false">
      <c r="A216" s="130" t="str">
        <f aca="false">IF(ISBLANK(B216),"",B216&amp;"|"&amp;C216)</f>
        <v/>
      </c>
      <c r="B216" s="130"/>
      <c r="C216" s="130"/>
      <c r="D216" s="130"/>
      <c r="E216" s="136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</row>
    <row r="217" customFormat="false" ht="15.75" hidden="false" customHeight="false" outlineLevel="0" collapsed="false">
      <c r="A217" s="130" t="str">
        <f aca="false">IF(ISBLANK(B217),"",B217&amp;"|"&amp;C217)</f>
        <v/>
      </c>
      <c r="B217" s="130"/>
      <c r="C217" s="130"/>
      <c r="D217" s="130"/>
      <c r="E217" s="136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</row>
    <row r="218" customFormat="false" ht="15.75" hidden="false" customHeight="false" outlineLevel="0" collapsed="false">
      <c r="A218" s="130" t="str">
        <f aca="false">IF(ISBLANK(B218),"",B218&amp;"|"&amp;C218)</f>
        <v/>
      </c>
      <c r="B218" s="130"/>
      <c r="C218" s="130"/>
      <c r="D218" s="130"/>
      <c r="E218" s="136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</row>
    <row r="219" customFormat="false" ht="15.75" hidden="false" customHeight="false" outlineLevel="0" collapsed="false">
      <c r="A219" s="130" t="str">
        <f aca="false">IF(ISBLANK(B219),"",B219&amp;"|"&amp;C219)</f>
        <v/>
      </c>
      <c r="B219" s="130"/>
      <c r="C219" s="130"/>
      <c r="D219" s="130"/>
      <c r="E219" s="136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</row>
    <row r="220" customFormat="false" ht="15.75" hidden="false" customHeight="false" outlineLevel="0" collapsed="false">
      <c r="A220" s="130" t="str">
        <f aca="false">IF(ISBLANK(B220),"",B220&amp;"|"&amp;C220)</f>
        <v/>
      </c>
      <c r="B220" s="130"/>
      <c r="C220" s="130"/>
      <c r="D220" s="130"/>
      <c r="E220" s="136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</row>
    <row r="221" customFormat="false" ht="15.75" hidden="false" customHeight="false" outlineLevel="0" collapsed="false">
      <c r="A221" s="130" t="str">
        <f aca="false">IF(ISBLANK(B221),"",B221&amp;"|"&amp;C221)</f>
        <v/>
      </c>
      <c r="B221" s="130"/>
      <c r="C221" s="130"/>
      <c r="D221" s="130"/>
      <c r="E221" s="136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</row>
    <row r="222" customFormat="false" ht="15.75" hidden="false" customHeight="false" outlineLevel="0" collapsed="false">
      <c r="A222" s="130" t="str">
        <f aca="false">IF(ISBLANK(B222),"",B222&amp;"|"&amp;C222)</f>
        <v/>
      </c>
      <c r="B222" s="130"/>
      <c r="C222" s="130"/>
      <c r="D222" s="130"/>
      <c r="E222" s="136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</row>
    <row r="223" customFormat="false" ht="15.75" hidden="false" customHeight="false" outlineLevel="0" collapsed="false">
      <c r="A223" s="130" t="str">
        <f aca="false">IF(ISBLANK(B223),"",B223&amp;"|"&amp;C223)</f>
        <v/>
      </c>
      <c r="B223" s="130"/>
      <c r="C223" s="130"/>
      <c r="D223" s="130"/>
      <c r="E223" s="136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</row>
    <row r="224" customFormat="false" ht="15.75" hidden="false" customHeight="false" outlineLevel="0" collapsed="false">
      <c r="A224" s="130" t="str">
        <f aca="false">IF(ISBLANK(B224),"",B224&amp;"|"&amp;C224)</f>
        <v/>
      </c>
      <c r="B224" s="130"/>
      <c r="C224" s="130"/>
      <c r="D224" s="130"/>
      <c r="E224" s="136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</row>
    <row r="225" customFormat="false" ht="15.75" hidden="false" customHeight="false" outlineLevel="0" collapsed="false">
      <c r="A225" s="130" t="str">
        <f aca="false">IF(ISBLANK(B225),"",B225&amp;"|"&amp;C225)</f>
        <v/>
      </c>
      <c r="B225" s="130"/>
      <c r="C225" s="130"/>
      <c r="D225" s="130"/>
      <c r="E225" s="136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</row>
    <row r="226" customFormat="false" ht="15.75" hidden="false" customHeight="false" outlineLevel="0" collapsed="false">
      <c r="A226" s="130" t="str">
        <f aca="false">IF(ISBLANK(B226),"",B226&amp;"|"&amp;C226)</f>
        <v/>
      </c>
      <c r="B226" s="130"/>
      <c r="C226" s="130"/>
      <c r="D226" s="130"/>
      <c r="E226" s="136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</row>
    <row r="227" customFormat="false" ht="15.75" hidden="false" customHeight="false" outlineLevel="0" collapsed="false">
      <c r="A227" s="130" t="str">
        <f aca="false">IF(ISBLANK(B227),"",B227&amp;"|"&amp;C227)</f>
        <v/>
      </c>
      <c r="B227" s="130"/>
      <c r="C227" s="130"/>
      <c r="D227" s="130"/>
      <c r="E227" s="136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</row>
    <row r="228" customFormat="false" ht="15.75" hidden="false" customHeight="false" outlineLevel="0" collapsed="false">
      <c r="A228" s="130" t="str">
        <f aca="false">IF(ISBLANK(B228),"",B228&amp;"|"&amp;C228)</f>
        <v/>
      </c>
      <c r="B228" s="130"/>
      <c r="C228" s="130"/>
      <c r="D228" s="130"/>
      <c r="E228" s="136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</row>
    <row r="229" customFormat="false" ht="15.75" hidden="false" customHeight="false" outlineLevel="0" collapsed="false">
      <c r="A229" s="130" t="str">
        <f aca="false">IF(ISBLANK(B229),"",B229&amp;"|"&amp;C229)</f>
        <v/>
      </c>
      <c r="B229" s="130"/>
      <c r="C229" s="130"/>
      <c r="D229" s="130"/>
      <c r="E229" s="136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</row>
    <row r="230" customFormat="false" ht="15.75" hidden="false" customHeight="false" outlineLevel="0" collapsed="false">
      <c r="A230" s="130" t="str">
        <f aca="false">IF(ISBLANK(B230),"",B230&amp;"|"&amp;C230)</f>
        <v/>
      </c>
      <c r="B230" s="130"/>
      <c r="C230" s="130"/>
      <c r="D230" s="130"/>
      <c r="E230" s="136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</row>
    <row r="231" customFormat="false" ht="15.75" hidden="false" customHeight="false" outlineLevel="0" collapsed="false">
      <c r="A231" s="130" t="str">
        <f aca="false">IF(ISBLANK(B231),"",B231&amp;"|"&amp;C231)</f>
        <v/>
      </c>
      <c r="B231" s="130"/>
      <c r="C231" s="130"/>
      <c r="D231" s="130"/>
      <c r="E231" s="136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</row>
    <row r="232" customFormat="false" ht="15.75" hidden="false" customHeight="false" outlineLevel="0" collapsed="false">
      <c r="A232" s="130" t="str">
        <f aca="false">IF(ISBLANK(B232),"",B232&amp;"|"&amp;C232)</f>
        <v/>
      </c>
      <c r="B232" s="130"/>
      <c r="C232" s="130"/>
      <c r="D232" s="130"/>
      <c r="E232" s="136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</row>
    <row r="233" customFormat="false" ht="15.75" hidden="false" customHeight="false" outlineLevel="0" collapsed="false">
      <c r="A233" s="130" t="str">
        <f aca="false">IF(ISBLANK(B233),"",B233&amp;"|"&amp;C233)</f>
        <v/>
      </c>
      <c r="B233" s="130"/>
      <c r="C233" s="130"/>
      <c r="D233" s="130"/>
      <c r="E233" s="136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</row>
    <row r="234" customFormat="false" ht="15.75" hidden="false" customHeight="false" outlineLevel="0" collapsed="false">
      <c r="A234" s="130" t="str">
        <f aca="false">IF(ISBLANK(B234),"",B234&amp;"|"&amp;C234)</f>
        <v/>
      </c>
      <c r="B234" s="130"/>
      <c r="C234" s="130"/>
      <c r="D234" s="130"/>
      <c r="E234" s="136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</row>
    <row r="235" customFormat="false" ht="15.75" hidden="false" customHeight="false" outlineLevel="0" collapsed="false">
      <c r="A235" s="130" t="str">
        <f aca="false">IF(ISBLANK(B235),"",B235&amp;"|"&amp;C235)</f>
        <v/>
      </c>
      <c r="B235" s="130"/>
      <c r="C235" s="130"/>
      <c r="D235" s="130"/>
      <c r="E235" s="136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</row>
    <row r="236" customFormat="false" ht="15.75" hidden="false" customHeight="false" outlineLevel="0" collapsed="false">
      <c r="A236" s="130" t="str">
        <f aca="false">IF(ISBLANK(B236),"",B236&amp;"|"&amp;C236)</f>
        <v/>
      </c>
      <c r="B236" s="130"/>
      <c r="C236" s="130"/>
      <c r="D236" s="130"/>
      <c r="E236" s="136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</row>
    <row r="237" customFormat="false" ht="15.75" hidden="false" customHeight="false" outlineLevel="0" collapsed="false">
      <c r="A237" s="130" t="str">
        <f aca="false">IF(ISBLANK(B237),"",B237&amp;"|"&amp;C237)</f>
        <v/>
      </c>
      <c r="B237" s="130"/>
      <c r="C237" s="130"/>
      <c r="D237" s="130"/>
      <c r="E237" s="136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</row>
    <row r="238" customFormat="false" ht="15.75" hidden="false" customHeight="false" outlineLevel="0" collapsed="false">
      <c r="A238" s="130" t="str">
        <f aca="false">IF(ISBLANK(B238),"",B238&amp;"|"&amp;C238)</f>
        <v/>
      </c>
      <c r="B238" s="130"/>
      <c r="C238" s="130"/>
      <c r="D238" s="130"/>
      <c r="E238" s="136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</row>
    <row r="239" customFormat="false" ht="15.75" hidden="false" customHeight="false" outlineLevel="0" collapsed="false">
      <c r="A239" s="130" t="str">
        <f aca="false">IF(ISBLANK(B239),"",B239&amp;"|"&amp;C239)</f>
        <v/>
      </c>
      <c r="B239" s="130"/>
      <c r="C239" s="130"/>
      <c r="D239" s="130"/>
      <c r="E239" s="136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</row>
    <row r="240" customFormat="false" ht="15.75" hidden="false" customHeight="false" outlineLevel="0" collapsed="false">
      <c r="A240" s="130" t="str">
        <f aca="false">IF(ISBLANK(B240),"",B240&amp;"|"&amp;C240)</f>
        <v/>
      </c>
      <c r="B240" s="130"/>
      <c r="C240" s="130"/>
      <c r="D240" s="130"/>
      <c r="E240" s="136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</row>
    <row r="241" customFormat="false" ht="15.75" hidden="false" customHeight="false" outlineLevel="0" collapsed="false">
      <c r="A241" s="130" t="str">
        <f aca="false">IF(ISBLANK(B241),"",B241&amp;"|"&amp;C241)</f>
        <v/>
      </c>
      <c r="B241" s="130"/>
      <c r="C241" s="130"/>
      <c r="D241" s="130"/>
      <c r="E241" s="136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</row>
    <row r="242" customFormat="false" ht="15.75" hidden="false" customHeight="false" outlineLevel="0" collapsed="false">
      <c r="A242" s="130" t="str">
        <f aca="false">IF(ISBLANK(B242),"",B242&amp;"|"&amp;C242)</f>
        <v/>
      </c>
      <c r="B242" s="130"/>
      <c r="C242" s="130"/>
      <c r="D242" s="130"/>
      <c r="E242" s="136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</row>
    <row r="243" customFormat="false" ht="15.75" hidden="false" customHeight="false" outlineLevel="0" collapsed="false">
      <c r="A243" s="130" t="str">
        <f aca="false">IF(ISBLANK(B243),"",B243&amp;"|"&amp;C243)</f>
        <v/>
      </c>
      <c r="B243" s="130"/>
      <c r="C243" s="130"/>
      <c r="D243" s="130"/>
      <c r="E243" s="136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</row>
    <row r="244" customFormat="false" ht="15.75" hidden="false" customHeight="false" outlineLevel="0" collapsed="false">
      <c r="A244" s="130" t="str">
        <f aca="false">IF(ISBLANK(B244),"",B244&amp;"|"&amp;C244)</f>
        <v/>
      </c>
      <c r="B244" s="130"/>
      <c r="C244" s="130"/>
      <c r="D244" s="130"/>
      <c r="E244" s="136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</row>
    <row r="245" customFormat="false" ht="15.75" hidden="false" customHeight="false" outlineLevel="0" collapsed="false">
      <c r="A245" s="130" t="str">
        <f aca="false">IF(ISBLANK(B245),"",B245&amp;"|"&amp;C245)</f>
        <v/>
      </c>
      <c r="B245" s="130"/>
      <c r="C245" s="130"/>
      <c r="D245" s="130"/>
      <c r="E245" s="136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</row>
    <row r="246" customFormat="false" ht="15.75" hidden="false" customHeight="false" outlineLevel="0" collapsed="false">
      <c r="A246" s="130" t="str">
        <f aca="false">IF(ISBLANK(B246),"",B246&amp;"|"&amp;C246)</f>
        <v/>
      </c>
      <c r="B246" s="130"/>
      <c r="C246" s="130"/>
      <c r="D246" s="130"/>
      <c r="E246" s="136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</row>
    <row r="247" customFormat="false" ht="15.75" hidden="false" customHeight="false" outlineLevel="0" collapsed="false">
      <c r="A247" s="130" t="str">
        <f aca="false">IF(ISBLANK(B247),"",B247&amp;"|"&amp;C247)</f>
        <v/>
      </c>
      <c r="B247" s="130"/>
      <c r="C247" s="130"/>
      <c r="D247" s="130"/>
      <c r="E247" s="136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</row>
    <row r="248" customFormat="false" ht="15.75" hidden="false" customHeight="false" outlineLevel="0" collapsed="false">
      <c r="A248" s="130" t="str">
        <f aca="false">IF(ISBLANK(B248),"",B248&amp;"|"&amp;C248)</f>
        <v/>
      </c>
      <c r="B248" s="130"/>
      <c r="C248" s="130"/>
      <c r="D248" s="130"/>
      <c r="E248" s="136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</row>
    <row r="249" customFormat="false" ht="15.75" hidden="false" customHeight="false" outlineLevel="0" collapsed="false">
      <c r="A249" s="130" t="str">
        <f aca="false">IF(ISBLANK(B249),"",B249&amp;"|"&amp;C249)</f>
        <v/>
      </c>
      <c r="B249" s="130"/>
      <c r="C249" s="130"/>
      <c r="D249" s="130"/>
      <c r="E249" s="136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</row>
    <row r="250" customFormat="false" ht="15.75" hidden="false" customHeight="false" outlineLevel="0" collapsed="false">
      <c r="A250" s="130" t="str">
        <f aca="false">IF(ISBLANK(B250),"",B250&amp;"|"&amp;C250)</f>
        <v/>
      </c>
      <c r="B250" s="130"/>
      <c r="C250" s="130"/>
      <c r="D250" s="130"/>
      <c r="E250" s="136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</row>
    <row r="251" customFormat="false" ht="15.75" hidden="false" customHeight="false" outlineLevel="0" collapsed="false">
      <c r="A251" s="130" t="str">
        <f aca="false">IF(ISBLANK(B251),"",B251&amp;"|"&amp;C251)</f>
        <v/>
      </c>
      <c r="B251" s="130"/>
      <c r="C251" s="130"/>
      <c r="D251" s="130"/>
      <c r="E251" s="136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</row>
    <row r="252" customFormat="false" ht="15.75" hidden="false" customHeight="false" outlineLevel="0" collapsed="false">
      <c r="A252" s="130" t="str">
        <f aca="false">IF(ISBLANK(B252),"",B252&amp;"|"&amp;C252)</f>
        <v/>
      </c>
      <c r="B252" s="130"/>
      <c r="C252" s="130"/>
      <c r="D252" s="130"/>
      <c r="E252" s="136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</row>
    <row r="253" customFormat="false" ht="15.75" hidden="false" customHeight="false" outlineLevel="0" collapsed="false">
      <c r="A253" s="130" t="str">
        <f aca="false">IF(ISBLANK(B253),"",B253&amp;"|"&amp;C253)</f>
        <v/>
      </c>
      <c r="B253" s="130"/>
      <c r="C253" s="130"/>
      <c r="D253" s="130"/>
      <c r="E253" s="136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</row>
    <row r="254" customFormat="false" ht="15.75" hidden="false" customHeight="false" outlineLevel="0" collapsed="false">
      <c r="A254" s="130" t="str">
        <f aca="false">IF(ISBLANK(B254),"",B254&amp;"|"&amp;C254)</f>
        <v/>
      </c>
      <c r="B254" s="130"/>
      <c r="C254" s="130"/>
      <c r="D254" s="130"/>
      <c r="E254" s="136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</row>
    <row r="255" customFormat="false" ht="15.75" hidden="false" customHeight="false" outlineLevel="0" collapsed="false">
      <c r="A255" s="130" t="str">
        <f aca="false">IF(ISBLANK(B255),"",B255&amp;"|"&amp;C255)</f>
        <v/>
      </c>
      <c r="B255" s="130"/>
      <c r="C255" s="130"/>
      <c r="D255" s="130"/>
      <c r="E255" s="136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</row>
    <row r="256" customFormat="false" ht="15.75" hidden="false" customHeight="false" outlineLevel="0" collapsed="false">
      <c r="A256" s="130" t="str">
        <f aca="false">IF(ISBLANK(B256),"",B256&amp;"|"&amp;C256)</f>
        <v/>
      </c>
      <c r="B256" s="130"/>
      <c r="C256" s="130"/>
      <c r="D256" s="130"/>
      <c r="E256" s="136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</row>
    <row r="257" customFormat="false" ht="15.75" hidden="false" customHeight="false" outlineLevel="0" collapsed="false">
      <c r="A257" s="130" t="str">
        <f aca="false">IF(ISBLANK(B257),"",B257&amp;"|"&amp;C257)</f>
        <v/>
      </c>
      <c r="B257" s="130"/>
      <c r="C257" s="130"/>
      <c r="D257" s="130"/>
      <c r="E257" s="136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</row>
    <row r="258" customFormat="false" ht="15.75" hidden="false" customHeight="false" outlineLevel="0" collapsed="false">
      <c r="A258" s="130" t="str">
        <f aca="false">IF(ISBLANK(B258),"",B258&amp;"|"&amp;C258)</f>
        <v/>
      </c>
      <c r="B258" s="130"/>
      <c r="C258" s="130"/>
      <c r="D258" s="130"/>
      <c r="E258" s="136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</row>
    <row r="259" customFormat="false" ht="15.75" hidden="false" customHeight="false" outlineLevel="0" collapsed="false">
      <c r="A259" s="130" t="str">
        <f aca="false">IF(ISBLANK(B259),"",B259&amp;"|"&amp;C259)</f>
        <v/>
      </c>
      <c r="B259" s="130"/>
      <c r="C259" s="130"/>
      <c r="D259" s="130"/>
      <c r="E259" s="136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</row>
    <row r="260" customFormat="false" ht="15.75" hidden="false" customHeight="false" outlineLevel="0" collapsed="false">
      <c r="A260" s="130" t="str">
        <f aca="false">IF(ISBLANK(B260),"",B260&amp;"|"&amp;C260)</f>
        <v/>
      </c>
      <c r="B260" s="130"/>
      <c r="C260" s="130"/>
      <c r="D260" s="130"/>
      <c r="E260" s="136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</row>
    <row r="261" customFormat="false" ht="15.75" hidden="false" customHeight="false" outlineLevel="0" collapsed="false">
      <c r="A261" s="130" t="str">
        <f aca="false">IF(ISBLANK(B261),"",B261&amp;"|"&amp;C261)</f>
        <v/>
      </c>
      <c r="B261" s="130"/>
      <c r="C261" s="130"/>
      <c r="D261" s="130"/>
      <c r="E261" s="136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</row>
    <row r="262" customFormat="false" ht="15.75" hidden="false" customHeight="false" outlineLevel="0" collapsed="false">
      <c r="A262" s="130" t="str">
        <f aca="false">IF(ISBLANK(B262),"",B262&amp;"|"&amp;C262)</f>
        <v/>
      </c>
      <c r="B262" s="130"/>
      <c r="C262" s="130"/>
      <c r="D262" s="130"/>
      <c r="E262" s="136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</row>
    <row r="263" customFormat="false" ht="15.75" hidden="false" customHeight="false" outlineLevel="0" collapsed="false">
      <c r="A263" s="130" t="str">
        <f aca="false">IF(ISBLANK(B263),"",B263&amp;"|"&amp;C263)</f>
        <v/>
      </c>
      <c r="B263" s="130"/>
      <c r="C263" s="130"/>
      <c r="D263" s="130"/>
      <c r="E263" s="136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</row>
    <row r="264" customFormat="false" ht="15.75" hidden="false" customHeight="false" outlineLevel="0" collapsed="false">
      <c r="A264" s="130" t="str">
        <f aca="false">IF(ISBLANK(B264),"",B264&amp;"|"&amp;C264)</f>
        <v/>
      </c>
      <c r="B264" s="130"/>
      <c r="C264" s="130"/>
      <c r="D264" s="130"/>
      <c r="E264" s="136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</row>
    <row r="265" customFormat="false" ht="15.75" hidden="false" customHeight="false" outlineLevel="0" collapsed="false">
      <c r="A265" s="130" t="str">
        <f aca="false">IF(ISBLANK(B265),"",B265&amp;"|"&amp;C265)</f>
        <v/>
      </c>
      <c r="B265" s="130"/>
      <c r="C265" s="130"/>
      <c r="D265" s="130"/>
      <c r="E265" s="136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</row>
    <row r="266" customFormat="false" ht="15.75" hidden="false" customHeight="false" outlineLevel="0" collapsed="false">
      <c r="A266" s="130" t="str">
        <f aca="false">IF(ISBLANK(B266),"",B266&amp;"|"&amp;C266)</f>
        <v/>
      </c>
      <c r="B266" s="130"/>
      <c r="C266" s="130"/>
      <c r="D266" s="130"/>
      <c r="E266" s="136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</row>
    <row r="267" customFormat="false" ht="15.75" hidden="false" customHeight="false" outlineLevel="0" collapsed="false">
      <c r="A267" s="130" t="str">
        <f aca="false">IF(ISBLANK(B267),"",B267&amp;"|"&amp;C267)</f>
        <v/>
      </c>
      <c r="B267" s="130"/>
      <c r="C267" s="130"/>
      <c r="D267" s="130"/>
      <c r="E267" s="136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</row>
    <row r="268" customFormat="false" ht="15.75" hidden="false" customHeight="false" outlineLevel="0" collapsed="false">
      <c r="A268" s="130" t="str">
        <f aca="false">IF(ISBLANK(B268),"",B268&amp;"|"&amp;C268)</f>
        <v/>
      </c>
      <c r="B268" s="130"/>
      <c r="C268" s="130"/>
      <c r="D268" s="130"/>
      <c r="E268" s="136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</row>
    <row r="269" customFormat="false" ht="15.75" hidden="false" customHeight="false" outlineLevel="0" collapsed="false">
      <c r="A269" s="130" t="str">
        <f aca="false">IF(ISBLANK(B269),"",B269&amp;"|"&amp;C269)</f>
        <v/>
      </c>
      <c r="B269" s="130"/>
      <c r="C269" s="130"/>
      <c r="D269" s="130"/>
      <c r="E269" s="136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</row>
    <row r="270" customFormat="false" ht="15.75" hidden="false" customHeight="false" outlineLevel="0" collapsed="false">
      <c r="A270" s="130" t="str">
        <f aca="false">IF(ISBLANK(B270),"",B270&amp;"|"&amp;C270)</f>
        <v/>
      </c>
      <c r="B270" s="130"/>
      <c r="C270" s="130"/>
      <c r="D270" s="130"/>
      <c r="E270" s="136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</row>
    <row r="271" customFormat="false" ht="15.75" hidden="false" customHeight="false" outlineLevel="0" collapsed="false">
      <c r="A271" s="130" t="str">
        <f aca="false">IF(ISBLANK(B271),"",B271&amp;"|"&amp;C271)</f>
        <v/>
      </c>
      <c r="B271" s="130"/>
      <c r="C271" s="130"/>
      <c r="D271" s="130"/>
      <c r="E271" s="136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</row>
    <row r="272" customFormat="false" ht="15.75" hidden="false" customHeight="false" outlineLevel="0" collapsed="false">
      <c r="A272" s="130" t="str">
        <f aca="false">IF(ISBLANK(B272),"",B272&amp;"|"&amp;C272)</f>
        <v/>
      </c>
      <c r="B272" s="130"/>
      <c r="C272" s="130"/>
      <c r="D272" s="130"/>
      <c r="E272" s="136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</row>
    <row r="273" customFormat="false" ht="15.75" hidden="false" customHeight="false" outlineLevel="0" collapsed="false">
      <c r="A273" s="130" t="str">
        <f aca="false">IF(ISBLANK(B273),"",B273&amp;"|"&amp;C273)</f>
        <v/>
      </c>
      <c r="B273" s="130"/>
      <c r="C273" s="130"/>
      <c r="D273" s="130"/>
      <c r="E273" s="136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</row>
    <row r="274" customFormat="false" ht="15.75" hidden="false" customHeight="false" outlineLevel="0" collapsed="false">
      <c r="A274" s="130" t="str">
        <f aca="false">IF(ISBLANK(B274),"",B274&amp;"|"&amp;C274)</f>
        <v/>
      </c>
      <c r="B274" s="130"/>
      <c r="C274" s="130"/>
      <c r="D274" s="130"/>
      <c r="E274" s="136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</row>
    <row r="275" customFormat="false" ht="15.75" hidden="false" customHeight="false" outlineLevel="0" collapsed="false">
      <c r="A275" s="130" t="str">
        <f aca="false">IF(ISBLANK(B275),"",B275&amp;"|"&amp;C275)</f>
        <v/>
      </c>
      <c r="B275" s="130"/>
      <c r="C275" s="130"/>
      <c r="D275" s="130"/>
      <c r="E275" s="136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</row>
    <row r="276" customFormat="false" ht="15.75" hidden="false" customHeight="false" outlineLevel="0" collapsed="false">
      <c r="A276" s="130" t="str">
        <f aca="false">IF(ISBLANK(B276),"",B276&amp;"|"&amp;C276)</f>
        <v/>
      </c>
      <c r="B276" s="130"/>
      <c r="C276" s="130"/>
      <c r="D276" s="130"/>
      <c r="E276" s="136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</row>
    <row r="277" customFormat="false" ht="15.75" hidden="false" customHeight="false" outlineLevel="0" collapsed="false">
      <c r="A277" s="130" t="str">
        <f aca="false">IF(ISBLANK(B277),"",B277&amp;"|"&amp;C277)</f>
        <v/>
      </c>
      <c r="B277" s="130"/>
      <c r="C277" s="130"/>
      <c r="D277" s="130"/>
      <c r="E277" s="136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</row>
    <row r="278" customFormat="false" ht="15.75" hidden="false" customHeight="false" outlineLevel="0" collapsed="false">
      <c r="A278" s="130" t="str">
        <f aca="false">IF(ISBLANK(B278),"",B278&amp;"|"&amp;C278)</f>
        <v/>
      </c>
      <c r="B278" s="130"/>
      <c r="C278" s="130"/>
      <c r="D278" s="130"/>
      <c r="E278" s="136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</row>
    <row r="279" customFormat="false" ht="15.75" hidden="false" customHeight="false" outlineLevel="0" collapsed="false">
      <c r="A279" s="130" t="str">
        <f aca="false">IF(ISBLANK(B279),"",B279&amp;"|"&amp;C279)</f>
        <v/>
      </c>
      <c r="B279" s="130"/>
      <c r="C279" s="130"/>
      <c r="D279" s="130"/>
      <c r="E279" s="136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</row>
    <row r="280" customFormat="false" ht="15.75" hidden="false" customHeight="false" outlineLevel="0" collapsed="false">
      <c r="A280" s="130" t="str">
        <f aca="false">IF(ISBLANK(B280),"",B280&amp;"|"&amp;C280)</f>
        <v/>
      </c>
      <c r="B280" s="130"/>
      <c r="C280" s="130"/>
      <c r="D280" s="130"/>
      <c r="E280" s="136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</row>
    <row r="281" customFormat="false" ht="15.75" hidden="false" customHeight="false" outlineLevel="0" collapsed="false">
      <c r="A281" s="130" t="str">
        <f aca="false">IF(ISBLANK(B281),"",B281&amp;"|"&amp;C281)</f>
        <v/>
      </c>
      <c r="B281" s="130"/>
      <c r="C281" s="130"/>
      <c r="D281" s="130"/>
      <c r="E281" s="136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</row>
    <row r="282" customFormat="false" ht="15.75" hidden="false" customHeight="false" outlineLevel="0" collapsed="false">
      <c r="A282" s="130" t="str">
        <f aca="false">IF(ISBLANK(B282),"",B282&amp;"|"&amp;C282)</f>
        <v/>
      </c>
      <c r="B282" s="130"/>
      <c r="C282" s="130"/>
      <c r="D282" s="130"/>
      <c r="E282" s="136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</row>
    <row r="283" customFormat="false" ht="15.75" hidden="false" customHeight="false" outlineLevel="0" collapsed="false">
      <c r="A283" s="130" t="str">
        <f aca="false">IF(ISBLANK(B283),"",B283&amp;"|"&amp;C283)</f>
        <v/>
      </c>
      <c r="B283" s="130"/>
      <c r="C283" s="130"/>
      <c r="D283" s="130"/>
      <c r="E283" s="136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</row>
    <row r="284" customFormat="false" ht="15.75" hidden="false" customHeight="false" outlineLevel="0" collapsed="false">
      <c r="A284" s="130" t="str">
        <f aca="false">IF(ISBLANK(B284),"",B284&amp;"|"&amp;C284)</f>
        <v/>
      </c>
      <c r="B284" s="130"/>
      <c r="C284" s="130"/>
      <c r="D284" s="130"/>
      <c r="E284" s="136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</row>
    <row r="285" customFormat="false" ht="15.75" hidden="false" customHeight="false" outlineLevel="0" collapsed="false">
      <c r="A285" s="130" t="str">
        <f aca="false">IF(ISBLANK(B285),"",B285&amp;"|"&amp;C285)</f>
        <v/>
      </c>
      <c r="B285" s="130"/>
      <c r="C285" s="130"/>
      <c r="D285" s="130"/>
      <c r="E285" s="136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</row>
    <row r="286" customFormat="false" ht="15.75" hidden="false" customHeight="false" outlineLevel="0" collapsed="false">
      <c r="A286" s="130" t="str">
        <f aca="false">IF(ISBLANK(B286),"",B286&amp;"|"&amp;C286)</f>
        <v/>
      </c>
      <c r="B286" s="130"/>
      <c r="C286" s="130"/>
      <c r="D286" s="130"/>
      <c r="E286" s="136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</row>
    <row r="287" customFormat="false" ht="15.75" hidden="false" customHeight="false" outlineLevel="0" collapsed="false">
      <c r="A287" s="130" t="str">
        <f aca="false">IF(ISBLANK(B287),"",B287&amp;"|"&amp;C287)</f>
        <v/>
      </c>
      <c r="B287" s="130"/>
      <c r="C287" s="130"/>
      <c r="D287" s="130"/>
      <c r="E287" s="136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</row>
    <row r="288" customFormat="false" ht="15.75" hidden="false" customHeight="false" outlineLevel="0" collapsed="false">
      <c r="A288" s="130" t="str">
        <f aca="false">IF(ISBLANK(B288),"",B288&amp;"|"&amp;C288)</f>
        <v/>
      </c>
      <c r="B288" s="130"/>
      <c r="C288" s="130"/>
      <c r="D288" s="130"/>
      <c r="E288" s="136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</row>
    <row r="289" customFormat="false" ht="15.75" hidden="false" customHeight="false" outlineLevel="0" collapsed="false">
      <c r="A289" s="130" t="str">
        <f aca="false">IF(ISBLANK(B289),"",B289&amp;"|"&amp;C289)</f>
        <v/>
      </c>
      <c r="B289" s="130"/>
      <c r="C289" s="130"/>
      <c r="D289" s="130"/>
      <c r="E289" s="136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</row>
    <row r="290" customFormat="false" ht="15.75" hidden="false" customHeight="false" outlineLevel="0" collapsed="false">
      <c r="A290" s="130" t="str">
        <f aca="false">IF(ISBLANK(B290),"",B290&amp;"|"&amp;C290)</f>
        <v/>
      </c>
      <c r="B290" s="130"/>
      <c r="C290" s="130"/>
      <c r="D290" s="130"/>
      <c r="E290" s="136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</row>
    <row r="291" customFormat="false" ht="15.75" hidden="false" customHeight="false" outlineLevel="0" collapsed="false">
      <c r="A291" s="130" t="str">
        <f aca="false">IF(ISBLANK(B291),"",B291&amp;"|"&amp;C291)</f>
        <v/>
      </c>
      <c r="B291" s="130"/>
      <c r="C291" s="130"/>
      <c r="D291" s="130"/>
      <c r="E291" s="136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</row>
    <row r="292" customFormat="false" ht="15.75" hidden="false" customHeight="false" outlineLevel="0" collapsed="false">
      <c r="A292" s="130" t="str">
        <f aca="false">IF(ISBLANK(B292),"",B292&amp;"|"&amp;C292)</f>
        <v/>
      </c>
      <c r="B292" s="130"/>
      <c r="C292" s="130"/>
      <c r="D292" s="130"/>
      <c r="E292" s="136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</row>
    <row r="293" customFormat="false" ht="15.75" hidden="false" customHeight="false" outlineLevel="0" collapsed="false">
      <c r="A293" s="130" t="str">
        <f aca="false">IF(ISBLANK(B293),"",B293&amp;"|"&amp;C293)</f>
        <v/>
      </c>
      <c r="B293" s="130"/>
      <c r="C293" s="130"/>
      <c r="D293" s="130"/>
      <c r="E293" s="136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</row>
    <row r="294" customFormat="false" ht="15.75" hidden="false" customHeight="false" outlineLevel="0" collapsed="false">
      <c r="A294" s="130" t="str">
        <f aca="false">IF(ISBLANK(B294),"",B294&amp;"|"&amp;C294)</f>
        <v/>
      </c>
      <c r="B294" s="130"/>
      <c r="C294" s="130"/>
      <c r="D294" s="130"/>
      <c r="E294" s="136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</row>
    <row r="295" customFormat="false" ht="15.75" hidden="false" customHeight="false" outlineLevel="0" collapsed="false">
      <c r="A295" s="130" t="str">
        <f aca="false">IF(ISBLANK(B295),"",B295&amp;"|"&amp;C295)</f>
        <v/>
      </c>
      <c r="B295" s="130"/>
      <c r="C295" s="130"/>
      <c r="D295" s="130"/>
      <c r="E295" s="136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</row>
    <row r="296" customFormat="false" ht="15.75" hidden="false" customHeight="false" outlineLevel="0" collapsed="false">
      <c r="A296" s="130" t="str">
        <f aca="false">IF(ISBLANK(B296),"",B296&amp;"|"&amp;C296)</f>
        <v/>
      </c>
      <c r="B296" s="130"/>
      <c r="C296" s="130"/>
      <c r="D296" s="130"/>
      <c r="E296" s="136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</row>
    <row r="297" customFormat="false" ht="15.75" hidden="false" customHeight="false" outlineLevel="0" collapsed="false">
      <c r="A297" s="130" t="str">
        <f aca="false">IF(ISBLANK(B297),"",B297&amp;"|"&amp;C297)</f>
        <v/>
      </c>
      <c r="B297" s="130"/>
      <c r="C297" s="130"/>
      <c r="D297" s="130"/>
      <c r="E297" s="136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</row>
    <row r="298" customFormat="false" ht="15.75" hidden="false" customHeight="false" outlineLevel="0" collapsed="false">
      <c r="A298" s="130" t="str">
        <f aca="false">IF(ISBLANK(B298),"",B298&amp;"|"&amp;C298)</f>
        <v/>
      </c>
      <c r="B298" s="130"/>
      <c r="C298" s="130"/>
      <c r="D298" s="130"/>
      <c r="E298" s="136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</row>
    <row r="299" customFormat="false" ht="15.75" hidden="false" customHeight="false" outlineLevel="0" collapsed="false">
      <c r="A299" s="130" t="str">
        <f aca="false">IF(ISBLANK(B299),"",B299&amp;"|"&amp;C299)</f>
        <v/>
      </c>
      <c r="B299" s="130"/>
      <c r="C299" s="130"/>
      <c r="D299" s="130"/>
      <c r="E299" s="136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</row>
    <row r="300" customFormat="false" ht="15.75" hidden="false" customHeight="false" outlineLevel="0" collapsed="false">
      <c r="A300" s="130" t="str">
        <f aca="false">IF(ISBLANK(B300),"",B300&amp;"|"&amp;C300)</f>
        <v/>
      </c>
      <c r="B300" s="130"/>
      <c r="C300" s="130"/>
      <c r="D300" s="130"/>
      <c r="E300" s="136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</row>
    <row r="301" customFormat="false" ht="15.75" hidden="false" customHeight="false" outlineLevel="0" collapsed="false">
      <c r="A301" s="130" t="str">
        <f aca="false">IF(ISBLANK(B301),"",B301&amp;"|"&amp;C301)</f>
        <v/>
      </c>
      <c r="B301" s="130"/>
      <c r="C301" s="130"/>
      <c r="D301" s="130"/>
      <c r="E301" s="136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</row>
    <row r="302" customFormat="false" ht="15.75" hidden="false" customHeight="false" outlineLevel="0" collapsed="false">
      <c r="A302" s="130" t="str">
        <f aca="false">IF(ISBLANK(B302),"",B302&amp;"|"&amp;C302)</f>
        <v/>
      </c>
      <c r="B302" s="130"/>
      <c r="C302" s="130"/>
      <c r="D302" s="130"/>
      <c r="E302" s="136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</row>
    <row r="303" customFormat="false" ht="15.75" hidden="false" customHeight="false" outlineLevel="0" collapsed="false">
      <c r="A303" s="130" t="str">
        <f aca="false">IF(ISBLANK(B303),"",B303&amp;"|"&amp;C303)</f>
        <v/>
      </c>
      <c r="B303" s="130"/>
      <c r="C303" s="130"/>
      <c r="D303" s="130"/>
      <c r="E303" s="136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</row>
    <row r="304" customFormat="false" ht="15.75" hidden="false" customHeight="false" outlineLevel="0" collapsed="false">
      <c r="A304" s="130" t="str">
        <f aca="false">IF(ISBLANK(B304),"",B304&amp;"|"&amp;C304)</f>
        <v/>
      </c>
      <c r="B304" s="130"/>
      <c r="C304" s="130"/>
      <c r="D304" s="130"/>
      <c r="E304" s="136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</row>
    <row r="305" customFormat="false" ht="15.75" hidden="false" customHeight="false" outlineLevel="0" collapsed="false">
      <c r="A305" s="130" t="str">
        <f aca="false">IF(ISBLANK(B305),"",B305&amp;"|"&amp;C305)</f>
        <v/>
      </c>
      <c r="B305" s="130"/>
      <c r="C305" s="130"/>
      <c r="D305" s="130"/>
      <c r="E305" s="136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</row>
    <row r="306" customFormat="false" ht="15.75" hidden="false" customHeight="false" outlineLevel="0" collapsed="false">
      <c r="A306" s="130" t="str">
        <f aca="false">IF(ISBLANK(B306),"",B306&amp;"|"&amp;C306)</f>
        <v/>
      </c>
      <c r="B306" s="130"/>
      <c r="C306" s="130"/>
      <c r="D306" s="130"/>
      <c r="E306" s="136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</row>
    <row r="307" customFormat="false" ht="15.75" hidden="false" customHeight="false" outlineLevel="0" collapsed="false">
      <c r="A307" s="130" t="str">
        <f aca="false">IF(ISBLANK(B307),"",B307&amp;"|"&amp;C307)</f>
        <v/>
      </c>
      <c r="B307" s="130"/>
      <c r="C307" s="130"/>
      <c r="D307" s="130"/>
      <c r="E307" s="136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</row>
    <row r="308" customFormat="false" ht="15.75" hidden="false" customHeight="false" outlineLevel="0" collapsed="false">
      <c r="A308" s="130" t="str">
        <f aca="false">IF(ISBLANK(B308),"",B308&amp;"|"&amp;C308)</f>
        <v/>
      </c>
      <c r="B308" s="130"/>
      <c r="C308" s="130"/>
      <c r="D308" s="130"/>
      <c r="E308" s="136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</row>
    <row r="309" customFormat="false" ht="15.75" hidden="false" customHeight="false" outlineLevel="0" collapsed="false">
      <c r="A309" s="130" t="str">
        <f aca="false">IF(ISBLANK(B309),"",B309&amp;"|"&amp;C309)</f>
        <v/>
      </c>
      <c r="B309" s="130"/>
      <c r="C309" s="130"/>
      <c r="D309" s="130"/>
      <c r="E309" s="136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</row>
    <row r="310" customFormat="false" ht="15.75" hidden="false" customHeight="false" outlineLevel="0" collapsed="false">
      <c r="A310" s="130" t="str">
        <f aca="false">IF(ISBLANK(B310),"",B310&amp;"|"&amp;C310)</f>
        <v/>
      </c>
      <c r="B310" s="130"/>
      <c r="C310" s="130"/>
      <c r="D310" s="130"/>
      <c r="E310" s="136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</row>
    <row r="311" customFormat="false" ht="15.75" hidden="false" customHeight="false" outlineLevel="0" collapsed="false">
      <c r="A311" s="130" t="str">
        <f aca="false">IF(ISBLANK(B311),"",B311&amp;"|"&amp;C311)</f>
        <v/>
      </c>
      <c r="B311" s="130"/>
      <c r="C311" s="130"/>
      <c r="D311" s="130"/>
      <c r="E311" s="136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</row>
    <row r="312" customFormat="false" ht="15.75" hidden="false" customHeight="false" outlineLevel="0" collapsed="false">
      <c r="A312" s="130" t="str">
        <f aca="false">IF(ISBLANK(B312),"",B312&amp;"|"&amp;C312)</f>
        <v/>
      </c>
      <c r="B312" s="130"/>
      <c r="C312" s="130"/>
      <c r="D312" s="130"/>
      <c r="E312" s="136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</row>
    <row r="313" customFormat="false" ht="15.75" hidden="false" customHeight="false" outlineLevel="0" collapsed="false">
      <c r="A313" s="130" t="str">
        <f aca="false">IF(ISBLANK(B313),"",B313&amp;"|"&amp;C313)</f>
        <v/>
      </c>
      <c r="B313" s="130"/>
      <c r="C313" s="130"/>
      <c r="D313" s="130"/>
      <c r="E313" s="136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</row>
    <row r="314" customFormat="false" ht="15.75" hidden="false" customHeight="false" outlineLevel="0" collapsed="false">
      <c r="A314" s="130" t="str">
        <f aca="false">IF(ISBLANK(B314),"",B314&amp;"|"&amp;C314)</f>
        <v/>
      </c>
      <c r="B314" s="130"/>
      <c r="C314" s="130"/>
      <c r="D314" s="130"/>
      <c r="E314" s="136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</row>
    <row r="315" customFormat="false" ht="15.75" hidden="false" customHeight="false" outlineLevel="0" collapsed="false">
      <c r="A315" s="130" t="str">
        <f aca="false">IF(ISBLANK(B315),"",B315&amp;"|"&amp;C315)</f>
        <v/>
      </c>
      <c r="B315" s="130"/>
      <c r="C315" s="130"/>
      <c r="D315" s="130"/>
      <c r="E315" s="136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</row>
    <row r="316" customFormat="false" ht="15.75" hidden="false" customHeight="false" outlineLevel="0" collapsed="false">
      <c r="A316" s="130" t="str">
        <f aca="false">IF(ISBLANK(B316),"",B316&amp;"|"&amp;C316)</f>
        <v/>
      </c>
      <c r="B316" s="130"/>
      <c r="C316" s="130"/>
      <c r="D316" s="130"/>
      <c r="E316" s="136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</row>
    <row r="317" customFormat="false" ht="15.75" hidden="false" customHeight="false" outlineLevel="0" collapsed="false">
      <c r="A317" s="130" t="str">
        <f aca="false">IF(ISBLANK(B317),"",B317&amp;"|"&amp;C317)</f>
        <v/>
      </c>
      <c r="B317" s="130"/>
      <c r="C317" s="130"/>
      <c r="D317" s="130"/>
      <c r="E317" s="136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</row>
    <row r="318" customFormat="false" ht="15.75" hidden="false" customHeight="false" outlineLevel="0" collapsed="false">
      <c r="A318" s="130" t="str">
        <f aca="false">IF(ISBLANK(B318),"",B318&amp;"|"&amp;C318)</f>
        <v/>
      </c>
      <c r="B318" s="130"/>
      <c r="C318" s="130"/>
      <c r="D318" s="130"/>
      <c r="E318" s="136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</row>
    <row r="319" customFormat="false" ht="15.75" hidden="false" customHeight="false" outlineLevel="0" collapsed="false">
      <c r="A319" s="130" t="str">
        <f aca="false">IF(ISBLANK(B319),"",B319&amp;"|"&amp;C319)</f>
        <v/>
      </c>
      <c r="B319" s="130"/>
      <c r="C319" s="130"/>
      <c r="D319" s="130"/>
      <c r="E319" s="136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</row>
    <row r="320" customFormat="false" ht="15.75" hidden="false" customHeight="false" outlineLevel="0" collapsed="false">
      <c r="A320" s="130" t="str">
        <f aca="false">IF(ISBLANK(B320),"",B320&amp;"|"&amp;C320)</f>
        <v/>
      </c>
      <c r="B320" s="130"/>
      <c r="C320" s="130"/>
      <c r="D320" s="130"/>
      <c r="E320" s="136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</row>
    <row r="321" customFormat="false" ht="15.75" hidden="false" customHeight="false" outlineLevel="0" collapsed="false">
      <c r="A321" s="130" t="str">
        <f aca="false">IF(ISBLANK(B321),"",B321&amp;"|"&amp;C321)</f>
        <v/>
      </c>
      <c r="B321" s="130"/>
      <c r="C321" s="130"/>
      <c r="D321" s="130"/>
      <c r="E321" s="136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</row>
    <row r="322" customFormat="false" ht="15.75" hidden="false" customHeight="false" outlineLevel="0" collapsed="false">
      <c r="A322" s="130" t="str">
        <f aca="false">IF(ISBLANK(B322),"",B322&amp;"|"&amp;C322)</f>
        <v/>
      </c>
      <c r="B322" s="130"/>
      <c r="C322" s="130"/>
      <c r="D322" s="130"/>
      <c r="E322" s="136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</row>
    <row r="323" customFormat="false" ht="15.75" hidden="false" customHeight="false" outlineLevel="0" collapsed="false">
      <c r="A323" s="130" t="str">
        <f aca="false">IF(ISBLANK(B323),"",B323&amp;"|"&amp;C323)</f>
        <v/>
      </c>
      <c r="B323" s="130"/>
      <c r="C323" s="130"/>
      <c r="D323" s="130"/>
      <c r="E323" s="136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</row>
    <row r="324" customFormat="false" ht="15.75" hidden="false" customHeight="false" outlineLevel="0" collapsed="false">
      <c r="A324" s="130" t="str">
        <f aca="false">IF(ISBLANK(B324),"",B324&amp;"|"&amp;C324)</f>
        <v/>
      </c>
      <c r="B324" s="130"/>
      <c r="C324" s="130"/>
      <c r="D324" s="130"/>
      <c r="E324" s="136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</row>
    <row r="325" customFormat="false" ht="15.75" hidden="false" customHeight="false" outlineLevel="0" collapsed="false">
      <c r="A325" s="130" t="str">
        <f aca="false">IF(ISBLANK(B325),"",B325&amp;"|"&amp;C325)</f>
        <v/>
      </c>
      <c r="B325" s="130"/>
      <c r="C325" s="130"/>
      <c r="D325" s="130"/>
      <c r="E325" s="136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</row>
    <row r="326" customFormat="false" ht="15.75" hidden="false" customHeight="false" outlineLevel="0" collapsed="false">
      <c r="A326" s="130" t="str">
        <f aca="false">IF(ISBLANK(B326),"",B326&amp;"|"&amp;C326)</f>
        <v/>
      </c>
      <c r="B326" s="130"/>
      <c r="C326" s="130"/>
      <c r="D326" s="130"/>
      <c r="E326" s="136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</row>
    <row r="327" customFormat="false" ht="15.75" hidden="false" customHeight="false" outlineLevel="0" collapsed="false">
      <c r="A327" s="130" t="str">
        <f aca="false">IF(ISBLANK(B327),"",B327&amp;"|"&amp;C327)</f>
        <v/>
      </c>
      <c r="B327" s="130"/>
      <c r="C327" s="130"/>
      <c r="D327" s="130"/>
      <c r="E327" s="136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</row>
    <row r="328" customFormat="false" ht="15.75" hidden="false" customHeight="false" outlineLevel="0" collapsed="false">
      <c r="A328" s="130" t="str">
        <f aca="false">IF(ISBLANK(B328),"",B328&amp;"|"&amp;C328)</f>
        <v/>
      </c>
      <c r="B328" s="130"/>
      <c r="C328" s="130"/>
      <c r="D328" s="130"/>
      <c r="E328" s="136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</row>
    <row r="329" customFormat="false" ht="15.75" hidden="false" customHeight="false" outlineLevel="0" collapsed="false">
      <c r="A329" s="130" t="str">
        <f aca="false">IF(ISBLANK(B329),"",B329&amp;"|"&amp;C329)</f>
        <v/>
      </c>
      <c r="B329" s="130"/>
      <c r="C329" s="130"/>
      <c r="D329" s="130"/>
      <c r="E329" s="136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</row>
    <row r="330" customFormat="false" ht="15.75" hidden="false" customHeight="false" outlineLevel="0" collapsed="false">
      <c r="A330" s="130" t="str">
        <f aca="false">IF(ISBLANK(B330),"",B330&amp;"|"&amp;C330)</f>
        <v/>
      </c>
      <c r="B330" s="130"/>
      <c r="C330" s="130"/>
      <c r="D330" s="130"/>
      <c r="E330" s="136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</row>
    <row r="331" customFormat="false" ht="15.75" hidden="false" customHeight="false" outlineLevel="0" collapsed="false">
      <c r="A331" s="130" t="str">
        <f aca="false">IF(ISBLANK(B331),"",B331&amp;"|"&amp;C331)</f>
        <v/>
      </c>
      <c r="B331" s="130"/>
      <c r="C331" s="130"/>
      <c r="D331" s="130"/>
      <c r="E331" s="136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</row>
    <row r="332" customFormat="false" ht="15.75" hidden="false" customHeight="false" outlineLevel="0" collapsed="false">
      <c r="A332" s="130" t="str">
        <f aca="false">IF(ISBLANK(B332),"",B332&amp;"|"&amp;C332)</f>
        <v/>
      </c>
      <c r="B332" s="130"/>
      <c r="C332" s="130"/>
      <c r="D332" s="130"/>
      <c r="E332" s="136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</row>
    <row r="333" customFormat="false" ht="15.75" hidden="false" customHeight="false" outlineLevel="0" collapsed="false">
      <c r="A333" s="130" t="str">
        <f aca="false">IF(ISBLANK(B333),"",B333&amp;"|"&amp;C333)</f>
        <v/>
      </c>
      <c r="B333" s="130"/>
      <c r="C333" s="130"/>
      <c r="D333" s="130"/>
      <c r="E333" s="136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</row>
    <row r="334" customFormat="false" ht="15.75" hidden="false" customHeight="false" outlineLevel="0" collapsed="false">
      <c r="A334" s="130" t="str">
        <f aca="false">IF(ISBLANK(B334),"",B334&amp;"|"&amp;C334)</f>
        <v/>
      </c>
      <c r="B334" s="130"/>
      <c r="C334" s="130"/>
      <c r="D334" s="130"/>
      <c r="E334" s="136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</row>
    <row r="335" customFormat="false" ht="15.75" hidden="false" customHeight="false" outlineLevel="0" collapsed="false">
      <c r="A335" s="130" t="str">
        <f aca="false">IF(ISBLANK(B335),"",B335&amp;"|"&amp;C335)</f>
        <v/>
      </c>
      <c r="B335" s="130"/>
      <c r="C335" s="130"/>
      <c r="D335" s="130"/>
      <c r="E335" s="136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</row>
    <row r="336" customFormat="false" ht="15.75" hidden="false" customHeight="false" outlineLevel="0" collapsed="false">
      <c r="A336" s="130" t="str">
        <f aca="false">IF(ISBLANK(B336),"",B336&amp;"|"&amp;C336)</f>
        <v/>
      </c>
      <c r="B336" s="130"/>
      <c r="C336" s="130"/>
      <c r="D336" s="130"/>
      <c r="E336" s="136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</row>
    <row r="337" customFormat="false" ht="15.75" hidden="false" customHeight="false" outlineLevel="0" collapsed="false">
      <c r="A337" s="130" t="str">
        <f aca="false">IF(ISBLANK(B337),"",B337&amp;"|"&amp;C337)</f>
        <v/>
      </c>
      <c r="B337" s="130"/>
      <c r="C337" s="130"/>
      <c r="D337" s="130"/>
      <c r="E337" s="136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</row>
    <row r="338" customFormat="false" ht="15.75" hidden="false" customHeight="false" outlineLevel="0" collapsed="false">
      <c r="A338" s="130" t="str">
        <f aca="false">IF(ISBLANK(B338),"",B338&amp;"|"&amp;C338)</f>
        <v/>
      </c>
      <c r="B338" s="130"/>
      <c r="C338" s="130"/>
      <c r="D338" s="130"/>
      <c r="E338" s="136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</row>
    <row r="339" customFormat="false" ht="15.75" hidden="false" customHeight="false" outlineLevel="0" collapsed="false">
      <c r="A339" s="130" t="str">
        <f aca="false">IF(ISBLANK(B339),"",B339&amp;"|"&amp;C339)</f>
        <v/>
      </c>
      <c r="B339" s="130"/>
      <c r="C339" s="130"/>
      <c r="D339" s="130"/>
      <c r="E339" s="136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</row>
    <row r="340" customFormat="false" ht="15.75" hidden="false" customHeight="false" outlineLevel="0" collapsed="false">
      <c r="A340" s="130" t="str">
        <f aca="false">IF(ISBLANK(B340),"",B340&amp;"|"&amp;C340)</f>
        <v/>
      </c>
      <c r="B340" s="130"/>
      <c r="C340" s="130"/>
      <c r="D340" s="130"/>
      <c r="E340" s="136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</row>
    <row r="341" customFormat="false" ht="15.75" hidden="false" customHeight="false" outlineLevel="0" collapsed="false">
      <c r="A341" s="130" t="str">
        <f aca="false">IF(ISBLANK(B341),"",B341&amp;"|"&amp;C341)</f>
        <v/>
      </c>
      <c r="B341" s="130"/>
      <c r="C341" s="130"/>
      <c r="D341" s="130"/>
      <c r="E341" s="136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</row>
    <row r="342" customFormat="false" ht="15.75" hidden="false" customHeight="false" outlineLevel="0" collapsed="false">
      <c r="A342" s="130" t="str">
        <f aca="false">IF(ISBLANK(B342),"",B342&amp;"|"&amp;C342)</f>
        <v/>
      </c>
      <c r="B342" s="130"/>
      <c r="C342" s="130"/>
      <c r="D342" s="130"/>
      <c r="E342" s="136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</row>
    <row r="343" customFormat="false" ht="15.75" hidden="false" customHeight="false" outlineLevel="0" collapsed="false">
      <c r="A343" s="130" t="str">
        <f aca="false">IF(ISBLANK(B343),"",B343&amp;"|"&amp;C343)</f>
        <v/>
      </c>
      <c r="B343" s="130"/>
      <c r="C343" s="130"/>
      <c r="D343" s="130"/>
      <c r="E343" s="136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</row>
    <row r="344" customFormat="false" ht="15.75" hidden="false" customHeight="false" outlineLevel="0" collapsed="false">
      <c r="A344" s="130" t="str">
        <f aca="false">IF(ISBLANK(B344),"",B344&amp;"|"&amp;C344)</f>
        <v/>
      </c>
      <c r="B344" s="130"/>
      <c r="C344" s="130"/>
      <c r="D344" s="130"/>
      <c r="E344" s="136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</row>
    <row r="345" customFormat="false" ht="15.75" hidden="false" customHeight="false" outlineLevel="0" collapsed="false">
      <c r="A345" s="130" t="str">
        <f aca="false">IF(ISBLANK(B345),"",B345&amp;"|"&amp;C345)</f>
        <v/>
      </c>
      <c r="B345" s="130"/>
      <c r="C345" s="130"/>
      <c r="D345" s="130"/>
      <c r="E345" s="136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</row>
    <row r="346" customFormat="false" ht="15.75" hidden="false" customHeight="false" outlineLevel="0" collapsed="false">
      <c r="A346" s="130" t="str">
        <f aca="false">IF(ISBLANK(B346),"",B346&amp;"|"&amp;C346)</f>
        <v/>
      </c>
      <c r="B346" s="130"/>
      <c r="C346" s="130"/>
      <c r="D346" s="130"/>
      <c r="E346" s="136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</row>
    <row r="347" customFormat="false" ht="15.75" hidden="false" customHeight="false" outlineLevel="0" collapsed="false">
      <c r="A347" s="130" t="str">
        <f aca="false">IF(ISBLANK(B347),"",B347&amp;"|"&amp;C347)</f>
        <v/>
      </c>
      <c r="B347" s="130"/>
      <c r="C347" s="130"/>
      <c r="D347" s="130"/>
      <c r="E347" s="136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</row>
    <row r="348" customFormat="false" ht="15.75" hidden="false" customHeight="false" outlineLevel="0" collapsed="false">
      <c r="A348" s="130" t="str">
        <f aca="false">IF(ISBLANK(B348),"",B348&amp;"|"&amp;C348)</f>
        <v/>
      </c>
      <c r="B348" s="130"/>
      <c r="C348" s="130"/>
      <c r="D348" s="130"/>
      <c r="E348" s="136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</row>
    <row r="349" customFormat="false" ht="15.75" hidden="false" customHeight="false" outlineLevel="0" collapsed="false">
      <c r="A349" s="130" t="str">
        <f aca="false">IF(ISBLANK(B349),"",B349&amp;"|"&amp;C349)</f>
        <v/>
      </c>
      <c r="B349" s="130"/>
      <c r="C349" s="130"/>
      <c r="D349" s="130"/>
      <c r="E349" s="136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</row>
    <row r="350" customFormat="false" ht="15.75" hidden="false" customHeight="false" outlineLevel="0" collapsed="false">
      <c r="A350" s="130" t="str">
        <f aca="false">IF(ISBLANK(B350),"",B350&amp;"|"&amp;C350)</f>
        <v/>
      </c>
      <c r="B350" s="130"/>
      <c r="C350" s="130"/>
      <c r="D350" s="130"/>
      <c r="E350" s="136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</row>
    <row r="351" customFormat="false" ht="15.75" hidden="false" customHeight="false" outlineLevel="0" collapsed="false">
      <c r="A351" s="130" t="str">
        <f aca="false">IF(ISBLANK(B351),"",B351&amp;"|"&amp;C351)</f>
        <v/>
      </c>
      <c r="B351" s="130"/>
      <c r="C351" s="130"/>
      <c r="D351" s="130"/>
      <c r="E351" s="136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</row>
    <row r="352" customFormat="false" ht="15.75" hidden="false" customHeight="false" outlineLevel="0" collapsed="false">
      <c r="A352" s="130" t="str">
        <f aca="false">IF(ISBLANK(B352),"",B352&amp;"|"&amp;C352)</f>
        <v/>
      </c>
      <c r="B352" s="130"/>
      <c r="C352" s="130"/>
      <c r="D352" s="130"/>
      <c r="E352" s="136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</row>
    <row r="353" customFormat="false" ht="15.75" hidden="false" customHeight="false" outlineLevel="0" collapsed="false">
      <c r="A353" s="130" t="str">
        <f aca="false">IF(ISBLANK(B353),"",B353&amp;"|"&amp;C353)</f>
        <v/>
      </c>
      <c r="B353" s="130"/>
      <c r="C353" s="130"/>
      <c r="D353" s="130"/>
      <c r="E353" s="136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</row>
    <row r="354" customFormat="false" ht="15.75" hidden="false" customHeight="false" outlineLevel="0" collapsed="false">
      <c r="A354" s="130" t="str">
        <f aca="false">IF(ISBLANK(B354),"",B354&amp;"|"&amp;C354)</f>
        <v/>
      </c>
      <c r="B354" s="130"/>
      <c r="C354" s="130"/>
      <c r="D354" s="130"/>
      <c r="E354" s="136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</row>
    <row r="355" customFormat="false" ht="15.75" hidden="false" customHeight="false" outlineLevel="0" collapsed="false">
      <c r="A355" s="130" t="str">
        <f aca="false">IF(ISBLANK(B355),"",B355&amp;"|"&amp;C355)</f>
        <v/>
      </c>
      <c r="B355" s="130"/>
      <c r="C355" s="130"/>
      <c r="D355" s="130"/>
      <c r="E355" s="136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</row>
    <row r="356" customFormat="false" ht="15.75" hidden="false" customHeight="false" outlineLevel="0" collapsed="false">
      <c r="A356" s="130" t="str">
        <f aca="false">IF(ISBLANK(B356),"",B356&amp;"|"&amp;C356)</f>
        <v/>
      </c>
      <c r="B356" s="130"/>
      <c r="C356" s="130"/>
      <c r="D356" s="130"/>
      <c r="E356" s="136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</row>
    <row r="357" customFormat="false" ht="15.75" hidden="false" customHeight="false" outlineLevel="0" collapsed="false">
      <c r="A357" s="130" t="str">
        <f aca="false">IF(ISBLANK(B357),"",B357&amp;"|"&amp;C357)</f>
        <v/>
      </c>
      <c r="B357" s="130"/>
      <c r="C357" s="130"/>
      <c r="D357" s="130"/>
      <c r="E357" s="136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</row>
    <row r="358" customFormat="false" ht="15.75" hidden="false" customHeight="false" outlineLevel="0" collapsed="false">
      <c r="A358" s="130" t="str">
        <f aca="false">IF(ISBLANK(B358),"",B358&amp;"|"&amp;C358)</f>
        <v/>
      </c>
      <c r="B358" s="130"/>
      <c r="C358" s="130"/>
      <c r="D358" s="130"/>
      <c r="E358" s="136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</row>
    <row r="359" customFormat="false" ht="15.75" hidden="false" customHeight="false" outlineLevel="0" collapsed="false">
      <c r="A359" s="130" t="str">
        <f aca="false">IF(ISBLANK(B359),"",B359&amp;"|"&amp;C359)</f>
        <v/>
      </c>
      <c r="B359" s="130"/>
      <c r="C359" s="130"/>
      <c r="D359" s="130"/>
      <c r="E359" s="136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</row>
    <row r="360" customFormat="false" ht="15.75" hidden="false" customHeight="false" outlineLevel="0" collapsed="false">
      <c r="A360" s="130" t="str">
        <f aca="false">IF(ISBLANK(B360),"",B360&amp;"|"&amp;C360)</f>
        <v/>
      </c>
      <c r="B360" s="130"/>
      <c r="C360" s="130"/>
      <c r="D360" s="130"/>
      <c r="E360" s="136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</row>
    <row r="361" customFormat="false" ht="15.75" hidden="false" customHeight="false" outlineLevel="0" collapsed="false">
      <c r="A361" s="130" t="str">
        <f aca="false">IF(ISBLANK(B361),"",B361&amp;"|"&amp;C361)</f>
        <v/>
      </c>
      <c r="B361" s="130"/>
      <c r="C361" s="130"/>
      <c r="D361" s="130"/>
      <c r="E361" s="136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</row>
    <row r="362" customFormat="false" ht="15.75" hidden="false" customHeight="false" outlineLevel="0" collapsed="false">
      <c r="A362" s="130" t="str">
        <f aca="false">IF(ISBLANK(B362),"",B362&amp;"|"&amp;C362)</f>
        <v/>
      </c>
      <c r="B362" s="130"/>
      <c r="C362" s="130"/>
      <c r="D362" s="130"/>
      <c r="E362" s="136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</row>
    <row r="363" customFormat="false" ht="15.75" hidden="false" customHeight="false" outlineLevel="0" collapsed="false">
      <c r="A363" s="130" t="str">
        <f aca="false">IF(ISBLANK(B363),"",B363&amp;"|"&amp;C363)</f>
        <v/>
      </c>
      <c r="B363" s="130"/>
      <c r="C363" s="130"/>
      <c r="D363" s="130"/>
      <c r="E363" s="136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</row>
    <row r="364" customFormat="false" ht="15.75" hidden="false" customHeight="false" outlineLevel="0" collapsed="false">
      <c r="A364" s="130" t="str">
        <f aca="false">IF(ISBLANK(B364),"",B364&amp;"|"&amp;C364)</f>
        <v/>
      </c>
      <c r="B364" s="130"/>
      <c r="C364" s="130"/>
      <c r="D364" s="130"/>
      <c r="E364" s="136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</row>
    <row r="365" customFormat="false" ht="15.75" hidden="false" customHeight="false" outlineLevel="0" collapsed="false">
      <c r="A365" s="130" t="str">
        <f aca="false">IF(ISBLANK(B365),"",B365&amp;"|"&amp;C365)</f>
        <v/>
      </c>
      <c r="B365" s="130"/>
      <c r="C365" s="130"/>
      <c r="D365" s="130"/>
      <c r="E365" s="136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</row>
    <row r="366" customFormat="false" ht="15.75" hidden="false" customHeight="false" outlineLevel="0" collapsed="false">
      <c r="A366" s="130" t="str">
        <f aca="false">IF(ISBLANK(B366),"",B366&amp;"|"&amp;C366)</f>
        <v/>
      </c>
      <c r="B366" s="130"/>
      <c r="C366" s="130"/>
      <c r="D366" s="130"/>
      <c r="E366" s="136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</row>
    <row r="367" customFormat="false" ht="15.75" hidden="false" customHeight="false" outlineLevel="0" collapsed="false">
      <c r="A367" s="130" t="str">
        <f aca="false">IF(ISBLANK(B367),"",B367&amp;"|"&amp;C367)</f>
        <v/>
      </c>
      <c r="B367" s="130"/>
      <c r="C367" s="130"/>
      <c r="D367" s="130"/>
      <c r="E367" s="136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</row>
    <row r="368" customFormat="false" ht="15.75" hidden="false" customHeight="false" outlineLevel="0" collapsed="false">
      <c r="A368" s="130" t="str">
        <f aca="false">IF(ISBLANK(B368),"",B368&amp;"|"&amp;C368)</f>
        <v/>
      </c>
      <c r="B368" s="130"/>
      <c r="C368" s="130"/>
      <c r="D368" s="130"/>
      <c r="E368" s="136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</row>
    <row r="369" customFormat="false" ht="15.75" hidden="false" customHeight="false" outlineLevel="0" collapsed="false">
      <c r="A369" s="130" t="str">
        <f aca="false">IF(ISBLANK(B369),"",B369&amp;"|"&amp;C369)</f>
        <v/>
      </c>
      <c r="B369" s="130"/>
      <c r="C369" s="130"/>
      <c r="D369" s="130"/>
      <c r="E369" s="136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</row>
    <row r="370" customFormat="false" ht="15.75" hidden="false" customHeight="false" outlineLevel="0" collapsed="false">
      <c r="A370" s="130" t="str">
        <f aca="false">IF(ISBLANK(B370),"",B370&amp;"|"&amp;C370)</f>
        <v/>
      </c>
      <c r="B370" s="130"/>
      <c r="C370" s="130"/>
      <c r="D370" s="130"/>
      <c r="E370" s="136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</row>
    <row r="371" customFormat="false" ht="15.75" hidden="false" customHeight="false" outlineLevel="0" collapsed="false">
      <c r="A371" s="130" t="str">
        <f aca="false">IF(ISBLANK(B371),"",B371&amp;"|"&amp;C371)</f>
        <v/>
      </c>
      <c r="B371" s="130"/>
      <c r="C371" s="130"/>
      <c r="D371" s="130"/>
      <c r="E371" s="136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</row>
    <row r="372" customFormat="false" ht="15.75" hidden="false" customHeight="false" outlineLevel="0" collapsed="false">
      <c r="A372" s="130" t="str">
        <f aca="false">IF(ISBLANK(B372),"",B372&amp;"|"&amp;C372)</f>
        <v/>
      </c>
      <c r="B372" s="130"/>
      <c r="C372" s="130"/>
      <c r="D372" s="130"/>
      <c r="E372" s="136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</row>
    <row r="373" customFormat="false" ht="15.75" hidden="false" customHeight="false" outlineLevel="0" collapsed="false">
      <c r="A373" s="130" t="str">
        <f aca="false">IF(ISBLANK(B373),"",B373&amp;"|"&amp;C373)</f>
        <v/>
      </c>
      <c r="B373" s="130"/>
      <c r="C373" s="130"/>
      <c r="D373" s="130"/>
      <c r="E373" s="136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</row>
    <row r="374" customFormat="false" ht="15.75" hidden="false" customHeight="false" outlineLevel="0" collapsed="false">
      <c r="A374" s="130" t="str">
        <f aca="false">IF(ISBLANK(B374),"",B374&amp;"|"&amp;C374)</f>
        <v/>
      </c>
      <c r="B374" s="130"/>
      <c r="C374" s="130"/>
      <c r="D374" s="130"/>
      <c r="E374" s="136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</row>
    <row r="375" customFormat="false" ht="15.75" hidden="false" customHeight="false" outlineLevel="0" collapsed="false">
      <c r="A375" s="130" t="str">
        <f aca="false">IF(ISBLANK(B375),"",B375&amp;"|"&amp;C375)</f>
        <v/>
      </c>
      <c r="B375" s="130"/>
      <c r="C375" s="130"/>
      <c r="D375" s="130"/>
      <c r="E375" s="136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</row>
    <row r="376" customFormat="false" ht="15.75" hidden="false" customHeight="false" outlineLevel="0" collapsed="false">
      <c r="A376" s="130" t="str">
        <f aca="false">IF(ISBLANK(B376),"",B376&amp;"|"&amp;C376)</f>
        <v/>
      </c>
      <c r="B376" s="130"/>
      <c r="C376" s="130"/>
      <c r="D376" s="130"/>
      <c r="E376" s="136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</row>
    <row r="377" customFormat="false" ht="15.75" hidden="false" customHeight="false" outlineLevel="0" collapsed="false">
      <c r="A377" s="130" t="str">
        <f aca="false">IF(ISBLANK(B377),"",B377&amp;"|"&amp;C377)</f>
        <v/>
      </c>
      <c r="B377" s="130"/>
      <c r="C377" s="130"/>
      <c r="D377" s="130"/>
      <c r="E377" s="136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</row>
    <row r="378" customFormat="false" ht="15.75" hidden="false" customHeight="false" outlineLevel="0" collapsed="false">
      <c r="A378" s="130" t="str">
        <f aca="false">IF(ISBLANK(B378),"",B378&amp;"|"&amp;C378)</f>
        <v/>
      </c>
      <c r="B378" s="130"/>
      <c r="C378" s="130"/>
      <c r="D378" s="130"/>
      <c r="E378" s="136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</row>
    <row r="379" customFormat="false" ht="15.75" hidden="false" customHeight="false" outlineLevel="0" collapsed="false">
      <c r="A379" s="130" t="str">
        <f aca="false">IF(ISBLANK(B379),"",B379&amp;"|"&amp;C379)</f>
        <v/>
      </c>
      <c r="B379" s="130"/>
      <c r="C379" s="130"/>
      <c r="D379" s="130"/>
      <c r="E379" s="136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</row>
    <row r="380" customFormat="false" ht="15.75" hidden="false" customHeight="false" outlineLevel="0" collapsed="false">
      <c r="A380" s="130" t="str">
        <f aca="false">IF(ISBLANK(B380),"",B380&amp;"|"&amp;C380)</f>
        <v/>
      </c>
      <c r="B380" s="130"/>
      <c r="C380" s="130"/>
      <c r="D380" s="130"/>
      <c r="E380" s="136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</row>
    <row r="381" customFormat="false" ht="15.75" hidden="false" customHeight="false" outlineLevel="0" collapsed="false">
      <c r="A381" s="130" t="str">
        <f aca="false">IF(ISBLANK(B381),"",B381&amp;"|"&amp;C381)</f>
        <v/>
      </c>
      <c r="B381" s="130"/>
      <c r="C381" s="130"/>
      <c r="D381" s="130"/>
      <c r="E381" s="136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</row>
    <row r="382" customFormat="false" ht="15.75" hidden="false" customHeight="false" outlineLevel="0" collapsed="false">
      <c r="A382" s="130" t="str">
        <f aca="false">IF(ISBLANK(B382),"",B382&amp;"|"&amp;C382)</f>
        <v/>
      </c>
      <c r="B382" s="130"/>
      <c r="C382" s="130"/>
      <c r="D382" s="130"/>
      <c r="E382" s="136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</row>
    <row r="383" customFormat="false" ht="15.75" hidden="false" customHeight="false" outlineLevel="0" collapsed="false">
      <c r="A383" s="130" t="str">
        <f aca="false">IF(ISBLANK(B383),"",B383&amp;"|"&amp;C383)</f>
        <v/>
      </c>
      <c r="B383" s="130"/>
      <c r="C383" s="130"/>
      <c r="D383" s="130"/>
      <c r="E383" s="136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</row>
    <row r="384" customFormat="false" ht="15.75" hidden="false" customHeight="false" outlineLevel="0" collapsed="false">
      <c r="A384" s="130" t="str">
        <f aca="false">IF(ISBLANK(B384),"",B384&amp;"|"&amp;C384)</f>
        <v/>
      </c>
      <c r="B384" s="130"/>
      <c r="C384" s="130"/>
      <c r="D384" s="130"/>
      <c r="E384" s="136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</row>
    <row r="385" customFormat="false" ht="15.75" hidden="false" customHeight="false" outlineLevel="0" collapsed="false">
      <c r="A385" s="130" t="str">
        <f aca="false">IF(ISBLANK(B385),"",B385&amp;"|"&amp;C385)</f>
        <v/>
      </c>
      <c r="B385" s="130"/>
      <c r="C385" s="130"/>
      <c r="D385" s="130"/>
      <c r="E385" s="136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</row>
    <row r="386" customFormat="false" ht="15.75" hidden="false" customHeight="false" outlineLevel="0" collapsed="false">
      <c r="A386" s="130" t="str">
        <f aca="false">IF(ISBLANK(B386),"",B386&amp;"|"&amp;C386)</f>
        <v/>
      </c>
      <c r="B386" s="130"/>
      <c r="C386" s="130"/>
      <c r="D386" s="130"/>
      <c r="E386" s="136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</row>
    <row r="387" customFormat="false" ht="15.75" hidden="false" customHeight="false" outlineLevel="0" collapsed="false">
      <c r="A387" s="130" t="str">
        <f aca="false">IF(ISBLANK(B387),"",B387&amp;"|"&amp;C387)</f>
        <v/>
      </c>
      <c r="B387" s="130"/>
      <c r="C387" s="130"/>
      <c r="D387" s="130"/>
      <c r="E387" s="136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</row>
    <row r="388" customFormat="false" ht="15.75" hidden="false" customHeight="false" outlineLevel="0" collapsed="false">
      <c r="A388" s="130" t="str">
        <f aca="false">IF(ISBLANK(B388),"",B388&amp;"|"&amp;C388)</f>
        <v/>
      </c>
      <c r="B388" s="130"/>
      <c r="C388" s="130"/>
      <c r="D388" s="130"/>
      <c r="E388" s="136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</row>
    <row r="389" customFormat="false" ht="15.75" hidden="false" customHeight="false" outlineLevel="0" collapsed="false">
      <c r="A389" s="130" t="str">
        <f aca="false">IF(ISBLANK(B389),"",B389&amp;"|"&amp;C389)</f>
        <v/>
      </c>
      <c r="B389" s="130"/>
      <c r="C389" s="130"/>
      <c r="D389" s="130"/>
      <c r="E389" s="136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</row>
    <row r="390" customFormat="false" ht="15.75" hidden="false" customHeight="false" outlineLevel="0" collapsed="false">
      <c r="A390" s="130" t="str">
        <f aca="false">IF(ISBLANK(B390),"",B390&amp;"|"&amp;C390)</f>
        <v/>
      </c>
      <c r="B390" s="130"/>
      <c r="C390" s="130"/>
      <c r="D390" s="130"/>
      <c r="E390" s="136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</row>
    <row r="391" customFormat="false" ht="15.75" hidden="false" customHeight="false" outlineLevel="0" collapsed="false">
      <c r="A391" s="130" t="str">
        <f aca="false">IF(ISBLANK(B391),"",B391&amp;"|"&amp;C391)</f>
        <v/>
      </c>
      <c r="B391" s="130"/>
      <c r="C391" s="130"/>
      <c r="D391" s="130"/>
      <c r="E391" s="136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</row>
    <row r="392" customFormat="false" ht="15.75" hidden="false" customHeight="false" outlineLevel="0" collapsed="false">
      <c r="A392" s="130" t="str">
        <f aca="false">IF(ISBLANK(B392),"",B392&amp;"|"&amp;C392)</f>
        <v/>
      </c>
      <c r="B392" s="130"/>
      <c r="C392" s="130"/>
      <c r="D392" s="130"/>
      <c r="E392" s="136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</row>
    <row r="393" customFormat="false" ht="15.75" hidden="false" customHeight="false" outlineLevel="0" collapsed="false">
      <c r="A393" s="130" t="str">
        <f aca="false">IF(ISBLANK(B393),"",B393&amp;"|"&amp;C393)</f>
        <v/>
      </c>
      <c r="B393" s="130"/>
      <c r="C393" s="130"/>
      <c r="D393" s="130"/>
      <c r="E393" s="136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</row>
    <row r="394" customFormat="false" ht="15.75" hidden="false" customHeight="false" outlineLevel="0" collapsed="false">
      <c r="A394" s="130" t="str">
        <f aca="false">IF(ISBLANK(B394),"",B394&amp;"|"&amp;C394)</f>
        <v/>
      </c>
      <c r="B394" s="130"/>
      <c r="C394" s="130"/>
      <c r="D394" s="130"/>
      <c r="E394" s="136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</row>
    <row r="395" customFormat="false" ht="15.75" hidden="false" customHeight="false" outlineLevel="0" collapsed="false">
      <c r="A395" s="130" t="str">
        <f aca="false">IF(ISBLANK(B395),"",B395&amp;"|"&amp;C395)</f>
        <v/>
      </c>
      <c r="B395" s="130"/>
      <c r="C395" s="130"/>
      <c r="D395" s="130"/>
      <c r="E395" s="136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</row>
    <row r="396" customFormat="false" ht="15.75" hidden="false" customHeight="false" outlineLevel="0" collapsed="false">
      <c r="A396" s="130" t="str">
        <f aca="false">IF(ISBLANK(B396),"",B396&amp;"|"&amp;C396)</f>
        <v/>
      </c>
      <c r="B396" s="130"/>
      <c r="C396" s="130"/>
      <c r="D396" s="130"/>
      <c r="E396" s="136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</row>
    <row r="397" customFormat="false" ht="15.75" hidden="false" customHeight="false" outlineLevel="0" collapsed="false">
      <c r="A397" s="130" t="str">
        <f aca="false">IF(ISBLANK(B397),"",B397&amp;"|"&amp;C397)</f>
        <v/>
      </c>
      <c r="B397" s="130"/>
      <c r="C397" s="130"/>
      <c r="D397" s="130"/>
      <c r="E397" s="136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</row>
    <row r="398" customFormat="false" ht="15.75" hidden="false" customHeight="false" outlineLevel="0" collapsed="false">
      <c r="A398" s="130" t="str">
        <f aca="false">IF(ISBLANK(B398),"",B398&amp;"|"&amp;C398)</f>
        <v/>
      </c>
      <c r="B398" s="130"/>
      <c r="C398" s="130"/>
      <c r="D398" s="130"/>
      <c r="E398" s="136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</row>
    <row r="399" customFormat="false" ht="15.75" hidden="false" customHeight="false" outlineLevel="0" collapsed="false">
      <c r="A399" s="130" t="str">
        <f aca="false">IF(ISBLANK(B399),"",B399&amp;"|"&amp;C399)</f>
        <v/>
      </c>
      <c r="B399" s="130"/>
      <c r="C399" s="130"/>
      <c r="D399" s="130"/>
      <c r="E399" s="136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</row>
    <row r="400" customFormat="false" ht="15.75" hidden="false" customHeight="false" outlineLevel="0" collapsed="false">
      <c r="A400" s="130" t="str">
        <f aca="false">IF(ISBLANK(B400),"",B400&amp;"|"&amp;C400)</f>
        <v/>
      </c>
      <c r="B400" s="130"/>
      <c r="C400" s="130"/>
      <c r="D400" s="130"/>
      <c r="E400" s="136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</row>
    <row r="401" customFormat="false" ht="15.75" hidden="false" customHeight="false" outlineLevel="0" collapsed="false">
      <c r="A401" s="130" t="str">
        <f aca="false">IF(ISBLANK(B401),"",B401&amp;"|"&amp;C401)</f>
        <v/>
      </c>
      <c r="B401" s="130"/>
      <c r="C401" s="130"/>
      <c r="D401" s="130"/>
      <c r="E401" s="136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</row>
    <row r="402" customFormat="false" ht="15.75" hidden="false" customHeight="false" outlineLevel="0" collapsed="false">
      <c r="A402" s="130" t="str">
        <f aca="false">IF(ISBLANK(B402),"",B402&amp;"|"&amp;C402)</f>
        <v/>
      </c>
      <c r="B402" s="130"/>
      <c r="C402" s="130"/>
      <c r="D402" s="130"/>
      <c r="E402" s="136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</row>
    <row r="403" customFormat="false" ht="15.75" hidden="false" customHeight="false" outlineLevel="0" collapsed="false">
      <c r="A403" s="130" t="str">
        <f aca="false">IF(ISBLANK(B403),"",B403&amp;"|"&amp;C403)</f>
        <v/>
      </c>
      <c r="B403" s="130"/>
      <c r="C403" s="130"/>
      <c r="D403" s="130"/>
      <c r="E403" s="136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</row>
    <row r="404" customFormat="false" ht="15.75" hidden="false" customHeight="false" outlineLevel="0" collapsed="false">
      <c r="A404" s="130" t="str">
        <f aca="false">IF(ISBLANK(B404),"",B404&amp;"|"&amp;C404)</f>
        <v/>
      </c>
      <c r="B404" s="130"/>
      <c r="C404" s="130"/>
      <c r="D404" s="130"/>
      <c r="E404" s="136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</row>
    <row r="405" customFormat="false" ht="15.75" hidden="false" customHeight="false" outlineLevel="0" collapsed="false">
      <c r="A405" s="130" t="str">
        <f aca="false">IF(ISBLANK(B405),"",B405&amp;"|"&amp;C405)</f>
        <v/>
      </c>
      <c r="B405" s="130"/>
      <c r="C405" s="130"/>
      <c r="D405" s="130"/>
      <c r="E405" s="136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</row>
    <row r="406" customFormat="false" ht="15.75" hidden="false" customHeight="false" outlineLevel="0" collapsed="false">
      <c r="A406" s="130" t="str">
        <f aca="false">IF(ISBLANK(B406),"",B406&amp;"|"&amp;C406)</f>
        <v/>
      </c>
      <c r="B406" s="130"/>
      <c r="C406" s="130"/>
      <c r="D406" s="130"/>
      <c r="E406" s="136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</row>
    <row r="407" customFormat="false" ht="15.75" hidden="false" customHeight="false" outlineLevel="0" collapsed="false">
      <c r="A407" s="130" t="str">
        <f aca="false">IF(ISBLANK(B407),"",B407&amp;"|"&amp;C407)</f>
        <v/>
      </c>
      <c r="B407" s="130"/>
      <c r="C407" s="130"/>
      <c r="D407" s="130"/>
      <c r="E407" s="136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</row>
    <row r="408" customFormat="false" ht="15.75" hidden="false" customHeight="false" outlineLevel="0" collapsed="false">
      <c r="A408" s="130" t="str">
        <f aca="false">IF(ISBLANK(B408),"",B408&amp;"|"&amp;C408)</f>
        <v/>
      </c>
      <c r="B408" s="130"/>
      <c r="C408" s="130"/>
      <c r="D408" s="130"/>
      <c r="E408" s="136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</row>
    <row r="409" customFormat="false" ht="15.75" hidden="false" customHeight="false" outlineLevel="0" collapsed="false">
      <c r="A409" s="130" t="str">
        <f aca="false">IF(ISBLANK(B409),"",B409&amp;"|"&amp;C409)</f>
        <v/>
      </c>
      <c r="B409" s="130"/>
      <c r="C409" s="130"/>
      <c r="D409" s="130"/>
      <c r="E409" s="136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</row>
    <row r="410" customFormat="false" ht="15.75" hidden="false" customHeight="false" outlineLevel="0" collapsed="false">
      <c r="A410" s="130" t="str">
        <f aca="false">IF(ISBLANK(B410),"",B410&amp;"|"&amp;C410)</f>
        <v/>
      </c>
      <c r="B410" s="130"/>
      <c r="C410" s="130"/>
      <c r="D410" s="130"/>
      <c r="E410" s="136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</row>
    <row r="411" customFormat="false" ht="15.75" hidden="false" customHeight="false" outlineLevel="0" collapsed="false">
      <c r="A411" s="130" t="str">
        <f aca="false">IF(ISBLANK(B411),"",B411&amp;"|"&amp;C411)</f>
        <v/>
      </c>
      <c r="B411" s="130"/>
      <c r="C411" s="130"/>
      <c r="D411" s="130"/>
      <c r="E411" s="136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</row>
    <row r="412" customFormat="false" ht="15.75" hidden="false" customHeight="false" outlineLevel="0" collapsed="false">
      <c r="A412" s="130" t="str">
        <f aca="false">IF(ISBLANK(B412),"",B412&amp;"|"&amp;C412)</f>
        <v/>
      </c>
      <c r="B412" s="130"/>
      <c r="C412" s="130"/>
      <c r="D412" s="130"/>
      <c r="E412" s="136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</row>
    <row r="413" customFormat="false" ht="15.75" hidden="false" customHeight="false" outlineLevel="0" collapsed="false">
      <c r="A413" s="130" t="str">
        <f aca="false">IF(ISBLANK(B413),"",B413&amp;"|"&amp;C413)</f>
        <v/>
      </c>
      <c r="B413" s="130"/>
      <c r="C413" s="130"/>
      <c r="D413" s="130"/>
      <c r="E413" s="136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</row>
    <row r="414" customFormat="false" ht="15.75" hidden="false" customHeight="false" outlineLevel="0" collapsed="false">
      <c r="A414" s="130" t="str">
        <f aca="false">IF(ISBLANK(B414),"",B414&amp;"|"&amp;C414)</f>
        <v/>
      </c>
      <c r="B414" s="130"/>
      <c r="C414" s="130"/>
      <c r="D414" s="130"/>
      <c r="E414" s="136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</row>
    <row r="415" customFormat="false" ht="15.75" hidden="false" customHeight="false" outlineLevel="0" collapsed="false">
      <c r="A415" s="130" t="str">
        <f aca="false">IF(ISBLANK(B415),"",B415&amp;"|"&amp;C415)</f>
        <v/>
      </c>
      <c r="B415" s="130"/>
      <c r="C415" s="130"/>
      <c r="D415" s="130"/>
      <c r="E415" s="136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</row>
    <row r="416" customFormat="false" ht="15.75" hidden="false" customHeight="false" outlineLevel="0" collapsed="false">
      <c r="A416" s="130" t="str">
        <f aca="false">IF(ISBLANK(B416),"",B416&amp;"|"&amp;C416)</f>
        <v/>
      </c>
      <c r="B416" s="130"/>
      <c r="C416" s="130"/>
      <c r="D416" s="130"/>
      <c r="E416" s="136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</row>
    <row r="417" customFormat="false" ht="15.75" hidden="false" customHeight="false" outlineLevel="0" collapsed="false">
      <c r="A417" s="130" t="str">
        <f aca="false">IF(ISBLANK(B417),"",B417&amp;"|"&amp;C417)</f>
        <v/>
      </c>
      <c r="B417" s="130"/>
      <c r="C417" s="130"/>
      <c r="D417" s="130"/>
      <c r="E417" s="136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</row>
    <row r="418" customFormat="false" ht="15.75" hidden="false" customHeight="false" outlineLevel="0" collapsed="false">
      <c r="A418" s="130" t="str">
        <f aca="false">IF(ISBLANK(B418),"",B418&amp;"|"&amp;C418)</f>
        <v/>
      </c>
      <c r="B418" s="130"/>
      <c r="C418" s="130"/>
      <c r="D418" s="130"/>
      <c r="E418" s="136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</row>
    <row r="419" customFormat="false" ht="15.75" hidden="false" customHeight="false" outlineLevel="0" collapsed="false">
      <c r="A419" s="130" t="str">
        <f aca="false">IF(ISBLANK(B419),"",B419&amp;"|"&amp;C419)</f>
        <v/>
      </c>
      <c r="B419" s="130"/>
      <c r="C419" s="130"/>
      <c r="D419" s="130"/>
      <c r="E419" s="136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</row>
    <row r="420" customFormat="false" ht="15.75" hidden="false" customHeight="false" outlineLevel="0" collapsed="false">
      <c r="A420" s="130" t="str">
        <f aca="false">IF(ISBLANK(B420),"",B420&amp;"|"&amp;C420)</f>
        <v/>
      </c>
      <c r="B420" s="130"/>
      <c r="C420" s="130"/>
      <c r="D420" s="130"/>
      <c r="E420" s="136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</row>
    <row r="421" customFormat="false" ht="15.75" hidden="false" customHeight="false" outlineLevel="0" collapsed="false">
      <c r="A421" s="130" t="str">
        <f aca="false">IF(ISBLANK(B421),"",B421&amp;"|"&amp;C421)</f>
        <v/>
      </c>
      <c r="B421" s="130"/>
      <c r="C421" s="130"/>
      <c r="D421" s="130"/>
      <c r="E421" s="136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</row>
    <row r="422" customFormat="false" ht="15.75" hidden="false" customHeight="false" outlineLevel="0" collapsed="false">
      <c r="A422" s="130" t="str">
        <f aca="false">IF(ISBLANK(B422),"",B422&amp;"|"&amp;C422)</f>
        <v/>
      </c>
      <c r="B422" s="130"/>
      <c r="C422" s="130"/>
      <c r="D422" s="130"/>
      <c r="E422" s="136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</row>
    <row r="423" customFormat="false" ht="15.75" hidden="false" customHeight="false" outlineLevel="0" collapsed="false">
      <c r="A423" s="130" t="str">
        <f aca="false">IF(ISBLANK(B423),"",B423&amp;"|"&amp;C423)</f>
        <v/>
      </c>
      <c r="B423" s="130"/>
      <c r="C423" s="130"/>
      <c r="D423" s="130"/>
      <c r="E423" s="136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</row>
    <row r="424" customFormat="false" ht="15.75" hidden="false" customHeight="false" outlineLevel="0" collapsed="false">
      <c r="A424" s="130" t="str">
        <f aca="false">IF(ISBLANK(B424),"",B424&amp;"|"&amp;C424)</f>
        <v/>
      </c>
      <c r="B424" s="130"/>
      <c r="C424" s="130"/>
      <c r="D424" s="130"/>
      <c r="E424" s="136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</row>
    <row r="425" customFormat="false" ht="15.75" hidden="false" customHeight="false" outlineLevel="0" collapsed="false">
      <c r="A425" s="130" t="str">
        <f aca="false">IF(ISBLANK(B425),"",B425&amp;"|"&amp;C425)</f>
        <v/>
      </c>
      <c r="B425" s="130"/>
      <c r="C425" s="130"/>
      <c r="D425" s="130"/>
      <c r="E425" s="136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</row>
    <row r="426" customFormat="false" ht="15.75" hidden="false" customHeight="false" outlineLevel="0" collapsed="false">
      <c r="A426" s="130" t="str">
        <f aca="false">IF(ISBLANK(B426),"",B426&amp;"|"&amp;C426)</f>
        <v/>
      </c>
      <c r="B426" s="130"/>
      <c r="C426" s="130"/>
      <c r="D426" s="130"/>
      <c r="E426" s="136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</row>
    <row r="427" customFormat="false" ht="15.75" hidden="false" customHeight="false" outlineLevel="0" collapsed="false">
      <c r="A427" s="130" t="str">
        <f aca="false">IF(ISBLANK(B427),"",B427&amp;"|"&amp;C427)</f>
        <v/>
      </c>
      <c r="B427" s="130"/>
      <c r="C427" s="130"/>
      <c r="D427" s="130"/>
      <c r="E427" s="136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</row>
    <row r="428" customFormat="false" ht="15.75" hidden="false" customHeight="false" outlineLevel="0" collapsed="false">
      <c r="A428" s="130" t="str">
        <f aca="false">IF(ISBLANK(B428),"",B428&amp;"|"&amp;C428)</f>
        <v/>
      </c>
      <c r="B428" s="130"/>
      <c r="C428" s="130"/>
      <c r="D428" s="130"/>
      <c r="E428" s="136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</row>
    <row r="429" customFormat="false" ht="15.75" hidden="false" customHeight="false" outlineLevel="0" collapsed="false">
      <c r="A429" s="130" t="str">
        <f aca="false">IF(ISBLANK(B429),"",B429&amp;"|"&amp;C429)</f>
        <v/>
      </c>
      <c r="B429" s="130"/>
      <c r="C429" s="130"/>
      <c r="D429" s="130"/>
      <c r="E429" s="136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</row>
    <row r="430" customFormat="false" ht="15.75" hidden="false" customHeight="false" outlineLevel="0" collapsed="false">
      <c r="A430" s="130" t="str">
        <f aca="false">IF(ISBLANK(B430),"",B430&amp;"|"&amp;C430)</f>
        <v/>
      </c>
      <c r="B430" s="130"/>
      <c r="C430" s="130"/>
      <c r="D430" s="130"/>
      <c r="E430" s="136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</row>
    <row r="431" customFormat="false" ht="15.75" hidden="false" customHeight="false" outlineLevel="0" collapsed="false">
      <c r="A431" s="130" t="str">
        <f aca="false">IF(ISBLANK(B431),"",B431&amp;"|"&amp;C431)</f>
        <v/>
      </c>
      <c r="B431" s="130"/>
      <c r="C431" s="130"/>
      <c r="D431" s="130"/>
      <c r="E431" s="136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</row>
    <row r="432" customFormat="false" ht="15.75" hidden="false" customHeight="false" outlineLevel="0" collapsed="false">
      <c r="A432" s="130" t="str">
        <f aca="false">IF(ISBLANK(B432),"",B432&amp;"|"&amp;C432)</f>
        <v/>
      </c>
      <c r="B432" s="130"/>
      <c r="C432" s="130"/>
      <c r="D432" s="130"/>
      <c r="E432" s="136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</row>
    <row r="433" customFormat="false" ht="15.75" hidden="false" customHeight="false" outlineLevel="0" collapsed="false">
      <c r="A433" s="130" t="str">
        <f aca="false">IF(ISBLANK(B433),"",B433&amp;"|"&amp;C433)</f>
        <v/>
      </c>
      <c r="B433" s="130"/>
      <c r="C433" s="130"/>
      <c r="D433" s="130"/>
      <c r="E433" s="136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</row>
    <row r="434" customFormat="false" ht="15.75" hidden="false" customHeight="false" outlineLevel="0" collapsed="false">
      <c r="A434" s="130" t="str">
        <f aca="false">IF(ISBLANK(B434),"",B434&amp;"|"&amp;C434)</f>
        <v/>
      </c>
      <c r="B434" s="130"/>
      <c r="C434" s="130"/>
      <c r="D434" s="130"/>
      <c r="E434" s="136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</row>
    <row r="435" customFormat="false" ht="15.75" hidden="false" customHeight="false" outlineLevel="0" collapsed="false">
      <c r="A435" s="130" t="str">
        <f aca="false">IF(ISBLANK(B435),"",B435&amp;"|"&amp;C435)</f>
        <v/>
      </c>
      <c r="B435" s="130"/>
      <c r="C435" s="130"/>
      <c r="D435" s="130"/>
      <c r="E435" s="136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</row>
    <row r="436" customFormat="false" ht="15.75" hidden="false" customHeight="false" outlineLevel="0" collapsed="false">
      <c r="A436" s="130" t="str">
        <f aca="false">IF(ISBLANK(B436),"",B436&amp;"|"&amp;C436)</f>
        <v/>
      </c>
      <c r="B436" s="130"/>
      <c r="C436" s="130"/>
      <c r="D436" s="130"/>
      <c r="E436" s="136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</row>
    <row r="437" customFormat="false" ht="15.75" hidden="false" customHeight="false" outlineLevel="0" collapsed="false">
      <c r="A437" s="130" t="str">
        <f aca="false">IF(ISBLANK(B437),"",B437&amp;"|"&amp;C437)</f>
        <v/>
      </c>
      <c r="B437" s="130"/>
      <c r="C437" s="130"/>
      <c r="D437" s="130"/>
      <c r="E437" s="136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</row>
    <row r="438" customFormat="false" ht="15.75" hidden="false" customHeight="false" outlineLevel="0" collapsed="false">
      <c r="A438" s="130" t="str">
        <f aca="false">IF(ISBLANK(B438),"",B438&amp;"|"&amp;C438)</f>
        <v/>
      </c>
      <c r="B438" s="130"/>
      <c r="C438" s="130"/>
      <c r="D438" s="130"/>
      <c r="E438" s="136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</row>
    <row r="439" customFormat="false" ht="15.75" hidden="false" customHeight="false" outlineLevel="0" collapsed="false">
      <c r="A439" s="130" t="str">
        <f aca="false">IF(ISBLANK(B439),"",B439&amp;"|"&amp;C439)</f>
        <v/>
      </c>
      <c r="B439" s="130"/>
      <c r="C439" s="130"/>
      <c r="D439" s="130"/>
      <c r="E439" s="136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</row>
    <row r="440" customFormat="false" ht="15.75" hidden="false" customHeight="false" outlineLevel="0" collapsed="false">
      <c r="A440" s="130" t="str">
        <f aca="false">IF(ISBLANK(B440),"",B440&amp;"|"&amp;C440)</f>
        <v/>
      </c>
      <c r="B440" s="130"/>
      <c r="C440" s="130"/>
      <c r="D440" s="130"/>
      <c r="E440" s="136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</row>
    <row r="441" customFormat="false" ht="15.75" hidden="false" customHeight="false" outlineLevel="0" collapsed="false">
      <c r="A441" s="130" t="str">
        <f aca="false">IF(ISBLANK(B441),"",B441&amp;"|"&amp;C441)</f>
        <v/>
      </c>
      <c r="B441" s="130"/>
      <c r="C441" s="130"/>
      <c r="D441" s="130"/>
      <c r="E441" s="136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</row>
    <row r="442" customFormat="false" ht="15.75" hidden="false" customHeight="false" outlineLevel="0" collapsed="false">
      <c r="A442" s="130" t="str">
        <f aca="false">IF(ISBLANK(B442),"",B442&amp;"|"&amp;C442)</f>
        <v/>
      </c>
      <c r="B442" s="130"/>
      <c r="C442" s="130"/>
      <c r="D442" s="130"/>
      <c r="E442" s="136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</row>
    <row r="443" customFormat="false" ht="15.75" hidden="false" customHeight="false" outlineLevel="0" collapsed="false">
      <c r="A443" s="130" t="str">
        <f aca="false">IF(ISBLANK(B443),"",B443&amp;"|"&amp;C443)</f>
        <v/>
      </c>
      <c r="B443" s="130"/>
      <c r="C443" s="130"/>
      <c r="D443" s="130"/>
      <c r="E443" s="136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</row>
    <row r="444" customFormat="false" ht="15.75" hidden="false" customHeight="false" outlineLevel="0" collapsed="false">
      <c r="A444" s="130" t="str">
        <f aca="false">IF(ISBLANK(B444),"",B444&amp;"|"&amp;C444)</f>
        <v/>
      </c>
      <c r="B444" s="130"/>
      <c r="C444" s="130"/>
      <c r="D444" s="130"/>
      <c r="E444" s="136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</row>
    <row r="445" customFormat="false" ht="15.75" hidden="false" customHeight="false" outlineLevel="0" collapsed="false">
      <c r="A445" s="130" t="str">
        <f aca="false">IF(ISBLANK(B445),"",B445&amp;"|"&amp;C445)</f>
        <v/>
      </c>
      <c r="B445" s="130"/>
      <c r="C445" s="130"/>
      <c r="D445" s="130"/>
      <c r="E445" s="136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</row>
    <row r="446" customFormat="false" ht="15.75" hidden="false" customHeight="false" outlineLevel="0" collapsed="false">
      <c r="A446" s="130" t="str">
        <f aca="false">IF(ISBLANK(B446),"",B446&amp;"|"&amp;C446)</f>
        <v/>
      </c>
      <c r="B446" s="130"/>
      <c r="C446" s="130"/>
      <c r="D446" s="130"/>
      <c r="E446" s="136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</row>
    <row r="447" customFormat="false" ht="15.75" hidden="false" customHeight="false" outlineLevel="0" collapsed="false">
      <c r="A447" s="130" t="str">
        <f aca="false">IF(ISBLANK(B447),"",B447&amp;"|"&amp;C447)</f>
        <v/>
      </c>
      <c r="B447" s="130"/>
      <c r="C447" s="130"/>
      <c r="D447" s="130"/>
      <c r="E447" s="136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</row>
    <row r="448" customFormat="false" ht="15.75" hidden="false" customHeight="false" outlineLevel="0" collapsed="false">
      <c r="A448" s="130" t="str">
        <f aca="false">IF(ISBLANK(B448),"",B448&amp;"|"&amp;C448)</f>
        <v/>
      </c>
      <c r="B448" s="130"/>
      <c r="C448" s="130"/>
      <c r="D448" s="130"/>
      <c r="E448" s="136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</row>
    <row r="449" customFormat="false" ht="15.75" hidden="false" customHeight="false" outlineLevel="0" collapsed="false">
      <c r="A449" s="130" t="str">
        <f aca="false">IF(ISBLANK(B449),"",B449&amp;"|"&amp;C449)</f>
        <v/>
      </c>
      <c r="B449" s="130"/>
      <c r="C449" s="130"/>
      <c r="D449" s="130"/>
      <c r="E449" s="136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</row>
    <row r="450" customFormat="false" ht="15.75" hidden="false" customHeight="false" outlineLevel="0" collapsed="false">
      <c r="A450" s="130" t="str">
        <f aca="false">IF(ISBLANK(B450),"",B450&amp;"|"&amp;C450)</f>
        <v/>
      </c>
      <c r="B450" s="130"/>
      <c r="C450" s="130"/>
      <c r="D450" s="130"/>
      <c r="E450" s="136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</row>
    <row r="451" customFormat="false" ht="15.75" hidden="false" customHeight="false" outlineLevel="0" collapsed="false">
      <c r="A451" s="130" t="str">
        <f aca="false">IF(ISBLANK(B451),"",B451&amp;"|"&amp;C451)</f>
        <v/>
      </c>
      <c r="B451" s="130"/>
      <c r="C451" s="130"/>
      <c r="D451" s="130"/>
      <c r="E451" s="136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</row>
    <row r="452" customFormat="false" ht="15.75" hidden="false" customHeight="false" outlineLevel="0" collapsed="false">
      <c r="A452" s="130" t="str">
        <f aca="false">IF(ISBLANK(B452),"",B452&amp;"|"&amp;C452)</f>
        <v/>
      </c>
      <c r="B452" s="130"/>
      <c r="C452" s="130"/>
      <c r="D452" s="130"/>
      <c r="E452" s="136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</row>
    <row r="453" customFormat="false" ht="15.75" hidden="false" customHeight="false" outlineLevel="0" collapsed="false">
      <c r="A453" s="130" t="str">
        <f aca="false">IF(ISBLANK(B453),"",B453&amp;"|"&amp;C453)</f>
        <v/>
      </c>
      <c r="B453" s="130"/>
      <c r="C453" s="130"/>
      <c r="D453" s="130"/>
      <c r="E453" s="136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</row>
    <row r="454" customFormat="false" ht="15.75" hidden="false" customHeight="false" outlineLevel="0" collapsed="false">
      <c r="A454" s="130" t="str">
        <f aca="false">IF(ISBLANK(B454),"",B454&amp;"|"&amp;C454)</f>
        <v/>
      </c>
      <c r="B454" s="130"/>
      <c r="C454" s="130"/>
      <c r="D454" s="130"/>
      <c r="E454" s="136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</row>
    <row r="455" customFormat="false" ht="15.75" hidden="false" customHeight="false" outlineLevel="0" collapsed="false">
      <c r="A455" s="130" t="str">
        <f aca="false">IF(ISBLANK(B455),"",B455&amp;"|"&amp;C455)</f>
        <v/>
      </c>
      <c r="B455" s="130"/>
      <c r="C455" s="130"/>
      <c r="D455" s="130"/>
      <c r="E455" s="136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</row>
    <row r="456" customFormat="false" ht="15.75" hidden="false" customHeight="false" outlineLevel="0" collapsed="false">
      <c r="A456" s="130" t="str">
        <f aca="false">IF(ISBLANK(B456),"",B456&amp;"|"&amp;C456)</f>
        <v/>
      </c>
      <c r="B456" s="130"/>
      <c r="C456" s="130"/>
      <c r="D456" s="130"/>
      <c r="E456" s="136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</row>
    <row r="457" customFormat="false" ht="15.75" hidden="false" customHeight="false" outlineLevel="0" collapsed="false">
      <c r="A457" s="130" t="str">
        <f aca="false">IF(ISBLANK(B457),"",B457&amp;"|"&amp;C457)</f>
        <v/>
      </c>
      <c r="B457" s="130"/>
      <c r="C457" s="130"/>
      <c r="D457" s="130"/>
      <c r="E457" s="136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</row>
    <row r="458" customFormat="false" ht="15.75" hidden="false" customHeight="false" outlineLevel="0" collapsed="false">
      <c r="A458" s="130" t="str">
        <f aca="false">IF(ISBLANK(B458),"",B458&amp;"|"&amp;C458)</f>
        <v/>
      </c>
      <c r="B458" s="130"/>
      <c r="C458" s="130"/>
      <c r="D458" s="130"/>
      <c r="E458" s="136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</row>
    <row r="459" customFormat="false" ht="15.75" hidden="false" customHeight="false" outlineLevel="0" collapsed="false">
      <c r="A459" s="130" t="str">
        <f aca="false">IF(ISBLANK(B459),"",B459&amp;"|"&amp;C459)</f>
        <v/>
      </c>
      <c r="B459" s="130"/>
      <c r="C459" s="130"/>
      <c r="D459" s="130"/>
      <c r="E459" s="136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</row>
    <row r="460" customFormat="false" ht="15.75" hidden="false" customHeight="false" outlineLevel="0" collapsed="false">
      <c r="A460" s="130" t="str">
        <f aca="false">IF(ISBLANK(B460),"",B460&amp;"|"&amp;C460)</f>
        <v/>
      </c>
      <c r="B460" s="130"/>
      <c r="C460" s="130"/>
      <c r="D460" s="130"/>
      <c r="E460" s="136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</row>
    <row r="461" customFormat="false" ht="15.75" hidden="false" customHeight="false" outlineLevel="0" collapsed="false">
      <c r="A461" s="130" t="str">
        <f aca="false">IF(ISBLANK(B461),"",B461&amp;"|"&amp;C461)</f>
        <v/>
      </c>
      <c r="B461" s="130"/>
      <c r="C461" s="130"/>
      <c r="D461" s="130"/>
      <c r="E461" s="136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</row>
    <row r="462" customFormat="false" ht="15.75" hidden="false" customHeight="false" outlineLevel="0" collapsed="false">
      <c r="A462" s="130" t="str">
        <f aca="false">IF(ISBLANK(B462),"",B462&amp;"|"&amp;C462)</f>
        <v/>
      </c>
      <c r="B462" s="130"/>
      <c r="C462" s="130"/>
      <c r="D462" s="130"/>
      <c r="E462" s="136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</row>
    <row r="463" customFormat="false" ht="15.75" hidden="false" customHeight="false" outlineLevel="0" collapsed="false">
      <c r="A463" s="130" t="str">
        <f aca="false">IF(ISBLANK(B463),"",B463&amp;"|"&amp;C463)</f>
        <v/>
      </c>
      <c r="B463" s="130"/>
      <c r="C463" s="130"/>
      <c r="D463" s="130"/>
      <c r="E463" s="136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</row>
    <row r="464" customFormat="false" ht="15.75" hidden="false" customHeight="false" outlineLevel="0" collapsed="false">
      <c r="A464" s="130" t="str">
        <f aca="false">IF(ISBLANK(B464),"",B464&amp;"|"&amp;C464)</f>
        <v/>
      </c>
      <c r="B464" s="130"/>
      <c r="C464" s="130"/>
      <c r="D464" s="130"/>
      <c r="E464" s="136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</row>
    <row r="465" customFormat="false" ht="15.75" hidden="false" customHeight="false" outlineLevel="0" collapsed="false">
      <c r="A465" s="130" t="str">
        <f aca="false">IF(ISBLANK(B465),"",B465&amp;"|"&amp;C465)</f>
        <v/>
      </c>
      <c r="B465" s="130"/>
      <c r="C465" s="130"/>
      <c r="D465" s="130"/>
      <c r="E465" s="136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</row>
    <row r="466" customFormat="false" ht="15.75" hidden="false" customHeight="false" outlineLevel="0" collapsed="false">
      <c r="A466" s="130" t="str">
        <f aca="false">IF(ISBLANK(B466),"",B466&amp;"|"&amp;C466)</f>
        <v/>
      </c>
      <c r="B466" s="130"/>
      <c r="C466" s="130"/>
      <c r="D466" s="130"/>
      <c r="E466" s="136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</row>
    <row r="467" customFormat="false" ht="15.75" hidden="false" customHeight="false" outlineLevel="0" collapsed="false">
      <c r="A467" s="130" t="str">
        <f aca="false">IF(ISBLANK(B467),"",B467&amp;"|"&amp;C467)</f>
        <v/>
      </c>
      <c r="B467" s="130"/>
      <c r="C467" s="130"/>
      <c r="D467" s="130"/>
      <c r="E467" s="136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</row>
    <row r="468" customFormat="false" ht="15.75" hidden="false" customHeight="false" outlineLevel="0" collapsed="false">
      <c r="A468" s="130" t="str">
        <f aca="false">IF(ISBLANK(B468),"",B468&amp;"|"&amp;C468)</f>
        <v/>
      </c>
      <c r="B468" s="130"/>
      <c r="C468" s="130"/>
      <c r="D468" s="130"/>
      <c r="E468" s="136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</row>
    <row r="469" customFormat="false" ht="15.75" hidden="false" customHeight="false" outlineLevel="0" collapsed="false">
      <c r="A469" s="130" t="str">
        <f aca="false">IF(ISBLANK(B469),"",B469&amp;"|"&amp;C469)</f>
        <v/>
      </c>
      <c r="B469" s="130"/>
      <c r="C469" s="130"/>
      <c r="D469" s="130"/>
      <c r="E469" s="136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</row>
    <row r="470" customFormat="false" ht="15.75" hidden="false" customHeight="false" outlineLevel="0" collapsed="false">
      <c r="A470" s="130" t="str">
        <f aca="false">IF(ISBLANK(B470),"",B470&amp;"|"&amp;C470)</f>
        <v/>
      </c>
      <c r="B470" s="130"/>
      <c r="C470" s="130"/>
      <c r="D470" s="130"/>
      <c r="E470" s="136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</row>
    <row r="471" customFormat="false" ht="15.75" hidden="false" customHeight="false" outlineLevel="0" collapsed="false">
      <c r="A471" s="130" t="str">
        <f aca="false">IF(ISBLANK(B471),"",B471&amp;"|"&amp;C471)</f>
        <v/>
      </c>
      <c r="B471" s="130"/>
      <c r="C471" s="130"/>
      <c r="D471" s="130"/>
      <c r="E471" s="136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</row>
    <row r="472" customFormat="false" ht="15.75" hidden="false" customHeight="false" outlineLevel="0" collapsed="false">
      <c r="A472" s="130" t="str">
        <f aca="false">IF(ISBLANK(B472),"",B472&amp;"|"&amp;C472)</f>
        <v/>
      </c>
      <c r="B472" s="130"/>
      <c r="C472" s="130"/>
      <c r="D472" s="130"/>
      <c r="E472" s="136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</row>
    <row r="473" customFormat="false" ht="15.75" hidden="false" customHeight="false" outlineLevel="0" collapsed="false">
      <c r="A473" s="130" t="str">
        <f aca="false">IF(ISBLANK(B473),"",B473&amp;"|"&amp;C473)</f>
        <v/>
      </c>
      <c r="B473" s="130"/>
      <c r="C473" s="130"/>
      <c r="D473" s="130"/>
      <c r="E473" s="136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</row>
    <row r="474" customFormat="false" ht="15.75" hidden="false" customHeight="false" outlineLevel="0" collapsed="false">
      <c r="A474" s="130" t="str">
        <f aca="false">IF(ISBLANK(B474),"",B474&amp;"|"&amp;C474)</f>
        <v/>
      </c>
      <c r="B474" s="130"/>
      <c r="C474" s="130"/>
      <c r="D474" s="130"/>
      <c r="E474" s="136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</row>
    <row r="475" customFormat="false" ht="15.75" hidden="false" customHeight="false" outlineLevel="0" collapsed="false">
      <c r="A475" s="130" t="str">
        <f aca="false">IF(ISBLANK(B475),"",B475&amp;"|"&amp;C475)</f>
        <v/>
      </c>
      <c r="B475" s="130"/>
      <c r="C475" s="130"/>
      <c r="D475" s="130"/>
      <c r="E475" s="136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</row>
    <row r="476" customFormat="false" ht="15.75" hidden="false" customHeight="false" outlineLevel="0" collapsed="false">
      <c r="A476" s="130" t="str">
        <f aca="false">IF(ISBLANK(B476),"",B476&amp;"|"&amp;C476)</f>
        <v/>
      </c>
      <c r="B476" s="130"/>
      <c r="C476" s="130"/>
      <c r="D476" s="130"/>
      <c r="E476" s="136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</row>
    <row r="477" customFormat="false" ht="15.75" hidden="false" customHeight="false" outlineLevel="0" collapsed="false">
      <c r="A477" s="130" t="str">
        <f aca="false">IF(ISBLANK(B477),"",B477&amp;"|"&amp;C477)</f>
        <v/>
      </c>
      <c r="B477" s="130"/>
      <c r="C477" s="130"/>
      <c r="D477" s="130"/>
      <c r="E477" s="136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</row>
    <row r="478" customFormat="false" ht="15.75" hidden="false" customHeight="false" outlineLevel="0" collapsed="false">
      <c r="A478" s="130" t="str">
        <f aca="false">IF(ISBLANK(B478),"",B478&amp;"|"&amp;C478)</f>
        <v/>
      </c>
      <c r="B478" s="130"/>
      <c r="C478" s="130"/>
      <c r="D478" s="130"/>
      <c r="E478" s="136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</row>
    <row r="479" customFormat="false" ht="15.75" hidden="false" customHeight="false" outlineLevel="0" collapsed="false">
      <c r="A479" s="130" t="str">
        <f aca="false">IF(ISBLANK(B479),"",B479&amp;"|"&amp;C479)</f>
        <v/>
      </c>
      <c r="B479" s="130"/>
      <c r="C479" s="130"/>
      <c r="D479" s="130"/>
      <c r="E479" s="136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</row>
    <row r="480" customFormat="false" ht="15.75" hidden="false" customHeight="false" outlineLevel="0" collapsed="false">
      <c r="A480" s="130" t="str">
        <f aca="false">IF(ISBLANK(B480),"",B480&amp;"|"&amp;C480)</f>
        <v/>
      </c>
      <c r="B480" s="130"/>
      <c r="C480" s="130"/>
      <c r="D480" s="130"/>
      <c r="E480" s="136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</row>
    <row r="481" customFormat="false" ht="15.75" hidden="false" customHeight="false" outlineLevel="0" collapsed="false">
      <c r="A481" s="130" t="str">
        <f aca="false">IF(ISBLANK(B481),"",B481&amp;"|"&amp;C481)</f>
        <v/>
      </c>
      <c r="B481" s="130"/>
      <c r="C481" s="130"/>
      <c r="D481" s="130"/>
      <c r="E481" s="136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</row>
    <row r="482" customFormat="false" ht="15.75" hidden="false" customHeight="false" outlineLevel="0" collapsed="false">
      <c r="A482" s="130" t="str">
        <f aca="false">IF(ISBLANK(B482),"",B482&amp;"|"&amp;C482)</f>
        <v/>
      </c>
      <c r="B482" s="130"/>
      <c r="C482" s="130"/>
      <c r="D482" s="130"/>
      <c r="E482" s="136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</row>
    <row r="483" customFormat="false" ht="15.75" hidden="false" customHeight="false" outlineLevel="0" collapsed="false">
      <c r="A483" s="130" t="str">
        <f aca="false">IF(ISBLANK(B483),"",B483&amp;"|"&amp;C483)</f>
        <v/>
      </c>
      <c r="B483" s="130"/>
      <c r="C483" s="130"/>
      <c r="D483" s="130"/>
      <c r="E483" s="136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</row>
    <row r="484" customFormat="false" ht="15.75" hidden="false" customHeight="false" outlineLevel="0" collapsed="false">
      <c r="A484" s="130" t="str">
        <f aca="false">IF(ISBLANK(B484),"",B484&amp;"|"&amp;C484)</f>
        <v/>
      </c>
      <c r="B484" s="130"/>
      <c r="C484" s="130"/>
      <c r="D484" s="130"/>
      <c r="E484" s="136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</row>
    <row r="485" customFormat="false" ht="15.75" hidden="false" customHeight="false" outlineLevel="0" collapsed="false">
      <c r="A485" s="130" t="str">
        <f aca="false">IF(ISBLANK(B485),"",B485&amp;"|"&amp;C485)</f>
        <v/>
      </c>
      <c r="B485" s="130"/>
      <c r="C485" s="130"/>
      <c r="D485" s="130"/>
      <c r="E485" s="136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</row>
    <row r="486" customFormat="false" ht="15.75" hidden="false" customHeight="false" outlineLevel="0" collapsed="false">
      <c r="A486" s="130" t="str">
        <f aca="false">IF(ISBLANK(B486),"",B486&amp;"|"&amp;C486)</f>
        <v/>
      </c>
      <c r="B486" s="130"/>
      <c r="C486" s="130"/>
      <c r="D486" s="130"/>
      <c r="E486" s="136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</row>
    <row r="487" customFormat="false" ht="15.75" hidden="false" customHeight="false" outlineLevel="0" collapsed="false">
      <c r="A487" s="130" t="str">
        <f aca="false">IF(ISBLANK(B487),"",B487&amp;"|"&amp;C487)</f>
        <v/>
      </c>
      <c r="B487" s="130"/>
      <c r="C487" s="130"/>
      <c r="D487" s="130"/>
      <c r="E487" s="136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</row>
    <row r="488" customFormat="false" ht="15.75" hidden="false" customHeight="false" outlineLevel="0" collapsed="false">
      <c r="A488" s="130" t="str">
        <f aca="false">IF(ISBLANK(B488),"",B488&amp;"|"&amp;C488)</f>
        <v/>
      </c>
      <c r="B488" s="130"/>
      <c r="C488" s="130"/>
      <c r="D488" s="130"/>
      <c r="E488" s="136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</row>
    <row r="489" customFormat="false" ht="15.75" hidden="false" customHeight="false" outlineLevel="0" collapsed="false">
      <c r="A489" s="130" t="str">
        <f aca="false">IF(ISBLANK(B489),"",B489&amp;"|"&amp;C489)</f>
        <v/>
      </c>
      <c r="B489" s="130"/>
      <c r="C489" s="130"/>
      <c r="D489" s="130"/>
      <c r="E489" s="136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</row>
    <row r="490" customFormat="false" ht="15.75" hidden="false" customHeight="false" outlineLevel="0" collapsed="false">
      <c r="A490" s="130" t="str">
        <f aca="false">IF(ISBLANK(B490),"",B490&amp;"|"&amp;C490)</f>
        <v/>
      </c>
      <c r="B490" s="130"/>
      <c r="C490" s="130"/>
      <c r="D490" s="130"/>
      <c r="E490" s="136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</row>
    <row r="491" customFormat="false" ht="15.75" hidden="false" customHeight="false" outlineLevel="0" collapsed="false">
      <c r="A491" s="130" t="str">
        <f aca="false">IF(ISBLANK(B491),"",B491&amp;"|"&amp;C491)</f>
        <v/>
      </c>
      <c r="B491" s="130"/>
      <c r="C491" s="130"/>
      <c r="D491" s="130"/>
      <c r="E491" s="136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</row>
    <row r="492" customFormat="false" ht="15.75" hidden="false" customHeight="false" outlineLevel="0" collapsed="false">
      <c r="A492" s="130" t="str">
        <f aca="false">IF(ISBLANK(B492),"",B492&amp;"|"&amp;C492)</f>
        <v/>
      </c>
      <c r="B492" s="130"/>
      <c r="C492" s="130"/>
      <c r="D492" s="130"/>
      <c r="E492" s="136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</row>
    <row r="493" customFormat="false" ht="15.75" hidden="false" customHeight="false" outlineLevel="0" collapsed="false">
      <c r="A493" s="130" t="str">
        <f aca="false">IF(ISBLANK(B493),"",B493&amp;"|"&amp;C493)</f>
        <v/>
      </c>
      <c r="B493" s="130"/>
      <c r="C493" s="130"/>
      <c r="D493" s="130"/>
      <c r="E493" s="136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</row>
    <row r="494" customFormat="false" ht="15.75" hidden="false" customHeight="false" outlineLevel="0" collapsed="false">
      <c r="A494" s="130" t="str">
        <f aca="false">IF(ISBLANK(B494),"",B494&amp;"|"&amp;C494)</f>
        <v/>
      </c>
      <c r="B494" s="130"/>
      <c r="C494" s="130"/>
      <c r="D494" s="130"/>
      <c r="E494" s="136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</row>
    <row r="495" customFormat="false" ht="15.75" hidden="false" customHeight="false" outlineLevel="0" collapsed="false">
      <c r="A495" s="130" t="str">
        <f aca="false">IF(ISBLANK(B495),"",B495&amp;"|"&amp;C495)</f>
        <v/>
      </c>
      <c r="B495" s="130"/>
      <c r="C495" s="130"/>
      <c r="D495" s="130"/>
      <c r="E495" s="136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</row>
    <row r="496" customFormat="false" ht="15.75" hidden="false" customHeight="false" outlineLevel="0" collapsed="false">
      <c r="A496" s="130" t="str">
        <f aca="false">IF(ISBLANK(B496),"",B496&amp;"|"&amp;C496)</f>
        <v/>
      </c>
      <c r="B496" s="130"/>
      <c r="C496" s="130"/>
      <c r="D496" s="130"/>
      <c r="E496" s="136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</row>
    <row r="497" customFormat="false" ht="15.75" hidden="false" customHeight="false" outlineLevel="0" collapsed="false">
      <c r="A497" s="130" t="str">
        <f aca="false">IF(ISBLANK(B497),"",B497&amp;"|"&amp;C497)</f>
        <v/>
      </c>
      <c r="B497" s="130"/>
      <c r="C497" s="130"/>
      <c r="D497" s="130"/>
      <c r="E497" s="136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</row>
    <row r="498" customFormat="false" ht="15.75" hidden="false" customHeight="false" outlineLevel="0" collapsed="false">
      <c r="A498" s="130" t="str">
        <f aca="false">IF(ISBLANK(B498),"",B498&amp;"|"&amp;C498)</f>
        <v/>
      </c>
      <c r="B498" s="130"/>
      <c r="C498" s="130"/>
      <c r="D498" s="130"/>
      <c r="E498" s="136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</row>
    <row r="499" customFormat="false" ht="15.75" hidden="false" customHeight="false" outlineLevel="0" collapsed="false">
      <c r="A499" s="130" t="str">
        <f aca="false">IF(ISBLANK(B499),"",B499&amp;"|"&amp;C499)</f>
        <v/>
      </c>
      <c r="B499" s="130"/>
      <c r="C499" s="130"/>
      <c r="D499" s="130"/>
      <c r="E499" s="136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</row>
    <row r="500" customFormat="false" ht="15.75" hidden="false" customHeight="false" outlineLevel="0" collapsed="false">
      <c r="A500" s="130" t="str">
        <f aca="false">IF(ISBLANK(B500),"",B500&amp;"|"&amp;C500)</f>
        <v/>
      </c>
      <c r="B500" s="130"/>
      <c r="C500" s="130"/>
      <c r="D500" s="130"/>
      <c r="E500" s="136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</row>
    <row r="501" customFormat="false" ht="15.75" hidden="false" customHeight="false" outlineLevel="0" collapsed="false">
      <c r="A501" s="130" t="str">
        <f aca="false">IF(ISBLANK(B501),"",B501&amp;"|"&amp;C501)</f>
        <v/>
      </c>
      <c r="B501" s="130"/>
      <c r="C501" s="130"/>
      <c r="D501" s="130"/>
      <c r="E501" s="136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</row>
    <row r="502" customFormat="false" ht="15.75" hidden="false" customHeight="false" outlineLevel="0" collapsed="false">
      <c r="A502" s="130" t="str">
        <f aca="false">IF(ISBLANK(B502),"",B502&amp;"|"&amp;C502)</f>
        <v/>
      </c>
      <c r="B502" s="130"/>
      <c r="C502" s="130"/>
      <c r="D502" s="130"/>
      <c r="E502" s="136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</row>
    <row r="503" customFormat="false" ht="15.75" hidden="false" customHeight="false" outlineLevel="0" collapsed="false">
      <c r="A503" s="130" t="str">
        <f aca="false">IF(ISBLANK(B503),"",B503&amp;"|"&amp;C503)</f>
        <v/>
      </c>
      <c r="B503" s="130"/>
      <c r="C503" s="130"/>
      <c r="D503" s="130"/>
      <c r="E503" s="136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</row>
    <row r="504" customFormat="false" ht="15.75" hidden="false" customHeight="false" outlineLevel="0" collapsed="false">
      <c r="A504" s="130" t="str">
        <f aca="false">IF(ISBLANK(B504),"",B504&amp;"|"&amp;C504)</f>
        <v/>
      </c>
      <c r="B504" s="130"/>
      <c r="C504" s="130"/>
      <c r="D504" s="130"/>
      <c r="E504" s="136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</row>
    <row r="505" customFormat="false" ht="15.75" hidden="false" customHeight="false" outlineLevel="0" collapsed="false">
      <c r="A505" s="130" t="str">
        <f aca="false">IF(ISBLANK(B505),"",B505&amp;"|"&amp;C505)</f>
        <v/>
      </c>
      <c r="B505" s="130"/>
      <c r="C505" s="130"/>
      <c r="D505" s="130"/>
      <c r="E505" s="136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</row>
    <row r="506" customFormat="false" ht="15.75" hidden="false" customHeight="false" outlineLevel="0" collapsed="false">
      <c r="A506" s="130" t="str">
        <f aca="false">IF(ISBLANK(B506),"",B506&amp;"|"&amp;C506)</f>
        <v/>
      </c>
      <c r="B506" s="130"/>
      <c r="C506" s="130"/>
      <c r="D506" s="130"/>
      <c r="E506" s="136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</row>
    <row r="507" customFormat="false" ht="15.75" hidden="false" customHeight="false" outlineLevel="0" collapsed="false">
      <c r="A507" s="130" t="str">
        <f aca="false">IF(ISBLANK(B507),"",B507&amp;"|"&amp;C507)</f>
        <v/>
      </c>
      <c r="B507" s="130"/>
      <c r="C507" s="130"/>
      <c r="D507" s="130"/>
      <c r="E507" s="136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</row>
    <row r="508" customFormat="false" ht="15.75" hidden="false" customHeight="false" outlineLevel="0" collapsed="false">
      <c r="A508" s="130" t="str">
        <f aca="false">IF(ISBLANK(B508),"",B508&amp;"|"&amp;C508)</f>
        <v/>
      </c>
      <c r="B508" s="130"/>
      <c r="C508" s="130"/>
      <c r="D508" s="130"/>
      <c r="E508" s="136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</row>
    <row r="509" customFormat="false" ht="15.75" hidden="false" customHeight="false" outlineLevel="0" collapsed="false">
      <c r="A509" s="130" t="str">
        <f aca="false">IF(ISBLANK(B509),"",B509&amp;"|"&amp;C509)</f>
        <v/>
      </c>
      <c r="B509" s="130"/>
      <c r="C509" s="130"/>
      <c r="D509" s="130"/>
      <c r="E509" s="136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</row>
    <row r="510" customFormat="false" ht="15.75" hidden="false" customHeight="false" outlineLevel="0" collapsed="false">
      <c r="A510" s="130" t="str">
        <f aca="false">IF(ISBLANK(B510),"",B510&amp;"|"&amp;C510)</f>
        <v/>
      </c>
      <c r="B510" s="130"/>
      <c r="C510" s="130"/>
      <c r="D510" s="130"/>
      <c r="E510" s="136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</row>
    <row r="511" customFormat="false" ht="15.75" hidden="false" customHeight="false" outlineLevel="0" collapsed="false">
      <c r="A511" s="130" t="str">
        <f aca="false">IF(ISBLANK(B511),"",B511&amp;"|"&amp;C511)</f>
        <v/>
      </c>
      <c r="B511" s="130"/>
      <c r="C511" s="130"/>
      <c r="D511" s="130"/>
      <c r="E511" s="136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</row>
    <row r="512" customFormat="false" ht="15.75" hidden="false" customHeight="false" outlineLevel="0" collapsed="false">
      <c r="A512" s="130" t="str">
        <f aca="false">IF(ISBLANK(B512),"",B512&amp;"|"&amp;C512)</f>
        <v/>
      </c>
      <c r="B512" s="130"/>
      <c r="C512" s="130"/>
      <c r="D512" s="130"/>
      <c r="E512" s="136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</row>
    <row r="513" customFormat="false" ht="15.75" hidden="false" customHeight="false" outlineLevel="0" collapsed="false">
      <c r="A513" s="130" t="str">
        <f aca="false">IF(ISBLANK(B513),"",B513&amp;"|"&amp;C513)</f>
        <v/>
      </c>
      <c r="B513" s="130"/>
      <c r="C513" s="130"/>
      <c r="D513" s="130"/>
      <c r="E513" s="136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</row>
    <row r="514" customFormat="false" ht="15.75" hidden="false" customHeight="false" outlineLevel="0" collapsed="false">
      <c r="A514" s="130" t="str">
        <f aca="false">IF(ISBLANK(B514),"",B514&amp;"|"&amp;C514)</f>
        <v/>
      </c>
      <c r="B514" s="130"/>
      <c r="C514" s="130"/>
      <c r="D514" s="130"/>
      <c r="E514" s="136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</row>
    <row r="515" customFormat="false" ht="15.75" hidden="false" customHeight="false" outlineLevel="0" collapsed="false">
      <c r="A515" s="130" t="str">
        <f aca="false">IF(ISBLANK(B515),"",B515&amp;"|"&amp;C515)</f>
        <v/>
      </c>
      <c r="B515" s="130"/>
      <c r="C515" s="130"/>
      <c r="D515" s="130"/>
      <c r="E515" s="136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</row>
    <row r="516" customFormat="false" ht="15.75" hidden="false" customHeight="false" outlineLevel="0" collapsed="false">
      <c r="A516" s="130" t="str">
        <f aca="false">IF(ISBLANK(B516),"",B516&amp;"|"&amp;C516)</f>
        <v/>
      </c>
      <c r="B516" s="130"/>
      <c r="C516" s="130"/>
      <c r="D516" s="130"/>
      <c r="E516" s="136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</row>
    <row r="517" customFormat="false" ht="15.75" hidden="false" customHeight="false" outlineLevel="0" collapsed="false">
      <c r="A517" s="130" t="str">
        <f aca="false">IF(ISBLANK(B517),"",B517&amp;"|"&amp;C517)</f>
        <v/>
      </c>
      <c r="B517" s="130"/>
      <c r="C517" s="130"/>
      <c r="D517" s="130"/>
      <c r="E517" s="136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</row>
    <row r="518" customFormat="false" ht="15.75" hidden="false" customHeight="false" outlineLevel="0" collapsed="false">
      <c r="A518" s="130" t="str">
        <f aca="false">IF(ISBLANK(B518),"",B518&amp;"|"&amp;C518)</f>
        <v/>
      </c>
      <c r="B518" s="130"/>
      <c r="C518" s="130"/>
      <c r="D518" s="130"/>
      <c r="E518" s="136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</row>
    <row r="519" customFormat="false" ht="15.75" hidden="false" customHeight="false" outlineLevel="0" collapsed="false">
      <c r="A519" s="130" t="str">
        <f aca="false">IF(ISBLANK(B519),"",B519&amp;"|"&amp;C519)</f>
        <v/>
      </c>
      <c r="B519" s="130"/>
      <c r="C519" s="130"/>
      <c r="D519" s="130"/>
      <c r="E519" s="136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</row>
    <row r="520" customFormat="false" ht="15.75" hidden="false" customHeight="false" outlineLevel="0" collapsed="false">
      <c r="A520" s="130" t="str">
        <f aca="false">IF(ISBLANK(B520),"",B520&amp;"|"&amp;C520)</f>
        <v/>
      </c>
      <c r="B520" s="130"/>
      <c r="C520" s="130"/>
      <c r="D520" s="130"/>
      <c r="E520" s="136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</row>
    <row r="521" customFormat="false" ht="15.75" hidden="false" customHeight="false" outlineLevel="0" collapsed="false">
      <c r="A521" s="130" t="str">
        <f aca="false">IF(ISBLANK(B521),"",B521&amp;"|"&amp;C521)</f>
        <v/>
      </c>
      <c r="B521" s="130"/>
      <c r="C521" s="130"/>
      <c r="D521" s="130"/>
      <c r="E521" s="136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</row>
    <row r="522" customFormat="false" ht="15.75" hidden="false" customHeight="false" outlineLevel="0" collapsed="false">
      <c r="A522" s="130" t="str">
        <f aca="false">IF(ISBLANK(B522),"",B522&amp;"|"&amp;C522)</f>
        <v/>
      </c>
      <c r="B522" s="130"/>
      <c r="C522" s="130"/>
      <c r="D522" s="130"/>
      <c r="E522" s="136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</row>
    <row r="523" customFormat="false" ht="15.75" hidden="false" customHeight="false" outlineLevel="0" collapsed="false">
      <c r="A523" s="130" t="str">
        <f aca="false">IF(ISBLANK(B523),"",B523&amp;"|"&amp;C523)</f>
        <v/>
      </c>
      <c r="B523" s="130"/>
      <c r="C523" s="130"/>
      <c r="D523" s="130"/>
      <c r="E523" s="136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</row>
    <row r="524" customFormat="false" ht="15.75" hidden="false" customHeight="false" outlineLevel="0" collapsed="false">
      <c r="A524" s="130" t="str">
        <f aca="false">IF(ISBLANK(B524),"",B524&amp;"|"&amp;C524)</f>
        <v/>
      </c>
      <c r="B524" s="130"/>
      <c r="C524" s="130"/>
      <c r="D524" s="130"/>
      <c r="E524" s="136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</row>
    <row r="525" customFormat="false" ht="15.75" hidden="false" customHeight="false" outlineLevel="0" collapsed="false">
      <c r="A525" s="130" t="str">
        <f aca="false">IF(ISBLANK(B525),"",B525&amp;"|"&amp;C525)</f>
        <v/>
      </c>
      <c r="B525" s="130"/>
      <c r="C525" s="130"/>
      <c r="D525" s="130"/>
      <c r="E525" s="136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</row>
    <row r="526" customFormat="false" ht="15.75" hidden="false" customHeight="false" outlineLevel="0" collapsed="false">
      <c r="A526" s="130" t="str">
        <f aca="false">IF(ISBLANK(B526),"",B526&amp;"|"&amp;C526)</f>
        <v/>
      </c>
      <c r="B526" s="130"/>
      <c r="C526" s="130"/>
      <c r="D526" s="130"/>
      <c r="E526" s="136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</row>
    <row r="527" customFormat="false" ht="15.75" hidden="false" customHeight="false" outlineLevel="0" collapsed="false">
      <c r="A527" s="130" t="str">
        <f aca="false">IF(ISBLANK(B527),"",B527&amp;"|"&amp;C527)</f>
        <v/>
      </c>
      <c r="B527" s="130"/>
      <c r="C527" s="130"/>
      <c r="D527" s="130"/>
      <c r="E527" s="136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</row>
    <row r="528" customFormat="false" ht="15.75" hidden="false" customHeight="false" outlineLevel="0" collapsed="false">
      <c r="A528" s="130" t="str">
        <f aca="false">IF(ISBLANK(B528),"",B528&amp;"|"&amp;C528)</f>
        <v/>
      </c>
      <c r="B528" s="130"/>
      <c r="C528" s="130"/>
      <c r="D528" s="130"/>
      <c r="E528" s="136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</row>
    <row r="529" customFormat="false" ht="15.75" hidden="false" customHeight="false" outlineLevel="0" collapsed="false">
      <c r="A529" s="130" t="str">
        <f aca="false">IF(ISBLANK(B529),"",B529&amp;"|"&amp;C529)</f>
        <v/>
      </c>
      <c r="B529" s="130"/>
      <c r="C529" s="130"/>
      <c r="D529" s="130"/>
      <c r="E529" s="136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</row>
    <row r="530" customFormat="false" ht="15.75" hidden="false" customHeight="false" outlineLevel="0" collapsed="false">
      <c r="A530" s="130" t="str">
        <f aca="false">IF(ISBLANK(B530),"",B530&amp;"|"&amp;C530)</f>
        <v/>
      </c>
      <c r="B530" s="130"/>
      <c r="C530" s="130"/>
      <c r="D530" s="130"/>
      <c r="E530" s="136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</row>
    <row r="531" customFormat="false" ht="15.75" hidden="false" customHeight="false" outlineLevel="0" collapsed="false">
      <c r="A531" s="130" t="str">
        <f aca="false">IF(ISBLANK(B531),"",B531&amp;"|"&amp;C531)</f>
        <v/>
      </c>
      <c r="B531" s="130"/>
      <c r="C531" s="130"/>
      <c r="D531" s="130"/>
      <c r="E531" s="136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</row>
    <row r="532" customFormat="false" ht="15.75" hidden="false" customHeight="false" outlineLevel="0" collapsed="false">
      <c r="A532" s="130" t="str">
        <f aca="false">IF(ISBLANK(B532),"",B532&amp;"|"&amp;C532)</f>
        <v/>
      </c>
      <c r="B532" s="130"/>
      <c r="C532" s="130"/>
      <c r="D532" s="130"/>
      <c r="E532" s="136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</row>
    <row r="533" customFormat="false" ht="15.75" hidden="false" customHeight="false" outlineLevel="0" collapsed="false">
      <c r="A533" s="130" t="str">
        <f aca="false">IF(ISBLANK(B533),"",B533&amp;"|"&amp;C533)</f>
        <v/>
      </c>
      <c r="B533" s="130"/>
      <c r="C533" s="130"/>
      <c r="D533" s="130"/>
      <c r="E533" s="136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</row>
    <row r="534" customFormat="false" ht="15.75" hidden="false" customHeight="false" outlineLevel="0" collapsed="false">
      <c r="A534" s="130" t="str">
        <f aca="false">IF(ISBLANK(B534),"",B534&amp;"|"&amp;C534)</f>
        <v/>
      </c>
      <c r="B534" s="130"/>
      <c r="C534" s="130"/>
      <c r="D534" s="130"/>
      <c r="E534" s="136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</row>
    <row r="535" customFormat="false" ht="15.75" hidden="false" customHeight="false" outlineLevel="0" collapsed="false">
      <c r="A535" s="130" t="str">
        <f aca="false">IF(ISBLANK(B535),"",B535&amp;"|"&amp;C535)</f>
        <v/>
      </c>
      <c r="B535" s="130"/>
      <c r="C535" s="130"/>
      <c r="D535" s="130"/>
      <c r="E535" s="136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</row>
    <row r="536" customFormat="false" ht="15.75" hidden="false" customHeight="false" outlineLevel="0" collapsed="false">
      <c r="A536" s="130" t="str">
        <f aca="false">IF(ISBLANK(B536),"",B536&amp;"|"&amp;C536)</f>
        <v/>
      </c>
      <c r="B536" s="130"/>
      <c r="C536" s="130"/>
      <c r="D536" s="130"/>
      <c r="E536" s="136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</row>
    <row r="537" customFormat="false" ht="15.75" hidden="false" customHeight="false" outlineLevel="0" collapsed="false">
      <c r="A537" s="130" t="str">
        <f aca="false">IF(ISBLANK(B537),"",B537&amp;"|"&amp;C537)</f>
        <v/>
      </c>
      <c r="B537" s="130"/>
      <c r="C537" s="130"/>
      <c r="D537" s="130"/>
      <c r="E537" s="136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</row>
    <row r="538" customFormat="false" ht="15.75" hidden="false" customHeight="false" outlineLevel="0" collapsed="false">
      <c r="A538" s="130" t="str">
        <f aca="false">IF(ISBLANK(B538),"",B538&amp;"|"&amp;C538)</f>
        <v/>
      </c>
      <c r="B538" s="130"/>
      <c r="C538" s="130"/>
      <c r="D538" s="130"/>
      <c r="E538" s="136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</row>
    <row r="539" customFormat="false" ht="15.75" hidden="false" customHeight="false" outlineLevel="0" collapsed="false">
      <c r="A539" s="130" t="str">
        <f aca="false">IF(ISBLANK(B539),"",B539&amp;"|"&amp;C539)</f>
        <v/>
      </c>
      <c r="B539" s="130"/>
      <c r="C539" s="130"/>
      <c r="D539" s="130"/>
      <c r="E539" s="136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</row>
    <row r="540" customFormat="false" ht="15.75" hidden="false" customHeight="false" outlineLevel="0" collapsed="false">
      <c r="A540" s="130" t="str">
        <f aca="false">IF(ISBLANK(B540),"",B540&amp;"|"&amp;C540)</f>
        <v/>
      </c>
      <c r="B540" s="130"/>
      <c r="C540" s="130"/>
      <c r="D540" s="130"/>
      <c r="E540" s="136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</row>
    <row r="541" customFormat="false" ht="15.75" hidden="false" customHeight="false" outlineLevel="0" collapsed="false">
      <c r="A541" s="130" t="str">
        <f aca="false">IF(ISBLANK(B541),"",B541&amp;"|"&amp;C541)</f>
        <v/>
      </c>
      <c r="B541" s="130"/>
      <c r="C541" s="130"/>
      <c r="D541" s="130"/>
      <c r="E541" s="136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</row>
    <row r="542" customFormat="false" ht="15.75" hidden="false" customHeight="false" outlineLevel="0" collapsed="false">
      <c r="A542" s="130" t="str">
        <f aca="false">IF(ISBLANK(B542),"",B542&amp;"|"&amp;C542)</f>
        <v/>
      </c>
      <c r="B542" s="130"/>
      <c r="C542" s="130"/>
      <c r="D542" s="130"/>
      <c r="E542" s="136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</row>
    <row r="543" customFormat="false" ht="15.75" hidden="false" customHeight="false" outlineLevel="0" collapsed="false">
      <c r="A543" s="130" t="str">
        <f aca="false">IF(ISBLANK(B543),"",B543&amp;"|"&amp;C543)</f>
        <v/>
      </c>
      <c r="B543" s="130"/>
      <c r="C543" s="130"/>
      <c r="D543" s="130"/>
      <c r="E543" s="136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</row>
    <row r="544" customFormat="false" ht="15.75" hidden="false" customHeight="false" outlineLevel="0" collapsed="false">
      <c r="A544" s="130" t="str">
        <f aca="false">IF(ISBLANK(B544),"",B544&amp;"|"&amp;C544)</f>
        <v/>
      </c>
      <c r="B544" s="130"/>
      <c r="C544" s="130"/>
      <c r="D544" s="130"/>
      <c r="E544" s="136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</row>
    <row r="545" customFormat="false" ht="15.75" hidden="false" customHeight="false" outlineLevel="0" collapsed="false">
      <c r="A545" s="130" t="str">
        <f aca="false">IF(ISBLANK(B545),"",B545&amp;"|"&amp;C545)</f>
        <v/>
      </c>
      <c r="B545" s="130"/>
      <c r="C545" s="130"/>
      <c r="D545" s="130"/>
      <c r="E545" s="136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</row>
    <row r="546" customFormat="false" ht="15.75" hidden="false" customHeight="false" outlineLevel="0" collapsed="false">
      <c r="A546" s="130" t="str">
        <f aca="false">IF(ISBLANK(B546),"",B546&amp;"|"&amp;C546)</f>
        <v/>
      </c>
      <c r="B546" s="130"/>
      <c r="C546" s="130"/>
      <c r="D546" s="130"/>
      <c r="E546" s="136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</row>
    <row r="547" customFormat="false" ht="15.75" hidden="false" customHeight="false" outlineLevel="0" collapsed="false">
      <c r="A547" s="130" t="str">
        <f aca="false">IF(ISBLANK(B547),"",B547&amp;"|"&amp;C547)</f>
        <v/>
      </c>
      <c r="B547" s="130"/>
      <c r="C547" s="130"/>
      <c r="D547" s="130"/>
      <c r="E547" s="136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</row>
    <row r="548" customFormat="false" ht="15.75" hidden="false" customHeight="false" outlineLevel="0" collapsed="false">
      <c r="A548" s="130" t="str">
        <f aca="false">IF(ISBLANK(B548),"",B548&amp;"|"&amp;C548)</f>
        <v/>
      </c>
      <c r="B548" s="130"/>
      <c r="C548" s="130"/>
      <c r="D548" s="130"/>
      <c r="E548" s="136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</row>
    <row r="549" customFormat="false" ht="15.75" hidden="false" customHeight="false" outlineLevel="0" collapsed="false">
      <c r="A549" s="130" t="str">
        <f aca="false">IF(ISBLANK(B549),"",B549&amp;"|"&amp;C549)</f>
        <v/>
      </c>
      <c r="B549" s="130"/>
      <c r="C549" s="130"/>
      <c r="D549" s="130"/>
      <c r="E549" s="136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</row>
    <row r="550" customFormat="false" ht="15.75" hidden="false" customHeight="false" outlineLevel="0" collapsed="false">
      <c r="A550" s="130" t="str">
        <f aca="false">IF(ISBLANK(B550),"",B550&amp;"|"&amp;C550)</f>
        <v/>
      </c>
      <c r="B550" s="130"/>
      <c r="C550" s="130"/>
      <c r="D550" s="130"/>
      <c r="E550" s="136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</row>
    <row r="551" customFormat="false" ht="15.75" hidden="false" customHeight="false" outlineLevel="0" collapsed="false">
      <c r="A551" s="130" t="str">
        <f aca="false">IF(ISBLANK(B551),"",B551&amp;"|"&amp;C551)</f>
        <v/>
      </c>
      <c r="B551" s="130"/>
      <c r="C551" s="130"/>
      <c r="D551" s="130"/>
      <c r="E551" s="136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</row>
    <row r="552" customFormat="false" ht="15.75" hidden="false" customHeight="false" outlineLevel="0" collapsed="false">
      <c r="A552" s="130" t="str">
        <f aca="false">IF(ISBLANK(B552),"",B552&amp;"|"&amp;C552)</f>
        <v/>
      </c>
      <c r="B552" s="130"/>
      <c r="C552" s="130"/>
      <c r="D552" s="130"/>
      <c r="E552" s="136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</row>
    <row r="553" customFormat="false" ht="15.75" hidden="false" customHeight="false" outlineLevel="0" collapsed="false">
      <c r="A553" s="130" t="str">
        <f aca="false">IF(ISBLANK(B553),"",B553&amp;"|"&amp;C553)</f>
        <v/>
      </c>
      <c r="B553" s="130"/>
      <c r="C553" s="130"/>
      <c r="D553" s="130"/>
      <c r="E553" s="136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</row>
    <row r="554" customFormat="false" ht="15.75" hidden="false" customHeight="false" outlineLevel="0" collapsed="false">
      <c r="A554" s="130" t="str">
        <f aca="false">IF(ISBLANK(B554),"",B554&amp;"|"&amp;C554)</f>
        <v/>
      </c>
      <c r="B554" s="130"/>
      <c r="C554" s="130"/>
      <c r="D554" s="130"/>
      <c r="E554" s="136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</row>
    <row r="555" customFormat="false" ht="15.75" hidden="false" customHeight="false" outlineLevel="0" collapsed="false">
      <c r="A555" s="130" t="str">
        <f aca="false">IF(ISBLANK(B555),"",B555&amp;"|"&amp;C555)</f>
        <v/>
      </c>
      <c r="B555" s="130"/>
      <c r="C555" s="130"/>
      <c r="D555" s="130"/>
      <c r="E555" s="136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</row>
    <row r="556" customFormat="false" ht="15.75" hidden="false" customHeight="false" outlineLevel="0" collapsed="false">
      <c r="A556" s="130" t="str">
        <f aca="false">IF(ISBLANK(B556),"",B556&amp;"|"&amp;C556)</f>
        <v/>
      </c>
      <c r="B556" s="130"/>
      <c r="C556" s="130"/>
      <c r="D556" s="130"/>
      <c r="E556" s="136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</row>
    <row r="557" customFormat="false" ht="15.75" hidden="false" customHeight="false" outlineLevel="0" collapsed="false">
      <c r="A557" s="130" t="str">
        <f aca="false">IF(ISBLANK(B557),"",B557&amp;"|"&amp;C557)</f>
        <v/>
      </c>
      <c r="B557" s="130"/>
      <c r="C557" s="130"/>
      <c r="D557" s="130"/>
      <c r="E557" s="136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</row>
    <row r="558" customFormat="false" ht="15.75" hidden="false" customHeight="false" outlineLevel="0" collapsed="false">
      <c r="A558" s="130" t="str">
        <f aca="false">IF(ISBLANK(B558),"",B558&amp;"|"&amp;C558)</f>
        <v/>
      </c>
      <c r="B558" s="130"/>
      <c r="C558" s="130"/>
      <c r="D558" s="130"/>
      <c r="E558" s="136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</row>
    <row r="559" customFormat="false" ht="15.75" hidden="false" customHeight="false" outlineLevel="0" collapsed="false">
      <c r="A559" s="130" t="str">
        <f aca="false">IF(ISBLANK(B559),"",B559&amp;"|"&amp;C559)</f>
        <v/>
      </c>
      <c r="B559" s="130"/>
      <c r="C559" s="130"/>
      <c r="D559" s="130"/>
      <c r="E559" s="136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</row>
    <row r="560" customFormat="false" ht="15.75" hidden="false" customHeight="false" outlineLevel="0" collapsed="false">
      <c r="A560" s="130" t="str">
        <f aca="false">IF(ISBLANK(B560),"",B560&amp;"|"&amp;C560)</f>
        <v/>
      </c>
      <c r="B560" s="130"/>
      <c r="C560" s="130"/>
      <c r="D560" s="130"/>
      <c r="E560" s="136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</row>
    <row r="561" customFormat="false" ht="15.75" hidden="false" customHeight="false" outlineLevel="0" collapsed="false">
      <c r="A561" s="130" t="str">
        <f aca="false">IF(ISBLANK(B561),"",B561&amp;"|"&amp;C561)</f>
        <v/>
      </c>
      <c r="B561" s="130"/>
      <c r="C561" s="130"/>
      <c r="D561" s="130"/>
      <c r="E561" s="136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</row>
    <row r="562" customFormat="false" ht="15.75" hidden="false" customHeight="false" outlineLevel="0" collapsed="false">
      <c r="A562" s="130" t="str">
        <f aca="false">IF(ISBLANK(B562),"",B562&amp;"|"&amp;C562)</f>
        <v/>
      </c>
      <c r="B562" s="130"/>
      <c r="C562" s="130"/>
      <c r="D562" s="130"/>
      <c r="E562" s="136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</row>
    <row r="563" customFormat="false" ht="15.75" hidden="false" customHeight="false" outlineLevel="0" collapsed="false">
      <c r="A563" s="130" t="str">
        <f aca="false">IF(ISBLANK(B563),"",B563&amp;"|"&amp;C563)</f>
        <v/>
      </c>
      <c r="B563" s="130"/>
      <c r="C563" s="130"/>
      <c r="D563" s="130"/>
      <c r="E563" s="136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</row>
    <row r="564" customFormat="false" ht="15.75" hidden="false" customHeight="false" outlineLevel="0" collapsed="false">
      <c r="A564" s="130" t="str">
        <f aca="false">IF(ISBLANK(B564),"",B564&amp;"|"&amp;C564)</f>
        <v/>
      </c>
      <c r="B564" s="130"/>
      <c r="C564" s="130"/>
      <c r="D564" s="130"/>
      <c r="E564" s="136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</row>
    <row r="565" customFormat="false" ht="15.75" hidden="false" customHeight="false" outlineLevel="0" collapsed="false">
      <c r="A565" s="130" t="str">
        <f aca="false">IF(ISBLANK(B565),"",B565&amp;"|"&amp;C565)</f>
        <v/>
      </c>
      <c r="B565" s="130"/>
      <c r="C565" s="130"/>
      <c r="D565" s="130"/>
      <c r="E565" s="136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</row>
    <row r="566" customFormat="false" ht="15.75" hidden="false" customHeight="false" outlineLevel="0" collapsed="false">
      <c r="A566" s="130" t="str">
        <f aca="false">IF(ISBLANK(B566),"",B566&amp;"|"&amp;C566)</f>
        <v/>
      </c>
      <c r="B566" s="130"/>
      <c r="C566" s="130"/>
      <c r="D566" s="130"/>
      <c r="E566" s="136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</row>
    <row r="567" customFormat="false" ht="15.75" hidden="false" customHeight="false" outlineLevel="0" collapsed="false">
      <c r="A567" s="130" t="str">
        <f aca="false">IF(ISBLANK(B567),"",B567&amp;"|"&amp;C567)</f>
        <v/>
      </c>
      <c r="B567" s="130"/>
      <c r="C567" s="130"/>
      <c r="D567" s="130"/>
      <c r="E567" s="136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</row>
    <row r="568" customFormat="false" ht="15.75" hidden="false" customHeight="false" outlineLevel="0" collapsed="false">
      <c r="A568" s="130" t="str">
        <f aca="false">IF(ISBLANK(B568),"",B568&amp;"|"&amp;C568)</f>
        <v/>
      </c>
      <c r="B568" s="130"/>
      <c r="C568" s="130"/>
      <c r="D568" s="130"/>
      <c r="E568" s="136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</row>
    <row r="569" customFormat="false" ht="15.75" hidden="false" customHeight="false" outlineLevel="0" collapsed="false">
      <c r="A569" s="130" t="str">
        <f aca="false">IF(ISBLANK(B569),"",B569&amp;"|"&amp;C569)</f>
        <v/>
      </c>
      <c r="B569" s="130"/>
      <c r="C569" s="130"/>
      <c r="D569" s="130"/>
      <c r="E569" s="136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</row>
    <row r="570" customFormat="false" ht="15.75" hidden="false" customHeight="false" outlineLevel="0" collapsed="false">
      <c r="A570" s="130" t="str">
        <f aca="false">IF(ISBLANK(B570),"",B570&amp;"|"&amp;C570)</f>
        <v/>
      </c>
      <c r="B570" s="130"/>
      <c r="C570" s="130"/>
      <c r="D570" s="130"/>
      <c r="E570" s="136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</row>
    <row r="571" customFormat="false" ht="15.75" hidden="false" customHeight="false" outlineLevel="0" collapsed="false">
      <c r="A571" s="130" t="str">
        <f aca="false">IF(ISBLANK(B571),"",B571&amp;"|"&amp;C571)</f>
        <v/>
      </c>
      <c r="B571" s="130"/>
      <c r="C571" s="130"/>
      <c r="D571" s="130"/>
      <c r="E571" s="136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</row>
    <row r="572" customFormat="false" ht="15.75" hidden="false" customHeight="false" outlineLevel="0" collapsed="false">
      <c r="A572" s="130" t="str">
        <f aca="false">IF(ISBLANK(B572),"",B572&amp;"|"&amp;C572)</f>
        <v/>
      </c>
      <c r="B572" s="130"/>
      <c r="C572" s="130"/>
      <c r="D572" s="130"/>
      <c r="E572" s="136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</row>
    <row r="573" customFormat="false" ht="15.75" hidden="false" customHeight="false" outlineLevel="0" collapsed="false">
      <c r="A573" s="130" t="str">
        <f aca="false">IF(ISBLANK(B573),"",B573&amp;"|"&amp;C573)</f>
        <v/>
      </c>
      <c r="B573" s="130"/>
      <c r="C573" s="130"/>
      <c r="D573" s="130"/>
      <c r="E573" s="136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</row>
    <row r="574" customFormat="false" ht="15.75" hidden="false" customHeight="false" outlineLevel="0" collapsed="false">
      <c r="A574" s="130" t="str">
        <f aca="false">IF(ISBLANK(B574),"",B574&amp;"|"&amp;C574)</f>
        <v/>
      </c>
      <c r="B574" s="130"/>
      <c r="C574" s="130"/>
      <c r="D574" s="130"/>
      <c r="E574" s="136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</row>
    <row r="575" customFormat="false" ht="15.75" hidden="false" customHeight="false" outlineLevel="0" collapsed="false">
      <c r="A575" s="130" t="str">
        <f aca="false">IF(ISBLANK(B575),"",B575&amp;"|"&amp;C575)</f>
        <v/>
      </c>
      <c r="B575" s="130"/>
      <c r="C575" s="130"/>
      <c r="D575" s="130"/>
      <c r="E575" s="136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</row>
    <row r="576" customFormat="false" ht="15.75" hidden="false" customHeight="false" outlineLevel="0" collapsed="false">
      <c r="A576" s="130" t="str">
        <f aca="false">IF(ISBLANK(B576),"",B576&amp;"|"&amp;C576)</f>
        <v/>
      </c>
      <c r="B576" s="130"/>
      <c r="C576" s="130"/>
      <c r="D576" s="130"/>
      <c r="E576" s="136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</row>
    <row r="577" customFormat="false" ht="15.75" hidden="false" customHeight="false" outlineLevel="0" collapsed="false">
      <c r="A577" s="130" t="str">
        <f aca="false">IF(ISBLANK(B577),"",B577&amp;"|"&amp;C577)</f>
        <v/>
      </c>
      <c r="B577" s="130"/>
      <c r="C577" s="130"/>
      <c r="D577" s="130"/>
      <c r="E577" s="136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</row>
    <row r="578" customFormat="false" ht="15.75" hidden="false" customHeight="false" outlineLevel="0" collapsed="false">
      <c r="A578" s="130" t="str">
        <f aca="false">IF(ISBLANK(B578),"",B578&amp;"|"&amp;C578)</f>
        <v/>
      </c>
      <c r="B578" s="130"/>
      <c r="C578" s="130"/>
      <c r="D578" s="130"/>
      <c r="E578" s="136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</row>
    <row r="579" customFormat="false" ht="15.75" hidden="false" customHeight="false" outlineLevel="0" collapsed="false">
      <c r="A579" s="130" t="str">
        <f aca="false">IF(ISBLANK(B579),"",B579&amp;"|"&amp;C579)</f>
        <v/>
      </c>
      <c r="B579" s="130"/>
      <c r="C579" s="130"/>
      <c r="D579" s="130"/>
      <c r="E579" s="136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</row>
    <row r="580" customFormat="false" ht="15.75" hidden="false" customHeight="false" outlineLevel="0" collapsed="false">
      <c r="A580" s="130" t="str">
        <f aca="false">IF(ISBLANK(B580),"",B580&amp;"|"&amp;C580)</f>
        <v/>
      </c>
      <c r="B580" s="130"/>
      <c r="C580" s="130"/>
      <c r="D580" s="130"/>
      <c r="E580" s="136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</row>
    <row r="581" customFormat="false" ht="15.75" hidden="false" customHeight="false" outlineLevel="0" collapsed="false">
      <c r="A581" s="130" t="str">
        <f aca="false">IF(ISBLANK(B581),"",B581&amp;"|"&amp;C581)</f>
        <v/>
      </c>
      <c r="B581" s="130"/>
      <c r="C581" s="130"/>
      <c r="D581" s="130"/>
      <c r="E581" s="136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</row>
    <row r="582" customFormat="false" ht="15.75" hidden="false" customHeight="false" outlineLevel="0" collapsed="false">
      <c r="A582" s="130" t="str">
        <f aca="false">IF(ISBLANK(B582),"",B582&amp;"|"&amp;C582)</f>
        <v/>
      </c>
      <c r="B582" s="130"/>
      <c r="C582" s="130"/>
      <c r="D582" s="130"/>
      <c r="E582" s="136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</row>
    <row r="583" customFormat="false" ht="15.75" hidden="false" customHeight="false" outlineLevel="0" collapsed="false">
      <c r="A583" s="130" t="str">
        <f aca="false">IF(ISBLANK(B583),"",B583&amp;"|"&amp;C583)</f>
        <v/>
      </c>
      <c r="B583" s="130"/>
      <c r="C583" s="130"/>
      <c r="D583" s="130"/>
      <c r="E583" s="136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</row>
    <row r="584" customFormat="false" ht="15.75" hidden="false" customHeight="false" outlineLevel="0" collapsed="false">
      <c r="A584" s="130" t="str">
        <f aca="false">IF(ISBLANK(B584),"",B584&amp;"|"&amp;C584)</f>
        <v/>
      </c>
      <c r="B584" s="130"/>
      <c r="C584" s="130"/>
      <c r="D584" s="130"/>
      <c r="E584" s="136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</row>
    <row r="585" customFormat="false" ht="15.75" hidden="false" customHeight="false" outlineLevel="0" collapsed="false">
      <c r="A585" s="130" t="str">
        <f aca="false">IF(ISBLANK(B585),"",B585&amp;"|"&amp;C585)</f>
        <v/>
      </c>
      <c r="B585" s="130"/>
      <c r="C585" s="130"/>
      <c r="D585" s="130"/>
      <c r="E585" s="136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</row>
    <row r="586" customFormat="false" ht="15.75" hidden="false" customHeight="false" outlineLevel="0" collapsed="false">
      <c r="A586" s="130" t="str">
        <f aca="false">IF(ISBLANK(B586),"",B586&amp;"|"&amp;C586)</f>
        <v/>
      </c>
      <c r="B586" s="130"/>
      <c r="C586" s="130"/>
      <c r="D586" s="130"/>
      <c r="E586" s="136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</row>
    <row r="587" customFormat="false" ht="15.75" hidden="false" customHeight="false" outlineLevel="0" collapsed="false">
      <c r="A587" s="130" t="str">
        <f aca="false">IF(ISBLANK(B587),"",B587&amp;"|"&amp;C587)</f>
        <v/>
      </c>
      <c r="B587" s="130"/>
      <c r="C587" s="130"/>
      <c r="D587" s="130"/>
      <c r="E587" s="136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</row>
    <row r="588" customFormat="false" ht="15.75" hidden="false" customHeight="false" outlineLevel="0" collapsed="false">
      <c r="A588" s="130" t="str">
        <f aca="false">IF(ISBLANK(B588),"",B588&amp;"|"&amp;C588)</f>
        <v/>
      </c>
      <c r="B588" s="130"/>
      <c r="C588" s="130"/>
      <c r="D588" s="130"/>
      <c r="E588" s="136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</row>
    <row r="589" customFormat="false" ht="15.75" hidden="false" customHeight="false" outlineLevel="0" collapsed="false">
      <c r="A589" s="130" t="str">
        <f aca="false">IF(ISBLANK(B589),"",B589&amp;"|"&amp;C589)</f>
        <v/>
      </c>
      <c r="B589" s="130"/>
      <c r="C589" s="130"/>
      <c r="D589" s="130"/>
      <c r="E589" s="136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</row>
    <row r="590" customFormat="false" ht="15.75" hidden="false" customHeight="false" outlineLevel="0" collapsed="false">
      <c r="A590" s="130" t="str">
        <f aca="false">IF(ISBLANK(B590),"",B590&amp;"|"&amp;C590)</f>
        <v/>
      </c>
      <c r="B590" s="130"/>
      <c r="C590" s="130"/>
      <c r="D590" s="130"/>
      <c r="E590" s="136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</row>
    <row r="591" customFormat="false" ht="15.75" hidden="false" customHeight="false" outlineLevel="0" collapsed="false">
      <c r="A591" s="130" t="str">
        <f aca="false">IF(ISBLANK(B591),"",B591&amp;"|"&amp;C591)</f>
        <v/>
      </c>
      <c r="B591" s="130"/>
      <c r="C591" s="130"/>
      <c r="D591" s="130"/>
      <c r="E591" s="136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</row>
    <row r="592" customFormat="false" ht="15.75" hidden="false" customHeight="false" outlineLevel="0" collapsed="false">
      <c r="A592" s="130" t="str">
        <f aca="false">IF(ISBLANK(B592),"",B592&amp;"|"&amp;C592)</f>
        <v/>
      </c>
      <c r="B592" s="130"/>
      <c r="C592" s="130"/>
      <c r="D592" s="130"/>
      <c r="E592" s="136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</row>
    <row r="593" customFormat="false" ht="15.75" hidden="false" customHeight="false" outlineLevel="0" collapsed="false">
      <c r="A593" s="130" t="str">
        <f aca="false">IF(ISBLANK(B593),"",B593&amp;"|"&amp;C593)</f>
        <v/>
      </c>
      <c r="B593" s="130"/>
      <c r="C593" s="130"/>
      <c r="D593" s="130"/>
      <c r="E593" s="136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</row>
    <row r="594" customFormat="false" ht="15.75" hidden="false" customHeight="false" outlineLevel="0" collapsed="false">
      <c r="A594" s="130" t="str">
        <f aca="false">IF(ISBLANK(B594),"",B594&amp;"|"&amp;C594)</f>
        <v/>
      </c>
      <c r="B594" s="130"/>
      <c r="C594" s="130"/>
      <c r="D594" s="130"/>
      <c r="E594" s="136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</row>
    <row r="595" customFormat="false" ht="15.75" hidden="false" customHeight="false" outlineLevel="0" collapsed="false">
      <c r="A595" s="130" t="str">
        <f aca="false">IF(ISBLANK(B595),"",B595&amp;"|"&amp;C595)</f>
        <v/>
      </c>
      <c r="B595" s="130"/>
      <c r="C595" s="130"/>
      <c r="D595" s="130"/>
      <c r="E595" s="136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</row>
    <row r="596" customFormat="false" ht="15.75" hidden="false" customHeight="false" outlineLevel="0" collapsed="false">
      <c r="A596" s="130" t="str">
        <f aca="false">IF(ISBLANK(B596),"",B596&amp;"|"&amp;C596)</f>
        <v/>
      </c>
      <c r="B596" s="130"/>
      <c r="C596" s="130"/>
      <c r="D596" s="130"/>
      <c r="E596" s="136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</row>
    <row r="597" customFormat="false" ht="15.75" hidden="false" customHeight="false" outlineLevel="0" collapsed="false">
      <c r="A597" s="130" t="str">
        <f aca="false">IF(ISBLANK(B597),"",B597&amp;"|"&amp;C597)</f>
        <v/>
      </c>
      <c r="B597" s="130"/>
      <c r="C597" s="130"/>
      <c r="D597" s="130"/>
      <c r="E597" s="136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</row>
    <row r="598" customFormat="false" ht="15.75" hidden="false" customHeight="false" outlineLevel="0" collapsed="false">
      <c r="A598" s="130" t="str">
        <f aca="false">IF(ISBLANK(B598),"",B598&amp;"|"&amp;C598)</f>
        <v/>
      </c>
      <c r="B598" s="130"/>
      <c r="C598" s="130"/>
      <c r="D598" s="130"/>
      <c r="E598" s="136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</row>
    <row r="599" customFormat="false" ht="15.75" hidden="false" customHeight="false" outlineLevel="0" collapsed="false">
      <c r="A599" s="130" t="str">
        <f aca="false">IF(ISBLANK(B599),"",B599&amp;"|"&amp;C599)</f>
        <v/>
      </c>
      <c r="B599" s="130"/>
      <c r="C599" s="130"/>
      <c r="D599" s="130"/>
      <c r="E599" s="136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</row>
    <row r="600" customFormat="false" ht="15.75" hidden="false" customHeight="false" outlineLevel="0" collapsed="false">
      <c r="A600" s="130" t="str">
        <f aca="false">IF(ISBLANK(B600),"",B600&amp;"|"&amp;C600)</f>
        <v/>
      </c>
      <c r="B600" s="130"/>
      <c r="C600" s="130"/>
      <c r="D600" s="130"/>
      <c r="E600" s="136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</row>
    <row r="601" customFormat="false" ht="15.75" hidden="false" customHeight="false" outlineLevel="0" collapsed="false">
      <c r="A601" s="130" t="str">
        <f aca="false">IF(ISBLANK(B601),"",B601&amp;"|"&amp;C601)</f>
        <v/>
      </c>
      <c r="B601" s="130"/>
      <c r="C601" s="130"/>
      <c r="D601" s="130"/>
      <c r="E601" s="136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</row>
    <row r="602" customFormat="false" ht="15.75" hidden="false" customHeight="false" outlineLevel="0" collapsed="false">
      <c r="A602" s="130" t="str">
        <f aca="false">IF(ISBLANK(B602),"",B602&amp;"|"&amp;C602)</f>
        <v/>
      </c>
      <c r="B602" s="130"/>
      <c r="C602" s="130"/>
      <c r="D602" s="130"/>
      <c r="E602" s="136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</row>
    <row r="603" customFormat="false" ht="15.75" hidden="false" customHeight="false" outlineLevel="0" collapsed="false">
      <c r="A603" s="130" t="str">
        <f aca="false">IF(ISBLANK(B603),"",B603&amp;"|"&amp;C603)</f>
        <v/>
      </c>
      <c r="B603" s="130"/>
      <c r="C603" s="130"/>
      <c r="D603" s="130"/>
      <c r="E603" s="136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</row>
    <row r="604" customFormat="false" ht="15.75" hidden="false" customHeight="false" outlineLevel="0" collapsed="false">
      <c r="A604" s="130" t="str">
        <f aca="false">IF(ISBLANK(B604),"",B604&amp;"|"&amp;C604)</f>
        <v/>
      </c>
      <c r="B604" s="130"/>
      <c r="C604" s="130"/>
      <c r="D604" s="130"/>
      <c r="E604" s="136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</row>
    <row r="605" customFormat="false" ht="15.75" hidden="false" customHeight="false" outlineLevel="0" collapsed="false">
      <c r="A605" s="130" t="str">
        <f aca="false">IF(ISBLANK(B605),"",B605&amp;"|"&amp;C605)</f>
        <v/>
      </c>
      <c r="B605" s="130"/>
      <c r="C605" s="130"/>
      <c r="D605" s="130"/>
      <c r="E605" s="136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</row>
    <row r="606" customFormat="false" ht="15.75" hidden="false" customHeight="false" outlineLevel="0" collapsed="false">
      <c r="A606" s="130" t="str">
        <f aca="false">IF(ISBLANK(B606),"",B606&amp;"|"&amp;C606)</f>
        <v/>
      </c>
      <c r="B606" s="130"/>
      <c r="C606" s="130"/>
      <c r="D606" s="130"/>
      <c r="E606" s="136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</row>
    <row r="607" customFormat="false" ht="15.75" hidden="false" customHeight="false" outlineLevel="0" collapsed="false">
      <c r="A607" s="130" t="str">
        <f aca="false">IF(ISBLANK(B607),"",B607&amp;"|"&amp;C607)</f>
        <v/>
      </c>
      <c r="B607" s="130"/>
      <c r="C607" s="130"/>
      <c r="D607" s="130"/>
      <c r="E607" s="136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</row>
    <row r="608" customFormat="false" ht="15.75" hidden="false" customHeight="false" outlineLevel="0" collapsed="false">
      <c r="A608" s="130" t="str">
        <f aca="false">IF(ISBLANK(B608),"",B608&amp;"|"&amp;C608)</f>
        <v/>
      </c>
      <c r="B608" s="130"/>
      <c r="C608" s="130"/>
      <c r="D608" s="130"/>
      <c r="E608" s="136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</row>
    <row r="609" customFormat="false" ht="15.75" hidden="false" customHeight="false" outlineLevel="0" collapsed="false">
      <c r="A609" s="130" t="str">
        <f aca="false">IF(ISBLANK(B609),"",B609&amp;"|"&amp;C609)</f>
        <v/>
      </c>
      <c r="B609" s="130"/>
      <c r="C609" s="130"/>
      <c r="D609" s="130"/>
      <c r="E609" s="136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</row>
    <row r="610" customFormat="false" ht="15.75" hidden="false" customHeight="false" outlineLevel="0" collapsed="false">
      <c r="A610" s="130" t="str">
        <f aca="false">IF(ISBLANK(B610),"",B610&amp;"|"&amp;C610)</f>
        <v/>
      </c>
      <c r="B610" s="130"/>
      <c r="C610" s="130"/>
      <c r="D610" s="130"/>
      <c r="E610" s="136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</row>
    <row r="611" customFormat="false" ht="15.75" hidden="false" customHeight="false" outlineLevel="0" collapsed="false">
      <c r="A611" s="130" t="str">
        <f aca="false">IF(ISBLANK(B611),"",B611&amp;"|"&amp;C611)</f>
        <v/>
      </c>
      <c r="B611" s="130"/>
      <c r="C611" s="130"/>
      <c r="D611" s="130"/>
      <c r="E611" s="136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</row>
    <row r="612" customFormat="false" ht="15.75" hidden="false" customHeight="false" outlineLevel="0" collapsed="false">
      <c r="A612" s="130" t="str">
        <f aca="false">IF(ISBLANK(B612),"",B612&amp;"|"&amp;C612)</f>
        <v/>
      </c>
      <c r="B612" s="130"/>
      <c r="C612" s="130"/>
      <c r="D612" s="130"/>
      <c r="E612" s="136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</row>
    <row r="613" customFormat="false" ht="15.75" hidden="false" customHeight="false" outlineLevel="0" collapsed="false">
      <c r="A613" s="130" t="str">
        <f aca="false">IF(ISBLANK(B613),"",B613&amp;"|"&amp;C613)</f>
        <v/>
      </c>
      <c r="B613" s="130"/>
      <c r="C613" s="130"/>
      <c r="D613" s="130"/>
      <c r="E613" s="136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</row>
    <row r="614" customFormat="false" ht="15.75" hidden="false" customHeight="false" outlineLevel="0" collapsed="false">
      <c r="A614" s="130" t="str">
        <f aca="false">IF(ISBLANK(B614),"",B614&amp;"|"&amp;C614)</f>
        <v/>
      </c>
      <c r="B614" s="130"/>
      <c r="C614" s="130"/>
      <c r="D614" s="130"/>
      <c r="E614" s="136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</row>
    <row r="615" customFormat="false" ht="15.75" hidden="false" customHeight="false" outlineLevel="0" collapsed="false">
      <c r="A615" s="130" t="str">
        <f aca="false">IF(ISBLANK(B615),"",B615&amp;"|"&amp;C615)</f>
        <v/>
      </c>
      <c r="B615" s="130"/>
      <c r="C615" s="130"/>
      <c r="D615" s="130"/>
      <c r="E615" s="136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</row>
    <row r="616" customFormat="false" ht="15.75" hidden="false" customHeight="false" outlineLevel="0" collapsed="false">
      <c r="A616" s="130" t="str">
        <f aca="false">IF(ISBLANK(B616),"",B616&amp;"|"&amp;C616)</f>
        <v/>
      </c>
      <c r="B616" s="130"/>
      <c r="C616" s="130"/>
      <c r="D616" s="130"/>
      <c r="E616" s="136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</row>
    <row r="617" customFormat="false" ht="15.75" hidden="false" customHeight="false" outlineLevel="0" collapsed="false">
      <c r="A617" s="130" t="str">
        <f aca="false">IF(ISBLANK(B617),"",B617&amp;"|"&amp;C617)</f>
        <v/>
      </c>
      <c r="B617" s="130"/>
      <c r="C617" s="130"/>
      <c r="D617" s="130"/>
      <c r="E617" s="136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</row>
    <row r="618" customFormat="false" ht="15.75" hidden="false" customHeight="false" outlineLevel="0" collapsed="false">
      <c r="A618" s="130" t="str">
        <f aca="false">IF(ISBLANK(B618),"",B618&amp;"|"&amp;C618)</f>
        <v/>
      </c>
      <c r="B618" s="130"/>
      <c r="C618" s="130"/>
      <c r="D618" s="130"/>
      <c r="E618" s="136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</row>
    <row r="619" customFormat="false" ht="15.75" hidden="false" customHeight="false" outlineLevel="0" collapsed="false">
      <c r="A619" s="130" t="str">
        <f aca="false">IF(ISBLANK(B619),"",B619&amp;"|"&amp;C619)</f>
        <v/>
      </c>
      <c r="B619" s="130"/>
      <c r="C619" s="130"/>
      <c r="D619" s="130"/>
      <c r="E619" s="136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</row>
    <row r="620" customFormat="false" ht="15.75" hidden="false" customHeight="false" outlineLevel="0" collapsed="false">
      <c r="A620" s="130" t="str">
        <f aca="false">IF(ISBLANK(B620),"",B620&amp;"|"&amp;C620)</f>
        <v/>
      </c>
      <c r="B620" s="130"/>
      <c r="C620" s="130"/>
      <c r="D620" s="130"/>
      <c r="E620" s="136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</row>
    <row r="621" customFormat="false" ht="15.75" hidden="false" customHeight="false" outlineLevel="0" collapsed="false">
      <c r="A621" s="130" t="str">
        <f aca="false">IF(ISBLANK(B621),"",B621&amp;"|"&amp;C621)</f>
        <v/>
      </c>
      <c r="B621" s="130"/>
      <c r="C621" s="130"/>
      <c r="D621" s="130"/>
      <c r="E621" s="136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</row>
    <row r="622" customFormat="false" ht="15.75" hidden="false" customHeight="false" outlineLevel="0" collapsed="false">
      <c r="A622" s="130" t="str">
        <f aca="false">IF(ISBLANK(B622),"",B622&amp;"|"&amp;C622)</f>
        <v/>
      </c>
      <c r="B622" s="130"/>
      <c r="C622" s="130"/>
      <c r="D622" s="130"/>
      <c r="E622" s="136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</row>
    <row r="623" customFormat="false" ht="15.75" hidden="false" customHeight="false" outlineLevel="0" collapsed="false">
      <c r="A623" s="130" t="str">
        <f aca="false">IF(ISBLANK(B623),"",B623&amp;"|"&amp;C623)</f>
        <v/>
      </c>
      <c r="B623" s="130"/>
      <c r="C623" s="130"/>
      <c r="D623" s="130"/>
      <c r="E623" s="136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</row>
    <row r="624" customFormat="false" ht="15.75" hidden="false" customHeight="false" outlineLevel="0" collapsed="false">
      <c r="A624" s="130" t="str">
        <f aca="false">IF(ISBLANK(B624),"",B624&amp;"|"&amp;C624)</f>
        <v/>
      </c>
      <c r="B624" s="130"/>
      <c r="C624" s="130"/>
      <c r="D624" s="130"/>
      <c r="E624" s="136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</row>
    <row r="625" customFormat="false" ht="15.75" hidden="false" customHeight="false" outlineLevel="0" collapsed="false">
      <c r="A625" s="130" t="str">
        <f aca="false">IF(ISBLANK(B625),"",B625&amp;"|"&amp;C625)</f>
        <v/>
      </c>
      <c r="B625" s="130"/>
      <c r="C625" s="130"/>
      <c r="D625" s="130"/>
      <c r="E625" s="136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</row>
    <row r="626" customFormat="false" ht="15.75" hidden="false" customHeight="false" outlineLevel="0" collapsed="false">
      <c r="A626" s="130" t="str">
        <f aca="false">IF(ISBLANK(B626),"",B626&amp;"|"&amp;C626)</f>
        <v/>
      </c>
      <c r="B626" s="130"/>
      <c r="C626" s="130"/>
      <c r="D626" s="130"/>
      <c r="E626" s="136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</row>
    <row r="627" customFormat="false" ht="15.75" hidden="false" customHeight="false" outlineLevel="0" collapsed="false">
      <c r="A627" s="130" t="str">
        <f aca="false">IF(ISBLANK(B627),"",B627&amp;"|"&amp;C627)</f>
        <v/>
      </c>
      <c r="B627" s="130"/>
      <c r="C627" s="130"/>
      <c r="D627" s="130"/>
      <c r="E627" s="136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</row>
    <row r="628" customFormat="false" ht="15.75" hidden="false" customHeight="false" outlineLevel="0" collapsed="false">
      <c r="A628" s="130" t="str">
        <f aca="false">IF(ISBLANK(B628),"",B628&amp;"|"&amp;C628)</f>
        <v/>
      </c>
      <c r="B628" s="130"/>
      <c r="C628" s="130"/>
      <c r="D628" s="130"/>
      <c r="E628" s="136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</row>
    <row r="629" customFormat="false" ht="15.75" hidden="false" customHeight="false" outlineLevel="0" collapsed="false">
      <c r="A629" s="130" t="str">
        <f aca="false">IF(ISBLANK(B629),"",B629&amp;"|"&amp;C629)</f>
        <v/>
      </c>
      <c r="B629" s="130"/>
      <c r="C629" s="130"/>
      <c r="D629" s="130"/>
      <c r="E629" s="136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</row>
    <row r="630" customFormat="false" ht="15.75" hidden="false" customHeight="false" outlineLevel="0" collapsed="false">
      <c r="A630" s="130" t="str">
        <f aca="false">IF(ISBLANK(B630),"",B630&amp;"|"&amp;C630)</f>
        <v/>
      </c>
      <c r="B630" s="130"/>
      <c r="C630" s="130"/>
      <c r="D630" s="130"/>
      <c r="E630" s="136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</row>
    <row r="631" customFormat="false" ht="15.75" hidden="false" customHeight="false" outlineLevel="0" collapsed="false">
      <c r="A631" s="130" t="str">
        <f aca="false">IF(ISBLANK(B631),"",B631&amp;"|"&amp;C631)</f>
        <v/>
      </c>
      <c r="B631" s="130"/>
      <c r="C631" s="130"/>
      <c r="D631" s="130"/>
      <c r="E631" s="136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</row>
    <row r="632" customFormat="false" ht="15.75" hidden="false" customHeight="false" outlineLevel="0" collapsed="false">
      <c r="A632" s="130" t="str">
        <f aca="false">IF(ISBLANK(B632),"",B632&amp;"|"&amp;C632)</f>
        <v/>
      </c>
      <c r="B632" s="130"/>
      <c r="C632" s="130"/>
      <c r="D632" s="130"/>
      <c r="E632" s="136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</row>
    <row r="633" customFormat="false" ht="15.75" hidden="false" customHeight="false" outlineLevel="0" collapsed="false">
      <c r="A633" s="130" t="str">
        <f aca="false">IF(ISBLANK(B633),"",B633&amp;"|"&amp;C633)</f>
        <v/>
      </c>
      <c r="B633" s="130"/>
      <c r="C633" s="130"/>
      <c r="D633" s="130"/>
      <c r="E633" s="136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</row>
    <row r="634" customFormat="false" ht="15.75" hidden="false" customHeight="false" outlineLevel="0" collapsed="false">
      <c r="A634" s="130" t="str">
        <f aca="false">IF(ISBLANK(B634),"",B634&amp;"|"&amp;C634)</f>
        <v/>
      </c>
      <c r="B634" s="130"/>
      <c r="C634" s="130"/>
      <c r="D634" s="130"/>
      <c r="E634" s="136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</row>
    <row r="635" customFormat="false" ht="15.75" hidden="false" customHeight="false" outlineLevel="0" collapsed="false">
      <c r="A635" s="130" t="str">
        <f aca="false">IF(ISBLANK(B635),"",B635&amp;"|"&amp;C635)</f>
        <v/>
      </c>
      <c r="B635" s="130"/>
      <c r="C635" s="130"/>
      <c r="D635" s="130"/>
      <c r="E635" s="136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</row>
    <row r="636" customFormat="false" ht="15.75" hidden="false" customHeight="false" outlineLevel="0" collapsed="false">
      <c r="A636" s="130" t="str">
        <f aca="false">IF(ISBLANK(B636),"",B636&amp;"|"&amp;C636)</f>
        <v/>
      </c>
      <c r="B636" s="130"/>
      <c r="C636" s="130"/>
      <c r="D636" s="130"/>
      <c r="E636" s="136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</row>
    <row r="637" customFormat="false" ht="15.75" hidden="false" customHeight="false" outlineLevel="0" collapsed="false">
      <c r="A637" s="130" t="str">
        <f aca="false">IF(ISBLANK(B637),"",B637&amp;"|"&amp;C637)</f>
        <v/>
      </c>
      <c r="B637" s="130"/>
      <c r="C637" s="130"/>
      <c r="D637" s="130"/>
      <c r="E637" s="136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</row>
    <row r="638" customFormat="false" ht="15.75" hidden="false" customHeight="false" outlineLevel="0" collapsed="false">
      <c r="A638" s="130" t="str">
        <f aca="false">IF(ISBLANK(B638),"",B638&amp;"|"&amp;C638)</f>
        <v/>
      </c>
      <c r="B638" s="130"/>
      <c r="C638" s="130"/>
      <c r="D638" s="130"/>
      <c r="E638" s="136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</row>
    <row r="639" customFormat="false" ht="15.75" hidden="false" customHeight="false" outlineLevel="0" collapsed="false">
      <c r="A639" s="130" t="str">
        <f aca="false">IF(ISBLANK(B639),"",B639&amp;"|"&amp;C639)</f>
        <v/>
      </c>
      <c r="B639" s="130"/>
      <c r="C639" s="130"/>
      <c r="D639" s="130"/>
      <c r="E639" s="136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</row>
    <row r="640" customFormat="false" ht="15.75" hidden="false" customHeight="false" outlineLevel="0" collapsed="false">
      <c r="A640" s="130" t="str">
        <f aca="false">IF(ISBLANK(B640),"",B640&amp;"|"&amp;C640)</f>
        <v/>
      </c>
      <c r="B640" s="130"/>
      <c r="C640" s="130"/>
      <c r="D640" s="130"/>
      <c r="E640" s="136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</row>
    <row r="641" customFormat="false" ht="15.75" hidden="false" customHeight="false" outlineLevel="0" collapsed="false">
      <c r="A641" s="130" t="str">
        <f aca="false">IF(ISBLANK(B641),"",B641&amp;"|"&amp;C641)</f>
        <v/>
      </c>
      <c r="B641" s="130"/>
      <c r="C641" s="130"/>
      <c r="D641" s="130"/>
      <c r="E641" s="136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</row>
    <row r="642" customFormat="false" ht="15.75" hidden="false" customHeight="false" outlineLevel="0" collapsed="false">
      <c r="A642" s="130" t="str">
        <f aca="false">IF(ISBLANK(B642),"",B642&amp;"|"&amp;C642)</f>
        <v/>
      </c>
      <c r="B642" s="130"/>
      <c r="C642" s="130"/>
      <c r="D642" s="130"/>
      <c r="E642" s="136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</row>
    <row r="643" customFormat="false" ht="15.75" hidden="false" customHeight="false" outlineLevel="0" collapsed="false">
      <c r="A643" s="130" t="str">
        <f aca="false">IF(ISBLANK(B643),"",B643&amp;"|"&amp;C643)</f>
        <v/>
      </c>
      <c r="B643" s="130"/>
      <c r="C643" s="130"/>
      <c r="D643" s="130"/>
      <c r="E643" s="136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</row>
    <row r="644" customFormat="false" ht="15.75" hidden="false" customHeight="false" outlineLevel="0" collapsed="false">
      <c r="A644" s="130" t="str">
        <f aca="false">IF(ISBLANK(B644),"",B644&amp;"|"&amp;C644)</f>
        <v/>
      </c>
      <c r="B644" s="130"/>
      <c r="C644" s="130"/>
      <c r="D644" s="130"/>
      <c r="E644" s="136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</row>
    <row r="645" customFormat="false" ht="15.75" hidden="false" customHeight="false" outlineLevel="0" collapsed="false">
      <c r="A645" s="130" t="str">
        <f aca="false">IF(ISBLANK(B645),"",B645&amp;"|"&amp;C645)</f>
        <v/>
      </c>
      <c r="B645" s="130"/>
      <c r="C645" s="130"/>
      <c r="D645" s="130"/>
      <c r="E645" s="136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</row>
    <row r="646" customFormat="false" ht="15.75" hidden="false" customHeight="false" outlineLevel="0" collapsed="false">
      <c r="A646" s="130" t="str">
        <f aca="false">IF(ISBLANK(B646),"",B646&amp;"|"&amp;C646)</f>
        <v/>
      </c>
      <c r="B646" s="130"/>
      <c r="C646" s="130"/>
      <c r="D646" s="130"/>
      <c r="E646" s="136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</row>
    <row r="647" customFormat="false" ht="15.75" hidden="false" customHeight="false" outlineLevel="0" collapsed="false">
      <c r="A647" s="130" t="str">
        <f aca="false">IF(ISBLANK(B647),"",B647&amp;"|"&amp;C647)</f>
        <v/>
      </c>
      <c r="B647" s="130"/>
      <c r="C647" s="130"/>
      <c r="D647" s="130"/>
      <c r="E647" s="136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</row>
    <row r="648" customFormat="false" ht="15.75" hidden="false" customHeight="false" outlineLevel="0" collapsed="false">
      <c r="A648" s="130" t="str">
        <f aca="false">IF(ISBLANK(B648),"",B648&amp;"|"&amp;C648)</f>
        <v/>
      </c>
      <c r="B648" s="130"/>
      <c r="C648" s="130"/>
      <c r="D648" s="130"/>
      <c r="E648" s="136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</row>
    <row r="649" customFormat="false" ht="15.75" hidden="false" customHeight="false" outlineLevel="0" collapsed="false">
      <c r="A649" s="130" t="str">
        <f aca="false">IF(ISBLANK(B649),"",B649&amp;"|"&amp;C649)</f>
        <v/>
      </c>
      <c r="B649" s="130"/>
      <c r="C649" s="130"/>
      <c r="D649" s="130"/>
      <c r="E649" s="136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</row>
    <row r="650" customFormat="false" ht="15.75" hidden="false" customHeight="false" outlineLevel="0" collapsed="false">
      <c r="A650" s="130" t="str">
        <f aca="false">IF(ISBLANK(B650),"",B650&amp;"|"&amp;C650)</f>
        <v/>
      </c>
      <c r="B650" s="130"/>
      <c r="C650" s="130"/>
      <c r="D650" s="130"/>
      <c r="E650" s="136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</row>
    <row r="651" customFormat="false" ht="15.75" hidden="false" customHeight="false" outlineLevel="0" collapsed="false">
      <c r="A651" s="130" t="str">
        <f aca="false">IF(ISBLANK(B651),"",B651&amp;"|"&amp;C651)</f>
        <v/>
      </c>
      <c r="B651" s="130"/>
      <c r="C651" s="130"/>
      <c r="D651" s="130"/>
      <c r="E651" s="136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</row>
    <row r="652" customFormat="false" ht="15.75" hidden="false" customHeight="false" outlineLevel="0" collapsed="false">
      <c r="A652" s="130" t="str">
        <f aca="false">IF(ISBLANK(B652),"",B652&amp;"|"&amp;C652)</f>
        <v/>
      </c>
      <c r="B652" s="130"/>
      <c r="C652" s="130"/>
      <c r="D652" s="130"/>
      <c r="E652" s="136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</row>
    <row r="653" customFormat="false" ht="15.75" hidden="false" customHeight="false" outlineLevel="0" collapsed="false">
      <c r="A653" s="130" t="str">
        <f aca="false">IF(ISBLANK(B653),"",B653&amp;"|"&amp;C653)</f>
        <v/>
      </c>
      <c r="B653" s="130"/>
      <c r="C653" s="130"/>
      <c r="D653" s="130"/>
      <c r="E653" s="136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</row>
    <row r="654" customFormat="false" ht="15.75" hidden="false" customHeight="false" outlineLevel="0" collapsed="false">
      <c r="A654" s="130" t="str">
        <f aca="false">IF(ISBLANK(B654),"",B654&amp;"|"&amp;C654)</f>
        <v/>
      </c>
      <c r="B654" s="130"/>
      <c r="C654" s="130"/>
      <c r="D654" s="130"/>
      <c r="E654" s="136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</row>
    <row r="655" customFormat="false" ht="15.75" hidden="false" customHeight="false" outlineLevel="0" collapsed="false">
      <c r="A655" s="130" t="str">
        <f aca="false">IF(ISBLANK(B655),"",B655&amp;"|"&amp;C655)</f>
        <v/>
      </c>
      <c r="B655" s="130"/>
      <c r="C655" s="130"/>
      <c r="D655" s="130"/>
      <c r="E655" s="136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</row>
    <row r="656" customFormat="false" ht="15.75" hidden="false" customHeight="false" outlineLevel="0" collapsed="false">
      <c r="A656" s="130" t="str">
        <f aca="false">IF(ISBLANK(B656),"",B656&amp;"|"&amp;C656)</f>
        <v/>
      </c>
      <c r="B656" s="130"/>
      <c r="C656" s="130"/>
      <c r="D656" s="130"/>
      <c r="E656" s="136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</row>
    <row r="657" customFormat="false" ht="15.75" hidden="false" customHeight="false" outlineLevel="0" collapsed="false">
      <c r="A657" s="130" t="str">
        <f aca="false">IF(ISBLANK(B657),"",B657&amp;"|"&amp;C657)</f>
        <v/>
      </c>
      <c r="B657" s="130"/>
      <c r="C657" s="130"/>
      <c r="D657" s="130"/>
      <c r="E657" s="136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</row>
    <row r="658" customFormat="false" ht="15.75" hidden="false" customHeight="false" outlineLevel="0" collapsed="false">
      <c r="A658" s="130" t="str">
        <f aca="false">IF(ISBLANK(B658),"",B658&amp;"|"&amp;C658)</f>
        <v/>
      </c>
      <c r="B658" s="130"/>
      <c r="C658" s="130"/>
      <c r="D658" s="130"/>
      <c r="E658" s="136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</row>
    <row r="659" customFormat="false" ht="15.75" hidden="false" customHeight="false" outlineLevel="0" collapsed="false">
      <c r="A659" s="130" t="str">
        <f aca="false">IF(ISBLANK(B659),"",B659&amp;"|"&amp;C659)</f>
        <v/>
      </c>
      <c r="B659" s="130"/>
      <c r="C659" s="130"/>
      <c r="D659" s="130"/>
      <c r="E659" s="136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</row>
    <row r="660" customFormat="false" ht="15.75" hidden="false" customHeight="false" outlineLevel="0" collapsed="false">
      <c r="A660" s="130" t="str">
        <f aca="false">IF(ISBLANK(B660),"",B660&amp;"|"&amp;C660)</f>
        <v/>
      </c>
      <c r="B660" s="130"/>
      <c r="C660" s="130"/>
      <c r="D660" s="130"/>
      <c r="E660" s="136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</row>
    <row r="661" customFormat="false" ht="15.75" hidden="false" customHeight="false" outlineLevel="0" collapsed="false">
      <c r="A661" s="130" t="str">
        <f aca="false">IF(ISBLANK(B661),"",B661&amp;"|"&amp;C661)</f>
        <v/>
      </c>
      <c r="B661" s="130"/>
      <c r="C661" s="130"/>
      <c r="D661" s="130"/>
      <c r="E661" s="136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</row>
    <row r="662" customFormat="false" ht="15.75" hidden="false" customHeight="false" outlineLevel="0" collapsed="false">
      <c r="A662" s="130" t="str">
        <f aca="false">IF(ISBLANK(B662),"",B662&amp;"|"&amp;C662)</f>
        <v/>
      </c>
      <c r="B662" s="130"/>
      <c r="C662" s="130"/>
      <c r="D662" s="130"/>
      <c r="E662" s="136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</row>
    <row r="663" customFormat="false" ht="15.75" hidden="false" customHeight="false" outlineLevel="0" collapsed="false">
      <c r="A663" s="130" t="str">
        <f aca="false">IF(ISBLANK(B663),"",B663&amp;"|"&amp;C663)</f>
        <v/>
      </c>
      <c r="B663" s="130"/>
      <c r="C663" s="130"/>
      <c r="D663" s="130"/>
      <c r="E663" s="136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</row>
    <row r="664" customFormat="false" ht="15.75" hidden="false" customHeight="false" outlineLevel="0" collapsed="false">
      <c r="A664" s="130" t="str">
        <f aca="false">IF(ISBLANK(B664),"",B664&amp;"|"&amp;C664)</f>
        <v/>
      </c>
      <c r="B664" s="130"/>
      <c r="C664" s="130"/>
      <c r="D664" s="130"/>
      <c r="E664" s="136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</row>
    <row r="665" customFormat="false" ht="15.75" hidden="false" customHeight="false" outlineLevel="0" collapsed="false">
      <c r="A665" s="130" t="str">
        <f aca="false">IF(ISBLANK(B665),"",B665&amp;"|"&amp;C665)</f>
        <v/>
      </c>
      <c r="B665" s="130"/>
      <c r="C665" s="130"/>
      <c r="D665" s="130"/>
      <c r="E665" s="136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</row>
    <row r="666" customFormat="false" ht="15.75" hidden="false" customHeight="false" outlineLevel="0" collapsed="false">
      <c r="A666" s="130" t="str">
        <f aca="false">IF(ISBLANK(B666),"",B666&amp;"|"&amp;C666)</f>
        <v/>
      </c>
      <c r="B666" s="130"/>
      <c r="C666" s="130"/>
      <c r="D666" s="130"/>
      <c r="E666" s="136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</row>
    <row r="667" customFormat="false" ht="15.75" hidden="false" customHeight="false" outlineLevel="0" collapsed="false">
      <c r="A667" s="130" t="str">
        <f aca="false">IF(ISBLANK(B667),"",B667&amp;"|"&amp;C667)</f>
        <v/>
      </c>
      <c r="B667" s="130"/>
      <c r="C667" s="130"/>
      <c r="D667" s="130"/>
      <c r="E667" s="136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</row>
    <row r="668" customFormat="false" ht="15.75" hidden="false" customHeight="false" outlineLevel="0" collapsed="false">
      <c r="A668" s="130" t="str">
        <f aca="false">IF(ISBLANK(B668),"",B668&amp;"|"&amp;C668)</f>
        <v/>
      </c>
      <c r="B668" s="130"/>
      <c r="C668" s="130"/>
      <c r="D668" s="130"/>
      <c r="E668" s="136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</row>
    <row r="669" customFormat="false" ht="15.75" hidden="false" customHeight="false" outlineLevel="0" collapsed="false">
      <c r="A669" s="130" t="str">
        <f aca="false">IF(ISBLANK(B669),"",B669&amp;"|"&amp;C669)</f>
        <v/>
      </c>
      <c r="B669" s="130"/>
      <c r="C669" s="130"/>
      <c r="D669" s="130"/>
      <c r="E669" s="136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</row>
    <row r="670" customFormat="false" ht="15.75" hidden="false" customHeight="false" outlineLevel="0" collapsed="false">
      <c r="A670" s="130" t="str">
        <f aca="false">IF(ISBLANK(B670),"",B670&amp;"|"&amp;C670)</f>
        <v/>
      </c>
      <c r="B670" s="130"/>
      <c r="C670" s="130"/>
      <c r="D670" s="130"/>
      <c r="E670" s="136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</row>
    <row r="671" customFormat="false" ht="15.75" hidden="false" customHeight="false" outlineLevel="0" collapsed="false">
      <c r="A671" s="130" t="str">
        <f aca="false">IF(ISBLANK(B671),"",B671&amp;"|"&amp;C671)</f>
        <v/>
      </c>
      <c r="B671" s="130"/>
      <c r="C671" s="130"/>
      <c r="D671" s="130"/>
      <c r="E671" s="136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</row>
    <row r="672" customFormat="false" ht="15.75" hidden="false" customHeight="false" outlineLevel="0" collapsed="false">
      <c r="A672" s="130" t="str">
        <f aca="false">IF(ISBLANK(B672),"",B672&amp;"|"&amp;C672)</f>
        <v/>
      </c>
      <c r="B672" s="130"/>
      <c r="C672" s="130"/>
      <c r="D672" s="130"/>
      <c r="E672" s="136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</row>
    <row r="673" customFormat="false" ht="15.75" hidden="false" customHeight="false" outlineLevel="0" collapsed="false">
      <c r="A673" s="130" t="str">
        <f aca="false">IF(ISBLANK(B673),"",B673&amp;"|"&amp;C673)</f>
        <v/>
      </c>
      <c r="B673" s="130"/>
      <c r="C673" s="130"/>
      <c r="D673" s="130"/>
      <c r="E673" s="136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</row>
    <row r="674" customFormat="false" ht="15.75" hidden="false" customHeight="false" outlineLevel="0" collapsed="false">
      <c r="A674" s="130" t="str">
        <f aca="false">IF(ISBLANK(B674),"",B674&amp;"|"&amp;C674)</f>
        <v/>
      </c>
      <c r="B674" s="130"/>
      <c r="C674" s="130"/>
      <c r="D674" s="130"/>
      <c r="E674" s="136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</row>
    <row r="675" customFormat="false" ht="15.75" hidden="false" customHeight="false" outlineLevel="0" collapsed="false">
      <c r="A675" s="130" t="str">
        <f aca="false">IF(ISBLANK(B675),"",B675&amp;"|"&amp;C675)</f>
        <v/>
      </c>
      <c r="B675" s="130"/>
      <c r="C675" s="130"/>
      <c r="D675" s="130"/>
      <c r="E675" s="136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</row>
    <row r="676" customFormat="false" ht="15.75" hidden="false" customHeight="false" outlineLevel="0" collapsed="false">
      <c r="A676" s="130" t="str">
        <f aca="false">IF(ISBLANK(B676),"",B676&amp;"|"&amp;C676)</f>
        <v/>
      </c>
      <c r="B676" s="130"/>
      <c r="C676" s="130"/>
      <c r="D676" s="130"/>
      <c r="E676" s="136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</row>
    <row r="677" customFormat="false" ht="15.75" hidden="false" customHeight="false" outlineLevel="0" collapsed="false">
      <c r="A677" s="130" t="str">
        <f aca="false">IF(ISBLANK(B677),"",B677&amp;"|"&amp;C677)</f>
        <v/>
      </c>
      <c r="B677" s="130"/>
      <c r="C677" s="130"/>
      <c r="D677" s="130"/>
      <c r="E677" s="136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</row>
    <row r="678" customFormat="false" ht="15.75" hidden="false" customHeight="false" outlineLevel="0" collapsed="false">
      <c r="A678" s="130" t="str">
        <f aca="false">IF(ISBLANK(B678),"",B678&amp;"|"&amp;C678)</f>
        <v/>
      </c>
      <c r="B678" s="130"/>
      <c r="C678" s="130"/>
      <c r="D678" s="130"/>
      <c r="E678" s="136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</row>
    <row r="679" customFormat="false" ht="15.75" hidden="false" customHeight="false" outlineLevel="0" collapsed="false">
      <c r="A679" s="130" t="str">
        <f aca="false">IF(ISBLANK(B679),"",B679&amp;"|"&amp;C679)</f>
        <v/>
      </c>
      <c r="B679" s="130"/>
      <c r="C679" s="130"/>
      <c r="D679" s="130"/>
      <c r="E679" s="136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</row>
    <row r="680" customFormat="false" ht="15.75" hidden="false" customHeight="false" outlineLevel="0" collapsed="false">
      <c r="A680" s="130" t="str">
        <f aca="false">IF(ISBLANK(B680),"",B680&amp;"|"&amp;C680)</f>
        <v/>
      </c>
      <c r="B680" s="130"/>
      <c r="C680" s="130"/>
      <c r="D680" s="130"/>
      <c r="E680" s="136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</row>
    <row r="681" customFormat="false" ht="15.75" hidden="false" customHeight="false" outlineLevel="0" collapsed="false">
      <c r="A681" s="130" t="str">
        <f aca="false">IF(ISBLANK(B681),"",B681&amp;"|"&amp;C681)</f>
        <v/>
      </c>
      <c r="B681" s="130"/>
      <c r="C681" s="130"/>
      <c r="D681" s="130"/>
      <c r="E681" s="136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</row>
    <row r="682" customFormat="false" ht="15.75" hidden="false" customHeight="false" outlineLevel="0" collapsed="false">
      <c r="A682" s="130" t="str">
        <f aca="false">IF(ISBLANK(B682),"",B682&amp;"|"&amp;C682)</f>
        <v/>
      </c>
      <c r="B682" s="130"/>
      <c r="C682" s="130"/>
      <c r="D682" s="130"/>
      <c r="E682" s="136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</row>
    <row r="683" customFormat="false" ht="15.75" hidden="false" customHeight="false" outlineLevel="0" collapsed="false">
      <c r="A683" s="130" t="str">
        <f aca="false">IF(ISBLANK(B683),"",B683&amp;"|"&amp;C683)</f>
        <v/>
      </c>
      <c r="B683" s="130"/>
      <c r="C683" s="130"/>
      <c r="D683" s="130"/>
      <c r="E683" s="136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</row>
    <row r="684" customFormat="false" ht="15.75" hidden="false" customHeight="false" outlineLevel="0" collapsed="false">
      <c r="A684" s="130" t="str">
        <f aca="false">IF(ISBLANK(B684),"",B684&amp;"|"&amp;C684)</f>
        <v/>
      </c>
      <c r="B684" s="130"/>
      <c r="C684" s="130"/>
      <c r="D684" s="130"/>
      <c r="E684" s="136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</row>
    <row r="685" customFormat="false" ht="15.75" hidden="false" customHeight="false" outlineLevel="0" collapsed="false">
      <c r="A685" s="130" t="str">
        <f aca="false">IF(ISBLANK(B685),"",B685&amp;"|"&amp;C685)</f>
        <v/>
      </c>
      <c r="B685" s="130"/>
      <c r="C685" s="130"/>
      <c r="D685" s="130"/>
      <c r="E685" s="136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</row>
    <row r="686" customFormat="false" ht="15.75" hidden="false" customHeight="false" outlineLevel="0" collapsed="false">
      <c r="A686" s="130" t="str">
        <f aca="false">IF(ISBLANK(B686),"",B686&amp;"|"&amp;C686)</f>
        <v/>
      </c>
      <c r="B686" s="130"/>
      <c r="C686" s="130"/>
      <c r="D686" s="130"/>
      <c r="E686" s="136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</row>
    <row r="687" customFormat="false" ht="15.75" hidden="false" customHeight="false" outlineLevel="0" collapsed="false">
      <c r="A687" s="130" t="str">
        <f aca="false">IF(ISBLANK(B687),"",B687&amp;"|"&amp;C687)</f>
        <v/>
      </c>
      <c r="B687" s="130"/>
      <c r="C687" s="130"/>
      <c r="D687" s="130"/>
      <c r="E687" s="136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</row>
    <row r="688" customFormat="false" ht="15.75" hidden="false" customHeight="false" outlineLevel="0" collapsed="false">
      <c r="A688" s="130" t="str">
        <f aca="false">IF(ISBLANK(B688),"",B688&amp;"|"&amp;C688)</f>
        <v/>
      </c>
      <c r="B688" s="130"/>
      <c r="C688" s="130"/>
      <c r="D688" s="130"/>
      <c r="E688" s="136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</row>
    <row r="689" customFormat="false" ht="15.75" hidden="false" customHeight="false" outlineLevel="0" collapsed="false">
      <c r="A689" s="130" t="str">
        <f aca="false">IF(ISBLANK(B689),"",B689&amp;"|"&amp;C689)</f>
        <v/>
      </c>
      <c r="B689" s="130"/>
      <c r="C689" s="130"/>
      <c r="D689" s="130"/>
      <c r="E689" s="136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</row>
    <row r="690" customFormat="false" ht="15.75" hidden="false" customHeight="false" outlineLevel="0" collapsed="false">
      <c r="A690" s="130" t="str">
        <f aca="false">IF(ISBLANK(B690),"",B690&amp;"|"&amp;C690)</f>
        <v/>
      </c>
      <c r="B690" s="130"/>
      <c r="C690" s="130"/>
      <c r="D690" s="130"/>
      <c r="E690" s="136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</row>
    <row r="691" customFormat="false" ht="15.75" hidden="false" customHeight="false" outlineLevel="0" collapsed="false">
      <c r="A691" s="130" t="str">
        <f aca="false">IF(ISBLANK(B691),"",B691&amp;"|"&amp;C691)</f>
        <v/>
      </c>
      <c r="B691" s="130"/>
      <c r="C691" s="130"/>
      <c r="D691" s="130"/>
      <c r="E691" s="136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</row>
    <row r="692" customFormat="false" ht="15.75" hidden="false" customHeight="false" outlineLevel="0" collapsed="false">
      <c r="A692" s="130" t="str">
        <f aca="false">IF(ISBLANK(B692),"",B692&amp;"|"&amp;C692)</f>
        <v/>
      </c>
      <c r="B692" s="130"/>
      <c r="C692" s="130"/>
      <c r="D692" s="130"/>
      <c r="E692" s="136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</row>
    <row r="693" customFormat="false" ht="15.75" hidden="false" customHeight="false" outlineLevel="0" collapsed="false">
      <c r="A693" s="130" t="str">
        <f aca="false">IF(ISBLANK(B693),"",B693&amp;"|"&amp;C693)</f>
        <v/>
      </c>
      <c r="B693" s="130"/>
      <c r="C693" s="130"/>
      <c r="D693" s="130"/>
      <c r="E693" s="136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</row>
    <row r="694" customFormat="false" ht="15.75" hidden="false" customHeight="false" outlineLevel="0" collapsed="false">
      <c r="A694" s="130" t="str">
        <f aca="false">IF(ISBLANK(B694),"",B694&amp;"|"&amp;C694)</f>
        <v/>
      </c>
      <c r="B694" s="130"/>
      <c r="C694" s="130"/>
      <c r="D694" s="130"/>
      <c r="E694" s="136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</row>
    <row r="695" customFormat="false" ht="15.75" hidden="false" customHeight="false" outlineLevel="0" collapsed="false">
      <c r="A695" s="130" t="str">
        <f aca="false">IF(ISBLANK(B695),"",B695&amp;"|"&amp;C695)</f>
        <v/>
      </c>
      <c r="B695" s="130"/>
      <c r="C695" s="130"/>
      <c r="D695" s="130"/>
      <c r="E695" s="136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</row>
    <row r="696" customFormat="false" ht="15.75" hidden="false" customHeight="false" outlineLevel="0" collapsed="false">
      <c r="A696" s="130" t="str">
        <f aca="false">IF(ISBLANK(B696),"",B696&amp;"|"&amp;C696)</f>
        <v/>
      </c>
      <c r="B696" s="130"/>
      <c r="C696" s="130"/>
      <c r="D696" s="130"/>
      <c r="E696" s="136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</row>
    <row r="697" customFormat="false" ht="15.75" hidden="false" customHeight="false" outlineLevel="0" collapsed="false">
      <c r="A697" s="130" t="str">
        <f aca="false">IF(ISBLANK(B697),"",B697&amp;"|"&amp;C697)</f>
        <v/>
      </c>
      <c r="B697" s="130"/>
      <c r="C697" s="130"/>
      <c r="D697" s="130"/>
      <c r="E697" s="136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</row>
    <row r="698" customFormat="false" ht="15.75" hidden="false" customHeight="false" outlineLevel="0" collapsed="false">
      <c r="A698" s="130" t="str">
        <f aca="false">IF(ISBLANK(B698),"",B698&amp;"|"&amp;C698)</f>
        <v/>
      </c>
      <c r="B698" s="130"/>
      <c r="C698" s="130"/>
      <c r="D698" s="130"/>
      <c r="E698" s="136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</row>
    <row r="699" customFormat="false" ht="15.75" hidden="false" customHeight="false" outlineLevel="0" collapsed="false">
      <c r="A699" s="130" t="str">
        <f aca="false">IF(ISBLANK(B699),"",B699&amp;"|"&amp;C699)</f>
        <v/>
      </c>
      <c r="B699" s="130"/>
      <c r="C699" s="130"/>
      <c r="D699" s="130"/>
      <c r="E699" s="136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</row>
    <row r="700" customFormat="false" ht="15.75" hidden="false" customHeight="false" outlineLevel="0" collapsed="false">
      <c r="A700" s="130" t="str">
        <f aca="false">IF(ISBLANK(B700),"",B700&amp;"|"&amp;C700)</f>
        <v/>
      </c>
      <c r="B700" s="130"/>
      <c r="C700" s="130"/>
      <c r="D700" s="130"/>
      <c r="E700" s="136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</row>
    <row r="701" customFormat="false" ht="15.75" hidden="false" customHeight="false" outlineLevel="0" collapsed="false">
      <c r="A701" s="130" t="str">
        <f aca="false">IF(ISBLANK(B701),"",B701&amp;"|"&amp;C701)</f>
        <v/>
      </c>
      <c r="B701" s="130"/>
      <c r="C701" s="130"/>
      <c r="D701" s="130"/>
      <c r="E701" s="136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</row>
    <row r="702" customFormat="false" ht="15.75" hidden="false" customHeight="false" outlineLevel="0" collapsed="false">
      <c r="A702" s="130" t="str">
        <f aca="false">IF(ISBLANK(B702),"",B702&amp;"|"&amp;C702)</f>
        <v/>
      </c>
      <c r="B702" s="130"/>
      <c r="C702" s="130"/>
      <c r="D702" s="130"/>
      <c r="E702" s="136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</row>
    <row r="703" customFormat="false" ht="15.75" hidden="false" customHeight="false" outlineLevel="0" collapsed="false">
      <c r="A703" s="130" t="str">
        <f aca="false">IF(ISBLANK(B703),"",B703&amp;"|"&amp;C703)</f>
        <v/>
      </c>
      <c r="B703" s="130"/>
      <c r="C703" s="130"/>
      <c r="D703" s="130"/>
      <c r="E703" s="136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</row>
    <row r="704" customFormat="false" ht="15.75" hidden="false" customHeight="false" outlineLevel="0" collapsed="false">
      <c r="A704" s="130" t="str">
        <f aca="false">IF(ISBLANK(B704),"",B704&amp;"|"&amp;C704)</f>
        <v/>
      </c>
      <c r="B704" s="130"/>
      <c r="C704" s="130"/>
      <c r="D704" s="130"/>
      <c r="E704" s="136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</row>
    <row r="705" customFormat="false" ht="15.75" hidden="false" customHeight="false" outlineLevel="0" collapsed="false">
      <c r="A705" s="130" t="str">
        <f aca="false">IF(ISBLANK(B705),"",B705&amp;"|"&amp;C705)</f>
        <v/>
      </c>
      <c r="B705" s="130"/>
      <c r="C705" s="130"/>
      <c r="D705" s="130"/>
      <c r="E705" s="136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</row>
    <row r="706" customFormat="false" ht="15.75" hidden="false" customHeight="false" outlineLevel="0" collapsed="false">
      <c r="A706" s="130" t="str">
        <f aca="false">IF(ISBLANK(B706),"",B706&amp;"|"&amp;C706)</f>
        <v/>
      </c>
      <c r="B706" s="130"/>
      <c r="C706" s="130"/>
      <c r="D706" s="130"/>
      <c r="E706" s="136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</row>
    <row r="707" customFormat="false" ht="15.75" hidden="false" customHeight="false" outlineLevel="0" collapsed="false">
      <c r="A707" s="130" t="str">
        <f aca="false">IF(ISBLANK(B707),"",B707&amp;"|"&amp;C707)</f>
        <v/>
      </c>
      <c r="B707" s="130"/>
      <c r="C707" s="130"/>
      <c r="D707" s="130"/>
      <c r="E707" s="136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</row>
    <row r="708" customFormat="false" ht="15.75" hidden="false" customHeight="false" outlineLevel="0" collapsed="false">
      <c r="A708" s="130" t="str">
        <f aca="false">IF(ISBLANK(B708),"",B708&amp;"|"&amp;C708)</f>
        <v/>
      </c>
      <c r="B708" s="130"/>
      <c r="C708" s="130"/>
      <c r="D708" s="130"/>
      <c r="E708" s="136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</row>
    <row r="709" customFormat="false" ht="15.75" hidden="false" customHeight="false" outlineLevel="0" collapsed="false">
      <c r="A709" s="130" t="str">
        <f aca="false">IF(ISBLANK(B709),"",B709&amp;"|"&amp;C709)</f>
        <v/>
      </c>
      <c r="B709" s="130"/>
      <c r="C709" s="130"/>
      <c r="D709" s="130"/>
      <c r="E709" s="136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</row>
    <row r="710" customFormat="false" ht="15.75" hidden="false" customHeight="false" outlineLevel="0" collapsed="false">
      <c r="A710" s="130" t="str">
        <f aca="false">IF(ISBLANK(B710),"",B710&amp;"|"&amp;C710)</f>
        <v/>
      </c>
      <c r="B710" s="130"/>
      <c r="C710" s="130"/>
      <c r="D710" s="130"/>
      <c r="E710" s="136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</row>
    <row r="711" customFormat="false" ht="15.75" hidden="false" customHeight="false" outlineLevel="0" collapsed="false">
      <c r="A711" s="130" t="str">
        <f aca="false">IF(ISBLANK(B711),"",B711&amp;"|"&amp;C711)</f>
        <v/>
      </c>
      <c r="B711" s="130"/>
      <c r="C711" s="130"/>
      <c r="D711" s="130"/>
      <c r="E711" s="136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</row>
    <row r="712" customFormat="false" ht="15.75" hidden="false" customHeight="false" outlineLevel="0" collapsed="false">
      <c r="A712" s="130" t="str">
        <f aca="false">IF(ISBLANK(B712),"",B712&amp;"|"&amp;C712)</f>
        <v/>
      </c>
      <c r="B712" s="130"/>
      <c r="C712" s="130"/>
      <c r="D712" s="130"/>
      <c r="E712" s="136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</row>
    <row r="713" customFormat="false" ht="15.75" hidden="false" customHeight="false" outlineLevel="0" collapsed="false">
      <c r="A713" s="130" t="str">
        <f aca="false">IF(ISBLANK(B713),"",B713&amp;"|"&amp;C713)</f>
        <v/>
      </c>
      <c r="B713" s="130"/>
      <c r="C713" s="130"/>
      <c r="D713" s="130"/>
      <c r="E713" s="136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</row>
    <row r="714" customFormat="false" ht="15.75" hidden="false" customHeight="false" outlineLevel="0" collapsed="false">
      <c r="A714" s="130" t="str">
        <f aca="false">IF(ISBLANK(B714),"",B714&amp;"|"&amp;C714)</f>
        <v/>
      </c>
      <c r="B714" s="130"/>
      <c r="C714" s="130"/>
      <c r="D714" s="130"/>
      <c r="E714" s="136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</row>
    <row r="715" customFormat="false" ht="15.75" hidden="false" customHeight="false" outlineLevel="0" collapsed="false">
      <c r="A715" s="130" t="str">
        <f aca="false">IF(ISBLANK(B715),"",B715&amp;"|"&amp;C715)</f>
        <v/>
      </c>
      <c r="B715" s="130"/>
      <c r="C715" s="130"/>
      <c r="D715" s="130"/>
      <c r="E715" s="136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</row>
    <row r="716" customFormat="false" ht="15.75" hidden="false" customHeight="false" outlineLevel="0" collapsed="false">
      <c r="A716" s="130" t="str">
        <f aca="false">IF(ISBLANK(B716),"",B716&amp;"|"&amp;C716)</f>
        <v/>
      </c>
      <c r="B716" s="130"/>
      <c r="C716" s="130"/>
      <c r="D716" s="130"/>
      <c r="E716" s="136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</row>
    <row r="717" customFormat="false" ht="15.75" hidden="false" customHeight="false" outlineLevel="0" collapsed="false">
      <c r="A717" s="130" t="str">
        <f aca="false">IF(ISBLANK(B717),"",B717&amp;"|"&amp;C717)</f>
        <v/>
      </c>
      <c r="B717" s="130"/>
      <c r="C717" s="130"/>
      <c r="D717" s="130"/>
      <c r="E717" s="136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</row>
    <row r="718" customFormat="false" ht="15.75" hidden="false" customHeight="false" outlineLevel="0" collapsed="false">
      <c r="A718" s="130" t="str">
        <f aca="false">IF(ISBLANK(B718),"",B718&amp;"|"&amp;C718)</f>
        <v/>
      </c>
      <c r="B718" s="130"/>
      <c r="C718" s="130"/>
      <c r="D718" s="130"/>
      <c r="E718" s="136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</row>
    <row r="719" customFormat="false" ht="15.75" hidden="false" customHeight="false" outlineLevel="0" collapsed="false">
      <c r="A719" s="130" t="str">
        <f aca="false">IF(ISBLANK(B719),"",B719&amp;"|"&amp;C719)</f>
        <v/>
      </c>
      <c r="B719" s="130"/>
      <c r="C719" s="130"/>
      <c r="D719" s="130"/>
      <c r="E719" s="136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</row>
    <row r="720" customFormat="false" ht="15.75" hidden="false" customHeight="false" outlineLevel="0" collapsed="false">
      <c r="A720" s="130" t="str">
        <f aca="false">IF(ISBLANK(B720),"",B720&amp;"|"&amp;C720)</f>
        <v/>
      </c>
      <c r="B720" s="130"/>
      <c r="C720" s="130"/>
      <c r="D720" s="130"/>
      <c r="E720" s="136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</row>
    <row r="721" customFormat="false" ht="15.75" hidden="false" customHeight="false" outlineLevel="0" collapsed="false">
      <c r="A721" s="130" t="str">
        <f aca="false">IF(ISBLANK(B721),"",B721&amp;"|"&amp;C721)</f>
        <v/>
      </c>
      <c r="B721" s="130"/>
      <c r="C721" s="130"/>
      <c r="D721" s="130"/>
      <c r="E721" s="136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</row>
    <row r="722" customFormat="false" ht="15.75" hidden="false" customHeight="false" outlineLevel="0" collapsed="false">
      <c r="A722" s="130" t="str">
        <f aca="false">IF(ISBLANK(B722),"",B722&amp;"|"&amp;C722)</f>
        <v/>
      </c>
      <c r="B722" s="130"/>
      <c r="C722" s="130"/>
      <c r="D722" s="130"/>
      <c r="E722" s="136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</row>
    <row r="723" customFormat="false" ht="15.75" hidden="false" customHeight="false" outlineLevel="0" collapsed="false">
      <c r="A723" s="130" t="str">
        <f aca="false">IF(ISBLANK(B723),"",B723&amp;"|"&amp;C723)</f>
        <v/>
      </c>
      <c r="B723" s="130"/>
      <c r="C723" s="130"/>
      <c r="D723" s="130"/>
      <c r="E723" s="136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</row>
    <row r="724" customFormat="false" ht="15.75" hidden="false" customHeight="false" outlineLevel="0" collapsed="false">
      <c r="A724" s="130" t="str">
        <f aca="false">IF(ISBLANK(B724),"",B724&amp;"|"&amp;C724)</f>
        <v/>
      </c>
      <c r="B724" s="130"/>
      <c r="C724" s="130"/>
      <c r="D724" s="130"/>
      <c r="E724" s="136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</row>
    <row r="725" customFormat="false" ht="15.75" hidden="false" customHeight="false" outlineLevel="0" collapsed="false">
      <c r="A725" s="130" t="str">
        <f aca="false">IF(ISBLANK(B725),"",B725&amp;"|"&amp;C725)</f>
        <v/>
      </c>
      <c r="B725" s="130"/>
      <c r="C725" s="130"/>
      <c r="D725" s="130"/>
      <c r="E725" s="136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</row>
    <row r="726" customFormat="false" ht="15.75" hidden="false" customHeight="false" outlineLevel="0" collapsed="false">
      <c r="A726" s="130" t="str">
        <f aca="false">IF(ISBLANK(B726),"",B726&amp;"|"&amp;C726)</f>
        <v/>
      </c>
      <c r="B726" s="130"/>
      <c r="C726" s="130"/>
      <c r="D726" s="130"/>
      <c r="E726" s="136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</row>
    <row r="727" customFormat="false" ht="15.75" hidden="false" customHeight="false" outlineLevel="0" collapsed="false">
      <c r="A727" s="130" t="str">
        <f aca="false">IF(ISBLANK(B727),"",B727&amp;"|"&amp;C727)</f>
        <v/>
      </c>
      <c r="B727" s="130"/>
      <c r="C727" s="130"/>
      <c r="D727" s="130"/>
      <c r="E727" s="136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</row>
    <row r="728" customFormat="false" ht="15.75" hidden="false" customHeight="false" outlineLevel="0" collapsed="false">
      <c r="A728" s="130" t="str">
        <f aca="false">IF(ISBLANK(B728),"",B728&amp;"|"&amp;C728)</f>
        <v/>
      </c>
      <c r="B728" s="130"/>
      <c r="C728" s="130"/>
      <c r="D728" s="130"/>
      <c r="E728" s="136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</row>
    <row r="729" customFormat="false" ht="15.75" hidden="false" customHeight="false" outlineLevel="0" collapsed="false">
      <c r="A729" s="130" t="str">
        <f aca="false">IF(ISBLANK(B729),"",B729&amp;"|"&amp;C729)</f>
        <v/>
      </c>
      <c r="B729" s="130"/>
      <c r="C729" s="130"/>
      <c r="D729" s="130"/>
      <c r="E729" s="136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</row>
    <row r="730" customFormat="false" ht="15.75" hidden="false" customHeight="false" outlineLevel="0" collapsed="false">
      <c r="A730" s="130" t="str">
        <f aca="false">IF(ISBLANK(B730),"",B730&amp;"|"&amp;C730)</f>
        <v/>
      </c>
      <c r="B730" s="130"/>
      <c r="C730" s="130"/>
      <c r="D730" s="130"/>
      <c r="E730" s="136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</row>
    <row r="731" customFormat="false" ht="15.75" hidden="false" customHeight="false" outlineLevel="0" collapsed="false">
      <c r="A731" s="130" t="str">
        <f aca="false">IF(ISBLANK(B731),"",B731&amp;"|"&amp;C731)</f>
        <v/>
      </c>
      <c r="B731" s="130"/>
      <c r="C731" s="130"/>
      <c r="D731" s="130"/>
      <c r="E731" s="136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</row>
    <row r="732" customFormat="false" ht="15.75" hidden="false" customHeight="false" outlineLevel="0" collapsed="false">
      <c r="A732" s="130" t="str">
        <f aca="false">IF(ISBLANK(B732),"",B732&amp;"|"&amp;C732)</f>
        <v/>
      </c>
      <c r="B732" s="130"/>
      <c r="C732" s="130"/>
      <c r="D732" s="130"/>
      <c r="E732" s="136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</row>
    <row r="733" customFormat="false" ht="15.75" hidden="false" customHeight="false" outlineLevel="0" collapsed="false">
      <c r="A733" s="130" t="str">
        <f aca="false">IF(ISBLANK(B733),"",B733&amp;"|"&amp;C733)</f>
        <v/>
      </c>
      <c r="B733" s="130"/>
      <c r="C733" s="130"/>
      <c r="D733" s="130"/>
      <c r="E733" s="136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</row>
    <row r="734" customFormat="false" ht="15.75" hidden="false" customHeight="false" outlineLevel="0" collapsed="false">
      <c r="A734" s="130" t="str">
        <f aca="false">IF(ISBLANK(B734),"",B734&amp;"|"&amp;C734)</f>
        <v/>
      </c>
      <c r="B734" s="130"/>
      <c r="C734" s="130"/>
      <c r="D734" s="130"/>
      <c r="E734" s="136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</row>
    <row r="735" customFormat="false" ht="15.75" hidden="false" customHeight="false" outlineLevel="0" collapsed="false">
      <c r="A735" s="130" t="str">
        <f aca="false">IF(ISBLANK(B735),"",B735&amp;"|"&amp;C735)</f>
        <v/>
      </c>
      <c r="B735" s="130"/>
      <c r="C735" s="130"/>
      <c r="D735" s="130"/>
      <c r="E735" s="136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</row>
    <row r="736" customFormat="false" ht="15.75" hidden="false" customHeight="false" outlineLevel="0" collapsed="false">
      <c r="A736" s="130" t="str">
        <f aca="false">IF(ISBLANK(B736),"",B736&amp;"|"&amp;C736)</f>
        <v/>
      </c>
      <c r="B736" s="130"/>
      <c r="C736" s="130"/>
      <c r="D736" s="130"/>
      <c r="E736" s="136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</row>
    <row r="737" customFormat="false" ht="15.75" hidden="false" customHeight="false" outlineLevel="0" collapsed="false">
      <c r="A737" s="130" t="str">
        <f aca="false">IF(ISBLANK(B737),"",B737&amp;"|"&amp;C737)</f>
        <v/>
      </c>
      <c r="B737" s="130"/>
      <c r="C737" s="130"/>
      <c r="D737" s="130"/>
      <c r="E737" s="136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</row>
    <row r="738" customFormat="false" ht="15.75" hidden="false" customHeight="false" outlineLevel="0" collapsed="false">
      <c r="A738" s="130" t="str">
        <f aca="false">IF(ISBLANK(B738),"",B738&amp;"|"&amp;C738)</f>
        <v/>
      </c>
      <c r="B738" s="130"/>
      <c r="C738" s="130"/>
      <c r="D738" s="130"/>
      <c r="E738" s="136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</row>
    <row r="739" customFormat="false" ht="15.75" hidden="false" customHeight="false" outlineLevel="0" collapsed="false">
      <c r="A739" s="130" t="str">
        <f aca="false">IF(ISBLANK(B739),"",B739&amp;"|"&amp;C739)</f>
        <v/>
      </c>
      <c r="B739" s="130"/>
      <c r="C739" s="130"/>
      <c r="D739" s="130"/>
      <c r="E739" s="136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</row>
    <row r="740" customFormat="false" ht="15.75" hidden="false" customHeight="false" outlineLevel="0" collapsed="false">
      <c r="A740" s="130" t="str">
        <f aca="false">IF(ISBLANK(B740),"",B740&amp;"|"&amp;C740)</f>
        <v/>
      </c>
      <c r="B740" s="130"/>
      <c r="C740" s="130"/>
      <c r="D740" s="130"/>
      <c r="E740" s="136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</row>
    <row r="741" customFormat="false" ht="15.75" hidden="false" customHeight="false" outlineLevel="0" collapsed="false">
      <c r="A741" s="130" t="str">
        <f aca="false">IF(ISBLANK(B741),"",B741&amp;"|"&amp;C741)</f>
        <v/>
      </c>
      <c r="B741" s="130"/>
      <c r="C741" s="130"/>
      <c r="D741" s="130"/>
      <c r="E741" s="136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</row>
    <row r="742" customFormat="false" ht="15.75" hidden="false" customHeight="false" outlineLevel="0" collapsed="false">
      <c r="A742" s="130" t="str">
        <f aca="false">IF(ISBLANK(B742),"",B742&amp;"|"&amp;C742)</f>
        <v/>
      </c>
      <c r="B742" s="130"/>
      <c r="C742" s="130"/>
      <c r="D742" s="130"/>
      <c r="E742" s="136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</row>
    <row r="743" customFormat="false" ht="15.75" hidden="false" customHeight="false" outlineLevel="0" collapsed="false">
      <c r="A743" s="130" t="str">
        <f aca="false">IF(ISBLANK(B743),"",B743&amp;"|"&amp;C743)</f>
        <v/>
      </c>
      <c r="B743" s="130"/>
      <c r="C743" s="130"/>
      <c r="D743" s="130"/>
      <c r="E743" s="136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</row>
    <row r="744" customFormat="false" ht="15.75" hidden="false" customHeight="false" outlineLevel="0" collapsed="false">
      <c r="A744" s="130" t="str">
        <f aca="false">IF(ISBLANK(B744),"",B744&amp;"|"&amp;C744)</f>
        <v/>
      </c>
      <c r="B744" s="130"/>
      <c r="C744" s="130"/>
      <c r="D744" s="130"/>
      <c r="E744" s="136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</row>
    <row r="745" customFormat="false" ht="15.75" hidden="false" customHeight="false" outlineLevel="0" collapsed="false">
      <c r="A745" s="130" t="str">
        <f aca="false">IF(ISBLANK(B745),"",B745&amp;"|"&amp;C745)</f>
        <v/>
      </c>
      <c r="B745" s="130"/>
      <c r="C745" s="130"/>
      <c r="D745" s="130"/>
      <c r="E745" s="136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</row>
    <row r="746" customFormat="false" ht="15.75" hidden="false" customHeight="false" outlineLevel="0" collapsed="false">
      <c r="A746" s="130" t="str">
        <f aca="false">IF(ISBLANK(B746),"",B746&amp;"|"&amp;C746)</f>
        <v/>
      </c>
      <c r="B746" s="130"/>
      <c r="C746" s="130"/>
      <c r="D746" s="130"/>
      <c r="E746" s="136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</row>
    <row r="747" customFormat="false" ht="15.75" hidden="false" customHeight="false" outlineLevel="0" collapsed="false">
      <c r="A747" s="130" t="str">
        <f aca="false">IF(ISBLANK(B747),"",B747&amp;"|"&amp;C747)</f>
        <v/>
      </c>
      <c r="B747" s="130"/>
      <c r="C747" s="130"/>
      <c r="D747" s="130"/>
      <c r="E747" s="136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</row>
    <row r="748" customFormat="false" ht="15.75" hidden="false" customHeight="false" outlineLevel="0" collapsed="false">
      <c r="A748" s="130" t="str">
        <f aca="false">IF(ISBLANK(B748),"",B748&amp;"|"&amp;C748)</f>
        <v/>
      </c>
      <c r="B748" s="130"/>
      <c r="C748" s="130"/>
      <c r="D748" s="130"/>
      <c r="E748" s="136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</row>
    <row r="749" customFormat="false" ht="15.75" hidden="false" customHeight="false" outlineLevel="0" collapsed="false">
      <c r="A749" s="130" t="str">
        <f aca="false">IF(ISBLANK(B749),"",B749&amp;"|"&amp;C749)</f>
        <v/>
      </c>
      <c r="B749" s="130"/>
      <c r="C749" s="130"/>
      <c r="D749" s="130"/>
      <c r="E749" s="136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</row>
    <row r="750" customFormat="false" ht="15.75" hidden="false" customHeight="false" outlineLevel="0" collapsed="false">
      <c r="A750" s="130" t="str">
        <f aca="false">IF(ISBLANK(B750),"",B750&amp;"|"&amp;C750)</f>
        <v/>
      </c>
      <c r="B750" s="130"/>
      <c r="C750" s="130"/>
      <c r="D750" s="130"/>
      <c r="E750" s="136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</row>
    <row r="751" customFormat="false" ht="15.75" hidden="false" customHeight="false" outlineLevel="0" collapsed="false">
      <c r="A751" s="130" t="str">
        <f aca="false">IF(ISBLANK(B751),"",B751&amp;"|"&amp;C751)</f>
        <v/>
      </c>
      <c r="B751" s="130"/>
      <c r="C751" s="130"/>
      <c r="D751" s="130"/>
      <c r="E751" s="136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</row>
    <row r="752" customFormat="false" ht="15.75" hidden="false" customHeight="false" outlineLevel="0" collapsed="false">
      <c r="A752" s="130" t="str">
        <f aca="false">IF(ISBLANK(B752),"",B752&amp;"|"&amp;C752)</f>
        <v/>
      </c>
      <c r="B752" s="130"/>
      <c r="C752" s="130"/>
      <c r="D752" s="130"/>
      <c r="E752" s="136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</row>
    <row r="753" customFormat="false" ht="15.75" hidden="false" customHeight="false" outlineLevel="0" collapsed="false">
      <c r="A753" s="130" t="str">
        <f aca="false">IF(ISBLANK(B753),"",B753&amp;"|"&amp;C753)</f>
        <v/>
      </c>
      <c r="B753" s="130"/>
      <c r="C753" s="130"/>
      <c r="D753" s="130"/>
      <c r="E753" s="136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</row>
    <row r="754" customFormat="false" ht="15.75" hidden="false" customHeight="false" outlineLevel="0" collapsed="false">
      <c r="A754" s="130" t="str">
        <f aca="false">IF(ISBLANK(B754),"",B754&amp;"|"&amp;C754)</f>
        <v/>
      </c>
      <c r="B754" s="130"/>
      <c r="C754" s="130"/>
      <c r="D754" s="130"/>
      <c r="E754" s="136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</row>
    <row r="755" customFormat="false" ht="15.75" hidden="false" customHeight="false" outlineLevel="0" collapsed="false">
      <c r="A755" s="130" t="str">
        <f aca="false">IF(ISBLANK(B755),"",B755&amp;"|"&amp;C755)</f>
        <v/>
      </c>
      <c r="B755" s="130"/>
      <c r="C755" s="130"/>
      <c r="D755" s="130"/>
      <c r="E755" s="136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</row>
    <row r="756" customFormat="false" ht="15.75" hidden="false" customHeight="false" outlineLevel="0" collapsed="false">
      <c r="A756" s="130" t="str">
        <f aca="false">IF(ISBLANK(B756),"",B756&amp;"|"&amp;C756)</f>
        <v/>
      </c>
      <c r="B756" s="130"/>
      <c r="C756" s="130"/>
      <c r="D756" s="130"/>
      <c r="E756" s="136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</row>
    <row r="757" customFormat="false" ht="15.75" hidden="false" customHeight="false" outlineLevel="0" collapsed="false">
      <c r="A757" s="130" t="str">
        <f aca="false">IF(ISBLANK(B757),"",B757&amp;"|"&amp;C757)</f>
        <v/>
      </c>
      <c r="B757" s="130"/>
      <c r="C757" s="130"/>
      <c r="D757" s="130"/>
      <c r="E757" s="136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</row>
    <row r="758" customFormat="false" ht="15.75" hidden="false" customHeight="false" outlineLevel="0" collapsed="false">
      <c r="A758" s="130" t="str">
        <f aca="false">IF(ISBLANK(B758),"",B758&amp;"|"&amp;C758)</f>
        <v/>
      </c>
      <c r="B758" s="130"/>
      <c r="C758" s="130"/>
      <c r="D758" s="130"/>
      <c r="E758" s="136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</row>
    <row r="759" customFormat="false" ht="15.75" hidden="false" customHeight="false" outlineLevel="0" collapsed="false">
      <c r="A759" s="130" t="str">
        <f aca="false">IF(ISBLANK(B759),"",B759&amp;"|"&amp;C759)</f>
        <v/>
      </c>
      <c r="B759" s="130"/>
      <c r="C759" s="130"/>
      <c r="D759" s="130"/>
      <c r="E759" s="136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</row>
    <row r="760" customFormat="false" ht="15.75" hidden="false" customHeight="false" outlineLevel="0" collapsed="false">
      <c r="A760" s="130" t="str">
        <f aca="false">IF(ISBLANK(B760),"",B760&amp;"|"&amp;C760)</f>
        <v/>
      </c>
      <c r="B760" s="130"/>
      <c r="C760" s="130"/>
      <c r="D760" s="130"/>
      <c r="E760" s="136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</row>
    <row r="761" customFormat="false" ht="15.75" hidden="false" customHeight="false" outlineLevel="0" collapsed="false">
      <c r="A761" s="130" t="str">
        <f aca="false">IF(ISBLANK(B761),"",B761&amp;"|"&amp;C761)</f>
        <v/>
      </c>
      <c r="B761" s="130"/>
      <c r="C761" s="130"/>
      <c r="D761" s="130"/>
      <c r="E761" s="136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</row>
    <row r="762" customFormat="false" ht="15.75" hidden="false" customHeight="false" outlineLevel="0" collapsed="false">
      <c r="A762" s="130" t="str">
        <f aca="false">IF(ISBLANK(B762),"",B762&amp;"|"&amp;C762)</f>
        <v/>
      </c>
      <c r="B762" s="130"/>
      <c r="C762" s="130"/>
      <c r="D762" s="130"/>
      <c r="E762" s="136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</row>
    <row r="763" customFormat="false" ht="15.75" hidden="false" customHeight="false" outlineLevel="0" collapsed="false">
      <c r="A763" s="130" t="str">
        <f aca="false">IF(ISBLANK(B763),"",B763&amp;"|"&amp;C763)</f>
        <v/>
      </c>
      <c r="B763" s="130"/>
      <c r="C763" s="130"/>
      <c r="D763" s="130"/>
      <c r="E763" s="136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</row>
    <row r="764" customFormat="false" ht="15.75" hidden="false" customHeight="false" outlineLevel="0" collapsed="false">
      <c r="A764" s="130" t="str">
        <f aca="false">IF(ISBLANK(B764),"",B764&amp;"|"&amp;C764)</f>
        <v/>
      </c>
      <c r="B764" s="130"/>
      <c r="C764" s="130"/>
      <c r="D764" s="130"/>
      <c r="E764" s="136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</row>
    <row r="765" customFormat="false" ht="15.75" hidden="false" customHeight="false" outlineLevel="0" collapsed="false">
      <c r="A765" s="130" t="str">
        <f aca="false">IF(ISBLANK(B765),"",B765&amp;"|"&amp;C765)</f>
        <v/>
      </c>
      <c r="B765" s="130"/>
      <c r="C765" s="130"/>
      <c r="D765" s="130"/>
      <c r="E765" s="136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</row>
    <row r="766" customFormat="false" ht="15.75" hidden="false" customHeight="false" outlineLevel="0" collapsed="false">
      <c r="A766" s="130" t="str">
        <f aca="false">IF(ISBLANK(B766),"",B766&amp;"|"&amp;C766)</f>
        <v/>
      </c>
      <c r="B766" s="130"/>
      <c r="C766" s="130"/>
      <c r="D766" s="130"/>
      <c r="E766" s="136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</row>
    <row r="767" customFormat="false" ht="15.75" hidden="false" customHeight="false" outlineLevel="0" collapsed="false">
      <c r="A767" s="130" t="str">
        <f aca="false">IF(ISBLANK(B767),"",B767&amp;"|"&amp;C767)</f>
        <v/>
      </c>
      <c r="B767" s="130"/>
      <c r="C767" s="130"/>
      <c r="D767" s="130"/>
      <c r="E767" s="136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</row>
    <row r="768" customFormat="false" ht="15.75" hidden="false" customHeight="false" outlineLevel="0" collapsed="false">
      <c r="A768" s="130" t="str">
        <f aca="false">IF(ISBLANK(B768),"",B768&amp;"|"&amp;C768)</f>
        <v/>
      </c>
      <c r="B768" s="130"/>
      <c r="C768" s="130"/>
      <c r="D768" s="130"/>
      <c r="E768" s="136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</row>
    <row r="769" customFormat="false" ht="15.75" hidden="false" customHeight="false" outlineLevel="0" collapsed="false">
      <c r="A769" s="130" t="str">
        <f aca="false">IF(ISBLANK(B769),"",B769&amp;"|"&amp;C769)</f>
        <v/>
      </c>
      <c r="B769" s="130"/>
      <c r="C769" s="130"/>
      <c r="D769" s="130"/>
      <c r="E769" s="136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</row>
    <row r="770" customFormat="false" ht="15.75" hidden="false" customHeight="false" outlineLevel="0" collapsed="false">
      <c r="A770" s="130" t="str">
        <f aca="false">IF(ISBLANK(B770),"",B770&amp;"|"&amp;C770)</f>
        <v/>
      </c>
      <c r="B770" s="130"/>
      <c r="C770" s="130"/>
      <c r="D770" s="130"/>
      <c r="E770" s="136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</row>
    <row r="771" customFormat="false" ht="15.75" hidden="false" customHeight="false" outlineLevel="0" collapsed="false">
      <c r="A771" s="130" t="str">
        <f aca="false">IF(ISBLANK(B771),"",B771&amp;"|"&amp;C771)</f>
        <v/>
      </c>
      <c r="B771" s="130"/>
      <c r="C771" s="130"/>
      <c r="D771" s="130"/>
      <c r="E771" s="136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</row>
    <row r="772" customFormat="false" ht="15.75" hidden="false" customHeight="false" outlineLevel="0" collapsed="false">
      <c r="A772" s="130" t="str">
        <f aca="false">IF(ISBLANK(B772),"",B772&amp;"|"&amp;C772)</f>
        <v/>
      </c>
      <c r="B772" s="130"/>
      <c r="C772" s="130"/>
      <c r="D772" s="130"/>
      <c r="E772" s="136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</row>
    <row r="773" customFormat="false" ht="15.75" hidden="false" customHeight="false" outlineLevel="0" collapsed="false">
      <c r="A773" s="130" t="str">
        <f aca="false">IF(ISBLANK(B773),"",B773&amp;"|"&amp;C773)</f>
        <v/>
      </c>
      <c r="B773" s="130"/>
      <c r="C773" s="130"/>
      <c r="D773" s="130"/>
      <c r="E773" s="136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</row>
    <row r="774" customFormat="false" ht="15.75" hidden="false" customHeight="false" outlineLevel="0" collapsed="false">
      <c r="A774" s="130" t="str">
        <f aca="false">IF(ISBLANK(B774),"",B774&amp;"|"&amp;C774)</f>
        <v/>
      </c>
      <c r="B774" s="130"/>
      <c r="C774" s="130"/>
      <c r="D774" s="130"/>
      <c r="E774" s="136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</row>
    <row r="775" customFormat="false" ht="15.75" hidden="false" customHeight="false" outlineLevel="0" collapsed="false">
      <c r="A775" s="130" t="str">
        <f aca="false">IF(ISBLANK(B775),"",B775&amp;"|"&amp;C775)</f>
        <v/>
      </c>
      <c r="B775" s="130"/>
      <c r="C775" s="130"/>
      <c r="D775" s="130"/>
      <c r="E775" s="136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</row>
    <row r="776" customFormat="false" ht="15.75" hidden="false" customHeight="false" outlineLevel="0" collapsed="false">
      <c r="A776" s="130" t="str">
        <f aca="false">IF(ISBLANK(B776),"",B776&amp;"|"&amp;C776)</f>
        <v/>
      </c>
      <c r="B776" s="130"/>
      <c r="C776" s="130"/>
      <c r="D776" s="130"/>
      <c r="E776" s="136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</row>
    <row r="777" customFormat="false" ht="15.75" hidden="false" customHeight="false" outlineLevel="0" collapsed="false">
      <c r="A777" s="130" t="str">
        <f aca="false">IF(ISBLANK(B777),"",B777&amp;"|"&amp;C777)</f>
        <v/>
      </c>
      <c r="B777" s="130"/>
      <c r="C777" s="130"/>
      <c r="D777" s="130"/>
      <c r="E777" s="136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</row>
    <row r="778" customFormat="false" ht="15.75" hidden="false" customHeight="false" outlineLevel="0" collapsed="false">
      <c r="A778" s="130" t="str">
        <f aca="false">IF(ISBLANK(B778),"",B778&amp;"|"&amp;C778)</f>
        <v/>
      </c>
      <c r="B778" s="130"/>
      <c r="C778" s="130"/>
      <c r="D778" s="130"/>
      <c r="E778" s="136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</row>
    <row r="779" customFormat="false" ht="15.75" hidden="false" customHeight="false" outlineLevel="0" collapsed="false">
      <c r="A779" s="130" t="str">
        <f aca="false">IF(ISBLANK(B779),"",B779&amp;"|"&amp;C779)</f>
        <v/>
      </c>
      <c r="B779" s="130"/>
      <c r="C779" s="130"/>
      <c r="D779" s="130"/>
      <c r="E779" s="136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</row>
    <row r="780" customFormat="false" ht="15.75" hidden="false" customHeight="false" outlineLevel="0" collapsed="false">
      <c r="A780" s="130" t="str">
        <f aca="false">IF(ISBLANK(B780),"",B780&amp;"|"&amp;C780)</f>
        <v/>
      </c>
      <c r="B780" s="130"/>
      <c r="C780" s="130"/>
      <c r="D780" s="130"/>
      <c r="E780" s="136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</row>
    <row r="781" customFormat="false" ht="15.75" hidden="false" customHeight="false" outlineLevel="0" collapsed="false">
      <c r="A781" s="130" t="str">
        <f aca="false">IF(ISBLANK(B781),"",B781&amp;"|"&amp;C781)</f>
        <v/>
      </c>
      <c r="B781" s="130"/>
      <c r="C781" s="130"/>
      <c r="D781" s="130"/>
      <c r="E781" s="136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</row>
    <row r="782" customFormat="false" ht="15.75" hidden="false" customHeight="false" outlineLevel="0" collapsed="false">
      <c r="A782" s="130" t="str">
        <f aca="false">IF(ISBLANK(B782),"",B782&amp;"|"&amp;C782)</f>
        <v/>
      </c>
      <c r="B782" s="130"/>
      <c r="C782" s="130"/>
      <c r="D782" s="130"/>
      <c r="E782" s="136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</row>
    <row r="783" customFormat="false" ht="15.75" hidden="false" customHeight="false" outlineLevel="0" collapsed="false">
      <c r="A783" s="130" t="str">
        <f aca="false">IF(ISBLANK(B783),"",B783&amp;"|"&amp;C783)</f>
        <v/>
      </c>
      <c r="B783" s="130"/>
      <c r="C783" s="130"/>
      <c r="D783" s="130"/>
      <c r="E783" s="136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</row>
    <row r="784" customFormat="false" ht="15.75" hidden="false" customHeight="false" outlineLevel="0" collapsed="false">
      <c r="A784" s="130" t="str">
        <f aca="false">IF(ISBLANK(B784),"",B784&amp;"|"&amp;C784)</f>
        <v/>
      </c>
      <c r="B784" s="130"/>
      <c r="C784" s="130"/>
      <c r="D784" s="130"/>
      <c r="E784" s="136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</row>
    <row r="785" customFormat="false" ht="15.75" hidden="false" customHeight="false" outlineLevel="0" collapsed="false">
      <c r="A785" s="130" t="str">
        <f aca="false">IF(ISBLANK(B785),"",B785&amp;"|"&amp;C785)</f>
        <v/>
      </c>
      <c r="B785" s="130"/>
      <c r="C785" s="130"/>
      <c r="D785" s="130"/>
      <c r="E785" s="136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</row>
    <row r="786" customFormat="false" ht="15.75" hidden="false" customHeight="false" outlineLevel="0" collapsed="false">
      <c r="A786" s="130" t="str">
        <f aca="false">IF(ISBLANK(B786),"",B786&amp;"|"&amp;C786)</f>
        <v/>
      </c>
      <c r="B786" s="130"/>
      <c r="C786" s="130"/>
      <c r="D786" s="130"/>
      <c r="E786" s="136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</row>
    <row r="787" customFormat="false" ht="15.75" hidden="false" customHeight="false" outlineLevel="0" collapsed="false">
      <c r="A787" s="130" t="str">
        <f aca="false">IF(ISBLANK(B787),"",B787&amp;"|"&amp;C787)</f>
        <v/>
      </c>
      <c r="B787" s="130"/>
      <c r="C787" s="130"/>
      <c r="D787" s="130"/>
      <c r="E787" s="136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</row>
    <row r="788" customFormat="false" ht="15.75" hidden="false" customHeight="false" outlineLevel="0" collapsed="false">
      <c r="A788" s="130" t="str">
        <f aca="false">IF(ISBLANK(B788),"",B788&amp;"|"&amp;C788)</f>
        <v/>
      </c>
      <c r="B788" s="130"/>
      <c r="C788" s="130"/>
      <c r="D788" s="130"/>
      <c r="E788" s="136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</row>
    <row r="789" customFormat="false" ht="15.75" hidden="false" customHeight="false" outlineLevel="0" collapsed="false">
      <c r="A789" s="130" t="str">
        <f aca="false">IF(ISBLANK(B789),"",B789&amp;"|"&amp;C789)</f>
        <v/>
      </c>
      <c r="B789" s="130"/>
      <c r="C789" s="130"/>
      <c r="D789" s="130"/>
      <c r="E789" s="136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</row>
    <row r="790" customFormat="false" ht="15.75" hidden="false" customHeight="false" outlineLevel="0" collapsed="false">
      <c r="A790" s="130" t="str">
        <f aca="false">IF(ISBLANK(B790),"",B790&amp;"|"&amp;C790)</f>
        <v/>
      </c>
      <c r="B790" s="130"/>
      <c r="C790" s="130"/>
      <c r="D790" s="130"/>
      <c r="E790" s="136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</row>
    <row r="791" customFormat="false" ht="15.75" hidden="false" customHeight="false" outlineLevel="0" collapsed="false">
      <c r="A791" s="130" t="str">
        <f aca="false">IF(ISBLANK(B791),"",B791&amp;"|"&amp;C791)</f>
        <v/>
      </c>
      <c r="B791" s="130"/>
      <c r="C791" s="130"/>
      <c r="D791" s="130"/>
      <c r="E791" s="136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</row>
    <row r="792" customFormat="false" ht="15.75" hidden="false" customHeight="false" outlineLevel="0" collapsed="false">
      <c r="A792" s="130" t="str">
        <f aca="false">IF(ISBLANK(B792),"",B792&amp;"|"&amp;C792)</f>
        <v/>
      </c>
      <c r="B792" s="130"/>
      <c r="C792" s="130"/>
      <c r="D792" s="130"/>
      <c r="E792" s="136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</row>
    <row r="793" customFormat="false" ht="15.75" hidden="false" customHeight="false" outlineLevel="0" collapsed="false">
      <c r="A793" s="130" t="str">
        <f aca="false">IF(ISBLANK(B793),"",B793&amp;"|"&amp;C793)</f>
        <v/>
      </c>
      <c r="B793" s="130"/>
      <c r="C793" s="130"/>
      <c r="D793" s="130"/>
      <c r="E793" s="136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</row>
    <row r="794" customFormat="false" ht="15.75" hidden="false" customHeight="false" outlineLevel="0" collapsed="false">
      <c r="A794" s="130" t="str">
        <f aca="false">IF(ISBLANK(B794),"",B794&amp;"|"&amp;C794)</f>
        <v/>
      </c>
      <c r="B794" s="130"/>
      <c r="C794" s="130"/>
      <c r="D794" s="130"/>
      <c r="E794" s="136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</row>
    <row r="795" customFormat="false" ht="15.75" hidden="false" customHeight="false" outlineLevel="0" collapsed="false">
      <c r="A795" s="130" t="str">
        <f aca="false">IF(ISBLANK(B795),"",B795&amp;"|"&amp;C795)</f>
        <v/>
      </c>
      <c r="B795" s="130"/>
      <c r="C795" s="130"/>
      <c r="D795" s="130"/>
      <c r="E795" s="136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</row>
    <row r="796" customFormat="false" ht="15.75" hidden="false" customHeight="false" outlineLevel="0" collapsed="false">
      <c r="A796" s="130" t="str">
        <f aca="false">IF(ISBLANK(B796),"",B796&amp;"|"&amp;C796)</f>
        <v/>
      </c>
      <c r="B796" s="130"/>
      <c r="C796" s="130"/>
      <c r="D796" s="130"/>
      <c r="E796" s="136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</row>
    <row r="797" customFormat="false" ht="15.75" hidden="false" customHeight="false" outlineLevel="0" collapsed="false">
      <c r="A797" s="130" t="str">
        <f aca="false">IF(ISBLANK(B797),"",B797&amp;"|"&amp;C797)</f>
        <v/>
      </c>
      <c r="B797" s="130"/>
      <c r="C797" s="130"/>
      <c r="D797" s="130"/>
      <c r="E797" s="136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</row>
    <row r="798" customFormat="false" ht="15.75" hidden="false" customHeight="false" outlineLevel="0" collapsed="false">
      <c r="A798" s="130" t="str">
        <f aca="false">IF(ISBLANK(B798),"",B798&amp;"|"&amp;C798)</f>
        <v/>
      </c>
      <c r="B798" s="130"/>
      <c r="C798" s="130"/>
      <c r="D798" s="130"/>
      <c r="E798" s="136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</row>
    <row r="799" customFormat="false" ht="15.75" hidden="false" customHeight="false" outlineLevel="0" collapsed="false">
      <c r="A799" s="130" t="str">
        <f aca="false">IF(ISBLANK(B799),"",B799&amp;"|"&amp;C799)</f>
        <v/>
      </c>
      <c r="B799" s="130"/>
      <c r="C799" s="130"/>
      <c r="D799" s="130"/>
      <c r="E799" s="136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</row>
    <row r="800" customFormat="false" ht="15.75" hidden="false" customHeight="false" outlineLevel="0" collapsed="false">
      <c r="A800" s="130" t="str">
        <f aca="false">IF(ISBLANK(B800),"",B800&amp;"|"&amp;C800)</f>
        <v/>
      </c>
      <c r="B800" s="130"/>
      <c r="C800" s="130"/>
      <c r="D800" s="130"/>
      <c r="E800" s="136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</row>
    <row r="801" customFormat="false" ht="15.75" hidden="false" customHeight="false" outlineLevel="0" collapsed="false">
      <c r="A801" s="130" t="str">
        <f aca="false">IF(ISBLANK(B801),"",B801&amp;"|"&amp;C801)</f>
        <v/>
      </c>
      <c r="B801" s="130"/>
      <c r="C801" s="130"/>
      <c r="D801" s="130"/>
      <c r="E801" s="136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</row>
    <row r="802" customFormat="false" ht="15.75" hidden="false" customHeight="false" outlineLevel="0" collapsed="false">
      <c r="A802" s="130" t="str">
        <f aca="false">IF(ISBLANK(B802),"",B802&amp;"|"&amp;C802)</f>
        <v/>
      </c>
      <c r="B802" s="130"/>
      <c r="C802" s="130"/>
      <c r="D802" s="130"/>
      <c r="E802" s="136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</row>
    <row r="803" customFormat="false" ht="15.75" hidden="false" customHeight="false" outlineLevel="0" collapsed="false">
      <c r="A803" s="130" t="str">
        <f aca="false">IF(ISBLANK(B803),"",B803&amp;"|"&amp;C803)</f>
        <v/>
      </c>
      <c r="B803" s="130"/>
      <c r="C803" s="130"/>
      <c r="D803" s="130"/>
      <c r="E803" s="136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</row>
    <row r="804" customFormat="false" ht="15.75" hidden="false" customHeight="false" outlineLevel="0" collapsed="false">
      <c r="A804" s="130" t="str">
        <f aca="false">IF(ISBLANK(B804),"",B804&amp;"|"&amp;C804)</f>
        <v/>
      </c>
      <c r="B804" s="130"/>
      <c r="C804" s="130"/>
      <c r="D804" s="130"/>
      <c r="E804" s="136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</row>
    <row r="805" customFormat="false" ht="15.75" hidden="false" customHeight="false" outlineLevel="0" collapsed="false">
      <c r="A805" s="130" t="str">
        <f aca="false">IF(ISBLANK(B805),"",B805&amp;"|"&amp;C805)</f>
        <v/>
      </c>
      <c r="B805" s="130"/>
      <c r="C805" s="130"/>
      <c r="D805" s="130"/>
      <c r="E805" s="136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</row>
    <row r="806" customFormat="false" ht="15.75" hidden="false" customHeight="false" outlineLevel="0" collapsed="false">
      <c r="A806" s="130" t="str">
        <f aca="false">IF(ISBLANK(B806),"",B806&amp;"|"&amp;C806)</f>
        <v/>
      </c>
      <c r="B806" s="130"/>
      <c r="C806" s="130"/>
      <c r="D806" s="130"/>
      <c r="E806" s="136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</row>
    <row r="807" customFormat="false" ht="15.75" hidden="false" customHeight="false" outlineLevel="0" collapsed="false">
      <c r="A807" s="130" t="str">
        <f aca="false">IF(ISBLANK(B807),"",B807&amp;"|"&amp;C807)</f>
        <v/>
      </c>
      <c r="B807" s="130"/>
      <c r="C807" s="130"/>
      <c r="D807" s="130"/>
      <c r="E807" s="136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</row>
    <row r="808" customFormat="false" ht="15.75" hidden="false" customHeight="false" outlineLevel="0" collapsed="false">
      <c r="A808" s="130" t="str">
        <f aca="false">IF(ISBLANK(B808),"",B808&amp;"|"&amp;C808)</f>
        <v/>
      </c>
      <c r="B808" s="130"/>
      <c r="C808" s="130"/>
      <c r="D808" s="130"/>
      <c r="E808" s="136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</row>
    <row r="809" customFormat="false" ht="15.75" hidden="false" customHeight="false" outlineLevel="0" collapsed="false">
      <c r="A809" s="130" t="str">
        <f aca="false">IF(ISBLANK(B809),"",B809&amp;"|"&amp;C809)</f>
        <v/>
      </c>
      <c r="B809" s="130"/>
      <c r="C809" s="130"/>
      <c r="D809" s="130"/>
      <c r="E809" s="136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</row>
    <row r="810" customFormat="false" ht="15.75" hidden="false" customHeight="false" outlineLevel="0" collapsed="false">
      <c r="A810" s="130" t="str">
        <f aca="false">IF(ISBLANK(B810),"",B810&amp;"|"&amp;C810)</f>
        <v/>
      </c>
      <c r="B810" s="130"/>
      <c r="C810" s="130"/>
      <c r="D810" s="130"/>
      <c r="E810" s="136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</row>
    <row r="811" customFormat="false" ht="15.75" hidden="false" customHeight="false" outlineLevel="0" collapsed="false">
      <c r="A811" s="130" t="str">
        <f aca="false">IF(ISBLANK(B811),"",B811&amp;"|"&amp;C811)</f>
        <v/>
      </c>
      <c r="B811" s="130"/>
      <c r="C811" s="130"/>
      <c r="D811" s="130"/>
      <c r="E811" s="136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</row>
    <row r="812" customFormat="false" ht="15.75" hidden="false" customHeight="false" outlineLevel="0" collapsed="false">
      <c r="A812" s="130" t="str">
        <f aca="false">IF(ISBLANK(B812),"",B812&amp;"|"&amp;C812)</f>
        <v/>
      </c>
      <c r="B812" s="130"/>
      <c r="C812" s="130"/>
      <c r="D812" s="130"/>
      <c r="E812" s="136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</row>
    <row r="813" customFormat="false" ht="15.75" hidden="false" customHeight="false" outlineLevel="0" collapsed="false">
      <c r="A813" s="130" t="str">
        <f aca="false">IF(ISBLANK(B813),"",B813&amp;"|"&amp;C813)</f>
        <v/>
      </c>
      <c r="B813" s="130"/>
      <c r="C813" s="130"/>
      <c r="D813" s="130"/>
      <c r="E813" s="136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</row>
    <row r="814" customFormat="false" ht="15.75" hidden="false" customHeight="false" outlineLevel="0" collapsed="false">
      <c r="A814" s="130" t="str">
        <f aca="false">IF(ISBLANK(B814),"",B814&amp;"|"&amp;C814)</f>
        <v/>
      </c>
      <c r="B814" s="130"/>
      <c r="C814" s="130"/>
      <c r="D814" s="130"/>
      <c r="E814" s="136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</row>
    <row r="815" customFormat="false" ht="15.75" hidden="false" customHeight="false" outlineLevel="0" collapsed="false">
      <c r="A815" s="130" t="str">
        <f aca="false">IF(ISBLANK(B815),"",B815&amp;"|"&amp;C815)</f>
        <v/>
      </c>
      <c r="B815" s="130"/>
      <c r="C815" s="130"/>
      <c r="D815" s="130"/>
      <c r="E815" s="136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</row>
    <row r="816" customFormat="false" ht="15.75" hidden="false" customHeight="false" outlineLevel="0" collapsed="false">
      <c r="A816" s="130" t="str">
        <f aca="false">IF(ISBLANK(B816),"",B816&amp;"|"&amp;C816)</f>
        <v/>
      </c>
      <c r="B816" s="130"/>
      <c r="C816" s="130"/>
      <c r="D816" s="130"/>
      <c r="E816" s="136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</row>
    <row r="817" customFormat="false" ht="15.75" hidden="false" customHeight="false" outlineLevel="0" collapsed="false">
      <c r="A817" s="130" t="str">
        <f aca="false">IF(ISBLANK(B817),"",B817&amp;"|"&amp;C817)</f>
        <v/>
      </c>
      <c r="B817" s="130"/>
      <c r="C817" s="130"/>
      <c r="D817" s="130"/>
      <c r="E817" s="136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</row>
    <row r="818" customFormat="false" ht="15.75" hidden="false" customHeight="false" outlineLevel="0" collapsed="false">
      <c r="A818" s="130" t="str">
        <f aca="false">IF(ISBLANK(B818),"",B818&amp;"|"&amp;C818)</f>
        <v/>
      </c>
      <c r="B818" s="130"/>
      <c r="C818" s="130"/>
      <c r="D818" s="130"/>
      <c r="E818" s="136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</row>
    <row r="819" customFormat="false" ht="15.75" hidden="false" customHeight="false" outlineLevel="0" collapsed="false">
      <c r="A819" s="130" t="str">
        <f aca="false">IF(ISBLANK(B819),"",B819&amp;"|"&amp;C819)</f>
        <v/>
      </c>
      <c r="B819" s="130"/>
      <c r="C819" s="130"/>
      <c r="D819" s="130"/>
      <c r="E819" s="136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</row>
    <row r="820" customFormat="false" ht="15.75" hidden="false" customHeight="false" outlineLevel="0" collapsed="false">
      <c r="A820" s="130" t="str">
        <f aca="false">IF(ISBLANK(B820),"",B820&amp;"|"&amp;C820)</f>
        <v/>
      </c>
      <c r="B820" s="130"/>
      <c r="C820" s="130"/>
      <c r="D820" s="130"/>
      <c r="E820" s="136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</row>
    <row r="821" customFormat="false" ht="15.75" hidden="false" customHeight="false" outlineLevel="0" collapsed="false">
      <c r="A821" s="130" t="str">
        <f aca="false">IF(ISBLANK(B821),"",B821&amp;"|"&amp;C821)</f>
        <v/>
      </c>
      <c r="B821" s="130"/>
      <c r="C821" s="130"/>
      <c r="D821" s="130"/>
      <c r="E821" s="136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</row>
    <row r="822" customFormat="false" ht="15.75" hidden="false" customHeight="false" outlineLevel="0" collapsed="false">
      <c r="A822" s="130" t="str">
        <f aca="false">IF(ISBLANK(B822),"",B822&amp;"|"&amp;C822)</f>
        <v/>
      </c>
      <c r="B822" s="130"/>
      <c r="C822" s="130"/>
      <c r="D822" s="130"/>
      <c r="E822" s="136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</row>
    <row r="823" customFormat="false" ht="15.75" hidden="false" customHeight="false" outlineLevel="0" collapsed="false">
      <c r="A823" s="130" t="str">
        <f aca="false">IF(ISBLANK(B823),"",B823&amp;"|"&amp;C823)</f>
        <v/>
      </c>
      <c r="B823" s="130"/>
      <c r="C823" s="130"/>
      <c r="D823" s="130"/>
      <c r="E823" s="136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</row>
    <row r="824" customFormat="false" ht="15.75" hidden="false" customHeight="false" outlineLevel="0" collapsed="false">
      <c r="A824" s="130" t="str">
        <f aca="false">IF(ISBLANK(B824),"",B824&amp;"|"&amp;C824)</f>
        <v/>
      </c>
      <c r="B824" s="130"/>
      <c r="C824" s="130"/>
      <c r="D824" s="130"/>
      <c r="E824" s="136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</row>
    <row r="825" customFormat="false" ht="15.75" hidden="false" customHeight="false" outlineLevel="0" collapsed="false">
      <c r="A825" s="130" t="str">
        <f aca="false">IF(ISBLANK(B825),"",B825&amp;"|"&amp;C825)</f>
        <v/>
      </c>
      <c r="B825" s="130"/>
      <c r="C825" s="130"/>
      <c r="D825" s="130"/>
      <c r="E825" s="136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</row>
    <row r="826" customFormat="false" ht="15.75" hidden="false" customHeight="false" outlineLevel="0" collapsed="false">
      <c r="A826" s="130" t="str">
        <f aca="false">IF(ISBLANK(B826),"",B826&amp;"|"&amp;C826)</f>
        <v/>
      </c>
      <c r="B826" s="130"/>
      <c r="C826" s="130"/>
      <c r="D826" s="130"/>
      <c r="E826" s="136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</row>
    <row r="827" customFormat="false" ht="15.75" hidden="false" customHeight="false" outlineLevel="0" collapsed="false">
      <c r="A827" s="130" t="str">
        <f aca="false">IF(ISBLANK(B827),"",B827&amp;"|"&amp;C827)</f>
        <v/>
      </c>
      <c r="B827" s="130"/>
      <c r="C827" s="130"/>
      <c r="D827" s="130"/>
      <c r="E827" s="136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</row>
    <row r="828" customFormat="false" ht="15.75" hidden="false" customHeight="false" outlineLevel="0" collapsed="false">
      <c r="A828" s="130" t="str">
        <f aca="false">IF(ISBLANK(B828),"",B828&amp;"|"&amp;C828)</f>
        <v/>
      </c>
      <c r="B828" s="130"/>
      <c r="C828" s="130"/>
      <c r="D828" s="130"/>
      <c r="E828" s="136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</row>
    <row r="829" customFormat="false" ht="15.75" hidden="false" customHeight="false" outlineLevel="0" collapsed="false">
      <c r="A829" s="130" t="str">
        <f aca="false">IF(ISBLANK(B829),"",B829&amp;"|"&amp;C829)</f>
        <v/>
      </c>
      <c r="B829" s="130"/>
      <c r="C829" s="130"/>
      <c r="D829" s="130"/>
      <c r="E829" s="136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</row>
    <row r="830" customFormat="false" ht="15.75" hidden="false" customHeight="false" outlineLevel="0" collapsed="false">
      <c r="A830" s="130" t="str">
        <f aca="false">IF(ISBLANK(B830),"",B830&amp;"|"&amp;C830)</f>
        <v/>
      </c>
      <c r="B830" s="130"/>
      <c r="C830" s="130"/>
      <c r="D830" s="130"/>
      <c r="E830" s="136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</row>
    <row r="831" customFormat="false" ht="15.75" hidden="false" customHeight="false" outlineLevel="0" collapsed="false">
      <c r="A831" s="130" t="str">
        <f aca="false">IF(ISBLANK(B831),"",B831&amp;"|"&amp;C831)</f>
        <v/>
      </c>
      <c r="B831" s="130"/>
      <c r="C831" s="130"/>
      <c r="D831" s="130"/>
      <c r="E831" s="136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</row>
    <row r="832" customFormat="false" ht="15.75" hidden="false" customHeight="false" outlineLevel="0" collapsed="false">
      <c r="A832" s="130" t="str">
        <f aca="false">IF(ISBLANK(B832),"",B832&amp;"|"&amp;C832)</f>
        <v/>
      </c>
      <c r="B832" s="130"/>
      <c r="C832" s="130"/>
      <c r="D832" s="130"/>
      <c r="E832" s="136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</row>
    <row r="833" customFormat="false" ht="15.75" hidden="false" customHeight="false" outlineLevel="0" collapsed="false">
      <c r="A833" s="130" t="str">
        <f aca="false">IF(ISBLANK(B833),"",B833&amp;"|"&amp;C833)</f>
        <v/>
      </c>
      <c r="B833" s="130"/>
      <c r="C833" s="130"/>
      <c r="D833" s="130"/>
      <c r="E833" s="136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</row>
    <row r="834" customFormat="false" ht="15.75" hidden="false" customHeight="false" outlineLevel="0" collapsed="false">
      <c r="A834" s="130" t="str">
        <f aca="false">IF(ISBLANK(B834),"",B834&amp;"|"&amp;C834)</f>
        <v/>
      </c>
      <c r="B834" s="130"/>
      <c r="C834" s="130"/>
      <c r="D834" s="130"/>
      <c r="E834" s="136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</row>
    <row r="835" customFormat="false" ht="15.75" hidden="false" customHeight="false" outlineLevel="0" collapsed="false">
      <c r="A835" s="130" t="str">
        <f aca="false">IF(ISBLANK(B835),"",B835&amp;"|"&amp;C835)</f>
        <v/>
      </c>
      <c r="B835" s="130"/>
      <c r="C835" s="130"/>
      <c r="D835" s="130"/>
      <c r="E835" s="136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</row>
    <row r="836" customFormat="false" ht="15.75" hidden="false" customHeight="false" outlineLevel="0" collapsed="false">
      <c r="A836" s="130" t="str">
        <f aca="false">IF(ISBLANK(B836),"",B836&amp;"|"&amp;C836)</f>
        <v/>
      </c>
      <c r="B836" s="130"/>
      <c r="C836" s="130"/>
      <c r="D836" s="130"/>
      <c r="E836" s="136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</row>
    <row r="837" customFormat="false" ht="15.75" hidden="false" customHeight="false" outlineLevel="0" collapsed="false">
      <c r="A837" s="130" t="str">
        <f aca="false">IF(ISBLANK(B837),"",B837&amp;"|"&amp;C837)</f>
        <v/>
      </c>
      <c r="B837" s="130"/>
      <c r="C837" s="130"/>
      <c r="D837" s="130"/>
      <c r="E837" s="136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</row>
    <row r="838" customFormat="false" ht="15.75" hidden="false" customHeight="false" outlineLevel="0" collapsed="false">
      <c r="A838" s="130" t="str">
        <f aca="false">IF(ISBLANK(B838),"",B838&amp;"|"&amp;C838)</f>
        <v/>
      </c>
      <c r="B838" s="130"/>
      <c r="C838" s="130"/>
      <c r="D838" s="130"/>
      <c r="E838" s="136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</row>
    <row r="839" customFormat="false" ht="15.75" hidden="false" customHeight="false" outlineLevel="0" collapsed="false">
      <c r="A839" s="130" t="str">
        <f aca="false">IF(ISBLANK(B839),"",B839&amp;"|"&amp;C839)</f>
        <v/>
      </c>
      <c r="B839" s="130"/>
      <c r="C839" s="130"/>
      <c r="D839" s="130"/>
      <c r="E839" s="136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</row>
    <row r="840" customFormat="false" ht="15.75" hidden="false" customHeight="false" outlineLevel="0" collapsed="false">
      <c r="A840" s="130" t="str">
        <f aca="false">IF(ISBLANK(B840),"",B840&amp;"|"&amp;C840)</f>
        <v/>
      </c>
      <c r="B840" s="130"/>
      <c r="C840" s="130"/>
      <c r="D840" s="130"/>
      <c r="E840" s="136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</row>
    <row r="841" customFormat="false" ht="15.75" hidden="false" customHeight="false" outlineLevel="0" collapsed="false">
      <c r="A841" s="130" t="str">
        <f aca="false">IF(ISBLANK(B841),"",B841&amp;"|"&amp;C841)</f>
        <v/>
      </c>
      <c r="B841" s="130"/>
      <c r="C841" s="130"/>
      <c r="D841" s="130"/>
      <c r="E841" s="136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</row>
    <row r="842" customFormat="false" ht="15.75" hidden="false" customHeight="false" outlineLevel="0" collapsed="false">
      <c r="A842" s="130" t="str">
        <f aca="false">IF(ISBLANK(B842),"",B842&amp;"|"&amp;C842)</f>
        <v/>
      </c>
      <c r="B842" s="130"/>
      <c r="C842" s="130"/>
      <c r="D842" s="130"/>
      <c r="E842" s="136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</row>
    <row r="843" customFormat="false" ht="15.75" hidden="false" customHeight="false" outlineLevel="0" collapsed="false">
      <c r="A843" s="130" t="str">
        <f aca="false">IF(ISBLANK(B843),"",B843&amp;"|"&amp;C843)</f>
        <v/>
      </c>
      <c r="B843" s="130"/>
      <c r="C843" s="130"/>
      <c r="D843" s="130"/>
      <c r="E843" s="136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</row>
    <row r="844" customFormat="false" ht="15.75" hidden="false" customHeight="false" outlineLevel="0" collapsed="false">
      <c r="A844" s="130" t="str">
        <f aca="false">IF(ISBLANK(B844),"",B844&amp;"|"&amp;C844)</f>
        <v/>
      </c>
      <c r="B844" s="130"/>
      <c r="C844" s="130"/>
      <c r="D844" s="130"/>
      <c r="E844" s="136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</row>
    <row r="845" customFormat="false" ht="15.75" hidden="false" customHeight="false" outlineLevel="0" collapsed="false">
      <c r="A845" s="130" t="str">
        <f aca="false">IF(ISBLANK(B845),"",B845&amp;"|"&amp;C845)</f>
        <v/>
      </c>
      <c r="B845" s="130"/>
      <c r="C845" s="130"/>
      <c r="D845" s="130"/>
      <c r="E845" s="136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</row>
    <row r="846" customFormat="false" ht="15.75" hidden="false" customHeight="false" outlineLevel="0" collapsed="false">
      <c r="A846" s="130" t="str">
        <f aca="false">IF(ISBLANK(B846),"",B846&amp;"|"&amp;C846)</f>
        <v/>
      </c>
      <c r="B846" s="130"/>
      <c r="C846" s="130"/>
      <c r="D846" s="130"/>
      <c r="E846" s="136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</row>
    <row r="847" customFormat="false" ht="15.75" hidden="false" customHeight="false" outlineLevel="0" collapsed="false">
      <c r="A847" s="130" t="str">
        <f aca="false">IF(ISBLANK(B847),"",B847&amp;"|"&amp;C847)</f>
        <v/>
      </c>
      <c r="B847" s="130"/>
      <c r="C847" s="130"/>
      <c r="D847" s="130"/>
      <c r="E847" s="136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</row>
    <row r="848" customFormat="false" ht="15.75" hidden="false" customHeight="false" outlineLevel="0" collapsed="false">
      <c r="A848" s="130" t="str">
        <f aca="false">IF(ISBLANK(B848),"",B848&amp;"|"&amp;C848)</f>
        <v/>
      </c>
      <c r="B848" s="130"/>
      <c r="C848" s="130"/>
      <c r="D848" s="130"/>
      <c r="E848" s="136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</row>
    <row r="849" customFormat="false" ht="15.75" hidden="false" customHeight="false" outlineLevel="0" collapsed="false">
      <c r="A849" s="130" t="str">
        <f aca="false">IF(ISBLANK(B849),"",B849&amp;"|"&amp;C849)</f>
        <v/>
      </c>
      <c r="B849" s="130"/>
      <c r="C849" s="130"/>
      <c r="D849" s="130"/>
      <c r="E849" s="136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</row>
    <row r="850" customFormat="false" ht="15.75" hidden="false" customHeight="false" outlineLevel="0" collapsed="false">
      <c r="A850" s="130" t="str">
        <f aca="false">IF(ISBLANK(B850),"",B850&amp;"|"&amp;C850)</f>
        <v/>
      </c>
      <c r="B850" s="130"/>
      <c r="C850" s="130"/>
      <c r="D850" s="130"/>
      <c r="E850" s="136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</row>
    <row r="851" customFormat="false" ht="15.75" hidden="false" customHeight="false" outlineLevel="0" collapsed="false">
      <c r="A851" s="130" t="str">
        <f aca="false">IF(ISBLANK(B851),"",B851&amp;"|"&amp;C851)</f>
        <v/>
      </c>
      <c r="B851" s="130"/>
      <c r="C851" s="130"/>
      <c r="D851" s="130"/>
      <c r="E851" s="136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</row>
    <row r="852" customFormat="false" ht="15.75" hidden="false" customHeight="false" outlineLevel="0" collapsed="false">
      <c r="A852" s="130" t="str">
        <f aca="false">IF(ISBLANK(B852),"",B852&amp;"|"&amp;C852)</f>
        <v/>
      </c>
      <c r="B852" s="130"/>
      <c r="C852" s="130"/>
      <c r="D852" s="130"/>
      <c r="E852" s="136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</row>
    <row r="853" customFormat="false" ht="15.75" hidden="false" customHeight="false" outlineLevel="0" collapsed="false">
      <c r="A853" s="130" t="str">
        <f aca="false">IF(ISBLANK(B853),"",B853&amp;"|"&amp;C853)</f>
        <v/>
      </c>
      <c r="B853" s="130"/>
      <c r="C853" s="130"/>
      <c r="D853" s="130"/>
      <c r="E853" s="136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</row>
    <row r="854" customFormat="false" ht="15.75" hidden="false" customHeight="false" outlineLevel="0" collapsed="false">
      <c r="A854" s="130" t="str">
        <f aca="false">IF(ISBLANK(B854),"",B854&amp;"|"&amp;C854)</f>
        <v/>
      </c>
      <c r="B854" s="130"/>
      <c r="C854" s="130"/>
      <c r="D854" s="130"/>
      <c r="E854" s="136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</row>
    <row r="855" customFormat="false" ht="15.75" hidden="false" customHeight="false" outlineLevel="0" collapsed="false">
      <c r="A855" s="130" t="str">
        <f aca="false">IF(ISBLANK(B855),"",B855&amp;"|"&amp;C855)</f>
        <v/>
      </c>
      <c r="B855" s="130"/>
      <c r="C855" s="130"/>
      <c r="D855" s="130"/>
      <c r="E855" s="136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</row>
    <row r="856" customFormat="false" ht="15.75" hidden="false" customHeight="false" outlineLevel="0" collapsed="false">
      <c r="A856" s="130" t="str">
        <f aca="false">IF(ISBLANK(B856),"",B856&amp;"|"&amp;C856)</f>
        <v/>
      </c>
      <c r="B856" s="130"/>
      <c r="C856" s="130"/>
      <c r="D856" s="130"/>
      <c r="E856" s="136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</row>
    <row r="857" customFormat="false" ht="15.75" hidden="false" customHeight="false" outlineLevel="0" collapsed="false">
      <c r="A857" s="130" t="str">
        <f aca="false">IF(ISBLANK(B857),"",B857&amp;"|"&amp;C857)</f>
        <v/>
      </c>
      <c r="B857" s="130"/>
      <c r="C857" s="130"/>
      <c r="D857" s="130"/>
      <c r="E857" s="136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</row>
    <row r="858" customFormat="false" ht="15.75" hidden="false" customHeight="false" outlineLevel="0" collapsed="false">
      <c r="A858" s="130" t="str">
        <f aca="false">IF(ISBLANK(B858),"",B858&amp;"|"&amp;C858)</f>
        <v/>
      </c>
      <c r="B858" s="130"/>
      <c r="C858" s="130"/>
      <c r="D858" s="130"/>
      <c r="E858" s="136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</row>
    <row r="859" customFormat="false" ht="15.75" hidden="false" customHeight="false" outlineLevel="0" collapsed="false">
      <c r="A859" s="130" t="str">
        <f aca="false">IF(ISBLANK(B859),"",B859&amp;"|"&amp;C859)</f>
        <v/>
      </c>
      <c r="B859" s="130"/>
      <c r="C859" s="130"/>
      <c r="D859" s="130"/>
      <c r="E859" s="136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</row>
    <row r="860" customFormat="false" ht="15.75" hidden="false" customHeight="false" outlineLevel="0" collapsed="false">
      <c r="A860" s="130" t="str">
        <f aca="false">IF(ISBLANK(B860),"",B860&amp;"|"&amp;C860)</f>
        <v/>
      </c>
      <c r="B860" s="130"/>
      <c r="C860" s="130"/>
      <c r="D860" s="130"/>
      <c r="E860" s="136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</row>
    <row r="861" customFormat="false" ht="15.75" hidden="false" customHeight="false" outlineLevel="0" collapsed="false">
      <c r="A861" s="130" t="str">
        <f aca="false">IF(ISBLANK(B861),"",B861&amp;"|"&amp;C861)</f>
        <v/>
      </c>
      <c r="B861" s="130"/>
      <c r="C861" s="130"/>
      <c r="D861" s="130"/>
      <c r="E861" s="136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</row>
    <row r="862" customFormat="false" ht="15.75" hidden="false" customHeight="false" outlineLevel="0" collapsed="false">
      <c r="A862" s="130" t="str">
        <f aca="false">IF(ISBLANK(B862),"",B862&amp;"|"&amp;C862)</f>
        <v/>
      </c>
      <c r="B862" s="130"/>
      <c r="C862" s="130"/>
      <c r="D862" s="130"/>
      <c r="E862" s="136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</row>
    <row r="863" customFormat="false" ht="15.75" hidden="false" customHeight="false" outlineLevel="0" collapsed="false">
      <c r="A863" s="130" t="str">
        <f aca="false">IF(ISBLANK(B863),"",B863&amp;"|"&amp;C863)</f>
        <v/>
      </c>
      <c r="B863" s="130"/>
      <c r="C863" s="130"/>
      <c r="D863" s="130"/>
      <c r="E863" s="136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</row>
    <row r="864" customFormat="false" ht="15.75" hidden="false" customHeight="false" outlineLevel="0" collapsed="false">
      <c r="A864" s="130" t="str">
        <f aca="false">IF(ISBLANK(B864),"",B864&amp;"|"&amp;C864)</f>
        <v/>
      </c>
      <c r="B864" s="130"/>
      <c r="C864" s="130"/>
      <c r="D864" s="130"/>
      <c r="E864" s="136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</row>
    <row r="865" customFormat="false" ht="15.75" hidden="false" customHeight="false" outlineLevel="0" collapsed="false">
      <c r="A865" s="130" t="str">
        <f aca="false">IF(ISBLANK(B865),"",B865&amp;"|"&amp;C865)</f>
        <v/>
      </c>
      <c r="B865" s="130"/>
      <c r="C865" s="130"/>
      <c r="D865" s="130"/>
      <c r="E865" s="136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</row>
    <row r="866" customFormat="false" ht="15.75" hidden="false" customHeight="false" outlineLevel="0" collapsed="false">
      <c r="A866" s="130" t="str">
        <f aca="false">IF(ISBLANK(B866),"",B866&amp;"|"&amp;C866)</f>
        <v/>
      </c>
      <c r="B866" s="130"/>
      <c r="C866" s="130"/>
      <c r="D866" s="130"/>
      <c r="E866" s="136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</row>
    <row r="867" customFormat="false" ht="15.75" hidden="false" customHeight="false" outlineLevel="0" collapsed="false">
      <c r="A867" s="130" t="str">
        <f aca="false">IF(ISBLANK(B867),"",B867&amp;"|"&amp;C867)</f>
        <v/>
      </c>
      <c r="B867" s="130"/>
      <c r="C867" s="130"/>
      <c r="D867" s="130"/>
      <c r="E867" s="136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</row>
    <row r="868" customFormat="false" ht="15.75" hidden="false" customHeight="false" outlineLevel="0" collapsed="false">
      <c r="A868" s="130" t="str">
        <f aca="false">IF(ISBLANK(B868),"",B868&amp;"|"&amp;C868)</f>
        <v/>
      </c>
      <c r="B868" s="130"/>
      <c r="C868" s="130"/>
      <c r="D868" s="130"/>
      <c r="E868" s="136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</row>
    <row r="869" customFormat="false" ht="15.75" hidden="false" customHeight="false" outlineLevel="0" collapsed="false">
      <c r="A869" s="130" t="str">
        <f aca="false">IF(ISBLANK(B869),"",B869&amp;"|"&amp;C869)</f>
        <v/>
      </c>
      <c r="B869" s="130"/>
      <c r="C869" s="130"/>
      <c r="D869" s="130"/>
      <c r="E869" s="136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</row>
    <row r="870" customFormat="false" ht="15.75" hidden="false" customHeight="false" outlineLevel="0" collapsed="false">
      <c r="A870" s="130" t="str">
        <f aca="false">IF(ISBLANK(B870),"",B870&amp;"|"&amp;C870)</f>
        <v/>
      </c>
      <c r="B870" s="130"/>
      <c r="C870" s="130"/>
      <c r="D870" s="130"/>
      <c r="E870" s="136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</row>
    <row r="871" customFormat="false" ht="15.75" hidden="false" customHeight="false" outlineLevel="0" collapsed="false">
      <c r="A871" s="130" t="str">
        <f aca="false">IF(ISBLANK(B871),"",B871&amp;"|"&amp;C871)</f>
        <v/>
      </c>
      <c r="B871" s="130"/>
      <c r="C871" s="130"/>
      <c r="D871" s="130"/>
      <c r="E871" s="136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</row>
    <row r="872" customFormat="false" ht="15.75" hidden="false" customHeight="false" outlineLevel="0" collapsed="false">
      <c r="A872" s="130" t="str">
        <f aca="false">IF(ISBLANK(B872),"",B872&amp;"|"&amp;C872)</f>
        <v/>
      </c>
      <c r="B872" s="130"/>
      <c r="C872" s="130"/>
      <c r="D872" s="130"/>
      <c r="E872" s="136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</row>
    <row r="873" customFormat="false" ht="15.75" hidden="false" customHeight="false" outlineLevel="0" collapsed="false">
      <c r="A873" s="130" t="str">
        <f aca="false">IF(ISBLANK(B873),"",B873&amp;"|"&amp;C873)</f>
        <v/>
      </c>
      <c r="B873" s="130"/>
      <c r="C873" s="130"/>
      <c r="D873" s="130"/>
      <c r="E873" s="136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</row>
    <row r="874" customFormat="false" ht="15.75" hidden="false" customHeight="false" outlineLevel="0" collapsed="false">
      <c r="A874" s="130" t="str">
        <f aca="false">IF(ISBLANK(B874),"",B874&amp;"|"&amp;C874)</f>
        <v/>
      </c>
      <c r="B874" s="130"/>
      <c r="C874" s="130"/>
      <c r="D874" s="130"/>
      <c r="E874" s="136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</row>
    <row r="875" customFormat="false" ht="15.75" hidden="false" customHeight="false" outlineLevel="0" collapsed="false">
      <c r="A875" s="130" t="str">
        <f aca="false">IF(ISBLANK(B875),"",B875&amp;"|"&amp;C875)</f>
        <v/>
      </c>
      <c r="B875" s="130"/>
      <c r="C875" s="130"/>
      <c r="D875" s="130"/>
      <c r="E875" s="136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</row>
    <row r="876" customFormat="false" ht="15.75" hidden="false" customHeight="false" outlineLevel="0" collapsed="false">
      <c r="A876" s="130" t="str">
        <f aca="false">IF(ISBLANK(B876),"",B876&amp;"|"&amp;C876)</f>
        <v/>
      </c>
      <c r="B876" s="130"/>
      <c r="C876" s="130"/>
      <c r="D876" s="130"/>
      <c r="E876" s="136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</row>
    <row r="877" customFormat="false" ht="15.75" hidden="false" customHeight="false" outlineLevel="0" collapsed="false">
      <c r="A877" s="130" t="str">
        <f aca="false">IF(ISBLANK(B877),"",B877&amp;"|"&amp;C877)</f>
        <v/>
      </c>
      <c r="B877" s="130"/>
      <c r="C877" s="130"/>
      <c r="D877" s="130"/>
      <c r="E877" s="136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</row>
    <row r="878" customFormat="false" ht="15.75" hidden="false" customHeight="false" outlineLevel="0" collapsed="false">
      <c r="A878" s="130" t="str">
        <f aca="false">IF(ISBLANK(B878),"",B878&amp;"|"&amp;C878)</f>
        <v/>
      </c>
      <c r="B878" s="130"/>
      <c r="C878" s="130"/>
      <c r="D878" s="130"/>
      <c r="E878" s="136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</row>
    <row r="879" customFormat="false" ht="15.75" hidden="false" customHeight="false" outlineLevel="0" collapsed="false">
      <c r="A879" s="130" t="str">
        <f aca="false">IF(ISBLANK(B879),"",B879&amp;"|"&amp;C879)</f>
        <v/>
      </c>
      <c r="B879" s="130"/>
      <c r="C879" s="130"/>
      <c r="D879" s="130"/>
      <c r="E879" s="136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</row>
    <row r="880" customFormat="false" ht="15.75" hidden="false" customHeight="false" outlineLevel="0" collapsed="false">
      <c r="A880" s="130" t="str">
        <f aca="false">IF(ISBLANK(B880),"",B880&amp;"|"&amp;C880)</f>
        <v/>
      </c>
      <c r="B880" s="130"/>
      <c r="C880" s="130"/>
      <c r="D880" s="130"/>
      <c r="E880" s="136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</row>
    <row r="881" customFormat="false" ht="15.75" hidden="false" customHeight="false" outlineLevel="0" collapsed="false">
      <c r="A881" s="130" t="str">
        <f aca="false">IF(ISBLANK(B881),"",B881&amp;"|"&amp;C881)</f>
        <v/>
      </c>
      <c r="B881" s="130"/>
      <c r="C881" s="130"/>
      <c r="D881" s="130"/>
      <c r="E881" s="136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</row>
    <row r="882" customFormat="false" ht="15.75" hidden="false" customHeight="false" outlineLevel="0" collapsed="false">
      <c r="A882" s="130" t="str">
        <f aca="false">IF(ISBLANK(B882),"",B882&amp;"|"&amp;C882)</f>
        <v/>
      </c>
      <c r="B882" s="130"/>
      <c r="C882" s="130"/>
      <c r="D882" s="130"/>
      <c r="E882" s="136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</row>
    <row r="883" customFormat="false" ht="15.75" hidden="false" customHeight="false" outlineLevel="0" collapsed="false">
      <c r="A883" s="130" t="str">
        <f aca="false">IF(ISBLANK(B883),"",B883&amp;"|"&amp;C883)</f>
        <v/>
      </c>
      <c r="B883" s="130"/>
      <c r="C883" s="130"/>
      <c r="D883" s="130"/>
      <c r="E883" s="136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</row>
    <row r="884" customFormat="false" ht="15.75" hidden="false" customHeight="false" outlineLevel="0" collapsed="false">
      <c r="A884" s="130" t="str">
        <f aca="false">IF(ISBLANK(B884),"",B884&amp;"|"&amp;C884)</f>
        <v/>
      </c>
      <c r="B884" s="130"/>
      <c r="C884" s="130"/>
      <c r="D884" s="130"/>
      <c r="E884" s="136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</row>
    <row r="885" customFormat="false" ht="15.75" hidden="false" customHeight="false" outlineLevel="0" collapsed="false">
      <c r="A885" s="130" t="str">
        <f aca="false">IF(ISBLANK(B885),"",B885&amp;"|"&amp;C885)</f>
        <v/>
      </c>
      <c r="B885" s="130"/>
      <c r="C885" s="130"/>
      <c r="D885" s="130"/>
      <c r="E885" s="136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</row>
    <row r="886" customFormat="false" ht="15.75" hidden="false" customHeight="false" outlineLevel="0" collapsed="false">
      <c r="A886" s="130" t="str">
        <f aca="false">IF(ISBLANK(B886),"",B886&amp;"|"&amp;C886)</f>
        <v/>
      </c>
      <c r="B886" s="130"/>
      <c r="C886" s="130"/>
      <c r="D886" s="130"/>
      <c r="E886" s="136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</row>
    <row r="887" customFormat="false" ht="15.75" hidden="false" customHeight="false" outlineLevel="0" collapsed="false">
      <c r="A887" s="130" t="str">
        <f aca="false">IF(ISBLANK(B887),"",B887&amp;"|"&amp;C887)</f>
        <v/>
      </c>
      <c r="B887" s="130"/>
      <c r="C887" s="130"/>
      <c r="D887" s="130"/>
      <c r="E887" s="136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</row>
    <row r="888" customFormat="false" ht="15.75" hidden="false" customHeight="false" outlineLevel="0" collapsed="false">
      <c r="A888" s="130" t="str">
        <f aca="false">IF(ISBLANK(B888),"",B888&amp;"|"&amp;C888)</f>
        <v/>
      </c>
      <c r="B888" s="130"/>
      <c r="C888" s="130"/>
      <c r="D888" s="130"/>
      <c r="E888" s="136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</row>
    <row r="889" customFormat="false" ht="15.75" hidden="false" customHeight="false" outlineLevel="0" collapsed="false">
      <c r="A889" s="130" t="str">
        <f aca="false">IF(ISBLANK(B889),"",B889&amp;"|"&amp;C889)</f>
        <v/>
      </c>
      <c r="B889" s="130"/>
      <c r="C889" s="130"/>
      <c r="D889" s="130"/>
      <c r="E889" s="136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</row>
    <row r="890" customFormat="false" ht="15.75" hidden="false" customHeight="false" outlineLevel="0" collapsed="false">
      <c r="A890" s="130" t="str">
        <f aca="false">IF(ISBLANK(B890),"",B890&amp;"|"&amp;C890)</f>
        <v/>
      </c>
      <c r="B890" s="130"/>
      <c r="C890" s="130"/>
      <c r="D890" s="130"/>
      <c r="E890" s="136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</row>
    <row r="891" customFormat="false" ht="15.75" hidden="false" customHeight="false" outlineLevel="0" collapsed="false">
      <c r="A891" s="130" t="str">
        <f aca="false">IF(ISBLANK(B891),"",B891&amp;"|"&amp;C891)</f>
        <v/>
      </c>
      <c r="B891" s="130"/>
      <c r="C891" s="130"/>
      <c r="D891" s="130"/>
      <c r="E891" s="136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</row>
    <row r="892" customFormat="false" ht="15.75" hidden="false" customHeight="false" outlineLevel="0" collapsed="false">
      <c r="A892" s="130" t="str">
        <f aca="false">IF(ISBLANK(B892),"",B892&amp;"|"&amp;C892)</f>
        <v/>
      </c>
      <c r="B892" s="130"/>
      <c r="C892" s="130"/>
      <c r="D892" s="130"/>
      <c r="E892" s="136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</row>
    <row r="893" customFormat="false" ht="15.75" hidden="false" customHeight="false" outlineLevel="0" collapsed="false">
      <c r="A893" s="130" t="str">
        <f aca="false">IF(ISBLANK(B893),"",B893&amp;"|"&amp;C893)</f>
        <v/>
      </c>
      <c r="B893" s="130"/>
      <c r="C893" s="130"/>
      <c r="D893" s="130"/>
      <c r="E893" s="136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</row>
    <row r="894" customFormat="false" ht="15.75" hidden="false" customHeight="false" outlineLevel="0" collapsed="false">
      <c r="A894" s="130" t="str">
        <f aca="false">IF(ISBLANK(B894),"",B894&amp;"|"&amp;C894)</f>
        <v/>
      </c>
      <c r="B894" s="130"/>
      <c r="C894" s="130"/>
      <c r="D894" s="130"/>
      <c r="E894" s="136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</row>
    <row r="895" customFormat="false" ht="15.75" hidden="false" customHeight="false" outlineLevel="0" collapsed="false">
      <c r="A895" s="130" t="str">
        <f aca="false">IF(ISBLANK(B895),"",B895&amp;"|"&amp;C895)</f>
        <v/>
      </c>
      <c r="B895" s="130"/>
      <c r="C895" s="130"/>
      <c r="D895" s="130"/>
      <c r="E895" s="136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</row>
    <row r="896" customFormat="false" ht="15.75" hidden="false" customHeight="false" outlineLevel="0" collapsed="false">
      <c r="A896" s="130" t="str">
        <f aca="false">IF(ISBLANK(B896),"",B896&amp;"|"&amp;C896)</f>
        <v/>
      </c>
      <c r="B896" s="130"/>
      <c r="C896" s="130"/>
      <c r="D896" s="130"/>
      <c r="E896" s="136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</row>
    <row r="897" customFormat="false" ht="15.75" hidden="false" customHeight="false" outlineLevel="0" collapsed="false">
      <c r="A897" s="130" t="str">
        <f aca="false">IF(ISBLANK(B897),"",B897&amp;"|"&amp;C897)</f>
        <v/>
      </c>
      <c r="B897" s="130"/>
      <c r="C897" s="130"/>
      <c r="D897" s="130"/>
      <c r="E897" s="136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</row>
    <row r="898" customFormat="false" ht="15.75" hidden="false" customHeight="false" outlineLevel="0" collapsed="false">
      <c r="A898" s="130" t="str">
        <f aca="false">IF(ISBLANK(B898),"",B898&amp;"|"&amp;C898)</f>
        <v/>
      </c>
      <c r="B898" s="130"/>
      <c r="C898" s="130"/>
      <c r="D898" s="130"/>
      <c r="E898" s="136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</row>
    <row r="899" customFormat="false" ht="15.75" hidden="false" customHeight="false" outlineLevel="0" collapsed="false">
      <c r="A899" s="130" t="str">
        <f aca="false">IF(ISBLANK(B899),"",B899&amp;"|"&amp;C899)</f>
        <v/>
      </c>
      <c r="B899" s="130"/>
      <c r="C899" s="130"/>
      <c r="D899" s="130"/>
      <c r="E899" s="136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</row>
    <row r="900" customFormat="false" ht="15.75" hidden="false" customHeight="false" outlineLevel="0" collapsed="false">
      <c r="A900" s="130" t="str">
        <f aca="false">IF(ISBLANK(B900),"",B900&amp;"|"&amp;C900)</f>
        <v/>
      </c>
      <c r="B900" s="130"/>
      <c r="C900" s="130"/>
      <c r="D900" s="130"/>
      <c r="E900" s="136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</row>
    <row r="901" customFormat="false" ht="15.75" hidden="false" customHeight="false" outlineLevel="0" collapsed="false">
      <c r="A901" s="130" t="str">
        <f aca="false">IF(ISBLANK(B901),"",B901&amp;"|"&amp;C901)</f>
        <v/>
      </c>
      <c r="B901" s="130"/>
      <c r="C901" s="130"/>
      <c r="D901" s="130"/>
      <c r="E901" s="136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</row>
    <row r="902" customFormat="false" ht="15.75" hidden="false" customHeight="false" outlineLevel="0" collapsed="false">
      <c r="A902" s="130" t="str">
        <f aca="false">IF(ISBLANK(B902),"",B902&amp;"|"&amp;C902)</f>
        <v/>
      </c>
      <c r="B902" s="130"/>
      <c r="C902" s="130"/>
      <c r="D902" s="130"/>
      <c r="E902" s="136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</row>
    <row r="903" customFormat="false" ht="15.75" hidden="false" customHeight="false" outlineLevel="0" collapsed="false">
      <c r="A903" s="130" t="str">
        <f aca="false">IF(ISBLANK(B903),"",B903&amp;"|"&amp;C903)</f>
        <v/>
      </c>
      <c r="B903" s="130"/>
      <c r="C903" s="130"/>
      <c r="D903" s="130"/>
      <c r="E903" s="136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</row>
    <row r="904" customFormat="false" ht="15.75" hidden="false" customHeight="false" outlineLevel="0" collapsed="false">
      <c r="A904" s="130" t="str">
        <f aca="false">IF(ISBLANK(B904),"",B904&amp;"|"&amp;C904)</f>
        <v/>
      </c>
      <c r="B904" s="130"/>
      <c r="C904" s="130"/>
      <c r="D904" s="130"/>
      <c r="E904" s="136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</row>
    <row r="905" customFormat="false" ht="15.75" hidden="false" customHeight="false" outlineLevel="0" collapsed="false">
      <c r="A905" s="130" t="str">
        <f aca="false">IF(ISBLANK(B905),"",B905&amp;"|"&amp;C905)</f>
        <v/>
      </c>
      <c r="B905" s="130"/>
      <c r="C905" s="130"/>
      <c r="D905" s="130"/>
      <c r="E905" s="136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</row>
    <row r="906" customFormat="false" ht="15.75" hidden="false" customHeight="false" outlineLevel="0" collapsed="false">
      <c r="A906" s="130" t="str">
        <f aca="false">IF(ISBLANK(B906),"",B906&amp;"|"&amp;C906)</f>
        <v/>
      </c>
      <c r="B906" s="130"/>
      <c r="C906" s="130"/>
      <c r="D906" s="130"/>
      <c r="E906" s="136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</row>
    <row r="907" customFormat="false" ht="15.75" hidden="false" customHeight="false" outlineLevel="0" collapsed="false">
      <c r="A907" s="130" t="str">
        <f aca="false">IF(ISBLANK(B907),"",B907&amp;"|"&amp;C907)</f>
        <v/>
      </c>
      <c r="B907" s="130"/>
      <c r="C907" s="130"/>
      <c r="D907" s="130"/>
      <c r="E907" s="136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</row>
    <row r="908" customFormat="false" ht="15.75" hidden="false" customHeight="false" outlineLevel="0" collapsed="false">
      <c r="A908" s="130" t="str">
        <f aca="false">IF(ISBLANK(B908),"",B908&amp;"|"&amp;C908)</f>
        <v/>
      </c>
      <c r="B908" s="130"/>
      <c r="C908" s="130"/>
      <c r="D908" s="130"/>
      <c r="E908" s="136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</row>
    <row r="909" customFormat="false" ht="15.75" hidden="false" customHeight="false" outlineLevel="0" collapsed="false">
      <c r="A909" s="130" t="str">
        <f aca="false">IF(ISBLANK(B909),"",B909&amp;"|"&amp;C909)</f>
        <v/>
      </c>
      <c r="B909" s="130"/>
      <c r="C909" s="130"/>
      <c r="D909" s="130"/>
      <c r="E909" s="136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</row>
    <row r="910" customFormat="false" ht="15.75" hidden="false" customHeight="false" outlineLevel="0" collapsed="false">
      <c r="A910" s="130" t="str">
        <f aca="false">IF(ISBLANK(B910),"",B910&amp;"|"&amp;C910)</f>
        <v/>
      </c>
      <c r="B910" s="130"/>
      <c r="C910" s="130"/>
      <c r="D910" s="130"/>
      <c r="E910" s="136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</row>
    <row r="911" customFormat="false" ht="15.75" hidden="false" customHeight="false" outlineLevel="0" collapsed="false">
      <c r="A911" s="130" t="str">
        <f aca="false">IF(ISBLANK(B911),"",B911&amp;"|"&amp;C911)</f>
        <v/>
      </c>
      <c r="B911" s="130"/>
      <c r="C911" s="130"/>
      <c r="D911" s="130"/>
      <c r="E911" s="136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</row>
    <row r="912" customFormat="false" ht="15.75" hidden="false" customHeight="false" outlineLevel="0" collapsed="false">
      <c r="A912" s="130" t="str">
        <f aca="false">IF(ISBLANK(B912),"",B912&amp;"|"&amp;C912)</f>
        <v/>
      </c>
      <c r="B912" s="130"/>
      <c r="C912" s="130"/>
      <c r="D912" s="130"/>
      <c r="E912" s="136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</row>
    <row r="913" customFormat="false" ht="15.75" hidden="false" customHeight="false" outlineLevel="0" collapsed="false">
      <c r="A913" s="130" t="str">
        <f aca="false">IF(ISBLANK(B913),"",B913&amp;"|"&amp;C913)</f>
        <v/>
      </c>
      <c r="B913" s="130"/>
      <c r="C913" s="130"/>
      <c r="D913" s="130"/>
      <c r="E913" s="136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</row>
    <row r="914" customFormat="false" ht="15.75" hidden="false" customHeight="false" outlineLevel="0" collapsed="false">
      <c r="A914" s="130" t="str">
        <f aca="false">IF(ISBLANK(B914),"",B914&amp;"|"&amp;C914)</f>
        <v/>
      </c>
      <c r="B914" s="130"/>
      <c r="C914" s="130"/>
      <c r="D914" s="130"/>
      <c r="E914" s="136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</row>
    <row r="915" customFormat="false" ht="15.75" hidden="false" customHeight="false" outlineLevel="0" collapsed="false">
      <c r="A915" s="130" t="str">
        <f aca="false">IF(ISBLANK(B915),"",B915&amp;"|"&amp;C915)</f>
        <v/>
      </c>
      <c r="B915" s="130"/>
      <c r="C915" s="130"/>
      <c r="D915" s="130"/>
      <c r="E915" s="136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</row>
    <row r="916" customFormat="false" ht="15.75" hidden="false" customHeight="false" outlineLevel="0" collapsed="false">
      <c r="A916" s="130" t="str">
        <f aca="false">IF(ISBLANK(B916),"",B916&amp;"|"&amp;C916)</f>
        <v/>
      </c>
      <c r="B916" s="130"/>
      <c r="C916" s="130"/>
      <c r="D916" s="130"/>
      <c r="E916" s="136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</row>
    <row r="917" customFormat="false" ht="15.75" hidden="false" customHeight="false" outlineLevel="0" collapsed="false">
      <c r="A917" s="130" t="str">
        <f aca="false">IF(ISBLANK(B917),"",B917&amp;"|"&amp;C917)</f>
        <v/>
      </c>
      <c r="B917" s="130"/>
      <c r="C917" s="130"/>
      <c r="D917" s="130"/>
      <c r="E917" s="136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</row>
    <row r="918" customFormat="false" ht="15.75" hidden="false" customHeight="false" outlineLevel="0" collapsed="false">
      <c r="A918" s="130" t="str">
        <f aca="false">IF(ISBLANK(B918),"",B918&amp;"|"&amp;C918)</f>
        <v/>
      </c>
      <c r="B918" s="130"/>
      <c r="C918" s="130"/>
      <c r="D918" s="130"/>
      <c r="E918" s="136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</row>
    <row r="919" customFormat="false" ht="15.75" hidden="false" customHeight="false" outlineLevel="0" collapsed="false">
      <c r="A919" s="130" t="str">
        <f aca="false">IF(ISBLANK(B919),"",B919&amp;"|"&amp;C919)</f>
        <v/>
      </c>
      <c r="B919" s="130"/>
      <c r="C919" s="130"/>
      <c r="D919" s="130"/>
      <c r="E919" s="136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</row>
    <row r="920" customFormat="false" ht="15.75" hidden="false" customHeight="false" outlineLevel="0" collapsed="false">
      <c r="A920" s="130" t="str">
        <f aca="false">IF(ISBLANK(B920),"",B920&amp;"|"&amp;C920)</f>
        <v/>
      </c>
      <c r="B920" s="130"/>
      <c r="C920" s="130"/>
      <c r="D920" s="130"/>
      <c r="E920" s="136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</row>
    <row r="921" customFormat="false" ht="15.75" hidden="false" customHeight="false" outlineLevel="0" collapsed="false">
      <c r="A921" s="130" t="str">
        <f aca="false">IF(ISBLANK(B921),"",B921&amp;"|"&amp;C921)</f>
        <v/>
      </c>
      <c r="B921" s="130"/>
      <c r="C921" s="130"/>
      <c r="D921" s="130"/>
      <c r="E921" s="136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</row>
    <row r="922" customFormat="false" ht="15.75" hidden="false" customHeight="false" outlineLevel="0" collapsed="false">
      <c r="A922" s="130" t="str">
        <f aca="false">IF(ISBLANK(B922),"",B922&amp;"|"&amp;C922)</f>
        <v/>
      </c>
      <c r="B922" s="130"/>
      <c r="C922" s="130"/>
      <c r="D922" s="130"/>
      <c r="E922" s="136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</row>
    <row r="923" customFormat="false" ht="15.75" hidden="false" customHeight="false" outlineLevel="0" collapsed="false">
      <c r="A923" s="130" t="str">
        <f aca="false">IF(ISBLANK(B923),"",B923&amp;"|"&amp;C923)</f>
        <v/>
      </c>
      <c r="B923" s="130"/>
      <c r="C923" s="130"/>
      <c r="D923" s="130"/>
      <c r="E923" s="136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</row>
    <row r="924" customFormat="false" ht="15.75" hidden="false" customHeight="false" outlineLevel="0" collapsed="false">
      <c r="A924" s="130" t="str">
        <f aca="false">IF(ISBLANK(B924),"",B924&amp;"|"&amp;C924)</f>
        <v/>
      </c>
      <c r="B924" s="130"/>
      <c r="C924" s="130"/>
      <c r="D924" s="130"/>
      <c r="E924" s="136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</row>
    <row r="925" customFormat="false" ht="15.75" hidden="false" customHeight="false" outlineLevel="0" collapsed="false">
      <c r="A925" s="130" t="str">
        <f aca="false">IF(ISBLANK(B925),"",B925&amp;"|"&amp;C925)</f>
        <v/>
      </c>
      <c r="B925" s="130"/>
      <c r="C925" s="130"/>
      <c r="D925" s="130"/>
      <c r="E925" s="136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</row>
    <row r="926" customFormat="false" ht="15.75" hidden="false" customHeight="false" outlineLevel="0" collapsed="false">
      <c r="A926" s="130" t="str">
        <f aca="false">IF(ISBLANK(B926),"",B926&amp;"|"&amp;C926)</f>
        <v/>
      </c>
      <c r="B926" s="130"/>
      <c r="C926" s="130"/>
      <c r="D926" s="130"/>
      <c r="E926" s="136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</row>
    <row r="927" customFormat="false" ht="15.75" hidden="false" customHeight="false" outlineLevel="0" collapsed="false">
      <c r="A927" s="130" t="str">
        <f aca="false">IF(ISBLANK(B927),"",B927&amp;"|"&amp;C927)</f>
        <v/>
      </c>
      <c r="B927" s="130"/>
      <c r="C927" s="130"/>
      <c r="D927" s="130"/>
      <c r="E927" s="136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</row>
    <row r="928" customFormat="false" ht="15.75" hidden="false" customHeight="false" outlineLevel="0" collapsed="false">
      <c r="A928" s="130" t="str">
        <f aca="false">IF(ISBLANK(B928),"",B928&amp;"|"&amp;C928)</f>
        <v/>
      </c>
      <c r="B928" s="130"/>
      <c r="C928" s="130"/>
      <c r="D928" s="130"/>
      <c r="E928" s="136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</row>
    <row r="929" customFormat="false" ht="15.75" hidden="false" customHeight="false" outlineLevel="0" collapsed="false">
      <c r="A929" s="130" t="str">
        <f aca="false">IF(ISBLANK(B929),"",B929&amp;"|"&amp;C929)</f>
        <v/>
      </c>
      <c r="B929" s="130"/>
      <c r="C929" s="130"/>
      <c r="D929" s="130"/>
      <c r="E929" s="136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</row>
    <row r="930" customFormat="false" ht="15.75" hidden="false" customHeight="false" outlineLevel="0" collapsed="false">
      <c r="A930" s="130" t="str">
        <f aca="false">IF(ISBLANK(B930),"",B930&amp;"|"&amp;C930)</f>
        <v/>
      </c>
      <c r="B930" s="130"/>
      <c r="C930" s="130"/>
      <c r="D930" s="130"/>
      <c r="E930" s="136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</row>
    <row r="931" customFormat="false" ht="15.75" hidden="false" customHeight="false" outlineLevel="0" collapsed="false">
      <c r="A931" s="130" t="str">
        <f aca="false">IF(ISBLANK(B931),"",B931&amp;"|"&amp;C931)</f>
        <v/>
      </c>
      <c r="B931" s="130"/>
      <c r="C931" s="130"/>
      <c r="D931" s="130"/>
      <c r="E931" s="136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</row>
    <row r="932" customFormat="false" ht="15.75" hidden="false" customHeight="false" outlineLevel="0" collapsed="false">
      <c r="A932" s="130" t="str">
        <f aca="false">IF(ISBLANK(B932),"",B932&amp;"|"&amp;C932)</f>
        <v/>
      </c>
      <c r="B932" s="130"/>
      <c r="C932" s="130"/>
      <c r="D932" s="130"/>
      <c r="E932" s="136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</row>
    <row r="933" customFormat="false" ht="15.75" hidden="false" customHeight="false" outlineLevel="0" collapsed="false">
      <c r="A933" s="130" t="str">
        <f aca="false">IF(ISBLANK(B933),"",B933&amp;"|"&amp;C933)</f>
        <v/>
      </c>
      <c r="B933" s="130"/>
      <c r="C933" s="130"/>
      <c r="D933" s="130"/>
      <c r="E933" s="136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</row>
    <row r="934" customFormat="false" ht="15.75" hidden="false" customHeight="false" outlineLevel="0" collapsed="false">
      <c r="A934" s="130" t="str">
        <f aca="false">IF(ISBLANK(B934),"",B934&amp;"|"&amp;C934)</f>
        <v/>
      </c>
      <c r="B934" s="130"/>
      <c r="C934" s="130"/>
      <c r="D934" s="130"/>
      <c r="E934" s="136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</row>
    <row r="935" customFormat="false" ht="15.75" hidden="false" customHeight="false" outlineLevel="0" collapsed="false">
      <c r="A935" s="130" t="str">
        <f aca="false">IF(ISBLANK(B935),"",B935&amp;"|"&amp;C935)</f>
        <v/>
      </c>
      <c r="B935" s="130"/>
      <c r="C935" s="130"/>
      <c r="D935" s="130"/>
      <c r="E935" s="136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</row>
    <row r="936" customFormat="false" ht="15.75" hidden="false" customHeight="false" outlineLevel="0" collapsed="false">
      <c r="A936" s="130" t="str">
        <f aca="false">IF(ISBLANK(B936),"",B936&amp;"|"&amp;C936)</f>
        <v/>
      </c>
      <c r="B936" s="130"/>
      <c r="C936" s="130"/>
      <c r="D936" s="130"/>
      <c r="E936" s="136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</row>
    <row r="937" customFormat="false" ht="15.75" hidden="false" customHeight="false" outlineLevel="0" collapsed="false">
      <c r="A937" s="130" t="str">
        <f aca="false">IF(ISBLANK(B937),"",B937&amp;"|"&amp;C937)</f>
        <v/>
      </c>
      <c r="B937" s="130"/>
      <c r="C937" s="130"/>
      <c r="D937" s="130"/>
      <c r="E937" s="136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</row>
    <row r="938" customFormat="false" ht="15.75" hidden="false" customHeight="false" outlineLevel="0" collapsed="false">
      <c r="A938" s="130" t="str">
        <f aca="false">IF(ISBLANK(B938),"",B938&amp;"|"&amp;C938)</f>
        <v/>
      </c>
      <c r="B938" s="130"/>
      <c r="C938" s="130"/>
      <c r="D938" s="130"/>
      <c r="E938" s="136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</row>
    <row r="939" customFormat="false" ht="15.75" hidden="false" customHeight="false" outlineLevel="0" collapsed="false">
      <c r="A939" s="130" t="str">
        <f aca="false">IF(ISBLANK(B939),"",B939&amp;"|"&amp;C939)</f>
        <v/>
      </c>
      <c r="B939" s="130"/>
      <c r="C939" s="130"/>
      <c r="D939" s="130"/>
      <c r="E939" s="136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</row>
    <row r="940" customFormat="false" ht="15.75" hidden="false" customHeight="false" outlineLevel="0" collapsed="false">
      <c r="A940" s="130" t="str">
        <f aca="false">IF(ISBLANK(B940),"",B940&amp;"|"&amp;C940)</f>
        <v/>
      </c>
      <c r="B940" s="130"/>
      <c r="C940" s="130"/>
      <c r="D940" s="130"/>
      <c r="E940" s="136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</row>
    <row r="941" customFormat="false" ht="15.75" hidden="false" customHeight="false" outlineLevel="0" collapsed="false">
      <c r="A941" s="130" t="str">
        <f aca="false">IF(ISBLANK(B941),"",B941&amp;"|"&amp;C941)</f>
        <v/>
      </c>
      <c r="B941" s="130"/>
      <c r="C941" s="130"/>
      <c r="D941" s="130"/>
      <c r="E941" s="136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</row>
    <row r="942" customFormat="false" ht="15.75" hidden="false" customHeight="false" outlineLevel="0" collapsed="false">
      <c r="A942" s="130" t="str">
        <f aca="false">IF(ISBLANK(B942),"",B942&amp;"|"&amp;C942)</f>
        <v/>
      </c>
      <c r="B942" s="130"/>
      <c r="C942" s="130"/>
      <c r="D942" s="130"/>
      <c r="E942" s="136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</row>
    <row r="943" customFormat="false" ht="15.75" hidden="false" customHeight="false" outlineLevel="0" collapsed="false">
      <c r="A943" s="130" t="str">
        <f aca="false">IF(ISBLANK(B943),"",B943&amp;"|"&amp;C943)</f>
        <v/>
      </c>
      <c r="B943" s="130"/>
      <c r="C943" s="130"/>
      <c r="D943" s="130"/>
      <c r="E943" s="136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</row>
    <row r="944" customFormat="false" ht="15.75" hidden="false" customHeight="false" outlineLevel="0" collapsed="false">
      <c r="A944" s="130" t="str">
        <f aca="false">IF(ISBLANK(B944),"",B944&amp;"|"&amp;C944)</f>
        <v/>
      </c>
      <c r="B944" s="130"/>
      <c r="C944" s="130"/>
      <c r="D944" s="130"/>
      <c r="E944" s="136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</row>
    <row r="945" customFormat="false" ht="15.75" hidden="false" customHeight="false" outlineLevel="0" collapsed="false">
      <c r="A945" s="130" t="str">
        <f aca="false">IF(ISBLANK(B945),"",B945&amp;"|"&amp;C945)</f>
        <v/>
      </c>
      <c r="B945" s="130"/>
      <c r="C945" s="130"/>
      <c r="D945" s="130"/>
      <c r="E945" s="136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</row>
    <row r="946" customFormat="false" ht="15.75" hidden="false" customHeight="false" outlineLevel="0" collapsed="false">
      <c r="A946" s="130" t="str">
        <f aca="false">IF(ISBLANK(B946),"",B946&amp;"|"&amp;C946)</f>
        <v/>
      </c>
      <c r="B946" s="130"/>
      <c r="C946" s="130"/>
      <c r="D946" s="130"/>
      <c r="E946" s="136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</row>
    <row r="947" customFormat="false" ht="15.75" hidden="false" customHeight="false" outlineLevel="0" collapsed="false">
      <c r="A947" s="130" t="str">
        <f aca="false">IF(ISBLANK(B947),"",B947&amp;"|"&amp;C947)</f>
        <v/>
      </c>
      <c r="B947" s="130"/>
      <c r="C947" s="130"/>
      <c r="D947" s="130"/>
      <c r="E947" s="136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</row>
    <row r="948" customFormat="false" ht="15.75" hidden="false" customHeight="false" outlineLevel="0" collapsed="false">
      <c r="A948" s="130" t="str">
        <f aca="false">IF(ISBLANK(B948),"",B948&amp;"|"&amp;C948)</f>
        <v/>
      </c>
      <c r="B948" s="130"/>
      <c r="C948" s="130"/>
      <c r="D948" s="130"/>
      <c r="E948" s="136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</row>
    <row r="949" customFormat="false" ht="15.75" hidden="false" customHeight="false" outlineLevel="0" collapsed="false">
      <c r="A949" s="130" t="str">
        <f aca="false">IF(ISBLANK(B949),"",B949&amp;"|"&amp;C949)</f>
        <v/>
      </c>
      <c r="B949" s="130"/>
      <c r="C949" s="130"/>
      <c r="D949" s="130"/>
      <c r="E949" s="136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</row>
    <row r="950" customFormat="false" ht="15.75" hidden="false" customHeight="false" outlineLevel="0" collapsed="false">
      <c r="A950" s="130" t="str">
        <f aca="false">IF(ISBLANK(B950),"",B950&amp;"|"&amp;C950)</f>
        <v/>
      </c>
      <c r="B950" s="130"/>
      <c r="C950" s="130"/>
      <c r="D950" s="130"/>
      <c r="E950" s="136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</row>
    <row r="951" customFormat="false" ht="15.75" hidden="false" customHeight="false" outlineLevel="0" collapsed="false">
      <c r="A951" s="130" t="str">
        <f aca="false">IF(ISBLANK(B951),"",B951&amp;"|"&amp;C951)</f>
        <v/>
      </c>
      <c r="B951" s="130"/>
      <c r="C951" s="130"/>
      <c r="D951" s="130"/>
      <c r="E951" s="136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</row>
    <row r="952" customFormat="false" ht="15.75" hidden="false" customHeight="false" outlineLevel="0" collapsed="false">
      <c r="A952" s="130" t="str">
        <f aca="false">IF(ISBLANK(B952),"",B952&amp;"|"&amp;C952)</f>
        <v/>
      </c>
      <c r="B952" s="130"/>
      <c r="C952" s="130"/>
      <c r="D952" s="130"/>
      <c r="E952" s="136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</row>
    <row r="953" customFormat="false" ht="15.75" hidden="false" customHeight="false" outlineLevel="0" collapsed="false">
      <c r="A953" s="130" t="str">
        <f aca="false">IF(ISBLANK(B953),"",B953&amp;"|"&amp;C953)</f>
        <v/>
      </c>
      <c r="B953" s="130"/>
      <c r="C953" s="130"/>
      <c r="D953" s="130"/>
      <c r="E953" s="136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</row>
    <row r="954" customFormat="false" ht="15.75" hidden="false" customHeight="false" outlineLevel="0" collapsed="false">
      <c r="A954" s="130" t="str">
        <f aca="false">IF(ISBLANK(B954),"",B954&amp;"|"&amp;C954)</f>
        <v/>
      </c>
      <c r="B954" s="130"/>
      <c r="C954" s="130"/>
      <c r="D954" s="130"/>
      <c r="E954" s="136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</row>
    <row r="955" customFormat="false" ht="15.75" hidden="false" customHeight="false" outlineLevel="0" collapsed="false">
      <c r="A955" s="130" t="str">
        <f aca="false">IF(ISBLANK(B955),"",B955&amp;"|"&amp;C955)</f>
        <v/>
      </c>
      <c r="B955" s="130"/>
      <c r="C955" s="130"/>
      <c r="D955" s="130"/>
      <c r="E955" s="136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</row>
    <row r="956" customFormat="false" ht="15.75" hidden="false" customHeight="false" outlineLevel="0" collapsed="false">
      <c r="A956" s="130" t="str">
        <f aca="false">IF(ISBLANK(B956),"",B956&amp;"|"&amp;C956)</f>
        <v/>
      </c>
      <c r="B956" s="130"/>
      <c r="C956" s="130"/>
      <c r="D956" s="130"/>
      <c r="E956" s="136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</row>
    <row r="957" customFormat="false" ht="15.75" hidden="false" customHeight="false" outlineLevel="0" collapsed="false">
      <c r="A957" s="130" t="str">
        <f aca="false">IF(ISBLANK(B957),"",B957&amp;"|"&amp;C957)</f>
        <v/>
      </c>
      <c r="B957" s="130"/>
      <c r="C957" s="130"/>
      <c r="D957" s="130"/>
      <c r="E957" s="136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</row>
    <row r="958" customFormat="false" ht="15.75" hidden="false" customHeight="false" outlineLevel="0" collapsed="false">
      <c r="A958" s="130" t="str">
        <f aca="false">IF(ISBLANK(B958),"",B958&amp;"|"&amp;C958)</f>
        <v/>
      </c>
      <c r="B958" s="130"/>
      <c r="C958" s="130"/>
      <c r="D958" s="130"/>
      <c r="E958" s="136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</row>
    <row r="959" customFormat="false" ht="15.75" hidden="false" customHeight="false" outlineLevel="0" collapsed="false">
      <c r="A959" s="130" t="str">
        <f aca="false">IF(ISBLANK(B959),"",B959&amp;"|"&amp;C959)</f>
        <v/>
      </c>
      <c r="B959" s="130"/>
      <c r="C959" s="130"/>
      <c r="D959" s="130"/>
      <c r="E959" s="136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</row>
    <row r="960" customFormat="false" ht="15.75" hidden="false" customHeight="false" outlineLevel="0" collapsed="false">
      <c r="A960" s="130" t="str">
        <f aca="false">IF(ISBLANK(B960),"",B960&amp;"|"&amp;C960)</f>
        <v/>
      </c>
      <c r="B960" s="130"/>
      <c r="C960" s="130"/>
      <c r="D960" s="130"/>
      <c r="E960" s="136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</row>
    <row r="961" customFormat="false" ht="15.75" hidden="false" customHeight="false" outlineLevel="0" collapsed="false">
      <c r="A961" s="130" t="str">
        <f aca="false">IF(ISBLANK(B961),"",B961&amp;"|"&amp;C961)</f>
        <v/>
      </c>
      <c r="B961" s="130"/>
      <c r="C961" s="130"/>
      <c r="D961" s="130"/>
      <c r="E961" s="136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</row>
    <row r="962" customFormat="false" ht="15.75" hidden="false" customHeight="false" outlineLevel="0" collapsed="false">
      <c r="A962" s="130" t="str">
        <f aca="false">IF(ISBLANK(B962),"",B962&amp;"|"&amp;C962)</f>
        <v/>
      </c>
      <c r="B962" s="130"/>
      <c r="C962" s="130"/>
      <c r="D962" s="130"/>
      <c r="E962" s="136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</row>
    <row r="963" customFormat="false" ht="15.75" hidden="false" customHeight="false" outlineLevel="0" collapsed="false">
      <c r="A963" s="130" t="str">
        <f aca="false">IF(ISBLANK(B963),"",B963&amp;"|"&amp;C963)</f>
        <v/>
      </c>
      <c r="B963" s="130"/>
      <c r="C963" s="130"/>
      <c r="D963" s="130"/>
      <c r="E963" s="136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</row>
    <row r="964" customFormat="false" ht="15.75" hidden="false" customHeight="false" outlineLevel="0" collapsed="false">
      <c r="A964" s="130" t="str">
        <f aca="false">IF(ISBLANK(B964),"",B964&amp;"|"&amp;C964)</f>
        <v/>
      </c>
      <c r="B964" s="130"/>
      <c r="C964" s="130"/>
      <c r="D964" s="130"/>
      <c r="E964" s="136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</row>
    <row r="965" customFormat="false" ht="15.75" hidden="false" customHeight="false" outlineLevel="0" collapsed="false">
      <c r="A965" s="130" t="str">
        <f aca="false">IF(ISBLANK(B965),"",B965&amp;"|"&amp;C965)</f>
        <v/>
      </c>
      <c r="B965" s="130"/>
      <c r="C965" s="130"/>
      <c r="D965" s="130"/>
      <c r="E965" s="136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</row>
    <row r="966" customFormat="false" ht="15.75" hidden="false" customHeight="false" outlineLevel="0" collapsed="false">
      <c r="A966" s="130" t="str">
        <f aca="false">IF(ISBLANK(B966),"",B966&amp;"|"&amp;C966)</f>
        <v/>
      </c>
      <c r="B966" s="130"/>
      <c r="C966" s="130"/>
      <c r="D966" s="130"/>
      <c r="E966" s="136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</row>
    <row r="967" customFormat="false" ht="15.75" hidden="false" customHeight="false" outlineLevel="0" collapsed="false">
      <c r="A967" s="130" t="str">
        <f aca="false">IF(ISBLANK(B967),"",B967&amp;"|"&amp;C967)</f>
        <v/>
      </c>
      <c r="B967" s="130"/>
      <c r="C967" s="130"/>
      <c r="D967" s="130"/>
      <c r="E967" s="136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</row>
    <row r="968" customFormat="false" ht="15.75" hidden="false" customHeight="false" outlineLevel="0" collapsed="false">
      <c r="A968" s="130" t="str">
        <f aca="false">IF(ISBLANK(B968),"",B968&amp;"|"&amp;C968)</f>
        <v/>
      </c>
      <c r="B968" s="130"/>
      <c r="C968" s="130"/>
      <c r="D968" s="130"/>
      <c r="E968" s="136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</row>
    <row r="969" customFormat="false" ht="15.75" hidden="false" customHeight="false" outlineLevel="0" collapsed="false">
      <c r="A969" s="130" t="str">
        <f aca="false">IF(ISBLANK(B969),"",B969&amp;"|"&amp;C969)</f>
        <v/>
      </c>
      <c r="B969" s="130"/>
      <c r="C969" s="130"/>
      <c r="D969" s="130"/>
      <c r="E969" s="136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</row>
    <row r="970" customFormat="false" ht="15.75" hidden="false" customHeight="false" outlineLevel="0" collapsed="false">
      <c r="A970" s="130" t="str">
        <f aca="false">IF(ISBLANK(B970),"",B970&amp;"|"&amp;C970)</f>
        <v/>
      </c>
      <c r="B970" s="130"/>
      <c r="C970" s="130"/>
      <c r="D970" s="130"/>
      <c r="E970" s="136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</row>
    <row r="971" customFormat="false" ht="15.75" hidden="false" customHeight="false" outlineLevel="0" collapsed="false">
      <c r="A971" s="130" t="str">
        <f aca="false">IF(ISBLANK(B971),"",B971&amp;"|"&amp;C971)</f>
        <v/>
      </c>
      <c r="B971" s="130"/>
      <c r="C971" s="130"/>
      <c r="D971" s="130"/>
      <c r="E971" s="136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</row>
    <row r="972" customFormat="false" ht="15.75" hidden="false" customHeight="false" outlineLevel="0" collapsed="false">
      <c r="A972" s="130" t="str">
        <f aca="false">IF(ISBLANK(B972),"",B972&amp;"|"&amp;C972)</f>
        <v/>
      </c>
      <c r="B972" s="130"/>
      <c r="C972" s="130"/>
      <c r="D972" s="130"/>
      <c r="E972" s="136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</row>
    <row r="973" customFormat="false" ht="15.75" hidden="false" customHeight="false" outlineLevel="0" collapsed="false">
      <c r="A973" s="130" t="str">
        <f aca="false">IF(ISBLANK(B973),"",B973&amp;"|"&amp;C973)</f>
        <v/>
      </c>
      <c r="B973" s="130"/>
      <c r="C973" s="130"/>
      <c r="D973" s="130"/>
      <c r="E973" s="136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</row>
    <row r="974" customFormat="false" ht="15.75" hidden="false" customHeight="false" outlineLevel="0" collapsed="false">
      <c r="A974" s="130" t="str">
        <f aca="false">IF(ISBLANK(B974),"",B974&amp;"|"&amp;C974)</f>
        <v/>
      </c>
      <c r="B974" s="130"/>
      <c r="C974" s="130"/>
      <c r="D974" s="130"/>
      <c r="E974" s="136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</row>
    <row r="975" customFormat="false" ht="15.75" hidden="false" customHeight="false" outlineLevel="0" collapsed="false">
      <c r="A975" s="130" t="str">
        <f aca="false">IF(ISBLANK(B975),"",B975&amp;"|"&amp;C975)</f>
        <v/>
      </c>
      <c r="B975" s="130"/>
      <c r="C975" s="130"/>
      <c r="D975" s="130"/>
      <c r="E975" s="136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</row>
    <row r="976" customFormat="false" ht="15.75" hidden="false" customHeight="false" outlineLevel="0" collapsed="false">
      <c r="A976" s="130" t="str">
        <f aca="false">IF(ISBLANK(B976),"",B976&amp;"|"&amp;C976)</f>
        <v/>
      </c>
      <c r="B976" s="130"/>
      <c r="C976" s="130"/>
      <c r="D976" s="130"/>
      <c r="E976" s="136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</row>
    <row r="977" customFormat="false" ht="15.75" hidden="false" customHeight="false" outlineLevel="0" collapsed="false">
      <c r="A977" s="130" t="str">
        <f aca="false">IF(ISBLANK(B977),"",B977&amp;"|"&amp;C977)</f>
        <v/>
      </c>
      <c r="B977" s="130"/>
      <c r="C977" s="130"/>
      <c r="D977" s="130"/>
      <c r="E977" s="136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</row>
    <row r="978" customFormat="false" ht="15.75" hidden="false" customHeight="false" outlineLevel="0" collapsed="false">
      <c r="A978" s="130" t="str">
        <f aca="false">IF(ISBLANK(B978),"",B978&amp;"|"&amp;C978)</f>
        <v/>
      </c>
      <c r="B978" s="130"/>
      <c r="C978" s="130"/>
      <c r="D978" s="130"/>
      <c r="E978" s="136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</row>
    <row r="979" customFormat="false" ht="15.75" hidden="false" customHeight="false" outlineLevel="0" collapsed="false">
      <c r="A979" s="130" t="str">
        <f aca="false">IF(ISBLANK(B979),"",B979&amp;"|"&amp;C979)</f>
        <v/>
      </c>
      <c r="B979" s="130"/>
      <c r="C979" s="130"/>
      <c r="D979" s="130"/>
      <c r="E979" s="136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</row>
    <row r="980" customFormat="false" ht="15.75" hidden="false" customHeight="false" outlineLevel="0" collapsed="false">
      <c r="A980" s="130" t="str">
        <f aca="false">IF(ISBLANK(B980),"",B980&amp;"|"&amp;C980)</f>
        <v/>
      </c>
      <c r="B980" s="130"/>
      <c r="C980" s="130"/>
      <c r="D980" s="130"/>
      <c r="E980" s="136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</row>
    <row r="981" customFormat="false" ht="15.75" hidden="false" customHeight="false" outlineLevel="0" collapsed="false">
      <c r="A981" s="130" t="str">
        <f aca="false">IF(ISBLANK(B981),"",B981&amp;"|"&amp;C981)</f>
        <v/>
      </c>
      <c r="B981" s="130"/>
      <c r="C981" s="130"/>
      <c r="D981" s="130"/>
      <c r="E981" s="136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</row>
    <row r="982" customFormat="false" ht="15.75" hidden="false" customHeight="false" outlineLevel="0" collapsed="false">
      <c r="A982" s="130" t="str">
        <f aca="false">IF(ISBLANK(B982),"",B982&amp;"|"&amp;C982)</f>
        <v/>
      </c>
      <c r="B982" s="130"/>
      <c r="C982" s="130"/>
      <c r="D982" s="130"/>
      <c r="E982" s="136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</row>
    <row r="983" customFormat="false" ht="15.75" hidden="false" customHeight="false" outlineLevel="0" collapsed="false">
      <c r="A983" s="130" t="str">
        <f aca="false">IF(ISBLANK(B983),"",B983&amp;"|"&amp;C983)</f>
        <v/>
      </c>
      <c r="B983" s="130"/>
      <c r="C983" s="130"/>
      <c r="D983" s="130"/>
      <c r="E983" s="136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</row>
    <row r="984" customFormat="false" ht="15.75" hidden="false" customHeight="false" outlineLevel="0" collapsed="false">
      <c r="A984" s="130" t="str">
        <f aca="false">IF(ISBLANK(B984),"",B984&amp;"|"&amp;C984)</f>
        <v/>
      </c>
      <c r="B984" s="130"/>
      <c r="C984" s="130"/>
      <c r="D984" s="130"/>
      <c r="E984" s="136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</row>
    <row r="985" customFormat="false" ht="15.75" hidden="false" customHeight="false" outlineLevel="0" collapsed="false">
      <c r="A985" s="130" t="str">
        <f aca="false">IF(ISBLANK(B985),"",B985&amp;"|"&amp;C985)</f>
        <v/>
      </c>
      <c r="B985" s="130"/>
      <c r="C985" s="130"/>
      <c r="D985" s="130"/>
      <c r="E985" s="136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</row>
    <row r="986" customFormat="false" ht="15.75" hidden="false" customHeight="false" outlineLevel="0" collapsed="false">
      <c r="A986" s="130" t="str">
        <f aca="false">IF(ISBLANK(B986),"",B986&amp;"|"&amp;C986)</f>
        <v/>
      </c>
      <c r="B986" s="130"/>
      <c r="C986" s="130"/>
      <c r="D986" s="130"/>
      <c r="E986" s="136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</row>
    <row r="987" customFormat="false" ht="15.75" hidden="false" customHeight="false" outlineLevel="0" collapsed="false">
      <c r="A987" s="130" t="str">
        <f aca="false">IF(ISBLANK(B987),"",B987&amp;"|"&amp;C987)</f>
        <v/>
      </c>
      <c r="B987" s="130"/>
      <c r="C987" s="130"/>
      <c r="D987" s="130"/>
      <c r="E987" s="136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</row>
    <row r="988" customFormat="false" ht="15.75" hidden="false" customHeight="false" outlineLevel="0" collapsed="false">
      <c r="A988" s="130" t="str">
        <f aca="false">IF(ISBLANK(B988),"",B988&amp;"|"&amp;C988)</f>
        <v/>
      </c>
      <c r="B988" s="130"/>
      <c r="C988" s="130"/>
      <c r="D988" s="130"/>
      <c r="E988" s="136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</row>
    <row r="989" customFormat="false" ht="15.75" hidden="false" customHeight="false" outlineLevel="0" collapsed="false">
      <c r="A989" s="130" t="str">
        <f aca="false">IF(ISBLANK(B989),"",B989&amp;"|"&amp;C989)</f>
        <v/>
      </c>
      <c r="B989" s="130"/>
      <c r="C989" s="130"/>
      <c r="D989" s="130"/>
      <c r="E989" s="136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</row>
    <row r="990" customFormat="false" ht="15.75" hidden="false" customHeight="false" outlineLevel="0" collapsed="false">
      <c r="A990" s="130" t="str">
        <f aca="false">IF(ISBLANK(B990),"",B990&amp;"|"&amp;C990)</f>
        <v/>
      </c>
      <c r="B990" s="130"/>
      <c r="C990" s="130"/>
      <c r="D990" s="130"/>
      <c r="E990" s="136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  <c r="AA990" s="130"/>
    </row>
    <row r="991" customFormat="false" ht="15.75" hidden="false" customHeight="false" outlineLevel="0" collapsed="false">
      <c r="A991" s="130" t="str">
        <f aca="false">IF(ISBLANK(B991),"",B991&amp;"|"&amp;C991)</f>
        <v/>
      </c>
      <c r="B991" s="130"/>
      <c r="C991" s="130"/>
      <c r="D991" s="130"/>
      <c r="E991" s="136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  <c r="AA991" s="130"/>
    </row>
    <row r="992" customFormat="false" ht="15.75" hidden="false" customHeight="false" outlineLevel="0" collapsed="false">
      <c r="A992" s="130" t="str">
        <f aca="false">IF(ISBLANK(B992),"",B992&amp;"|"&amp;C992)</f>
        <v/>
      </c>
      <c r="B992" s="130"/>
      <c r="C992" s="130"/>
      <c r="D992" s="130"/>
      <c r="E992" s="136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  <c r="AA992" s="130"/>
    </row>
    <row r="993" customFormat="false" ht="15.75" hidden="false" customHeight="false" outlineLevel="0" collapsed="false">
      <c r="A993" s="130" t="str">
        <f aca="false">IF(ISBLANK(B993),"",B993&amp;"|"&amp;C993)</f>
        <v/>
      </c>
      <c r="B993" s="130"/>
      <c r="C993" s="130"/>
      <c r="D993" s="130"/>
      <c r="E993" s="136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  <c r="AA993" s="130"/>
    </row>
    <row r="994" customFormat="false" ht="15.75" hidden="false" customHeight="false" outlineLevel="0" collapsed="false">
      <c r="A994" s="130" t="str">
        <f aca="false">IF(ISBLANK(B994),"",B994&amp;"|"&amp;C994)</f>
        <v/>
      </c>
      <c r="B994" s="130"/>
      <c r="C994" s="130"/>
      <c r="D994" s="130"/>
      <c r="E994" s="136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</row>
    <row r="995" customFormat="false" ht="15.75" hidden="false" customHeight="false" outlineLevel="0" collapsed="false">
      <c r="A995" s="130" t="str">
        <f aca="false">IF(ISBLANK(B995),"",B995&amp;"|"&amp;C995)</f>
        <v/>
      </c>
      <c r="B995" s="130"/>
      <c r="C995" s="130"/>
      <c r="D995" s="130"/>
      <c r="E995" s="136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  <c r="AA995" s="130"/>
    </row>
    <row r="996" customFormat="false" ht="15.75" hidden="false" customHeight="false" outlineLevel="0" collapsed="false">
      <c r="A996" s="130" t="str">
        <f aca="false">IF(ISBLANK(B996),"",B996&amp;"|"&amp;C996)</f>
        <v/>
      </c>
      <c r="B996" s="130"/>
      <c r="C996" s="130"/>
      <c r="D996" s="130"/>
      <c r="E996" s="136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  <c r="AA996" s="130"/>
    </row>
    <row r="997" customFormat="false" ht="15.75" hidden="false" customHeight="false" outlineLevel="0" collapsed="false">
      <c r="A997" s="130" t="str">
        <f aca="false">IF(ISBLANK(B997),"",B997&amp;"|"&amp;C997)</f>
        <v/>
      </c>
      <c r="B997" s="130"/>
      <c r="C997" s="130"/>
      <c r="D997" s="130"/>
      <c r="E997" s="136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  <c r="AA997" s="130"/>
    </row>
    <row r="998" customFormat="false" ht="15.75" hidden="false" customHeight="false" outlineLevel="0" collapsed="false">
      <c r="A998" s="130" t="str">
        <f aca="false">IF(ISBLANK(B998),"",B998&amp;"|"&amp;C998)</f>
        <v/>
      </c>
      <c r="B998" s="130"/>
      <c r="C998" s="130"/>
      <c r="D998" s="130"/>
      <c r="E998" s="136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  <c r="AA998" s="130"/>
    </row>
    <row r="999" customFormat="false" ht="15.75" hidden="false" customHeight="false" outlineLevel="0" collapsed="false">
      <c r="A999" s="130" t="str">
        <f aca="false">IF(ISBLANK(B999),"",B999&amp;"|"&amp;C999)</f>
        <v/>
      </c>
      <c r="B999" s="130"/>
      <c r="C999" s="130"/>
      <c r="D999" s="130"/>
      <c r="E999" s="136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  <c r="AA999" s="130"/>
    </row>
    <row r="1000" customFormat="false" ht="15.75" hidden="false" customHeight="false" outlineLevel="0" collapsed="false">
      <c r="A1000" s="130" t="str">
        <f aca="false">IF(ISBLANK(B1000),"",B1000&amp;"|"&amp;C1000)</f>
        <v/>
      </c>
      <c r="B1000" s="130"/>
      <c r="C1000" s="130"/>
      <c r="D1000" s="130"/>
      <c r="E1000" s="136"/>
      <c r="F1000" s="13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  <c r="AA1000" s="13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9.2"/>
    <col collapsed="false" customWidth="true" hidden="false" outlineLevel="0" max="2" min="2" style="1" width="15.85"/>
    <col collapsed="false" customWidth="false" hidden="true" outlineLevel="0" max="8" min="4" style="1" width="12.63"/>
  </cols>
  <sheetData>
    <row r="1" customFormat="false" ht="15.75" hidden="false" customHeight="false" outlineLevel="0" collapsed="false">
      <c r="A1" s="130" t="s">
        <v>80</v>
      </c>
      <c r="B1" s="130" t="s">
        <v>81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 customFormat="false" ht="15.75" hidden="false" customHeight="false" outlineLevel="0" collapsed="false">
      <c r="A2" s="130" t="s">
        <v>82</v>
      </c>
      <c r="B2" s="137" t="n">
        <v>45910</v>
      </c>
      <c r="C2" s="130"/>
      <c r="D2" s="130" t="s">
        <v>83</v>
      </c>
      <c r="E2" s="130" t="s">
        <v>84</v>
      </c>
      <c r="F2" s="130" t="s">
        <v>85</v>
      </c>
      <c r="G2" s="130" t="s">
        <v>86</v>
      </c>
      <c r="H2" s="130" t="s">
        <v>87</v>
      </c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customFormat="false" ht="15.75" hidden="false" customHeight="false" outlineLevel="0" collapsed="false">
      <c r="A3" s="130" t="s">
        <v>88</v>
      </c>
      <c r="B3" s="130" t="s">
        <v>89</v>
      </c>
      <c r="C3" s="130"/>
      <c r="D3" s="130" t="n">
        <f aca="false">FIND(".",B3)</f>
        <v>2</v>
      </c>
      <c r="E3" s="130" t="n">
        <f aca="false">FIND(".",B3,D3+1)</f>
        <v>4</v>
      </c>
      <c r="F3" s="130" t="str">
        <f aca="false">LEFT(B3,D3-1)</f>
        <v>0</v>
      </c>
      <c r="G3" s="130" t="str">
        <f aca="false">MID(B3,D3+1,E3-D3-1)</f>
        <v>1</v>
      </c>
      <c r="H3" s="130" t="str">
        <f aca="false">RIGHT(B3,LEN(B3)-E3)</f>
        <v>0</v>
      </c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</row>
    <row r="4" customFormat="false" ht="15.75" hidden="false" customHeight="false" outlineLevel="0" collapsed="false">
      <c r="A4" s="130" t="s">
        <v>90</v>
      </c>
      <c r="B4" s="130" t="s">
        <v>91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 customFormat="false" ht="15.75" hidden="false" customHeight="false" outlineLevel="0" collapsed="false">
      <c r="A5" s="130" t="s">
        <v>92</v>
      </c>
      <c r="B5" s="130" t="n">
        <v>2026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 customFormat="false" ht="15.75" hidden="false" customHeight="false" outlineLevel="0" collapsed="false">
      <c r="A6" s="130" t="s">
        <v>93</v>
      </c>
      <c r="B6" s="130" t="str">
        <f aca="false">B1&amp;"|"&amp;B4</f>
        <v>Thermodynamics|B/C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</row>
    <row r="7" customFormat="false" ht="15.75" hidden="false" customHeight="false" outlineLevel="0" collapsed="false">
      <c r="A7" s="130" t="s">
        <v>94</v>
      </c>
      <c r="B7" s="130"/>
      <c r="C7" s="130"/>
      <c r="D7" s="130" t="e">
        <f aca="false">FIND(".",B7)</f>
        <v>#VALUE!</v>
      </c>
      <c r="E7" s="130" t="e">
        <f aca="false">FIND(".",B7,D7+1)</f>
        <v>#VALUE!</v>
      </c>
      <c r="F7" s="130" t="e">
        <f aca="false">LEFT(B7,D7-1)</f>
        <v>#VALUE!</v>
      </c>
      <c r="G7" s="130" t="e">
        <f aca="false">MID(B7,D7+1,E7-D7-1)</f>
        <v>#VALUE!</v>
      </c>
      <c r="H7" s="130" t="e">
        <f aca="false">RIGHT(B7,LEN(B7)-E7)</f>
        <v>#VALUE!</v>
      </c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customFormat="false" ht="15.75" hidden="false" customHeight="false" outlineLevel="0" collapsed="false">
      <c r="A8" s="130" t="s">
        <v>95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 customFormat="false" ht="15.75" hidden="false" customHeight="false" outlineLevel="0" collapsed="false">
      <c r="A9" s="130"/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customFormat="false" ht="15.75" hidden="false" customHeight="false" outlineLevel="0" collapsed="false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customFormat="false" ht="15.75" hidden="false" customHeight="false" outlineLevel="0" collapsed="false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customFormat="false" ht="15.75" hidden="false" customHeight="false" outlineLevel="0" collapsed="false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 customFormat="false" ht="15.75" hidden="false" customHeight="false" outlineLevel="0" collapsed="false">
      <c r="A13" s="130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customFormat="false" ht="15.75" hidden="false" customHeight="false" outlineLevel="0" collapsed="false">
      <c r="A14" s="130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 customFormat="false" ht="15.75" hidden="false" customHeight="false" outlineLevel="0" collapsed="false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</row>
    <row r="16" customFormat="false" ht="15.75" hidden="false" customHeight="false" outlineLevel="0" collapsed="false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</row>
    <row r="17" customFormat="false" ht="15.75" hidden="false" customHeight="false" outlineLevel="0" collapsed="false">
      <c r="A17" s="130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customFormat="false" ht="15.75" hidden="false" customHeight="false" outlineLevel="0" collapsed="false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customFormat="false" ht="15.75" hidden="false" customHeight="false" outlineLevel="0" collapsed="false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customFormat="false" ht="15.75" hidden="false" customHeight="false" outlineLevel="0" collapsed="false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customFormat="false" ht="15.75" hidden="false" customHeight="false" outlineLevel="0" collapsed="false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 customFormat="false" ht="15.75" hidden="false" customHeight="false" outlineLevel="0" collapsed="false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customFormat="false" ht="15.75" hidden="false" customHeight="false" outlineLevel="0" collapsed="false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customFormat="false" ht="15.75" hidden="false" customHeight="false" outlineLevel="0" collapsed="false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customFormat="false" ht="15.75" hidden="false" customHeight="false" outlineLevel="0" collapsed="false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customFormat="false" ht="15.75" hidden="false" customHeight="false" outlineLevel="0" collapsed="false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customFormat="false" ht="15.75" hidden="false" customHeight="false" outlineLevel="0" collapsed="false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customFormat="false" ht="15.75" hidden="false" customHeight="false" outlineLevel="0" collapsed="false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customFormat="false" ht="15.75" hidden="false" customHeight="false" outlineLevel="0" collapsed="false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customFormat="false" ht="15.75" hidden="false" customHeight="false" outlineLevel="0" collapsed="false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customFormat="false" ht="15.75" hidden="false" customHeight="false" outlineLevel="0" collapsed="false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customFormat="false" ht="15.75" hidden="false" customHeight="false" outlineLevel="0" collapsed="false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customFormat="false" ht="15.75" hidden="false" customHeight="false" outlineLevel="0" collapsed="false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customFormat="false" ht="15.75" hidden="false" customHeight="false" outlineLevel="0" collapsed="false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 customFormat="false" ht="15.75" hidden="false" customHeight="false" outlineLevel="0" collapsed="false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customFormat="false" ht="15.75" hidden="false" customHeight="false" outlineLevel="0" collapsed="false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customFormat="false" ht="15.75" hidden="false" customHeight="false" outlineLevel="0" collapsed="false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customFormat="false" ht="15.75" hidden="false" customHeight="false" outlineLevel="0" collapsed="false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customFormat="false" ht="15.75" hidden="false" customHeight="false" outlineLevel="0" collapsed="false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customFormat="false" ht="15.75" hidden="false" customHeight="false" outlineLevel="0" collapsed="false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customFormat="false" ht="15.75" hidden="false" customHeight="false" outlineLevel="0" collapsed="false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 customFormat="false" ht="15.75" hidden="false" customHeight="false" outlineLevel="0" collapsed="false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customFormat="false" ht="15.75" hidden="false" customHeight="false" outlineLevel="0" collapsed="false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 customFormat="false" ht="15.75" hidden="false" customHeight="false" outlineLevel="0" collapsed="false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customFormat="false" ht="15.75" hidden="false" customHeight="false" outlineLevel="0" collapsed="false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customFormat="false" ht="15.75" hidden="false" customHeight="false" outlineLevel="0" collapsed="false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 customFormat="false" ht="15.75" hidden="false" customHeight="false" outlineLevel="0" collapsed="false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customFormat="false" ht="15.75" hidden="false" customHeight="false" outlineLevel="0" collapsed="false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customFormat="false" ht="15.75" hidden="false" customHeight="false" outlineLevel="0" collapsed="false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customFormat="false" ht="15.75" hidden="false" customHeight="false" outlineLevel="0" collapsed="false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customFormat="false" ht="15.75" hidden="false" customHeight="false" outlineLevel="0" collapsed="false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 customFormat="false" ht="15.75" hidden="false" customHeight="false" outlineLevel="0" collapsed="false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customFormat="false" ht="15.75" hidden="false" customHeight="false" outlineLevel="0" collapsed="false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 customFormat="false" ht="15.75" hidden="false" customHeight="false" outlineLevel="0" collapsed="false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 customFormat="false" ht="15.75" hidden="false" customHeight="false" outlineLevel="0" collapsed="false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 customFormat="false" ht="15.75" hidden="false" customHeight="false" outlineLevel="0" collapsed="false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 customFormat="false" ht="15.75" hidden="false" customHeight="false" outlineLevel="0" collapsed="false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 customFormat="false" ht="15.75" hidden="false" customHeight="false" outlineLevel="0" collapsed="false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 customFormat="false" ht="15.75" hidden="false" customHeight="false" outlineLevel="0" collapsed="false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 customFormat="false" ht="15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 customFormat="false" ht="15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customFormat="false" ht="15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 customFormat="false" ht="15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 customFormat="false" ht="15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customFormat="false" ht="15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 customFormat="false" ht="15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</row>
    <row r="67" customFormat="false" ht="15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</row>
    <row r="68" customFormat="false" ht="15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</row>
    <row r="69" customFormat="false" ht="15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 customFormat="false" ht="15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1" customFormat="false" ht="15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 customFormat="false" ht="15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 customFormat="false" ht="15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</row>
    <row r="74" customFormat="false" ht="15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 customFormat="false" ht="15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</row>
    <row r="76" customFormat="false" ht="15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</row>
    <row r="77" customFormat="false" ht="15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</row>
    <row r="78" customFormat="false" ht="15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</row>
    <row r="79" customFormat="false" ht="15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 customFormat="false" ht="15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 customFormat="false" ht="15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 customFormat="false" ht="15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 customFormat="false" ht="15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</row>
    <row r="84" customFormat="false" ht="15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 customFormat="false" ht="15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 customFormat="false" ht="15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 customFormat="false" ht="15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 customFormat="false" ht="15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 customFormat="false" ht="15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 customFormat="false" ht="15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 customFormat="false" ht="15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 customFormat="false" ht="15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 customFormat="false" ht="15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</row>
    <row r="94" customFormat="false" ht="15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 customFormat="false" ht="15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</row>
    <row r="96" customFormat="false" ht="15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 customFormat="false" ht="15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 customFormat="false" ht="15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 customFormat="false" ht="15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 customFormat="false" ht="15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 customFormat="false" ht="15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 customFormat="false" ht="15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</row>
    <row r="103" customFormat="false" ht="15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 customFormat="false" ht="15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 customFormat="false" ht="15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 customFormat="false" ht="15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 customFormat="false" ht="15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customFormat="false" ht="15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 customFormat="false" ht="15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 customFormat="false" ht="15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 customFormat="false" ht="15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 customFormat="false" ht="15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 customFormat="false" ht="15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 customFormat="false" ht="15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 customFormat="false" ht="15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 customFormat="false" ht="15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 customFormat="false" ht="15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 customFormat="false" ht="15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 customFormat="false" ht="15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 customFormat="false" ht="15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</row>
    <row r="121" customFormat="false" ht="15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</row>
    <row r="122" customFormat="false" ht="15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</row>
    <row r="123" customFormat="false" ht="15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</row>
    <row r="124" customFormat="false" ht="15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</row>
    <row r="125" customFormat="false" ht="15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</row>
    <row r="126" customFormat="false" ht="15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</row>
    <row r="127" customFormat="false" ht="15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</row>
    <row r="128" customFormat="false" ht="15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</row>
    <row r="129" customFormat="false" ht="15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</row>
    <row r="130" customFormat="false" ht="15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</row>
    <row r="131" customFormat="false" ht="15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</row>
    <row r="132" customFormat="false" ht="15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</row>
    <row r="133" customFormat="false" ht="15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</row>
    <row r="134" customFormat="false" ht="15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</row>
    <row r="135" customFormat="false" ht="15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</row>
    <row r="136" customFormat="false" ht="15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</row>
    <row r="137" customFormat="false" ht="15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 customFormat="false" ht="15.75" hidden="false" customHeight="false" outlineLevel="0" collapsed="false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</row>
    <row r="139" customFormat="false" ht="15.75" hidden="false" customHeight="false" outlineLevel="0" collapsed="false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0" customFormat="false" ht="15.75" hidden="false" customHeight="false" outlineLevel="0" collapsed="false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 customFormat="false" ht="15.75" hidden="false" customHeight="false" outlineLevel="0" collapsed="false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</row>
    <row r="142" customFormat="false" ht="15.75" hidden="false" customHeight="false" outlineLevel="0" collapsed="false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</row>
    <row r="143" customFormat="false" ht="15.75" hidden="false" customHeight="false" outlineLevel="0" collapsed="false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 customFormat="false" ht="15.75" hidden="false" customHeight="false" outlineLevel="0" collapsed="false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</row>
    <row r="145" customFormat="false" ht="15.75" hidden="false" customHeight="false" outlineLevel="0" collapsed="false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</row>
    <row r="146" customFormat="false" ht="15.75" hidden="false" customHeight="false" outlineLevel="0" collapsed="false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</row>
    <row r="147" customFormat="false" ht="15.75" hidden="false" customHeight="false" outlineLevel="0" collapsed="false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</row>
    <row r="148" customFormat="false" ht="15.75" hidden="false" customHeight="false" outlineLevel="0" collapsed="false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 customFormat="false" ht="15.75" hidden="false" customHeight="false" outlineLevel="0" collapsed="false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 customFormat="false" ht="15.75" hidden="false" customHeight="false" outlineLevel="0" collapsed="false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 customFormat="false" ht="15.75" hidden="false" customHeight="false" outlineLevel="0" collapsed="false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 customFormat="false" ht="15.75" hidden="false" customHeight="false" outlineLevel="0" collapsed="false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 customFormat="false" ht="15.75" hidden="false" customHeight="false" outlineLevel="0" collapsed="false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</row>
    <row r="154" customFormat="false" ht="15.75" hidden="false" customHeight="false" outlineLevel="0" collapsed="false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</row>
    <row r="155" customFormat="false" ht="15.75" hidden="false" customHeight="false" outlineLevel="0" collapsed="false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</row>
    <row r="156" customFormat="false" ht="15.75" hidden="false" customHeight="false" outlineLevel="0" collapsed="false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</row>
    <row r="157" customFormat="false" ht="15.75" hidden="false" customHeight="false" outlineLevel="0" collapsed="false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</row>
    <row r="158" customFormat="false" ht="15.75" hidden="false" customHeight="false" outlineLevel="0" collapsed="false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</row>
    <row r="159" customFormat="false" ht="15.75" hidden="false" customHeight="false" outlineLevel="0" collapsed="false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</row>
    <row r="160" customFormat="false" ht="15.75" hidden="false" customHeight="false" outlineLevel="0" collapsed="false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</row>
    <row r="161" customFormat="false" ht="15.75" hidden="false" customHeight="false" outlineLevel="0" collapsed="false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</row>
    <row r="162" customFormat="false" ht="15.75" hidden="false" customHeight="false" outlineLevel="0" collapsed="false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</row>
    <row r="163" customFormat="false" ht="15.75" hidden="false" customHeight="false" outlineLevel="0" collapsed="false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</row>
    <row r="164" customFormat="false" ht="15.75" hidden="false" customHeight="false" outlineLevel="0" collapsed="false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</row>
    <row r="165" customFormat="false" ht="15.75" hidden="false" customHeight="false" outlineLevel="0" collapsed="false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</row>
    <row r="166" customFormat="false" ht="15.75" hidden="false" customHeight="false" outlineLevel="0" collapsed="false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</row>
    <row r="167" customFormat="false" ht="15.75" hidden="false" customHeight="false" outlineLevel="0" collapsed="false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</row>
    <row r="168" customFormat="false" ht="15.75" hidden="false" customHeight="false" outlineLevel="0" collapsed="false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</row>
    <row r="169" customFormat="false" ht="15.75" hidden="false" customHeight="false" outlineLevel="0" collapsed="false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</row>
    <row r="170" customFormat="false" ht="15.75" hidden="false" customHeight="false" outlineLevel="0" collapsed="false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</row>
    <row r="171" customFormat="false" ht="15.75" hidden="false" customHeight="false" outlineLevel="0" collapsed="false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</row>
    <row r="172" customFormat="false" ht="15.75" hidden="false" customHeight="false" outlineLevel="0" collapsed="false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</row>
    <row r="173" customFormat="false" ht="15.75" hidden="false" customHeight="false" outlineLevel="0" collapsed="false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</row>
    <row r="174" customFormat="false" ht="15.75" hidden="false" customHeight="false" outlineLevel="0" collapsed="false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</row>
    <row r="175" customFormat="false" ht="15.75" hidden="false" customHeight="false" outlineLevel="0" collapsed="false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</row>
    <row r="176" customFormat="false" ht="15.75" hidden="false" customHeight="false" outlineLevel="0" collapsed="false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</row>
    <row r="177" customFormat="false" ht="15.75" hidden="false" customHeight="false" outlineLevel="0" collapsed="false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</row>
    <row r="178" customFormat="false" ht="15.75" hidden="false" customHeight="false" outlineLevel="0" collapsed="false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</row>
    <row r="179" customFormat="false" ht="15.75" hidden="false" customHeight="false" outlineLevel="0" collapsed="false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</row>
    <row r="180" customFormat="false" ht="15.75" hidden="false" customHeight="false" outlineLevel="0" collapsed="false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</row>
    <row r="181" customFormat="false" ht="15.75" hidden="false" customHeight="false" outlineLevel="0" collapsed="false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</row>
    <row r="182" customFormat="false" ht="15.75" hidden="false" customHeight="false" outlineLevel="0" collapsed="false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</row>
    <row r="183" customFormat="false" ht="15.75" hidden="false" customHeight="false" outlineLevel="0" collapsed="false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</row>
    <row r="184" customFormat="false" ht="15.75" hidden="false" customHeight="false" outlineLevel="0" collapsed="false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</row>
    <row r="185" customFormat="false" ht="15.75" hidden="false" customHeight="false" outlineLevel="0" collapsed="false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</row>
    <row r="186" customFormat="false" ht="15.75" hidden="false" customHeight="false" outlineLevel="0" collapsed="false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</row>
    <row r="187" customFormat="false" ht="15.75" hidden="false" customHeight="false" outlineLevel="0" collapsed="false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</row>
    <row r="188" customFormat="false" ht="15.75" hidden="false" customHeight="false" outlineLevel="0" collapsed="false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</row>
    <row r="189" customFormat="false" ht="15.75" hidden="false" customHeight="false" outlineLevel="0" collapsed="false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</row>
    <row r="190" customFormat="false" ht="15.75" hidden="false" customHeight="false" outlineLevel="0" collapsed="false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</row>
    <row r="191" customFormat="false" ht="15.75" hidden="false" customHeight="false" outlineLevel="0" collapsed="false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</row>
    <row r="192" customFormat="false" ht="15.75" hidden="false" customHeight="false" outlineLevel="0" collapsed="false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</row>
    <row r="193" customFormat="false" ht="15.75" hidden="false" customHeight="false" outlineLevel="0" collapsed="false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</row>
    <row r="194" customFormat="false" ht="15.75" hidden="false" customHeight="false" outlineLevel="0" collapsed="false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</row>
    <row r="195" customFormat="false" ht="15.75" hidden="false" customHeight="false" outlineLevel="0" collapsed="false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</row>
    <row r="196" customFormat="false" ht="15.75" hidden="false" customHeight="false" outlineLevel="0" collapsed="false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</row>
    <row r="197" customFormat="false" ht="15.75" hidden="false" customHeight="false" outlineLevel="0" collapsed="false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</row>
    <row r="198" customFormat="false" ht="15.75" hidden="false" customHeight="false" outlineLevel="0" collapsed="false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</row>
    <row r="199" customFormat="false" ht="15.75" hidden="false" customHeight="false" outlineLevel="0" collapsed="false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</row>
    <row r="200" customFormat="false" ht="15.75" hidden="false" customHeight="false" outlineLevel="0" collapsed="false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</row>
    <row r="201" customFormat="false" ht="15.75" hidden="false" customHeight="false" outlineLevel="0" collapsed="false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</row>
    <row r="202" customFormat="false" ht="15.75" hidden="false" customHeight="false" outlineLevel="0" collapsed="false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</row>
    <row r="203" customFormat="false" ht="15.75" hidden="false" customHeight="false" outlineLevel="0" collapsed="false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</row>
    <row r="204" customFormat="false" ht="15.75" hidden="false" customHeight="false" outlineLevel="0" collapsed="false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</row>
    <row r="205" customFormat="false" ht="15.75" hidden="false" customHeight="false" outlineLevel="0" collapsed="false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</row>
    <row r="206" customFormat="false" ht="15.75" hidden="false" customHeight="false" outlineLevel="0" collapsed="false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</row>
    <row r="207" customFormat="false" ht="15.75" hidden="false" customHeight="false" outlineLevel="0" collapsed="false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</row>
    <row r="208" customFormat="false" ht="15.75" hidden="false" customHeight="false" outlineLevel="0" collapsed="false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</row>
    <row r="209" customFormat="false" ht="15.75" hidden="false" customHeight="false" outlineLevel="0" collapsed="false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</row>
    <row r="210" customFormat="false" ht="15.75" hidden="false" customHeight="false" outlineLevel="0" collapsed="false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</row>
    <row r="211" customFormat="false" ht="15.75" hidden="false" customHeight="false" outlineLevel="0" collapsed="false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</row>
    <row r="212" customFormat="false" ht="15.75" hidden="false" customHeight="false" outlineLevel="0" collapsed="false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</row>
    <row r="213" customFormat="false" ht="15.75" hidden="false" customHeight="false" outlineLevel="0" collapsed="false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</row>
    <row r="214" customFormat="false" ht="15.75" hidden="false" customHeight="false" outlineLevel="0" collapsed="false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</row>
    <row r="215" customFormat="false" ht="15.75" hidden="false" customHeight="false" outlineLevel="0" collapsed="false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</row>
    <row r="216" customFormat="false" ht="15.75" hidden="false" customHeight="false" outlineLevel="0" collapsed="false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</row>
    <row r="217" customFormat="false" ht="15.75" hidden="false" customHeight="false" outlineLevel="0" collapsed="false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</row>
    <row r="218" customFormat="false" ht="15.75" hidden="false" customHeight="false" outlineLevel="0" collapsed="false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</row>
    <row r="219" customFormat="false" ht="15.75" hidden="false" customHeight="false" outlineLevel="0" collapsed="false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</row>
    <row r="220" customFormat="false" ht="15.75" hidden="false" customHeight="false" outlineLevel="0" collapsed="false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</row>
    <row r="221" customFormat="false" ht="15.75" hidden="false" customHeight="false" outlineLevel="0" collapsed="false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</row>
    <row r="222" customFormat="false" ht="15.75" hidden="false" customHeight="false" outlineLevel="0" collapsed="false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</row>
    <row r="223" customFormat="false" ht="15.75" hidden="false" customHeight="false" outlineLevel="0" collapsed="false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</row>
    <row r="224" customFormat="false" ht="15.75" hidden="false" customHeight="false" outlineLevel="0" collapsed="false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</row>
    <row r="225" customFormat="false" ht="15.75" hidden="false" customHeight="false" outlineLevel="0" collapsed="false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</row>
    <row r="226" customFormat="false" ht="15.75" hidden="false" customHeight="false" outlineLevel="0" collapsed="false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</row>
    <row r="227" customFormat="false" ht="15.75" hidden="false" customHeight="false" outlineLevel="0" collapsed="false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</row>
    <row r="228" customFormat="false" ht="15.75" hidden="false" customHeight="false" outlineLevel="0" collapsed="false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</row>
    <row r="229" customFormat="false" ht="15.75" hidden="false" customHeight="false" outlineLevel="0" collapsed="false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</row>
    <row r="230" customFormat="false" ht="15.75" hidden="false" customHeight="false" outlineLevel="0" collapsed="false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</row>
    <row r="231" customFormat="false" ht="15.75" hidden="false" customHeight="false" outlineLevel="0" collapsed="false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</row>
    <row r="232" customFormat="false" ht="15.75" hidden="false" customHeight="false" outlineLevel="0" collapsed="false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</row>
    <row r="233" customFormat="false" ht="15.75" hidden="false" customHeight="false" outlineLevel="0" collapsed="false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</row>
    <row r="234" customFormat="false" ht="15.75" hidden="false" customHeight="false" outlineLevel="0" collapsed="false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</row>
    <row r="235" customFormat="false" ht="15.75" hidden="false" customHeight="false" outlineLevel="0" collapsed="false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</row>
    <row r="236" customFormat="false" ht="15.75" hidden="false" customHeight="false" outlineLevel="0" collapsed="false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</row>
    <row r="237" customFormat="false" ht="15.75" hidden="false" customHeight="false" outlineLevel="0" collapsed="false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</row>
    <row r="238" customFormat="false" ht="15.75" hidden="false" customHeight="false" outlineLevel="0" collapsed="false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</row>
    <row r="239" customFormat="false" ht="15.75" hidden="false" customHeight="false" outlineLevel="0" collapsed="false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</row>
    <row r="240" customFormat="false" ht="15.75" hidden="false" customHeight="false" outlineLevel="0" collapsed="false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</row>
    <row r="241" customFormat="false" ht="15.75" hidden="false" customHeight="false" outlineLevel="0" collapsed="false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</row>
    <row r="242" customFormat="false" ht="15.75" hidden="false" customHeight="false" outlineLevel="0" collapsed="false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</row>
    <row r="243" customFormat="false" ht="15.75" hidden="false" customHeight="false" outlineLevel="0" collapsed="false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</row>
    <row r="244" customFormat="false" ht="15.75" hidden="false" customHeight="false" outlineLevel="0" collapsed="false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</row>
    <row r="245" customFormat="false" ht="15.75" hidden="false" customHeight="false" outlineLevel="0" collapsed="false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</row>
    <row r="246" customFormat="false" ht="15.75" hidden="false" customHeight="false" outlineLevel="0" collapsed="false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</row>
    <row r="247" customFormat="false" ht="15.75" hidden="false" customHeight="false" outlineLevel="0" collapsed="false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</row>
    <row r="248" customFormat="false" ht="15.75" hidden="false" customHeight="false" outlineLevel="0" collapsed="false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</row>
    <row r="249" customFormat="false" ht="15.75" hidden="false" customHeight="false" outlineLevel="0" collapsed="false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</row>
    <row r="250" customFormat="false" ht="15.75" hidden="false" customHeight="false" outlineLevel="0" collapsed="false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</row>
    <row r="251" customFormat="false" ht="15.75" hidden="false" customHeight="false" outlineLevel="0" collapsed="false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</row>
    <row r="252" customFormat="false" ht="15.75" hidden="false" customHeight="false" outlineLevel="0" collapsed="false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</row>
    <row r="253" customFormat="false" ht="15.75" hidden="false" customHeight="false" outlineLevel="0" collapsed="false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</row>
    <row r="254" customFormat="false" ht="15.75" hidden="false" customHeight="false" outlineLevel="0" collapsed="false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</row>
    <row r="255" customFormat="false" ht="15.75" hidden="false" customHeight="false" outlineLevel="0" collapsed="false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</row>
    <row r="256" customFormat="false" ht="15.75" hidden="false" customHeight="false" outlineLevel="0" collapsed="false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</row>
    <row r="257" customFormat="false" ht="15.75" hidden="false" customHeight="false" outlineLevel="0" collapsed="false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</row>
    <row r="258" customFormat="false" ht="15.75" hidden="false" customHeight="false" outlineLevel="0" collapsed="false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</row>
    <row r="259" customFormat="false" ht="15.75" hidden="false" customHeight="false" outlineLevel="0" collapsed="false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</row>
    <row r="260" customFormat="false" ht="15.75" hidden="false" customHeight="false" outlineLevel="0" collapsed="false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</row>
    <row r="261" customFormat="false" ht="15.75" hidden="false" customHeight="false" outlineLevel="0" collapsed="false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</row>
    <row r="262" customFormat="false" ht="15.75" hidden="false" customHeight="false" outlineLevel="0" collapsed="false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</row>
    <row r="263" customFormat="false" ht="15.75" hidden="false" customHeight="false" outlineLevel="0" collapsed="false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</row>
    <row r="264" customFormat="false" ht="15.75" hidden="false" customHeight="false" outlineLevel="0" collapsed="false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</row>
    <row r="265" customFormat="false" ht="15.75" hidden="false" customHeight="false" outlineLevel="0" collapsed="false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</row>
    <row r="266" customFormat="false" ht="15.75" hidden="false" customHeight="false" outlineLevel="0" collapsed="false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</row>
    <row r="267" customFormat="false" ht="15.75" hidden="false" customHeight="false" outlineLevel="0" collapsed="false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</row>
    <row r="268" customFormat="false" ht="15.75" hidden="false" customHeight="false" outlineLevel="0" collapsed="false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</row>
    <row r="269" customFormat="false" ht="15.75" hidden="false" customHeight="false" outlineLevel="0" collapsed="false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</row>
    <row r="270" customFormat="false" ht="15.75" hidden="false" customHeight="false" outlineLevel="0" collapsed="false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</row>
    <row r="271" customFormat="false" ht="15.75" hidden="false" customHeight="false" outlineLevel="0" collapsed="false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</row>
    <row r="272" customFormat="false" ht="15.75" hidden="false" customHeight="false" outlineLevel="0" collapsed="false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</row>
    <row r="273" customFormat="false" ht="15.75" hidden="false" customHeight="false" outlineLevel="0" collapsed="false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</row>
    <row r="274" customFormat="false" ht="15.75" hidden="false" customHeight="false" outlineLevel="0" collapsed="false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</row>
    <row r="275" customFormat="false" ht="15.75" hidden="false" customHeight="false" outlineLevel="0" collapsed="false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</row>
    <row r="276" customFormat="false" ht="15.75" hidden="false" customHeight="false" outlineLevel="0" collapsed="false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</row>
    <row r="277" customFormat="false" ht="15.75" hidden="false" customHeight="false" outlineLevel="0" collapsed="false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</row>
    <row r="278" customFormat="false" ht="15.75" hidden="false" customHeight="false" outlineLevel="0" collapsed="false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</row>
    <row r="279" customFormat="false" ht="15.75" hidden="false" customHeight="false" outlineLevel="0" collapsed="false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</row>
    <row r="280" customFormat="false" ht="15.75" hidden="false" customHeight="false" outlineLevel="0" collapsed="false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</row>
    <row r="281" customFormat="false" ht="15.75" hidden="false" customHeight="false" outlineLevel="0" collapsed="false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</row>
    <row r="282" customFormat="false" ht="15.75" hidden="false" customHeight="false" outlineLevel="0" collapsed="false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</row>
    <row r="283" customFormat="false" ht="15.75" hidden="false" customHeight="false" outlineLevel="0" collapsed="false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</row>
    <row r="284" customFormat="false" ht="15.75" hidden="false" customHeight="false" outlineLevel="0" collapsed="false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</row>
    <row r="285" customFormat="false" ht="15.75" hidden="false" customHeight="false" outlineLevel="0" collapsed="false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</row>
    <row r="286" customFormat="false" ht="15.75" hidden="false" customHeight="false" outlineLevel="0" collapsed="false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</row>
    <row r="287" customFormat="false" ht="15.75" hidden="false" customHeight="false" outlineLevel="0" collapsed="false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</row>
    <row r="288" customFormat="false" ht="15.75" hidden="false" customHeight="false" outlineLevel="0" collapsed="false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</row>
    <row r="289" customFormat="false" ht="15.75" hidden="false" customHeight="false" outlineLevel="0" collapsed="false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</row>
    <row r="290" customFormat="false" ht="15.75" hidden="false" customHeight="false" outlineLevel="0" collapsed="false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</row>
    <row r="291" customFormat="false" ht="15.75" hidden="false" customHeight="false" outlineLevel="0" collapsed="false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</row>
    <row r="292" customFormat="false" ht="15.75" hidden="false" customHeight="false" outlineLevel="0" collapsed="false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</row>
    <row r="293" customFormat="false" ht="15.75" hidden="false" customHeight="false" outlineLevel="0" collapsed="false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</row>
    <row r="294" customFormat="false" ht="15.75" hidden="false" customHeight="false" outlineLevel="0" collapsed="false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</row>
    <row r="295" customFormat="false" ht="15.75" hidden="false" customHeight="false" outlineLevel="0" collapsed="false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</row>
    <row r="296" customFormat="false" ht="15.75" hidden="false" customHeight="false" outlineLevel="0" collapsed="false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</row>
    <row r="297" customFormat="false" ht="15.75" hidden="false" customHeight="false" outlineLevel="0" collapsed="false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</row>
    <row r="298" customFormat="false" ht="15.75" hidden="false" customHeight="false" outlineLevel="0" collapsed="false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</row>
    <row r="299" customFormat="false" ht="15.75" hidden="false" customHeight="false" outlineLevel="0" collapsed="false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</row>
    <row r="300" customFormat="false" ht="15.75" hidden="false" customHeight="false" outlineLevel="0" collapsed="false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</row>
    <row r="301" customFormat="false" ht="15.75" hidden="false" customHeight="false" outlineLevel="0" collapsed="false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</row>
    <row r="302" customFormat="false" ht="15.75" hidden="false" customHeight="false" outlineLevel="0" collapsed="false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</row>
    <row r="303" customFormat="false" ht="15.75" hidden="false" customHeight="false" outlineLevel="0" collapsed="false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</row>
    <row r="304" customFormat="false" ht="15.75" hidden="false" customHeight="false" outlineLevel="0" collapsed="false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</row>
    <row r="305" customFormat="false" ht="15.75" hidden="false" customHeight="false" outlineLevel="0" collapsed="false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</row>
    <row r="306" customFormat="false" ht="15.75" hidden="false" customHeight="false" outlineLevel="0" collapsed="false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</row>
    <row r="307" customFormat="false" ht="15.75" hidden="false" customHeight="false" outlineLevel="0" collapsed="false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</row>
    <row r="308" customFormat="false" ht="15.75" hidden="false" customHeight="false" outlineLevel="0" collapsed="false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</row>
    <row r="309" customFormat="false" ht="15.75" hidden="false" customHeight="false" outlineLevel="0" collapsed="false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</row>
    <row r="310" customFormat="false" ht="15.75" hidden="false" customHeight="false" outlineLevel="0" collapsed="false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</row>
    <row r="311" customFormat="false" ht="15.75" hidden="false" customHeight="false" outlineLevel="0" collapsed="false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</row>
    <row r="312" customFormat="false" ht="15.75" hidden="false" customHeight="false" outlineLevel="0" collapsed="false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</row>
    <row r="313" customFormat="false" ht="15.75" hidden="false" customHeight="false" outlineLevel="0" collapsed="false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</row>
    <row r="314" customFormat="false" ht="15.75" hidden="false" customHeight="false" outlineLevel="0" collapsed="false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</row>
    <row r="315" customFormat="false" ht="15.75" hidden="false" customHeight="false" outlineLevel="0" collapsed="false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</row>
    <row r="316" customFormat="false" ht="15.75" hidden="false" customHeight="false" outlineLevel="0" collapsed="false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</row>
    <row r="317" customFormat="false" ht="15.75" hidden="false" customHeight="false" outlineLevel="0" collapsed="false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</row>
    <row r="318" customFormat="false" ht="15.75" hidden="false" customHeight="false" outlineLevel="0" collapsed="false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</row>
    <row r="319" customFormat="false" ht="15.75" hidden="false" customHeight="false" outlineLevel="0" collapsed="false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</row>
    <row r="320" customFormat="false" ht="15.75" hidden="false" customHeight="false" outlineLevel="0" collapsed="false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</row>
    <row r="321" customFormat="false" ht="15.75" hidden="false" customHeight="false" outlineLevel="0" collapsed="false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</row>
    <row r="322" customFormat="false" ht="15.75" hidden="false" customHeight="false" outlineLevel="0" collapsed="false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</row>
    <row r="323" customFormat="false" ht="15.75" hidden="false" customHeight="false" outlineLevel="0" collapsed="false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</row>
    <row r="324" customFormat="false" ht="15.75" hidden="false" customHeight="false" outlineLevel="0" collapsed="false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</row>
    <row r="325" customFormat="false" ht="15.75" hidden="false" customHeight="false" outlineLevel="0" collapsed="false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</row>
    <row r="326" customFormat="false" ht="15.75" hidden="false" customHeight="false" outlineLevel="0" collapsed="false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</row>
    <row r="327" customFormat="false" ht="15.75" hidden="false" customHeight="false" outlineLevel="0" collapsed="false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</row>
    <row r="328" customFormat="false" ht="15.75" hidden="false" customHeight="false" outlineLevel="0" collapsed="false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</row>
    <row r="329" customFormat="false" ht="15.75" hidden="false" customHeight="false" outlineLevel="0" collapsed="false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</row>
    <row r="330" customFormat="false" ht="15.75" hidden="false" customHeight="false" outlineLevel="0" collapsed="false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</row>
    <row r="331" customFormat="false" ht="15.75" hidden="false" customHeight="false" outlineLevel="0" collapsed="false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</row>
    <row r="332" customFormat="false" ht="15.75" hidden="false" customHeight="false" outlineLevel="0" collapsed="false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</row>
    <row r="333" customFormat="false" ht="15.75" hidden="false" customHeight="false" outlineLevel="0" collapsed="false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</row>
    <row r="334" customFormat="false" ht="15.75" hidden="false" customHeight="false" outlineLevel="0" collapsed="false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</row>
    <row r="335" customFormat="false" ht="15.75" hidden="false" customHeight="false" outlineLevel="0" collapsed="false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</row>
    <row r="336" customFormat="false" ht="15.75" hidden="false" customHeight="false" outlineLevel="0" collapsed="false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</row>
    <row r="337" customFormat="false" ht="15.75" hidden="false" customHeight="false" outlineLevel="0" collapsed="false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</row>
    <row r="338" customFormat="false" ht="15.75" hidden="false" customHeight="false" outlineLevel="0" collapsed="false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</row>
    <row r="339" customFormat="false" ht="15.75" hidden="false" customHeight="false" outlineLevel="0" collapsed="false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</row>
    <row r="340" customFormat="false" ht="15.75" hidden="false" customHeight="false" outlineLevel="0" collapsed="false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</row>
    <row r="341" customFormat="false" ht="15.75" hidden="false" customHeight="false" outlineLevel="0" collapsed="false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</row>
    <row r="342" customFormat="false" ht="15.75" hidden="false" customHeight="false" outlineLevel="0" collapsed="false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</row>
    <row r="343" customFormat="false" ht="15.75" hidden="false" customHeight="false" outlineLevel="0" collapsed="false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</row>
    <row r="344" customFormat="false" ht="15.75" hidden="false" customHeight="false" outlineLevel="0" collapsed="false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</row>
    <row r="345" customFormat="false" ht="15.75" hidden="false" customHeight="false" outlineLevel="0" collapsed="false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</row>
    <row r="346" customFormat="false" ht="15.75" hidden="false" customHeight="false" outlineLevel="0" collapsed="false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</row>
    <row r="347" customFormat="false" ht="15.75" hidden="false" customHeight="false" outlineLevel="0" collapsed="false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</row>
    <row r="348" customFormat="false" ht="15.75" hidden="false" customHeight="false" outlineLevel="0" collapsed="false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</row>
    <row r="349" customFormat="false" ht="15.75" hidden="false" customHeight="false" outlineLevel="0" collapsed="false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</row>
    <row r="350" customFormat="false" ht="15.75" hidden="false" customHeight="false" outlineLevel="0" collapsed="false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</row>
    <row r="351" customFormat="false" ht="15.75" hidden="false" customHeight="false" outlineLevel="0" collapsed="false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</row>
    <row r="352" customFormat="false" ht="15.75" hidden="false" customHeight="false" outlineLevel="0" collapsed="false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</row>
    <row r="353" customFormat="false" ht="15.75" hidden="false" customHeight="false" outlineLevel="0" collapsed="false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</row>
    <row r="354" customFormat="false" ht="15.75" hidden="false" customHeight="false" outlineLevel="0" collapsed="false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</row>
    <row r="355" customFormat="false" ht="15.75" hidden="false" customHeight="false" outlineLevel="0" collapsed="false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</row>
    <row r="356" customFormat="false" ht="15.75" hidden="false" customHeight="false" outlineLevel="0" collapsed="false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</row>
    <row r="357" customFormat="false" ht="15.75" hidden="false" customHeight="false" outlineLevel="0" collapsed="false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</row>
    <row r="358" customFormat="false" ht="15.75" hidden="false" customHeight="false" outlineLevel="0" collapsed="false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</row>
    <row r="359" customFormat="false" ht="15.75" hidden="false" customHeight="false" outlineLevel="0" collapsed="false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</row>
    <row r="360" customFormat="false" ht="15.75" hidden="false" customHeight="false" outlineLevel="0" collapsed="false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</row>
    <row r="361" customFormat="false" ht="15.75" hidden="false" customHeight="false" outlineLevel="0" collapsed="false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</row>
    <row r="362" customFormat="false" ht="15.75" hidden="false" customHeight="false" outlineLevel="0" collapsed="false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</row>
    <row r="363" customFormat="false" ht="15.75" hidden="false" customHeight="false" outlineLevel="0" collapsed="false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</row>
    <row r="364" customFormat="false" ht="15.75" hidden="false" customHeight="false" outlineLevel="0" collapsed="false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</row>
    <row r="365" customFormat="false" ht="15.75" hidden="false" customHeight="false" outlineLevel="0" collapsed="false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</row>
    <row r="366" customFormat="false" ht="15.75" hidden="false" customHeight="false" outlineLevel="0" collapsed="false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</row>
    <row r="367" customFormat="false" ht="15.75" hidden="false" customHeight="false" outlineLevel="0" collapsed="false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</row>
    <row r="368" customFormat="false" ht="15.75" hidden="false" customHeight="false" outlineLevel="0" collapsed="false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</row>
    <row r="369" customFormat="false" ht="15.75" hidden="false" customHeight="false" outlineLevel="0" collapsed="false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</row>
    <row r="370" customFormat="false" ht="15.75" hidden="false" customHeight="false" outlineLevel="0" collapsed="false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</row>
    <row r="371" customFormat="false" ht="15.75" hidden="false" customHeight="false" outlineLevel="0" collapsed="false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</row>
    <row r="372" customFormat="false" ht="15.75" hidden="false" customHeight="false" outlineLevel="0" collapsed="false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</row>
    <row r="373" customFormat="false" ht="15.75" hidden="false" customHeight="false" outlineLevel="0" collapsed="false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</row>
    <row r="374" customFormat="false" ht="15.75" hidden="false" customHeight="false" outlineLevel="0" collapsed="false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</row>
    <row r="375" customFormat="false" ht="15.75" hidden="false" customHeight="false" outlineLevel="0" collapsed="false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</row>
    <row r="376" customFormat="false" ht="15.75" hidden="false" customHeight="false" outlineLevel="0" collapsed="false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</row>
    <row r="377" customFormat="false" ht="15.75" hidden="false" customHeight="false" outlineLevel="0" collapsed="false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</row>
    <row r="378" customFormat="false" ht="15.75" hidden="false" customHeight="false" outlineLevel="0" collapsed="false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</row>
    <row r="379" customFormat="false" ht="15.75" hidden="false" customHeight="false" outlineLevel="0" collapsed="false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</row>
    <row r="380" customFormat="false" ht="15.75" hidden="false" customHeight="false" outlineLevel="0" collapsed="false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</row>
    <row r="381" customFormat="false" ht="15.75" hidden="false" customHeight="false" outlineLevel="0" collapsed="false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</row>
    <row r="382" customFormat="false" ht="15.75" hidden="false" customHeight="false" outlineLevel="0" collapsed="false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</row>
    <row r="383" customFormat="false" ht="15.75" hidden="false" customHeight="false" outlineLevel="0" collapsed="false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</row>
    <row r="384" customFormat="false" ht="15.75" hidden="false" customHeight="false" outlineLevel="0" collapsed="false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</row>
    <row r="385" customFormat="false" ht="15.75" hidden="false" customHeight="false" outlineLevel="0" collapsed="false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</row>
    <row r="386" customFormat="false" ht="15.75" hidden="false" customHeight="false" outlineLevel="0" collapsed="false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</row>
    <row r="387" customFormat="false" ht="15.75" hidden="false" customHeight="false" outlineLevel="0" collapsed="false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</row>
    <row r="388" customFormat="false" ht="15.75" hidden="false" customHeight="false" outlineLevel="0" collapsed="false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</row>
    <row r="389" customFormat="false" ht="15.75" hidden="false" customHeight="false" outlineLevel="0" collapsed="false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</row>
    <row r="390" customFormat="false" ht="15.75" hidden="false" customHeight="false" outlineLevel="0" collapsed="false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</row>
    <row r="391" customFormat="false" ht="15.75" hidden="false" customHeight="false" outlineLevel="0" collapsed="false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</row>
    <row r="392" customFormat="false" ht="15.75" hidden="false" customHeight="false" outlineLevel="0" collapsed="false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</row>
    <row r="393" customFormat="false" ht="15.75" hidden="false" customHeight="false" outlineLevel="0" collapsed="false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</row>
    <row r="394" customFormat="false" ht="15.75" hidden="false" customHeight="false" outlineLevel="0" collapsed="false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</row>
    <row r="395" customFormat="false" ht="15.75" hidden="false" customHeight="false" outlineLevel="0" collapsed="false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</row>
    <row r="396" customFormat="false" ht="15.75" hidden="false" customHeight="false" outlineLevel="0" collapsed="false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</row>
    <row r="397" customFormat="false" ht="15.75" hidden="false" customHeight="false" outlineLevel="0" collapsed="false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</row>
    <row r="398" customFormat="false" ht="15.75" hidden="false" customHeight="false" outlineLevel="0" collapsed="false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</row>
    <row r="399" customFormat="false" ht="15.75" hidden="false" customHeight="false" outlineLevel="0" collapsed="false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</row>
    <row r="400" customFormat="false" ht="15.75" hidden="false" customHeight="false" outlineLevel="0" collapsed="false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</row>
    <row r="401" customFormat="false" ht="15.75" hidden="false" customHeight="false" outlineLevel="0" collapsed="false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</row>
    <row r="402" customFormat="false" ht="15.75" hidden="false" customHeight="false" outlineLevel="0" collapsed="false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</row>
    <row r="403" customFormat="false" ht="15.75" hidden="false" customHeight="false" outlineLevel="0" collapsed="false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</row>
    <row r="404" customFormat="false" ht="15.75" hidden="false" customHeight="false" outlineLevel="0" collapsed="false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</row>
    <row r="405" customFormat="false" ht="15.75" hidden="false" customHeight="false" outlineLevel="0" collapsed="false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</row>
    <row r="406" customFormat="false" ht="15.75" hidden="false" customHeight="false" outlineLevel="0" collapsed="false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</row>
    <row r="407" customFormat="false" ht="15.75" hidden="false" customHeight="false" outlineLevel="0" collapsed="false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</row>
    <row r="408" customFormat="false" ht="15.75" hidden="false" customHeight="false" outlineLevel="0" collapsed="false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</row>
    <row r="409" customFormat="false" ht="15.75" hidden="false" customHeight="false" outlineLevel="0" collapsed="false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</row>
    <row r="410" customFormat="false" ht="15.75" hidden="false" customHeight="false" outlineLevel="0" collapsed="false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</row>
    <row r="411" customFormat="false" ht="15.75" hidden="false" customHeight="false" outlineLevel="0" collapsed="false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</row>
    <row r="412" customFormat="false" ht="15.75" hidden="false" customHeight="false" outlineLevel="0" collapsed="false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</row>
    <row r="413" customFormat="false" ht="15.75" hidden="false" customHeight="false" outlineLevel="0" collapsed="false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</row>
    <row r="414" customFormat="false" ht="15.75" hidden="false" customHeight="false" outlineLevel="0" collapsed="false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</row>
    <row r="415" customFormat="false" ht="15.75" hidden="false" customHeight="false" outlineLevel="0" collapsed="false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</row>
    <row r="416" customFormat="false" ht="15.75" hidden="false" customHeight="false" outlineLevel="0" collapsed="false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</row>
    <row r="417" customFormat="false" ht="15.75" hidden="false" customHeight="false" outlineLevel="0" collapsed="false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</row>
    <row r="418" customFormat="false" ht="15.75" hidden="false" customHeight="false" outlineLevel="0" collapsed="false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</row>
    <row r="419" customFormat="false" ht="15.75" hidden="false" customHeight="false" outlineLevel="0" collapsed="false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</row>
    <row r="420" customFormat="false" ht="15.75" hidden="false" customHeight="false" outlineLevel="0" collapsed="false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</row>
    <row r="421" customFormat="false" ht="15.75" hidden="false" customHeight="false" outlineLevel="0" collapsed="false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</row>
    <row r="422" customFormat="false" ht="15.75" hidden="false" customHeight="false" outlineLevel="0" collapsed="false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</row>
    <row r="423" customFormat="false" ht="15.75" hidden="false" customHeight="false" outlineLevel="0" collapsed="false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</row>
    <row r="424" customFormat="false" ht="15.75" hidden="false" customHeight="false" outlineLevel="0" collapsed="false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</row>
    <row r="425" customFormat="false" ht="15.75" hidden="false" customHeight="false" outlineLevel="0" collapsed="false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</row>
    <row r="426" customFormat="false" ht="15.75" hidden="false" customHeight="false" outlineLevel="0" collapsed="false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</row>
    <row r="427" customFormat="false" ht="15.75" hidden="false" customHeight="false" outlineLevel="0" collapsed="false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</row>
    <row r="428" customFormat="false" ht="15.75" hidden="false" customHeight="false" outlineLevel="0" collapsed="false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</row>
    <row r="429" customFormat="false" ht="15.75" hidden="false" customHeight="false" outlineLevel="0" collapsed="false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</row>
    <row r="430" customFormat="false" ht="15.75" hidden="false" customHeight="false" outlineLevel="0" collapsed="false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</row>
    <row r="431" customFormat="false" ht="15.75" hidden="false" customHeight="false" outlineLevel="0" collapsed="false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</row>
    <row r="432" customFormat="false" ht="15.75" hidden="false" customHeight="false" outlineLevel="0" collapsed="false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</row>
    <row r="433" customFormat="false" ht="15.75" hidden="false" customHeight="false" outlineLevel="0" collapsed="false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</row>
    <row r="434" customFormat="false" ht="15.75" hidden="false" customHeight="false" outlineLevel="0" collapsed="false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</row>
    <row r="435" customFormat="false" ht="15.75" hidden="false" customHeight="false" outlineLevel="0" collapsed="false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</row>
    <row r="436" customFormat="false" ht="15.75" hidden="false" customHeight="false" outlineLevel="0" collapsed="false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</row>
    <row r="437" customFormat="false" ht="15.75" hidden="false" customHeight="false" outlineLevel="0" collapsed="false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</row>
    <row r="438" customFormat="false" ht="15.75" hidden="false" customHeight="false" outlineLevel="0" collapsed="false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</row>
    <row r="439" customFormat="false" ht="15.75" hidden="false" customHeight="false" outlineLevel="0" collapsed="false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</row>
    <row r="440" customFormat="false" ht="15.75" hidden="false" customHeight="false" outlineLevel="0" collapsed="false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</row>
    <row r="441" customFormat="false" ht="15.75" hidden="false" customHeight="false" outlineLevel="0" collapsed="false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</row>
    <row r="442" customFormat="false" ht="15.75" hidden="false" customHeight="false" outlineLevel="0" collapsed="false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</row>
    <row r="443" customFormat="false" ht="15.75" hidden="false" customHeight="false" outlineLevel="0" collapsed="false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</row>
    <row r="444" customFormat="false" ht="15.75" hidden="false" customHeight="false" outlineLevel="0" collapsed="false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</row>
    <row r="445" customFormat="false" ht="15.75" hidden="false" customHeight="false" outlineLevel="0" collapsed="false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</row>
    <row r="446" customFormat="false" ht="15.75" hidden="false" customHeight="false" outlineLevel="0" collapsed="false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</row>
    <row r="447" customFormat="false" ht="15.75" hidden="false" customHeight="false" outlineLevel="0" collapsed="false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</row>
    <row r="448" customFormat="false" ht="15.75" hidden="false" customHeight="false" outlineLevel="0" collapsed="false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</row>
    <row r="449" customFormat="false" ht="15.75" hidden="false" customHeight="false" outlineLevel="0" collapsed="false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</row>
    <row r="450" customFormat="false" ht="15.75" hidden="false" customHeight="false" outlineLevel="0" collapsed="false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</row>
    <row r="451" customFormat="false" ht="15.75" hidden="false" customHeight="false" outlineLevel="0" collapsed="false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</row>
    <row r="452" customFormat="false" ht="15.75" hidden="false" customHeight="false" outlineLevel="0" collapsed="false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</row>
    <row r="453" customFormat="false" ht="15.75" hidden="false" customHeight="false" outlineLevel="0" collapsed="false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</row>
    <row r="454" customFormat="false" ht="15.75" hidden="false" customHeight="false" outlineLevel="0" collapsed="false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</row>
    <row r="455" customFormat="false" ht="15.75" hidden="false" customHeight="false" outlineLevel="0" collapsed="false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</row>
    <row r="456" customFormat="false" ht="15.75" hidden="false" customHeight="false" outlineLevel="0" collapsed="false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</row>
    <row r="457" customFormat="false" ht="15.75" hidden="false" customHeight="false" outlineLevel="0" collapsed="false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</row>
    <row r="458" customFormat="false" ht="15.75" hidden="false" customHeight="false" outlineLevel="0" collapsed="false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</row>
    <row r="459" customFormat="false" ht="15.75" hidden="false" customHeight="false" outlineLevel="0" collapsed="false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</row>
    <row r="460" customFormat="false" ht="15.75" hidden="false" customHeight="false" outlineLevel="0" collapsed="false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</row>
    <row r="461" customFormat="false" ht="15.75" hidden="false" customHeight="false" outlineLevel="0" collapsed="false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</row>
    <row r="462" customFormat="false" ht="15.75" hidden="false" customHeight="false" outlineLevel="0" collapsed="false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</row>
    <row r="463" customFormat="false" ht="15.75" hidden="false" customHeight="false" outlineLevel="0" collapsed="false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</row>
    <row r="464" customFormat="false" ht="15.75" hidden="false" customHeight="false" outlineLevel="0" collapsed="false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</row>
    <row r="465" customFormat="false" ht="15.75" hidden="false" customHeight="false" outlineLevel="0" collapsed="false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</row>
    <row r="466" customFormat="false" ht="15.75" hidden="false" customHeight="false" outlineLevel="0" collapsed="false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</row>
    <row r="467" customFormat="false" ht="15.75" hidden="false" customHeight="false" outlineLevel="0" collapsed="false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</row>
    <row r="468" customFormat="false" ht="15.75" hidden="false" customHeight="false" outlineLevel="0" collapsed="false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</row>
    <row r="469" customFormat="false" ht="15.75" hidden="false" customHeight="false" outlineLevel="0" collapsed="false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</row>
    <row r="470" customFormat="false" ht="15.75" hidden="false" customHeight="false" outlineLevel="0" collapsed="false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</row>
    <row r="471" customFormat="false" ht="15.75" hidden="false" customHeight="false" outlineLevel="0" collapsed="false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</row>
    <row r="472" customFormat="false" ht="15.75" hidden="false" customHeight="false" outlineLevel="0" collapsed="false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</row>
    <row r="473" customFormat="false" ht="15.75" hidden="false" customHeight="false" outlineLevel="0" collapsed="false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</row>
    <row r="474" customFormat="false" ht="15.75" hidden="false" customHeight="false" outlineLevel="0" collapsed="false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</row>
    <row r="475" customFormat="false" ht="15.75" hidden="false" customHeight="false" outlineLevel="0" collapsed="false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</row>
    <row r="476" customFormat="false" ht="15.75" hidden="false" customHeight="false" outlineLevel="0" collapsed="false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</row>
    <row r="477" customFormat="false" ht="15.75" hidden="false" customHeight="false" outlineLevel="0" collapsed="false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</row>
    <row r="478" customFormat="false" ht="15.75" hidden="false" customHeight="false" outlineLevel="0" collapsed="false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</row>
    <row r="479" customFormat="false" ht="15.75" hidden="false" customHeight="false" outlineLevel="0" collapsed="false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</row>
    <row r="480" customFormat="false" ht="15.75" hidden="false" customHeight="false" outlineLevel="0" collapsed="false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</row>
    <row r="481" customFormat="false" ht="15.75" hidden="false" customHeight="false" outlineLevel="0" collapsed="false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</row>
    <row r="482" customFormat="false" ht="15.75" hidden="false" customHeight="false" outlineLevel="0" collapsed="false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</row>
    <row r="483" customFormat="false" ht="15.75" hidden="false" customHeight="false" outlineLevel="0" collapsed="false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</row>
    <row r="484" customFormat="false" ht="15.75" hidden="false" customHeight="false" outlineLevel="0" collapsed="false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</row>
    <row r="485" customFormat="false" ht="15.75" hidden="false" customHeight="false" outlineLevel="0" collapsed="false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</row>
    <row r="486" customFormat="false" ht="15.75" hidden="false" customHeight="false" outlineLevel="0" collapsed="false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</row>
    <row r="487" customFormat="false" ht="15.75" hidden="false" customHeight="false" outlineLevel="0" collapsed="false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</row>
    <row r="488" customFormat="false" ht="15.75" hidden="false" customHeight="false" outlineLevel="0" collapsed="false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</row>
    <row r="489" customFormat="false" ht="15.75" hidden="false" customHeight="false" outlineLevel="0" collapsed="false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</row>
    <row r="490" customFormat="false" ht="15.75" hidden="false" customHeight="false" outlineLevel="0" collapsed="false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</row>
    <row r="491" customFormat="false" ht="15.75" hidden="false" customHeight="false" outlineLevel="0" collapsed="false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</row>
    <row r="492" customFormat="false" ht="15.75" hidden="false" customHeight="false" outlineLevel="0" collapsed="false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</row>
    <row r="493" customFormat="false" ht="15.75" hidden="false" customHeight="false" outlineLevel="0" collapsed="false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</row>
    <row r="494" customFormat="false" ht="15.75" hidden="false" customHeight="false" outlineLevel="0" collapsed="false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</row>
    <row r="495" customFormat="false" ht="15.75" hidden="false" customHeight="false" outlineLevel="0" collapsed="false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</row>
    <row r="496" customFormat="false" ht="15.75" hidden="false" customHeight="false" outlineLevel="0" collapsed="false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</row>
    <row r="497" customFormat="false" ht="15.75" hidden="false" customHeight="false" outlineLevel="0" collapsed="false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</row>
    <row r="498" customFormat="false" ht="15.75" hidden="false" customHeight="false" outlineLevel="0" collapsed="false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</row>
    <row r="499" customFormat="false" ht="15.75" hidden="false" customHeight="false" outlineLevel="0" collapsed="false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</row>
    <row r="500" customFormat="false" ht="15.75" hidden="false" customHeight="false" outlineLevel="0" collapsed="false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</row>
    <row r="501" customFormat="false" ht="15.75" hidden="false" customHeight="false" outlineLevel="0" collapsed="false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</row>
    <row r="502" customFormat="false" ht="15.75" hidden="false" customHeight="false" outlineLevel="0" collapsed="false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</row>
    <row r="503" customFormat="false" ht="15.75" hidden="false" customHeight="false" outlineLevel="0" collapsed="false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</row>
    <row r="504" customFormat="false" ht="15.75" hidden="false" customHeight="false" outlineLevel="0" collapsed="false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</row>
    <row r="505" customFormat="false" ht="15.75" hidden="false" customHeight="false" outlineLevel="0" collapsed="false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</row>
    <row r="506" customFormat="false" ht="15.75" hidden="false" customHeight="false" outlineLevel="0" collapsed="false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</row>
    <row r="507" customFormat="false" ht="15.75" hidden="false" customHeight="false" outlineLevel="0" collapsed="false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</row>
    <row r="508" customFormat="false" ht="15.75" hidden="false" customHeight="false" outlineLevel="0" collapsed="false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</row>
    <row r="509" customFormat="false" ht="15.75" hidden="false" customHeight="false" outlineLevel="0" collapsed="false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</row>
    <row r="510" customFormat="false" ht="15.75" hidden="false" customHeight="false" outlineLevel="0" collapsed="false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</row>
    <row r="511" customFormat="false" ht="15.75" hidden="false" customHeight="false" outlineLevel="0" collapsed="false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</row>
    <row r="512" customFormat="false" ht="15.75" hidden="false" customHeight="false" outlineLevel="0" collapsed="false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</row>
    <row r="513" customFormat="false" ht="15.75" hidden="false" customHeight="false" outlineLevel="0" collapsed="false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</row>
    <row r="514" customFormat="false" ht="15.75" hidden="false" customHeight="false" outlineLevel="0" collapsed="false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</row>
    <row r="515" customFormat="false" ht="15.75" hidden="false" customHeight="false" outlineLevel="0" collapsed="false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</row>
    <row r="516" customFormat="false" ht="15.75" hidden="false" customHeight="false" outlineLevel="0" collapsed="false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</row>
    <row r="517" customFormat="false" ht="15.75" hidden="false" customHeight="false" outlineLevel="0" collapsed="false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</row>
    <row r="518" customFormat="false" ht="15.75" hidden="false" customHeight="false" outlineLevel="0" collapsed="false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</row>
    <row r="519" customFormat="false" ht="15.75" hidden="false" customHeight="false" outlineLevel="0" collapsed="false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</row>
    <row r="520" customFormat="false" ht="15.75" hidden="false" customHeight="false" outlineLevel="0" collapsed="false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</row>
    <row r="521" customFormat="false" ht="15.75" hidden="false" customHeight="false" outlineLevel="0" collapsed="false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</row>
    <row r="522" customFormat="false" ht="15.75" hidden="false" customHeight="false" outlineLevel="0" collapsed="false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</row>
    <row r="523" customFormat="false" ht="15.75" hidden="false" customHeight="false" outlineLevel="0" collapsed="false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</row>
    <row r="524" customFormat="false" ht="15.75" hidden="false" customHeight="false" outlineLevel="0" collapsed="false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</row>
    <row r="525" customFormat="false" ht="15.75" hidden="false" customHeight="false" outlineLevel="0" collapsed="false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</row>
    <row r="526" customFormat="false" ht="15.75" hidden="false" customHeight="false" outlineLevel="0" collapsed="false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</row>
    <row r="527" customFormat="false" ht="15.75" hidden="false" customHeight="false" outlineLevel="0" collapsed="false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</row>
    <row r="528" customFormat="false" ht="15.75" hidden="false" customHeight="false" outlineLevel="0" collapsed="false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</row>
    <row r="529" customFormat="false" ht="15.75" hidden="false" customHeight="false" outlineLevel="0" collapsed="false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</row>
    <row r="530" customFormat="false" ht="15.75" hidden="false" customHeight="false" outlineLevel="0" collapsed="false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</row>
    <row r="531" customFormat="false" ht="15.75" hidden="false" customHeight="false" outlineLevel="0" collapsed="false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</row>
    <row r="532" customFormat="false" ht="15.75" hidden="false" customHeight="false" outlineLevel="0" collapsed="false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</row>
    <row r="533" customFormat="false" ht="15.75" hidden="false" customHeight="false" outlineLevel="0" collapsed="false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</row>
    <row r="534" customFormat="false" ht="15.75" hidden="false" customHeight="false" outlineLevel="0" collapsed="false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</row>
    <row r="535" customFormat="false" ht="15.75" hidden="false" customHeight="false" outlineLevel="0" collapsed="false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</row>
    <row r="536" customFormat="false" ht="15.75" hidden="false" customHeight="false" outlineLevel="0" collapsed="false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</row>
    <row r="537" customFormat="false" ht="15.75" hidden="false" customHeight="false" outlineLevel="0" collapsed="false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</row>
    <row r="538" customFormat="false" ht="15.75" hidden="false" customHeight="false" outlineLevel="0" collapsed="false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</row>
    <row r="539" customFormat="false" ht="15.75" hidden="false" customHeight="false" outlineLevel="0" collapsed="false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</row>
    <row r="540" customFormat="false" ht="15.75" hidden="false" customHeight="false" outlineLevel="0" collapsed="false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</row>
    <row r="541" customFormat="false" ht="15.75" hidden="false" customHeight="false" outlineLevel="0" collapsed="false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</row>
    <row r="542" customFormat="false" ht="15.75" hidden="false" customHeight="false" outlineLevel="0" collapsed="false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</row>
    <row r="543" customFormat="false" ht="15.75" hidden="false" customHeight="false" outlineLevel="0" collapsed="false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</row>
    <row r="544" customFormat="false" ht="15.75" hidden="false" customHeight="false" outlineLevel="0" collapsed="false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</row>
    <row r="545" customFormat="false" ht="15.75" hidden="false" customHeight="false" outlineLevel="0" collapsed="false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</row>
    <row r="546" customFormat="false" ht="15.75" hidden="false" customHeight="false" outlineLevel="0" collapsed="false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</row>
    <row r="547" customFormat="false" ht="15.75" hidden="false" customHeight="false" outlineLevel="0" collapsed="false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</row>
    <row r="548" customFormat="false" ht="15.75" hidden="false" customHeight="false" outlineLevel="0" collapsed="false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</row>
    <row r="549" customFormat="false" ht="15.75" hidden="false" customHeight="false" outlineLevel="0" collapsed="false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</row>
    <row r="550" customFormat="false" ht="15.75" hidden="false" customHeight="false" outlineLevel="0" collapsed="false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</row>
    <row r="551" customFormat="false" ht="15.75" hidden="false" customHeight="false" outlineLevel="0" collapsed="false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</row>
    <row r="552" customFormat="false" ht="15.75" hidden="false" customHeight="false" outlineLevel="0" collapsed="false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</row>
    <row r="553" customFormat="false" ht="15.75" hidden="false" customHeight="false" outlineLevel="0" collapsed="false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</row>
    <row r="554" customFormat="false" ht="15.75" hidden="false" customHeight="false" outlineLevel="0" collapsed="false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</row>
    <row r="555" customFormat="false" ht="15.75" hidden="false" customHeight="false" outlineLevel="0" collapsed="false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</row>
    <row r="556" customFormat="false" ht="15.75" hidden="false" customHeight="false" outlineLevel="0" collapsed="false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</row>
    <row r="557" customFormat="false" ht="15.75" hidden="false" customHeight="false" outlineLevel="0" collapsed="false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</row>
    <row r="558" customFormat="false" ht="15.75" hidden="false" customHeight="false" outlineLevel="0" collapsed="false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</row>
    <row r="559" customFormat="false" ht="15.75" hidden="false" customHeight="false" outlineLevel="0" collapsed="false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</row>
    <row r="560" customFormat="false" ht="15.75" hidden="false" customHeight="false" outlineLevel="0" collapsed="false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</row>
    <row r="561" customFormat="false" ht="15.75" hidden="false" customHeight="false" outlineLevel="0" collapsed="false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</row>
    <row r="562" customFormat="false" ht="15.75" hidden="false" customHeight="false" outlineLevel="0" collapsed="false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</row>
    <row r="563" customFormat="false" ht="15.75" hidden="false" customHeight="false" outlineLevel="0" collapsed="false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</row>
    <row r="564" customFormat="false" ht="15.75" hidden="false" customHeight="false" outlineLevel="0" collapsed="false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</row>
    <row r="565" customFormat="false" ht="15.75" hidden="false" customHeight="false" outlineLevel="0" collapsed="false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</row>
    <row r="566" customFormat="false" ht="15.75" hidden="false" customHeight="false" outlineLevel="0" collapsed="false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</row>
    <row r="567" customFormat="false" ht="15.75" hidden="false" customHeight="false" outlineLevel="0" collapsed="false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</row>
    <row r="568" customFormat="false" ht="15.75" hidden="false" customHeight="false" outlineLevel="0" collapsed="false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</row>
    <row r="569" customFormat="false" ht="15.75" hidden="false" customHeight="false" outlineLevel="0" collapsed="false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</row>
    <row r="570" customFormat="false" ht="15.75" hidden="false" customHeight="false" outlineLevel="0" collapsed="false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</row>
    <row r="571" customFormat="false" ht="15.75" hidden="false" customHeight="false" outlineLevel="0" collapsed="false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</row>
    <row r="572" customFormat="false" ht="15.75" hidden="false" customHeight="false" outlineLevel="0" collapsed="false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</row>
    <row r="573" customFormat="false" ht="15.75" hidden="false" customHeight="false" outlineLevel="0" collapsed="false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</row>
    <row r="574" customFormat="false" ht="15.75" hidden="false" customHeight="false" outlineLevel="0" collapsed="false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</row>
    <row r="575" customFormat="false" ht="15.75" hidden="false" customHeight="false" outlineLevel="0" collapsed="false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</row>
    <row r="576" customFormat="false" ht="15.75" hidden="false" customHeight="false" outlineLevel="0" collapsed="false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</row>
    <row r="577" customFormat="false" ht="15.75" hidden="false" customHeight="false" outlineLevel="0" collapsed="false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</row>
    <row r="578" customFormat="false" ht="15.75" hidden="false" customHeight="false" outlineLevel="0" collapsed="false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</row>
    <row r="579" customFormat="false" ht="15.75" hidden="false" customHeight="false" outlineLevel="0" collapsed="false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</row>
    <row r="580" customFormat="false" ht="15.75" hidden="false" customHeight="false" outlineLevel="0" collapsed="false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</row>
    <row r="581" customFormat="false" ht="15.75" hidden="false" customHeight="false" outlineLevel="0" collapsed="false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</row>
    <row r="582" customFormat="false" ht="15.75" hidden="false" customHeight="false" outlineLevel="0" collapsed="false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</row>
    <row r="583" customFormat="false" ht="15.75" hidden="false" customHeight="false" outlineLevel="0" collapsed="false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</row>
    <row r="584" customFormat="false" ht="15.75" hidden="false" customHeight="false" outlineLevel="0" collapsed="false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</row>
    <row r="585" customFormat="false" ht="15.75" hidden="false" customHeight="false" outlineLevel="0" collapsed="false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</row>
    <row r="586" customFormat="false" ht="15.75" hidden="false" customHeight="false" outlineLevel="0" collapsed="false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</row>
    <row r="587" customFormat="false" ht="15.75" hidden="false" customHeight="false" outlineLevel="0" collapsed="false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</row>
    <row r="588" customFormat="false" ht="15.75" hidden="false" customHeight="false" outlineLevel="0" collapsed="false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</row>
    <row r="589" customFormat="false" ht="15.75" hidden="false" customHeight="false" outlineLevel="0" collapsed="false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</row>
    <row r="590" customFormat="false" ht="15.75" hidden="false" customHeight="false" outlineLevel="0" collapsed="false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</row>
    <row r="591" customFormat="false" ht="15.75" hidden="false" customHeight="false" outlineLevel="0" collapsed="false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</row>
    <row r="592" customFormat="false" ht="15.75" hidden="false" customHeight="false" outlineLevel="0" collapsed="false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</row>
    <row r="593" customFormat="false" ht="15.75" hidden="false" customHeight="false" outlineLevel="0" collapsed="false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</row>
    <row r="594" customFormat="false" ht="15.75" hidden="false" customHeight="false" outlineLevel="0" collapsed="false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</row>
    <row r="595" customFormat="false" ht="15.75" hidden="false" customHeight="false" outlineLevel="0" collapsed="false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</row>
    <row r="596" customFormat="false" ht="15.75" hidden="false" customHeight="false" outlineLevel="0" collapsed="false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</row>
    <row r="597" customFormat="false" ht="15.75" hidden="false" customHeight="false" outlineLevel="0" collapsed="false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</row>
    <row r="598" customFormat="false" ht="15.75" hidden="false" customHeight="false" outlineLevel="0" collapsed="false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</row>
    <row r="599" customFormat="false" ht="15.75" hidden="false" customHeight="false" outlineLevel="0" collapsed="false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</row>
    <row r="600" customFormat="false" ht="15.75" hidden="false" customHeight="false" outlineLevel="0" collapsed="false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</row>
    <row r="601" customFormat="false" ht="15.75" hidden="false" customHeight="false" outlineLevel="0" collapsed="false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</row>
    <row r="602" customFormat="false" ht="15.75" hidden="false" customHeight="false" outlineLevel="0" collapsed="false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</row>
    <row r="603" customFormat="false" ht="15.75" hidden="false" customHeight="false" outlineLevel="0" collapsed="false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</row>
    <row r="604" customFormat="false" ht="15.75" hidden="false" customHeight="false" outlineLevel="0" collapsed="false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</row>
    <row r="605" customFormat="false" ht="15.75" hidden="false" customHeight="false" outlineLevel="0" collapsed="false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</row>
    <row r="606" customFormat="false" ht="15.75" hidden="false" customHeight="false" outlineLevel="0" collapsed="false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</row>
    <row r="607" customFormat="false" ht="15.75" hidden="false" customHeight="false" outlineLevel="0" collapsed="false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</row>
    <row r="608" customFormat="false" ht="15.75" hidden="false" customHeight="false" outlineLevel="0" collapsed="false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</row>
    <row r="609" customFormat="false" ht="15.75" hidden="false" customHeight="false" outlineLevel="0" collapsed="false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</row>
    <row r="610" customFormat="false" ht="15.75" hidden="false" customHeight="false" outlineLevel="0" collapsed="false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</row>
    <row r="611" customFormat="false" ht="15.75" hidden="false" customHeight="false" outlineLevel="0" collapsed="false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</row>
    <row r="612" customFormat="false" ht="15.75" hidden="false" customHeight="false" outlineLevel="0" collapsed="false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</row>
    <row r="613" customFormat="false" ht="15.75" hidden="false" customHeight="false" outlineLevel="0" collapsed="false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</row>
    <row r="614" customFormat="false" ht="15.75" hidden="false" customHeight="false" outlineLevel="0" collapsed="false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</row>
    <row r="615" customFormat="false" ht="15.75" hidden="false" customHeight="false" outlineLevel="0" collapsed="false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</row>
    <row r="616" customFormat="false" ht="15.75" hidden="false" customHeight="false" outlineLevel="0" collapsed="false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</row>
    <row r="617" customFormat="false" ht="15.75" hidden="false" customHeight="false" outlineLevel="0" collapsed="false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</row>
    <row r="618" customFormat="false" ht="15.75" hidden="false" customHeight="false" outlineLevel="0" collapsed="false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</row>
    <row r="619" customFormat="false" ht="15.75" hidden="false" customHeight="false" outlineLevel="0" collapsed="false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</row>
    <row r="620" customFormat="false" ht="15.75" hidden="false" customHeight="false" outlineLevel="0" collapsed="false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</row>
    <row r="621" customFormat="false" ht="15.75" hidden="false" customHeight="false" outlineLevel="0" collapsed="false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</row>
    <row r="622" customFormat="false" ht="15.75" hidden="false" customHeight="false" outlineLevel="0" collapsed="false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</row>
    <row r="623" customFormat="false" ht="15.75" hidden="false" customHeight="false" outlineLevel="0" collapsed="false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</row>
    <row r="624" customFormat="false" ht="15.75" hidden="false" customHeight="false" outlineLevel="0" collapsed="false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</row>
    <row r="625" customFormat="false" ht="15.75" hidden="false" customHeight="false" outlineLevel="0" collapsed="false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</row>
    <row r="626" customFormat="false" ht="15.75" hidden="false" customHeight="false" outlineLevel="0" collapsed="false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</row>
    <row r="627" customFormat="false" ht="15.75" hidden="false" customHeight="false" outlineLevel="0" collapsed="false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</row>
    <row r="628" customFormat="false" ht="15.75" hidden="false" customHeight="false" outlineLevel="0" collapsed="false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</row>
    <row r="629" customFormat="false" ht="15.75" hidden="false" customHeight="false" outlineLevel="0" collapsed="false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</row>
    <row r="630" customFormat="false" ht="15.75" hidden="false" customHeight="false" outlineLevel="0" collapsed="false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</row>
    <row r="631" customFormat="false" ht="15.75" hidden="false" customHeight="false" outlineLevel="0" collapsed="false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</row>
    <row r="632" customFormat="false" ht="15.75" hidden="false" customHeight="false" outlineLevel="0" collapsed="false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</row>
    <row r="633" customFormat="false" ht="15.75" hidden="false" customHeight="false" outlineLevel="0" collapsed="false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</row>
    <row r="634" customFormat="false" ht="15.75" hidden="false" customHeight="false" outlineLevel="0" collapsed="false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</row>
    <row r="635" customFormat="false" ht="15.75" hidden="false" customHeight="false" outlineLevel="0" collapsed="false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</row>
    <row r="636" customFormat="false" ht="15.75" hidden="false" customHeight="false" outlineLevel="0" collapsed="false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</row>
    <row r="637" customFormat="false" ht="15.75" hidden="false" customHeight="false" outlineLevel="0" collapsed="false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</row>
    <row r="638" customFormat="false" ht="15.75" hidden="false" customHeight="false" outlineLevel="0" collapsed="false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</row>
    <row r="639" customFormat="false" ht="15.75" hidden="false" customHeight="false" outlineLevel="0" collapsed="false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</row>
    <row r="640" customFormat="false" ht="15.75" hidden="false" customHeight="false" outlineLevel="0" collapsed="false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</row>
    <row r="641" customFormat="false" ht="15.75" hidden="false" customHeight="false" outlineLevel="0" collapsed="false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</row>
    <row r="642" customFormat="false" ht="15.75" hidden="false" customHeight="false" outlineLevel="0" collapsed="false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</row>
    <row r="643" customFormat="false" ht="15.75" hidden="false" customHeight="false" outlineLevel="0" collapsed="false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</row>
    <row r="644" customFormat="false" ht="15.75" hidden="false" customHeight="false" outlineLevel="0" collapsed="false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</row>
    <row r="645" customFormat="false" ht="15.75" hidden="false" customHeight="false" outlineLevel="0" collapsed="false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</row>
    <row r="646" customFormat="false" ht="15.75" hidden="false" customHeight="false" outlineLevel="0" collapsed="false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</row>
    <row r="647" customFormat="false" ht="15.75" hidden="false" customHeight="false" outlineLevel="0" collapsed="false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</row>
    <row r="648" customFormat="false" ht="15.75" hidden="false" customHeight="false" outlineLevel="0" collapsed="false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</row>
    <row r="649" customFormat="false" ht="15.75" hidden="false" customHeight="false" outlineLevel="0" collapsed="false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</row>
    <row r="650" customFormat="false" ht="15.75" hidden="false" customHeight="false" outlineLevel="0" collapsed="false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</row>
    <row r="651" customFormat="false" ht="15.75" hidden="false" customHeight="false" outlineLevel="0" collapsed="false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</row>
    <row r="652" customFormat="false" ht="15.75" hidden="false" customHeight="false" outlineLevel="0" collapsed="false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</row>
    <row r="653" customFormat="false" ht="15.75" hidden="false" customHeight="false" outlineLevel="0" collapsed="false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</row>
    <row r="654" customFormat="false" ht="15.75" hidden="false" customHeight="false" outlineLevel="0" collapsed="false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</row>
    <row r="655" customFormat="false" ht="15.75" hidden="false" customHeight="false" outlineLevel="0" collapsed="false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</row>
    <row r="656" customFormat="false" ht="15.75" hidden="false" customHeight="false" outlineLevel="0" collapsed="false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</row>
    <row r="657" customFormat="false" ht="15.75" hidden="false" customHeight="false" outlineLevel="0" collapsed="false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</row>
    <row r="658" customFormat="false" ht="15.75" hidden="false" customHeight="false" outlineLevel="0" collapsed="false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</row>
    <row r="659" customFormat="false" ht="15.75" hidden="false" customHeight="false" outlineLevel="0" collapsed="false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</row>
    <row r="660" customFormat="false" ht="15.75" hidden="false" customHeight="false" outlineLevel="0" collapsed="false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</row>
    <row r="661" customFormat="false" ht="15.75" hidden="false" customHeight="false" outlineLevel="0" collapsed="false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</row>
    <row r="662" customFormat="false" ht="15.75" hidden="false" customHeight="false" outlineLevel="0" collapsed="false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</row>
    <row r="663" customFormat="false" ht="15.75" hidden="false" customHeight="false" outlineLevel="0" collapsed="false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</row>
    <row r="664" customFormat="false" ht="15.75" hidden="false" customHeight="false" outlineLevel="0" collapsed="false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</row>
    <row r="665" customFormat="false" ht="15.75" hidden="false" customHeight="false" outlineLevel="0" collapsed="false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</row>
    <row r="666" customFormat="false" ht="15.75" hidden="false" customHeight="false" outlineLevel="0" collapsed="false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</row>
    <row r="667" customFormat="false" ht="15.75" hidden="false" customHeight="false" outlineLevel="0" collapsed="false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</row>
    <row r="668" customFormat="false" ht="15.75" hidden="false" customHeight="false" outlineLevel="0" collapsed="false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</row>
    <row r="669" customFormat="false" ht="15.75" hidden="false" customHeight="false" outlineLevel="0" collapsed="false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</row>
    <row r="670" customFormat="false" ht="15.75" hidden="false" customHeight="false" outlineLevel="0" collapsed="false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</row>
    <row r="671" customFormat="false" ht="15.75" hidden="false" customHeight="false" outlineLevel="0" collapsed="false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</row>
    <row r="672" customFormat="false" ht="15.75" hidden="false" customHeight="false" outlineLevel="0" collapsed="false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</row>
    <row r="673" customFormat="false" ht="15.75" hidden="false" customHeight="false" outlineLevel="0" collapsed="false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</row>
    <row r="674" customFormat="false" ht="15.75" hidden="false" customHeight="false" outlineLevel="0" collapsed="false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</row>
    <row r="675" customFormat="false" ht="15.75" hidden="false" customHeight="false" outlineLevel="0" collapsed="false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</row>
    <row r="676" customFormat="false" ht="15.75" hidden="false" customHeight="false" outlineLevel="0" collapsed="false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</row>
    <row r="677" customFormat="false" ht="15.75" hidden="false" customHeight="false" outlineLevel="0" collapsed="false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</row>
    <row r="678" customFormat="false" ht="15.75" hidden="false" customHeight="false" outlineLevel="0" collapsed="false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</row>
    <row r="679" customFormat="false" ht="15.75" hidden="false" customHeight="false" outlineLevel="0" collapsed="false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</row>
    <row r="680" customFormat="false" ht="15.75" hidden="false" customHeight="false" outlineLevel="0" collapsed="false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</row>
    <row r="681" customFormat="false" ht="15.75" hidden="false" customHeight="false" outlineLevel="0" collapsed="false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</row>
    <row r="682" customFormat="false" ht="15.75" hidden="false" customHeight="false" outlineLevel="0" collapsed="false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</row>
    <row r="683" customFormat="false" ht="15.75" hidden="false" customHeight="false" outlineLevel="0" collapsed="false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</row>
    <row r="684" customFormat="false" ht="15.75" hidden="false" customHeight="false" outlineLevel="0" collapsed="false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</row>
    <row r="685" customFormat="false" ht="15.75" hidden="false" customHeight="false" outlineLevel="0" collapsed="false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</row>
    <row r="686" customFormat="false" ht="15.75" hidden="false" customHeight="false" outlineLevel="0" collapsed="false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</row>
    <row r="687" customFormat="false" ht="15.75" hidden="false" customHeight="false" outlineLevel="0" collapsed="false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</row>
    <row r="688" customFormat="false" ht="15.75" hidden="false" customHeight="false" outlineLevel="0" collapsed="false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</row>
    <row r="689" customFormat="false" ht="15.75" hidden="false" customHeight="false" outlineLevel="0" collapsed="false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</row>
    <row r="690" customFormat="false" ht="15.75" hidden="false" customHeight="false" outlineLevel="0" collapsed="false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</row>
    <row r="691" customFormat="false" ht="15.75" hidden="false" customHeight="false" outlineLevel="0" collapsed="false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</row>
    <row r="692" customFormat="false" ht="15.75" hidden="false" customHeight="false" outlineLevel="0" collapsed="false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</row>
    <row r="693" customFormat="false" ht="15.75" hidden="false" customHeight="false" outlineLevel="0" collapsed="false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</row>
    <row r="694" customFormat="false" ht="15.75" hidden="false" customHeight="false" outlineLevel="0" collapsed="false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</row>
    <row r="695" customFormat="false" ht="15.75" hidden="false" customHeight="false" outlineLevel="0" collapsed="false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</row>
    <row r="696" customFormat="false" ht="15.75" hidden="false" customHeight="false" outlineLevel="0" collapsed="false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</row>
    <row r="697" customFormat="false" ht="15.75" hidden="false" customHeight="false" outlineLevel="0" collapsed="false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</row>
    <row r="698" customFormat="false" ht="15.75" hidden="false" customHeight="false" outlineLevel="0" collapsed="false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</row>
    <row r="699" customFormat="false" ht="15.75" hidden="false" customHeight="false" outlineLevel="0" collapsed="false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</row>
    <row r="700" customFormat="false" ht="15.75" hidden="false" customHeight="false" outlineLevel="0" collapsed="false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</row>
    <row r="701" customFormat="false" ht="15.75" hidden="false" customHeight="false" outlineLevel="0" collapsed="false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</row>
    <row r="702" customFormat="false" ht="15.75" hidden="false" customHeight="false" outlineLevel="0" collapsed="false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</row>
    <row r="703" customFormat="false" ht="15.75" hidden="false" customHeight="false" outlineLevel="0" collapsed="false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</row>
    <row r="704" customFormat="false" ht="15.75" hidden="false" customHeight="false" outlineLevel="0" collapsed="false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</row>
    <row r="705" customFormat="false" ht="15.75" hidden="false" customHeight="false" outlineLevel="0" collapsed="false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</row>
    <row r="706" customFormat="false" ht="15.75" hidden="false" customHeight="false" outlineLevel="0" collapsed="false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</row>
    <row r="707" customFormat="false" ht="15.75" hidden="false" customHeight="false" outlineLevel="0" collapsed="false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</row>
    <row r="708" customFormat="false" ht="15.75" hidden="false" customHeight="false" outlineLevel="0" collapsed="false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</row>
    <row r="709" customFormat="false" ht="15.75" hidden="false" customHeight="false" outlineLevel="0" collapsed="false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</row>
    <row r="710" customFormat="false" ht="15.75" hidden="false" customHeight="false" outlineLevel="0" collapsed="false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</row>
    <row r="711" customFormat="false" ht="15.75" hidden="false" customHeight="false" outlineLevel="0" collapsed="false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</row>
    <row r="712" customFormat="false" ht="15.75" hidden="false" customHeight="false" outlineLevel="0" collapsed="false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</row>
    <row r="713" customFormat="false" ht="15.75" hidden="false" customHeight="false" outlineLevel="0" collapsed="false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</row>
    <row r="714" customFormat="false" ht="15.75" hidden="false" customHeight="false" outlineLevel="0" collapsed="false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</row>
    <row r="715" customFormat="false" ht="15.75" hidden="false" customHeight="false" outlineLevel="0" collapsed="false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</row>
    <row r="716" customFormat="false" ht="15.75" hidden="false" customHeight="false" outlineLevel="0" collapsed="false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</row>
    <row r="717" customFormat="false" ht="15.75" hidden="false" customHeight="false" outlineLevel="0" collapsed="false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</row>
    <row r="718" customFormat="false" ht="15.75" hidden="false" customHeight="false" outlineLevel="0" collapsed="false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</row>
    <row r="719" customFormat="false" ht="15.75" hidden="false" customHeight="false" outlineLevel="0" collapsed="false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</row>
    <row r="720" customFormat="false" ht="15.75" hidden="false" customHeight="false" outlineLevel="0" collapsed="false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</row>
    <row r="721" customFormat="false" ht="15.75" hidden="false" customHeight="false" outlineLevel="0" collapsed="false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</row>
    <row r="722" customFormat="false" ht="15.75" hidden="false" customHeight="false" outlineLevel="0" collapsed="false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</row>
    <row r="723" customFormat="false" ht="15.75" hidden="false" customHeight="false" outlineLevel="0" collapsed="false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</row>
    <row r="724" customFormat="false" ht="15.75" hidden="false" customHeight="false" outlineLevel="0" collapsed="false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</row>
    <row r="725" customFormat="false" ht="15.75" hidden="false" customHeight="false" outlineLevel="0" collapsed="false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</row>
    <row r="726" customFormat="false" ht="15.75" hidden="false" customHeight="false" outlineLevel="0" collapsed="false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</row>
    <row r="727" customFormat="false" ht="15.75" hidden="false" customHeight="false" outlineLevel="0" collapsed="false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</row>
    <row r="728" customFormat="false" ht="15.75" hidden="false" customHeight="false" outlineLevel="0" collapsed="false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</row>
    <row r="729" customFormat="false" ht="15.75" hidden="false" customHeight="false" outlineLevel="0" collapsed="false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</row>
    <row r="730" customFormat="false" ht="15.75" hidden="false" customHeight="false" outlineLevel="0" collapsed="false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</row>
    <row r="731" customFormat="false" ht="15.75" hidden="false" customHeight="false" outlineLevel="0" collapsed="false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</row>
    <row r="732" customFormat="false" ht="15.75" hidden="false" customHeight="false" outlineLevel="0" collapsed="false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</row>
    <row r="733" customFormat="false" ht="15.75" hidden="false" customHeight="false" outlineLevel="0" collapsed="false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</row>
    <row r="734" customFormat="false" ht="15.75" hidden="false" customHeight="false" outlineLevel="0" collapsed="false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</row>
    <row r="735" customFormat="false" ht="15.75" hidden="false" customHeight="false" outlineLevel="0" collapsed="false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</row>
    <row r="736" customFormat="false" ht="15.75" hidden="false" customHeight="false" outlineLevel="0" collapsed="false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</row>
    <row r="737" customFormat="false" ht="15.75" hidden="false" customHeight="false" outlineLevel="0" collapsed="false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</row>
    <row r="738" customFormat="false" ht="15.75" hidden="false" customHeight="false" outlineLevel="0" collapsed="false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</row>
    <row r="739" customFormat="false" ht="15.75" hidden="false" customHeight="false" outlineLevel="0" collapsed="false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</row>
    <row r="740" customFormat="false" ht="15.75" hidden="false" customHeight="false" outlineLevel="0" collapsed="false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</row>
    <row r="741" customFormat="false" ht="15.75" hidden="false" customHeight="false" outlineLevel="0" collapsed="false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</row>
    <row r="742" customFormat="false" ht="15.75" hidden="false" customHeight="false" outlineLevel="0" collapsed="false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</row>
    <row r="743" customFormat="false" ht="15.75" hidden="false" customHeight="false" outlineLevel="0" collapsed="false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</row>
    <row r="744" customFormat="false" ht="15.75" hidden="false" customHeight="false" outlineLevel="0" collapsed="false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</row>
    <row r="745" customFormat="false" ht="15.75" hidden="false" customHeight="false" outlineLevel="0" collapsed="false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</row>
    <row r="746" customFormat="false" ht="15.75" hidden="false" customHeight="false" outlineLevel="0" collapsed="false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</row>
    <row r="747" customFormat="false" ht="15.75" hidden="false" customHeight="false" outlineLevel="0" collapsed="false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</row>
    <row r="748" customFormat="false" ht="15.75" hidden="false" customHeight="false" outlineLevel="0" collapsed="false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</row>
    <row r="749" customFormat="false" ht="15.75" hidden="false" customHeight="false" outlineLevel="0" collapsed="false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</row>
    <row r="750" customFormat="false" ht="15.75" hidden="false" customHeight="false" outlineLevel="0" collapsed="false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</row>
    <row r="751" customFormat="false" ht="15.75" hidden="false" customHeight="false" outlineLevel="0" collapsed="false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</row>
    <row r="752" customFormat="false" ht="15.75" hidden="false" customHeight="false" outlineLevel="0" collapsed="false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</row>
    <row r="753" customFormat="false" ht="15.75" hidden="false" customHeight="false" outlineLevel="0" collapsed="false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</row>
    <row r="754" customFormat="false" ht="15.75" hidden="false" customHeight="false" outlineLevel="0" collapsed="false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</row>
    <row r="755" customFormat="false" ht="15.75" hidden="false" customHeight="false" outlineLevel="0" collapsed="false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</row>
    <row r="756" customFormat="false" ht="15.75" hidden="false" customHeight="false" outlineLevel="0" collapsed="false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</row>
    <row r="757" customFormat="false" ht="15.75" hidden="false" customHeight="false" outlineLevel="0" collapsed="false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</row>
    <row r="758" customFormat="false" ht="15.75" hidden="false" customHeight="false" outlineLevel="0" collapsed="false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</row>
    <row r="759" customFormat="false" ht="15.75" hidden="false" customHeight="false" outlineLevel="0" collapsed="false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</row>
    <row r="760" customFormat="false" ht="15.75" hidden="false" customHeight="false" outlineLevel="0" collapsed="false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</row>
    <row r="761" customFormat="false" ht="15.75" hidden="false" customHeight="false" outlineLevel="0" collapsed="false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</row>
    <row r="762" customFormat="false" ht="15.75" hidden="false" customHeight="false" outlineLevel="0" collapsed="false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</row>
    <row r="763" customFormat="false" ht="15.75" hidden="false" customHeight="false" outlineLevel="0" collapsed="false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</row>
    <row r="764" customFormat="false" ht="15.75" hidden="false" customHeight="false" outlineLevel="0" collapsed="false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</row>
    <row r="765" customFormat="false" ht="15.75" hidden="false" customHeight="false" outlineLevel="0" collapsed="false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</row>
    <row r="766" customFormat="false" ht="15.75" hidden="false" customHeight="false" outlineLevel="0" collapsed="false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</row>
    <row r="767" customFormat="false" ht="15.75" hidden="false" customHeight="false" outlineLevel="0" collapsed="false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</row>
    <row r="768" customFormat="false" ht="15.75" hidden="false" customHeight="false" outlineLevel="0" collapsed="false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</row>
    <row r="769" customFormat="false" ht="15.75" hidden="false" customHeight="false" outlineLevel="0" collapsed="false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</row>
    <row r="770" customFormat="false" ht="15.75" hidden="false" customHeight="false" outlineLevel="0" collapsed="false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</row>
    <row r="771" customFormat="false" ht="15.75" hidden="false" customHeight="false" outlineLevel="0" collapsed="false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</row>
    <row r="772" customFormat="false" ht="15.75" hidden="false" customHeight="false" outlineLevel="0" collapsed="false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</row>
    <row r="773" customFormat="false" ht="15.75" hidden="false" customHeight="false" outlineLevel="0" collapsed="false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</row>
    <row r="774" customFormat="false" ht="15.75" hidden="false" customHeight="false" outlineLevel="0" collapsed="false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</row>
    <row r="775" customFormat="false" ht="15.75" hidden="false" customHeight="false" outlineLevel="0" collapsed="false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</row>
    <row r="776" customFormat="false" ht="15.75" hidden="false" customHeight="false" outlineLevel="0" collapsed="false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</row>
    <row r="777" customFormat="false" ht="15.75" hidden="false" customHeight="false" outlineLevel="0" collapsed="false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</row>
    <row r="778" customFormat="false" ht="15.75" hidden="false" customHeight="false" outlineLevel="0" collapsed="false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</row>
    <row r="779" customFormat="false" ht="15.75" hidden="false" customHeight="false" outlineLevel="0" collapsed="false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</row>
    <row r="780" customFormat="false" ht="15.75" hidden="false" customHeight="false" outlineLevel="0" collapsed="false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</row>
    <row r="781" customFormat="false" ht="15.75" hidden="false" customHeight="false" outlineLevel="0" collapsed="false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</row>
    <row r="782" customFormat="false" ht="15.75" hidden="false" customHeight="false" outlineLevel="0" collapsed="false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</row>
    <row r="783" customFormat="false" ht="15.75" hidden="false" customHeight="false" outlineLevel="0" collapsed="false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</row>
    <row r="784" customFormat="false" ht="15.75" hidden="false" customHeight="false" outlineLevel="0" collapsed="false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</row>
    <row r="785" customFormat="false" ht="15.75" hidden="false" customHeight="false" outlineLevel="0" collapsed="false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</row>
    <row r="786" customFormat="false" ht="15.75" hidden="false" customHeight="false" outlineLevel="0" collapsed="false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</row>
    <row r="787" customFormat="false" ht="15.75" hidden="false" customHeight="false" outlineLevel="0" collapsed="false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</row>
    <row r="788" customFormat="false" ht="15.75" hidden="false" customHeight="false" outlineLevel="0" collapsed="false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</row>
    <row r="789" customFormat="false" ht="15.75" hidden="false" customHeight="false" outlineLevel="0" collapsed="false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</row>
    <row r="790" customFormat="false" ht="15.75" hidden="false" customHeight="false" outlineLevel="0" collapsed="false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</row>
    <row r="791" customFormat="false" ht="15.75" hidden="false" customHeight="false" outlineLevel="0" collapsed="false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</row>
    <row r="792" customFormat="false" ht="15.75" hidden="false" customHeight="false" outlineLevel="0" collapsed="false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</row>
    <row r="793" customFormat="false" ht="15.75" hidden="false" customHeight="false" outlineLevel="0" collapsed="false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</row>
    <row r="794" customFormat="false" ht="15.75" hidden="false" customHeight="false" outlineLevel="0" collapsed="false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</row>
    <row r="795" customFormat="false" ht="15.75" hidden="false" customHeight="false" outlineLevel="0" collapsed="false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</row>
    <row r="796" customFormat="false" ht="15.75" hidden="false" customHeight="false" outlineLevel="0" collapsed="false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</row>
    <row r="797" customFormat="false" ht="15.75" hidden="false" customHeight="false" outlineLevel="0" collapsed="false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</row>
    <row r="798" customFormat="false" ht="15.75" hidden="false" customHeight="false" outlineLevel="0" collapsed="false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</row>
    <row r="799" customFormat="false" ht="15.75" hidden="false" customHeight="false" outlineLevel="0" collapsed="false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</row>
    <row r="800" customFormat="false" ht="15.75" hidden="false" customHeight="false" outlineLevel="0" collapsed="false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</row>
    <row r="801" customFormat="false" ht="15.75" hidden="false" customHeight="false" outlineLevel="0" collapsed="false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</row>
    <row r="802" customFormat="false" ht="15.75" hidden="false" customHeight="false" outlineLevel="0" collapsed="false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</row>
    <row r="803" customFormat="false" ht="15.75" hidden="false" customHeight="false" outlineLevel="0" collapsed="false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</row>
    <row r="804" customFormat="false" ht="15.75" hidden="false" customHeight="false" outlineLevel="0" collapsed="false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</row>
    <row r="805" customFormat="false" ht="15.75" hidden="false" customHeight="false" outlineLevel="0" collapsed="false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</row>
    <row r="806" customFormat="false" ht="15.75" hidden="false" customHeight="false" outlineLevel="0" collapsed="false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</row>
    <row r="807" customFormat="false" ht="15.75" hidden="false" customHeight="false" outlineLevel="0" collapsed="false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</row>
    <row r="808" customFormat="false" ht="15.75" hidden="false" customHeight="false" outlineLevel="0" collapsed="false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</row>
    <row r="809" customFormat="false" ht="15.75" hidden="false" customHeight="false" outlineLevel="0" collapsed="false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</row>
    <row r="810" customFormat="false" ht="15.75" hidden="false" customHeight="false" outlineLevel="0" collapsed="false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</row>
    <row r="811" customFormat="false" ht="15.75" hidden="false" customHeight="false" outlineLevel="0" collapsed="false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</row>
    <row r="812" customFormat="false" ht="15.75" hidden="false" customHeight="false" outlineLevel="0" collapsed="false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</row>
    <row r="813" customFormat="false" ht="15.75" hidden="false" customHeight="false" outlineLevel="0" collapsed="false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</row>
    <row r="814" customFormat="false" ht="15.75" hidden="false" customHeight="false" outlineLevel="0" collapsed="false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</row>
    <row r="815" customFormat="false" ht="15.75" hidden="false" customHeight="false" outlineLevel="0" collapsed="false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</row>
    <row r="816" customFormat="false" ht="15.75" hidden="false" customHeight="false" outlineLevel="0" collapsed="false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</row>
    <row r="817" customFormat="false" ht="15.75" hidden="false" customHeight="false" outlineLevel="0" collapsed="false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</row>
    <row r="818" customFormat="false" ht="15.75" hidden="false" customHeight="false" outlineLevel="0" collapsed="false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</row>
    <row r="819" customFormat="false" ht="15.75" hidden="false" customHeight="false" outlineLevel="0" collapsed="false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</row>
    <row r="820" customFormat="false" ht="15.75" hidden="false" customHeight="false" outlineLevel="0" collapsed="false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</row>
    <row r="821" customFormat="false" ht="15.75" hidden="false" customHeight="false" outlineLevel="0" collapsed="false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</row>
    <row r="822" customFormat="false" ht="15.75" hidden="false" customHeight="false" outlineLevel="0" collapsed="false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</row>
    <row r="823" customFormat="false" ht="15.75" hidden="false" customHeight="false" outlineLevel="0" collapsed="false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</row>
    <row r="824" customFormat="false" ht="15.75" hidden="false" customHeight="false" outlineLevel="0" collapsed="false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</row>
    <row r="825" customFormat="false" ht="15.75" hidden="false" customHeight="false" outlineLevel="0" collapsed="false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</row>
    <row r="826" customFormat="false" ht="15.75" hidden="false" customHeight="false" outlineLevel="0" collapsed="false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</row>
    <row r="827" customFormat="false" ht="15.75" hidden="false" customHeight="false" outlineLevel="0" collapsed="false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</row>
    <row r="828" customFormat="false" ht="15.75" hidden="false" customHeight="false" outlineLevel="0" collapsed="false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</row>
    <row r="829" customFormat="false" ht="15.75" hidden="false" customHeight="false" outlineLevel="0" collapsed="false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</row>
    <row r="830" customFormat="false" ht="15.75" hidden="false" customHeight="false" outlineLevel="0" collapsed="false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</row>
    <row r="831" customFormat="false" ht="15.75" hidden="false" customHeight="false" outlineLevel="0" collapsed="false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</row>
    <row r="832" customFormat="false" ht="15.75" hidden="false" customHeight="false" outlineLevel="0" collapsed="false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</row>
    <row r="833" customFormat="false" ht="15.75" hidden="false" customHeight="false" outlineLevel="0" collapsed="false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</row>
    <row r="834" customFormat="false" ht="15.75" hidden="false" customHeight="false" outlineLevel="0" collapsed="false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</row>
    <row r="835" customFormat="false" ht="15.75" hidden="false" customHeight="false" outlineLevel="0" collapsed="false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</row>
    <row r="836" customFormat="false" ht="15.75" hidden="false" customHeight="false" outlineLevel="0" collapsed="false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</row>
    <row r="837" customFormat="false" ht="15.75" hidden="false" customHeight="false" outlineLevel="0" collapsed="false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</row>
    <row r="838" customFormat="false" ht="15.75" hidden="false" customHeight="false" outlineLevel="0" collapsed="false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</row>
    <row r="839" customFormat="false" ht="15.75" hidden="false" customHeight="false" outlineLevel="0" collapsed="false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</row>
    <row r="840" customFormat="false" ht="15.75" hidden="false" customHeight="false" outlineLevel="0" collapsed="false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</row>
    <row r="841" customFormat="false" ht="15.75" hidden="false" customHeight="false" outlineLevel="0" collapsed="false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</row>
    <row r="842" customFormat="false" ht="15.75" hidden="false" customHeight="false" outlineLevel="0" collapsed="false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</row>
    <row r="843" customFormat="false" ht="15.75" hidden="false" customHeight="false" outlineLevel="0" collapsed="false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</row>
    <row r="844" customFormat="false" ht="15.75" hidden="false" customHeight="false" outlineLevel="0" collapsed="false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</row>
    <row r="845" customFormat="false" ht="15.75" hidden="false" customHeight="false" outlineLevel="0" collapsed="false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</row>
    <row r="846" customFormat="false" ht="15.75" hidden="false" customHeight="false" outlineLevel="0" collapsed="false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</row>
    <row r="847" customFormat="false" ht="15.75" hidden="false" customHeight="false" outlineLevel="0" collapsed="false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</row>
    <row r="848" customFormat="false" ht="15.75" hidden="false" customHeight="false" outlineLevel="0" collapsed="false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</row>
    <row r="849" customFormat="false" ht="15.75" hidden="false" customHeight="false" outlineLevel="0" collapsed="false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</row>
    <row r="850" customFormat="false" ht="15.75" hidden="false" customHeight="false" outlineLevel="0" collapsed="false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</row>
    <row r="851" customFormat="false" ht="15.75" hidden="false" customHeight="false" outlineLevel="0" collapsed="false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</row>
    <row r="852" customFormat="false" ht="15.75" hidden="false" customHeight="false" outlineLevel="0" collapsed="false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</row>
    <row r="853" customFormat="false" ht="15.75" hidden="false" customHeight="false" outlineLevel="0" collapsed="false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</row>
    <row r="854" customFormat="false" ht="15.75" hidden="false" customHeight="false" outlineLevel="0" collapsed="false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</row>
    <row r="855" customFormat="false" ht="15.75" hidden="false" customHeight="false" outlineLevel="0" collapsed="false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</row>
    <row r="856" customFormat="false" ht="15.75" hidden="false" customHeight="false" outlineLevel="0" collapsed="false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</row>
    <row r="857" customFormat="false" ht="15.75" hidden="false" customHeight="false" outlineLevel="0" collapsed="false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</row>
    <row r="858" customFormat="false" ht="15.75" hidden="false" customHeight="false" outlineLevel="0" collapsed="false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</row>
    <row r="859" customFormat="false" ht="15.75" hidden="false" customHeight="false" outlineLevel="0" collapsed="false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</row>
    <row r="860" customFormat="false" ht="15.75" hidden="false" customHeight="false" outlineLevel="0" collapsed="false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</row>
    <row r="861" customFormat="false" ht="15.75" hidden="false" customHeight="false" outlineLevel="0" collapsed="false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</row>
    <row r="862" customFormat="false" ht="15.75" hidden="false" customHeight="false" outlineLevel="0" collapsed="false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</row>
    <row r="863" customFormat="false" ht="15.75" hidden="false" customHeight="false" outlineLevel="0" collapsed="false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</row>
    <row r="864" customFormat="false" ht="15.75" hidden="false" customHeight="false" outlineLevel="0" collapsed="false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</row>
    <row r="865" customFormat="false" ht="15.75" hidden="false" customHeight="false" outlineLevel="0" collapsed="false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</row>
    <row r="866" customFormat="false" ht="15.75" hidden="false" customHeight="false" outlineLevel="0" collapsed="false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</row>
    <row r="867" customFormat="false" ht="15.75" hidden="false" customHeight="false" outlineLevel="0" collapsed="false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</row>
    <row r="868" customFormat="false" ht="15.75" hidden="false" customHeight="false" outlineLevel="0" collapsed="false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</row>
    <row r="869" customFormat="false" ht="15.75" hidden="false" customHeight="false" outlineLevel="0" collapsed="false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</row>
    <row r="870" customFormat="false" ht="15.75" hidden="false" customHeight="false" outlineLevel="0" collapsed="false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</row>
    <row r="871" customFormat="false" ht="15.75" hidden="false" customHeight="false" outlineLevel="0" collapsed="false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</row>
    <row r="872" customFormat="false" ht="15.75" hidden="false" customHeight="false" outlineLevel="0" collapsed="false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</row>
    <row r="873" customFormat="false" ht="15.75" hidden="false" customHeight="false" outlineLevel="0" collapsed="false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</row>
    <row r="874" customFormat="false" ht="15.75" hidden="false" customHeight="false" outlineLevel="0" collapsed="false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</row>
    <row r="875" customFormat="false" ht="15.75" hidden="false" customHeight="false" outlineLevel="0" collapsed="false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</row>
    <row r="876" customFormat="false" ht="15.75" hidden="false" customHeight="false" outlineLevel="0" collapsed="false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</row>
    <row r="877" customFormat="false" ht="15.75" hidden="false" customHeight="false" outlineLevel="0" collapsed="false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</row>
    <row r="878" customFormat="false" ht="15.75" hidden="false" customHeight="false" outlineLevel="0" collapsed="false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</row>
    <row r="879" customFormat="false" ht="15.75" hidden="false" customHeight="false" outlineLevel="0" collapsed="false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</row>
    <row r="880" customFormat="false" ht="15.75" hidden="false" customHeight="false" outlineLevel="0" collapsed="false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</row>
    <row r="881" customFormat="false" ht="15.75" hidden="false" customHeight="false" outlineLevel="0" collapsed="false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</row>
    <row r="882" customFormat="false" ht="15.75" hidden="false" customHeight="false" outlineLevel="0" collapsed="false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</row>
    <row r="883" customFormat="false" ht="15.75" hidden="false" customHeight="false" outlineLevel="0" collapsed="false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</row>
    <row r="884" customFormat="false" ht="15.75" hidden="false" customHeight="false" outlineLevel="0" collapsed="false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</row>
    <row r="885" customFormat="false" ht="15.75" hidden="false" customHeight="false" outlineLevel="0" collapsed="false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</row>
    <row r="886" customFormat="false" ht="15.75" hidden="false" customHeight="false" outlineLevel="0" collapsed="false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</row>
    <row r="887" customFormat="false" ht="15.75" hidden="false" customHeight="false" outlineLevel="0" collapsed="false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</row>
    <row r="888" customFormat="false" ht="15.75" hidden="false" customHeight="false" outlineLevel="0" collapsed="false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</row>
    <row r="889" customFormat="false" ht="15.75" hidden="false" customHeight="false" outlineLevel="0" collapsed="false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</row>
    <row r="890" customFormat="false" ht="15.75" hidden="false" customHeight="false" outlineLevel="0" collapsed="false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</row>
    <row r="891" customFormat="false" ht="15.75" hidden="false" customHeight="false" outlineLevel="0" collapsed="false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</row>
    <row r="892" customFormat="false" ht="15.75" hidden="false" customHeight="false" outlineLevel="0" collapsed="false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</row>
    <row r="893" customFormat="false" ht="15.75" hidden="false" customHeight="false" outlineLevel="0" collapsed="false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</row>
    <row r="894" customFormat="false" ht="15.75" hidden="false" customHeight="false" outlineLevel="0" collapsed="false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</row>
    <row r="895" customFormat="false" ht="15.75" hidden="false" customHeight="false" outlineLevel="0" collapsed="false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</row>
    <row r="896" customFormat="false" ht="15.75" hidden="false" customHeight="false" outlineLevel="0" collapsed="false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</row>
    <row r="897" customFormat="false" ht="15.75" hidden="false" customHeight="false" outlineLevel="0" collapsed="false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</row>
    <row r="898" customFormat="false" ht="15.75" hidden="false" customHeight="false" outlineLevel="0" collapsed="false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</row>
    <row r="899" customFormat="false" ht="15.75" hidden="false" customHeight="false" outlineLevel="0" collapsed="false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</row>
    <row r="900" customFormat="false" ht="15.75" hidden="false" customHeight="false" outlineLevel="0" collapsed="false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</row>
    <row r="901" customFormat="false" ht="15.75" hidden="false" customHeight="false" outlineLevel="0" collapsed="false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</row>
    <row r="902" customFormat="false" ht="15.75" hidden="false" customHeight="false" outlineLevel="0" collapsed="false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</row>
    <row r="903" customFormat="false" ht="15.75" hidden="false" customHeight="false" outlineLevel="0" collapsed="false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</row>
    <row r="904" customFormat="false" ht="15.75" hidden="false" customHeight="false" outlineLevel="0" collapsed="false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</row>
    <row r="905" customFormat="false" ht="15.75" hidden="false" customHeight="false" outlineLevel="0" collapsed="false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</row>
    <row r="906" customFormat="false" ht="15.75" hidden="false" customHeight="false" outlineLevel="0" collapsed="false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</row>
    <row r="907" customFormat="false" ht="15.75" hidden="false" customHeight="false" outlineLevel="0" collapsed="false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</row>
    <row r="908" customFormat="false" ht="15.75" hidden="false" customHeight="false" outlineLevel="0" collapsed="false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</row>
    <row r="909" customFormat="false" ht="15.75" hidden="false" customHeight="false" outlineLevel="0" collapsed="false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</row>
    <row r="910" customFormat="false" ht="15.75" hidden="false" customHeight="false" outlineLevel="0" collapsed="false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</row>
    <row r="911" customFormat="false" ht="15.75" hidden="false" customHeight="false" outlineLevel="0" collapsed="false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</row>
    <row r="912" customFormat="false" ht="15.75" hidden="false" customHeight="false" outlineLevel="0" collapsed="false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</row>
    <row r="913" customFormat="false" ht="15.75" hidden="false" customHeight="false" outlineLevel="0" collapsed="false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</row>
    <row r="914" customFormat="false" ht="15.75" hidden="false" customHeight="false" outlineLevel="0" collapsed="false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</row>
    <row r="915" customFormat="false" ht="15.75" hidden="false" customHeight="false" outlineLevel="0" collapsed="false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</row>
    <row r="916" customFormat="false" ht="15.75" hidden="false" customHeight="false" outlineLevel="0" collapsed="false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</row>
    <row r="917" customFormat="false" ht="15.75" hidden="false" customHeight="false" outlineLevel="0" collapsed="false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</row>
    <row r="918" customFormat="false" ht="15.75" hidden="false" customHeight="false" outlineLevel="0" collapsed="false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</row>
    <row r="919" customFormat="false" ht="15.75" hidden="false" customHeight="false" outlineLevel="0" collapsed="false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</row>
    <row r="920" customFormat="false" ht="15.75" hidden="false" customHeight="false" outlineLevel="0" collapsed="false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</row>
    <row r="921" customFormat="false" ht="15.75" hidden="false" customHeight="false" outlineLevel="0" collapsed="false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</row>
    <row r="922" customFormat="false" ht="15.75" hidden="false" customHeight="false" outlineLevel="0" collapsed="false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</row>
    <row r="923" customFormat="false" ht="15.75" hidden="false" customHeight="false" outlineLevel="0" collapsed="false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</row>
    <row r="924" customFormat="false" ht="15.75" hidden="false" customHeight="false" outlineLevel="0" collapsed="false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</row>
    <row r="925" customFormat="false" ht="15.75" hidden="false" customHeight="false" outlineLevel="0" collapsed="false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</row>
    <row r="926" customFormat="false" ht="15.75" hidden="false" customHeight="false" outlineLevel="0" collapsed="false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</row>
    <row r="927" customFormat="false" ht="15.75" hidden="false" customHeight="false" outlineLevel="0" collapsed="false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</row>
    <row r="928" customFormat="false" ht="15.75" hidden="false" customHeight="false" outlineLevel="0" collapsed="false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</row>
    <row r="929" customFormat="false" ht="15.75" hidden="false" customHeight="false" outlineLevel="0" collapsed="false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</row>
    <row r="930" customFormat="false" ht="15.75" hidden="false" customHeight="false" outlineLevel="0" collapsed="false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</row>
    <row r="931" customFormat="false" ht="15.75" hidden="false" customHeight="false" outlineLevel="0" collapsed="false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</row>
    <row r="932" customFormat="false" ht="15.75" hidden="false" customHeight="false" outlineLevel="0" collapsed="false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</row>
    <row r="933" customFormat="false" ht="15.75" hidden="false" customHeight="false" outlineLevel="0" collapsed="false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</row>
    <row r="934" customFormat="false" ht="15.75" hidden="false" customHeight="false" outlineLevel="0" collapsed="false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</row>
    <row r="935" customFormat="false" ht="15.75" hidden="false" customHeight="false" outlineLevel="0" collapsed="false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</row>
    <row r="936" customFormat="false" ht="15.75" hidden="false" customHeight="false" outlineLevel="0" collapsed="false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</row>
    <row r="937" customFormat="false" ht="15.75" hidden="false" customHeight="false" outlineLevel="0" collapsed="false">
      <c r="A937" s="130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</row>
    <row r="938" customFormat="false" ht="15.75" hidden="false" customHeight="false" outlineLevel="0" collapsed="false">
      <c r="A938" s="130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</row>
    <row r="939" customFormat="false" ht="15.75" hidden="false" customHeight="false" outlineLevel="0" collapsed="false">
      <c r="A939" s="130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</row>
    <row r="940" customFormat="false" ht="15.75" hidden="false" customHeight="false" outlineLevel="0" collapsed="false">
      <c r="A940" s="130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</row>
    <row r="941" customFormat="false" ht="15.75" hidden="false" customHeight="false" outlineLevel="0" collapsed="false">
      <c r="A941" s="130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</row>
    <row r="942" customFormat="false" ht="15.75" hidden="false" customHeight="false" outlineLevel="0" collapsed="false">
      <c r="A942" s="130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</row>
    <row r="943" customFormat="false" ht="15.75" hidden="false" customHeight="false" outlineLevel="0" collapsed="false">
      <c r="A943" s="130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</row>
    <row r="944" customFormat="false" ht="15.75" hidden="false" customHeight="false" outlineLevel="0" collapsed="false">
      <c r="A944" s="130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</row>
    <row r="945" customFormat="false" ht="15.75" hidden="false" customHeight="false" outlineLevel="0" collapsed="false">
      <c r="A945" s="130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</row>
    <row r="946" customFormat="false" ht="15.75" hidden="false" customHeight="false" outlineLevel="0" collapsed="false">
      <c r="A946" s="130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</row>
    <row r="947" customFormat="false" ht="15.75" hidden="false" customHeight="false" outlineLevel="0" collapsed="false">
      <c r="A947" s="130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</row>
    <row r="948" customFormat="false" ht="15.75" hidden="false" customHeight="false" outlineLevel="0" collapsed="false">
      <c r="A948" s="130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</row>
    <row r="949" customFormat="false" ht="15.75" hidden="false" customHeight="false" outlineLevel="0" collapsed="false">
      <c r="A949" s="130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</row>
    <row r="950" customFormat="false" ht="15.75" hidden="false" customHeight="false" outlineLevel="0" collapsed="false">
      <c r="A950" s="130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</row>
    <row r="951" customFormat="false" ht="15.75" hidden="false" customHeight="false" outlineLevel="0" collapsed="false">
      <c r="A951" s="130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</row>
    <row r="952" customFormat="false" ht="15.75" hidden="false" customHeight="false" outlineLevel="0" collapsed="false">
      <c r="A952" s="130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</row>
    <row r="953" customFormat="false" ht="15.75" hidden="false" customHeight="false" outlineLevel="0" collapsed="false">
      <c r="A953" s="130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</row>
    <row r="954" customFormat="false" ht="15.75" hidden="false" customHeight="false" outlineLevel="0" collapsed="false">
      <c r="A954" s="130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</row>
    <row r="955" customFormat="false" ht="15.75" hidden="false" customHeight="false" outlineLevel="0" collapsed="false">
      <c r="A955" s="130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</row>
    <row r="956" customFormat="false" ht="15.75" hidden="false" customHeight="false" outlineLevel="0" collapsed="false">
      <c r="A956" s="130"/>
      <c r="B956" s="130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</row>
    <row r="957" customFormat="false" ht="15.75" hidden="false" customHeight="false" outlineLevel="0" collapsed="false">
      <c r="A957" s="130"/>
      <c r="B957" s="130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</row>
    <row r="958" customFormat="false" ht="15.75" hidden="false" customHeight="false" outlineLevel="0" collapsed="false">
      <c r="A958" s="130"/>
      <c r="B958" s="130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</row>
    <row r="959" customFormat="false" ht="15.75" hidden="false" customHeight="false" outlineLevel="0" collapsed="false">
      <c r="A959" s="130"/>
      <c r="B959" s="130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</row>
    <row r="960" customFormat="false" ht="15.75" hidden="false" customHeight="false" outlineLevel="0" collapsed="false">
      <c r="A960" s="130"/>
      <c r="B960" s="130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</row>
    <row r="961" customFormat="false" ht="15.75" hidden="false" customHeight="false" outlineLevel="0" collapsed="false">
      <c r="A961" s="130"/>
      <c r="B961" s="130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</row>
    <row r="962" customFormat="false" ht="15.75" hidden="false" customHeight="false" outlineLevel="0" collapsed="false">
      <c r="A962" s="130"/>
      <c r="B962" s="130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</row>
    <row r="963" customFormat="false" ht="15.75" hidden="false" customHeight="false" outlineLevel="0" collapsed="false">
      <c r="A963" s="130"/>
      <c r="B963" s="130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</row>
    <row r="964" customFormat="false" ht="15.75" hidden="false" customHeight="false" outlineLevel="0" collapsed="false">
      <c r="A964" s="130"/>
      <c r="B964" s="130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</row>
    <row r="965" customFormat="false" ht="15.75" hidden="false" customHeight="false" outlineLevel="0" collapsed="false">
      <c r="A965" s="130"/>
      <c r="B965" s="130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</row>
    <row r="966" customFormat="false" ht="15.75" hidden="false" customHeight="false" outlineLevel="0" collapsed="false">
      <c r="A966" s="130"/>
      <c r="B966" s="130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</row>
    <row r="967" customFormat="false" ht="15.75" hidden="false" customHeight="false" outlineLevel="0" collapsed="false">
      <c r="A967" s="130"/>
      <c r="B967" s="130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</row>
    <row r="968" customFormat="false" ht="15.75" hidden="false" customHeight="false" outlineLevel="0" collapsed="false">
      <c r="A968" s="130"/>
      <c r="B968" s="130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</row>
    <row r="969" customFormat="false" ht="15.75" hidden="false" customHeight="false" outlineLevel="0" collapsed="false">
      <c r="A969" s="130"/>
      <c r="B969" s="130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</row>
    <row r="970" customFormat="false" ht="15.75" hidden="false" customHeight="false" outlineLevel="0" collapsed="false">
      <c r="A970" s="130"/>
      <c r="B970" s="130"/>
      <c r="C970" s="130"/>
      <c r="D970" s="130"/>
      <c r="E970" s="130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</row>
    <row r="971" customFormat="false" ht="15.75" hidden="false" customHeight="false" outlineLevel="0" collapsed="false">
      <c r="A971" s="130"/>
      <c r="B971" s="130"/>
      <c r="C971" s="130"/>
      <c r="D971" s="130"/>
      <c r="E971" s="130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</row>
    <row r="972" customFormat="false" ht="15.75" hidden="false" customHeight="false" outlineLevel="0" collapsed="false">
      <c r="A972" s="130"/>
      <c r="B972" s="130"/>
      <c r="C972" s="130"/>
      <c r="D972" s="130"/>
      <c r="E972" s="130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</row>
    <row r="973" customFormat="false" ht="15.75" hidden="false" customHeight="false" outlineLevel="0" collapsed="false">
      <c r="A973" s="130"/>
      <c r="B973" s="130"/>
      <c r="C973" s="130"/>
      <c r="D973" s="130"/>
      <c r="E973" s="130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</row>
    <row r="974" customFormat="false" ht="15.75" hidden="false" customHeight="false" outlineLevel="0" collapsed="false">
      <c r="A974" s="130"/>
      <c r="B974" s="130"/>
      <c r="C974" s="130"/>
      <c r="D974" s="130"/>
      <c r="E974" s="130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</row>
    <row r="975" customFormat="false" ht="15.75" hidden="false" customHeight="false" outlineLevel="0" collapsed="false">
      <c r="A975" s="130"/>
      <c r="B975" s="130"/>
      <c r="C975" s="130"/>
      <c r="D975" s="130"/>
      <c r="E975" s="130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</row>
    <row r="976" customFormat="false" ht="15.75" hidden="false" customHeight="false" outlineLevel="0" collapsed="false">
      <c r="A976" s="130"/>
      <c r="B976" s="130"/>
      <c r="C976" s="130"/>
      <c r="D976" s="130"/>
      <c r="E976" s="130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</row>
    <row r="977" customFormat="false" ht="15.75" hidden="false" customHeight="false" outlineLevel="0" collapsed="false">
      <c r="A977" s="130"/>
      <c r="B977" s="130"/>
      <c r="C977" s="130"/>
      <c r="D977" s="130"/>
      <c r="E977" s="130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</row>
    <row r="978" customFormat="false" ht="15.75" hidden="false" customHeight="false" outlineLevel="0" collapsed="false">
      <c r="A978" s="130"/>
      <c r="B978" s="130"/>
      <c r="C978" s="130"/>
      <c r="D978" s="130"/>
      <c r="E978" s="130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</row>
    <row r="979" customFormat="false" ht="15.75" hidden="false" customHeight="false" outlineLevel="0" collapsed="false">
      <c r="A979" s="130"/>
      <c r="B979" s="130"/>
      <c r="C979" s="130"/>
      <c r="D979" s="130"/>
      <c r="E979" s="130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</row>
    <row r="980" customFormat="false" ht="15.75" hidden="false" customHeight="false" outlineLevel="0" collapsed="false">
      <c r="A980" s="130"/>
      <c r="B980" s="130"/>
      <c r="C980" s="130"/>
      <c r="D980" s="130"/>
      <c r="E980" s="130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</row>
    <row r="981" customFormat="false" ht="15.75" hidden="false" customHeight="false" outlineLevel="0" collapsed="false">
      <c r="A981" s="130"/>
      <c r="B981" s="130"/>
      <c r="C981" s="130"/>
      <c r="D981" s="130"/>
      <c r="E981" s="130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</row>
    <row r="982" customFormat="false" ht="15.75" hidden="false" customHeight="false" outlineLevel="0" collapsed="false">
      <c r="A982" s="130"/>
      <c r="B982" s="130"/>
      <c r="C982" s="130"/>
      <c r="D982" s="130"/>
      <c r="E982" s="130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</row>
    <row r="983" customFormat="false" ht="15.75" hidden="false" customHeight="false" outlineLevel="0" collapsed="false">
      <c r="A983" s="130"/>
      <c r="B983" s="130"/>
      <c r="C983" s="130"/>
      <c r="D983" s="130"/>
      <c r="E983" s="130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</row>
    <row r="984" customFormat="false" ht="15.75" hidden="false" customHeight="false" outlineLevel="0" collapsed="false">
      <c r="A984" s="130"/>
      <c r="B984" s="130"/>
      <c r="C984" s="130"/>
      <c r="D984" s="130"/>
      <c r="E984" s="130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</row>
    <row r="985" customFormat="false" ht="15.75" hidden="false" customHeight="false" outlineLevel="0" collapsed="false">
      <c r="A985" s="130"/>
      <c r="B985" s="130"/>
      <c r="C985" s="130"/>
      <c r="D985" s="130"/>
      <c r="E985" s="130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</row>
    <row r="986" customFormat="false" ht="15.75" hidden="false" customHeight="false" outlineLevel="0" collapsed="false">
      <c r="A986" s="130"/>
      <c r="B986" s="130"/>
      <c r="C986" s="130"/>
      <c r="D986" s="130"/>
      <c r="E986" s="130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</row>
    <row r="987" customFormat="false" ht="15.75" hidden="false" customHeight="false" outlineLevel="0" collapsed="false">
      <c r="A987" s="130"/>
      <c r="B987" s="130"/>
      <c r="C987" s="130"/>
      <c r="D987" s="130"/>
      <c r="E987" s="130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</row>
    <row r="988" customFormat="false" ht="15.75" hidden="false" customHeight="false" outlineLevel="0" collapsed="false">
      <c r="A988" s="130"/>
      <c r="B988" s="130"/>
      <c r="C988" s="130"/>
      <c r="D988" s="130"/>
      <c r="E988" s="130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</row>
    <row r="989" customFormat="false" ht="15.75" hidden="false" customHeight="false" outlineLevel="0" collapsed="false">
      <c r="A989" s="130"/>
      <c r="B989" s="130"/>
      <c r="C989" s="130"/>
      <c r="D989" s="130"/>
      <c r="E989" s="130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</row>
    <row r="990" customFormat="false" ht="15.75" hidden="false" customHeight="false" outlineLevel="0" collapsed="false">
      <c r="A990" s="130"/>
      <c r="B990" s="130"/>
      <c r="C990" s="130"/>
      <c r="D990" s="130"/>
      <c r="E990" s="130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</row>
    <row r="991" customFormat="false" ht="15.75" hidden="false" customHeight="false" outlineLevel="0" collapsed="false">
      <c r="A991" s="130"/>
      <c r="B991" s="130"/>
      <c r="C991" s="130"/>
      <c r="D991" s="130"/>
      <c r="E991" s="130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</row>
    <row r="992" customFormat="false" ht="15.75" hidden="false" customHeight="false" outlineLevel="0" collapsed="false">
      <c r="A992" s="130"/>
      <c r="B992" s="130"/>
      <c r="C992" s="130"/>
      <c r="D992" s="130"/>
      <c r="E992" s="130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</row>
    <row r="993" customFormat="false" ht="15.75" hidden="false" customHeight="false" outlineLevel="0" collapsed="false">
      <c r="A993" s="130"/>
      <c r="B993" s="130"/>
      <c r="C993" s="130"/>
      <c r="D993" s="130"/>
      <c r="E993" s="130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</row>
    <row r="994" customFormat="false" ht="15.75" hidden="false" customHeight="false" outlineLevel="0" collapsed="false">
      <c r="A994" s="130"/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</row>
    <row r="995" customFormat="false" ht="15.75" hidden="false" customHeight="false" outlineLevel="0" collapsed="false">
      <c r="A995" s="130"/>
      <c r="B995" s="130"/>
      <c r="C995" s="130"/>
      <c r="D995" s="130"/>
      <c r="E995" s="130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</row>
    <row r="996" customFormat="false" ht="15.75" hidden="false" customHeight="false" outlineLevel="0" collapsed="false">
      <c r="A996" s="130"/>
      <c r="B996" s="130"/>
      <c r="C996" s="130"/>
      <c r="D996" s="130"/>
      <c r="E996" s="130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</row>
    <row r="997" customFormat="false" ht="15.75" hidden="false" customHeight="false" outlineLevel="0" collapsed="false">
      <c r="A997" s="130"/>
      <c r="B997" s="130"/>
      <c r="C997" s="130"/>
      <c r="D997" s="130"/>
      <c r="E997" s="130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</row>
    <row r="998" customFormat="false" ht="15.75" hidden="false" customHeight="false" outlineLevel="0" collapsed="false">
      <c r="A998" s="130"/>
      <c r="B998" s="130"/>
      <c r="C998" s="130"/>
      <c r="D998" s="130"/>
      <c r="E998" s="130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</row>
    <row r="999" customFormat="false" ht="15.75" hidden="false" customHeight="false" outlineLevel="0" collapsed="false">
      <c r="A999" s="130"/>
      <c r="B999" s="130"/>
      <c r="C999" s="130"/>
      <c r="D999" s="130"/>
      <c r="E999" s="130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</row>
    <row r="1000" customFormat="false" ht="15.75" hidden="false" customHeight="false" outlineLevel="0" collapsed="false">
      <c r="A1000" s="130"/>
      <c r="B1000" s="130"/>
      <c r="C1000" s="130"/>
      <c r="D1000" s="130"/>
      <c r="E1000" s="130"/>
      <c r="F1000" s="13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</row>
    <row r="1001" customFormat="false" ht="15.75" hidden="false" customHeight="false" outlineLevel="0" collapsed="false">
      <c r="A1001" s="130"/>
      <c r="B1001" s="130"/>
      <c r="C1001" s="130"/>
      <c r="D1001" s="130"/>
      <c r="E1001" s="130"/>
      <c r="F1001" s="130"/>
      <c r="G1001" s="130"/>
      <c r="H1001" s="130"/>
      <c r="I1001" s="130"/>
      <c r="J1001" s="130"/>
      <c r="K1001" s="130"/>
      <c r="L1001" s="130"/>
      <c r="M1001" s="130"/>
      <c r="N1001" s="130"/>
      <c r="O1001" s="130"/>
      <c r="P1001" s="130"/>
      <c r="Q1001" s="130"/>
      <c r="R1001" s="130"/>
      <c r="S1001" s="130"/>
      <c r="T1001" s="130"/>
      <c r="U1001" s="130"/>
      <c r="V1001" s="130"/>
      <c r="W1001" s="130"/>
      <c r="X1001" s="130"/>
      <c r="Y1001" s="130"/>
      <c r="Z1001" s="13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30" t="s">
        <v>96</v>
      </c>
      <c r="B1" s="130" t="s">
        <v>97</v>
      </c>
      <c r="C1" s="130" t="s">
        <v>32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 customFormat="false" ht="15.75" hidden="false" customHeight="false" outlineLevel="0" collapsed="false">
      <c r="A2" s="130" t="s">
        <v>98</v>
      </c>
      <c r="B2" s="130" t="s">
        <v>98</v>
      </c>
      <c r="C2" s="130" t="s">
        <v>31</v>
      </c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 customFormat="false" ht="15.75" hidden="false" customHeight="false" outlineLevel="0" collapsed="false">
      <c r="A3" s="130" t="s">
        <v>99</v>
      </c>
      <c r="B3" s="130" t="s">
        <v>100</v>
      </c>
      <c r="C3" s="130" t="s">
        <v>34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</row>
    <row r="4" customFormat="false" ht="15.75" hidden="false" customHeight="false" outlineLevel="0" collapsed="false">
      <c r="A4" s="130" t="s">
        <v>100</v>
      </c>
      <c r="B4" s="130"/>
      <c r="C4" s="130" t="s">
        <v>28</v>
      </c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</row>
    <row r="5" customFormat="false" ht="15.75" hidden="false" customHeight="false" outlineLevel="0" collapsed="false">
      <c r="A5" s="130"/>
      <c r="B5" s="130"/>
      <c r="C5" s="130" t="s">
        <v>41</v>
      </c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</row>
    <row r="6" customFormat="false" ht="15.75" hidden="false" customHeight="false" outlineLevel="0" collapsed="false">
      <c r="A6" s="130"/>
      <c r="B6" s="130"/>
      <c r="C6" s="130" t="s">
        <v>33</v>
      </c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</row>
    <row r="7" customFormat="false" ht="15.75" hidden="false" customHeight="false" outlineLevel="0" collapsed="false">
      <c r="A7" s="130"/>
      <c r="B7" s="130"/>
      <c r="C7" s="130" t="s">
        <v>35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customFormat="false" ht="15.75" hidden="false" customHeight="false" outlineLevel="0" collapsed="false">
      <c r="A8" s="130"/>
      <c r="B8" s="130"/>
      <c r="C8" s="130" t="s">
        <v>30</v>
      </c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</row>
    <row r="9" customFormat="false" ht="15.75" hidden="false" customHeight="false" outlineLevel="0" collapsed="false">
      <c r="A9" s="130"/>
      <c r="B9" s="130"/>
      <c r="C9" s="130" t="s">
        <v>29</v>
      </c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</row>
    <row r="10" customFormat="false" ht="15.75" hidden="false" customHeight="false" outlineLevel="0" collapsed="false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</row>
    <row r="11" customFormat="false" ht="15.75" hidden="false" customHeight="false" outlineLevel="0" collapsed="false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</row>
    <row r="12" customFormat="false" ht="15.75" hidden="false" customHeight="false" outlineLevel="0" collapsed="false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</row>
    <row r="13" customFormat="false" ht="15.75" hidden="false" customHeight="false" outlineLevel="0" collapsed="false">
      <c r="A13" s="130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</row>
    <row r="14" customFormat="false" ht="15.75" hidden="false" customHeight="false" outlineLevel="0" collapsed="false">
      <c r="A14" s="130"/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</row>
    <row r="15" customFormat="false" ht="15.75" hidden="false" customHeight="false" outlineLevel="0" collapsed="false">
      <c r="A15" s="130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</row>
    <row r="16" customFormat="false" ht="15.75" hidden="false" customHeight="false" outlineLevel="0" collapsed="false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</row>
    <row r="17" customFormat="false" ht="15.75" hidden="false" customHeight="false" outlineLevel="0" collapsed="false">
      <c r="A17" s="130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</row>
    <row r="18" customFormat="false" ht="15.75" hidden="false" customHeight="false" outlineLevel="0" collapsed="false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</row>
    <row r="19" customFormat="false" ht="15.75" hidden="false" customHeight="false" outlineLevel="0" collapsed="false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</row>
    <row r="20" customFormat="false" ht="15.75" hidden="false" customHeight="false" outlineLevel="0" collapsed="false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</row>
    <row r="21" customFormat="false" ht="15.75" hidden="false" customHeight="false" outlineLevel="0" collapsed="false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</row>
    <row r="22" customFormat="false" ht="15.75" hidden="false" customHeight="false" outlineLevel="0" collapsed="false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</row>
    <row r="23" customFormat="false" ht="15.75" hidden="false" customHeight="false" outlineLevel="0" collapsed="false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</row>
    <row r="24" customFormat="false" ht="15.75" hidden="false" customHeight="false" outlineLevel="0" collapsed="false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</row>
    <row r="25" customFormat="false" ht="15.75" hidden="false" customHeight="false" outlineLevel="0" collapsed="false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</row>
    <row r="26" customFormat="false" ht="15.75" hidden="false" customHeight="false" outlineLevel="0" collapsed="false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</row>
    <row r="27" customFormat="false" ht="15.75" hidden="false" customHeight="false" outlineLevel="0" collapsed="false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</row>
    <row r="28" customFormat="false" ht="15.75" hidden="false" customHeight="false" outlineLevel="0" collapsed="false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</row>
    <row r="29" customFormat="false" ht="15.75" hidden="false" customHeight="false" outlineLevel="0" collapsed="false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</row>
    <row r="30" customFormat="false" ht="15.75" hidden="false" customHeight="false" outlineLevel="0" collapsed="false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</row>
    <row r="31" customFormat="false" ht="15.75" hidden="false" customHeight="false" outlineLevel="0" collapsed="false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</row>
    <row r="32" customFormat="false" ht="15.75" hidden="false" customHeight="false" outlineLevel="0" collapsed="false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</row>
    <row r="33" customFormat="false" ht="15.75" hidden="false" customHeight="false" outlineLevel="0" collapsed="false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4" customFormat="false" ht="15.75" hidden="false" customHeight="false" outlineLevel="0" collapsed="false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</row>
    <row r="35" customFormat="false" ht="15.75" hidden="false" customHeight="false" outlineLevel="0" collapsed="false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</row>
    <row r="36" customFormat="false" ht="15.75" hidden="false" customHeight="false" outlineLevel="0" collapsed="false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</row>
    <row r="37" customFormat="false" ht="15.75" hidden="false" customHeight="false" outlineLevel="0" collapsed="false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</row>
    <row r="38" customFormat="false" ht="15.75" hidden="false" customHeight="false" outlineLevel="0" collapsed="false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</row>
    <row r="39" customFormat="false" ht="15.75" hidden="false" customHeight="false" outlineLevel="0" collapsed="false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</row>
    <row r="40" customFormat="false" ht="15.75" hidden="false" customHeight="false" outlineLevel="0" collapsed="false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customFormat="false" ht="15.75" hidden="false" customHeight="false" outlineLevel="0" collapsed="false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</row>
    <row r="42" customFormat="false" ht="15.75" hidden="false" customHeight="false" outlineLevel="0" collapsed="false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</row>
    <row r="43" customFormat="false" ht="15.75" hidden="false" customHeight="false" outlineLevel="0" collapsed="false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</row>
    <row r="44" customFormat="false" ht="15.75" hidden="false" customHeight="false" outlineLevel="0" collapsed="false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</row>
    <row r="45" customFormat="false" ht="15.75" hidden="false" customHeight="false" outlineLevel="0" collapsed="false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</row>
    <row r="46" customFormat="false" ht="15.75" hidden="false" customHeight="false" outlineLevel="0" collapsed="false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</row>
    <row r="47" customFormat="false" ht="15.75" hidden="false" customHeight="false" outlineLevel="0" collapsed="false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</row>
    <row r="48" customFormat="false" ht="15.75" hidden="false" customHeight="false" outlineLevel="0" collapsed="false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</row>
    <row r="49" customFormat="false" ht="15.75" hidden="false" customHeight="false" outlineLevel="0" collapsed="false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</row>
    <row r="50" customFormat="false" ht="15.75" hidden="false" customHeight="false" outlineLevel="0" collapsed="false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</row>
    <row r="51" customFormat="false" ht="15.75" hidden="false" customHeight="false" outlineLevel="0" collapsed="false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</row>
    <row r="52" customFormat="false" ht="15.75" hidden="false" customHeight="false" outlineLevel="0" collapsed="false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customFormat="false" ht="15.75" hidden="false" customHeight="false" outlineLevel="0" collapsed="false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</row>
    <row r="54" customFormat="false" ht="15.75" hidden="false" customHeight="false" outlineLevel="0" collapsed="false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 customFormat="false" ht="15.75" hidden="false" customHeight="false" outlineLevel="0" collapsed="false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</row>
    <row r="56" customFormat="false" ht="15.75" hidden="false" customHeight="false" outlineLevel="0" collapsed="false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</row>
    <row r="57" customFormat="false" ht="15.75" hidden="false" customHeight="false" outlineLevel="0" collapsed="false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</row>
    <row r="58" customFormat="false" ht="15.75" hidden="false" customHeight="false" outlineLevel="0" collapsed="false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</row>
    <row r="59" customFormat="false" ht="15.75" hidden="false" customHeight="false" outlineLevel="0" collapsed="false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</row>
    <row r="60" customFormat="false" ht="15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</row>
    <row r="61" customFormat="false" ht="15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customFormat="false" ht="15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</row>
    <row r="63" customFormat="false" ht="15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</row>
    <row r="64" customFormat="false" ht="15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</row>
    <row r="65" customFormat="false" ht="15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</row>
    <row r="66" customFormat="false" ht="15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</row>
    <row r="67" customFormat="false" ht="15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</row>
    <row r="68" customFormat="false" ht="15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</row>
    <row r="69" customFormat="false" ht="15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</row>
    <row r="70" customFormat="false" ht="15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</row>
    <row r="71" customFormat="false" ht="15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</row>
    <row r="72" customFormat="false" ht="15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 customFormat="false" ht="15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</row>
    <row r="74" customFormat="false" ht="15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</row>
    <row r="75" customFormat="false" ht="15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</row>
    <row r="76" customFormat="false" ht="15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</row>
    <row r="77" customFormat="false" ht="15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</row>
    <row r="78" customFormat="false" ht="15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</row>
    <row r="79" customFormat="false" ht="15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</row>
    <row r="80" customFormat="false" ht="15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</row>
    <row r="81" customFormat="false" ht="15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</row>
    <row r="82" customFormat="false" ht="15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</row>
    <row r="83" customFormat="false" ht="15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</row>
    <row r="84" customFormat="false" ht="15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</row>
    <row r="85" customFormat="false" ht="15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</row>
    <row r="86" customFormat="false" ht="15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</row>
    <row r="87" customFormat="false" ht="15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</row>
    <row r="88" customFormat="false" ht="15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</row>
    <row r="89" customFormat="false" ht="15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</row>
    <row r="90" customFormat="false" ht="15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</row>
    <row r="91" customFormat="false" ht="15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</row>
    <row r="92" customFormat="false" ht="15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</row>
    <row r="93" customFormat="false" ht="15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</row>
    <row r="94" customFormat="false" ht="15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</row>
    <row r="95" customFormat="false" ht="15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</row>
    <row r="96" customFormat="false" ht="15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</row>
    <row r="97" customFormat="false" ht="15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</row>
    <row r="98" customFormat="false" ht="15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</row>
    <row r="99" customFormat="false" ht="15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</row>
    <row r="100" customFormat="false" ht="15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</row>
    <row r="101" customFormat="false" ht="15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</row>
    <row r="102" customFormat="false" ht="15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</row>
    <row r="103" customFormat="false" ht="15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 customFormat="false" ht="15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</row>
    <row r="105" customFormat="false" ht="15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</row>
    <row r="106" customFormat="false" ht="15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</row>
    <row r="107" customFormat="false" ht="15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customFormat="false" ht="15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</row>
    <row r="109" customFormat="false" ht="15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</row>
    <row r="110" customFormat="false" ht="15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</row>
    <row r="111" customFormat="false" ht="15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</row>
    <row r="112" customFormat="false" ht="15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</row>
    <row r="113" customFormat="false" ht="15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 customFormat="false" ht="15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</row>
    <row r="115" customFormat="false" ht="15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</row>
    <row r="116" customFormat="false" ht="15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</row>
    <row r="117" customFormat="false" ht="15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</row>
    <row r="118" customFormat="false" ht="15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</row>
    <row r="119" customFormat="false" ht="15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</row>
    <row r="120" customFormat="false" ht="15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</row>
    <row r="121" customFormat="false" ht="15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</row>
    <row r="122" customFormat="false" ht="15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</row>
    <row r="123" customFormat="false" ht="15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</row>
    <row r="124" customFormat="false" ht="15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</row>
    <row r="125" customFormat="false" ht="15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</row>
    <row r="126" customFormat="false" ht="15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</row>
    <row r="127" customFormat="false" ht="15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</row>
    <row r="128" customFormat="false" ht="15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</row>
    <row r="129" customFormat="false" ht="15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</row>
    <row r="130" customFormat="false" ht="15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</row>
    <row r="131" customFormat="false" ht="15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</row>
    <row r="132" customFormat="false" ht="15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</row>
    <row r="133" customFormat="false" ht="15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</row>
    <row r="134" customFormat="false" ht="15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</row>
    <row r="135" customFormat="false" ht="15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</row>
    <row r="136" customFormat="false" ht="15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</row>
    <row r="137" customFormat="false" ht="15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</row>
    <row r="138" customFormat="false" ht="15.75" hidden="false" customHeight="false" outlineLevel="0" collapsed="false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</row>
    <row r="139" customFormat="false" ht="15.75" hidden="false" customHeight="false" outlineLevel="0" collapsed="false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</row>
    <row r="140" customFormat="false" ht="15.75" hidden="false" customHeight="false" outlineLevel="0" collapsed="false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</row>
    <row r="141" customFormat="false" ht="15.75" hidden="false" customHeight="false" outlineLevel="0" collapsed="false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</row>
    <row r="142" customFormat="false" ht="15.75" hidden="false" customHeight="false" outlineLevel="0" collapsed="false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</row>
    <row r="143" customFormat="false" ht="15.75" hidden="false" customHeight="false" outlineLevel="0" collapsed="false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 customFormat="false" ht="15.75" hidden="false" customHeight="false" outlineLevel="0" collapsed="false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</row>
    <row r="145" customFormat="false" ht="15.75" hidden="false" customHeight="false" outlineLevel="0" collapsed="false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</row>
    <row r="146" customFormat="false" ht="15.75" hidden="false" customHeight="false" outlineLevel="0" collapsed="false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</row>
    <row r="147" customFormat="false" ht="15.75" hidden="false" customHeight="false" outlineLevel="0" collapsed="false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</row>
    <row r="148" customFormat="false" ht="15.75" hidden="false" customHeight="false" outlineLevel="0" collapsed="false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</row>
    <row r="149" customFormat="false" ht="15.75" hidden="false" customHeight="false" outlineLevel="0" collapsed="false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</row>
    <row r="150" customFormat="false" ht="15.75" hidden="false" customHeight="false" outlineLevel="0" collapsed="false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</row>
    <row r="151" customFormat="false" ht="15.75" hidden="false" customHeight="false" outlineLevel="0" collapsed="false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</row>
    <row r="152" customFormat="false" ht="15.75" hidden="false" customHeight="false" outlineLevel="0" collapsed="false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</row>
    <row r="153" customFormat="false" ht="15.75" hidden="false" customHeight="false" outlineLevel="0" collapsed="false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</row>
    <row r="154" customFormat="false" ht="15.75" hidden="false" customHeight="false" outlineLevel="0" collapsed="false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</row>
    <row r="155" customFormat="false" ht="15.75" hidden="false" customHeight="false" outlineLevel="0" collapsed="false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</row>
    <row r="156" customFormat="false" ht="15.75" hidden="false" customHeight="false" outlineLevel="0" collapsed="false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</row>
    <row r="157" customFormat="false" ht="15.75" hidden="false" customHeight="false" outlineLevel="0" collapsed="false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</row>
    <row r="158" customFormat="false" ht="15.75" hidden="false" customHeight="false" outlineLevel="0" collapsed="false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</row>
    <row r="159" customFormat="false" ht="15.75" hidden="false" customHeight="false" outlineLevel="0" collapsed="false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</row>
    <row r="160" customFormat="false" ht="15.75" hidden="false" customHeight="false" outlineLevel="0" collapsed="false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</row>
    <row r="161" customFormat="false" ht="15.75" hidden="false" customHeight="false" outlineLevel="0" collapsed="false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</row>
    <row r="162" customFormat="false" ht="15.75" hidden="false" customHeight="false" outlineLevel="0" collapsed="false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</row>
    <row r="163" customFormat="false" ht="15.75" hidden="false" customHeight="false" outlineLevel="0" collapsed="false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</row>
    <row r="164" customFormat="false" ht="15.75" hidden="false" customHeight="false" outlineLevel="0" collapsed="false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</row>
    <row r="165" customFormat="false" ht="15.75" hidden="false" customHeight="false" outlineLevel="0" collapsed="false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</row>
    <row r="166" customFormat="false" ht="15.75" hidden="false" customHeight="false" outlineLevel="0" collapsed="false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</row>
    <row r="167" customFormat="false" ht="15.75" hidden="false" customHeight="false" outlineLevel="0" collapsed="false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</row>
    <row r="168" customFormat="false" ht="15.75" hidden="false" customHeight="false" outlineLevel="0" collapsed="false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</row>
    <row r="169" customFormat="false" ht="15.75" hidden="false" customHeight="false" outlineLevel="0" collapsed="false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</row>
    <row r="170" customFormat="false" ht="15.75" hidden="false" customHeight="false" outlineLevel="0" collapsed="false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</row>
    <row r="171" customFormat="false" ht="15.75" hidden="false" customHeight="false" outlineLevel="0" collapsed="false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</row>
    <row r="172" customFormat="false" ht="15.75" hidden="false" customHeight="false" outlineLevel="0" collapsed="false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</row>
    <row r="173" customFormat="false" ht="15.75" hidden="false" customHeight="false" outlineLevel="0" collapsed="false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</row>
    <row r="174" customFormat="false" ht="15.75" hidden="false" customHeight="false" outlineLevel="0" collapsed="false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</row>
    <row r="175" customFormat="false" ht="15.75" hidden="false" customHeight="false" outlineLevel="0" collapsed="false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</row>
    <row r="176" customFormat="false" ht="15.75" hidden="false" customHeight="false" outlineLevel="0" collapsed="false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</row>
    <row r="177" customFormat="false" ht="15.75" hidden="false" customHeight="false" outlineLevel="0" collapsed="false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</row>
    <row r="178" customFormat="false" ht="15.75" hidden="false" customHeight="false" outlineLevel="0" collapsed="false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</row>
    <row r="179" customFormat="false" ht="15.75" hidden="false" customHeight="false" outlineLevel="0" collapsed="false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</row>
    <row r="180" customFormat="false" ht="15.75" hidden="false" customHeight="false" outlineLevel="0" collapsed="false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</row>
    <row r="181" customFormat="false" ht="15.75" hidden="false" customHeight="false" outlineLevel="0" collapsed="false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</row>
    <row r="182" customFormat="false" ht="15.75" hidden="false" customHeight="false" outlineLevel="0" collapsed="false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</row>
    <row r="183" customFormat="false" ht="15.75" hidden="false" customHeight="false" outlineLevel="0" collapsed="false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</row>
    <row r="184" customFormat="false" ht="15.75" hidden="false" customHeight="false" outlineLevel="0" collapsed="false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</row>
    <row r="185" customFormat="false" ht="15.75" hidden="false" customHeight="false" outlineLevel="0" collapsed="false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</row>
    <row r="186" customFormat="false" ht="15.75" hidden="false" customHeight="false" outlineLevel="0" collapsed="false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</row>
    <row r="187" customFormat="false" ht="15.75" hidden="false" customHeight="false" outlineLevel="0" collapsed="false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</row>
    <row r="188" customFormat="false" ht="15.75" hidden="false" customHeight="false" outlineLevel="0" collapsed="false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</row>
    <row r="189" customFormat="false" ht="15.75" hidden="false" customHeight="false" outlineLevel="0" collapsed="false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</row>
    <row r="190" customFormat="false" ht="15.75" hidden="false" customHeight="false" outlineLevel="0" collapsed="false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</row>
    <row r="191" customFormat="false" ht="15.75" hidden="false" customHeight="false" outlineLevel="0" collapsed="false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</row>
    <row r="192" customFormat="false" ht="15.75" hidden="false" customHeight="false" outlineLevel="0" collapsed="false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</row>
    <row r="193" customFormat="false" ht="15.75" hidden="false" customHeight="false" outlineLevel="0" collapsed="false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</row>
    <row r="194" customFormat="false" ht="15.75" hidden="false" customHeight="false" outlineLevel="0" collapsed="false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</row>
    <row r="195" customFormat="false" ht="15.75" hidden="false" customHeight="false" outlineLevel="0" collapsed="false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</row>
    <row r="196" customFormat="false" ht="15.75" hidden="false" customHeight="false" outlineLevel="0" collapsed="false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</row>
    <row r="197" customFormat="false" ht="15.75" hidden="false" customHeight="false" outlineLevel="0" collapsed="false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</row>
    <row r="198" customFormat="false" ht="15.75" hidden="false" customHeight="false" outlineLevel="0" collapsed="false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</row>
    <row r="199" customFormat="false" ht="15.75" hidden="false" customHeight="false" outlineLevel="0" collapsed="false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</row>
    <row r="200" customFormat="false" ht="15.75" hidden="false" customHeight="false" outlineLevel="0" collapsed="false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</row>
    <row r="201" customFormat="false" ht="15.75" hidden="false" customHeight="false" outlineLevel="0" collapsed="false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</row>
    <row r="202" customFormat="false" ht="15.75" hidden="false" customHeight="false" outlineLevel="0" collapsed="false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</row>
    <row r="203" customFormat="false" ht="15.75" hidden="false" customHeight="false" outlineLevel="0" collapsed="false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</row>
    <row r="204" customFormat="false" ht="15.75" hidden="false" customHeight="false" outlineLevel="0" collapsed="false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</row>
    <row r="205" customFormat="false" ht="15.75" hidden="false" customHeight="false" outlineLevel="0" collapsed="false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</row>
    <row r="206" customFormat="false" ht="15.75" hidden="false" customHeight="false" outlineLevel="0" collapsed="false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</row>
    <row r="207" customFormat="false" ht="15.75" hidden="false" customHeight="false" outlineLevel="0" collapsed="false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</row>
    <row r="208" customFormat="false" ht="15.75" hidden="false" customHeight="false" outlineLevel="0" collapsed="false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</row>
    <row r="209" customFormat="false" ht="15.75" hidden="false" customHeight="false" outlineLevel="0" collapsed="false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</row>
    <row r="210" customFormat="false" ht="15.75" hidden="false" customHeight="false" outlineLevel="0" collapsed="false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</row>
    <row r="211" customFormat="false" ht="15.75" hidden="false" customHeight="false" outlineLevel="0" collapsed="false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</row>
    <row r="212" customFormat="false" ht="15.75" hidden="false" customHeight="false" outlineLevel="0" collapsed="false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</row>
    <row r="213" customFormat="false" ht="15.75" hidden="false" customHeight="false" outlineLevel="0" collapsed="false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</row>
    <row r="214" customFormat="false" ht="15.75" hidden="false" customHeight="false" outlineLevel="0" collapsed="false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</row>
    <row r="215" customFormat="false" ht="15.75" hidden="false" customHeight="false" outlineLevel="0" collapsed="false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</row>
    <row r="216" customFormat="false" ht="15.75" hidden="false" customHeight="false" outlineLevel="0" collapsed="false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</row>
    <row r="217" customFormat="false" ht="15.75" hidden="false" customHeight="false" outlineLevel="0" collapsed="false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</row>
    <row r="218" customFormat="false" ht="15.75" hidden="false" customHeight="false" outlineLevel="0" collapsed="false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</row>
    <row r="219" customFormat="false" ht="15.75" hidden="false" customHeight="false" outlineLevel="0" collapsed="false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</row>
    <row r="220" customFormat="false" ht="15.75" hidden="false" customHeight="false" outlineLevel="0" collapsed="false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</row>
    <row r="221" customFormat="false" ht="15.75" hidden="false" customHeight="false" outlineLevel="0" collapsed="false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</row>
    <row r="222" customFormat="false" ht="15.75" hidden="false" customHeight="false" outlineLevel="0" collapsed="false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</row>
    <row r="223" customFormat="false" ht="15.75" hidden="false" customHeight="false" outlineLevel="0" collapsed="false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</row>
    <row r="224" customFormat="false" ht="15.75" hidden="false" customHeight="false" outlineLevel="0" collapsed="false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</row>
    <row r="225" customFormat="false" ht="15.75" hidden="false" customHeight="false" outlineLevel="0" collapsed="false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</row>
    <row r="226" customFormat="false" ht="15.75" hidden="false" customHeight="false" outlineLevel="0" collapsed="false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</row>
    <row r="227" customFormat="false" ht="15.75" hidden="false" customHeight="false" outlineLevel="0" collapsed="false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</row>
    <row r="228" customFormat="false" ht="15.75" hidden="false" customHeight="false" outlineLevel="0" collapsed="false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</row>
    <row r="229" customFormat="false" ht="15.75" hidden="false" customHeight="false" outlineLevel="0" collapsed="false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</row>
    <row r="230" customFormat="false" ht="15.75" hidden="false" customHeight="false" outlineLevel="0" collapsed="false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</row>
    <row r="231" customFormat="false" ht="15.75" hidden="false" customHeight="false" outlineLevel="0" collapsed="false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</row>
    <row r="232" customFormat="false" ht="15.75" hidden="false" customHeight="false" outlineLevel="0" collapsed="false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</row>
    <row r="233" customFormat="false" ht="15.75" hidden="false" customHeight="false" outlineLevel="0" collapsed="false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</row>
    <row r="234" customFormat="false" ht="15.75" hidden="false" customHeight="false" outlineLevel="0" collapsed="false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</row>
    <row r="235" customFormat="false" ht="15.75" hidden="false" customHeight="false" outlineLevel="0" collapsed="false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</row>
    <row r="236" customFormat="false" ht="15.75" hidden="false" customHeight="false" outlineLevel="0" collapsed="false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</row>
    <row r="237" customFormat="false" ht="15.75" hidden="false" customHeight="false" outlineLevel="0" collapsed="false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</row>
    <row r="238" customFormat="false" ht="15.75" hidden="false" customHeight="false" outlineLevel="0" collapsed="false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</row>
    <row r="239" customFormat="false" ht="15.75" hidden="false" customHeight="false" outlineLevel="0" collapsed="false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</row>
    <row r="240" customFormat="false" ht="15.75" hidden="false" customHeight="false" outlineLevel="0" collapsed="false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</row>
    <row r="241" customFormat="false" ht="15.75" hidden="false" customHeight="false" outlineLevel="0" collapsed="false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</row>
    <row r="242" customFormat="false" ht="15.75" hidden="false" customHeight="false" outlineLevel="0" collapsed="false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</row>
    <row r="243" customFormat="false" ht="15.75" hidden="false" customHeight="false" outlineLevel="0" collapsed="false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</row>
    <row r="244" customFormat="false" ht="15.75" hidden="false" customHeight="false" outlineLevel="0" collapsed="false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</row>
    <row r="245" customFormat="false" ht="15.75" hidden="false" customHeight="false" outlineLevel="0" collapsed="false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</row>
    <row r="246" customFormat="false" ht="15.75" hidden="false" customHeight="false" outlineLevel="0" collapsed="false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</row>
    <row r="247" customFormat="false" ht="15.75" hidden="false" customHeight="false" outlineLevel="0" collapsed="false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</row>
    <row r="248" customFormat="false" ht="15.75" hidden="false" customHeight="false" outlineLevel="0" collapsed="false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</row>
    <row r="249" customFormat="false" ht="15.75" hidden="false" customHeight="false" outlineLevel="0" collapsed="false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30"/>
      <c r="L249" s="130"/>
      <c r="M249" s="130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</row>
    <row r="250" customFormat="false" ht="15.75" hidden="false" customHeight="false" outlineLevel="0" collapsed="false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30"/>
      <c r="L250" s="130"/>
      <c r="M250" s="130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</row>
    <row r="251" customFormat="false" ht="15.75" hidden="false" customHeight="false" outlineLevel="0" collapsed="false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30"/>
      <c r="L251" s="130"/>
      <c r="M251" s="130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</row>
    <row r="252" customFormat="false" ht="15.75" hidden="false" customHeight="false" outlineLevel="0" collapsed="false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30"/>
      <c r="L252" s="130"/>
      <c r="M252" s="130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</row>
    <row r="253" customFormat="false" ht="15.75" hidden="false" customHeight="false" outlineLevel="0" collapsed="false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30"/>
      <c r="L253" s="130"/>
      <c r="M253" s="130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</row>
    <row r="254" customFormat="false" ht="15.75" hidden="false" customHeight="false" outlineLevel="0" collapsed="false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30"/>
      <c r="L254" s="130"/>
      <c r="M254" s="130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</row>
    <row r="255" customFormat="false" ht="15.75" hidden="false" customHeight="false" outlineLevel="0" collapsed="false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30"/>
      <c r="L255" s="130"/>
      <c r="M255" s="130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</row>
    <row r="256" customFormat="false" ht="15.75" hidden="false" customHeight="false" outlineLevel="0" collapsed="false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30"/>
      <c r="L256" s="130"/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</row>
    <row r="257" customFormat="false" ht="15.75" hidden="false" customHeight="false" outlineLevel="0" collapsed="false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</row>
    <row r="258" customFormat="false" ht="15.75" hidden="false" customHeight="false" outlineLevel="0" collapsed="false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30"/>
      <c r="L258" s="130"/>
      <c r="M258" s="130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</row>
    <row r="259" customFormat="false" ht="15.75" hidden="false" customHeight="false" outlineLevel="0" collapsed="false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</row>
    <row r="260" customFormat="false" ht="15.75" hidden="false" customHeight="false" outlineLevel="0" collapsed="false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</row>
    <row r="261" customFormat="false" ht="15.75" hidden="false" customHeight="false" outlineLevel="0" collapsed="false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</row>
    <row r="262" customFormat="false" ht="15.75" hidden="false" customHeight="false" outlineLevel="0" collapsed="false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</row>
    <row r="263" customFormat="false" ht="15.75" hidden="false" customHeight="false" outlineLevel="0" collapsed="false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</row>
    <row r="264" customFormat="false" ht="15.75" hidden="false" customHeight="false" outlineLevel="0" collapsed="false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</row>
    <row r="265" customFormat="false" ht="15.75" hidden="false" customHeight="false" outlineLevel="0" collapsed="false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</row>
    <row r="266" customFormat="false" ht="15.75" hidden="false" customHeight="false" outlineLevel="0" collapsed="false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</row>
    <row r="267" customFormat="false" ht="15.75" hidden="false" customHeight="false" outlineLevel="0" collapsed="false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</row>
    <row r="268" customFormat="false" ht="15.75" hidden="false" customHeight="false" outlineLevel="0" collapsed="false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</row>
    <row r="269" customFormat="false" ht="15.75" hidden="false" customHeight="false" outlineLevel="0" collapsed="false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</row>
    <row r="270" customFormat="false" ht="15.75" hidden="false" customHeight="false" outlineLevel="0" collapsed="false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</row>
    <row r="271" customFormat="false" ht="15.75" hidden="false" customHeight="false" outlineLevel="0" collapsed="false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</row>
    <row r="272" customFormat="false" ht="15.75" hidden="false" customHeight="false" outlineLevel="0" collapsed="false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</row>
    <row r="273" customFormat="false" ht="15.75" hidden="false" customHeight="false" outlineLevel="0" collapsed="false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</row>
    <row r="274" customFormat="false" ht="15.75" hidden="false" customHeight="false" outlineLevel="0" collapsed="false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</row>
    <row r="275" customFormat="false" ht="15.75" hidden="false" customHeight="false" outlineLevel="0" collapsed="false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</row>
    <row r="276" customFormat="false" ht="15.75" hidden="false" customHeight="false" outlineLevel="0" collapsed="false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</row>
    <row r="277" customFormat="false" ht="15.75" hidden="false" customHeight="false" outlineLevel="0" collapsed="false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</row>
    <row r="278" customFormat="false" ht="15.75" hidden="false" customHeight="false" outlineLevel="0" collapsed="false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</row>
    <row r="279" customFormat="false" ht="15.75" hidden="false" customHeight="false" outlineLevel="0" collapsed="false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</row>
    <row r="280" customFormat="false" ht="15.75" hidden="false" customHeight="false" outlineLevel="0" collapsed="false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</row>
    <row r="281" customFormat="false" ht="15.75" hidden="false" customHeight="false" outlineLevel="0" collapsed="false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</row>
    <row r="282" customFormat="false" ht="15.75" hidden="false" customHeight="false" outlineLevel="0" collapsed="false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</row>
    <row r="283" customFormat="false" ht="15.75" hidden="false" customHeight="false" outlineLevel="0" collapsed="false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</row>
    <row r="284" customFormat="false" ht="15.75" hidden="false" customHeight="false" outlineLevel="0" collapsed="false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</row>
    <row r="285" customFormat="false" ht="15.75" hidden="false" customHeight="false" outlineLevel="0" collapsed="false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</row>
    <row r="286" customFormat="false" ht="15.75" hidden="false" customHeight="false" outlineLevel="0" collapsed="false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</row>
    <row r="287" customFormat="false" ht="15.75" hidden="false" customHeight="false" outlineLevel="0" collapsed="false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</row>
    <row r="288" customFormat="false" ht="15.75" hidden="false" customHeight="false" outlineLevel="0" collapsed="false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30"/>
      <c r="L288" s="130"/>
      <c r="M288" s="130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</row>
    <row r="289" customFormat="false" ht="15.75" hidden="false" customHeight="false" outlineLevel="0" collapsed="false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30"/>
      <c r="L289" s="130"/>
      <c r="M289" s="130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</row>
    <row r="290" customFormat="false" ht="15.75" hidden="false" customHeight="false" outlineLevel="0" collapsed="false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</row>
    <row r="291" customFormat="false" ht="15.75" hidden="false" customHeight="false" outlineLevel="0" collapsed="false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30"/>
      <c r="L291" s="130"/>
      <c r="M291" s="130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</row>
    <row r="292" customFormat="false" ht="15.75" hidden="false" customHeight="false" outlineLevel="0" collapsed="false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</row>
    <row r="293" customFormat="false" ht="15.75" hidden="false" customHeight="false" outlineLevel="0" collapsed="false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30"/>
      <c r="L293" s="130"/>
      <c r="M293" s="130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</row>
    <row r="294" customFormat="false" ht="15.75" hidden="false" customHeight="false" outlineLevel="0" collapsed="false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30"/>
      <c r="L294" s="130"/>
      <c r="M294" s="130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</row>
    <row r="295" customFormat="false" ht="15.75" hidden="false" customHeight="false" outlineLevel="0" collapsed="false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30"/>
      <c r="L295" s="130"/>
      <c r="M295" s="130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</row>
    <row r="296" customFormat="false" ht="15.75" hidden="false" customHeight="false" outlineLevel="0" collapsed="false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</row>
    <row r="297" customFormat="false" ht="15.75" hidden="false" customHeight="false" outlineLevel="0" collapsed="false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</row>
    <row r="298" customFormat="false" ht="15.75" hidden="false" customHeight="false" outlineLevel="0" collapsed="false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30"/>
      <c r="L298" s="130"/>
      <c r="M298" s="130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</row>
    <row r="299" customFormat="false" ht="15.75" hidden="false" customHeight="false" outlineLevel="0" collapsed="false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</row>
    <row r="300" customFormat="false" ht="15.75" hidden="false" customHeight="false" outlineLevel="0" collapsed="false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30"/>
      <c r="L300" s="130"/>
      <c r="M300" s="130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</row>
    <row r="301" customFormat="false" ht="15.75" hidden="false" customHeight="false" outlineLevel="0" collapsed="false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30"/>
      <c r="L301" s="130"/>
      <c r="M301" s="130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</row>
    <row r="302" customFormat="false" ht="15.75" hidden="false" customHeight="false" outlineLevel="0" collapsed="false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30"/>
      <c r="L302" s="130"/>
      <c r="M302" s="130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</row>
    <row r="303" customFormat="false" ht="15.75" hidden="false" customHeight="false" outlineLevel="0" collapsed="false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30"/>
      <c r="L303" s="130"/>
      <c r="M303" s="130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</row>
    <row r="304" customFormat="false" ht="15.75" hidden="false" customHeight="false" outlineLevel="0" collapsed="false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</row>
    <row r="305" customFormat="false" ht="15.75" hidden="false" customHeight="false" outlineLevel="0" collapsed="false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</row>
    <row r="306" customFormat="false" ht="15.75" hidden="false" customHeight="false" outlineLevel="0" collapsed="false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30"/>
      <c r="L306" s="130"/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</row>
    <row r="307" customFormat="false" ht="15.75" hidden="false" customHeight="false" outlineLevel="0" collapsed="false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</row>
    <row r="308" customFormat="false" ht="15.75" hidden="false" customHeight="false" outlineLevel="0" collapsed="false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</row>
    <row r="309" customFormat="false" ht="15.75" hidden="false" customHeight="false" outlineLevel="0" collapsed="false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</row>
    <row r="310" customFormat="false" ht="15.75" hidden="false" customHeight="false" outlineLevel="0" collapsed="false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</row>
    <row r="311" customFormat="false" ht="15.75" hidden="false" customHeight="false" outlineLevel="0" collapsed="false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</row>
    <row r="312" customFormat="false" ht="15.75" hidden="false" customHeight="false" outlineLevel="0" collapsed="false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</row>
    <row r="313" customFormat="false" ht="15.75" hidden="false" customHeight="false" outlineLevel="0" collapsed="false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</row>
    <row r="314" customFormat="false" ht="15.75" hidden="false" customHeight="false" outlineLevel="0" collapsed="false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</row>
    <row r="315" customFormat="false" ht="15.75" hidden="false" customHeight="false" outlineLevel="0" collapsed="false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</row>
    <row r="316" customFormat="false" ht="15.75" hidden="false" customHeight="false" outlineLevel="0" collapsed="false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</row>
    <row r="317" customFormat="false" ht="15.75" hidden="false" customHeight="false" outlineLevel="0" collapsed="false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</row>
    <row r="318" customFormat="false" ht="15.75" hidden="false" customHeight="false" outlineLevel="0" collapsed="false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</row>
    <row r="319" customFormat="false" ht="15.75" hidden="false" customHeight="false" outlineLevel="0" collapsed="false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</row>
    <row r="320" customFormat="false" ht="15.75" hidden="false" customHeight="false" outlineLevel="0" collapsed="false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</row>
    <row r="321" customFormat="false" ht="15.75" hidden="false" customHeight="false" outlineLevel="0" collapsed="false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</row>
    <row r="322" customFormat="false" ht="15.75" hidden="false" customHeight="false" outlineLevel="0" collapsed="false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</row>
    <row r="323" customFormat="false" ht="15.75" hidden="false" customHeight="false" outlineLevel="0" collapsed="false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</row>
    <row r="324" customFormat="false" ht="15.75" hidden="false" customHeight="false" outlineLevel="0" collapsed="false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</row>
    <row r="325" customFormat="false" ht="15.75" hidden="false" customHeight="false" outlineLevel="0" collapsed="false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</row>
    <row r="326" customFormat="false" ht="15.75" hidden="false" customHeight="false" outlineLevel="0" collapsed="false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</row>
    <row r="327" customFormat="false" ht="15.75" hidden="false" customHeight="false" outlineLevel="0" collapsed="false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</row>
    <row r="328" customFormat="false" ht="15.75" hidden="false" customHeight="false" outlineLevel="0" collapsed="false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</row>
    <row r="329" customFormat="false" ht="15.75" hidden="false" customHeight="false" outlineLevel="0" collapsed="false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</row>
    <row r="330" customFormat="false" ht="15.75" hidden="false" customHeight="false" outlineLevel="0" collapsed="false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</row>
    <row r="331" customFormat="false" ht="15.75" hidden="false" customHeight="false" outlineLevel="0" collapsed="false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</row>
    <row r="332" customFormat="false" ht="15.75" hidden="false" customHeight="false" outlineLevel="0" collapsed="false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</row>
    <row r="333" customFormat="false" ht="15.75" hidden="false" customHeight="false" outlineLevel="0" collapsed="false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</row>
    <row r="334" customFormat="false" ht="15.75" hidden="false" customHeight="false" outlineLevel="0" collapsed="false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</row>
    <row r="335" customFormat="false" ht="15.75" hidden="false" customHeight="false" outlineLevel="0" collapsed="false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</row>
    <row r="336" customFormat="false" ht="15.75" hidden="false" customHeight="false" outlineLevel="0" collapsed="false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</row>
    <row r="337" customFormat="false" ht="15.75" hidden="false" customHeight="false" outlineLevel="0" collapsed="false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</row>
    <row r="338" customFormat="false" ht="15.75" hidden="false" customHeight="false" outlineLevel="0" collapsed="false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</row>
    <row r="339" customFormat="false" ht="15.75" hidden="false" customHeight="false" outlineLevel="0" collapsed="false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</row>
    <row r="340" customFormat="false" ht="15.75" hidden="false" customHeight="false" outlineLevel="0" collapsed="false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</row>
    <row r="341" customFormat="false" ht="15.75" hidden="false" customHeight="false" outlineLevel="0" collapsed="false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</row>
    <row r="342" customFormat="false" ht="15.75" hidden="false" customHeight="false" outlineLevel="0" collapsed="false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</row>
    <row r="343" customFormat="false" ht="15.75" hidden="false" customHeight="false" outlineLevel="0" collapsed="false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</row>
    <row r="344" customFormat="false" ht="15.75" hidden="false" customHeight="false" outlineLevel="0" collapsed="false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</row>
    <row r="345" customFormat="false" ht="15.75" hidden="false" customHeight="false" outlineLevel="0" collapsed="false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</row>
    <row r="346" customFormat="false" ht="15.75" hidden="false" customHeight="false" outlineLevel="0" collapsed="false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</row>
    <row r="347" customFormat="false" ht="15.75" hidden="false" customHeight="false" outlineLevel="0" collapsed="false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</row>
    <row r="348" customFormat="false" ht="15.75" hidden="false" customHeight="false" outlineLevel="0" collapsed="false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</row>
    <row r="349" customFormat="false" ht="15.75" hidden="false" customHeight="false" outlineLevel="0" collapsed="false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</row>
    <row r="350" customFormat="false" ht="15.75" hidden="false" customHeight="false" outlineLevel="0" collapsed="false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</row>
    <row r="351" customFormat="false" ht="15.75" hidden="false" customHeight="false" outlineLevel="0" collapsed="false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</row>
    <row r="352" customFormat="false" ht="15.75" hidden="false" customHeight="false" outlineLevel="0" collapsed="false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</row>
    <row r="353" customFormat="false" ht="15.75" hidden="false" customHeight="false" outlineLevel="0" collapsed="false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</row>
    <row r="354" customFormat="false" ht="15.75" hidden="false" customHeight="false" outlineLevel="0" collapsed="false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</row>
    <row r="355" customFormat="false" ht="15.75" hidden="false" customHeight="false" outlineLevel="0" collapsed="false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</row>
    <row r="356" customFormat="false" ht="15.75" hidden="false" customHeight="false" outlineLevel="0" collapsed="false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</row>
    <row r="357" customFormat="false" ht="15.75" hidden="false" customHeight="false" outlineLevel="0" collapsed="false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</row>
    <row r="358" customFormat="false" ht="15.75" hidden="false" customHeight="false" outlineLevel="0" collapsed="false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</row>
    <row r="359" customFormat="false" ht="15.75" hidden="false" customHeight="false" outlineLevel="0" collapsed="false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</row>
    <row r="360" customFormat="false" ht="15.75" hidden="false" customHeight="false" outlineLevel="0" collapsed="false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</row>
    <row r="361" customFormat="false" ht="15.75" hidden="false" customHeight="false" outlineLevel="0" collapsed="false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</row>
    <row r="362" customFormat="false" ht="15.75" hidden="false" customHeight="false" outlineLevel="0" collapsed="false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</row>
    <row r="363" customFormat="false" ht="15.75" hidden="false" customHeight="false" outlineLevel="0" collapsed="false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</row>
    <row r="364" customFormat="false" ht="15.75" hidden="false" customHeight="false" outlineLevel="0" collapsed="false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</row>
    <row r="365" customFormat="false" ht="15.75" hidden="false" customHeight="false" outlineLevel="0" collapsed="false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</row>
    <row r="366" customFormat="false" ht="15.75" hidden="false" customHeight="false" outlineLevel="0" collapsed="false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</row>
    <row r="367" customFormat="false" ht="15.75" hidden="false" customHeight="false" outlineLevel="0" collapsed="false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</row>
    <row r="368" customFormat="false" ht="15.75" hidden="false" customHeight="false" outlineLevel="0" collapsed="false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</row>
    <row r="369" customFormat="false" ht="15.75" hidden="false" customHeight="false" outlineLevel="0" collapsed="false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</row>
    <row r="370" customFormat="false" ht="15.75" hidden="false" customHeight="false" outlineLevel="0" collapsed="false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</row>
    <row r="371" customFormat="false" ht="15.75" hidden="false" customHeight="false" outlineLevel="0" collapsed="false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</row>
    <row r="372" customFormat="false" ht="15.75" hidden="false" customHeight="false" outlineLevel="0" collapsed="false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</row>
    <row r="373" customFormat="false" ht="15.75" hidden="false" customHeight="false" outlineLevel="0" collapsed="false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</row>
    <row r="374" customFormat="false" ht="15.75" hidden="false" customHeight="false" outlineLevel="0" collapsed="false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</row>
    <row r="375" customFormat="false" ht="15.75" hidden="false" customHeight="false" outlineLevel="0" collapsed="false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</row>
    <row r="376" customFormat="false" ht="15.75" hidden="false" customHeight="false" outlineLevel="0" collapsed="false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</row>
    <row r="377" customFormat="false" ht="15.75" hidden="false" customHeight="false" outlineLevel="0" collapsed="false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</row>
    <row r="378" customFormat="false" ht="15.75" hidden="false" customHeight="false" outlineLevel="0" collapsed="false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</row>
    <row r="379" customFormat="false" ht="15.75" hidden="false" customHeight="false" outlineLevel="0" collapsed="false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</row>
    <row r="380" customFormat="false" ht="15.75" hidden="false" customHeight="false" outlineLevel="0" collapsed="false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</row>
    <row r="381" customFormat="false" ht="15.75" hidden="false" customHeight="false" outlineLevel="0" collapsed="false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</row>
    <row r="382" customFormat="false" ht="15.75" hidden="false" customHeight="false" outlineLevel="0" collapsed="false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</row>
    <row r="383" customFormat="false" ht="15.75" hidden="false" customHeight="false" outlineLevel="0" collapsed="false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</row>
    <row r="384" customFormat="false" ht="15.75" hidden="false" customHeight="false" outlineLevel="0" collapsed="false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</row>
    <row r="385" customFormat="false" ht="15.75" hidden="false" customHeight="false" outlineLevel="0" collapsed="false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</row>
    <row r="386" customFormat="false" ht="15.75" hidden="false" customHeight="false" outlineLevel="0" collapsed="false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</row>
    <row r="387" customFormat="false" ht="15.75" hidden="false" customHeight="false" outlineLevel="0" collapsed="false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</row>
    <row r="388" customFormat="false" ht="15.75" hidden="false" customHeight="false" outlineLevel="0" collapsed="false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</row>
    <row r="389" customFormat="false" ht="15.75" hidden="false" customHeight="false" outlineLevel="0" collapsed="false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</row>
    <row r="390" customFormat="false" ht="15.75" hidden="false" customHeight="false" outlineLevel="0" collapsed="false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</row>
    <row r="391" customFormat="false" ht="15.75" hidden="false" customHeight="false" outlineLevel="0" collapsed="false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</row>
    <row r="392" customFormat="false" ht="15.75" hidden="false" customHeight="false" outlineLevel="0" collapsed="false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</row>
    <row r="393" customFormat="false" ht="15.75" hidden="false" customHeight="false" outlineLevel="0" collapsed="false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</row>
    <row r="394" customFormat="false" ht="15.75" hidden="false" customHeight="false" outlineLevel="0" collapsed="false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</row>
    <row r="395" customFormat="false" ht="15.75" hidden="false" customHeight="false" outlineLevel="0" collapsed="false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</row>
    <row r="396" customFormat="false" ht="15.75" hidden="false" customHeight="false" outlineLevel="0" collapsed="false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</row>
    <row r="397" customFormat="false" ht="15.75" hidden="false" customHeight="false" outlineLevel="0" collapsed="false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</row>
    <row r="398" customFormat="false" ht="15.75" hidden="false" customHeight="false" outlineLevel="0" collapsed="false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</row>
    <row r="399" customFormat="false" ht="15.75" hidden="false" customHeight="false" outlineLevel="0" collapsed="false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</row>
    <row r="400" customFormat="false" ht="15.75" hidden="false" customHeight="false" outlineLevel="0" collapsed="false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</row>
    <row r="401" customFormat="false" ht="15.75" hidden="false" customHeight="false" outlineLevel="0" collapsed="false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</row>
    <row r="402" customFormat="false" ht="15.75" hidden="false" customHeight="false" outlineLevel="0" collapsed="false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</row>
    <row r="403" customFormat="false" ht="15.75" hidden="false" customHeight="false" outlineLevel="0" collapsed="false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</row>
    <row r="404" customFormat="false" ht="15.75" hidden="false" customHeight="false" outlineLevel="0" collapsed="false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</row>
    <row r="405" customFormat="false" ht="15.75" hidden="false" customHeight="false" outlineLevel="0" collapsed="false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</row>
    <row r="406" customFormat="false" ht="15.75" hidden="false" customHeight="false" outlineLevel="0" collapsed="false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</row>
    <row r="407" customFormat="false" ht="15.75" hidden="false" customHeight="false" outlineLevel="0" collapsed="false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</row>
    <row r="408" customFormat="false" ht="15.75" hidden="false" customHeight="false" outlineLevel="0" collapsed="false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</row>
    <row r="409" customFormat="false" ht="15.75" hidden="false" customHeight="false" outlineLevel="0" collapsed="false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</row>
    <row r="410" customFormat="false" ht="15.75" hidden="false" customHeight="false" outlineLevel="0" collapsed="false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</row>
    <row r="411" customFormat="false" ht="15.75" hidden="false" customHeight="false" outlineLevel="0" collapsed="false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</row>
    <row r="412" customFormat="false" ht="15.75" hidden="false" customHeight="false" outlineLevel="0" collapsed="false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</row>
    <row r="413" customFormat="false" ht="15.75" hidden="false" customHeight="false" outlineLevel="0" collapsed="false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</row>
    <row r="414" customFormat="false" ht="15.75" hidden="false" customHeight="false" outlineLevel="0" collapsed="false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</row>
    <row r="415" customFormat="false" ht="15.75" hidden="false" customHeight="false" outlineLevel="0" collapsed="false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</row>
    <row r="416" customFormat="false" ht="15.75" hidden="false" customHeight="false" outlineLevel="0" collapsed="false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</row>
    <row r="417" customFormat="false" ht="15.75" hidden="false" customHeight="false" outlineLevel="0" collapsed="false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</row>
    <row r="418" customFormat="false" ht="15.75" hidden="false" customHeight="false" outlineLevel="0" collapsed="false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</row>
    <row r="419" customFormat="false" ht="15.75" hidden="false" customHeight="false" outlineLevel="0" collapsed="false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</row>
    <row r="420" customFormat="false" ht="15.75" hidden="false" customHeight="false" outlineLevel="0" collapsed="false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</row>
    <row r="421" customFormat="false" ht="15.75" hidden="false" customHeight="false" outlineLevel="0" collapsed="false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</row>
    <row r="422" customFormat="false" ht="15.75" hidden="false" customHeight="false" outlineLevel="0" collapsed="false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</row>
    <row r="423" customFormat="false" ht="15.75" hidden="false" customHeight="false" outlineLevel="0" collapsed="false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</row>
    <row r="424" customFormat="false" ht="15.75" hidden="false" customHeight="false" outlineLevel="0" collapsed="false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</row>
    <row r="425" customFormat="false" ht="15.75" hidden="false" customHeight="false" outlineLevel="0" collapsed="false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</row>
    <row r="426" customFormat="false" ht="15.75" hidden="false" customHeight="false" outlineLevel="0" collapsed="false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</row>
    <row r="427" customFormat="false" ht="15.75" hidden="false" customHeight="false" outlineLevel="0" collapsed="false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</row>
    <row r="428" customFormat="false" ht="15.75" hidden="false" customHeight="false" outlineLevel="0" collapsed="false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</row>
    <row r="429" customFormat="false" ht="15.75" hidden="false" customHeight="false" outlineLevel="0" collapsed="false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</row>
    <row r="430" customFormat="false" ht="15.75" hidden="false" customHeight="false" outlineLevel="0" collapsed="false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</row>
    <row r="431" customFormat="false" ht="15.75" hidden="false" customHeight="false" outlineLevel="0" collapsed="false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</row>
    <row r="432" customFormat="false" ht="15.75" hidden="false" customHeight="false" outlineLevel="0" collapsed="false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</row>
    <row r="433" customFormat="false" ht="15.75" hidden="false" customHeight="false" outlineLevel="0" collapsed="false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</row>
    <row r="434" customFormat="false" ht="15.75" hidden="false" customHeight="false" outlineLevel="0" collapsed="false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</row>
    <row r="435" customFormat="false" ht="15.75" hidden="false" customHeight="false" outlineLevel="0" collapsed="false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</row>
    <row r="436" customFormat="false" ht="15.75" hidden="false" customHeight="false" outlineLevel="0" collapsed="false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</row>
    <row r="437" customFormat="false" ht="15.75" hidden="false" customHeight="false" outlineLevel="0" collapsed="false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</row>
    <row r="438" customFormat="false" ht="15.75" hidden="false" customHeight="false" outlineLevel="0" collapsed="false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</row>
    <row r="439" customFormat="false" ht="15.75" hidden="false" customHeight="false" outlineLevel="0" collapsed="false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</row>
    <row r="440" customFormat="false" ht="15.75" hidden="false" customHeight="false" outlineLevel="0" collapsed="false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</row>
    <row r="441" customFormat="false" ht="15.75" hidden="false" customHeight="false" outlineLevel="0" collapsed="false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</row>
    <row r="442" customFormat="false" ht="15.75" hidden="false" customHeight="false" outlineLevel="0" collapsed="false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</row>
    <row r="443" customFormat="false" ht="15.75" hidden="false" customHeight="false" outlineLevel="0" collapsed="false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</row>
    <row r="444" customFormat="false" ht="15.75" hidden="false" customHeight="false" outlineLevel="0" collapsed="false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</row>
    <row r="445" customFormat="false" ht="15.75" hidden="false" customHeight="false" outlineLevel="0" collapsed="false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</row>
    <row r="446" customFormat="false" ht="15.75" hidden="false" customHeight="false" outlineLevel="0" collapsed="false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30"/>
      <c r="L446" s="130"/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</row>
    <row r="447" customFormat="false" ht="15.75" hidden="false" customHeight="false" outlineLevel="0" collapsed="false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30"/>
      <c r="L447" s="130"/>
      <c r="M447" s="130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</row>
    <row r="448" customFormat="false" ht="15.75" hidden="false" customHeight="false" outlineLevel="0" collapsed="false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30"/>
      <c r="L448" s="130"/>
      <c r="M448" s="130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</row>
    <row r="449" customFormat="false" ht="15.75" hidden="false" customHeight="false" outlineLevel="0" collapsed="false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30"/>
      <c r="L449" s="130"/>
      <c r="M449" s="130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</row>
    <row r="450" customFormat="false" ht="15.75" hidden="false" customHeight="false" outlineLevel="0" collapsed="false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30"/>
      <c r="L450" s="130"/>
      <c r="M450" s="130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</row>
    <row r="451" customFormat="false" ht="15.75" hidden="false" customHeight="false" outlineLevel="0" collapsed="false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30"/>
      <c r="L451" s="130"/>
      <c r="M451" s="130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</row>
    <row r="452" customFormat="false" ht="15.75" hidden="false" customHeight="false" outlineLevel="0" collapsed="false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</row>
    <row r="453" customFormat="false" ht="15.75" hidden="false" customHeight="false" outlineLevel="0" collapsed="false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30"/>
      <c r="L453" s="130"/>
      <c r="M453" s="130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</row>
    <row r="454" customFormat="false" ht="15.75" hidden="false" customHeight="false" outlineLevel="0" collapsed="false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30"/>
      <c r="L454" s="130"/>
      <c r="M454" s="130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</row>
    <row r="455" customFormat="false" ht="15.75" hidden="false" customHeight="false" outlineLevel="0" collapsed="false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30"/>
      <c r="L455" s="130"/>
      <c r="M455" s="130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</row>
    <row r="456" customFormat="false" ht="15.75" hidden="false" customHeight="false" outlineLevel="0" collapsed="false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30"/>
      <c r="L456" s="130"/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</row>
    <row r="457" customFormat="false" ht="15.75" hidden="false" customHeight="false" outlineLevel="0" collapsed="false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30"/>
      <c r="L457" s="130"/>
      <c r="M457" s="130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</row>
    <row r="458" customFormat="false" ht="15.75" hidden="false" customHeight="false" outlineLevel="0" collapsed="false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30"/>
      <c r="L458" s="130"/>
      <c r="M458" s="130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</row>
    <row r="459" customFormat="false" ht="15.75" hidden="false" customHeight="false" outlineLevel="0" collapsed="false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30"/>
      <c r="L459" s="130"/>
      <c r="M459" s="130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</row>
    <row r="460" customFormat="false" ht="15.75" hidden="false" customHeight="false" outlineLevel="0" collapsed="false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30"/>
      <c r="L460" s="130"/>
      <c r="M460" s="130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</row>
    <row r="461" customFormat="false" ht="15.75" hidden="false" customHeight="false" outlineLevel="0" collapsed="false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30"/>
      <c r="L461" s="130"/>
      <c r="M461" s="130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</row>
    <row r="462" customFormat="false" ht="15.75" hidden="false" customHeight="false" outlineLevel="0" collapsed="false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30"/>
      <c r="L462" s="130"/>
      <c r="M462" s="130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</row>
    <row r="463" customFormat="false" ht="15.75" hidden="false" customHeight="false" outlineLevel="0" collapsed="false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30"/>
      <c r="L463" s="130"/>
      <c r="M463" s="130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</row>
    <row r="464" customFormat="false" ht="15.75" hidden="false" customHeight="false" outlineLevel="0" collapsed="false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30"/>
      <c r="L464" s="130"/>
      <c r="M464" s="130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</row>
    <row r="465" customFormat="false" ht="15.75" hidden="false" customHeight="false" outlineLevel="0" collapsed="false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30"/>
      <c r="L465" s="130"/>
      <c r="M465" s="130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</row>
    <row r="466" customFormat="false" ht="15.75" hidden="false" customHeight="false" outlineLevel="0" collapsed="false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30"/>
      <c r="L466" s="130"/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</row>
    <row r="467" customFormat="false" ht="15.75" hidden="false" customHeight="false" outlineLevel="0" collapsed="false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30"/>
      <c r="L467" s="130"/>
      <c r="M467" s="130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</row>
    <row r="468" customFormat="false" ht="15.75" hidden="false" customHeight="false" outlineLevel="0" collapsed="false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30"/>
      <c r="L468" s="130"/>
      <c r="M468" s="130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</row>
    <row r="469" customFormat="false" ht="15.75" hidden="false" customHeight="false" outlineLevel="0" collapsed="false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30"/>
      <c r="L469" s="130"/>
      <c r="M469" s="130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</row>
    <row r="470" customFormat="false" ht="15.75" hidden="false" customHeight="false" outlineLevel="0" collapsed="false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30"/>
      <c r="L470" s="130"/>
      <c r="M470" s="130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</row>
    <row r="471" customFormat="false" ht="15.75" hidden="false" customHeight="false" outlineLevel="0" collapsed="false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30"/>
      <c r="L471" s="130"/>
      <c r="M471" s="130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</row>
    <row r="472" customFormat="false" ht="15.75" hidden="false" customHeight="false" outlineLevel="0" collapsed="false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30"/>
      <c r="L472" s="130"/>
      <c r="M472" s="130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</row>
    <row r="473" customFormat="false" ht="15.75" hidden="false" customHeight="false" outlineLevel="0" collapsed="false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30"/>
      <c r="L473" s="130"/>
      <c r="M473" s="130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</row>
    <row r="474" customFormat="false" ht="15.75" hidden="false" customHeight="false" outlineLevel="0" collapsed="false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30"/>
      <c r="L474" s="130"/>
      <c r="M474" s="130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</row>
    <row r="475" customFormat="false" ht="15.75" hidden="false" customHeight="false" outlineLevel="0" collapsed="false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30"/>
      <c r="L475" s="130"/>
      <c r="M475" s="130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</row>
    <row r="476" customFormat="false" ht="15.75" hidden="false" customHeight="false" outlineLevel="0" collapsed="false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30"/>
      <c r="L476" s="130"/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</row>
    <row r="477" customFormat="false" ht="15.75" hidden="false" customHeight="false" outlineLevel="0" collapsed="false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</row>
    <row r="478" customFormat="false" ht="15.75" hidden="false" customHeight="false" outlineLevel="0" collapsed="false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30"/>
      <c r="L478" s="130"/>
      <c r="M478" s="130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</row>
    <row r="479" customFormat="false" ht="15.75" hidden="false" customHeight="false" outlineLevel="0" collapsed="false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30"/>
      <c r="L479" s="130"/>
      <c r="M479" s="130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</row>
    <row r="480" customFormat="false" ht="15.75" hidden="false" customHeight="false" outlineLevel="0" collapsed="false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30"/>
      <c r="L480" s="130"/>
      <c r="M480" s="130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</row>
    <row r="481" customFormat="false" ht="15.75" hidden="false" customHeight="false" outlineLevel="0" collapsed="false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30"/>
      <c r="L481" s="130"/>
      <c r="M481" s="130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</row>
    <row r="482" customFormat="false" ht="15.75" hidden="false" customHeight="false" outlineLevel="0" collapsed="false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30"/>
      <c r="L482" s="130"/>
      <c r="M482" s="130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</row>
    <row r="483" customFormat="false" ht="15.75" hidden="false" customHeight="false" outlineLevel="0" collapsed="false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30"/>
      <c r="L483" s="130"/>
      <c r="M483" s="130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</row>
    <row r="484" customFormat="false" ht="15.75" hidden="false" customHeight="false" outlineLevel="0" collapsed="false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30"/>
      <c r="L484" s="130"/>
      <c r="M484" s="130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</row>
    <row r="485" customFormat="false" ht="15.75" hidden="false" customHeight="false" outlineLevel="0" collapsed="false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30"/>
      <c r="L485" s="130"/>
      <c r="M485" s="130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</row>
    <row r="486" customFormat="false" ht="15.75" hidden="false" customHeight="false" outlineLevel="0" collapsed="false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30"/>
      <c r="L486" s="130"/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</row>
    <row r="487" customFormat="false" ht="15.75" hidden="false" customHeight="false" outlineLevel="0" collapsed="false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30"/>
      <c r="L487" s="130"/>
      <c r="M487" s="130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</row>
    <row r="488" customFormat="false" ht="15.75" hidden="false" customHeight="false" outlineLevel="0" collapsed="false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30"/>
      <c r="L488" s="130"/>
      <c r="M488" s="130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</row>
    <row r="489" customFormat="false" ht="15.75" hidden="false" customHeight="false" outlineLevel="0" collapsed="false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30"/>
      <c r="L489" s="130"/>
      <c r="M489" s="130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</row>
    <row r="490" customFormat="false" ht="15.75" hidden="false" customHeight="false" outlineLevel="0" collapsed="false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30"/>
      <c r="L490" s="130"/>
      <c r="M490" s="130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</row>
    <row r="491" customFormat="false" ht="15.75" hidden="false" customHeight="false" outlineLevel="0" collapsed="false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30"/>
      <c r="L491" s="130"/>
      <c r="M491" s="130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</row>
    <row r="492" customFormat="false" ht="15.75" hidden="false" customHeight="false" outlineLevel="0" collapsed="false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30"/>
      <c r="L492" s="130"/>
      <c r="M492" s="130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</row>
    <row r="493" customFormat="false" ht="15.75" hidden="false" customHeight="false" outlineLevel="0" collapsed="false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30"/>
      <c r="L493" s="130"/>
      <c r="M493" s="130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</row>
    <row r="494" customFormat="false" ht="15.75" hidden="false" customHeight="false" outlineLevel="0" collapsed="false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30"/>
      <c r="L494" s="130"/>
      <c r="M494" s="130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</row>
    <row r="495" customFormat="false" ht="15.75" hidden="false" customHeight="false" outlineLevel="0" collapsed="false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30"/>
      <c r="L495" s="130"/>
      <c r="M495" s="130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</row>
    <row r="496" customFormat="false" ht="15.75" hidden="false" customHeight="false" outlineLevel="0" collapsed="false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30"/>
      <c r="L496" s="130"/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</row>
    <row r="497" customFormat="false" ht="15.75" hidden="false" customHeight="false" outlineLevel="0" collapsed="false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30"/>
      <c r="L497" s="130"/>
      <c r="M497" s="130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</row>
    <row r="498" customFormat="false" ht="15.75" hidden="false" customHeight="false" outlineLevel="0" collapsed="false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30"/>
      <c r="L498" s="130"/>
      <c r="M498" s="130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</row>
    <row r="499" customFormat="false" ht="15.75" hidden="false" customHeight="false" outlineLevel="0" collapsed="false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30"/>
      <c r="L499" s="130"/>
      <c r="M499" s="130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</row>
    <row r="500" customFormat="false" ht="15.75" hidden="false" customHeight="false" outlineLevel="0" collapsed="false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30"/>
      <c r="L500" s="130"/>
      <c r="M500" s="130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</row>
    <row r="501" customFormat="false" ht="15.75" hidden="false" customHeight="false" outlineLevel="0" collapsed="false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</row>
    <row r="502" customFormat="false" ht="15.75" hidden="false" customHeight="false" outlineLevel="0" collapsed="false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30"/>
      <c r="L502" s="130"/>
      <c r="M502" s="130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</row>
    <row r="503" customFormat="false" ht="15.75" hidden="false" customHeight="false" outlineLevel="0" collapsed="false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30"/>
      <c r="L503" s="130"/>
      <c r="M503" s="130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</row>
    <row r="504" customFormat="false" ht="15.75" hidden="false" customHeight="false" outlineLevel="0" collapsed="false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30"/>
      <c r="L504" s="130"/>
      <c r="M504" s="130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</row>
    <row r="505" customFormat="false" ht="15.75" hidden="false" customHeight="false" outlineLevel="0" collapsed="false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30"/>
      <c r="L505" s="130"/>
      <c r="M505" s="130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</row>
    <row r="506" customFormat="false" ht="15.75" hidden="false" customHeight="false" outlineLevel="0" collapsed="false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30"/>
      <c r="L506" s="130"/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</row>
    <row r="507" customFormat="false" ht="15.75" hidden="false" customHeight="false" outlineLevel="0" collapsed="false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30"/>
      <c r="L507" s="130"/>
      <c r="M507" s="130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</row>
    <row r="508" customFormat="false" ht="15.75" hidden="false" customHeight="false" outlineLevel="0" collapsed="false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30"/>
      <c r="L508" s="130"/>
      <c r="M508" s="130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</row>
    <row r="509" customFormat="false" ht="15.75" hidden="false" customHeight="false" outlineLevel="0" collapsed="false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30"/>
      <c r="L509" s="130"/>
      <c r="M509" s="130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</row>
    <row r="510" customFormat="false" ht="15.75" hidden="false" customHeight="false" outlineLevel="0" collapsed="false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30"/>
      <c r="L510" s="130"/>
      <c r="M510" s="130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</row>
    <row r="511" customFormat="false" ht="15.75" hidden="false" customHeight="false" outlineLevel="0" collapsed="false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30"/>
      <c r="L511" s="130"/>
      <c r="M511" s="130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</row>
    <row r="512" customFormat="false" ht="15.75" hidden="false" customHeight="false" outlineLevel="0" collapsed="false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30"/>
      <c r="L512" s="130"/>
      <c r="M512" s="130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</row>
    <row r="513" customFormat="false" ht="15.75" hidden="false" customHeight="false" outlineLevel="0" collapsed="false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30"/>
      <c r="L513" s="130"/>
      <c r="M513" s="130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</row>
    <row r="514" customFormat="false" ht="15.75" hidden="false" customHeight="false" outlineLevel="0" collapsed="false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30"/>
      <c r="L514" s="130"/>
      <c r="M514" s="130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</row>
    <row r="515" customFormat="false" ht="15.75" hidden="false" customHeight="false" outlineLevel="0" collapsed="false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30"/>
      <c r="L515" s="130"/>
      <c r="M515" s="130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</row>
    <row r="516" customFormat="false" ht="15.75" hidden="false" customHeight="false" outlineLevel="0" collapsed="false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30"/>
      <c r="L516" s="130"/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</row>
    <row r="517" customFormat="false" ht="15.75" hidden="false" customHeight="false" outlineLevel="0" collapsed="false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30"/>
      <c r="L517" s="130"/>
      <c r="M517" s="130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</row>
    <row r="518" customFormat="false" ht="15.75" hidden="false" customHeight="false" outlineLevel="0" collapsed="false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30"/>
      <c r="L518" s="130"/>
      <c r="M518" s="130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</row>
    <row r="519" customFormat="false" ht="15.75" hidden="false" customHeight="false" outlineLevel="0" collapsed="false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30"/>
      <c r="L519" s="130"/>
      <c r="M519" s="130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</row>
    <row r="520" customFormat="false" ht="15.75" hidden="false" customHeight="false" outlineLevel="0" collapsed="false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30"/>
      <c r="L520" s="130"/>
      <c r="M520" s="130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</row>
    <row r="521" customFormat="false" ht="15.75" hidden="false" customHeight="false" outlineLevel="0" collapsed="false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30"/>
      <c r="L521" s="130"/>
      <c r="M521" s="130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</row>
    <row r="522" customFormat="false" ht="15.75" hidden="false" customHeight="false" outlineLevel="0" collapsed="false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30"/>
      <c r="L522" s="130"/>
      <c r="M522" s="130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</row>
    <row r="523" customFormat="false" ht="15.75" hidden="false" customHeight="false" outlineLevel="0" collapsed="false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30"/>
      <c r="L523" s="130"/>
      <c r="M523" s="130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</row>
    <row r="524" customFormat="false" ht="15.75" hidden="false" customHeight="false" outlineLevel="0" collapsed="false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30"/>
      <c r="L524" s="130"/>
      <c r="M524" s="130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</row>
    <row r="525" customFormat="false" ht="15.75" hidden="false" customHeight="false" outlineLevel="0" collapsed="false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30"/>
      <c r="L525" s="130"/>
      <c r="M525" s="130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</row>
    <row r="526" customFormat="false" ht="15.75" hidden="false" customHeight="false" outlineLevel="0" collapsed="false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30"/>
      <c r="L526" s="130"/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</row>
    <row r="527" customFormat="false" ht="15.75" hidden="false" customHeight="false" outlineLevel="0" collapsed="false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30"/>
      <c r="L527" s="130"/>
      <c r="M527" s="130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</row>
    <row r="528" customFormat="false" ht="15.75" hidden="false" customHeight="false" outlineLevel="0" collapsed="false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30"/>
      <c r="L528" s="130"/>
      <c r="M528" s="130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</row>
    <row r="529" customFormat="false" ht="15.75" hidden="false" customHeight="false" outlineLevel="0" collapsed="false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30"/>
      <c r="L529" s="130"/>
      <c r="M529" s="130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</row>
    <row r="530" customFormat="false" ht="15.75" hidden="false" customHeight="false" outlineLevel="0" collapsed="false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30"/>
      <c r="L530" s="130"/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</row>
    <row r="531" customFormat="false" ht="15.75" hidden="false" customHeight="false" outlineLevel="0" collapsed="false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30"/>
      <c r="L531" s="130"/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</row>
    <row r="532" customFormat="false" ht="15.75" hidden="false" customHeight="false" outlineLevel="0" collapsed="false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30"/>
      <c r="L532" s="130"/>
      <c r="M532" s="130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</row>
    <row r="533" customFormat="false" ht="15.75" hidden="false" customHeight="false" outlineLevel="0" collapsed="false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30"/>
      <c r="L533" s="130"/>
      <c r="M533" s="130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</row>
    <row r="534" customFormat="false" ht="15.75" hidden="false" customHeight="false" outlineLevel="0" collapsed="false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30"/>
      <c r="L534" s="130"/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</row>
    <row r="535" customFormat="false" ht="15.75" hidden="false" customHeight="false" outlineLevel="0" collapsed="false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30"/>
      <c r="L535" s="130"/>
      <c r="M535" s="130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</row>
    <row r="536" customFormat="false" ht="15.75" hidden="false" customHeight="false" outlineLevel="0" collapsed="false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30"/>
      <c r="L536" s="130"/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</row>
    <row r="537" customFormat="false" ht="15.75" hidden="false" customHeight="false" outlineLevel="0" collapsed="false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30"/>
      <c r="L537" s="130"/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</row>
    <row r="538" customFormat="false" ht="15.75" hidden="false" customHeight="false" outlineLevel="0" collapsed="false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30"/>
      <c r="L538" s="130"/>
      <c r="M538" s="130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</row>
    <row r="539" customFormat="false" ht="15.75" hidden="false" customHeight="false" outlineLevel="0" collapsed="false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30"/>
      <c r="L539" s="130"/>
      <c r="M539" s="130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</row>
    <row r="540" customFormat="false" ht="15.75" hidden="false" customHeight="false" outlineLevel="0" collapsed="false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30"/>
      <c r="L540" s="130"/>
      <c r="M540" s="130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</row>
    <row r="541" customFormat="false" ht="15.75" hidden="false" customHeight="false" outlineLevel="0" collapsed="false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30"/>
      <c r="L541" s="130"/>
      <c r="M541" s="130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</row>
    <row r="542" customFormat="false" ht="15.75" hidden="false" customHeight="false" outlineLevel="0" collapsed="false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30"/>
      <c r="L542" s="130"/>
      <c r="M542" s="130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</row>
    <row r="543" customFormat="false" ht="15.75" hidden="false" customHeight="false" outlineLevel="0" collapsed="false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30"/>
      <c r="L543" s="130"/>
      <c r="M543" s="130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</row>
    <row r="544" customFormat="false" ht="15.75" hidden="false" customHeight="false" outlineLevel="0" collapsed="false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30"/>
      <c r="L544" s="130"/>
      <c r="M544" s="130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</row>
    <row r="545" customFormat="false" ht="15.75" hidden="false" customHeight="false" outlineLevel="0" collapsed="false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30"/>
      <c r="L545" s="130"/>
      <c r="M545" s="130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</row>
    <row r="546" customFormat="false" ht="15.75" hidden="false" customHeight="false" outlineLevel="0" collapsed="false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30"/>
      <c r="L546" s="130"/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</row>
    <row r="547" customFormat="false" ht="15.75" hidden="false" customHeight="false" outlineLevel="0" collapsed="false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30"/>
      <c r="L547" s="130"/>
      <c r="M547" s="130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</row>
    <row r="548" customFormat="false" ht="15.75" hidden="false" customHeight="false" outlineLevel="0" collapsed="false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30"/>
      <c r="L548" s="130"/>
      <c r="M548" s="130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</row>
    <row r="549" customFormat="false" ht="15.75" hidden="false" customHeight="false" outlineLevel="0" collapsed="false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30"/>
      <c r="L549" s="130"/>
      <c r="M549" s="130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</row>
    <row r="550" customFormat="false" ht="15.75" hidden="false" customHeight="false" outlineLevel="0" collapsed="false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30"/>
      <c r="L550" s="130"/>
      <c r="M550" s="130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</row>
    <row r="551" customFormat="false" ht="15.75" hidden="false" customHeight="false" outlineLevel="0" collapsed="false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30"/>
      <c r="L551" s="130"/>
      <c r="M551" s="130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</row>
    <row r="552" customFormat="false" ht="15.75" hidden="false" customHeight="false" outlineLevel="0" collapsed="false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30"/>
      <c r="L552" s="130"/>
      <c r="M552" s="130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</row>
    <row r="553" customFormat="false" ht="15.75" hidden="false" customHeight="false" outlineLevel="0" collapsed="false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30"/>
      <c r="L553" s="130"/>
      <c r="M553" s="130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</row>
    <row r="554" customFormat="false" ht="15.75" hidden="false" customHeight="false" outlineLevel="0" collapsed="false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30"/>
      <c r="L554" s="130"/>
      <c r="M554" s="130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</row>
    <row r="555" customFormat="false" ht="15.75" hidden="false" customHeight="false" outlineLevel="0" collapsed="false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30"/>
      <c r="L555" s="130"/>
      <c r="M555" s="130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</row>
    <row r="556" customFormat="false" ht="15.75" hidden="false" customHeight="false" outlineLevel="0" collapsed="false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30"/>
      <c r="L556" s="130"/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</row>
    <row r="557" customFormat="false" ht="15.75" hidden="false" customHeight="false" outlineLevel="0" collapsed="false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30"/>
      <c r="L557" s="130"/>
      <c r="M557" s="130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</row>
    <row r="558" customFormat="false" ht="15.75" hidden="false" customHeight="false" outlineLevel="0" collapsed="false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30"/>
      <c r="L558" s="130"/>
      <c r="M558" s="130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</row>
    <row r="559" customFormat="false" ht="15.75" hidden="false" customHeight="false" outlineLevel="0" collapsed="false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30"/>
      <c r="L559" s="130"/>
      <c r="M559" s="130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</row>
    <row r="560" customFormat="false" ht="15.75" hidden="false" customHeight="false" outlineLevel="0" collapsed="false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30"/>
      <c r="L560" s="130"/>
      <c r="M560" s="130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</row>
    <row r="561" customFormat="false" ht="15.75" hidden="false" customHeight="false" outlineLevel="0" collapsed="false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30"/>
      <c r="L561" s="130"/>
      <c r="M561" s="130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</row>
    <row r="562" customFormat="false" ht="15.75" hidden="false" customHeight="false" outlineLevel="0" collapsed="false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30"/>
      <c r="L562" s="130"/>
      <c r="M562" s="130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</row>
    <row r="563" customFormat="false" ht="15.75" hidden="false" customHeight="false" outlineLevel="0" collapsed="false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30"/>
      <c r="L563" s="130"/>
      <c r="M563" s="130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</row>
    <row r="564" customFormat="false" ht="15.75" hidden="false" customHeight="false" outlineLevel="0" collapsed="false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30"/>
      <c r="L564" s="130"/>
      <c r="M564" s="130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</row>
    <row r="565" customFormat="false" ht="15.75" hidden="false" customHeight="false" outlineLevel="0" collapsed="false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</row>
    <row r="566" customFormat="false" ht="15.75" hidden="false" customHeight="false" outlineLevel="0" collapsed="false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30"/>
      <c r="L566" s="130"/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</row>
    <row r="567" customFormat="false" ht="15.75" hidden="false" customHeight="false" outlineLevel="0" collapsed="false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30"/>
      <c r="L567" s="130"/>
      <c r="M567" s="130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</row>
    <row r="568" customFormat="false" ht="15.75" hidden="false" customHeight="false" outlineLevel="0" collapsed="false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30"/>
      <c r="L568" s="130"/>
      <c r="M568" s="130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</row>
    <row r="569" customFormat="false" ht="15.75" hidden="false" customHeight="false" outlineLevel="0" collapsed="false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30"/>
      <c r="L569" s="130"/>
      <c r="M569" s="130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</row>
    <row r="570" customFormat="false" ht="15.75" hidden="false" customHeight="false" outlineLevel="0" collapsed="false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30"/>
      <c r="L570" s="130"/>
      <c r="M570" s="130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</row>
    <row r="571" customFormat="false" ht="15.75" hidden="false" customHeight="false" outlineLevel="0" collapsed="false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30"/>
      <c r="L571" s="130"/>
      <c r="M571" s="130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</row>
    <row r="572" customFormat="false" ht="15.75" hidden="false" customHeight="false" outlineLevel="0" collapsed="false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30"/>
      <c r="L572" s="130"/>
      <c r="M572" s="130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</row>
    <row r="573" customFormat="false" ht="15.75" hidden="false" customHeight="false" outlineLevel="0" collapsed="false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30"/>
      <c r="L573" s="130"/>
      <c r="M573" s="130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</row>
    <row r="574" customFormat="false" ht="15.75" hidden="false" customHeight="false" outlineLevel="0" collapsed="false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30"/>
      <c r="L574" s="130"/>
      <c r="M574" s="130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</row>
    <row r="575" customFormat="false" ht="15.75" hidden="false" customHeight="false" outlineLevel="0" collapsed="false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30"/>
      <c r="L575" s="130"/>
      <c r="M575" s="130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</row>
    <row r="576" customFormat="false" ht="15.75" hidden="false" customHeight="false" outlineLevel="0" collapsed="false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30"/>
      <c r="L576" s="130"/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</row>
    <row r="577" customFormat="false" ht="15.75" hidden="false" customHeight="false" outlineLevel="0" collapsed="false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30"/>
      <c r="L577" s="130"/>
      <c r="M577" s="130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</row>
    <row r="578" customFormat="false" ht="15.75" hidden="false" customHeight="false" outlineLevel="0" collapsed="false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30"/>
      <c r="L578" s="130"/>
      <c r="M578" s="130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</row>
    <row r="579" customFormat="false" ht="15.75" hidden="false" customHeight="false" outlineLevel="0" collapsed="false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30"/>
      <c r="L579" s="130"/>
      <c r="M579" s="130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</row>
    <row r="580" customFormat="false" ht="15.75" hidden="false" customHeight="false" outlineLevel="0" collapsed="false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30"/>
      <c r="L580" s="130"/>
      <c r="M580" s="130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</row>
    <row r="581" customFormat="false" ht="15.75" hidden="false" customHeight="false" outlineLevel="0" collapsed="false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30"/>
      <c r="L581" s="130"/>
      <c r="M581" s="130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</row>
    <row r="582" customFormat="false" ht="15.75" hidden="false" customHeight="false" outlineLevel="0" collapsed="false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30"/>
      <c r="L582" s="130"/>
      <c r="M582" s="130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</row>
    <row r="583" customFormat="false" ht="15.75" hidden="false" customHeight="false" outlineLevel="0" collapsed="false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30"/>
      <c r="L583" s="130"/>
      <c r="M583" s="130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</row>
    <row r="584" customFormat="false" ht="15.75" hidden="false" customHeight="false" outlineLevel="0" collapsed="false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30"/>
      <c r="L584" s="130"/>
      <c r="M584" s="130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</row>
    <row r="585" customFormat="false" ht="15.75" hidden="false" customHeight="false" outlineLevel="0" collapsed="false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30"/>
      <c r="L585" s="130"/>
      <c r="M585" s="130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</row>
    <row r="586" customFormat="false" ht="15.75" hidden="false" customHeight="false" outlineLevel="0" collapsed="false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30"/>
      <c r="L586" s="130"/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</row>
    <row r="587" customFormat="false" ht="15.75" hidden="false" customHeight="false" outlineLevel="0" collapsed="false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30"/>
      <c r="L587" s="130"/>
      <c r="M587" s="130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</row>
    <row r="588" customFormat="false" ht="15.75" hidden="false" customHeight="false" outlineLevel="0" collapsed="false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30"/>
      <c r="L588" s="130"/>
      <c r="M588" s="130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</row>
    <row r="589" customFormat="false" ht="15.75" hidden="false" customHeight="false" outlineLevel="0" collapsed="false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30"/>
      <c r="L589" s="130"/>
      <c r="M589" s="130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</row>
    <row r="590" customFormat="false" ht="15.75" hidden="false" customHeight="false" outlineLevel="0" collapsed="false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30"/>
      <c r="L590" s="130"/>
      <c r="M590" s="130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</row>
    <row r="591" customFormat="false" ht="15.75" hidden="false" customHeight="false" outlineLevel="0" collapsed="false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30"/>
      <c r="L591" s="130"/>
      <c r="M591" s="130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</row>
    <row r="592" customFormat="false" ht="15.75" hidden="false" customHeight="false" outlineLevel="0" collapsed="false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30"/>
      <c r="L592" s="130"/>
      <c r="M592" s="130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</row>
    <row r="593" customFormat="false" ht="15.75" hidden="false" customHeight="false" outlineLevel="0" collapsed="false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30"/>
      <c r="L593" s="130"/>
      <c r="M593" s="130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</row>
    <row r="594" customFormat="false" ht="15.75" hidden="false" customHeight="false" outlineLevel="0" collapsed="false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30"/>
      <c r="L594" s="130"/>
      <c r="M594" s="130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</row>
    <row r="595" customFormat="false" ht="15.75" hidden="false" customHeight="false" outlineLevel="0" collapsed="false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30"/>
      <c r="L595" s="130"/>
      <c r="M595" s="130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</row>
    <row r="596" customFormat="false" ht="15.75" hidden="false" customHeight="false" outlineLevel="0" collapsed="false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30"/>
      <c r="L596" s="130"/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</row>
    <row r="597" customFormat="false" ht="15.75" hidden="false" customHeight="false" outlineLevel="0" collapsed="false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30"/>
      <c r="L597" s="130"/>
      <c r="M597" s="130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</row>
    <row r="598" customFormat="false" ht="15.75" hidden="false" customHeight="false" outlineLevel="0" collapsed="false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30"/>
      <c r="L598" s="130"/>
      <c r="M598" s="130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</row>
    <row r="599" customFormat="false" ht="15.75" hidden="false" customHeight="false" outlineLevel="0" collapsed="false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30"/>
      <c r="L599" s="130"/>
      <c r="M599" s="130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</row>
    <row r="600" customFormat="false" ht="15.75" hidden="false" customHeight="false" outlineLevel="0" collapsed="false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30"/>
      <c r="L600" s="130"/>
      <c r="M600" s="130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</row>
    <row r="601" customFormat="false" ht="15.75" hidden="false" customHeight="false" outlineLevel="0" collapsed="false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30"/>
      <c r="L601" s="130"/>
      <c r="M601" s="130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</row>
    <row r="602" customFormat="false" ht="15.75" hidden="false" customHeight="false" outlineLevel="0" collapsed="false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30"/>
      <c r="L602" s="130"/>
      <c r="M602" s="130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</row>
    <row r="603" customFormat="false" ht="15.75" hidden="false" customHeight="false" outlineLevel="0" collapsed="false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30"/>
      <c r="L603" s="130"/>
      <c r="M603" s="130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</row>
    <row r="604" customFormat="false" ht="15.75" hidden="false" customHeight="false" outlineLevel="0" collapsed="false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30"/>
      <c r="L604" s="130"/>
      <c r="M604" s="130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</row>
    <row r="605" customFormat="false" ht="15.75" hidden="false" customHeight="false" outlineLevel="0" collapsed="false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30"/>
      <c r="L605" s="130"/>
      <c r="M605" s="130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</row>
    <row r="606" customFormat="false" ht="15.75" hidden="false" customHeight="false" outlineLevel="0" collapsed="false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30"/>
      <c r="L606" s="130"/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</row>
    <row r="607" customFormat="false" ht="15.75" hidden="false" customHeight="false" outlineLevel="0" collapsed="false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30"/>
      <c r="L607" s="130"/>
      <c r="M607" s="130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</row>
    <row r="608" customFormat="false" ht="15.75" hidden="false" customHeight="false" outlineLevel="0" collapsed="false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30"/>
      <c r="L608" s="130"/>
      <c r="M608" s="130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</row>
    <row r="609" customFormat="false" ht="15.75" hidden="false" customHeight="false" outlineLevel="0" collapsed="false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30"/>
      <c r="L609" s="130"/>
      <c r="M609" s="130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</row>
    <row r="610" customFormat="false" ht="15.75" hidden="false" customHeight="false" outlineLevel="0" collapsed="false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30"/>
      <c r="L610" s="130"/>
      <c r="M610" s="130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</row>
    <row r="611" customFormat="false" ht="15.75" hidden="false" customHeight="false" outlineLevel="0" collapsed="false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30"/>
      <c r="L611" s="130"/>
      <c r="M611" s="130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</row>
    <row r="612" customFormat="false" ht="15.75" hidden="false" customHeight="false" outlineLevel="0" collapsed="false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30"/>
      <c r="L612" s="130"/>
      <c r="M612" s="130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</row>
    <row r="613" customFormat="false" ht="15.75" hidden="false" customHeight="false" outlineLevel="0" collapsed="false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</row>
    <row r="614" customFormat="false" ht="15.75" hidden="false" customHeight="false" outlineLevel="0" collapsed="false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30"/>
      <c r="L614" s="130"/>
      <c r="M614" s="130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</row>
    <row r="615" customFormat="false" ht="15.75" hidden="false" customHeight="false" outlineLevel="0" collapsed="false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30"/>
      <c r="L615" s="130"/>
      <c r="M615" s="130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</row>
    <row r="616" customFormat="false" ht="15.75" hidden="false" customHeight="false" outlineLevel="0" collapsed="false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30"/>
      <c r="L616" s="130"/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</row>
    <row r="617" customFormat="false" ht="15.75" hidden="false" customHeight="false" outlineLevel="0" collapsed="false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30"/>
      <c r="L617" s="130"/>
      <c r="M617" s="130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</row>
    <row r="618" customFormat="false" ht="15.75" hidden="false" customHeight="false" outlineLevel="0" collapsed="false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30"/>
      <c r="L618" s="130"/>
      <c r="M618" s="130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</row>
    <row r="619" customFormat="false" ht="15.75" hidden="false" customHeight="false" outlineLevel="0" collapsed="false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30"/>
      <c r="L619" s="130"/>
      <c r="M619" s="130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</row>
    <row r="620" customFormat="false" ht="15.75" hidden="false" customHeight="false" outlineLevel="0" collapsed="false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30"/>
      <c r="L620" s="130"/>
      <c r="M620" s="130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</row>
    <row r="621" customFormat="false" ht="15.75" hidden="false" customHeight="false" outlineLevel="0" collapsed="false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30"/>
      <c r="L621" s="130"/>
      <c r="M621" s="130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</row>
    <row r="622" customFormat="false" ht="15.75" hidden="false" customHeight="false" outlineLevel="0" collapsed="false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30"/>
      <c r="L622" s="130"/>
      <c r="M622" s="130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</row>
    <row r="623" customFormat="false" ht="15.75" hidden="false" customHeight="false" outlineLevel="0" collapsed="false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30"/>
      <c r="L623" s="130"/>
      <c r="M623" s="130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</row>
    <row r="624" customFormat="false" ht="15.75" hidden="false" customHeight="false" outlineLevel="0" collapsed="false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30"/>
      <c r="L624" s="130"/>
      <c r="M624" s="130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</row>
    <row r="625" customFormat="false" ht="15.75" hidden="false" customHeight="false" outlineLevel="0" collapsed="false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30"/>
      <c r="L625" s="130"/>
      <c r="M625" s="130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</row>
    <row r="626" customFormat="false" ht="15.75" hidden="false" customHeight="false" outlineLevel="0" collapsed="false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30"/>
      <c r="L626" s="130"/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</row>
    <row r="627" customFormat="false" ht="15.75" hidden="false" customHeight="false" outlineLevel="0" collapsed="false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30"/>
      <c r="L627" s="130"/>
      <c r="M627" s="130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</row>
    <row r="628" customFormat="false" ht="15.75" hidden="false" customHeight="false" outlineLevel="0" collapsed="false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30"/>
      <c r="L628" s="130"/>
      <c r="M628" s="130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</row>
    <row r="629" customFormat="false" ht="15.75" hidden="false" customHeight="false" outlineLevel="0" collapsed="false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30"/>
      <c r="L629" s="130"/>
      <c r="M629" s="130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</row>
    <row r="630" customFormat="false" ht="15.75" hidden="false" customHeight="false" outlineLevel="0" collapsed="false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30"/>
      <c r="L630" s="130"/>
      <c r="M630" s="130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</row>
    <row r="631" customFormat="false" ht="15.75" hidden="false" customHeight="false" outlineLevel="0" collapsed="false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30"/>
      <c r="L631" s="130"/>
      <c r="M631" s="130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</row>
    <row r="632" customFormat="false" ht="15.75" hidden="false" customHeight="false" outlineLevel="0" collapsed="false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30"/>
      <c r="L632" s="130"/>
      <c r="M632" s="130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</row>
    <row r="633" customFormat="false" ht="15.75" hidden="false" customHeight="false" outlineLevel="0" collapsed="false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30"/>
      <c r="L633" s="130"/>
      <c r="M633" s="130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</row>
    <row r="634" customFormat="false" ht="15.75" hidden="false" customHeight="false" outlineLevel="0" collapsed="false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30"/>
      <c r="L634" s="130"/>
      <c r="M634" s="130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</row>
    <row r="635" customFormat="false" ht="15.75" hidden="false" customHeight="false" outlineLevel="0" collapsed="false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30"/>
      <c r="L635" s="130"/>
      <c r="M635" s="130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</row>
    <row r="636" customFormat="false" ht="15.75" hidden="false" customHeight="false" outlineLevel="0" collapsed="false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30"/>
      <c r="L636" s="130"/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</row>
    <row r="637" customFormat="false" ht="15.75" hidden="false" customHeight="false" outlineLevel="0" collapsed="false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30"/>
      <c r="L637" s="130"/>
      <c r="M637" s="130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</row>
    <row r="638" customFormat="false" ht="15.75" hidden="false" customHeight="false" outlineLevel="0" collapsed="false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30"/>
      <c r="L638" s="130"/>
      <c r="M638" s="130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</row>
    <row r="639" customFormat="false" ht="15.75" hidden="false" customHeight="false" outlineLevel="0" collapsed="false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30"/>
      <c r="L639" s="130"/>
      <c r="M639" s="130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</row>
    <row r="640" customFormat="false" ht="15.75" hidden="false" customHeight="false" outlineLevel="0" collapsed="false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30"/>
      <c r="L640" s="130"/>
      <c r="M640" s="130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</row>
    <row r="641" customFormat="false" ht="15.75" hidden="false" customHeight="false" outlineLevel="0" collapsed="false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30"/>
      <c r="L641" s="130"/>
      <c r="M641" s="130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</row>
    <row r="642" customFormat="false" ht="15.75" hidden="false" customHeight="false" outlineLevel="0" collapsed="false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30"/>
      <c r="L642" s="130"/>
      <c r="M642" s="130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</row>
    <row r="643" customFormat="false" ht="15.75" hidden="false" customHeight="false" outlineLevel="0" collapsed="false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30"/>
      <c r="L643" s="130"/>
      <c r="M643" s="130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</row>
    <row r="644" customFormat="false" ht="15.75" hidden="false" customHeight="false" outlineLevel="0" collapsed="false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30"/>
      <c r="L644" s="130"/>
      <c r="M644" s="130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</row>
    <row r="645" customFormat="false" ht="15.75" hidden="false" customHeight="false" outlineLevel="0" collapsed="false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30"/>
      <c r="L645" s="130"/>
      <c r="M645" s="130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</row>
    <row r="646" customFormat="false" ht="15.75" hidden="false" customHeight="false" outlineLevel="0" collapsed="false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30"/>
      <c r="L646" s="130"/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</row>
    <row r="647" customFormat="false" ht="15.75" hidden="false" customHeight="false" outlineLevel="0" collapsed="false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30"/>
      <c r="L647" s="130"/>
      <c r="M647" s="130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</row>
    <row r="648" customFormat="false" ht="15.75" hidden="false" customHeight="false" outlineLevel="0" collapsed="false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30"/>
      <c r="L648" s="130"/>
      <c r="M648" s="130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</row>
    <row r="649" customFormat="false" ht="15.75" hidden="false" customHeight="false" outlineLevel="0" collapsed="false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30"/>
      <c r="L649" s="130"/>
      <c r="M649" s="130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</row>
    <row r="650" customFormat="false" ht="15.75" hidden="false" customHeight="false" outlineLevel="0" collapsed="false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30"/>
      <c r="L650" s="130"/>
      <c r="M650" s="130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</row>
    <row r="651" customFormat="false" ht="15.75" hidden="false" customHeight="false" outlineLevel="0" collapsed="false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</row>
    <row r="652" customFormat="false" ht="15.75" hidden="false" customHeight="false" outlineLevel="0" collapsed="false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30"/>
      <c r="L652" s="130"/>
      <c r="M652" s="130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</row>
    <row r="653" customFormat="false" ht="15.75" hidden="false" customHeight="false" outlineLevel="0" collapsed="false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30"/>
      <c r="L653" s="130"/>
      <c r="M653" s="130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</row>
    <row r="654" customFormat="false" ht="15.75" hidden="false" customHeight="false" outlineLevel="0" collapsed="false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30"/>
      <c r="L654" s="130"/>
      <c r="M654" s="130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</row>
    <row r="655" customFormat="false" ht="15.75" hidden="false" customHeight="false" outlineLevel="0" collapsed="false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</row>
    <row r="656" customFormat="false" ht="15.75" hidden="false" customHeight="false" outlineLevel="0" collapsed="false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</row>
    <row r="657" customFormat="false" ht="15.75" hidden="false" customHeight="false" outlineLevel="0" collapsed="false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</row>
    <row r="658" customFormat="false" ht="15.75" hidden="false" customHeight="false" outlineLevel="0" collapsed="false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30"/>
      <c r="L658" s="130"/>
      <c r="M658" s="130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</row>
    <row r="659" customFormat="false" ht="15.75" hidden="false" customHeight="false" outlineLevel="0" collapsed="false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30"/>
      <c r="L659" s="130"/>
      <c r="M659" s="130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</row>
    <row r="660" customFormat="false" ht="15.75" hidden="false" customHeight="false" outlineLevel="0" collapsed="false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30"/>
      <c r="L660" s="130"/>
      <c r="M660" s="130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</row>
    <row r="661" customFormat="false" ht="15.75" hidden="false" customHeight="false" outlineLevel="0" collapsed="false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30"/>
      <c r="L661" s="130"/>
      <c r="M661" s="130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</row>
    <row r="662" customFormat="false" ht="15.75" hidden="false" customHeight="false" outlineLevel="0" collapsed="false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30"/>
      <c r="L662" s="130"/>
      <c r="M662" s="130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</row>
    <row r="663" customFormat="false" ht="15.75" hidden="false" customHeight="false" outlineLevel="0" collapsed="false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</row>
    <row r="664" customFormat="false" ht="15.75" hidden="false" customHeight="false" outlineLevel="0" collapsed="false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30"/>
      <c r="L664" s="130"/>
      <c r="M664" s="130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</row>
    <row r="665" customFormat="false" ht="15.75" hidden="false" customHeight="false" outlineLevel="0" collapsed="false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30"/>
      <c r="L665" s="130"/>
      <c r="M665" s="130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</row>
    <row r="666" customFormat="false" ht="15.75" hidden="false" customHeight="false" outlineLevel="0" collapsed="false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30"/>
      <c r="L666" s="130"/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</row>
    <row r="667" customFormat="false" ht="15.75" hidden="false" customHeight="false" outlineLevel="0" collapsed="false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30"/>
      <c r="L667" s="130"/>
      <c r="M667" s="130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</row>
    <row r="668" customFormat="false" ht="15.75" hidden="false" customHeight="false" outlineLevel="0" collapsed="false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30"/>
      <c r="L668" s="130"/>
      <c r="M668" s="130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</row>
    <row r="669" customFormat="false" ht="15.75" hidden="false" customHeight="false" outlineLevel="0" collapsed="false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30"/>
      <c r="L669" s="130"/>
      <c r="M669" s="130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</row>
    <row r="670" customFormat="false" ht="15.75" hidden="false" customHeight="false" outlineLevel="0" collapsed="false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30"/>
      <c r="L670" s="130"/>
      <c r="M670" s="130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</row>
    <row r="671" customFormat="false" ht="15.75" hidden="false" customHeight="false" outlineLevel="0" collapsed="false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30"/>
      <c r="L671" s="130"/>
      <c r="M671" s="130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</row>
    <row r="672" customFormat="false" ht="15.75" hidden="false" customHeight="false" outlineLevel="0" collapsed="false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30"/>
      <c r="L672" s="130"/>
      <c r="M672" s="130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</row>
    <row r="673" customFormat="false" ht="15.75" hidden="false" customHeight="false" outlineLevel="0" collapsed="false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30"/>
      <c r="L673" s="130"/>
      <c r="M673" s="130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</row>
    <row r="674" customFormat="false" ht="15.75" hidden="false" customHeight="false" outlineLevel="0" collapsed="false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30"/>
      <c r="L674" s="130"/>
      <c r="M674" s="130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</row>
    <row r="675" customFormat="false" ht="15.75" hidden="false" customHeight="false" outlineLevel="0" collapsed="false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30"/>
      <c r="L675" s="130"/>
      <c r="M675" s="130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</row>
    <row r="676" customFormat="false" ht="15.75" hidden="false" customHeight="false" outlineLevel="0" collapsed="false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30"/>
      <c r="L676" s="130"/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</row>
    <row r="677" customFormat="false" ht="15.75" hidden="false" customHeight="false" outlineLevel="0" collapsed="false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30"/>
      <c r="L677" s="130"/>
      <c r="M677" s="130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</row>
    <row r="678" customFormat="false" ht="15.75" hidden="false" customHeight="false" outlineLevel="0" collapsed="false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30"/>
      <c r="L678" s="130"/>
      <c r="M678" s="130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</row>
    <row r="679" customFormat="false" ht="15.75" hidden="false" customHeight="false" outlineLevel="0" collapsed="false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30"/>
      <c r="L679" s="130"/>
      <c r="M679" s="130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</row>
    <row r="680" customFormat="false" ht="15.75" hidden="false" customHeight="false" outlineLevel="0" collapsed="false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30"/>
      <c r="L680" s="130"/>
      <c r="M680" s="130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</row>
    <row r="681" customFormat="false" ht="15.75" hidden="false" customHeight="false" outlineLevel="0" collapsed="false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30"/>
      <c r="L681" s="130"/>
      <c r="M681" s="130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</row>
    <row r="682" customFormat="false" ht="15.75" hidden="false" customHeight="false" outlineLevel="0" collapsed="false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30"/>
      <c r="L682" s="130"/>
      <c r="M682" s="130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</row>
    <row r="683" customFormat="false" ht="15.75" hidden="false" customHeight="false" outlineLevel="0" collapsed="false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30"/>
      <c r="L683" s="130"/>
      <c r="M683" s="130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</row>
    <row r="684" customFormat="false" ht="15.75" hidden="false" customHeight="false" outlineLevel="0" collapsed="false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30"/>
      <c r="L684" s="130"/>
      <c r="M684" s="130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</row>
    <row r="685" customFormat="false" ht="15.75" hidden="false" customHeight="false" outlineLevel="0" collapsed="false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30"/>
      <c r="L685" s="130"/>
      <c r="M685" s="130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</row>
    <row r="686" customFormat="false" ht="15.75" hidden="false" customHeight="false" outlineLevel="0" collapsed="false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30"/>
      <c r="L686" s="130"/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</row>
    <row r="687" customFormat="false" ht="15.75" hidden="false" customHeight="false" outlineLevel="0" collapsed="false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30"/>
      <c r="L687" s="130"/>
      <c r="M687" s="130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</row>
    <row r="688" customFormat="false" ht="15.75" hidden="false" customHeight="false" outlineLevel="0" collapsed="false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30"/>
      <c r="L688" s="130"/>
      <c r="M688" s="130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</row>
    <row r="689" customFormat="false" ht="15.75" hidden="false" customHeight="false" outlineLevel="0" collapsed="false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30"/>
      <c r="L689" s="130"/>
      <c r="M689" s="130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</row>
    <row r="690" customFormat="false" ht="15.75" hidden="false" customHeight="false" outlineLevel="0" collapsed="false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30"/>
      <c r="L690" s="130"/>
      <c r="M690" s="130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</row>
    <row r="691" customFormat="false" ht="15.75" hidden="false" customHeight="false" outlineLevel="0" collapsed="false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30"/>
      <c r="L691" s="130"/>
      <c r="M691" s="130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</row>
    <row r="692" customFormat="false" ht="15.75" hidden="false" customHeight="false" outlineLevel="0" collapsed="false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30"/>
      <c r="L692" s="130"/>
      <c r="M692" s="130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</row>
    <row r="693" customFormat="false" ht="15.75" hidden="false" customHeight="false" outlineLevel="0" collapsed="false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30"/>
      <c r="L693" s="130"/>
      <c r="M693" s="130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</row>
    <row r="694" customFormat="false" ht="15.75" hidden="false" customHeight="false" outlineLevel="0" collapsed="false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30"/>
      <c r="L694" s="130"/>
      <c r="M694" s="130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</row>
    <row r="695" customFormat="false" ht="15.75" hidden="false" customHeight="false" outlineLevel="0" collapsed="false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30"/>
      <c r="L695" s="130"/>
      <c r="M695" s="130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</row>
    <row r="696" customFormat="false" ht="15.75" hidden="false" customHeight="false" outlineLevel="0" collapsed="false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30"/>
      <c r="L696" s="130"/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</row>
    <row r="697" customFormat="false" ht="15.75" hidden="false" customHeight="false" outlineLevel="0" collapsed="false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30"/>
      <c r="L697" s="130"/>
      <c r="M697" s="130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</row>
    <row r="698" customFormat="false" ht="15.75" hidden="false" customHeight="false" outlineLevel="0" collapsed="false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30"/>
      <c r="L698" s="130"/>
      <c r="M698" s="130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</row>
    <row r="699" customFormat="false" ht="15.75" hidden="false" customHeight="false" outlineLevel="0" collapsed="false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30"/>
      <c r="L699" s="130"/>
      <c r="M699" s="130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</row>
    <row r="700" customFormat="false" ht="15.75" hidden="false" customHeight="false" outlineLevel="0" collapsed="false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30"/>
      <c r="L700" s="130"/>
      <c r="M700" s="130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</row>
    <row r="701" customFormat="false" ht="15.75" hidden="false" customHeight="false" outlineLevel="0" collapsed="false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30"/>
      <c r="L701" s="130"/>
      <c r="M701" s="130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</row>
    <row r="702" customFormat="false" ht="15.75" hidden="false" customHeight="false" outlineLevel="0" collapsed="false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30"/>
      <c r="L702" s="130"/>
      <c r="M702" s="130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</row>
    <row r="703" customFormat="false" ht="15.75" hidden="false" customHeight="false" outlineLevel="0" collapsed="false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30"/>
      <c r="L703" s="130"/>
      <c r="M703" s="130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</row>
    <row r="704" customFormat="false" ht="15.75" hidden="false" customHeight="false" outlineLevel="0" collapsed="false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30"/>
      <c r="L704" s="130"/>
      <c r="M704" s="130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</row>
    <row r="705" customFormat="false" ht="15.75" hidden="false" customHeight="false" outlineLevel="0" collapsed="false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30"/>
      <c r="L705" s="130"/>
      <c r="M705" s="130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</row>
    <row r="706" customFormat="false" ht="15.75" hidden="false" customHeight="false" outlineLevel="0" collapsed="false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30"/>
      <c r="L706" s="130"/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</row>
    <row r="707" customFormat="false" ht="15.75" hidden="false" customHeight="false" outlineLevel="0" collapsed="false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30"/>
      <c r="L707" s="130"/>
      <c r="M707" s="130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</row>
    <row r="708" customFormat="false" ht="15.75" hidden="false" customHeight="false" outlineLevel="0" collapsed="false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30"/>
      <c r="L708" s="130"/>
      <c r="M708" s="130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</row>
    <row r="709" customFormat="false" ht="15.75" hidden="false" customHeight="false" outlineLevel="0" collapsed="false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</row>
    <row r="710" customFormat="false" ht="15.75" hidden="false" customHeight="false" outlineLevel="0" collapsed="false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30"/>
      <c r="L710" s="130"/>
      <c r="M710" s="130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</row>
    <row r="711" customFormat="false" ht="15.75" hidden="false" customHeight="false" outlineLevel="0" collapsed="false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30"/>
      <c r="L711" s="130"/>
      <c r="M711" s="130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</row>
    <row r="712" customFormat="false" ht="15.75" hidden="false" customHeight="false" outlineLevel="0" collapsed="false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30"/>
      <c r="L712" s="130"/>
      <c r="M712" s="130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</row>
    <row r="713" customFormat="false" ht="15.75" hidden="false" customHeight="false" outlineLevel="0" collapsed="false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30"/>
      <c r="L713" s="130"/>
      <c r="M713" s="130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</row>
    <row r="714" customFormat="false" ht="15.75" hidden="false" customHeight="false" outlineLevel="0" collapsed="false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30"/>
      <c r="L714" s="130"/>
      <c r="M714" s="130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</row>
    <row r="715" customFormat="false" ht="15.75" hidden="false" customHeight="false" outlineLevel="0" collapsed="false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30"/>
      <c r="L715" s="130"/>
      <c r="M715" s="130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</row>
    <row r="716" customFormat="false" ht="15.75" hidden="false" customHeight="false" outlineLevel="0" collapsed="false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30"/>
      <c r="L716" s="130"/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</row>
    <row r="717" customFormat="false" ht="15.75" hidden="false" customHeight="false" outlineLevel="0" collapsed="false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30"/>
      <c r="L717" s="130"/>
      <c r="M717" s="130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</row>
    <row r="718" customFormat="false" ht="15.75" hidden="false" customHeight="false" outlineLevel="0" collapsed="false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30"/>
      <c r="L718" s="130"/>
      <c r="M718" s="130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</row>
    <row r="719" customFormat="false" ht="15.75" hidden="false" customHeight="false" outlineLevel="0" collapsed="false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30"/>
      <c r="L719" s="130"/>
      <c r="M719" s="130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</row>
    <row r="720" customFormat="false" ht="15.75" hidden="false" customHeight="false" outlineLevel="0" collapsed="false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30"/>
      <c r="L720" s="130"/>
      <c r="M720" s="130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</row>
    <row r="721" customFormat="false" ht="15.75" hidden="false" customHeight="false" outlineLevel="0" collapsed="false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30"/>
      <c r="L721" s="130"/>
      <c r="M721" s="130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</row>
    <row r="722" customFormat="false" ht="15.75" hidden="false" customHeight="false" outlineLevel="0" collapsed="false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30"/>
      <c r="L722" s="130"/>
      <c r="M722" s="130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</row>
    <row r="723" customFormat="false" ht="15.75" hidden="false" customHeight="false" outlineLevel="0" collapsed="false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30"/>
      <c r="L723" s="130"/>
      <c r="M723" s="130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</row>
    <row r="724" customFormat="false" ht="15.75" hidden="false" customHeight="false" outlineLevel="0" collapsed="false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30"/>
      <c r="L724" s="130"/>
      <c r="M724" s="130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</row>
    <row r="725" customFormat="false" ht="15.75" hidden="false" customHeight="false" outlineLevel="0" collapsed="false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30"/>
      <c r="L725" s="130"/>
      <c r="M725" s="130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</row>
    <row r="726" customFormat="false" ht="15.75" hidden="false" customHeight="false" outlineLevel="0" collapsed="false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30"/>
      <c r="L726" s="130"/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</row>
    <row r="727" customFormat="false" ht="15.75" hidden="false" customHeight="false" outlineLevel="0" collapsed="false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30"/>
      <c r="L727" s="130"/>
      <c r="M727" s="130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</row>
    <row r="728" customFormat="false" ht="15.75" hidden="false" customHeight="false" outlineLevel="0" collapsed="false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30"/>
      <c r="L728" s="130"/>
      <c r="M728" s="130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</row>
    <row r="729" customFormat="false" ht="15.75" hidden="false" customHeight="false" outlineLevel="0" collapsed="false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30"/>
      <c r="L729" s="130"/>
      <c r="M729" s="130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</row>
    <row r="730" customFormat="false" ht="15.75" hidden="false" customHeight="false" outlineLevel="0" collapsed="false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30"/>
      <c r="L730" s="130"/>
      <c r="M730" s="130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</row>
    <row r="731" customFormat="false" ht="15.75" hidden="false" customHeight="false" outlineLevel="0" collapsed="false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30"/>
      <c r="L731" s="130"/>
      <c r="M731" s="130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</row>
    <row r="732" customFormat="false" ht="15.75" hidden="false" customHeight="false" outlineLevel="0" collapsed="false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30"/>
      <c r="L732" s="130"/>
      <c r="M732" s="130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</row>
    <row r="733" customFormat="false" ht="15.75" hidden="false" customHeight="false" outlineLevel="0" collapsed="false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30"/>
      <c r="L733" s="130"/>
      <c r="M733" s="130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</row>
    <row r="734" customFormat="false" ht="15.75" hidden="false" customHeight="false" outlineLevel="0" collapsed="false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30"/>
      <c r="L734" s="130"/>
      <c r="M734" s="130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</row>
    <row r="735" customFormat="false" ht="15.75" hidden="false" customHeight="false" outlineLevel="0" collapsed="false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</row>
    <row r="736" customFormat="false" ht="15.75" hidden="false" customHeight="false" outlineLevel="0" collapsed="false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30"/>
      <c r="L736" s="130"/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</row>
    <row r="737" customFormat="false" ht="15.75" hidden="false" customHeight="false" outlineLevel="0" collapsed="false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30"/>
      <c r="L737" s="130"/>
      <c r="M737" s="130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</row>
    <row r="738" customFormat="false" ht="15.75" hidden="false" customHeight="false" outlineLevel="0" collapsed="false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30"/>
      <c r="L738" s="130"/>
      <c r="M738" s="130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</row>
    <row r="739" customFormat="false" ht="15.75" hidden="false" customHeight="false" outlineLevel="0" collapsed="false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30"/>
      <c r="L739" s="130"/>
      <c r="M739" s="130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</row>
    <row r="740" customFormat="false" ht="15.75" hidden="false" customHeight="false" outlineLevel="0" collapsed="false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30"/>
      <c r="L740" s="130"/>
      <c r="M740" s="130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</row>
    <row r="741" customFormat="false" ht="15.75" hidden="false" customHeight="false" outlineLevel="0" collapsed="false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30"/>
      <c r="L741" s="130"/>
      <c r="M741" s="130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</row>
    <row r="742" customFormat="false" ht="15.75" hidden="false" customHeight="false" outlineLevel="0" collapsed="false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30"/>
      <c r="L742" s="130"/>
      <c r="M742" s="130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</row>
    <row r="743" customFormat="false" ht="15.75" hidden="false" customHeight="false" outlineLevel="0" collapsed="false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30"/>
      <c r="L743" s="130"/>
      <c r="M743" s="130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</row>
    <row r="744" customFormat="false" ht="15.75" hidden="false" customHeight="false" outlineLevel="0" collapsed="false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30"/>
      <c r="L744" s="130"/>
      <c r="M744" s="130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</row>
    <row r="745" customFormat="false" ht="15.75" hidden="false" customHeight="false" outlineLevel="0" collapsed="false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30"/>
      <c r="L745" s="130"/>
      <c r="M745" s="130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</row>
    <row r="746" customFormat="false" ht="15.75" hidden="false" customHeight="false" outlineLevel="0" collapsed="false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30"/>
      <c r="L746" s="130"/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</row>
    <row r="747" customFormat="false" ht="15.75" hidden="false" customHeight="false" outlineLevel="0" collapsed="false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30"/>
      <c r="L747" s="130"/>
      <c r="M747" s="130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</row>
    <row r="748" customFormat="false" ht="15.75" hidden="false" customHeight="false" outlineLevel="0" collapsed="false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30"/>
      <c r="L748" s="130"/>
      <c r="M748" s="130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</row>
    <row r="749" customFormat="false" ht="15.75" hidden="false" customHeight="false" outlineLevel="0" collapsed="false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30"/>
      <c r="L749" s="130"/>
      <c r="M749" s="130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</row>
    <row r="750" customFormat="false" ht="15.75" hidden="false" customHeight="false" outlineLevel="0" collapsed="false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30"/>
      <c r="L750" s="130"/>
      <c r="M750" s="130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</row>
    <row r="751" customFormat="false" ht="15.75" hidden="false" customHeight="false" outlineLevel="0" collapsed="false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30"/>
      <c r="L751" s="130"/>
      <c r="M751" s="130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</row>
    <row r="752" customFormat="false" ht="15.75" hidden="false" customHeight="false" outlineLevel="0" collapsed="false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30"/>
      <c r="L752" s="130"/>
      <c r="M752" s="130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</row>
    <row r="753" customFormat="false" ht="15.75" hidden="false" customHeight="false" outlineLevel="0" collapsed="false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30"/>
      <c r="L753" s="130"/>
      <c r="M753" s="130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</row>
    <row r="754" customFormat="false" ht="15.75" hidden="false" customHeight="false" outlineLevel="0" collapsed="false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30"/>
      <c r="L754" s="130"/>
      <c r="M754" s="130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</row>
    <row r="755" customFormat="false" ht="15.75" hidden="false" customHeight="false" outlineLevel="0" collapsed="false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30"/>
      <c r="L755" s="130"/>
      <c r="M755" s="130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</row>
    <row r="756" customFormat="false" ht="15.75" hidden="false" customHeight="false" outlineLevel="0" collapsed="false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30"/>
      <c r="L756" s="130"/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</row>
    <row r="757" customFormat="false" ht="15.75" hidden="false" customHeight="false" outlineLevel="0" collapsed="false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30"/>
      <c r="L757" s="130"/>
      <c r="M757" s="130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</row>
    <row r="758" customFormat="false" ht="15.75" hidden="false" customHeight="false" outlineLevel="0" collapsed="false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30"/>
      <c r="L758" s="130"/>
      <c r="M758" s="130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</row>
    <row r="759" customFormat="false" ht="15.75" hidden="false" customHeight="false" outlineLevel="0" collapsed="false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30"/>
      <c r="L759" s="130"/>
      <c r="M759" s="130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</row>
    <row r="760" customFormat="false" ht="15.75" hidden="false" customHeight="false" outlineLevel="0" collapsed="false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30"/>
      <c r="L760" s="130"/>
      <c r="M760" s="130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</row>
    <row r="761" customFormat="false" ht="15.75" hidden="false" customHeight="false" outlineLevel="0" collapsed="false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30"/>
      <c r="L761" s="130"/>
      <c r="M761" s="130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</row>
    <row r="762" customFormat="false" ht="15.75" hidden="false" customHeight="false" outlineLevel="0" collapsed="false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30"/>
      <c r="L762" s="130"/>
      <c r="M762" s="130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</row>
    <row r="763" customFormat="false" ht="15.75" hidden="false" customHeight="false" outlineLevel="0" collapsed="false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30"/>
      <c r="L763" s="130"/>
      <c r="M763" s="130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</row>
    <row r="764" customFormat="false" ht="15.75" hidden="false" customHeight="false" outlineLevel="0" collapsed="false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30"/>
      <c r="L764" s="130"/>
      <c r="M764" s="130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</row>
    <row r="765" customFormat="false" ht="15.75" hidden="false" customHeight="false" outlineLevel="0" collapsed="false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30"/>
      <c r="L765" s="130"/>
      <c r="M765" s="130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</row>
    <row r="766" customFormat="false" ht="15.75" hidden="false" customHeight="false" outlineLevel="0" collapsed="false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30"/>
      <c r="L766" s="130"/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</row>
    <row r="767" customFormat="false" ht="15.75" hidden="false" customHeight="false" outlineLevel="0" collapsed="false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30"/>
      <c r="L767" s="130"/>
      <c r="M767" s="130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</row>
    <row r="768" customFormat="false" ht="15.75" hidden="false" customHeight="false" outlineLevel="0" collapsed="false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30"/>
      <c r="L768" s="130"/>
      <c r="M768" s="130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</row>
    <row r="769" customFormat="false" ht="15.75" hidden="false" customHeight="false" outlineLevel="0" collapsed="false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30"/>
      <c r="L769" s="130"/>
      <c r="M769" s="130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</row>
    <row r="770" customFormat="false" ht="15.75" hidden="false" customHeight="false" outlineLevel="0" collapsed="false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30"/>
      <c r="L770" s="130"/>
      <c r="M770" s="130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</row>
    <row r="771" customFormat="false" ht="15.75" hidden="false" customHeight="false" outlineLevel="0" collapsed="false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30"/>
      <c r="L771" s="130"/>
      <c r="M771" s="130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</row>
    <row r="772" customFormat="false" ht="15.75" hidden="false" customHeight="false" outlineLevel="0" collapsed="false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30"/>
      <c r="L772" s="130"/>
      <c r="M772" s="130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</row>
    <row r="773" customFormat="false" ht="15.75" hidden="false" customHeight="false" outlineLevel="0" collapsed="false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30"/>
      <c r="L773" s="130"/>
      <c r="M773" s="130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</row>
    <row r="774" customFormat="false" ht="15.75" hidden="false" customHeight="false" outlineLevel="0" collapsed="false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30"/>
      <c r="L774" s="130"/>
      <c r="M774" s="130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</row>
    <row r="775" customFormat="false" ht="15.75" hidden="false" customHeight="false" outlineLevel="0" collapsed="false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30"/>
      <c r="L775" s="130"/>
      <c r="M775" s="130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</row>
    <row r="776" customFormat="false" ht="15.75" hidden="false" customHeight="false" outlineLevel="0" collapsed="false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30"/>
      <c r="L776" s="130"/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</row>
    <row r="777" customFormat="false" ht="15.75" hidden="false" customHeight="false" outlineLevel="0" collapsed="false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30"/>
      <c r="L777" s="130"/>
      <c r="M777" s="130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</row>
    <row r="778" customFormat="false" ht="15.75" hidden="false" customHeight="false" outlineLevel="0" collapsed="false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30"/>
      <c r="L778" s="130"/>
      <c r="M778" s="130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</row>
    <row r="779" customFormat="false" ht="15.75" hidden="false" customHeight="false" outlineLevel="0" collapsed="false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30"/>
      <c r="L779" s="130"/>
      <c r="M779" s="130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</row>
    <row r="780" customFormat="false" ht="15.75" hidden="false" customHeight="false" outlineLevel="0" collapsed="false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30"/>
      <c r="L780" s="130"/>
      <c r="M780" s="130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</row>
    <row r="781" customFormat="false" ht="15.75" hidden="false" customHeight="false" outlineLevel="0" collapsed="false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30"/>
      <c r="L781" s="130"/>
      <c r="M781" s="130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</row>
    <row r="782" customFormat="false" ht="15.75" hidden="false" customHeight="false" outlineLevel="0" collapsed="false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30"/>
      <c r="L782" s="130"/>
      <c r="M782" s="130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</row>
    <row r="783" customFormat="false" ht="15.75" hidden="false" customHeight="false" outlineLevel="0" collapsed="false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30"/>
      <c r="L783" s="130"/>
      <c r="M783" s="130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</row>
    <row r="784" customFormat="false" ht="15.75" hidden="false" customHeight="false" outlineLevel="0" collapsed="false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30"/>
      <c r="L784" s="130"/>
      <c r="M784" s="130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</row>
    <row r="785" customFormat="false" ht="15.75" hidden="false" customHeight="false" outlineLevel="0" collapsed="false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30"/>
      <c r="L785" s="130"/>
      <c r="M785" s="130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</row>
    <row r="786" customFormat="false" ht="15.75" hidden="false" customHeight="false" outlineLevel="0" collapsed="false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30"/>
      <c r="L786" s="130"/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</row>
    <row r="787" customFormat="false" ht="15.75" hidden="false" customHeight="false" outlineLevel="0" collapsed="false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30"/>
      <c r="L787" s="130"/>
      <c r="M787" s="130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</row>
    <row r="788" customFormat="false" ht="15.75" hidden="false" customHeight="false" outlineLevel="0" collapsed="false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30"/>
      <c r="L788" s="130"/>
      <c r="M788" s="130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</row>
    <row r="789" customFormat="false" ht="15.75" hidden="false" customHeight="false" outlineLevel="0" collapsed="false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30"/>
      <c r="L789" s="130"/>
      <c r="M789" s="130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</row>
    <row r="790" customFormat="false" ht="15.75" hidden="false" customHeight="false" outlineLevel="0" collapsed="false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30"/>
      <c r="L790" s="130"/>
      <c r="M790" s="130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</row>
    <row r="791" customFormat="false" ht="15.75" hidden="false" customHeight="false" outlineLevel="0" collapsed="false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30"/>
      <c r="L791" s="130"/>
      <c r="M791" s="130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</row>
    <row r="792" customFormat="false" ht="15.75" hidden="false" customHeight="false" outlineLevel="0" collapsed="false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30"/>
      <c r="L792" s="130"/>
      <c r="M792" s="130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</row>
    <row r="793" customFormat="false" ht="15.75" hidden="false" customHeight="false" outlineLevel="0" collapsed="false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30"/>
      <c r="L793" s="130"/>
      <c r="M793" s="130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</row>
    <row r="794" customFormat="false" ht="15.75" hidden="false" customHeight="false" outlineLevel="0" collapsed="false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30"/>
      <c r="L794" s="130"/>
      <c r="M794" s="130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</row>
    <row r="795" customFormat="false" ht="15.75" hidden="false" customHeight="false" outlineLevel="0" collapsed="false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30"/>
      <c r="L795" s="130"/>
      <c r="M795" s="130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</row>
    <row r="796" customFormat="false" ht="15.75" hidden="false" customHeight="false" outlineLevel="0" collapsed="false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30"/>
      <c r="L796" s="130"/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</row>
    <row r="797" customFormat="false" ht="15.75" hidden="false" customHeight="false" outlineLevel="0" collapsed="false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30"/>
      <c r="L797" s="130"/>
      <c r="M797" s="130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</row>
    <row r="798" customFormat="false" ht="15.75" hidden="false" customHeight="false" outlineLevel="0" collapsed="false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30"/>
      <c r="L798" s="130"/>
      <c r="M798" s="130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</row>
    <row r="799" customFormat="false" ht="15.75" hidden="false" customHeight="false" outlineLevel="0" collapsed="false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30"/>
      <c r="L799" s="130"/>
      <c r="M799" s="130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</row>
    <row r="800" customFormat="false" ht="15.75" hidden="false" customHeight="false" outlineLevel="0" collapsed="false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30"/>
      <c r="L800" s="130"/>
      <c r="M800" s="130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</row>
    <row r="801" customFormat="false" ht="15.75" hidden="false" customHeight="false" outlineLevel="0" collapsed="false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30"/>
      <c r="L801" s="130"/>
      <c r="M801" s="130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</row>
    <row r="802" customFormat="false" ht="15.75" hidden="false" customHeight="false" outlineLevel="0" collapsed="false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30"/>
      <c r="L802" s="130"/>
      <c r="M802" s="130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</row>
    <row r="803" customFormat="false" ht="15.75" hidden="false" customHeight="false" outlineLevel="0" collapsed="false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30"/>
      <c r="L803" s="130"/>
      <c r="M803" s="130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</row>
    <row r="804" customFormat="false" ht="15.75" hidden="false" customHeight="false" outlineLevel="0" collapsed="false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30"/>
      <c r="L804" s="130"/>
      <c r="M804" s="130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</row>
    <row r="805" customFormat="false" ht="15.75" hidden="false" customHeight="false" outlineLevel="0" collapsed="false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30"/>
      <c r="L805" s="130"/>
      <c r="M805" s="130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</row>
    <row r="806" customFormat="false" ht="15.75" hidden="false" customHeight="false" outlineLevel="0" collapsed="false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30"/>
      <c r="L806" s="130"/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</row>
    <row r="807" customFormat="false" ht="15.75" hidden="false" customHeight="false" outlineLevel="0" collapsed="false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30"/>
      <c r="L807" s="130"/>
      <c r="M807" s="130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</row>
    <row r="808" customFormat="false" ht="15.75" hidden="false" customHeight="false" outlineLevel="0" collapsed="false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30"/>
      <c r="L808" s="130"/>
      <c r="M808" s="130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</row>
    <row r="809" customFormat="false" ht="15.75" hidden="false" customHeight="false" outlineLevel="0" collapsed="false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30"/>
      <c r="L809" s="130"/>
      <c r="M809" s="130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</row>
    <row r="810" customFormat="false" ht="15.75" hidden="false" customHeight="false" outlineLevel="0" collapsed="false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30"/>
      <c r="L810" s="130"/>
      <c r="M810" s="130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</row>
    <row r="811" customFormat="false" ht="15.75" hidden="false" customHeight="false" outlineLevel="0" collapsed="false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30"/>
      <c r="L811" s="130"/>
      <c r="M811" s="130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</row>
    <row r="812" customFormat="false" ht="15.75" hidden="false" customHeight="false" outlineLevel="0" collapsed="false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30"/>
      <c r="L812" s="130"/>
      <c r="M812" s="130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</row>
    <row r="813" customFormat="false" ht="15.75" hidden="false" customHeight="false" outlineLevel="0" collapsed="false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30"/>
      <c r="L813" s="130"/>
      <c r="M813" s="130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</row>
    <row r="814" customFormat="false" ht="15.75" hidden="false" customHeight="false" outlineLevel="0" collapsed="false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30"/>
      <c r="L814" s="130"/>
      <c r="M814" s="130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</row>
    <row r="815" customFormat="false" ht="15.75" hidden="false" customHeight="false" outlineLevel="0" collapsed="false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30"/>
      <c r="L815" s="130"/>
      <c r="M815" s="130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</row>
    <row r="816" customFormat="false" ht="15.75" hidden="false" customHeight="false" outlineLevel="0" collapsed="false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30"/>
      <c r="L816" s="130"/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</row>
    <row r="817" customFormat="false" ht="15.75" hidden="false" customHeight="false" outlineLevel="0" collapsed="false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30"/>
      <c r="L817" s="130"/>
      <c r="M817" s="130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</row>
    <row r="818" customFormat="false" ht="15.75" hidden="false" customHeight="false" outlineLevel="0" collapsed="false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30"/>
      <c r="L818" s="130"/>
      <c r="M818" s="130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</row>
    <row r="819" customFormat="false" ht="15.75" hidden="false" customHeight="false" outlineLevel="0" collapsed="false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30"/>
      <c r="L819" s="130"/>
      <c r="M819" s="130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</row>
    <row r="820" customFormat="false" ht="15.75" hidden="false" customHeight="false" outlineLevel="0" collapsed="false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30"/>
      <c r="L820" s="130"/>
      <c r="M820" s="130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</row>
    <row r="821" customFormat="false" ht="15.75" hidden="false" customHeight="false" outlineLevel="0" collapsed="false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30"/>
      <c r="L821" s="130"/>
      <c r="M821" s="130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</row>
    <row r="822" customFormat="false" ht="15.75" hidden="false" customHeight="false" outlineLevel="0" collapsed="false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30"/>
      <c r="L822" s="130"/>
      <c r="M822" s="130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</row>
    <row r="823" customFormat="false" ht="15.75" hidden="false" customHeight="false" outlineLevel="0" collapsed="false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30"/>
      <c r="L823" s="130"/>
      <c r="M823" s="130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</row>
    <row r="824" customFormat="false" ht="15.75" hidden="false" customHeight="false" outlineLevel="0" collapsed="false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30"/>
      <c r="L824" s="130"/>
      <c r="M824" s="130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</row>
    <row r="825" customFormat="false" ht="15.75" hidden="false" customHeight="false" outlineLevel="0" collapsed="false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30"/>
      <c r="L825" s="130"/>
      <c r="M825" s="130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</row>
    <row r="826" customFormat="false" ht="15.75" hidden="false" customHeight="false" outlineLevel="0" collapsed="false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30"/>
      <c r="L826" s="130"/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</row>
    <row r="827" customFormat="false" ht="15.75" hidden="false" customHeight="false" outlineLevel="0" collapsed="false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30"/>
      <c r="L827" s="130"/>
      <c r="M827" s="130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</row>
    <row r="828" customFormat="false" ht="15.75" hidden="false" customHeight="false" outlineLevel="0" collapsed="false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30"/>
      <c r="L828" s="130"/>
      <c r="M828" s="130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</row>
    <row r="829" customFormat="false" ht="15.75" hidden="false" customHeight="false" outlineLevel="0" collapsed="false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30"/>
      <c r="L829" s="130"/>
      <c r="M829" s="130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</row>
    <row r="830" customFormat="false" ht="15.75" hidden="false" customHeight="false" outlineLevel="0" collapsed="false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30"/>
      <c r="L830" s="130"/>
      <c r="M830" s="130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</row>
    <row r="831" customFormat="false" ht="15.75" hidden="false" customHeight="false" outlineLevel="0" collapsed="false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30"/>
      <c r="L831" s="130"/>
      <c r="M831" s="130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</row>
    <row r="832" customFormat="false" ht="15.75" hidden="false" customHeight="false" outlineLevel="0" collapsed="false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30"/>
      <c r="L832" s="130"/>
      <c r="M832" s="130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</row>
    <row r="833" customFormat="false" ht="15.75" hidden="false" customHeight="false" outlineLevel="0" collapsed="false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30"/>
      <c r="L833" s="130"/>
      <c r="M833" s="130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</row>
    <row r="834" customFormat="false" ht="15.75" hidden="false" customHeight="false" outlineLevel="0" collapsed="false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30"/>
      <c r="L834" s="130"/>
      <c r="M834" s="130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</row>
    <row r="835" customFormat="false" ht="15.75" hidden="false" customHeight="false" outlineLevel="0" collapsed="false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30"/>
      <c r="L835" s="130"/>
      <c r="M835" s="130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</row>
    <row r="836" customFormat="false" ht="15.75" hidden="false" customHeight="false" outlineLevel="0" collapsed="false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30"/>
      <c r="L836" s="130"/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</row>
    <row r="837" customFormat="false" ht="15.75" hidden="false" customHeight="false" outlineLevel="0" collapsed="false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30"/>
      <c r="L837" s="130"/>
      <c r="M837" s="130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</row>
    <row r="838" customFormat="false" ht="15.75" hidden="false" customHeight="false" outlineLevel="0" collapsed="false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30"/>
      <c r="L838" s="130"/>
      <c r="M838" s="130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</row>
    <row r="839" customFormat="false" ht="15.75" hidden="false" customHeight="false" outlineLevel="0" collapsed="false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30"/>
      <c r="L839" s="130"/>
      <c r="M839" s="130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</row>
    <row r="840" customFormat="false" ht="15.75" hidden="false" customHeight="false" outlineLevel="0" collapsed="false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30"/>
      <c r="L840" s="130"/>
      <c r="M840" s="130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</row>
    <row r="841" customFormat="false" ht="15.75" hidden="false" customHeight="false" outlineLevel="0" collapsed="false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30"/>
      <c r="L841" s="130"/>
      <c r="M841" s="130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</row>
    <row r="842" customFormat="false" ht="15.75" hidden="false" customHeight="false" outlineLevel="0" collapsed="false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30"/>
      <c r="L842" s="130"/>
      <c r="M842" s="130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</row>
    <row r="843" customFormat="false" ht="15.75" hidden="false" customHeight="false" outlineLevel="0" collapsed="false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30"/>
      <c r="L843" s="130"/>
      <c r="M843" s="130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</row>
    <row r="844" customFormat="false" ht="15.75" hidden="false" customHeight="false" outlineLevel="0" collapsed="false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30"/>
      <c r="L844" s="130"/>
      <c r="M844" s="130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</row>
    <row r="845" customFormat="false" ht="15.75" hidden="false" customHeight="false" outlineLevel="0" collapsed="false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30"/>
      <c r="L845" s="130"/>
      <c r="M845" s="130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</row>
    <row r="846" customFormat="false" ht="15.75" hidden="false" customHeight="false" outlineLevel="0" collapsed="false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30"/>
      <c r="L846" s="130"/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</row>
    <row r="847" customFormat="false" ht="15.75" hidden="false" customHeight="false" outlineLevel="0" collapsed="false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30"/>
      <c r="L847" s="130"/>
      <c r="M847" s="130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</row>
    <row r="848" customFormat="false" ht="15.75" hidden="false" customHeight="false" outlineLevel="0" collapsed="false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30"/>
      <c r="L848" s="130"/>
      <c r="M848" s="130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</row>
    <row r="849" customFormat="false" ht="15.75" hidden="false" customHeight="false" outlineLevel="0" collapsed="false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30"/>
      <c r="L849" s="130"/>
      <c r="M849" s="130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</row>
    <row r="850" customFormat="false" ht="15.75" hidden="false" customHeight="false" outlineLevel="0" collapsed="false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30"/>
      <c r="L850" s="130"/>
      <c r="M850" s="130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</row>
    <row r="851" customFormat="false" ht="15.75" hidden="false" customHeight="false" outlineLevel="0" collapsed="false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30"/>
      <c r="L851" s="130"/>
      <c r="M851" s="130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</row>
    <row r="852" customFormat="false" ht="15.75" hidden="false" customHeight="false" outlineLevel="0" collapsed="false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30"/>
      <c r="L852" s="130"/>
      <c r="M852" s="130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</row>
    <row r="853" customFormat="false" ht="15.75" hidden="false" customHeight="false" outlineLevel="0" collapsed="false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30"/>
      <c r="L853" s="130"/>
      <c r="M853" s="130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</row>
    <row r="854" customFormat="false" ht="15.75" hidden="false" customHeight="false" outlineLevel="0" collapsed="false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30"/>
      <c r="L854" s="130"/>
      <c r="M854" s="130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</row>
    <row r="855" customFormat="false" ht="15.75" hidden="false" customHeight="false" outlineLevel="0" collapsed="false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30"/>
      <c r="L855" s="130"/>
      <c r="M855" s="130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</row>
    <row r="856" customFormat="false" ht="15.75" hidden="false" customHeight="false" outlineLevel="0" collapsed="false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30"/>
      <c r="L856" s="130"/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</row>
    <row r="857" customFormat="false" ht="15.75" hidden="false" customHeight="false" outlineLevel="0" collapsed="false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30"/>
      <c r="L857" s="130"/>
      <c r="M857" s="130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</row>
    <row r="858" customFormat="false" ht="15.75" hidden="false" customHeight="false" outlineLevel="0" collapsed="false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30"/>
      <c r="L858" s="130"/>
      <c r="M858" s="130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</row>
    <row r="859" customFormat="false" ht="15.75" hidden="false" customHeight="false" outlineLevel="0" collapsed="false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30"/>
      <c r="L859" s="130"/>
      <c r="M859" s="130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</row>
    <row r="860" customFormat="false" ht="15.75" hidden="false" customHeight="false" outlineLevel="0" collapsed="false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30"/>
      <c r="L860" s="130"/>
      <c r="M860" s="130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</row>
    <row r="861" customFormat="false" ht="15.75" hidden="false" customHeight="false" outlineLevel="0" collapsed="false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30"/>
      <c r="L861" s="130"/>
      <c r="M861" s="130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</row>
    <row r="862" customFormat="false" ht="15.75" hidden="false" customHeight="false" outlineLevel="0" collapsed="false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30"/>
      <c r="L862" s="130"/>
      <c r="M862" s="130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</row>
    <row r="863" customFormat="false" ht="15.75" hidden="false" customHeight="false" outlineLevel="0" collapsed="false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30"/>
      <c r="L863" s="130"/>
      <c r="M863" s="130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</row>
    <row r="864" customFormat="false" ht="15.75" hidden="false" customHeight="false" outlineLevel="0" collapsed="false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30"/>
      <c r="L864" s="130"/>
      <c r="M864" s="130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</row>
    <row r="865" customFormat="false" ht="15.75" hidden="false" customHeight="false" outlineLevel="0" collapsed="false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30"/>
      <c r="L865" s="130"/>
      <c r="M865" s="130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</row>
    <row r="866" customFormat="false" ht="15.75" hidden="false" customHeight="false" outlineLevel="0" collapsed="false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30"/>
      <c r="L866" s="130"/>
      <c r="M866" s="130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</row>
    <row r="867" customFormat="false" ht="15.75" hidden="false" customHeight="false" outlineLevel="0" collapsed="false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30"/>
      <c r="L867" s="130"/>
      <c r="M867" s="130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</row>
    <row r="868" customFormat="false" ht="15.75" hidden="false" customHeight="false" outlineLevel="0" collapsed="false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30"/>
      <c r="L868" s="130"/>
      <c r="M868" s="130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</row>
    <row r="869" customFormat="false" ht="15.75" hidden="false" customHeight="false" outlineLevel="0" collapsed="false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30"/>
      <c r="L869" s="130"/>
      <c r="M869" s="130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</row>
    <row r="870" customFormat="false" ht="15.75" hidden="false" customHeight="false" outlineLevel="0" collapsed="false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30"/>
      <c r="L870" s="130"/>
      <c r="M870" s="130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</row>
    <row r="871" customFormat="false" ht="15.75" hidden="false" customHeight="false" outlineLevel="0" collapsed="false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30"/>
      <c r="L871" s="130"/>
      <c r="M871" s="130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</row>
    <row r="872" customFormat="false" ht="15.75" hidden="false" customHeight="false" outlineLevel="0" collapsed="false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30"/>
      <c r="L872" s="130"/>
      <c r="M872" s="130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</row>
    <row r="873" customFormat="false" ht="15.75" hidden="false" customHeight="false" outlineLevel="0" collapsed="false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30"/>
      <c r="L873" s="130"/>
      <c r="M873" s="130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</row>
    <row r="874" customFormat="false" ht="15.75" hidden="false" customHeight="false" outlineLevel="0" collapsed="false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30"/>
      <c r="L874" s="130"/>
      <c r="M874" s="130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</row>
    <row r="875" customFormat="false" ht="15.75" hidden="false" customHeight="false" outlineLevel="0" collapsed="false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30"/>
      <c r="L875" s="130"/>
      <c r="M875" s="130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</row>
    <row r="876" customFormat="false" ht="15.75" hidden="false" customHeight="false" outlineLevel="0" collapsed="false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30"/>
      <c r="L876" s="130"/>
      <c r="M876" s="130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</row>
    <row r="877" customFormat="false" ht="15.75" hidden="false" customHeight="false" outlineLevel="0" collapsed="false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30"/>
      <c r="L877" s="130"/>
      <c r="M877" s="130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</row>
    <row r="878" customFormat="false" ht="15.75" hidden="false" customHeight="false" outlineLevel="0" collapsed="false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30"/>
      <c r="L878" s="130"/>
      <c r="M878" s="130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</row>
    <row r="879" customFormat="false" ht="15.75" hidden="false" customHeight="false" outlineLevel="0" collapsed="false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30"/>
      <c r="L879" s="130"/>
      <c r="M879" s="130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</row>
    <row r="880" customFormat="false" ht="15.75" hidden="false" customHeight="false" outlineLevel="0" collapsed="false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30"/>
      <c r="L880" s="130"/>
      <c r="M880" s="130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</row>
    <row r="881" customFormat="false" ht="15.75" hidden="false" customHeight="false" outlineLevel="0" collapsed="false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30"/>
      <c r="L881" s="130"/>
      <c r="M881" s="130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</row>
    <row r="882" customFormat="false" ht="15.75" hidden="false" customHeight="false" outlineLevel="0" collapsed="false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30"/>
      <c r="L882" s="130"/>
      <c r="M882" s="130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</row>
    <row r="883" customFormat="false" ht="15.75" hidden="false" customHeight="false" outlineLevel="0" collapsed="false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30"/>
      <c r="L883" s="130"/>
      <c r="M883" s="130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</row>
    <row r="884" customFormat="false" ht="15.75" hidden="false" customHeight="false" outlineLevel="0" collapsed="false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30"/>
      <c r="L884" s="130"/>
      <c r="M884" s="130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</row>
    <row r="885" customFormat="false" ht="15.75" hidden="false" customHeight="false" outlineLevel="0" collapsed="false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30"/>
      <c r="L885" s="130"/>
      <c r="M885" s="130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</row>
    <row r="886" customFormat="false" ht="15.75" hidden="false" customHeight="false" outlineLevel="0" collapsed="false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30"/>
      <c r="L886" s="130"/>
      <c r="M886" s="130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</row>
    <row r="887" customFormat="false" ht="15.75" hidden="false" customHeight="false" outlineLevel="0" collapsed="false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30"/>
      <c r="L887" s="130"/>
      <c r="M887" s="130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</row>
    <row r="888" customFormat="false" ht="15.75" hidden="false" customHeight="false" outlineLevel="0" collapsed="false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30"/>
      <c r="L888" s="130"/>
      <c r="M888" s="130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</row>
    <row r="889" customFormat="false" ht="15.75" hidden="false" customHeight="false" outlineLevel="0" collapsed="false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30"/>
      <c r="L889" s="130"/>
      <c r="M889" s="130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</row>
    <row r="890" customFormat="false" ht="15.75" hidden="false" customHeight="false" outlineLevel="0" collapsed="false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30"/>
      <c r="L890" s="130"/>
      <c r="M890" s="130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</row>
    <row r="891" customFormat="false" ht="15.75" hidden="false" customHeight="false" outlineLevel="0" collapsed="false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30"/>
      <c r="L891" s="130"/>
      <c r="M891" s="130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</row>
    <row r="892" customFormat="false" ht="15.75" hidden="false" customHeight="false" outlineLevel="0" collapsed="false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30"/>
      <c r="L892" s="130"/>
      <c r="M892" s="130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</row>
    <row r="893" customFormat="false" ht="15.75" hidden="false" customHeight="false" outlineLevel="0" collapsed="false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30"/>
      <c r="L893" s="130"/>
      <c r="M893" s="130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</row>
    <row r="894" customFormat="false" ht="15.75" hidden="false" customHeight="false" outlineLevel="0" collapsed="false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30"/>
      <c r="L894" s="130"/>
      <c r="M894" s="130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</row>
    <row r="895" customFormat="false" ht="15.75" hidden="false" customHeight="false" outlineLevel="0" collapsed="false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30"/>
      <c r="L895" s="130"/>
      <c r="M895" s="130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</row>
    <row r="896" customFormat="false" ht="15.75" hidden="false" customHeight="false" outlineLevel="0" collapsed="false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30"/>
      <c r="L896" s="130"/>
      <c r="M896" s="130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</row>
    <row r="897" customFormat="false" ht="15.75" hidden="false" customHeight="false" outlineLevel="0" collapsed="false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30"/>
      <c r="L897" s="130"/>
      <c r="M897" s="130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</row>
    <row r="898" customFormat="false" ht="15.75" hidden="false" customHeight="false" outlineLevel="0" collapsed="false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30"/>
      <c r="L898" s="130"/>
      <c r="M898" s="130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</row>
    <row r="899" customFormat="false" ht="15.75" hidden="false" customHeight="false" outlineLevel="0" collapsed="false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30"/>
      <c r="L899" s="130"/>
      <c r="M899" s="130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</row>
    <row r="900" customFormat="false" ht="15.75" hidden="false" customHeight="false" outlineLevel="0" collapsed="false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30"/>
      <c r="L900" s="130"/>
      <c r="M900" s="130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</row>
    <row r="901" customFormat="false" ht="15.75" hidden="false" customHeight="false" outlineLevel="0" collapsed="false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30"/>
      <c r="L901" s="130"/>
      <c r="M901" s="130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</row>
    <row r="902" customFormat="false" ht="15.75" hidden="false" customHeight="false" outlineLevel="0" collapsed="false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30"/>
      <c r="L902" s="130"/>
      <c r="M902" s="130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</row>
    <row r="903" customFormat="false" ht="15.75" hidden="false" customHeight="false" outlineLevel="0" collapsed="false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30"/>
      <c r="L903" s="130"/>
      <c r="M903" s="130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</row>
    <row r="904" customFormat="false" ht="15.75" hidden="false" customHeight="false" outlineLevel="0" collapsed="false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30"/>
      <c r="L904" s="130"/>
      <c r="M904" s="130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</row>
    <row r="905" customFormat="false" ht="15.75" hidden="false" customHeight="false" outlineLevel="0" collapsed="false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30"/>
      <c r="L905" s="130"/>
      <c r="M905" s="130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</row>
    <row r="906" customFormat="false" ht="15.75" hidden="false" customHeight="false" outlineLevel="0" collapsed="false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30"/>
      <c r="L906" s="130"/>
      <c r="M906" s="130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</row>
    <row r="907" customFormat="false" ht="15.75" hidden="false" customHeight="false" outlineLevel="0" collapsed="false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30"/>
      <c r="L907" s="130"/>
      <c r="M907" s="130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</row>
    <row r="908" customFormat="false" ht="15.75" hidden="false" customHeight="false" outlineLevel="0" collapsed="false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30"/>
      <c r="L908" s="130"/>
      <c r="M908" s="130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</row>
    <row r="909" customFormat="false" ht="15.75" hidden="false" customHeight="false" outlineLevel="0" collapsed="false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30"/>
      <c r="L909" s="130"/>
      <c r="M909" s="130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</row>
    <row r="910" customFormat="false" ht="15.75" hidden="false" customHeight="false" outlineLevel="0" collapsed="false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30"/>
      <c r="L910" s="130"/>
      <c r="M910" s="130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</row>
    <row r="911" customFormat="false" ht="15.75" hidden="false" customHeight="false" outlineLevel="0" collapsed="false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</row>
    <row r="912" customFormat="false" ht="15.75" hidden="false" customHeight="false" outlineLevel="0" collapsed="false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30"/>
      <c r="L912" s="130"/>
      <c r="M912" s="130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</row>
    <row r="913" customFormat="false" ht="15.75" hidden="false" customHeight="false" outlineLevel="0" collapsed="false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30"/>
      <c r="L913" s="130"/>
      <c r="M913" s="130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</row>
    <row r="914" customFormat="false" ht="15.75" hidden="false" customHeight="false" outlineLevel="0" collapsed="false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30"/>
      <c r="L914" s="130"/>
      <c r="M914" s="130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</row>
    <row r="915" customFormat="false" ht="15.75" hidden="false" customHeight="false" outlineLevel="0" collapsed="false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30"/>
      <c r="L915" s="130"/>
      <c r="M915" s="130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</row>
    <row r="916" customFormat="false" ht="15.75" hidden="false" customHeight="false" outlineLevel="0" collapsed="false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30"/>
      <c r="L916" s="130"/>
      <c r="M916" s="130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</row>
    <row r="917" customFormat="false" ht="15.75" hidden="false" customHeight="false" outlineLevel="0" collapsed="false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30"/>
      <c r="L917" s="130"/>
      <c r="M917" s="130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</row>
    <row r="918" customFormat="false" ht="15.75" hidden="false" customHeight="false" outlineLevel="0" collapsed="false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30"/>
      <c r="L918" s="130"/>
      <c r="M918" s="130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</row>
    <row r="919" customFormat="false" ht="15.75" hidden="false" customHeight="false" outlineLevel="0" collapsed="false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30"/>
      <c r="L919" s="130"/>
      <c r="M919" s="130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</row>
    <row r="920" customFormat="false" ht="15.75" hidden="false" customHeight="false" outlineLevel="0" collapsed="false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30"/>
      <c r="L920" s="130"/>
      <c r="M920" s="130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</row>
    <row r="921" customFormat="false" ht="15.75" hidden="false" customHeight="false" outlineLevel="0" collapsed="false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30"/>
      <c r="L921" s="130"/>
      <c r="M921" s="130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</row>
    <row r="922" customFormat="false" ht="15.75" hidden="false" customHeight="false" outlineLevel="0" collapsed="false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30"/>
      <c r="L922" s="130"/>
      <c r="M922" s="130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</row>
    <row r="923" customFormat="false" ht="15.75" hidden="false" customHeight="false" outlineLevel="0" collapsed="false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30"/>
      <c r="L923" s="130"/>
      <c r="M923" s="130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</row>
    <row r="924" customFormat="false" ht="15.75" hidden="false" customHeight="false" outlineLevel="0" collapsed="false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30"/>
      <c r="L924" s="130"/>
      <c r="M924" s="130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</row>
    <row r="925" customFormat="false" ht="15.75" hidden="false" customHeight="false" outlineLevel="0" collapsed="false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30"/>
      <c r="L925" s="130"/>
      <c r="M925" s="130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</row>
    <row r="926" customFormat="false" ht="15.75" hidden="false" customHeight="false" outlineLevel="0" collapsed="false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30"/>
      <c r="L926" s="130"/>
      <c r="M926" s="130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</row>
    <row r="927" customFormat="false" ht="15.75" hidden="false" customHeight="false" outlineLevel="0" collapsed="false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30"/>
      <c r="L927" s="130"/>
      <c r="M927" s="130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</row>
    <row r="928" customFormat="false" ht="15.75" hidden="false" customHeight="false" outlineLevel="0" collapsed="false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30"/>
      <c r="L928" s="130"/>
      <c r="M928" s="130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</row>
    <row r="929" customFormat="false" ht="15.75" hidden="false" customHeight="false" outlineLevel="0" collapsed="false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30"/>
      <c r="L929" s="130"/>
      <c r="M929" s="130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</row>
    <row r="930" customFormat="false" ht="15.75" hidden="false" customHeight="false" outlineLevel="0" collapsed="false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30"/>
      <c r="L930" s="130"/>
      <c r="M930" s="130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</row>
    <row r="931" customFormat="false" ht="15.75" hidden="false" customHeight="false" outlineLevel="0" collapsed="false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30"/>
      <c r="L931" s="130"/>
      <c r="M931" s="130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</row>
    <row r="932" customFormat="false" ht="15.75" hidden="false" customHeight="false" outlineLevel="0" collapsed="false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30"/>
      <c r="L932" s="130"/>
      <c r="M932" s="130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</row>
    <row r="933" customFormat="false" ht="15.75" hidden="false" customHeight="false" outlineLevel="0" collapsed="false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30"/>
      <c r="L933" s="130"/>
      <c r="M933" s="130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</row>
    <row r="934" customFormat="false" ht="15.75" hidden="false" customHeight="false" outlineLevel="0" collapsed="false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30"/>
      <c r="L934" s="130"/>
      <c r="M934" s="130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</row>
    <row r="935" customFormat="false" ht="15.75" hidden="false" customHeight="false" outlineLevel="0" collapsed="false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30"/>
      <c r="L935" s="130"/>
      <c r="M935" s="130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</row>
    <row r="936" customFormat="false" ht="15.75" hidden="false" customHeight="false" outlineLevel="0" collapsed="false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30"/>
      <c r="L936" s="130"/>
      <c r="M936" s="130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</row>
    <row r="937" customFormat="false" ht="15.75" hidden="false" customHeight="false" outlineLevel="0" collapsed="false">
      <c r="A937" s="130"/>
      <c r="B937" s="130"/>
      <c r="C937" s="130"/>
      <c r="D937" s="130"/>
      <c r="E937" s="130"/>
      <c r="F937" s="130"/>
      <c r="G937" s="130"/>
      <c r="H937" s="130"/>
      <c r="I937" s="130"/>
      <c r="J937" s="130"/>
      <c r="K937" s="130"/>
      <c r="L937" s="130"/>
      <c r="M937" s="130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</row>
    <row r="938" customFormat="false" ht="15.75" hidden="false" customHeight="false" outlineLevel="0" collapsed="false">
      <c r="A938" s="130"/>
      <c r="B938" s="130"/>
      <c r="C938" s="130"/>
      <c r="D938" s="130"/>
      <c r="E938" s="130"/>
      <c r="F938" s="130"/>
      <c r="G938" s="130"/>
      <c r="H938" s="130"/>
      <c r="I938" s="130"/>
      <c r="J938" s="130"/>
      <c r="K938" s="130"/>
      <c r="L938" s="130"/>
      <c r="M938" s="130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</row>
    <row r="939" customFormat="false" ht="15.75" hidden="false" customHeight="false" outlineLevel="0" collapsed="false">
      <c r="A939" s="130"/>
      <c r="B939" s="130"/>
      <c r="C939" s="130"/>
      <c r="D939" s="130"/>
      <c r="E939" s="130"/>
      <c r="F939" s="130"/>
      <c r="G939" s="130"/>
      <c r="H939" s="130"/>
      <c r="I939" s="130"/>
      <c r="J939" s="130"/>
      <c r="K939" s="130"/>
      <c r="L939" s="130"/>
      <c r="M939" s="130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</row>
    <row r="940" customFormat="false" ht="15.75" hidden="false" customHeight="false" outlineLevel="0" collapsed="false">
      <c r="A940" s="130"/>
      <c r="B940" s="130"/>
      <c r="C940" s="130"/>
      <c r="D940" s="130"/>
      <c r="E940" s="130"/>
      <c r="F940" s="130"/>
      <c r="G940" s="130"/>
      <c r="H940" s="130"/>
      <c r="I940" s="130"/>
      <c r="J940" s="130"/>
      <c r="K940" s="130"/>
      <c r="L940" s="130"/>
      <c r="M940" s="130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</row>
    <row r="941" customFormat="false" ht="15.75" hidden="false" customHeight="false" outlineLevel="0" collapsed="false">
      <c r="A941" s="130"/>
      <c r="B941" s="130"/>
      <c r="C941" s="130"/>
      <c r="D941" s="130"/>
      <c r="E941" s="130"/>
      <c r="F941" s="130"/>
      <c r="G941" s="130"/>
      <c r="H941" s="130"/>
      <c r="I941" s="130"/>
      <c r="J941" s="130"/>
      <c r="K941" s="130"/>
      <c r="L941" s="130"/>
      <c r="M941" s="130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</row>
    <row r="942" customFormat="false" ht="15.75" hidden="false" customHeight="false" outlineLevel="0" collapsed="false">
      <c r="A942" s="130"/>
      <c r="B942" s="130"/>
      <c r="C942" s="130"/>
      <c r="D942" s="130"/>
      <c r="E942" s="130"/>
      <c r="F942" s="130"/>
      <c r="G942" s="130"/>
      <c r="H942" s="130"/>
      <c r="I942" s="130"/>
      <c r="J942" s="130"/>
      <c r="K942" s="130"/>
      <c r="L942" s="130"/>
      <c r="M942" s="130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</row>
    <row r="943" customFormat="false" ht="15.75" hidden="false" customHeight="false" outlineLevel="0" collapsed="false">
      <c r="A943" s="130"/>
      <c r="B943" s="130"/>
      <c r="C943" s="130"/>
      <c r="D943" s="130"/>
      <c r="E943" s="130"/>
      <c r="F943" s="130"/>
      <c r="G943" s="130"/>
      <c r="H943" s="130"/>
      <c r="I943" s="130"/>
      <c r="J943" s="130"/>
      <c r="K943" s="130"/>
      <c r="L943" s="130"/>
      <c r="M943" s="130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</row>
    <row r="944" customFormat="false" ht="15.75" hidden="false" customHeight="false" outlineLevel="0" collapsed="false">
      <c r="A944" s="130"/>
      <c r="B944" s="130"/>
      <c r="C944" s="130"/>
      <c r="D944" s="130"/>
      <c r="E944" s="130"/>
      <c r="F944" s="130"/>
      <c r="G944" s="130"/>
      <c r="H944" s="130"/>
      <c r="I944" s="130"/>
      <c r="J944" s="130"/>
      <c r="K944" s="130"/>
      <c r="L944" s="130"/>
      <c r="M944" s="130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</row>
    <row r="945" customFormat="false" ht="15.75" hidden="false" customHeight="false" outlineLevel="0" collapsed="false">
      <c r="A945" s="130"/>
      <c r="B945" s="130"/>
      <c r="C945" s="130"/>
      <c r="D945" s="130"/>
      <c r="E945" s="130"/>
      <c r="F945" s="130"/>
      <c r="G945" s="130"/>
      <c r="H945" s="130"/>
      <c r="I945" s="130"/>
      <c r="J945" s="130"/>
      <c r="K945" s="130"/>
      <c r="L945" s="130"/>
      <c r="M945" s="130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</row>
    <row r="946" customFormat="false" ht="15.75" hidden="false" customHeight="false" outlineLevel="0" collapsed="false">
      <c r="A946" s="130"/>
      <c r="B946" s="130"/>
      <c r="C946" s="130"/>
      <c r="D946" s="130"/>
      <c r="E946" s="130"/>
      <c r="F946" s="130"/>
      <c r="G946" s="130"/>
      <c r="H946" s="130"/>
      <c r="I946" s="130"/>
      <c r="J946" s="130"/>
      <c r="K946" s="130"/>
      <c r="L946" s="130"/>
      <c r="M946" s="130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</row>
    <row r="947" customFormat="false" ht="15.75" hidden="false" customHeight="false" outlineLevel="0" collapsed="false">
      <c r="A947" s="130"/>
      <c r="B947" s="130"/>
      <c r="C947" s="130"/>
      <c r="D947" s="130"/>
      <c r="E947" s="130"/>
      <c r="F947" s="130"/>
      <c r="G947" s="130"/>
      <c r="H947" s="130"/>
      <c r="I947" s="130"/>
      <c r="J947" s="130"/>
      <c r="K947" s="130"/>
      <c r="L947" s="130"/>
      <c r="M947" s="130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</row>
    <row r="948" customFormat="false" ht="15.75" hidden="false" customHeight="false" outlineLevel="0" collapsed="false">
      <c r="A948" s="130"/>
      <c r="B948" s="130"/>
      <c r="C948" s="130"/>
      <c r="D948" s="130"/>
      <c r="E948" s="130"/>
      <c r="F948" s="130"/>
      <c r="G948" s="130"/>
      <c r="H948" s="130"/>
      <c r="I948" s="130"/>
      <c r="J948" s="130"/>
      <c r="K948" s="130"/>
      <c r="L948" s="130"/>
      <c r="M948" s="130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</row>
    <row r="949" customFormat="false" ht="15.75" hidden="false" customHeight="false" outlineLevel="0" collapsed="false">
      <c r="A949" s="130"/>
      <c r="B949" s="130"/>
      <c r="C949" s="130"/>
      <c r="D949" s="130"/>
      <c r="E949" s="130"/>
      <c r="F949" s="130"/>
      <c r="G949" s="130"/>
      <c r="H949" s="130"/>
      <c r="I949" s="130"/>
      <c r="J949" s="130"/>
      <c r="K949" s="130"/>
      <c r="L949" s="130"/>
      <c r="M949" s="130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</row>
    <row r="950" customFormat="false" ht="15.75" hidden="false" customHeight="false" outlineLevel="0" collapsed="false">
      <c r="A950" s="130"/>
      <c r="B950" s="130"/>
      <c r="C950" s="130"/>
      <c r="D950" s="130"/>
      <c r="E950" s="130"/>
      <c r="F950" s="130"/>
      <c r="G950" s="130"/>
      <c r="H950" s="130"/>
      <c r="I950" s="130"/>
      <c r="J950" s="130"/>
      <c r="K950" s="130"/>
      <c r="L950" s="130"/>
      <c r="M950" s="130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</row>
    <row r="951" customFormat="false" ht="15.75" hidden="false" customHeight="false" outlineLevel="0" collapsed="false">
      <c r="A951" s="130"/>
      <c r="B951" s="130"/>
      <c r="C951" s="130"/>
      <c r="D951" s="130"/>
      <c r="E951" s="130"/>
      <c r="F951" s="130"/>
      <c r="G951" s="130"/>
      <c r="H951" s="130"/>
      <c r="I951" s="130"/>
      <c r="J951" s="130"/>
      <c r="K951" s="130"/>
      <c r="L951" s="130"/>
      <c r="M951" s="130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</row>
    <row r="952" customFormat="false" ht="15.75" hidden="false" customHeight="false" outlineLevel="0" collapsed="false">
      <c r="A952" s="130"/>
      <c r="B952" s="130"/>
      <c r="C952" s="130"/>
      <c r="D952" s="130"/>
      <c r="E952" s="130"/>
      <c r="F952" s="130"/>
      <c r="G952" s="130"/>
      <c r="H952" s="130"/>
      <c r="I952" s="130"/>
      <c r="J952" s="130"/>
      <c r="K952" s="130"/>
      <c r="L952" s="130"/>
      <c r="M952" s="130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</row>
    <row r="953" customFormat="false" ht="15.75" hidden="false" customHeight="false" outlineLevel="0" collapsed="false">
      <c r="A953" s="130"/>
      <c r="B953" s="130"/>
      <c r="C953" s="130"/>
      <c r="D953" s="130"/>
      <c r="E953" s="130"/>
      <c r="F953" s="130"/>
      <c r="G953" s="130"/>
      <c r="H953" s="130"/>
      <c r="I953" s="130"/>
      <c r="J953" s="130"/>
      <c r="K953" s="130"/>
      <c r="L953" s="130"/>
      <c r="M953" s="130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</row>
    <row r="954" customFormat="false" ht="15.75" hidden="false" customHeight="false" outlineLevel="0" collapsed="false">
      <c r="A954" s="130"/>
      <c r="B954" s="130"/>
      <c r="C954" s="130"/>
      <c r="D954" s="130"/>
      <c r="E954" s="130"/>
      <c r="F954" s="130"/>
      <c r="G954" s="130"/>
      <c r="H954" s="130"/>
      <c r="I954" s="130"/>
      <c r="J954" s="130"/>
      <c r="K954" s="130"/>
      <c r="L954" s="130"/>
      <c r="M954" s="130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</row>
    <row r="955" customFormat="false" ht="15.75" hidden="false" customHeight="false" outlineLevel="0" collapsed="false">
      <c r="A955" s="130"/>
      <c r="B955" s="130"/>
      <c r="C955" s="130"/>
      <c r="D955" s="130"/>
      <c r="E955" s="130"/>
      <c r="F955" s="130"/>
      <c r="G955" s="130"/>
      <c r="H955" s="130"/>
      <c r="I955" s="130"/>
      <c r="J955" s="130"/>
      <c r="K955" s="130"/>
      <c r="L955" s="130"/>
      <c r="M955" s="130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</row>
    <row r="956" customFormat="false" ht="15.75" hidden="false" customHeight="false" outlineLevel="0" collapsed="false">
      <c r="A956" s="130"/>
      <c r="B956" s="130"/>
      <c r="C956" s="130"/>
      <c r="D956" s="130"/>
      <c r="E956" s="130"/>
      <c r="F956" s="130"/>
      <c r="G956" s="130"/>
      <c r="H956" s="130"/>
      <c r="I956" s="130"/>
      <c r="J956" s="130"/>
      <c r="K956" s="130"/>
      <c r="L956" s="130"/>
      <c r="M956" s="130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</row>
    <row r="957" customFormat="false" ht="15.75" hidden="false" customHeight="false" outlineLevel="0" collapsed="false">
      <c r="A957" s="130"/>
      <c r="B957" s="130"/>
      <c r="C957" s="130"/>
      <c r="D957" s="130"/>
      <c r="E957" s="130"/>
      <c r="F957" s="130"/>
      <c r="G957" s="130"/>
      <c r="H957" s="130"/>
      <c r="I957" s="130"/>
      <c r="J957" s="130"/>
      <c r="K957" s="130"/>
      <c r="L957" s="130"/>
      <c r="M957" s="130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</row>
    <row r="958" customFormat="false" ht="15.75" hidden="false" customHeight="false" outlineLevel="0" collapsed="false">
      <c r="A958" s="130"/>
      <c r="B958" s="130"/>
      <c r="C958" s="130"/>
      <c r="D958" s="130"/>
      <c r="E958" s="130"/>
      <c r="F958" s="130"/>
      <c r="G958" s="130"/>
      <c r="H958" s="130"/>
      <c r="I958" s="130"/>
      <c r="J958" s="130"/>
      <c r="K958" s="130"/>
      <c r="L958" s="130"/>
      <c r="M958" s="130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</row>
    <row r="959" customFormat="false" ht="15.75" hidden="false" customHeight="false" outlineLevel="0" collapsed="false">
      <c r="A959" s="130"/>
      <c r="B959" s="130"/>
      <c r="C959" s="130"/>
      <c r="D959" s="130"/>
      <c r="E959" s="130"/>
      <c r="F959" s="130"/>
      <c r="G959" s="130"/>
      <c r="H959" s="130"/>
      <c r="I959" s="130"/>
      <c r="J959" s="130"/>
      <c r="K959" s="130"/>
      <c r="L959" s="130"/>
      <c r="M959" s="130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</row>
    <row r="960" customFormat="false" ht="15.75" hidden="false" customHeight="false" outlineLevel="0" collapsed="false">
      <c r="A960" s="130"/>
      <c r="B960" s="130"/>
      <c r="C960" s="130"/>
      <c r="D960" s="130"/>
      <c r="E960" s="130"/>
      <c r="F960" s="130"/>
      <c r="G960" s="130"/>
      <c r="H960" s="130"/>
      <c r="I960" s="130"/>
      <c r="J960" s="130"/>
      <c r="K960" s="130"/>
      <c r="L960" s="130"/>
      <c r="M960" s="130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</row>
    <row r="961" customFormat="false" ht="15.75" hidden="false" customHeight="false" outlineLevel="0" collapsed="false">
      <c r="A961" s="130"/>
      <c r="B961" s="130"/>
      <c r="C961" s="130"/>
      <c r="D961" s="130"/>
      <c r="E961" s="130"/>
      <c r="F961" s="130"/>
      <c r="G961" s="130"/>
      <c r="H961" s="130"/>
      <c r="I961" s="130"/>
      <c r="J961" s="130"/>
      <c r="K961" s="130"/>
      <c r="L961" s="130"/>
      <c r="M961" s="130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</row>
    <row r="962" customFormat="false" ht="15.75" hidden="false" customHeight="false" outlineLevel="0" collapsed="false">
      <c r="A962" s="130"/>
      <c r="B962" s="130"/>
      <c r="C962" s="130"/>
      <c r="D962" s="130"/>
      <c r="E962" s="130"/>
      <c r="F962" s="130"/>
      <c r="G962" s="130"/>
      <c r="H962" s="130"/>
      <c r="I962" s="130"/>
      <c r="J962" s="130"/>
      <c r="K962" s="130"/>
      <c r="L962" s="130"/>
      <c r="M962" s="130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</row>
    <row r="963" customFormat="false" ht="15.75" hidden="false" customHeight="false" outlineLevel="0" collapsed="false">
      <c r="A963" s="130"/>
      <c r="B963" s="130"/>
      <c r="C963" s="130"/>
      <c r="D963" s="130"/>
      <c r="E963" s="130"/>
      <c r="F963" s="130"/>
      <c r="G963" s="130"/>
      <c r="H963" s="130"/>
      <c r="I963" s="130"/>
      <c r="J963" s="130"/>
      <c r="K963" s="130"/>
      <c r="L963" s="130"/>
      <c r="M963" s="130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</row>
    <row r="964" customFormat="false" ht="15.75" hidden="false" customHeight="false" outlineLevel="0" collapsed="false">
      <c r="A964" s="130"/>
      <c r="B964" s="130"/>
      <c r="C964" s="130"/>
      <c r="D964" s="130"/>
      <c r="E964" s="130"/>
      <c r="F964" s="130"/>
      <c r="G964" s="130"/>
      <c r="H964" s="130"/>
      <c r="I964" s="130"/>
      <c r="J964" s="130"/>
      <c r="K964" s="130"/>
      <c r="L964" s="130"/>
      <c r="M964" s="130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</row>
    <row r="965" customFormat="false" ht="15.75" hidden="false" customHeight="false" outlineLevel="0" collapsed="false">
      <c r="A965" s="130"/>
      <c r="B965" s="130"/>
      <c r="C965" s="130"/>
      <c r="D965" s="130"/>
      <c r="E965" s="130"/>
      <c r="F965" s="130"/>
      <c r="G965" s="130"/>
      <c r="H965" s="130"/>
      <c r="I965" s="130"/>
      <c r="J965" s="130"/>
      <c r="K965" s="130"/>
      <c r="L965" s="130"/>
      <c r="M965" s="130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</row>
    <row r="966" customFormat="false" ht="15.75" hidden="false" customHeight="false" outlineLevel="0" collapsed="false">
      <c r="A966" s="130"/>
      <c r="B966" s="130"/>
      <c r="C966" s="130"/>
      <c r="D966" s="130"/>
      <c r="E966" s="130"/>
      <c r="F966" s="130"/>
      <c r="G966" s="130"/>
      <c r="H966" s="130"/>
      <c r="I966" s="130"/>
      <c r="J966" s="130"/>
      <c r="K966" s="130"/>
      <c r="L966" s="130"/>
      <c r="M966" s="130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</row>
    <row r="967" customFormat="false" ht="15.75" hidden="false" customHeight="false" outlineLevel="0" collapsed="false">
      <c r="A967" s="130"/>
      <c r="B967" s="130"/>
      <c r="C967" s="130"/>
      <c r="D967" s="130"/>
      <c r="E967" s="130"/>
      <c r="F967" s="130"/>
      <c r="G967" s="130"/>
      <c r="H967" s="130"/>
      <c r="I967" s="130"/>
      <c r="J967" s="130"/>
      <c r="K967" s="130"/>
      <c r="L967" s="130"/>
      <c r="M967" s="130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</row>
    <row r="968" customFormat="false" ht="15.75" hidden="false" customHeight="false" outlineLevel="0" collapsed="false">
      <c r="A968" s="130"/>
      <c r="B968" s="130"/>
      <c r="C968" s="130"/>
      <c r="D968" s="130"/>
      <c r="E968" s="130"/>
      <c r="F968" s="130"/>
      <c r="G968" s="130"/>
      <c r="H968" s="130"/>
      <c r="I968" s="130"/>
      <c r="J968" s="130"/>
      <c r="K968" s="130"/>
      <c r="L968" s="130"/>
      <c r="M968" s="130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</row>
    <row r="969" customFormat="false" ht="15.75" hidden="false" customHeight="false" outlineLevel="0" collapsed="false">
      <c r="A969" s="130"/>
      <c r="B969" s="130"/>
      <c r="C969" s="130"/>
      <c r="D969" s="130"/>
      <c r="E969" s="130"/>
      <c r="F969" s="130"/>
      <c r="G969" s="130"/>
      <c r="H969" s="130"/>
      <c r="I969" s="130"/>
      <c r="J969" s="130"/>
      <c r="K969" s="130"/>
      <c r="L969" s="130"/>
      <c r="M969" s="130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</row>
    <row r="970" customFormat="false" ht="15.75" hidden="false" customHeight="false" outlineLevel="0" collapsed="false">
      <c r="A970" s="130"/>
      <c r="B970" s="130"/>
      <c r="C970" s="130"/>
      <c r="D970" s="130"/>
      <c r="E970" s="130"/>
      <c r="F970" s="130"/>
      <c r="G970" s="130"/>
      <c r="H970" s="130"/>
      <c r="I970" s="130"/>
      <c r="J970" s="130"/>
      <c r="K970" s="130"/>
      <c r="L970" s="130"/>
      <c r="M970" s="130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</row>
    <row r="971" customFormat="false" ht="15.75" hidden="false" customHeight="false" outlineLevel="0" collapsed="false">
      <c r="A971" s="130"/>
      <c r="B971" s="130"/>
      <c r="C971" s="130"/>
      <c r="D971" s="130"/>
      <c r="E971" s="130"/>
      <c r="F971" s="130"/>
      <c r="G971" s="130"/>
      <c r="H971" s="130"/>
      <c r="I971" s="130"/>
      <c r="J971" s="130"/>
      <c r="K971" s="130"/>
      <c r="L971" s="130"/>
      <c r="M971" s="130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</row>
    <row r="972" customFormat="false" ht="15.75" hidden="false" customHeight="false" outlineLevel="0" collapsed="false">
      <c r="A972" s="130"/>
      <c r="B972" s="130"/>
      <c r="C972" s="130"/>
      <c r="D972" s="130"/>
      <c r="E972" s="130"/>
      <c r="F972" s="130"/>
      <c r="G972" s="130"/>
      <c r="H972" s="130"/>
      <c r="I972" s="130"/>
      <c r="J972" s="130"/>
      <c r="K972" s="130"/>
      <c r="L972" s="130"/>
      <c r="M972" s="130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</row>
    <row r="973" customFormat="false" ht="15.75" hidden="false" customHeight="false" outlineLevel="0" collapsed="false">
      <c r="A973" s="130"/>
      <c r="B973" s="130"/>
      <c r="C973" s="130"/>
      <c r="D973" s="130"/>
      <c r="E973" s="130"/>
      <c r="F973" s="130"/>
      <c r="G973" s="130"/>
      <c r="H973" s="130"/>
      <c r="I973" s="130"/>
      <c r="J973" s="130"/>
      <c r="K973" s="130"/>
      <c r="L973" s="130"/>
      <c r="M973" s="130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</row>
    <row r="974" customFormat="false" ht="15.75" hidden="false" customHeight="false" outlineLevel="0" collapsed="false">
      <c r="A974" s="130"/>
      <c r="B974" s="130"/>
      <c r="C974" s="130"/>
      <c r="D974" s="130"/>
      <c r="E974" s="130"/>
      <c r="F974" s="130"/>
      <c r="G974" s="130"/>
      <c r="H974" s="130"/>
      <c r="I974" s="130"/>
      <c r="J974" s="130"/>
      <c r="K974" s="130"/>
      <c r="L974" s="130"/>
      <c r="M974" s="130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</row>
    <row r="975" customFormat="false" ht="15.75" hidden="false" customHeight="false" outlineLevel="0" collapsed="false">
      <c r="A975" s="130"/>
      <c r="B975" s="130"/>
      <c r="C975" s="130"/>
      <c r="D975" s="130"/>
      <c r="E975" s="130"/>
      <c r="F975" s="130"/>
      <c r="G975" s="130"/>
      <c r="H975" s="130"/>
      <c r="I975" s="130"/>
      <c r="J975" s="130"/>
      <c r="K975" s="130"/>
      <c r="L975" s="130"/>
      <c r="M975" s="130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</row>
    <row r="976" customFormat="false" ht="15.75" hidden="false" customHeight="false" outlineLevel="0" collapsed="false">
      <c r="A976" s="130"/>
      <c r="B976" s="130"/>
      <c r="C976" s="130"/>
      <c r="D976" s="130"/>
      <c r="E976" s="130"/>
      <c r="F976" s="130"/>
      <c r="G976" s="130"/>
      <c r="H976" s="130"/>
      <c r="I976" s="130"/>
      <c r="J976" s="130"/>
      <c r="K976" s="130"/>
      <c r="L976" s="130"/>
      <c r="M976" s="130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</row>
    <row r="977" customFormat="false" ht="15.75" hidden="false" customHeight="false" outlineLevel="0" collapsed="false">
      <c r="A977" s="130"/>
      <c r="B977" s="130"/>
      <c r="C977" s="130"/>
      <c r="D977" s="130"/>
      <c r="E977" s="130"/>
      <c r="F977" s="130"/>
      <c r="G977" s="130"/>
      <c r="H977" s="130"/>
      <c r="I977" s="130"/>
      <c r="J977" s="130"/>
      <c r="K977" s="130"/>
      <c r="L977" s="130"/>
      <c r="M977" s="130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</row>
    <row r="978" customFormat="false" ht="15.75" hidden="false" customHeight="false" outlineLevel="0" collapsed="false">
      <c r="A978" s="130"/>
      <c r="B978" s="130"/>
      <c r="C978" s="130"/>
      <c r="D978" s="130"/>
      <c r="E978" s="130"/>
      <c r="F978" s="130"/>
      <c r="G978" s="130"/>
      <c r="H978" s="130"/>
      <c r="I978" s="130"/>
      <c r="J978" s="130"/>
      <c r="K978" s="130"/>
      <c r="L978" s="130"/>
      <c r="M978" s="130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</row>
    <row r="979" customFormat="false" ht="15.75" hidden="false" customHeight="false" outlineLevel="0" collapsed="false">
      <c r="A979" s="130"/>
      <c r="B979" s="130"/>
      <c r="C979" s="130"/>
      <c r="D979" s="130"/>
      <c r="E979" s="130"/>
      <c r="F979" s="130"/>
      <c r="G979" s="130"/>
      <c r="H979" s="130"/>
      <c r="I979" s="130"/>
      <c r="J979" s="130"/>
      <c r="K979" s="130"/>
      <c r="L979" s="130"/>
      <c r="M979" s="130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</row>
    <row r="980" customFormat="false" ht="15.75" hidden="false" customHeight="false" outlineLevel="0" collapsed="false">
      <c r="A980" s="130"/>
      <c r="B980" s="130"/>
      <c r="C980" s="130"/>
      <c r="D980" s="130"/>
      <c r="E980" s="130"/>
      <c r="F980" s="130"/>
      <c r="G980" s="130"/>
      <c r="H980" s="130"/>
      <c r="I980" s="130"/>
      <c r="J980" s="130"/>
      <c r="K980" s="130"/>
      <c r="L980" s="130"/>
      <c r="M980" s="130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</row>
    <row r="981" customFormat="false" ht="15.75" hidden="false" customHeight="false" outlineLevel="0" collapsed="false">
      <c r="A981" s="130"/>
      <c r="B981" s="130"/>
      <c r="C981" s="130"/>
      <c r="D981" s="130"/>
      <c r="E981" s="130"/>
      <c r="F981" s="130"/>
      <c r="G981" s="130"/>
      <c r="H981" s="130"/>
      <c r="I981" s="130"/>
      <c r="J981" s="130"/>
      <c r="K981" s="130"/>
      <c r="L981" s="130"/>
      <c r="M981" s="130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</row>
    <row r="982" customFormat="false" ht="15.75" hidden="false" customHeight="false" outlineLevel="0" collapsed="false">
      <c r="A982" s="130"/>
      <c r="B982" s="130"/>
      <c r="C982" s="130"/>
      <c r="D982" s="130"/>
      <c r="E982" s="130"/>
      <c r="F982" s="130"/>
      <c r="G982" s="130"/>
      <c r="H982" s="130"/>
      <c r="I982" s="130"/>
      <c r="J982" s="130"/>
      <c r="K982" s="130"/>
      <c r="L982" s="130"/>
      <c r="M982" s="130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</row>
    <row r="983" customFormat="false" ht="15.75" hidden="false" customHeight="false" outlineLevel="0" collapsed="false">
      <c r="A983" s="130"/>
      <c r="B983" s="130"/>
      <c r="C983" s="130"/>
      <c r="D983" s="130"/>
      <c r="E983" s="130"/>
      <c r="F983" s="130"/>
      <c r="G983" s="130"/>
      <c r="H983" s="130"/>
      <c r="I983" s="130"/>
      <c r="J983" s="130"/>
      <c r="K983" s="130"/>
      <c r="L983" s="130"/>
      <c r="M983" s="130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</row>
    <row r="984" customFormat="false" ht="15.75" hidden="false" customHeight="false" outlineLevel="0" collapsed="false">
      <c r="A984" s="130"/>
      <c r="B984" s="130"/>
      <c r="C984" s="130"/>
      <c r="D984" s="130"/>
      <c r="E984" s="130"/>
      <c r="F984" s="130"/>
      <c r="G984" s="130"/>
      <c r="H984" s="130"/>
      <c r="I984" s="130"/>
      <c r="J984" s="130"/>
      <c r="K984" s="130"/>
      <c r="L984" s="130"/>
      <c r="M984" s="130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</row>
    <row r="985" customFormat="false" ht="15.75" hidden="false" customHeight="false" outlineLevel="0" collapsed="false">
      <c r="A985" s="130"/>
      <c r="B985" s="130"/>
      <c r="C985" s="130"/>
      <c r="D985" s="130"/>
      <c r="E985" s="130"/>
      <c r="F985" s="130"/>
      <c r="G985" s="130"/>
      <c r="H985" s="130"/>
      <c r="I985" s="130"/>
      <c r="J985" s="130"/>
      <c r="K985" s="130"/>
      <c r="L985" s="130"/>
      <c r="M985" s="130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</row>
    <row r="986" customFormat="false" ht="15.75" hidden="false" customHeight="false" outlineLevel="0" collapsed="false">
      <c r="A986" s="130"/>
      <c r="B986" s="130"/>
      <c r="C986" s="130"/>
      <c r="D986" s="130"/>
      <c r="E986" s="130"/>
      <c r="F986" s="130"/>
      <c r="G986" s="130"/>
      <c r="H986" s="130"/>
      <c r="I986" s="130"/>
      <c r="J986" s="130"/>
      <c r="K986" s="130"/>
      <c r="L986" s="130"/>
      <c r="M986" s="130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</row>
    <row r="987" customFormat="false" ht="15.75" hidden="false" customHeight="false" outlineLevel="0" collapsed="false">
      <c r="A987" s="130"/>
      <c r="B987" s="130"/>
      <c r="C987" s="130"/>
      <c r="D987" s="130"/>
      <c r="E987" s="130"/>
      <c r="F987" s="130"/>
      <c r="G987" s="130"/>
      <c r="H987" s="130"/>
      <c r="I987" s="130"/>
      <c r="J987" s="130"/>
      <c r="K987" s="130"/>
      <c r="L987" s="130"/>
      <c r="M987" s="130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</row>
    <row r="988" customFormat="false" ht="15.75" hidden="false" customHeight="false" outlineLevel="0" collapsed="false">
      <c r="A988" s="130"/>
      <c r="B988" s="130"/>
      <c r="C988" s="130"/>
      <c r="D988" s="130"/>
      <c r="E988" s="130"/>
      <c r="F988" s="130"/>
      <c r="G988" s="130"/>
      <c r="H988" s="130"/>
      <c r="I988" s="130"/>
      <c r="J988" s="130"/>
      <c r="K988" s="130"/>
      <c r="L988" s="130"/>
      <c r="M988" s="130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</row>
    <row r="989" customFormat="false" ht="15.75" hidden="false" customHeight="false" outlineLevel="0" collapsed="false">
      <c r="A989" s="130"/>
      <c r="B989" s="130"/>
      <c r="C989" s="130"/>
      <c r="D989" s="130"/>
      <c r="E989" s="130"/>
      <c r="F989" s="130"/>
      <c r="G989" s="130"/>
      <c r="H989" s="130"/>
      <c r="I989" s="130"/>
      <c r="J989" s="130"/>
      <c r="K989" s="130"/>
      <c r="L989" s="130"/>
      <c r="M989" s="130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</row>
    <row r="990" customFormat="false" ht="15.75" hidden="false" customHeight="false" outlineLevel="0" collapsed="false">
      <c r="A990" s="130"/>
      <c r="B990" s="130"/>
      <c r="C990" s="130"/>
      <c r="D990" s="130"/>
      <c r="E990" s="130"/>
      <c r="F990" s="130"/>
      <c r="G990" s="130"/>
      <c r="H990" s="130"/>
      <c r="I990" s="130"/>
      <c r="J990" s="130"/>
      <c r="K990" s="130"/>
      <c r="L990" s="130"/>
      <c r="M990" s="130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</row>
    <row r="991" customFormat="false" ht="15.75" hidden="false" customHeight="false" outlineLevel="0" collapsed="false">
      <c r="A991" s="130"/>
      <c r="B991" s="130"/>
      <c r="C991" s="130"/>
      <c r="D991" s="130"/>
      <c r="E991" s="130"/>
      <c r="F991" s="130"/>
      <c r="G991" s="130"/>
      <c r="H991" s="130"/>
      <c r="I991" s="130"/>
      <c r="J991" s="130"/>
      <c r="K991" s="130"/>
      <c r="L991" s="130"/>
      <c r="M991" s="130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</row>
    <row r="992" customFormat="false" ht="15.75" hidden="false" customHeight="false" outlineLevel="0" collapsed="false">
      <c r="A992" s="130"/>
      <c r="B992" s="130"/>
      <c r="C992" s="130"/>
      <c r="D992" s="130"/>
      <c r="E992" s="130"/>
      <c r="F992" s="130"/>
      <c r="G992" s="130"/>
      <c r="H992" s="130"/>
      <c r="I992" s="130"/>
      <c r="J992" s="130"/>
      <c r="K992" s="130"/>
      <c r="L992" s="130"/>
      <c r="M992" s="130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</row>
    <row r="993" customFormat="false" ht="15.75" hidden="false" customHeight="false" outlineLevel="0" collapsed="false">
      <c r="A993" s="130"/>
      <c r="B993" s="130"/>
      <c r="C993" s="130"/>
      <c r="D993" s="130"/>
      <c r="E993" s="130"/>
      <c r="F993" s="130"/>
      <c r="G993" s="130"/>
      <c r="H993" s="130"/>
      <c r="I993" s="130"/>
      <c r="J993" s="130"/>
      <c r="K993" s="130"/>
      <c r="L993" s="130"/>
      <c r="M993" s="130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</row>
    <row r="994" customFormat="false" ht="15.75" hidden="false" customHeight="false" outlineLevel="0" collapsed="false">
      <c r="A994" s="130"/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</row>
    <row r="995" customFormat="false" ht="15.75" hidden="false" customHeight="false" outlineLevel="0" collapsed="false">
      <c r="A995" s="130"/>
      <c r="B995" s="130"/>
      <c r="C995" s="130"/>
      <c r="D995" s="130"/>
      <c r="E995" s="130"/>
      <c r="F995" s="130"/>
      <c r="G995" s="130"/>
      <c r="H995" s="130"/>
      <c r="I995" s="130"/>
      <c r="J995" s="130"/>
      <c r="K995" s="130"/>
      <c r="L995" s="130"/>
      <c r="M995" s="130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</row>
    <row r="996" customFormat="false" ht="15.75" hidden="false" customHeight="false" outlineLevel="0" collapsed="false">
      <c r="A996" s="130"/>
      <c r="B996" s="130"/>
      <c r="C996" s="130"/>
      <c r="D996" s="130"/>
      <c r="E996" s="130"/>
      <c r="F996" s="130"/>
      <c r="G996" s="130"/>
      <c r="H996" s="130"/>
      <c r="I996" s="130"/>
      <c r="J996" s="130"/>
      <c r="K996" s="130"/>
      <c r="L996" s="130"/>
      <c r="M996" s="130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</row>
    <row r="997" customFormat="false" ht="15.75" hidden="false" customHeight="false" outlineLevel="0" collapsed="false">
      <c r="A997" s="130"/>
      <c r="B997" s="130"/>
      <c r="C997" s="130"/>
      <c r="D997" s="130"/>
      <c r="E997" s="130"/>
      <c r="F997" s="130"/>
      <c r="G997" s="130"/>
      <c r="H997" s="130"/>
      <c r="I997" s="130"/>
      <c r="J997" s="130"/>
      <c r="K997" s="130"/>
      <c r="L997" s="130"/>
      <c r="M997" s="130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</row>
    <row r="998" customFormat="false" ht="15.75" hidden="false" customHeight="false" outlineLevel="0" collapsed="false">
      <c r="A998" s="130"/>
      <c r="B998" s="130"/>
      <c r="C998" s="130"/>
      <c r="D998" s="130"/>
      <c r="E998" s="130"/>
      <c r="F998" s="130"/>
      <c r="G998" s="130"/>
      <c r="H998" s="130"/>
      <c r="I998" s="130"/>
      <c r="J998" s="130"/>
      <c r="K998" s="130"/>
      <c r="L998" s="130"/>
      <c r="M998" s="130"/>
      <c r="N998" s="130"/>
      <c r="O998" s="130"/>
      <c r="P998" s="130"/>
      <c r="Q998" s="130"/>
      <c r="R998" s="130"/>
      <c r="S998" s="130"/>
      <c r="T998" s="130"/>
      <c r="U998" s="130"/>
      <c r="V998" s="130"/>
      <c r="W998" s="130"/>
      <c r="X998" s="130"/>
      <c r="Y998" s="130"/>
      <c r="Z998" s="130"/>
    </row>
    <row r="999" customFormat="false" ht="15.75" hidden="false" customHeight="false" outlineLevel="0" collapsed="false">
      <c r="A999" s="130"/>
      <c r="B999" s="130"/>
      <c r="C999" s="130"/>
      <c r="D999" s="130"/>
      <c r="E999" s="130"/>
      <c r="F999" s="130"/>
      <c r="G999" s="130"/>
      <c r="H999" s="130"/>
      <c r="I999" s="130"/>
      <c r="J999" s="130"/>
      <c r="K999" s="130"/>
      <c r="L999" s="130"/>
      <c r="M999" s="130"/>
      <c r="N999" s="130"/>
      <c r="O999" s="130"/>
      <c r="P999" s="130"/>
      <c r="Q999" s="130"/>
      <c r="R999" s="130"/>
      <c r="S999" s="130"/>
      <c r="T999" s="130"/>
      <c r="U999" s="130"/>
      <c r="V999" s="130"/>
      <c r="W999" s="130"/>
      <c r="X999" s="130"/>
      <c r="Y999" s="130"/>
      <c r="Z999" s="130"/>
    </row>
    <row r="1000" customFormat="false" ht="15.75" hidden="false" customHeight="false" outlineLevel="0" collapsed="false">
      <c r="A1000" s="130"/>
      <c r="B1000" s="130"/>
      <c r="C1000" s="130"/>
      <c r="D1000" s="130"/>
      <c r="E1000" s="130"/>
      <c r="F1000" s="130"/>
      <c r="G1000" s="130"/>
      <c r="H1000" s="130"/>
      <c r="I1000" s="130"/>
      <c r="J1000" s="130"/>
      <c r="K1000" s="130"/>
      <c r="L1000" s="130"/>
      <c r="M1000" s="130"/>
      <c r="N1000" s="130"/>
      <c r="O1000" s="130"/>
      <c r="P1000" s="130"/>
      <c r="Q1000" s="130"/>
      <c r="R1000" s="130"/>
      <c r="S1000" s="130"/>
      <c r="T1000" s="130"/>
      <c r="U1000" s="130"/>
      <c r="V1000" s="130"/>
      <c r="W1000" s="130"/>
      <c r="X1000" s="130"/>
      <c r="Y1000" s="130"/>
      <c r="Z1000" s="13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38" t="s">
        <v>32</v>
      </c>
      <c r="B1" s="138" t="s">
        <v>31</v>
      </c>
      <c r="C1" s="138" t="s">
        <v>34</v>
      </c>
      <c r="D1" s="138" t="s">
        <v>28</v>
      </c>
      <c r="E1" s="138" t="s">
        <v>41</v>
      </c>
      <c r="F1" s="138" t="s">
        <v>33</v>
      </c>
      <c r="G1" s="138" t="s">
        <v>35</v>
      </c>
      <c r="H1" s="138" t="s">
        <v>30</v>
      </c>
      <c r="I1" s="138" t="s">
        <v>29</v>
      </c>
    </row>
    <row r="2" customFormat="false" ht="15.75" hidden="false" customHeight="false" outlineLevel="0" collapsed="false">
      <c r="A2" s="138" t="str">
        <f aca="false">Scoring!BF8</f>
        <v/>
      </c>
      <c r="B2" s="138" t="str">
        <f aca="false">Scoring!BE8</f>
        <v/>
      </c>
      <c r="C2" s="138" t="n">
        <f aca="false">Scoring!C8</f>
        <v>0</v>
      </c>
      <c r="D2" s="139" t="str">
        <f aca="false">Scoring!BB8</f>
        <v/>
      </c>
      <c r="E2" s="138" t="str">
        <f aca="false">Scoring!AE8</f>
        <v/>
      </c>
      <c r="F2" s="138" t="n">
        <f aca="false">Scoring!B8</f>
        <v>0</v>
      </c>
      <c r="G2" s="138" t="n">
        <f aca="false">Scoring!D8</f>
        <v>0</v>
      </c>
      <c r="H2" s="138" t="str">
        <f aca="false">Scoring!BD8</f>
        <v/>
      </c>
      <c r="I2" s="140" t="str">
        <f aca="false">Scoring!BC8</f>
        <v/>
      </c>
    </row>
    <row r="3" customFormat="false" ht="15.75" hidden="false" customHeight="false" outlineLevel="0" collapsed="false">
      <c r="A3" s="138" t="str">
        <f aca="false">Scoring!BF9</f>
        <v/>
      </c>
      <c r="B3" s="138" t="str">
        <f aca="false">Scoring!BE9</f>
        <v/>
      </c>
      <c r="C3" s="138" t="n">
        <f aca="false">Scoring!C9</f>
        <v>0</v>
      </c>
      <c r="D3" s="139" t="str">
        <f aca="false">Scoring!BB9</f>
        <v/>
      </c>
      <c r="E3" s="138" t="str">
        <f aca="false">Scoring!AE9</f>
        <v/>
      </c>
      <c r="F3" s="138" t="n">
        <f aca="false">Scoring!B9</f>
        <v>0</v>
      </c>
      <c r="G3" s="138" t="n">
        <f aca="false">Scoring!D9</f>
        <v>0</v>
      </c>
      <c r="H3" s="138" t="str">
        <f aca="false">Scoring!BD9</f>
        <v/>
      </c>
      <c r="I3" s="140" t="str">
        <f aca="false">Scoring!BC9</f>
        <v/>
      </c>
    </row>
    <row r="4" customFormat="false" ht="15.75" hidden="false" customHeight="false" outlineLevel="0" collapsed="false">
      <c r="A4" s="138" t="str">
        <f aca="false">Scoring!BF10</f>
        <v/>
      </c>
      <c r="B4" s="138" t="str">
        <f aca="false">Scoring!BE10</f>
        <v/>
      </c>
      <c r="C4" s="138" t="n">
        <f aca="false">Scoring!C10</f>
        <v>0</v>
      </c>
      <c r="D4" s="139" t="str">
        <f aca="false">Scoring!BB10</f>
        <v/>
      </c>
      <c r="E4" s="138" t="str">
        <f aca="false">Scoring!AE10</f>
        <v/>
      </c>
      <c r="F4" s="138" t="n">
        <f aca="false">Scoring!B10</f>
        <v>0</v>
      </c>
      <c r="G4" s="138" t="n">
        <f aca="false">Scoring!D10</f>
        <v>0</v>
      </c>
      <c r="H4" s="138" t="str">
        <f aca="false">Scoring!BD10</f>
        <v/>
      </c>
      <c r="I4" s="140" t="str">
        <f aca="false">Scoring!BC10</f>
        <v/>
      </c>
    </row>
    <row r="5" customFormat="false" ht="15.75" hidden="false" customHeight="false" outlineLevel="0" collapsed="false">
      <c r="A5" s="138" t="str">
        <f aca="false">Scoring!BF11</f>
        <v/>
      </c>
      <c r="B5" s="138" t="str">
        <f aca="false">Scoring!BE11</f>
        <v/>
      </c>
      <c r="C5" s="138" t="n">
        <f aca="false">Scoring!C11</f>
        <v>0</v>
      </c>
      <c r="D5" s="139" t="str">
        <f aca="false">Scoring!BB11</f>
        <v/>
      </c>
      <c r="E5" s="138" t="str">
        <f aca="false">Scoring!AE11</f>
        <v/>
      </c>
      <c r="F5" s="138" t="n">
        <f aca="false">Scoring!B11</f>
        <v>0</v>
      </c>
      <c r="G5" s="138" t="n">
        <f aca="false">Scoring!D11</f>
        <v>0</v>
      </c>
      <c r="H5" s="138" t="str">
        <f aca="false">Scoring!BD11</f>
        <v/>
      </c>
      <c r="I5" s="140" t="str">
        <f aca="false">Scoring!BC11</f>
        <v/>
      </c>
    </row>
    <row r="6" customFormat="false" ht="15.75" hidden="false" customHeight="false" outlineLevel="0" collapsed="false">
      <c r="A6" s="138" t="str">
        <f aca="false">Scoring!BF12</f>
        <v/>
      </c>
      <c r="B6" s="138" t="str">
        <f aca="false">Scoring!BE12</f>
        <v/>
      </c>
      <c r="C6" s="138" t="n">
        <f aca="false">Scoring!C12</f>
        <v>0</v>
      </c>
      <c r="D6" s="139" t="str">
        <f aca="false">Scoring!BB12</f>
        <v/>
      </c>
      <c r="E6" s="138" t="str">
        <f aca="false">Scoring!AE12</f>
        <v/>
      </c>
      <c r="F6" s="138" t="n">
        <f aca="false">Scoring!B12</f>
        <v>0</v>
      </c>
      <c r="G6" s="138" t="n">
        <f aca="false">Scoring!D12</f>
        <v>0</v>
      </c>
      <c r="H6" s="138" t="str">
        <f aca="false">Scoring!BD12</f>
        <v/>
      </c>
      <c r="I6" s="140" t="str">
        <f aca="false">Scoring!BC12</f>
        <v/>
      </c>
    </row>
    <row r="7" customFormat="false" ht="15.75" hidden="false" customHeight="false" outlineLevel="0" collapsed="false">
      <c r="A7" s="138" t="str">
        <f aca="false">Scoring!BF13</f>
        <v/>
      </c>
      <c r="B7" s="138" t="str">
        <f aca="false">Scoring!BE13</f>
        <v/>
      </c>
      <c r="C7" s="138" t="n">
        <f aca="false">Scoring!C13</f>
        <v>0</v>
      </c>
      <c r="D7" s="139" t="str">
        <f aca="false">Scoring!BB13</f>
        <v/>
      </c>
      <c r="E7" s="138" t="str">
        <f aca="false">Scoring!AE13</f>
        <v/>
      </c>
      <c r="F7" s="138" t="n">
        <f aca="false">Scoring!B13</f>
        <v>0</v>
      </c>
      <c r="G7" s="138" t="n">
        <f aca="false">Scoring!D13</f>
        <v>0</v>
      </c>
      <c r="H7" s="138" t="str">
        <f aca="false">Scoring!BD13</f>
        <v/>
      </c>
      <c r="I7" s="140" t="str">
        <f aca="false">Scoring!BC13</f>
        <v/>
      </c>
    </row>
    <row r="8" customFormat="false" ht="15.75" hidden="false" customHeight="false" outlineLevel="0" collapsed="false">
      <c r="A8" s="138" t="str">
        <f aca="false">Scoring!BF14</f>
        <v/>
      </c>
      <c r="B8" s="138" t="str">
        <f aca="false">Scoring!BE14</f>
        <v/>
      </c>
      <c r="C8" s="138" t="n">
        <f aca="false">Scoring!C14</f>
        <v>0</v>
      </c>
      <c r="D8" s="139" t="str">
        <f aca="false">Scoring!BB14</f>
        <v/>
      </c>
      <c r="E8" s="138" t="str">
        <f aca="false">Scoring!AE14</f>
        <v/>
      </c>
      <c r="F8" s="138" t="n">
        <f aca="false">Scoring!B14</f>
        <v>0</v>
      </c>
      <c r="G8" s="138" t="n">
        <f aca="false">Scoring!D14</f>
        <v>0</v>
      </c>
      <c r="H8" s="138" t="str">
        <f aca="false">Scoring!BD14</f>
        <v/>
      </c>
      <c r="I8" s="140" t="str">
        <f aca="false">Scoring!BC14</f>
        <v/>
      </c>
    </row>
    <row r="9" customFormat="false" ht="15.75" hidden="false" customHeight="false" outlineLevel="0" collapsed="false">
      <c r="A9" s="138" t="str">
        <f aca="false">Scoring!BF15</f>
        <v/>
      </c>
      <c r="B9" s="138" t="str">
        <f aca="false">Scoring!BE15</f>
        <v/>
      </c>
      <c r="C9" s="138" t="n">
        <f aca="false">Scoring!C15</f>
        <v>0</v>
      </c>
      <c r="D9" s="139" t="str">
        <f aca="false">Scoring!BB15</f>
        <v/>
      </c>
      <c r="E9" s="138" t="str">
        <f aca="false">Scoring!AE15</f>
        <v/>
      </c>
      <c r="F9" s="138" t="n">
        <f aca="false">Scoring!B15</f>
        <v>0</v>
      </c>
      <c r="G9" s="138" t="n">
        <f aca="false">Scoring!D15</f>
        <v>0</v>
      </c>
      <c r="H9" s="138" t="str">
        <f aca="false">Scoring!BD15</f>
        <v/>
      </c>
      <c r="I9" s="140" t="str">
        <f aca="false">Scoring!BC15</f>
        <v/>
      </c>
    </row>
    <row r="10" customFormat="false" ht="15.75" hidden="false" customHeight="false" outlineLevel="0" collapsed="false">
      <c r="A10" s="138" t="str">
        <f aca="false">Scoring!BF16</f>
        <v/>
      </c>
      <c r="B10" s="138" t="str">
        <f aca="false">Scoring!BE16</f>
        <v/>
      </c>
      <c r="C10" s="138" t="n">
        <f aca="false">Scoring!C16</f>
        <v>0</v>
      </c>
      <c r="D10" s="139" t="str">
        <f aca="false">Scoring!BB16</f>
        <v/>
      </c>
      <c r="E10" s="138" t="str">
        <f aca="false">Scoring!AE16</f>
        <v/>
      </c>
      <c r="F10" s="138" t="n">
        <f aca="false">Scoring!B16</f>
        <v>0</v>
      </c>
      <c r="G10" s="138" t="n">
        <f aca="false">Scoring!D16</f>
        <v>0</v>
      </c>
      <c r="H10" s="138" t="str">
        <f aca="false">Scoring!BD16</f>
        <v/>
      </c>
      <c r="I10" s="140" t="str">
        <f aca="false">Scoring!BC16</f>
        <v/>
      </c>
    </row>
    <row r="11" customFormat="false" ht="15.75" hidden="false" customHeight="false" outlineLevel="0" collapsed="false">
      <c r="A11" s="138" t="str">
        <f aca="false">Scoring!BF17</f>
        <v/>
      </c>
      <c r="B11" s="138" t="str">
        <f aca="false">Scoring!BE17</f>
        <v/>
      </c>
      <c r="C11" s="138" t="n">
        <f aca="false">Scoring!C17</f>
        <v>0</v>
      </c>
      <c r="D11" s="139" t="str">
        <f aca="false">Scoring!BB17</f>
        <v/>
      </c>
      <c r="E11" s="138" t="str">
        <f aca="false">Scoring!AE17</f>
        <v/>
      </c>
      <c r="F11" s="138" t="n">
        <f aca="false">Scoring!B17</f>
        <v>0</v>
      </c>
      <c r="G11" s="138" t="n">
        <f aca="false">Scoring!D17</f>
        <v>0</v>
      </c>
      <c r="H11" s="138" t="str">
        <f aca="false">Scoring!BD17</f>
        <v/>
      </c>
      <c r="I11" s="140" t="str">
        <f aca="false">Scoring!BC17</f>
        <v/>
      </c>
    </row>
    <row r="12" customFormat="false" ht="15.75" hidden="false" customHeight="false" outlineLevel="0" collapsed="false">
      <c r="A12" s="138" t="str">
        <f aca="false">Scoring!BF18</f>
        <v/>
      </c>
      <c r="B12" s="138" t="str">
        <f aca="false">Scoring!BE18</f>
        <v/>
      </c>
      <c r="C12" s="138" t="n">
        <f aca="false">Scoring!C18</f>
        <v>0</v>
      </c>
      <c r="D12" s="139" t="str">
        <f aca="false">Scoring!BB18</f>
        <v/>
      </c>
      <c r="E12" s="138" t="str">
        <f aca="false">Scoring!AE18</f>
        <v/>
      </c>
      <c r="F12" s="138" t="n">
        <f aca="false">Scoring!B18</f>
        <v>0</v>
      </c>
      <c r="G12" s="138" t="n">
        <f aca="false">Scoring!D18</f>
        <v>0</v>
      </c>
      <c r="H12" s="138" t="str">
        <f aca="false">Scoring!BD18</f>
        <v/>
      </c>
      <c r="I12" s="140" t="str">
        <f aca="false">Scoring!BC18</f>
        <v/>
      </c>
    </row>
    <row r="13" customFormat="false" ht="15.75" hidden="false" customHeight="false" outlineLevel="0" collapsed="false">
      <c r="A13" s="138" t="str">
        <f aca="false">Scoring!BF19</f>
        <v/>
      </c>
      <c r="B13" s="138" t="str">
        <f aca="false">Scoring!BE19</f>
        <v/>
      </c>
      <c r="C13" s="138" t="n">
        <f aca="false">Scoring!C19</f>
        <v>0</v>
      </c>
      <c r="D13" s="139" t="str">
        <f aca="false">Scoring!BB19</f>
        <v/>
      </c>
      <c r="E13" s="138" t="str">
        <f aca="false">Scoring!AE19</f>
        <v/>
      </c>
      <c r="F13" s="138" t="n">
        <f aca="false">Scoring!B19</f>
        <v>0</v>
      </c>
      <c r="G13" s="138" t="n">
        <f aca="false">Scoring!D19</f>
        <v>0</v>
      </c>
      <c r="H13" s="138" t="str">
        <f aca="false">Scoring!BD19</f>
        <v/>
      </c>
      <c r="I13" s="140" t="str">
        <f aca="false">Scoring!BC19</f>
        <v/>
      </c>
    </row>
    <row r="14" customFormat="false" ht="15.75" hidden="false" customHeight="false" outlineLevel="0" collapsed="false">
      <c r="A14" s="138" t="str">
        <f aca="false">Scoring!BF20</f>
        <v/>
      </c>
      <c r="B14" s="138" t="str">
        <f aca="false">Scoring!BE20</f>
        <v/>
      </c>
      <c r="C14" s="138" t="n">
        <f aca="false">Scoring!C20</f>
        <v>0</v>
      </c>
      <c r="D14" s="139" t="str">
        <f aca="false">Scoring!BB20</f>
        <v/>
      </c>
      <c r="E14" s="138" t="str">
        <f aca="false">Scoring!AE20</f>
        <v/>
      </c>
      <c r="F14" s="138" t="n">
        <f aca="false">Scoring!B20</f>
        <v>0</v>
      </c>
      <c r="G14" s="138" t="n">
        <f aca="false">Scoring!D20</f>
        <v>0</v>
      </c>
      <c r="H14" s="138" t="str">
        <f aca="false">Scoring!BD20</f>
        <v/>
      </c>
      <c r="I14" s="140" t="str">
        <f aca="false">Scoring!BC20</f>
        <v/>
      </c>
    </row>
    <row r="15" customFormat="false" ht="15.75" hidden="false" customHeight="false" outlineLevel="0" collapsed="false">
      <c r="A15" s="138" t="str">
        <f aca="false">Scoring!BF21</f>
        <v/>
      </c>
      <c r="B15" s="138" t="str">
        <f aca="false">Scoring!BE21</f>
        <v/>
      </c>
      <c r="C15" s="138" t="n">
        <f aca="false">Scoring!C21</f>
        <v>0</v>
      </c>
      <c r="D15" s="139" t="str">
        <f aca="false">Scoring!BB21</f>
        <v/>
      </c>
      <c r="E15" s="138" t="str">
        <f aca="false">Scoring!AE21</f>
        <v/>
      </c>
      <c r="F15" s="138" t="n">
        <f aca="false">Scoring!B21</f>
        <v>0</v>
      </c>
      <c r="G15" s="138" t="n">
        <f aca="false">Scoring!D21</f>
        <v>0</v>
      </c>
      <c r="H15" s="138" t="str">
        <f aca="false">Scoring!BD21</f>
        <v/>
      </c>
      <c r="I15" s="140" t="str">
        <f aca="false">Scoring!BC21</f>
        <v/>
      </c>
    </row>
    <row r="16" customFormat="false" ht="15.75" hidden="false" customHeight="false" outlineLevel="0" collapsed="false">
      <c r="A16" s="138" t="str">
        <f aca="false">Scoring!BF22</f>
        <v/>
      </c>
      <c r="B16" s="138" t="str">
        <f aca="false">Scoring!BE22</f>
        <v/>
      </c>
      <c r="C16" s="138" t="n">
        <f aca="false">Scoring!C22</f>
        <v>0</v>
      </c>
      <c r="D16" s="139" t="str">
        <f aca="false">Scoring!BB22</f>
        <v/>
      </c>
      <c r="E16" s="138" t="str">
        <f aca="false">Scoring!AE22</f>
        <v/>
      </c>
      <c r="F16" s="138" t="n">
        <f aca="false">Scoring!B22</f>
        <v>0</v>
      </c>
      <c r="G16" s="138" t="n">
        <f aca="false">Scoring!D22</f>
        <v>0</v>
      </c>
      <c r="H16" s="138" t="str">
        <f aca="false">Scoring!BD22</f>
        <v/>
      </c>
      <c r="I16" s="140" t="str">
        <f aca="false">Scoring!BC22</f>
        <v/>
      </c>
    </row>
    <row r="17" customFormat="false" ht="15.75" hidden="false" customHeight="false" outlineLevel="0" collapsed="false">
      <c r="A17" s="138" t="str">
        <f aca="false">Scoring!BF23</f>
        <v/>
      </c>
      <c r="B17" s="138" t="str">
        <f aca="false">Scoring!BE23</f>
        <v/>
      </c>
      <c r="C17" s="138" t="n">
        <f aca="false">Scoring!C23</f>
        <v>0</v>
      </c>
      <c r="D17" s="139" t="str">
        <f aca="false">Scoring!BB23</f>
        <v/>
      </c>
      <c r="E17" s="138" t="str">
        <f aca="false">Scoring!AE23</f>
        <v/>
      </c>
      <c r="F17" s="138" t="n">
        <f aca="false">Scoring!B23</f>
        <v>0</v>
      </c>
      <c r="G17" s="138" t="n">
        <f aca="false">Scoring!D23</f>
        <v>0</v>
      </c>
      <c r="H17" s="138" t="str">
        <f aca="false">Scoring!BD23</f>
        <v/>
      </c>
      <c r="I17" s="140" t="str">
        <f aca="false">Scoring!BC23</f>
        <v/>
      </c>
    </row>
    <row r="18" customFormat="false" ht="15.75" hidden="false" customHeight="false" outlineLevel="0" collapsed="false">
      <c r="A18" s="138" t="str">
        <f aca="false">Scoring!BF24</f>
        <v/>
      </c>
      <c r="B18" s="138" t="str">
        <f aca="false">Scoring!BE24</f>
        <v/>
      </c>
      <c r="C18" s="138" t="n">
        <f aca="false">Scoring!C24</f>
        <v>0</v>
      </c>
      <c r="D18" s="139" t="str">
        <f aca="false">Scoring!BB24</f>
        <v/>
      </c>
      <c r="E18" s="138" t="str">
        <f aca="false">Scoring!AE24</f>
        <v/>
      </c>
      <c r="F18" s="138" t="n">
        <f aca="false">Scoring!B24</f>
        <v>0</v>
      </c>
      <c r="G18" s="138" t="n">
        <f aca="false">Scoring!D24</f>
        <v>0</v>
      </c>
      <c r="H18" s="138" t="str">
        <f aca="false">Scoring!BD24</f>
        <v/>
      </c>
      <c r="I18" s="140" t="str">
        <f aca="false">Scoring!BC24</f>
        <v/>
      </c>
    </row>
    <row r="19" customFormat="false" ht="15.75" hidden="false" customHeight="false" outlineLevel="0" collapsed="false">
      <c r="A19" s="138" t="str">
        <f aca="false">Scoring!BF25</f>
        <v/>
      </c>
      <c r="B19" s="138" t="str">
        <f aca="false">Scoring!BE25</f>
        <v/>
      </c>
      <c r="C19" s="138" t="n">
        <f aca="false">Scoring!C25</f>
        <v>0</v>
      </c>
      <c r="D19" s="139" t="str">
        <f aca="false">Scoring!BB25</f>
        <v/>
      </c>
      <c r="E19" s="138" t="str">
        <f aca="false">Scoring!AE25</f>
        <v/>
      </c>
      <c r="F19" s="138" t="n">
        <f aca="false">Scoring!B25</f>
        <v>0</v>
      </c>
      <c r="G19" s="138" t="n">
        <f aca="false">Scoring!D25</f>
        <v>0</v>
      </c>
      <c r="H19" s="138" t="str">
        <f aca="false">Scoring!BD25</f>
        <v/>
      </c>
      <c r="I19" s="140" t="str">
        <f aca="false">Scoring!BC25</f>
        <v/>
      </c>
    </row>
    <row r="20" customFormat="false" ht="15.75" hidden="false" customHeight="false" outlineLevel="0" collapsed="false">
      <c r="A20" s="138" t="str">
        <f aca="false">Scoring!BF26</f>
        <v/>
      </c>
      <c r="B20" s="138" t="str">
        <f aca="false">Scoring!BE26</f>
        <v/>
      </c>
      <c r="C20" s="138" t="n">
        <f aca="false">Scoring!C26</f>
        <v>0</v>
      </c>
      <c r="D20" s="139" t="str">
        <f aca="false">Scoring!BB26</f>
        <v/>
      </c>
      <c r="E20" s="138" t="str">
        <f aca="false">Scoring!AE26</f>
        <v/>
      </c>
      <c r="F20" s="138" t="n">
        <f aca="false">Scoring!B26</f>
        <v>0</v>
      </c>
      <c r="G20" s="138" t="n">
        <f aca="false">Scoring!D26</f>
        <v>0</v>
      </c>
      <c r="H20" s="138" t="str">
        <f aca="false">Scoring!BD26</f>
        <v/>
      </c>
      <c r="I20" s="140" t="str">
        <f aca="false">Scoring!BC26</f>
        <v/>
      </c>
    </row>
    <row r="21" customFormat="false" ht="15.75" hidden="false" customHeight="false" outlineLevel="0" collapsed="false">
      <c r="A21" s="138" t="str">
        <f aca="false">Scoring!BF27</f>
        <v/>
      </c>
      <c r="B21" s="138" t="str">
        <f aca="false">Scoring!BE27</f>
        <v/>
      </c>
      <c r="C21" s="138" t="n">
        <f aca="false">Scoring!C27</f>
        <v>0</v>
      </c>
      <c r="D21" s="139" t="str">
        <f aca="false">Scoring!BB27</f>
        <v/>
      </c>
      <c r="E21" s="138" t="str">
        <f aca="false">Scoring!AE27</f>
        <v/>
      </c>
      <c r="F21" s="138" t="n">
        <f aca="false">Scoring!B27</f>
        <v>0</v>
      </c>
      <c r="G21" s="138" t="n">
        <f aca="false">Scoring!D27</f>
        <v>0</v>
      </c>
      <c r="H21" s="138" t="str">
        <f aca="false">Scoring!BD27</f>
        <v/>
      </c>
      <c r="I21" s="140" t="str">
        <f aca="false">Scoring!BC27</f>
        <v/>
      </c>
    </row>
    <row r="22" customFormat="false" ht="15.75" hidden="false" customHeight="false" outlineLevel="0" collapsed="false">
      <c r="A22" s="138" t="str">
        <f aca="false">Scoring!BF28</f>
        <v/>
      </c>
      <c r="B22" s="138" t="str">
        <f aca="false">Scoring!BE28</f>
        <v/>
      </c>
      <c r="C22" s="138" t="n">
        <f aca="false">Scoring!C28</f>
        <v>0</v>
      </c>
      <c r="D22" s="139" t="str">
        <f aca="false">Scoring!BB28</f>
        <v/>
      </c>
      <c r="E22" s="138" t="str">
        <f aca="false">Scoring!AE28</f>
        <v/>
      </c>
      <c r="F22" s="138" t="n">
        <f aca="false">Scoring!B28</f>
        <v>0</v>
      </c>
      <c r="G22" s="138" t="n">
        <f aca="false">Scoring!D28</f>
        <v>0</v>
      </c>
      <c r="H22" s="138" t="str">
        <f aca="false">Scoring!BD28</f>
        <v/>
      </c>
      <c r="I22" s="140" t="str">
        <f aca="false">Scoring!BC28</f>
        <v/>
      </c>
    </row>
    <row r="23" customFormat="false" ht="15.75" hidden="false" customHeight="false" outlineLevel="0" collapsed="false">
      <c r="A23" s="138" t="str">
        <f aca="false">Scoring!BF29</f>
        <v/>
      </c>
      <c r="B23" s="138" t="str">
        <f aca="false">Scoring!BE29</f>
        <v/>
      </c>
      <c r="C23" s="138" t="n">
        <f aca="false">Scoring!C29</f>
        <v>0</v>
      </c>
      <c r="D23" s="139" t="str">
        <f aca="false">Scoring!BB29</f>
        <v/>
      </c>
      <c r="E23" s="138" t="str">
        <f aca="false">Scoring!AE29</f>
        <v/>
      </c>
      <c r="F23" s="138" t="n">
        <f aca="false">Scoring!B29</f>
        <v>0</v>
      </c>
      <c r="G23" s="138" t="n">
        <f aca="false">Scoring!D29</f>
        <v>0</v>
      </c>
      <c r="H23" s="138" t="str">
        <f aca="false">Scoring!BD29</f>
        <v/>
      </c>
      <c r="I23" s="140" t="str">
        <f aca="false">Scoring!BC29</f>
        <v/>
      </c>
    </row>
    <row r="24" customFormat="false" ht="15.75" hidden="false" customHeight="false" outlineLevel="0" collapsed="false">
      <c r="A24" s="138" t="str">
        <f aca="false">Scoring!BF30</f>
        <v/>
      </c>
      <c r="B24" s="138" t="str">
        <f aca="false">Scoring!BE30</f>
        <v/>
      </c>
      <c r="C24" s="138" t="n">
        <f aca="false">Scoring!C30</f>
        <v>0</v>
      </c>
      <c r="D24" s="139" t="str">
        <f aca="false">Scoring!BB30</f>
        <v/>
      </c>
      <c r="E24" s="138" t="str">
        <f aca="false">Scoring!AE30</f>
        <v/>
      </c>
      <c r="F24" s="138" t="n">
        <f aca="false">Scoring!B30</f>
        <v>0</v>
      </c>
      <c r="G24" s="138" t="n">
        <f aca="false">Scoring!D30</f>
        <v>0</v>
      </c>
      <c r="H24" s="138" t="str">
        <f aca="false">Scoring!BD30</f>
        <v/>
      </c>
      <c r="I24" s="140" t="str">
        <f aca="false">Scoring!BC30</f>
        <v/>
      </c>
    </row>
    <row r="25" customFormat="false" ht="15.75" hidden="false" customHeight="false" outlineLevel="0" collapsed="false">
      <c r="A25" s="138" t="str">
        <f aca="false">Scoring!BF31</f>
        <v/>
      </c>
      <c r="B25" s="138" t="str">
        <f aca="false">Scoring!BE31</f>
        <v/>
      </c>
      <c r="C25" s="138" t="n">
        <f aca="false">Scoring!C31</f>
        <v>0</v>
      </c>
      <c r="D25" s="139" t="str">
        <f aca="false">Scoring!BB31</f>
        <v/>
      </c>
      <c r="E25" s="138" t="str">
        <f aca="false">Scoring!AE31</f>
        <v/>
      </c>
      <c r="F25" s="138" t="n">
        <f aca="false">Scoring!B31</f>
        <v>0</v>
      </c>
      <c r="G25" s="138" t="n">
        <f aca="false">Scoring!D31</f>
        <v>0</v>
      </c>
      <c r="H25" s="138" t="str">
        <f aca="false">Scoring!BD31</f>
        <v/>
      </c>
      <c r="I25" s="140" t="str">
        <f aca="false">Scoring!BC31</f>
        <v/>
      </c>
    </row>
    <row r="26" customFormat="false" ht="15.75" hidden="false" customHeight="false" outlineLevel="0" collapsed="false">
      <c r="A26" s="138" t="str">
        <f aca="false">Scoring!BF32</f>
        <v/>
      </c>
      <c r="B26" s="138" t="str">
        <f aca="false">Scoring!BE32</f>
        <v/>
      </c>
      <c r="C26" s="138" t="n">
        <f aca="false">Scoring!C32</f>
        <v>0</v>
      </c>
      <c r="D26" s="139" t="str">
        <f aca="false">Scoring!BB32</f>
        <v/>
      </c>
      <c r="E26" s="138" t="str">
        <f aca="false">Scoring!AE32</f>
        <v/>
      </c>
      <c r="F26" s="138" t="n">
        <f aca="false">Scoring!B32</f>
        <v>0</v>
      </c>
      <c r="G26" s="138" t="n">
        <f aca="false">Scoring!D32</f>
        <v>0</v>
      </c>
      <c r="H26" s="138" t="str">
        <f aca="false">Scoring!BD32</f>
        <v/>
      </c>
      <c r="I26" s="140" t="str">
        <f aca="false">Scoring!BC32</f>
        <v/>
      </c>
    </row>
    <row r="27" customFormat="false" ht="15.75" hidden="false" customHeight="false" outlineLevel="0" collapsed="false">
      <c r="A27" s="138" t="str">
        <f aca="false">Scoring!BF33</f>
        <v/>
      </c>
      <c r="B27" s="138" t="str">
        <f aca="false">Scoring!BE33</f>
        <v/>
      </c>
      <c r="C27" s="138" t="n">
        <f aca="false">Scoring!C33</f>
        <v>0</v>
      </c>
      <c r="D27" s="139" t="str">
        <f aca="false">Scoring!BB33</f>
        <v/>
      </c>
      <c r="E27" s="138" t="str">
        <f aca="false">Scoring!AE33</f>
        <v/>
      </c>
      <c r="F27" s="138" t="n">
        <f aca="false">Scoring!B33</f>
        <v>0</v>
      </c>
      <c r="G27" s="138" t="n">
        <f aca="false">Scoring!D33</f>
        <v>0</v>
      </c>
      <c r="H27" s="138" t="str">
        <f aca="false">Scoring!BD33</f>
        <v/>
      </c>
      <c r="I27" s="140" t="str">
        <f aca="false">Scoring!BC33</f>
        <v/>
      </c>
    </row>
    <row r="28" customFormat="false" ht="15.75" hidden="false" customHeight="false" outlineLevel="0" collapsed="false">
      <c r="A28" s="138" t="str">
        <f aca="false">Scoring!BF34</f>
        <v/>
      </c>
      <c r="B28" s="138" t="str">
        <f aca="false">Scoring!BE34</f>
        <v/>
      </c>
      <c r="C28" s="138" t="n">
        <f aca="false">Scoring!C34</f>
        <v>0</v>
      </c>
      <c r="D28" s="139" t="str">
        <f aca="false">Scoring!BB34</f>
        <v/>
      </c>
      <c r="E28" s="138" t="str">
        <f aca="false">Scoring!AE34</f>
        <v/>
      </c>
      <c r="F28" s="138" t="n">
        <f aca="false">Scoring!B34</f>
        <v>0</v>
      </c>
      <c r="G28" s="138" t="n">
        <f aca="false">Scoring!D34</f>
        <v>0</v>
      </c>
      <c r="H28" s="138" t="str">
        <f aca="false">Scoring!BD34</f>
        <v/>
      </c>
      <c r="I28" s="140" t="str">
        <f aca="false">Scoring!BC34</f>
        <v/>
      </c>
    </row>
    <row r="29" customFormat="false" ht="15.75" hidden="false" customHeight="false" outlineLevel="0" collapsed="false">
      <c r="A29" s="138" t="str">
        <f aca="false">Scoring!BF35</f>
        <v/>
      </c>
      <c r="B29" s="138" t="str">
        <f aca="false">Scoring!BE35</f>
        <v/>
      </c>
      <c r="C29" s="138" t="n">
        <f aca="false">Scoring!C35</f>
        <v>0</v>
      </c>
      <c r="D29" s="139" t="str">
        <f aca="false">Scoring!BB35</f>
        <v/>
      </c>
      <c r="E29" s="138" t="str">
        <f aca="false">Scoring!AE35</f>
        <v/>
      </c>
      <c r="F29" s="138" t="n">
        <f aca="false">Scoring!B35</f>
        <v>0</v>
      </c>
      <c r="G29" s="138" t="n">
        <f aca="false">Scoring!D35</f>
        <v>0</v>
      </c>
      <c r="H29" s="138" t="str">
        <f aca="false">Scoring!BD35</f>
        <v/>
      </c>
      <c r="I29" s="140" t="str">
        <f aca="false">Scoring!BC35</f>
        <v/>
      </c>
    </row>
    <row r="30" customFormat="false" ht="15.75" hidden="false" customHeight="false" outlineLevel="0" collapsed="false">
      <c r="A30" s="138" t="str">
        <f aca="false">Scoring!BF36</f>
        <v/>
      </c>
      <c r="B30" s="138" t="str">
        <f aca="false">Scoring!BE36</f>
        <v/>
      </c>
      <c r="C30" s="138" t="n">
        <f aca="false">Scoring!C36</f>
        <v>0</v>
      </c>
      <c r="D30" s="139" t="str">
        <f aca="false">Scoring!BB36</f>
        <v/>
      </c>
      <c r="E30" s="138" t="str">
        <f aca="false">Scoring!AE36</f>
        <v/>
      </c>
      <c r="F30" s="138" t="n">
        <f aca="false">Scoring!B36</f>
        <v>0</v>
      </c>
      <c r="G30" s="138" t="n">
        <f aca="false">Scoring!D36</f>
        <v>0</v>
      </c>
      <c r="H30" s="138" t="str">
        <f aca="false">Scoring!BD36</f>
        <v/>
      </c>
      <c r="I30" s="140" t="str">
        <f aca="false">Scoring!BC36</f>
        <v/>
      </c>
    </row>
    <row r="31" customFormat="false" ht="15.75" hidden="false" customHeight="false" outlineLevel="0" collapsed="false">
      <c r="A31" s="138" t="str">
        <f aca="false">Scoring!BF37</f>
        <v/>
      </c>
      <c r="B31" s="138" t="str">
        <f aca="false">Scoring!BE37</f>
        <v/>
      </c>
      <c r="C31" s="138" t="n">
        <f aca="false">Scoring!C37</f>
        <v>0</v>
      </c>
      <c r="D31" s="139" t="str">
        <f aca="false">Scoring!BB37</f>
        <v/>
      </c>
      <c r="E31" s="138" t="str">
        <f aca="false">Scoring!AE37</f>
        <v/>
      </c>
      <c r="F31" s="138" t="n">
        <f aca="false">Scoring!B37</f>
        <v>0</v>
      </c>
      <c r="G31" s="138" t="n">
        <f aca="false">Scoring!D37</f>
        <v>0</v>
      </c>
      <c r="H31" s="138" t="str">
        <f aca="false">Scoring!BD37</f>
        <v/>
      </c>
      <c r="I31" s="140" t="str">
        <f aca="false">Scoring!BC37</f>
        <v/>
      </c>
    </row>
    <row r="32" customFormat="false" ht="15.75" hidden="false" customHeight="false" outlineLevel="0" collapsed="false">
      <c r="A32" s="138" t="str">
        <f aca="false">Scoring!BF38</f>
        <v/>
      </c>
      <c r="B32" s="138" t="str">
        <f aca="false">Scoring!BE38</f>
        <v/>
      </c>
      <c r="C32" s="138" t="n">
        <f aca="false">Scoring!C38</f>
        <v>0</v>
      </c>
      <c r="D32" s="139" t="str">
        <f aca="false">Scoring!BB38</f>
        <v/>
      </c>
      <c r="E32" s="138" t="str">
        <f aca="false">Scoring!AE38</f>
        <v/>
      </c>
      <c r="F32" s="138" t="n">
        <f aca="false">Scoring!B38</f>
        <v>0</v>
      </c>
      <c r="G32" s="138" t="n">
        <f aca="false">Scoring!D38</f>
        <v>0</v>
      </c>
      <c r="H32" s="138" t="str">
        <f aca="false">Scoring!BD38</f>
        <v/>
      </c>
      <c r="I32" s="140" t="str">
        <f aca="false">Scoring!BC38</f>
        <v/>
      </c>
    </row>
    <row r="33" customFormat="false" ht="15.75" hidden="false" customHeight="false" outlineLevel="0" collapsed="false">
      <c r="A33" s="138" t="str">
        <f aca="false">Scoring!BF39</f>
        <v/>
      </c>
      <c r="B33" s="138" t="str">
        <f aca="false">Scoring!BE39</f>
        <v/>
      </c>
      <c r="C33" s="138" t="n">
        <f aca="false">Scoring!C39</f>
        <v>0</v>
      </c>
      <c r="D33" s="139" t="str">
        <f aca="false">Scoring!BB39</f>
        <v/>
      </c>
      <c r="E33" s="138" t="str">
        <f aca="false">Scoring!AE39</f>
        <v/>
      </c>
      <c r="F33" s="138" t="n">
        <f aca="false">Scoring!B39</f>
        <v>0</v>
      </c>
      <c r="G33" s="138" t="n">
        <f aca="false">Scoring!D39</f>
        <v>0</v>
      </c>
      <c r="H33" s="138" t="str">
        <f aca="false">Scoring!BD39</f>
        <v/>
      </c>
      <c r="I33" s="140" t="str">
        <f aca="false">Scoring!BC39</f>
        <v/>
      </c>
    </row>
    <row r="34" customFormat="false" ht="15.75" hidden="false" customHeight="false" outlineLevel="0" collapsed="false">
      <c r="A34" s="138" t="str">
        <f aca="false">Scoring!BF40</f>
        <v/>
      </c>
      <c r="B34" s="138" t="str">
        <f aca="false">Scoring!BE40</f>
        <v/>
      </c>
      <c r="C34" s="138" t="n">
        <f aca="false">Scoring!C40</f>
        <v>0</v>
      </c>
      <c r="D34" s="139" t="str">
        <f aca="false">Scoring!BB40</f>
        <v/>
      </c>
      <c r="E34" s="138" t="str">
        <f aca="false">Scoring!AE40</f>
        <v/>
      </c>
      <c r="F34" s="138" t="n">
        <f aca="false">Scoring!B40</f>
        <v>0</v>
      </c>
      <c r="G34" s="138" t="n">
        <f aca="false">Scoring!D40</f>
        <v>0</v>
      </c>
      <c r="H34" s="138" t="str">
        <f aca="false">Scoring!BD40</f>
        <v/>
      </c>
      <c r="I34" s="140" t="str">
        <f aca="false">Scoring!BC40</f>
        <v/>
      </c>
    </row>
    <row r="35" customFormat="false" ht="15.75" hidden="false" customHeight="false" outlineLevel="0" collapsed="false">
      <c r="A35" s="138" t="str">
        <f aca="false">Scoring!BF41</f>
        <v/>
      </c>
      <c r="B35" s="138" t="str">
        <f aca="false">Scoring!BE41</f>
        <v/>
      </c>
      <c r="C35" s="138" t="n">
        <f aca="false">Scoring!C41</f>
        <v>0</v>
      </c>
      <c r="D35" s="139" t="str">
        <f aca="false">Scoring!BB41</f>
        <v/>
      </c>
      <c r="E35" s="138" t="str">
        <f aca="false">Scoring!AE41</f>
        <v/>
      </c>
      <c r="F35" s="138" t="n">
        <f aca="false">Scoring!B41</f>
        <v>0</v>
      </c>
      <c r="G35" s="138" t="n">
        <f aca="false">Scoring!D41</f>
        <v>0</v>
      </c>
      <c r="H35" s="138" t="str">
        <f aca="false">Scoring!BD41</f>
        <v/>
      </c>
      <c r="I35" s="140" t="str">
        <f aca="false">Scoring!BC41</f>
        <v/>
      </c>
    </row>
    <row r="36" customFormat="false" ht="15.75" hidden="false" customHeight="false" outlineLevel="0" collapsed="false">
      <c r="A36" s="138" t="str">
        <f aca="false">Scoring!BF42</f>
        <v/>
      </c>
      <c r="B36" s="138" t="str">
        <f aca="false">Scoring!BE42</f>
        <v/>
      </c>
      <c r="C36" s="138" t="n">
        <f aca="false">Scoring!C42</f>
        <v>0</v>
      </c>
      <c r="D36" s="139" t="str">
        <f aca="false">Scoring!BB42</f>
        <v/>
      </c>
      <c r="E36" s="138" t="str">
        <f aca="false">Scoring!AE42</f>
        <v/>
      </c>
      <c r="F36" s="138" t="n">
        <f aca="false">Scoring!B42</f>
        <v>0</v>
      </c>
      <c r="G36" s="138" t="n">
        <f aca="false">Scoring!D42</f>
        <v>0</v>
      </c>
      <c r="H36" s="138" t="str">
        <f aca="false">Scoring!BD42</f>
        <v/>
      </c>
      <c r="I36" s="140" t="str">
        <f aca="false">Scoring!BC42</f>
        <v/>
      </c>
    </row>
    <row r="37" customFormat="false" ht="15.75" hidden="false" customHeight="false" outlineLevel="0" collapsed="false">
      <c r="A37" s="138" t="str">
        <f aca="false">Scoring!BF43</f>
        <v/>
      </c>
      <c r="B37" s="138" t="str">
        <f aca="false">Scoring!BE43</f>
        <v/>
      </c>
      <c r="C37" s="138" t="n">
        <f aca="false">Scoring!C43</f>
        <v>0</v>
      </c>
      <c r="D37" s="139" t="str">
        <f aca="false">Scoring!BB43</f>
        <v/>
      </c>
      <c r="E37" s="138" t="str">
        <f aca="false">Scoring!AE43</f>
        <v/>
      </c>
      <c r="F37" s="138" t="n">
        <f aca="false">Scoring!B43</f>
        <v>0</v>
      </c>
      <c r="G37" s="138" t="n">
        <f aca="false">Scoring!D43</f>
        <v>0</v>
      </c>
      <c r="H37" s="138" t="str">
        <f aca="false">Scoring!BD43</f>
        <v/>
      </c>
      <c r="I37" s="140" t="str">
        <f aca="false">Scoring!BC43</f>
        <v/>
      </c>
    </row>
    <row r="38" customFormat="false" ht="15.75" hidden="false" customHeight="false" outlineLevel="0" collapsed="false">
      <c r="A38" s="138" t="str">
        <f aca="false">Scoring!BF44</f>
        <v/>
      </c>
      <c r="B38" s="138" t="str">
        <f aca="false">Scoring!BE44</f>
        <v/>
      </c>
      <c r="C38" s="138" t="n">
        <f aca="false">Scoring!C44</f>
        <v>0</v>
      </c>
      <c r="D38" s="139" t="str">
        <f aca="false">Scoring!BB44</f>
        <v/>
      </c>
      <c r="E38" s="138" t="str">
        <f aca="false">Scoring!AE44</f>
        <v/>
      </c>
      <c r="F38" s="138" t="n">
        <f aca="false">Scoring!B44</f>
        <v>0</v>
      </c>
      <c r="G38" s="138" t="n">
        <f aca="false">Scoring!D44</f>
        <v>0</v>
      </c>
      <c r="H38" s="138" t="str">
        <f aca="false">Scoring!BD44</f>
        <v/>
      </c>
      <c r="I38" s="140" t="str">
        <f aca="false">Scoring!BC44</f>
        <v/>
      </c>
    </row>
    <row r="39" customFormat="false" ht="15.75" hidden="false" customHeight="false" outlineLevel="0" collapsed="false">
      <c r="A39" s="138" t="str">
        <f aca="false">Scoring!BF45</f>
        <v/>
      </c>
      <c r="B39" s="138" t="str">
        <f aca="false">Scoring!BE45</f>
        <v/>
      </c>
      <c r="C39" s="138" t="n">
        <f aca="false">Scoring!C45</f>
        <v>0</v>
      </c>
      <c r="D39" s="139" t="str">
        <f aca="false">Scoring!BB45</f>
        <v/>
      </c>
      <c r="E39" s="138" t="str">
        <f aca="false">Scoring!AE45</f>
        <v/>
      </c>
      <c r="F39" s="138" t="n">
        <f aca="false">Scoring!B45</f>
        <v>0</v>
      </c>
      <c r="G39" s="138" t="n">
        <f aca="false">Scoring!D45</f>
        <v>0</v>
      </c>
      <c r="H39" s="138" t="str">
        <f aca="false">Scoring!BD45</f>
        <v/>
      </c>
      <c r="I39" s="140" t="str">
        <f aca="false">Scoring!BC45</f>
        <v/>
      </c>
    </row>
    <row r="40" customFormat="false" ht="15.75" hidden="false" customHeight="false" outlineLevel="0" collapsed="false">
      <c r="A40" s="138" t="str">
        <f aca="false">Scoring!BF46</f>
        <v/>
      </c>
      <c r="B40" s="138" t="str">
        <f aca="false">Scoring!BE46</f>
        <v/>
      </c>
      <c r="C40" s="138" t="n">
        <f aca="false">Scoring!C46</f>
        <v>0</v>
      </c>
      <c r="D40" s="139" t="str">
        <f aca="false">Scoring!BB46</f>
        <v/>
      </c>
      <c r="E40" s="138" t="str">
        <f aca="false">Scoring!AE46</f>
        <v/>
      </c>
      <c r="F40" s="138" t="n">
        <f aca="false">Scoring!B46</f>
        <v>0</v>
      </c>
      <c r="G40" s="138" t="n">
        <f aca="false">Scoring!D46</f>
        <v>0</v>
      </c>
      <c r="H40" s="138" t="str">
        <f aca="false">Scoring!BD46</f>
        <v/>
      </c>
      <c r="I40" s="140" t="str">
        <f aca="false">Scoring!BC46</f>
        <v/>
      </c>
    </row>
    <row r="41" customFormat="false" ht="15.75" hidden="false" customHeight="false" outlineLevel="0" collapsed="false">
      <c r="A41" s="138" t="str">
        <f aca="false">Scoring!BF47</f>
        <v/>
      </c>
      <c r="B41" s="138" t="str">
        <f aca="false">Scoring!BE47</f>
        <v/>
      </c>
      <c r="C41" s="138" t="n">
        <f aca="false">Scoring!C47</f>
        <v>0</v>
      </c>
      <c r="D41" s="139" t="str">
        <f aca="false">Scoring!BB47</f>
        <v/>
      </c>
      <c r="E41" s="138" t="str">
        <f aca="false">Scoring!AE47</f>
        <v/>
      </c>
      <c r="F41" s="138" t="n">
        <f aca="false">Scoring!B47</f>
        <v>0</v>
      </c>
      <c r="G41" s="138" t="n">
        <f aca="false">Scoring!D47</f>
        <v>0</v>
      </c>
      <c r="H41" s="138" t="str">
        <f aca="false">Scoring!BD47</f>
        <v/>
      </c>
      <c r="I41" s="140" t="str">
        <f aca="false">Scoring!BC47</f>
        <v/>
      </c>
    </row>
    <row r="42" customFormat="false" ht="15.75" hidden="false" customHeight="false" outlineLevel="0" collapsed="false">
      <c r="A42" s="138" t="str">
        <f aca="false">Scoring!BF48</f>
        <v/>
      </c>
      <c r="B42" s="138" t="str">
        <f aca="false">Scoring!BE48</f>
        <v/>
      </c>
      <c r="C42" s="138" t="n">
        <f aca="false">Scoring!C48</f>
        <v>0</v>
      </c>
      <c r="D42" s="139" t="str">
        <f aca="false">Scoring!BB48</f>
        <v/>
      </c>
      <c r="E42" s="138" t="str">
        <f aca="false">Scoring!AE48</f>
        <v/>
      </c>
      <c r="F42" s="138" t="n">
        <f aca="false">Scoring!B48</f>
        <v>0</v>
      </c>
      <c r="G42" s="138" t="n">
        <f aca="false">Scoring!D48</f>
        <v>0</v>
      </c>
      <c r="H42" s="138" t="str">
        <f aca="false">Scoring!BD48</f>
        <v/>
      </c>
      <c r="I42" s="140" t="str">
        <f aca="false">Scoring!BC48</f>
        <v/>
      </c>
    </row>
    <row r="43" customFormat="false" ht="15.75" hidden="false" customHeight="false" outlineLevel="0" collapsed="false">
      <c r="A43" s="138" t="str">
        <f aca="false">Scoring!BF49</f>
        <v/>
      </c>
      <c r="B43" s="138" t="str">
        <f aca="false">Scoring!BE49</f>
        <v/>
      </c>
      <c r="C43" s="138" t="n">
        <f aca="false">Scoring!C49</f>
        <v>0</v>
      </c>
      <c r="D43" s="139" t="str">
        <f aca="false">Scoring!BB49</f>
        <v/>
      </c>
      <c r="E43" s="138" t="str">
        <f aca="false">Scoring!AE49</f>
        <v/>
      </c>
      <c r="F43" s="138" t="n">
        <f aca="false">Scoring!B49</f>
        <v>0</v>
      </c>
      <c r="G43" s="138" t="n">
        <f aca="false">Scoring!D49</f>
        <v>0</v>
      </c>
      <c r="H43" s="138" t="str">
        <f aca="false">Scoring!BD49</f>
        <v/>
      </c>
      <c r="I43" s="140" t="str">
        <f aca="false">Scoring!BC49</f>
        <v/>
      </c>
    </row>
    <row r="44" customFormat="false" ht="15.75" hidden="false" customHeight="false" outlineLevel="0" collapsed="false">
      <c r="A44" s="138" t="str">
        <f aca="false">Scoring!BF50</f>
        <v/>
      </c>
      <c r="B44" s="138" t="str">
        <f aca="false">Scoring!BE50</f>
        <v/>
      </c>
      <c r="C44" s="138" t="n">
        <f aca="false">Scoring!C50</f>
        <v>0</v>
      </c>
      <c r="D44" s="139" t="str">
        <f aca="false">Scoring!BB50</f>
        <v/>
      </c>
      <c r="E44" s="138" t="str">
        <f aca="false">Scoring!AE50</f>
        <v/>
      </c>
      <c r="F44" s="138" t="n">
        <f aca="false">Scoring!B50</f>
        <v>0</v>
      </c>
      <c r="G44" s="138" t="n">
        <f aca="false">Scoring!D50</f>
        <v>0</v>
      </c>
      <c r="H44" s="138" t="str">
        <f aca="false">Scoring!BD50</f>
        <v/>
      </c>
      <c r="I44" s="140" t="str">
        <f aca="false">Scoring!BC50</f>
        <v/>
      </c>
    </row>
    <row r="45" customFormat="false" ht="15.75" hidden="false" customHeight="false" outlineLevel="0" collapsed="false">
      <c r="A45" s="138" t="str">
        <f aca="false">Scoring!BF51</f>
        <v/>
      </c>
      <c r="B45" s="138" t="str">
        <f aca="false">Scoring!BE51</f>
        <v/>
      </c>
      <c r="C45" s="138" t="n">
        <f aca="false">Scoring!C51</f>
        <v>0</v>
      </c>
      <c r="D45" s="139" t="str">
        <f aca="false">Scoring!BB51</f>
        <v/>
      </c>
      <c r="E45" s="138" t="str">
        <f aca="false">Scoring!AE51</f>
        <v/>
      </c>
      <c r="F45" s="138" t="n">
        <f aca="false">Scoring!B51</f>
        <v>0</v>
      </c>
      <c r="G45" s="138" t="n">
        <f aca="false">Scoring!D51</f>
        <v>0</v>
      </c>
      <c r="H45" s="138" t="str">
        <f aca="false">Scoring!BD51</f>
        <v/>
      </c>
      <c r="I45" s="140" t="str">
        <f aca="false">Scoring!BC51</f>
        <v/>
      </c>
    </row>
    <row r="46" customFormat="false" ht="15.75" hidden="false" customHeight="false" outlineLevel="0" collapsed="false">
      <c r="A46" s="138" t="str">
        <f aca="false">Scoring!BF52</f>
        <v/>
      </c>
      <c r="B46" s="138" t="str">
        <f aca="false">Scoring!BE52</f>
        <v/>
      </c>
      <c r="C46" s="138" t="n">
        <f aca="false">Scoring!C52</f>
        <v>0</v>
      </c>
      <c r="D46" s="139" t="str">
        <f aca="false">Scoring!BB52</f>
        <v/>
      </c>
      <c r="E46" s="138" t="str">
        <f aca="false">Scoring!AE52</f>
        <v/>
      </c>
      <c r="F46" s="138" t="n">
        <f aca="false">Scoring!B52</f>
        <v>0</v>
      </c>
      <c r="G46" s="138" t="n">
        <f aca="false">Scoring!D52</f>
        <v>0</v>
      </c>
      <c r="H46" s="138" t="str">
        <f aca="false">Scoring!BD52</f>
        <v/>
      </c>
      <c r="I46" s="140" t="str">
        <f aca="false">Scoring!BC52</f>
        <v/>
      </c>
    </row>
    <row r="47" customFormat="false" ht="15.75" hidden="false" customHeight="false" outlineLevel="0" collapsed="false">
      <c r="A47" s="138" t="str">
        <f aca="false">Scoring!BF53</f>
        <v/>
      </c>
      <c r="B47" s="138" t="str">
        <f aca="false">Scoring!BE53</f>
        <v/>
      </c>
      <c r="C47" s="138" t="n">
        <f aca="false">Scoring!C53</f>
        <v>0</v>
      </c>
      <c r="D47" s="139" t="str">
        <f aca="false">Scoring!BB53</f>
        <v/>
      </c>
      <c r="E47" s="138" t="str">
        <f aca="false">Scoring!AE53</f>
        <v/>
      </c>
      <c r="F47" s="138" t="n">
        <f aca="false">Scoring!B53</f>
        <v>0</v>
      </c>
      <c r="G47" s="138" t="n">
        <f aca="false">Scoring!D53</f>
        <v>0</v>
      </c>
      <c r="H47" s="138" t="str">
        <f aca="false">Scoring!BD53</f>
        <v/>
      </c>
      <c r="I47" s="140" t="str">
        <f aca="false">Scoring!BC53</f>
        <v/>
      </c>
    </row>
    <row r="48" customFormat="false" ht="15.75" hidden="false" customHeight="false" outlineLevel="0" collapsed="false">
      <c r="A48" s="138" t="str">
        <f aca="false">Scoring!BF54</f>
        <v/>
      </c>
      <c r="B48" s="138" t="str">
        <f aca="false">Scoring!BE54</f>
        <v/>
      </c>
      <c r="C48" s="138" t="n">
        <f aca="false">Scoring!C54</f>
        <v>0</v>
      </c>
      <c r="D48" s="139" t="str">
        <f aca="false">Scoring!BB54</f>
        <v/>
      </c>
      <c r="E48" s="138" t="str">
        <f aca="false">Scoring!AE54</f>
        <v/>
      </c>
      <c r="F48" s="138" t="n">
        <f aca="false">Scoring!B54</f>
        <v>0</v>
      </c>
      <c r="G48" s="138" t="n">
        <f aca="false">Scoring!D54</f>
        <v>0</v>
      </c>
      <c r="H48" s="138" t="str">
        <f aca="false">Scoring!BD54</f>
        <v/>
      </c>
      <c r="I48" s="140" t="str">
        <f aca="false">Scoring!BC54</f>
        <v/>
      </c>
    </row>
    <row r="49" customFormat="false" ht="15.75" hidden="false" customHeight="false" outlineLevel="0" collapsed="false">
      <c r="A49" s="138" t="str">
        <f aca="false">Scoring!BF55</f>
        <v/>
      </c>
      <c r="B49" s="138" t="str">
        <f aca="false">Scoring!BE55</f>
        <v/>
      </c>
      <c r="C49" s="138" t="n">
        <f aca="false">Scoring!C55</f>
        <v>0</v>
      </c>
      <c r="D49" s="139" t="str">
        <f aca="false">Scoring!BB55</f>
        <v/>
      </c>
      <c r="E49" s="138" t="str">
        <f aca="false">Scoring!AE55</f>
        <v/>
      </c>
      <c r="F49" s="138" t="n">
        <f aca="false">Scoring!B55</f>
        <v>0</v>
      </c>
      <c r="G49" s="138" t="n">
        <f aca="false">Scoring!D55</f>
        <v>0</v>
      </c>
      <c r="H49" s="138" t="str">
        <f aca="false">Scoring!BD55</f>
        <v/>
      </c>
      <c r="I49" s="140" t="str">
        <f aca="false">Scoring!BC55</f>
        <v/>
      </c>
    </row>
    <row r="50" customFormat="false" ht="15.75" hidden="false" customHeight="false" outlineLevel="0" collapsed="false">
      <c r="A50" s="138" t="str">
        <f aca="false">Scoring!BF56</f>
        <v/>
      </c>
      <c r="B50" s="138" t="str">
        <f aca="false">Scoring!BE56</f>
        <v/>
      </c>
      <c r="C50" s="138" t="n">
        <f aca="false">Scoring!C56</f>
        <v>0</v>
      </c>
      <c r="D50" s="139" t="str">
        <f aca="false">Scoring!BB56</f>
        <v/>
      </c>
      <c r="E50" s="138" t="str">
        <f aca="false">Scoring!AE56</f>
        <v/>
      </c>
      <c r="F50" s="138" t="n">
        <f aca="false">Scoring!B56</f>
        <v>0</v>
      </c>
      <c r="G50" s="138" t="n">
        <f aca="false">Scoring!D56</f>
        <v>0</v>
      </c>
      <c r="H50" s="138" t="str">
        <f aca="false">Scoring!BD56</f>
        <v/>
      </c>
      <c r="I50" s="140" t="str">
        <f aca="false">Scoring!BC56</f>
        <v/>
      </c>
    </row>
    <row r="51" customFormat="false" ht="15.75" hidden="false" customHeight="false" outlineLevel="0" collapsed="false">
      <c r="A51" s="138" t="str">
        <f aca="false">Scoring!BF57</f>
        <v/>
      </c>
      <c r="B51" s="138" t="str">
        <f aca="false">Scoring!BE57</f>
        <v/>
      </c>
      <c r="C51" s="138" t="n">
        <f aca="false">Scoring!C57</f>
        <v>0</v>
      </c>
      <c r="D51" s="139" t="str">
        <f aca="false">Scoring!BB57</f>
        <v/>
      </c>
      <c r="E51" s="138" t="str">
        <f aca="false">Scoring!AE57</f>
        <v/>
      </c>
      <c r="F51" s="138" t="n">
        <f aca="false">Scoring!B57</f>
        <v>0</v>
      </c>
      <c r="G51" s="138" t="n">
        <f aca="false">Scoring!D57</f>
        <v>0</v>
      </c>
      <c r="H51" s="138" t="str">
        <f aca="false">Scoring!BD57</f>
        <v/>
      </c>
      <c r="I51" s="140" t="str">
        <f aca="false">Scoring!BC57</f>
        <v/>
      </c>
    </row>
    <row r="52" customFormat="false" ht="15.75" hidden="false" customHeight="false" outlineLevel="0" collapsed="false">
      <c r="A52" s="138" t="str">
        <f aca="false">Scoring!BF58</f>
        <v/>
      </c>
      <c r="B52" s="138" t="str">
        <f aca="false">Scoring!BE58</f>
        <v/>
      </c>
      <c r="C52" s="138" t="n">
        <f aca="false">Scoring!C58</f>
        <v>0</v>
      </c>
      <c r="D52" s="139" t="str">
        <f aca="false">Scoring!BB58</f>
        <v/>
      </c>
      <c r="E52" s="138" t="str">
        <f aca="false">Scoring!AE58</f>
        <v/>
      </c>
      <c r="F52" s="138" t="n">
        <f aca="false">Scoring!B58</f>
        <v>0</v>
      </c>
      <c r="G52" s="138" t="n">
        <f aca="false">Scoring!D58</f>
        <v>0</v>
      </c>
      <c r="H52" s="138" t="str">
        <f aca="false">Scoring!BD58</f>
        <v/>
      </c>
      <c r="I52" s="140" t="str">
        <f aca="false">Scoring!BC58</f>
        <v/>
      </c>
    </row>
    <row r="53" customFormat="false" ht="15.75" hidden="false" customHeight="false" outlineLevel="0" collapsed="false">
      <c r="A53" s="138" t="str">
        <f aca="false">Scoring!BF59</f>
        <v/>
      </c>
      <c r="B53" s="138" t="str">
        <f aca="false">Scoring!BE59</f>
        <v/>
      </c>
      <c r="C53" s="138" t="n">
        <f aca="false">Scoring!C59</f>
        <v>0</v>
      </c>
      <c r="D53" s="139" t="str">
        <f aca="false">Scoring!BB59</f>
        <v/>
      </c>
      <c r="E53" s="138" t="str">
        <f aca="false">Scoring!AE59</f>
        <v/>
      </c>
      <c r="F53" s="138" t="n">
        <f aca="false">Scoring!B59</f>
        <v>0</v>
      </c>
      <c r="G53" s="138" t="n">
        <f aca="false">Scoring!D59</f>
        <v>0</v>
      </c>
      <c r="H53" s="138" t="str">
        <f aca="false">Scoring!BD59</f>
        <v/>
      </c>
      <c r="I53" s="140" t="str">
        <f aca="false">Scoring!BC59</f>
        <v/>
      </c>
    </row>
    <row r="54" customFormat="false" ht="15.75" hidden="false" customHeight="false" outlineLevel="0" collapsed="false">
      <c r="A54" s="138" t="str">
        <f aca="false">Scoring!BF60</f>
        <v/>
      </c>
      <c r="B54" s="138" t="str">
        <f aca="false">Scoring!BE60</f>
        <v/>
      </c>
      <c r="C54" s="138" t="n">
        <f aca="false">Scoring!C60</f>
        <v>0</v>
      </c>
      <c r="D54" s="139" t="str">
        <f aca="false">Scoring!BB60</f>
        <v/>
      </c>
      <c r="E54" s="138" t="str">
        <f aca="false">Scoring!AE60</f>
        <v/>
      </c>
      <c r="F54" s="138" t="n">
        <f aca="false">Scoring!B60</f>
        <v>0</v>
      </c>
      <c r="G54" s="138" t="n">
        <f aca="false">Scoring!D60</f>
        <v>0</v>
      </c>
      <c r="H54" s="138" t="str">
        <f aca="false">Scoring!BD60</f>
        <v/>
      </c>
      <c r="I54" s="140" t="str">
        <f aca="false">Scoring!BC60</f>
        <v/>
      </c>
    </row>
    <row r="55" customFormat="false" ht="15.75" hidden="false" customHeight="false" outlineLevel="0" collapsed="false">
      <c r="A55" s="138" t="str">
        <f aca="false">Scoring!BF61</f>
        <v/>
      </c>
      <c r="B55" s="138" t="str">
        <f aca="false">Scoring!BE61</f>
        <v/>
      </c>
      <c r="C55" s="138" t="n">
        <f aca="false">Scoring!C61</f>
        <v>0</v>
      </c>
      <c r="D55" s="139" t="str">
        <f aca="false">Scoring!BB61</f>
        <v/>
      </c>
      <c r="E55" s="138" t="str">
        <f aca="false">Scoring!AE61</f>
        <v/>
      </c>
      <c r="F55" s="138" t="n">
        <f aca="false">Scoring!B61</f>
        <v>0</v>
      </c>
      <c r="G55" s="138" t="n">
        <f aca="false">Scoring!D61</f>
        <v>0</v>
      </c>
      <c r="H55" s="138" t="str">
        <f aca="false">Scoring!BD61</f>
        <v/>
      </c>
      <c r="I55" s="140" t="str">
        <f aca="false">Scoring!BC61</f>
        <v/>
      </c>
    </row>
    <row r="56" customFormat="false" ht="15.75" hidden="false" customHeight="false" outlineLevel="0" collapsed="false">
      <c r="A56" s="138" t="str">
        <f aca="false">Scoring!BF62</f>
        <v/>
      </c>
      <c r="B56" s="138" t="str">
        <f aca="false">Scoring!BE62</f>
        <v/>
      </c>
      <c r="C56" s="138" t="n">
        <f aca="false">Scoring!C62</f>
        <v>0</v>
      </c>
      <c r="D56" s="139" t="str">
        <f aca="false">Scoring!BB62</f>
        <v/>
      </c>
      <c r="E56" s="138" t="str">
        <f aca="false">Scoring!AE62</f>
        <v/>
      </c>
      <c r="F56" s="138" t="n">
        <f aca="false">Scoring!B62</f>
        <v>0</v>
      </c>
      <c r="G56" s="138" t="n">
        <f aca="false">Scoring!D62</f>
        <v>0</v>
      </c>
      <c r="H56" s="138" t="str">
        <f aca="false">Scoring!BD62</f>
        <v/>
      </c>
      <c r="I56" s="140" t="str">
        <f aca="false">Scoring!BC62</f>
        <v/>
      </c>
    </row>
    <row r="57" customFormat="false" ht="15.75" hidden="false" customHeight="false" outlineLevel="0" collapsed="false">
      <c r="A57" s="138" t="str">
        <f aca="false">Scoring!BF63</f>
        <v/>
      </c>
      <c r="B57" s="138" t="str">
        <f aca="false">Scoring!BE63</f>
        <v/>
      </c>
      <c r="C57" s="138" t="n">
        <f aca="false">Scoring!C63</f>
        <v>0</v>
      </c>
      <c r="D57" s="139" t="str">
        <f aca="false">Scoring!BB63</f>
        <v/>
      </c>
      <c r="E57" s="138" t="str">
        <f aca="false">Scoring!AE63</f>
        <v/>
      </c>
      <c r="F57" s="138" t="n">
        <f aca="false">Scoring!B63</f>
        <v>0</v>
      </c>
      <c r="G57" s="138" t="n">
        <f aca="false">Scoring!D63</f>
        <v>0</v>
      </c>
      <c r="H57" s="138" t="str">
        <f aca="false">Scoring!BD63</f>
        <v/>
      </c>
      <c r="I57" s="140" t="str">
        <f aca="false">Scoring!BC63</f>
        <v/>
      </c>
    </row>
    <row r="58" customFormat="false" ht="15.75" hidden="false" customHeight="false" outlineLevel="0" collapsed="false">
      <c r="A58" s="138" t="str">
        <f aca="false">Scoring!BF64</f>
        <v/>
      </c>
      <c r="B58" s="138" t="str">
        <f aca="false">Scoring!BE64</f>
        <v/>
      </c>
      <c r="C58" s="138" t="n">
        <f aca="false">Scoring!C64</f>
        <v>0</v>
      </c>
      <c r="D58" s="139" t="str">
        <f aca="false">Scoring!BB64</f>
        <v/>
      </c>
      <c r="E58" s="138" t="str">
        <f aca="false">Scoring!AE64</f>
        <v/>
      </c>
      <c r="F58" s="138" t="n">
        <f aca="false">Scoring!B64</f>
        <v>0</v>
      </c>
      <c r="G58" s="138" t="n">
        <f aca="false">Scoring!D64</f>
        <v>0</v>
      </c>
      <c r="H58" s="138" t="str">
        <f aca="false">Scoring!BD64</f>
        <v/>
      </c>
      <c r="I58" s="140" t="str">
        <f aca="false">Scoring!BC64</f>
        <v/>
      </c>
    </row>
    <row r="59" customFormat="false" ht="15.75" hidden="false" customHeight="false" outlineLevel="0" collapsed="false">
      <c r="A59" s="138" t="str">
        <f aca="false">Scoring!BF65</f>
        <v/>
      </c>
      <c r="B59" s="138" t="str">
        <f aca="false">Scoring!BE65</f>
        <v/>
      </c>
      <c r="C59" s="138" t="n">
        <f aca="false">Scoring!C65</f>
        <v>0</v>
      </c>
      <c r="D59" s="139" t="str">
        <f aca="false">Scoring!BB65</f>
        <v/>
      </c>
      <c r="E59" s="138" t="str">
        <f aca="false">Scoring!AE65</f>
        <v/>
      </c>
      <c r="F59" s="138" t="n">
        <f aca="false">Scoring!B65</f>
        <v>0</v>
      </c>
      <c r="G59" s="138" t="n">
        <f aca="false">Scoring!D65</f>
        <v>0</v>
      </c>
      <c r="H59" s="138" t="str">
        <f aca="false">Scoring!BD65</f>
        <v/>
      </c>
      <c r="I59" s="140" t="str">
        <f aca="false">Scoring!BC65</f>
        <v/>
      </c>
    </row>
    <row r="60" customFormat="false" ht="15.75" hidden="false" customHeight="false" outlineLevel="0" collapsed="false">
      <c r="A60" s="138" t="str">
        <f aca="false">Scoring!BF66</f>
        <v/>
      </c>
      <c r="B60" s="138" t="str">
        <f aca="false">Scoring!BE66</f>
        <v/>
      </c>
      <c r="C60" s="138" t="n">
        <f aca="false">Scoring!C66</f>
        <v>0</v>
      </c>
      <c r="D60" s="139" t="str">
        <f aca="false">Scoring!BB66</f>
        <v/>
      </c>
      <c r="E60" s="138" t="str">
        <f aca="false">Scoring!AE66</f>
        <v/>
      </c>
      <c r="F60" s="138" t="n">
        <f aca="false">Scoring!B66</f>
        <v>0</v>
      </c>
      <c r="G60" s="138" t="n">
        <f aca="false">Scoring!D66</f>
        <v>0</v>
      </c>
      <c r="H60" s="138" t="str">
        <f aca="false">Scoring!BD66</f>
        <v/>
      </c>
      <c r="I60" s="140" t="str">
        <f aca="false">Scoring!BC66</f>
        <v/>
      </c>
    </row>
    <row r="61" customFormat="false" ht="15.75" hidden="false" customHeight="false" outlineLevel="0" collapsed="false">
      <c r="A61" s="138" t="str">
        <f aca="false">Scoring!BF67</f>
        <v/>
      </c>
      <c r="B61" s="138" t="str">
        <f aca="false">Scoring!BE67</f>
        <v/>
      </c>
      <c r="C61" s="138" t="n">
        <f aca="false">Scoring!C67</f>
        <v>0</v>
      </c>
      <c r="D61" s="139" t="str">
        <f aca="false">Scoring!BB67</f>
        <v/>
      </c>
      <c r="E61" s="138" t="str">
        <f aca="false">Scoring!AE67</f>
        <v/>
      </c>
      <c r="F61" s="138" t="n">
        <f aca="false">Scoring!B67</f>
        <v>0</v>
      </c>
      <c r="G61" s="138" t="n">
        <f aca="false">Scoring!D67</f>
        <v>0</v>
      </c>
      <c r="H61" s="138" t="str">
        <f aca="false">Scoring!BD67</f>
        <v/>
      </c>
      <c r="I61" s="140" t="str">
        <f aca="false">Scoring!BC67</f>
        <v/>
      </c>
    </row>
    <row r="62" customFormat="false" ht="15.75" hidden="false" customHeight="false" outlineLevel="0" collapsed="false">
      <c r="A62" s="138" t="str">
        <f aca="false">Scoring!BF68</f>
        <v/>
      </c>
      <c r="B62" s="138" t="str">
        <f aca="false">Scoring!BE68</f>
        <v/>
      </c>
      <c r="C62" s="138" t="n">
        <f aca="false">Scoring!C68</f>
        <v>0</v>
      </c>
      <c r="D62" s="139" t="str">
        <f aca="false">Scoring!BB68</f>
        <v/>
      </c>
      <c r="E62" s="138" t="str">
        <f aca="false">Scoring!AE68</f>
        <v/>
      </c>
      <c r="F62" s="138" t="n">
        <f aca="false">Scoring!B68</f>
        <v>0</v>
      </c>
      <c r="G62" s="138" t="n">
        <f aca="false">Scoring!D68</f>
        <v>0</v>
      </c>
      <c r="H62" s="138" t="str">
        <f aca="false">Scoring!BD68</f>
        <v/>
      </c>
      <c r="I62" s="140" t="str">
        <f aca="false">Scoring!BC68</f>
        <v/>
      </c>
    </row>
    <row r="63" customFormat="false" ht="15.75" hidden="false" customHeight="false" outlineLevel="0" collapsed="false">
      <c r="A63" s="138" t="str">
        <f aca="false">Scoring!BF69</f>
        <v/>
      </c>
      <c r="B63" s="138" t="str">
        <f aca="false">Scoring!BE69</f>
        <v/>
      </c>
      <c r="C63" s="138" t="n">
        <f aca="false">Scoring!C69</f>
        <v>0</v>
      </c>
      <c r="D63" s="139" t="str">
        <f aca="false">Scoring!BB69</f>
        <v/>
      </c>
      <c r="E63" s="138" t="str">
        <f aca="false">Scoring!AE69</f>
        <v/>
      </c>
      <c r="F63" s="138" t="n">
        <f aca="false">Scoring!B69</f>
        <v>0</v>
      </c>
      <c r="G63" s="138" t="n">
        <f aca="false">Scoring!D69</f>
        <v>0</v>
      </c>
      <c r="H63" s="138" t="str">
        <f aca="false">Scoring!BD69</f>
        <v/>
      </c>
      <c r="I63" s="140" t="str">
        <f aca="false">Scoring!BC69</f>
        <v/>
      </c>
    </row>
    <row r="64" customFormat="false" ht="15.75" hidden="false" customHeight="false" outlineLevel="0" collapsed="false">
      <c r="A64" s="138" t="str">
        <f aca="false">Scoring!BF70</f>
        <v/>
      </c>
      <c r="B64" s="138" t="str">
        <f aca="false">Scoring!BE70</f>
        <v/>
      </c>
      <c r="C64" s="138" t="n">
        <f aca="false">Scoring!C70</f>
        <v>0</v>
      </c>
      <c r="D64" s="139" t="str">
        <f aca="false">Scoring!BB70</f>
        <v/>
      </c>
      <c r="E64" s="138" t="str">
        <f aca="false">Scoring!AE70</f>
        <v/>
      </c>
      <c r="F64" s="138" t="n">
        <f aca="false">Scoring!B70</f>
        <v>0</v>
      </c>
      <c r="G64" s="138" t="n">
        <f aca="false">Scoring!D70</f>
        <v>0</v>
      </c>
      <c r="H64" s="138" t="str">
        <f aca="false">Scoring!BD70</f>
        <v/>
      </c>
      <c r="I64" s="140" t="str">
        <f aca="false">Scoring!BC70</f>
        <v/>
      </c>
    </row>
    <row r="65" customFormat="false" ht="15.75" hidden="false" customHeight="false" outlineLevel="0" collapsed="false">
      <c r="A65" s="138" t="str">
        <f aca="false">Scoring!BF71</f>
        <v/>
      </c>
      <c r="B65" s="138" t="str">
        <f aca="false">Scoring!BE71</f>
        <v/>
      </c>
      <c r="C65" s="138" t="n">
        <f aca="false">Scoring!C71</f>
        <v>0</v>
      </c>
      <c r="D65" s="139" t="str">
        <f aca="false">Scoring!BB71</f>
        <v/>
      </c>
      <c r="E65" s="138" t="str">
        <f aca="false">Scoring!AE71</f>
        <v/>
      </c>
      <c r="F65" s="138" t="n">
        <f aca="false">Scoring!B71</f>
        <v>0</v>
      </c>
      <c r="G65" s="138" t="n">
        <f aca="false">Scoring!D71</f>
        <v>0</v>
      </c>
      <c r="H65" s="138" t="str">
        <f aca="false">Scoring!BD71</f>
        <v/>
      </c>
      <c r="I65" s="140" t="str">
        <f aca="false">Scoring!BC71</f>
        <v/>
      </c>
    </row>
    <row r="66" customFormat="false" ht="15.75" hidden="false" customHeight="false" outlineLevel="0" collapsed="false">
      <c r="A66" s="138" t="str">
        <f aca="false">Scoring!BF72</f>
        <v/>
      </c>
      <c r="B66" s="138" t="str">
        <f aca="false">Scoring!BE72</f>
        <v/>
      </c>
      <c r="C66" s="138" t="n">
        <f aca="false">Scoring!C72</f>
        <v>0</v>
      </c>
      <c r="D66" s="139" t="str">
        <f aca="false">Scoring!BB72</f>
        <v/>
      </c>
      <c r="E66" s="138" t="str">
        <f aca="false">Scoring!AE72</f>
        <v/>
      </c>
      <c r="F66" s="138" t="n">
        <f aca="false">Scoring!B72</f>
        <v>0</v>
      </c>
      <c r="G66" s="138" t="n">
        <f aca="false">Scoring!D72</f>
        <v>0</v>
      </c>
      <c r="H66" s="138" t="str">
        <f aca="false">Scoring!BD72</f>
        <v/>
      </c>
      <c r="I66" s="140" t="str">
        <f aca="false">Scoring!BC72</f>
        <v/>
      </c>
    </row>
    <row r="67" customFormat="false" ht="15.75" hidden="false" customHeight="false" outlineLevel="0" collapsed="false">
      <c r="A67" s="138" t="str">
        <f aca="false">Scoring!BF73</f>
        <v/>
      </c>
      <c r="B67" s="138" t="str">
        <f aca="false">Scoring!BE73</f>
        <v/>
      </c>
      <c r="C67" s="138" t="n">
        <f aca="false">Scoring!C73</f>
        <v>0</v>
      </c>
      <c r="D67" s="139" t="str">
        <f aca="false">Scoring!BB73</f>
        <v/>
      </c>
      <c r="E67" s="138" t="str">
        <f aca="false">Scoring!AE73</f>
        <v/>
      </c>
      <c r="F67" s="138" t="n">
        <f aca="false">Scoring!B73</f>
        <v>0</v>
      </c>
      <c r="G67" s="138" t="n">
        <f aca="false">Scoring!D73</f>
        <v>0</v>
      </c>
      <c r="H67" s="138" t="str">
        <f aca="false">Scoring!BD73</f>
        <v/>
      </c>
      <c r="I67" s="140" t="str">
        <f aca="false">Scoring!BC73</f>
        <v/>
      </c>
    </row>
    <row r="68" customFormat="false" ht="15.75" hidden="false" customHeight="false" outlineLevel="0" collapsed="false">
      <c r="A68" s="138" t="str">
        <f aca="false">Scoring!BF74</f>
        <v/>
      </c>
      <c r="B68" s="138" t="str">
        <f aca="false">Scoring!BE74</f>
        <v/>
      </c>
      <c r="C68" s="138" t="n">
        <f aca="false">Scoring!C74</f>
        <v>0</v>
      </c>
      <c r="D68" s="139" t="str">
        <f aca="false">Scoring!BB74</f>
        <v/>
      </c>
      <c r="E68" s="138" t="str">
        <f aca="false">Scoring!AE74</f>
        <v/>
      </c>
      <c r="F68" s="138" t="n">
        <f aca="false">Scoring!B74</f>
        <v>0</v>
      </c>
      <c r="G68" s="138" t="n">
        <f aca="false">Scoring!D74</f>
        <v>0</v>
      </c>
      <c r="H68" s="138" t="str">
        <f aca="false">Scoring!BD74</f>
        <v/>
      </c>
      <c r="I68" s="140" t="str">
        <f aca="false">Scoring!BC74</f>
        <v/>
      </c>
    </row>
    <row r="69" customFormat="false" ht="15.75" hidden="false" customHeight="false" outlineLevel="0" collapsed="false">
      <c r="A69" s="138" t="str">
        <f aca="false">Scoring!BF75</f>
        <v/>
      </c>
      <c r="B69" s="138" t="str">
        <f aca="false">Scoring!BE75</f>
        <v/>
      </c>
      <c r="C69" s="138" t="n">
        <f aca="false">Scoring!C75</f>
        <v>0</v>
      </c>
      <c r="D69" s="139" t="str">
        <f aca="false">Scoring!BB75</f>
        <v/>
      </c>
      <c r="E69" s="138" t="str">
        <f aca="false">Scoring!AE75</f>
        <v/>
      </c>
      <c r="F69" s="138" t="n">
        <f aca="false">Scoring!B75</f>
        <v>0</v>
      </c>
      <c r="G69" s="138" t="n">
        <f aca="false">Scoring!D75</f>
        <v>0</v>
      </c>
      <c r="H69" s="138" t="str">
        <f aca="false">Scoring!BD75</f>
        <v/>
      </c>
      <c r="I69" s="140" t="str">
        <f aca="false">Scoring!BC75</f>
        <v/>
      </c>
    </row>
    <row r="70" customFormat="false" ht="15.75" hidden="false" customHeight="false" outlineLevel="0" collapsed="false">
      <c r="A70" s="138" t="str">
        <f aca="false">Scoring!BF76</f>
        <v/>
      </c>
      <c r="B70" s="138" t="str">
        <f aca="false">Scoring!BE76</f>
        <v/>
      </c>
      <c r="C70" s="138" t="n">
        <f aca="false">Scoring!C76</f>
        <v>0</v>
      </c>
      <c r="D70" s="139" t="str">
        <f aca="false">Scoring!BB76</f>
        <v/>
      </c>
      <c r="E70" s="138" t="str">
        <f aca="false">Scoring!AE76</f>
        <v/>
      </c>
      <c r="F70" s="138" t="n">
        <f aca="false">Scoring!B76</f>
        <v>0</v>
      </c>
      <c r="G70" s="138" t="n">
        <f aca="false">Scoring!D76</f>
        <v>0</v>
      </c>
      <c r="H70" s="138" t="str">
        <f aca="false">Scoring!BD76</f>
        <v/>
      </c>
      <c r="I70" s="140" t="str">
        <f aca="false">Scoring!BC76</f>
        <v/>
      </c>
    </row>
    <row r="71" customFormat="false" ht="15.75" hidden="false" customHeight="false" outlineLevel="0" collapsed="false">
      <c r="A71" s="138" t="str">
        <f aca="false">Scoring!BF77</f>
        <v/>
      </c>
      <c r="B71" s="138" t="str">
        <f aca="false">Scoring!BE77</f>
        <v/>
      </c>
      <c r="C71" s="138" t="n">
        <f aca="false">Scoring!C77</f>
        <v>0</v>
      </c>
      <c r="D71" s="139" t="str">
        <f aca="false">Scoring!BB77</f>
        <v/>
      </c>
      <c r="E71" s="138" t="str">
        <f aca="false">Scoring!AE77</f>
        <v/>
      </c>
      <c r="F71" s="138" t="n">
        <f aca="false">Scoring!B77</f>
        <v>0</v>
      </c>
      <c r="G71" s="138" t="n">
        <f aca="false">Scoring!D77</f>
        <v>0</v>
      </c>
      <c r="H71" s="138" t="str">
        <f aca="false">Scoring!BD77</f>
        <v/>
      </c>
      <c r="I71" s="140" t="str">
        <f aca="false">Scoring!BC77</f>
        <v/>
      </c>
    </row>
    <row r="72" customFormat="false" ht="15.75" hidden="false" customHeight="false" outlineLevel="0" collapsed="false">
      <c r="A72" s="138" t="str">
        <f aca="false">Scoring!BF78</f>
        <v/>
      </c>
      <c r="B72" s="138" t="str">
        <f aca="false">Scoring!BE78</f>
        <v/>
      </c>
      <c r="C72" s="138" t="n">
        <f aca="false">Scoring!C78</f>
        <v>0</v>
      </c>
      <c r="D72" s="139" t="str">
        <f aca="false">Scoring!BB78</f>
        <v/>
      </c>
      <c r="E72" s="138" t="str">
        <f aca="false">Scoring!AE78</f>
        <v/>
      </c>
      <c r="F72" s="138" t="n">
        <f aca="false">Scoring!B78</f>
        <v>0</v>
      </c>
      <c r="G72" s="138" t="n">
        <f aca="false">Scoring!D78</f>
        <v>0</v>
      </c>
      <c r="H72" s="138" t="str">
        <f aca="false">Scoring!BD78</f>
        <v/>
      </c>
      <c r="I72" s="140" t="str">
        <f aca="false">Scoring!BC78</f>
        <v/>
      </c>
    </row>
    <row r="73" customFormat="false" ht="15.75" hidden="false" customHeight="false" outlineLevel="0" collapsed="false">
      <c r="A73" s="138" t="str">
        <f aca="false">Scoring!BF79</f>
        <v/>
      </c>
      <c r="B73" s="138" t="str">
        <f aca="false">Scoring!BE79</f>
        <v/>
      </c>
      <c r="C73" s="138" t="n">
        <f aca="false">Scoring!C79</f>
        <v>0</v>
      </c>
      <c r="D73" s="139" t="str">
        <f aca="false">Scoring!BB79</f>
        <v/>
      </c>
      <c r="E73" s="138" t="str">
        <f aca="false">Scoring!AE79</f>
        <v/>
      </c>
      <c r="F73" s="138" t="n">
        <f aca="false">Scoring!B79</f>
        <v>0</v>
      </c>
      <c r="G73" s="138" t="n">
        <f aca="false">Scoring!D79</f>
        <v>0</v>
      </c>
      <c r="H73" s="138" t="str">
        <f aca="false">Scoring!BD79</f>
        <v/>
      </c>
      <c r="I73" s="140" t="str">
        <f aca="false">Scoring!BC79</f>
        <v/>
      </c>
    </row>
    <row r="74" customFormat="false" ht="15.75" hidden="false" customHeight="false" outlineLevel="0" collapsed="false">
      <c r="A74" s="138" t="str">
        <f aca="false">Scoring!BF80</f>
        <v/>
      </c>
      <c r="B74" s="138" t="str">
        <f aca="false">Scoring!BE80</f>
        <v/>
      </c>
      <c r="C74" s="138" t="n">
        <f aca="false">Scoring!C80</f>
        <v>0</v>
      </c>
      <c r="D74" s="139" t="str">
        <f aca="false">Scoring!BB80</f>
        <v/>
      </c>
      <c r="E74" s="138" t="str">
        <f aca="false">Scoring!AE80</f>
        <v/>
      </c>
      <c r="F74" s="138" t="n">
        <f aca="false">Scoring!B80</f>
        <v>0</v>
      </c>
      <c r="G74" s="138" t="n">
        <f aca="false">Scoring!D80</f>
        <v>0</v>
      </c>
      <c r="H74" s="138" t="str">
        <f aca="false">Scoring!BD80</f>
        <v/>
      </c>
      <c r="I74" s="140" t="str">
        <f aca="false">Scoring!BC80</f>
        <v/>
      </c>
    </row>
    <row r="75" customFormat="false" ht="15.75" hidden="false" customHeight="false" outlineLevel="0" collapsed="false">
      <c r="A75" s="138" t="str">
        <f aca="false">Scoring!BF81</f>
        <v/>
      </c>
      <c r="B75" s="138" t="str">
        <f aca="false">Scoring!BE81</f>
        <v/>
      </c>
      <c r="C75" s="138" t="n">
        <f aca="false">Scoring!C81</f>
        <v>0</v>
      </c>
      <c r="D75" s="139" t="str">
        <f aca="false">Scoring!BB81</f>
        <v/>
      </c>
      <c r="E75" s="138" t="str">
        <f aca="false">Scoring!AE81</f>
        <v/>
      </c>
      <c r="F75" s="138" t="n">
        <f aca="false">Scoring!B81</f>
        <v>0</v>
      </c>
      <c r="G75" s="138" t="n">
        <f aca="false">Scoring!D81</f>
        <v>0</v>
      </c>
      <c r="H75" s="138" t="str">
        <f aca="false">Scoring!BD81</f>
        <v/>
      </c>
      <c r="I75" s="140" t="str">
        <f aca="false">Scoring!BC81</f>
        <v/>
      </c>
    </row>
    <row r="76" customFormat="false" ht="15.75" hidden="false" customHeight="false" outlineLevel="0" collapsed="false">
      <c r="A76" s="138" t="str">
        <f aca="false">Scoring!BF82</f>
        <v/>
      </c>
      <c r="B76" s="138" t="str">
        <f aca="false">Scoring!BE82</f>
        <v/>
      </c>
      <c r="C76" s="138" t="n">
        <f aca="false">Scoring!C82</f>
        <v>0</v>
      </c>
      <c r="D76" s="139" t="str">
        <f aca="false">Scoring!BB82</f>
        <v/>
      </c>
      <c r="E76" s="138" t="str">
        <f aca="false">Scoring!AE82</f>
        <v/>
      </c>
      <c r="F76" s="138" t="n">
        <f aca="false">Scoring!B82</f>
        <v>0</v>
      </c>
      <c r="G76" s="138" t="n">
        <f aca="false">Scoring!D82</f>
        <v>0</v>
      </c>
      <c r="H76" s="138" t="str">
        <f aca="false">Scoring!BD82</f>
        <v/>
      </c>
      <c r="I76" s="140" t="str">
        <f aca="false">Scoring!BC82</f>
        <v/>
      </c>
    </row>
    <row r="77" customFormat="false" ht="15.75" hidden="false" customHeight="false" outlineLevel="0" collapsed="false">
      <c r="A77" s="138" t="str">
        <f aca="false">Scoring!BF83</f>
        <v/>
      </c>
      <c r="B77" s="138" t="str">
        <f aca="false">Scoring!BE83</f>
        <v/>
      </c>
      <c r="C77" s="138" t="n">
        <f aca="false">Scoring!C83</f>
        <v>0</v>
      </c>
      <c r="D77" s="139" t="str">
        <f aca="false">Scoring!BB83</f>
        <v/>
      </c>
      <c r="E77" s="138" t="str">
        <f aca="false">Scoring!AE83</f>
        <v/>
      </c>
      <c r="F77" s="138" t="n">
        <f aca="false">Scoring!B83</f>
        <v>0</v>
      </c>
      <c r="G77" s="138" t="n">
        <f aca="false">Scoring!D83</f>
        <v>0</v>
      </c>
      <c r="H77" s="138" t="str">
        <f aca="false">Scoring!BD83</f>
        <v/>
      </c>
      <c r="I77" s="140" t="str">
        <f aca="false">Scoring!BC83</f>
        <v/>
      </c>
    </row>
    <row r="78" customFormat="false" ht="15.75" hidden="false" customHeight="false" outlineLevel="0" collapsed="false">
      <c r="A78" s="138" t="str">
        <f aca="false">Scoring!BF84</f>
        <v/>
      </c>
      <c r="B78" s="138" t="str">
        <f aca="false">Scoring!BE84</f>
        <v/>
      </c>
      <c r="C78" s="138" t="n">
        <f aca="false">Scoring!C84</f>
        <v>0</v>
      </c>
      <c r="D78" s="139" t="str">
        <f aca="false">Scoring!BB84</f>
        <v/>
      </c>
      <c r="E78" s="138" t="str">
        <f aca="false">Scoring!AE84</f>
        <v/>
      </c>
      <c r="F78" s="138" t="n">
        <f aca="false">Scoring!B84</f>
        <v>0</v>
      </c>
      <c r="G78" s="138" t="n">
        <f aca="false">Scoring!D84</f>
        <v>0</v>
      </c>
      <c r="H78" s="138" t="str">
        <f aca="false">Scoring!BD84</f>
        <v/>
      </c>
      <c r="I78" s="140" t="str">
        <f aca="false">Scoring!BC84</f>
        <v/>
      </c>
    </row>
    <row r="79" customFormat="false" ht="15.75" hidden="false" customHeight="false" outlineLevel="0" collapsed="false">
      <c r="A79" s="138" t="str">
        <f aca="false">Scoring!BF85</f>
        <v/>
      </c>
      <c r="B79" s="138" t="str">
        <f aca="false">Scoring!BE85</f>
        <v/>
      </c>
      <c r="C79" s="138" t="n">
        <f aca="false">Scoring!C85</f>
        <v>0</v>
      </c>
      <c r="D79" s="139" t="str">
        <f aca="false">Scoring!BB85</f>
        <v/>
      </c>
      <c r="E79" s="138" t="str">
        <f aca="false">Scoring!AE85</f>
        <v/>
      </c>
      <c r="F79" s="138" t="n">
        <f aca="false">Scoring!B85</f>
        <v>0</v>
      </c>
      <c r="G79" s="138" t="n">
        <f aca="false">Scoring!D85</f>
        <v>0</v>
      </c>
      <c r="H79" s="138" t="str">
        <f aca="false">Scoring!BD85</f>
        <v/>
      </c>
      <c r="I79" s="140" t="str">
        <f aca="false">Scoring!BC85</f>
        <v/>
      </c>
    </row>
    <row r="80" customFormat="false" ht="15.75" hidden="false" customHeight="false" outlineLevel="0" collapsed="false">
      <c r="A80" s="138" t="str">
        <f aca="false">Scoring!BF86</f>
        <v/>
      </c>
      <c r="B80" s="138" t="str">
        <f aca="false">Scoring!BE86</f>
        <v/>
      </c>
      <c r="C80" s="138" t="n">
        <f aca="false">Scoring!C86</f>
        <v>0</v>
      </c>
      <c r="D80" s="139" t="str">
        <f aca="false">Scoring!BB86</f>
        <v/>
      </c>
      <c r="E80" s="138" t="str">
        <f aca="false">Scoring!AE86</f>
        <v/>
      </c>
      <c r="F80" s="138" t="n">
        <f aca="false">Scoring!B86</f>
        <v>0</v>
      </c>
      <c r="G80" s="138" t="n">
        <f aca="false">Scoring!D86</f>
        <v>0</v>
      </c>
      <c r="H80" s="138" t="str">
        <f aca="false">Scoring!BD86</f>
        <v/>
      </c>
      <c r="I80" s="140" t="str">
        <f aca="false">Scoring!BC86</f>
        <v/>
      </c>
    </row>
    <row r="81" customFormat="false" ht="15.75" hidden="false" customHeight="false" outlineLevel="0" collapsed="false">
      <c r="A81" s="138" t="str">
        <f aca="false">Scoring!BF87</f>
        <v/>
      </c>
      <c r="B81" s="138" t="str">
        <f aca="false">Scoring!BE87</f>
        <v/>
      </c>
      <c r="C81" s="138" t="n">
        <f aca="false">Scoring!C87</f>
        <v>0</v>
      </c>
      <c r="D81" s="139" t="str">
        <f aca="false">Scoring!BB87</f>
        <v/>
      </c>
      <c r="E81" s="138" t="str">
        <f aca="false">Scoring!AE87</f>
        <v/>
      </c>
      <c r="F81" s="138" t="n">
        <f aca="false">Scoring!B87</f>
        <v>0</v>
      </c>
      <c r="G81" s="138" t="n">
        <f aca="false">Scoring!D87</f>
        <v>0</v>
      </c>
      <c r="H81" s="138" t="str">
        <f aca="false">Scoring!BD87</f>
        <v/>
      </c>
      <c r="I81" s="140" t="str">
        <f aca="false">Scoring!BC87</f>
        <v/>
      </c>
    </row>
    <row r="82" customFormat="false" ht="15.75" hidden="false" customHeight="false" outlineLevel="0" collapsed="false">
      <c r="A82" s="138" t="str">
        <f aca="false">Scoring!BF88</f>
        <v/>
      </c>
      <c r="B82" s="138" t="str">
        <f aca="false">Scoring!BE88</f>
        <v/>
      </c>
      <c r="C82" s="138" t="n">
        <f aca="false">Scoring!C88</f>
        <v>0</v>
      </c>
      <c r="D82" s="139" t="str">
        <f aca="false">Scoring!BB88</f>
        <v/>
      </c>
      <c r="E82" s="138" t="str">
        <f aca="false">Scoring!AE88</f>
        <v/>
      </c>
      <c r="F82" s="138" t="n">
        <f aca="false">Scoring!B88</f>
        <v>0</v>
      </c>
      <c r="G82" s="138" t="n">
        <f aca="false">Scoring!D88</f>
        <v>0</v>
      </c>
      <c r="H82" s="138" t="str">
        <f aca="false">Scoring!BD88</f>
        <v/>
      </c>
      <c r="I82" s="140" t="str">
        <f aca="false">Scoring!BC88</f>
        <v/>
      </c>
    </row>
    <row r="83" customFormat="false" ht="15.75" hidden="false" customHeight="false" outlineLevel="0" collapsed="false">
      <c r="A83" s="138" t="str">
        <f aca="false">Scoring!BF89</f>
        <v/>
      </c>
      <c r="B83" s="138" t="str">
        <f aca="false">Scoring!BE89</f>
        <v/>
      </c>
      <c r="C83" s="138" t="n">
        <f aca="false">Scoring!C89</f>
        <v>0</v>
      </c>
      <c r="D83" s="139" t="str">
        <f aca="false">Scoring!BB89</f>
        <v/>
      </c>
      <c r="E83" s="138" t="str">
        <f aca="false">Scoring!AE89</f>
        <v/>
      </c>
      <c r="F83" s="138" t="n">
        <f aca="false">Scoring!B89</f>
        <v>0</v>
      </c>
      <c r="G83" s="138" t="n">
        <f aca="false">Scoring!D89</f>
        <v>0</v>
      </c>
      <c r="H83" s="138" t="str">
        <f aca="false">Scoring!BD89</f>
        <v/>
      </c>
      <c r="I83" s="140" t="str">
        <f aca="false">Scoring!BC89</f>
        <v/>
      </c>
    </row>
    <row r="84" customFormat="false" ht="15.75" hidden="false" customHeight="false" outlineLevel="0" collapsed="false">
      <c r="A84" s="138" t="str">
        <f aca="false">Scoring!BF90</f>
        <v/>
      </c>
      <c r="B84" s="138" t="str">
        <f aca="false">Scoring!BE90</f>
        <v/>
      </c>
      <c r="C84" s="138" t="n">
        <f aca="false">Scoring!C90</f>
        <v>0</v>
      </c>
      <c r="D84" s="139" t="str">
        <f aca="false">Scoring!BB90</f>
        <v/>
      </c>
      <c r="E84" s="138" t="str">
        <f aca="false">Scoring!AE90</f>
        <v/>
      </c>
      <c r="F84" s="138" t="n">
        <f aca="false">Scoring!B90</f>
        <v>0</v>
      </c>
      <c r="G84" s="138" t="n">
        <f aca="false">Scoring!D90</f>
        <v>0</v>
      </c>
      <c r="H84" s="138" t="str">
        <f aca="false">Scoring!BD90</f>
        <v/>
      </c>
      <c r="I84" s="140" t="str">
        <f aca="false">Scoring!BC90</f>
        <v/>
      </c>
    </row>
    <row r="85" customFormat="false" ht="15.75" hidden="false" customHeight="false" outlineLevel="0" collapsed="false">
      <c r="A85" s="138" t="str">
        <f aca="false">Scoring!BF91</f>
        <v/>
      </c>
      <c r="B85" s="138" t="str">
        <f aca="false">Scoring!BE91</f>
        <v/>
      </c>
      <c r="C85" s="138" t="n">
        <f aca="false">Scoring!C91</f>
        <v>0</v>
      </c>
      <c r="D85" s="139" t="str">
        <f aca="false">Scoring!BB91</f>
        <v/>
      </c>
      <c r="E85" s="138" t="str">
        <f aca="false">Scoring!AE91</f>
        <v/>
      </c>
      <c r="F85" s="138" t="n">
        <f aca="false">Scoring!B91</f>
        <v>0</v>
      </c>
      <c r="G85" s="138" t="n">
        <f aca="false">Scoring!D91</f>
        <v>0</v>
      </c>
      <c r="H85" s="138" t="str">
        <f aca="false">Scoring!BD91</f>
        <v/>
      </c>
      <c r="I85" s="140" t="str">
        <f aca="false">Scoring!BC91</f>
        <v/>
      </c>
    </row>
    <row r="86" customFormat="false" ht="15.75" hidden="false" customHeight="false" outlineLevel="0" collapsed="false">
      <c r="A86" s="138" t="str">
        <f aca="false">Scoring!BF92</f>
        <v/>
      </c>
      <c r="B86" s="138" t="str">
        <f aca="false">Scoring!BE92</f>
        <v/>
      </c>
      <c r="C86" s="138" t="n">
        <f aca="false">Scoring!C92</f>
        <v>0</v>
      </c>
      <c r="D86" s="139" t="str">
        <f aca="false">Scoring!BB92</f>
        <v/>
      </c>
      <c r="E86" s="138" t="str">
        <f aca="false">Scoring!AE92</f>
        <v/>
      </c>
      <c r="F86" s="138" t="n">
        <f aca="false">Scoring!B92</f>
        <v>0</v>
      </c>
      <c r="G86" s="138" t="n">
        <f aca="false">Scoring!D92</f>
        <v>0</v>
      </c>
      <c r="H86" s="138" t="str">
        <f aca="false">Scoring!BD92</f>
        <v/>
      </c>
      <c r="I86" s="140" t="str">
        <f aca="false">Scoring!BC92</f>
        <v/>
      </c>
    </row>
    <row r="87" customFormat="false" ht="15.75" hidden="false" customHeight="false" outlineLevel="0" collapsed="false">
      <c r="A87" s="138" t="str">
        <f aca="false">Scoring!BF93</f>
        <v/>
      </c>
      <c r="B87" s="138" t="str">
        <f aca="false">Scoring!BE93</f>
        <v/>
      </c>
      <c r="C87" s="138" t="n">
        <f aca="false">Scoring!C93</f>
        <v>0</v>
      </c>
      <c r="D87" s="139" t="str">
        <f aca="false">Scoring!BB93</f>
        <v/>
      </c>
      <c r="E87" s="138" t="str">
        <f aca="false">Scoring!AE93</f>
        <v/>
      </c>
      <c r="F87" s="138" t="n">
        <f aca="false">Scoring!B93</f>
        <v>0</v>
      </c>
      <c r="G87" s="138" t="n">
        <f aca="false">Scoring!D93</f>
        <v>0</v>
      </c>
      <c r="H87" s="138" t="str">
        <f aca="false">Scoring!BD93</f>
        <v/>
      </c>
      <c r="I87" s="140" t="str">
        <f aca="false">Scoring!BC93</f>
        <v/>
      </c>
    </row>
    <row r="88" customFormat="false" ht="15.75" hidden="false" customHeight="false" outlineLevel="0" collapsed="false">
      <c r="A88" s="138" t="str">
        <f aca="false">Scoring!BF94</f>
        <v/>
      </c>
      <c r="B88" s="138" t="str">
        <f aca="false">Scoring!BE94</f>
        <v/>
      </c>
      <c r="C88" s="138" t="n">
        <f aca="false">Scoring!C94</f>
        <v>0</v>
      </c>
      <c r="D88" s="139" t="str">
        <f aca="false">Scoring!BB94</f>
        <v/>
      </c>
      <c r="E88" s="138" t="str">
        <f aca="false">Scoring!AE94</f>
        <v/>
      </c>
      <c r="F88" s="138" t="n">
        <f aca="false">Scoring!B94</f>
        <v>0</v>
      </c>
      <c r="G88" s="138" t="n">
        <f aca="false">Scoring!D94</f>
        <v>0</v>
      </c>
      <c r="H88" s="138" t="str">
        <f aca="false">Scoring!BD94</f>
        <v/>
      </c>
      <c r="I88" s="140" t="str">
        <f aca="false">Scoring!BC94</f>
        <v/>
      </c>
    </row>
    <row r="89" customFormat="false" ht="15.75" hidden="false" customHeight="false" outlineLevel="0" collapsed="false">
      <c r="A89" s="138" t="str">
        <f aca="false">Scoring!BF95</f>
        <v/>
      </c>
      <c r="B89" s="138" t="str">
        <f aca="false">Scoring!BE95</f>
        <v/>
      </c>
      <c r="C89" s="138" t="n">
        <f aca="false">Scoring!C95</f>
        <v>0</v>
      </c>
      <c r="D89" s="139" t="str">
        <f aca="false">Scoring!BB95</f>
        <v/>
      </c>
      <c r="E89" s="138" t="str">
        <f aca="false">Scoring!AE95</f>
        <v/>
      </c>
      <c r="F89" s="138" t="n">
        <f aca="false">Scoring!B95</f>
        <v>0</v>
      </c>
      <c r="G89" s="138" t="n">
        <f aca="false">Scoring!D95</f>
        <v>0</v>
      </c>
      <c r="H89" s="138" t="str">
        <f aca="false">Scoring!BD95</f>
        <v/>
      </c>
      <c r="I89" s="140" t="str">
        <f aca="false">Scoring!BC95</f>
        <v/>
      </c>
    </row>
    <row r="90" customFormat="false" ht="15.75" hidden="false" customHeight="false" outlineLevel="0" collapsed="false">
      <c r="A90" s="138" t="str">
        <f aca="false">Scoring!BF96</f>
        <v/>
      </c>
      <c r="B90" s="138" t="str">
        <f aca="false">Scoring!BE96</f>
        <v/>
      </c>
      <c r="C90" s="138" t="n">
        <f aca="false">Scoring!C96</f>
        <v>0</v>
      </c>
      <c r="D90" s="139" t="str">
        <f aca="false">Scoring!BB96</f>
        <v/>
      </c>
      <c r="E90" s="138" t="str">
        <f aca="false">Scoring!AE96</f>
        <v/>
      </c>
      <c r="F90" s="138" t="n">
        <f aca="false">Scoring!B96</f>
        <v>0</v>
      </c>
      <c r="G90" s="138" t="n">
        <f aca="false">Scoring!D96</f>
        <v>0</v>
      </c>
      <c r="H90" s="138" t="str">
        <f aca="false">Scoring!BD96</f>
        <v/>
      </c>
      <c r="I90" s="140" t="str">
        <f aca="false">Scoring!BC96</f>
        <v/>
      </c>
    </row>
    <row r="91" customFormat="false" ht="15.75" hidden="false" customHeight="false" outlineLevel="0" collapsed="false">
      <c r="A91" s="138" t="str">
        <f aca="false">Scoring!BF97</f>
        <v/>
      </c>
      <c r="B91" s="138" t="str">
        <f aca="false">Scoring!BE97</f>
        <v/>
      </c>
      <c r="C91" s="138" t="n">
        <f aca="false">Scoring!C97</f>
        <v>0</v>
      </c>
      <c r="D91" s="139" t="str">
        <f aca="false">Scoring!BB97</f>
        <v/>
      </c>
      <c r="E91" s="138" t="str">
        <f aca="false">Scoring!AE97</f>
        <v/>
      </c>
      <c r="F91" s="138" t="n">
        <f aca="false">Scoring!B97</f>
        <v>0</v>
      </c>
      <c r="G91" s="138" t="n">
        <f aca="false">Scoring!D97</f>
        <v>0</v>
      </c>
      <c r="H91" s="138" t="str">
        <f aca="false">Scoring!BD97</f>
        <v/>
      </c>
      <c r="I91" s="140" t="str">
        <f aca="false">Scoring!BC97</f>
        <v/>
      </c>
    </row>
    <row r="92" customFormat="false" ht="15.75" hidden="false" customHeight="false" outlineLevel="0" collapsed="false">
      <c r="A92" s="138" t="str">
        <f aca="false">Scoring!BF98</f>
        <v/>
      </c>
      <c r="B92" s="138" t="str">
        <f aca="false">Scoring!BE98</f>
        <v/>
      </c>
      <c r="C92" s="138" t="n">
        <f aca="false">Scoring!C98</f>
        <v>0</v>
      </c>
      <c r="D92" s="139" t="str">
        <f aca="false">Scoring!BB98</f>
        <v/>
      </c>
      <c r="E92" s="138" t="str">
        <f aca="false">Scoring!AE98</f>
        <v/>
      </c>
      <c r="F92" s="138" t="n">
        <f aca="false">Scoring!B98</f>
        <v>0</v>
      </c>
      <c r="G92" s="138" t="n">
        <f aca="false">Scoring!D98</f>
        <v>0</v>
      </c>
      <c r="H92" s="138" t="str">
        <f aca="false">Scoring!BD98</f>
        <v/>
      </c>
      <c r="I92" s="140" t="str">
        <f aca="false">Scoring!BC98</f>
        <v/>
      </c>
    </row>
    <row r="93" customFormat="false" ht="15.75" hidden="false" customHeight="false" outlineLevel="0" collapsed="false">
      <c r="A93" s="138" t="str">
        <f aca="false">Scoring!BF99</f>
        <v/>
      </c>
      <c r="B93" s="138" t="str">
        <f aca="false">Scoring!BE99</f>
        <v/>
      </c>
      <c r="C93" s="138" t="n">
        <f aca="false">Scoring!C99</f>
        <v>0</v>
      </c>
      <c r="D93" s="139" t="str">
        <f aca="false">Scoring!BB99</f>
        <v/>
      </c>
      <c r="E93" s="138" t="str">
        <f aca="false">Scoring!AE99</f>
        <v/>
      </c>
      <c r="F93" s="138" t="n">
        <f aca="false">Scoring!B99</f>
        <v>0</v>
      </c>
      <c r="G93" s="138" t="n">
        <f aca="false">Scoring!D99</f>
        <v>0</v>
      </c>
      <c r="H93" s="138" t="str">
        <f aca="false">Scoring!BD99</f>
        <v/>
      </c>
      <c r="I93" s="140" t="str">
        <f aca="false">Scoring!BC99</f>
        <v/>
      </c>
    </row>
    <row r="94" customFormat="false" ht="15.75" hidden="false" customHeight="false" outlineLevel="0" collapsed="false">
      <c r="A94" s="138" t="str">
        <f aca="false">Scoring!BF100</f>
        <v/>
      </c>
      <c r="B94" s="138" t="str">
        <f aca="false">Scoring!BE100</f>
        <v/>
      </c>
      <c r="C94" s="138" t="n">
        <f aca="false">Scoring!C100</f>
        <v>0</v>
      </c>
      <c r="D94" s="139" t="str">
        <f aca="false">Scoring!BB100</f>
        <v/>
      </c>
      <c r="E94" s="138" t="str">
        <f aca="false">Scoring!AE100</f>
        <v/>
      </c>
      <c r="F94" s="138" t="n">
        <f aca="false">Scoring!B100</f>
        <v>0</v>
      </c>
      <c r="G94" s="138" t="n">
        <f aca="false">Scoring!D100</f>
        <v>0</v>
      </c>
      <c r="H94" s="138" t="str">
        <f aca="false">Scoring!BD100</f>
        <v/>
      </c>
      <c r="I94" s="140" t="str">
        <f aca="false">Scoring!BC100</f>
        <v/>
      </c>
    </row>
    <row r="95" customFormat="false" ht="15.75" hidden="false" customHeight="false" outlineLevel="0" collapsed="false">
      <c r="A95" s="138" t="str">
        <f aca="false">Scoring!BF101</f>
        <v/>
      </c>
      <c r="B95" s="138" t="str">
        <f aca="false">Scoring!BE101</f>
        <v/>
      </c>
      <c r="C95" s="138" t="n">
        <f aca="false">Scoring!C101</f>
        <v>0</v>
      </c>
      <c r="D95" s="139" t="str">
        <f aca="false">Scoring!BB101</f>
        <v/>
      </c>
      <c r="E95" s="138" t="str">
        <f aca="false">Scoring!AE101</f>
        <v/>
      </c>
      <c r="F95" s="138" t="n">
        <f aca="false">Scoring!B101</f>
        <v>0</v>
      </c>
      <c r="G95" s="138" t="n">
        <f aca="false">Scoring!D101</f>
        <v>0</v>
      </c>
      <c r="H95" s="138" t="str">
        <f aca="false">Scoring!BD101</f>
        <v/>
      </c>
      <c r="I95" s="140" t="str">
        <f aca="false">Scoring!BC101</f>
        <v/>
      </c>
    </row>
    <row r="96" customFormat="false" ht="15.75" hidden="false" customHeight="false" outlineLevel="0" collapsed="false">
      <c r="A96" s="138" t="str">
        <f aca="false">Scoring!BF102</f>
        <v/>
      </c>
      <c r="B96" s="138" t="str">
        <f aca="false">Scoring!BE102</f>
        <v/>
      </c>
      <c r="C96" s="138" t="n">
        <f aca="false">Scoring!C102</f>
        <v>0</v>
      </c>
      <c r="D96" s="139" t="str">
        <f aca="false">Scoring!BB102</f>
        <v/>
      </c>
      <c r="E96" s="138" t="str">
        <f aca="false">Scoring!AE102</f>
        <v/>
      </c>
      <c r="F96" s="138" t="n">
        <f aca="false">Scoring!B102</f>
        <v>0</v>
      </c>
      <c r="G96" s="138" t="n">
        <f aca="false">Scoring!D102</f>
        <v>0</v>
      </c>
      <c r="H96" s="138" t="str">
        <f aca="false">Scoring!BD102</f>
        <v/>
      </c>
      <c r="I96" s="140" t="str">
        <f aca="false">Scoring!BC102</f>
        <v/>
      </c>
    </row>
    <row r="97" customFormat="false" ht="15.75" hidden="false" customHeight="false" outlineLevel="0" collapsed="false">
      <c r="A97" s="138" t="str">
        <f aca="false">Scoring!BF103</f>
        <v/>
      </c>
      <c r="B97" s="138" t="str">
        <f aca="false">Scoring!BE103</f>
        <v/>
      </c>
      <c r="C97" s="138" t="n">
        <f aca="false">Scoring!C103</f>
        <v>0</v>
      </c>
      <c r="D97" s="139" t="str">
        <f aca="false">Scoring!BB103</f>
        <v/>
      </c>
      <c r="E97" s="138" t="str">
        <f aca="false">Scoring!AE103</f>
        <v/>
      </c>
      <c r="F97" s="138" t="n">
        <f aca="false">Scoring!B103</f>
        <v>0</v>
      </c>
      <c r="G97" s="138" t="n">
        <f aca="false">Scoring!D103</f>
        <v>0</v>
      </c>
      <c r="H97" s="138" t="str">
        <f aca="false">Scoring!BD103</f>
        <v/>
      </c>
      <c r="I97" s="140" t="str">
        <f aca="false">Scoring!BC103</f>
        <v/>
      </c>
    </row>
    <row r="98" customFormat="false" ht="15.75" hidden="false" customHeight="false" outlineLevel="0" collapsed="false">
      <c r="A98" s="138" t="str">
        <f aca="false">Scoring!BF104</f>
        <v/>
      </c>
      <c r="B98" s="138" t="str">
        <f aca="false">Scoring!BE104</f>
        <v/>
      </c>
      <c r="C98" s="138" t="n">
        <f aca="false">Scoring!C104</f>
        <v>0</v>
      </c>
      <c r="D98" s="139" t="str">
        <f aca="false">Scoring!BB104</f>
        <v/>
      </c>
      <c r="E98" s="138" t="str">
        <f aca="false">Scoring!AE104</f>
        <v/>
      </c>
      <c r="F98" s="138" t="n">
        <f aca="false">Scoring!B104</f>
        <v>0</v>
      </c>
      <c r="G98" s="138" t="n">
        <f aca="false">Scoring!D104</f>
        <v>0</v>
      </c>
      <c r="H98" s="138" t="str">
        <f aca="false">Scoring!BD104</f>
        <v/>
      </c>
      <c r="I98" s="140" t="str">
        <f aca="false">Scoring!BC104</f>
        <v/>
      </c>
    </row>
    <row r="99" customFormat="false" ht="15.75" hidden="false" customHeight="false" outlineLevel="0" collapsed="false">
      <c r="A99" s="138" t="str">
        <f aca="false">Scoring!BF105</f>
        <v/>
      </c>
      <c r="B99" s="138" t="str">
        <f aca="false">Scoring!BE105</f>
        <v/>
      </c>
      <c r="C99" s="138" t="n">
        <f aca="false">Scoring!C105</f>
        <v>0</v>
      </c>
      <c r="D99" s="139" t="str">
        <f aca="false">Scoring!BB105</f>
        <v/>
      </c>
      <c r="E99" s="138" t="str">
        <f aca="false">Scoring!AE105</f>
        <v/>
      </c>
      <c r="F99" s="138" t="n">
        <f aca="false">Scoring!B105</f>
        <v>0</v>
      </c>
      <c r="G99" s="138" t="n">
        <f aca="false">Scoring!D105</f>
        <v>0</v>
      </c>
      <c r="H99" s="138" t="str">
        <f aca="false">Scoring!BD105</f>
        <v/>
      </c>
      <c r="I99" s="140" t="str">
        <f aca="false">Scoring!BC105</f>
        <v/>
      </c>
    </row>
    <row r="100" customFormat="false" ht="15.75" hidden="false" customHeight="false" outlineLevel="0" collapsed="false">
      <c r="A100" s="138" t="str">
        <f aca="false">Scoring!BF106</f>
        <v/>
      </c>
      <c r="B100" s="138" t="str">
        <f aca="false">Scoring!BE106</f>
        <v/>
      </c>
      <c r="C100" s="138" t="n">
        <f aca="false">Scoring!C106</f>
        <v>0</v>
      </c>
      <c r="D100" s="139" t="str">
        <f aca="false">Scoring!BB106</f>
        <v/>
      </c>
      <c r="E100" s="138" t="str">
        <f aca="false">Scoring!AE106</f>
        <v/>
      </c>
      <c r="F100" s="138" t="n">
        <f aca="false">Scoring!B106</f>
        <v>0</v>
      </c>
      <c r="G100" s="138" t="n">
        <f aca="false">Scoring!D106</f>
        <v>0</v>
      </c>
      <c r="H100" s="138" t="str">
        <f aca="false">Scoring!BD106</f>
        <v/>
      </c>
      <c r="I100" s="140" t="str">
        <f aca="false">Scoring!BC106</f>
        <v/>
      </c>
    </row>
    <row r="101" customFormat="false" ht="15.75" hidden="false" customHeight="false" outlineLevel="0" collapsed="false">
      <c r="A101" s="138" t="str">
        <f aca="false">Scoring!BF107</f>
        <v/>
      </c>
      <c r="B101" s="138" t="str">
        <f aca="false">Scoring!BE107</f>
        <v/>
      </c>
      <c r="C101" s="138" t="n">
        <f aca="false">Scoring!C107</f>
        <v>0</v>
      </c>
      <c r="D101" s="139" t="str">
        <f aca="false">Scoring!BB107</f>
        <v/>
      </c>
      <c r="E101" s="138" t="str">
        <f aca="false">Scoring!AE107</f>
        <v/>
      </c>
      <c r="F101" s="138" t="n">
        <f aca="false">Scoring!B107</f>
        <v>0</v>
      </c>
      <c r="G101" s="138" t="n">
        <f aca="false">Scoring!D107</f>
        <v>0</v>
      </c>
      <c r="H101" s="138" t="str">
        <f aca="false">Scoring!BD107</f>
        <v/>
      </c>
      <c r="I101" s="140" t="str">
        <f aca="false">Scoring!BC107</f>
        <v/>
      </c>
    </row>
    <row r="102" customFormat="false" ht="15.75" hidden="false" customHeight="false" outlineLevel="0" collapsed="false">
      <c r="A102" s="138" t="str">
        <f aca="false">Scoring!BF108</f>
        <v/>
      </c>
      <c r="B102" s="138" t="str">
        <f aca="false">Scoring!BE108</f>
        <v/>
      </c>
      <c r="C102" s="138" t="n">
        <f aca="false">Scoring!C108</f>
        <v>0</v>
      </c>
      <c r="D102" s="139" t="str">
        <f aca="false">Scoring!BB108</f>
        <v/>
      </c>
      <c r="E102" s="138" t="str">
        <f aca="false">Scoring!AE108</f>
        <v/>
      </c>
      <c r="F102" s="138" t="n">
        <f aca="false">Scoring!B108</f>
        <v>0</v>
      </c>
      <c r="G102" s="138" t="n">
        <f aca="false">Scoring!D108</f>
        <v>0</v>
      </c>
      <c r="H102" s="138" t="str">
        <f aca="false">Scoring!BD108</f>
        <v/>
      </c>
      <c r="I102" s="140" t="str">
        <f aca="false">Scoring!BC108</f>
        <v/>
      </c>
    </row>
    <row r="103" customFormat="false" ht="15.75" hidden="false" customHeight="false" outlineLevel="0" collapsed="false">
      <c r="A103" s="138" t="str">
        <f aca="false">Scoring!BF109</f>
        <v/>
      </c>
      <c r="B103" s="138" t="str">
        <f aca="false">Scoring!BE109</f>
        <v/>
      </c>
      <c r="C103" s="138" t="n">
        <f aca="false">Scoring!C109</f>
        <v>0</v>
      </c>
      <c r="D103" s="139" t="str">
        <f aca="false">Scoring!BB109</f>
        <v/>
      </c>
      <c r="E103" s="138" t="str">
        <f aca="false">Scoring!AE109</f>
        <v/>
      </c>
      <c r="F103" s="138" t="n">
        <f aca="false">Scoring!B109</f>
        <v>0</v>
      </c>
      <c r="G103" s="138" t="n">
        <f aca="false">Scoring!D109</f>
        <v>0</v>
      </c>
      <c r="H103" s="138" t="str">
        <f aca="false">Scoring!BD109</f>
        <v/>
      </c>
      <c r="I103" s="140" t="str">
        <f aca="false">Scoring!BC109</f>
        <v/>
      </c>
    </row>
    <row r="104" customFormat="false" ht="15.75" hidden="false" customHeight="false" outlineLevel="0" collapsed="false">
      <c r="A104" s="138" t="str">
        <f aca="false">Scoring!BF110</f>
        <v/>
      </c>
      <c r="B104" s="138" t="str">
        <f aca="false">Scoring!BE110</f>
        <v/>
      </c>
      <c r="C104" s="138" t="n">
        <f aca="false">Scoring!C110</f>
        <v>0</v>
      </c>
      <c r="D104" s="139" t="str">
        <f aca="false">Scoring!BB110</f>
        <v/>
      </c>
      <c r="E104" s="138" t="str">
        <f aca="false">Scoring!AE110</f>
        <v/>
      </c>
      <c r="F104" s="138" t="n">
        <f aca="false">Scoring!B110</f>
        <v>0</v>
      </c>
      <c r="G104" s="138" t="n">
        <f aca="false">Scoring!D110</f>
        <v>0</v>
      </c>
      <c r="H104" s="138" t="str">
        <f aca="false">Scoring!BD110</f>
        <v/>
      </c>
      <c r="I104" s="140" t="str">
        <f aca="false">Scoring!BC110</f>
        <v/>
      </c>
    </row>
    <row r="105" customFormat="false" ht="15.75" hidden="false" customHeight="false" outlineLevel="0" collapsed="false">
      <c r="A105" s="138" t="str">
        <f aca="false">Scoring!BF111</f>
        <v/>
      </c>
      <c r="B105" s="138" t="str">
        <f aca="false">Scoring!BE111</f>
        <v/>
      </c>
      <c r="C105" s="138" t="n">
        <f aca="false">Scoring!C111</f>
        <v>0</v>
      </c>
      <c r="D105" s="139" t="str">
        <f aca="false">Scoring!BB111</f>
        <v/>
      </c>
      <c r="E105" s="138" t="str">
        <f aca="false">Scoring!AE111</f>
        <v/>
      </c>
      <c r="F105" s="138" t="n">
        <f aca="false">Scoring!B111</f>
        <v>0</v>
      </c>
      <c r="G105" s="138" t="n">
        <f aca="false">Scoring!D111</f>
        <v>0</v>
      </c>
      <c r="H105" s="138" t="str">
        <f aca="false">Scoring!BD111</f>
        <v/>
      </c>
      <c r="I105" s="140" t="str">
        <f aca="false">Scoring!BC111</f>
        <v/>
      </c>
    </row>
    <row r="106" customFormat="false" ht="15.75" hidden="false" customHeight="false" outlineLevel="0" collapsed="false">
      <c r="A106" s="138" t="str">
        <f aca="false">Scoring!BF112</f>
        <v/>
      </c>
      <c r="B106" s="138" t="str">
        <f aca="false">Scoring!BE112</f>
        <v/>
      </c>
      <c r="C106" s="138" t="n">
        <f aca="false">Scoring!C112</f>
        <v>0</v>
      </c>
      <c r="D106" s="139" t="str">
        <f aca="false">Scoring!BB112</f>
        <v/>
      </c>
      <c r="E106" s="138" t="str">
        <f aca="false">Scoring!AE112</f>
        <v/>
      </c>
      <c r="F106" s="138" t="n">
        <f aca="false">Scoring!B112</f>
        <v>0</v>
      </c>
      <c r="G106" s="138" t="n">
        <f aca="false">Scoring!D112</f>
        <v>0</v>
      </c>
      <c r="H106" s="138" t="str">
        <f aca="false">Scoring!BD112</f>
        <v/>
      </c>
      <c r="I106" s="140" t="str">
        <f aca="false">Scoring!BC112</f>
        <v/>
      </c>
    </row>
    <row r="107" customFormat="false" ht="15.75" hidden="false" customHeight="false" outlineLevel="0" collapsed="false">
      <c r="A107" s="138" t="str">
        <f aca="false">Scoring!BF113</f>
        <v/>
      </c>
      <c r="B107" s="138" t="str">
        <f aca="false">Scoring!BE113</f>
        <v/>
      </c>
      <c r="C107" s="138" t="n">
        <f aca="false">Scoring!C113</f>
        <v>0</v>
      </c>
      <c r="D107" s="139" t="str">
        <f aca="false">Scoring!BB113</f>
        <v/>
      </c>
      <c r="E107" s="138" t="str">
        <f aca="false">Scoring!AE113</f>
        <v/>
      </c>
      <c r="F107" s="138" t="n">
        <f aca="false">Scoring!B113</f>
        <v>0</v>
      </c>
      <c r="G107" s="138" t="n">
        <f aca="false">Scoring!D113</f>
        <v>0</v>
      </c>
      <c r="H107" s="138" t="str">
        <f aca="false">Scoring!BD113</f>
        <v/>
      </c>
      <c r="I107" s="140" t="str">
        <f aca="false">Scoring!BC113</f>
        <v/>
      </c>
    </row>
    <row r="108" customFormat="false" ht="15.75" hidden="false" customHeight="false" outlineLevel="0" collapsed="false">
      <c r="A108" s="138" t="str">
        <f aca="false">Scoring!BF114</f>
        <v/>
      </c>
      <c r="B108" s="138" t="str">
        <f aca="false">Scoring!BE114</f>
        <v/>
      </c>
      <c r="C108" s="138" t="n">
        <f aca="false">Scoring!C114</f>
        <v>0</v>
      </c>
      <c r="D108" s="139" t="str">
        <f aca="false">Scoring!BB114</f>
        <v/>
      </c>
      <c r="E108" s="138" t="str">
        <f aca="false">Scoring!AE114</f>
        <v/>
      </c>
      <c r="F108" s="138" t="n">
        <f aca="false">Scoring!B114</f>
        <v>0</v>
      </c>
      <c r="G108" s="138" t="n">
        <f aca="false">Scoring!D114</f>
        <v>0</v>
      </c>
      <c r="H108" s="138" t="str">
        <f aca="false">Scoring!BD114</f>
        <v/>
      </c>
      <c r="I108" s="140" t="str">
        <f aca="false">Scoring!BC114</f>
        <v/>
      </c>
    </row>
    <row r="109" customFormat="false" ht="15.75" hidden="false" customHeight="false" outlineLevel="0" collapsed="false">
      <c r="A109" s="138" t="str">
        <f aca="false">Scoring!BF115</f>
        <v/>
      </c>
      <c r="B109" s="138" t="str">
        <f aca="false">Scoring!BE115</f>
        <v/>
      </c>
      <c r="C109" s="138" t="n">
        <f aca="false">Scoring!C115</f>
        <v>0</v>
      </c>
      <c r="D109" s="139" t="str">
        <f aca="false">Scoring!BB115</f>
        <v/>
      </c>
      <c r="E109" s="138" t="str">
        <f aca="false">Scoring!AE115</f>
        <v/>
      </c>
      <c r="F109" s="138" t="n">
        <f aca="false">Scoring!B115</f>
        <v>0</v>
      </c>
      <c r="G109" s="138" t="n">
        <f aca="false">Scoring!D115</f>
        <v>0</v>
      </c>
      <c r="H109" s="138" t="str">
        <f aca="false">Scoring!BD115</f>
        <v/>
      </c>
      <c r="I109" s="140" t="str">
        <f aca="false">Scoring!BC115</f>
        <v/>
      </c>
    </row>
    <row r="110" customFormat="false" ht="15.75" hidden="false" customHeight="false" outlineLevel="0" collapsed="false">
      <c r="A110" s="138" t="str">
        <f aca="false">Scoring!BF116</f>
        <v/>
      </c>
      <c r="B110" s="138" t="str">
        <f aca="false">Scoring!BE116</f>
        <v/>
      </c>
      <c r="C110" s="138" t="n">
        <f aca="false">Scoring!C116</f>
        <v>0</v>
      </c>
      <c r="D110" s="139" t="str">
        <f aca="false">Scoring!BB116</f>
        <v/>
      </c>
      <c r="E110" s="138" t="str">
        <f aca="false">Scoring!AE116</f>
        <v/>
      </c>
      <c r="F110" s="138" t="n">
        <f aca="false">Scoring!B116</f>
        <v>0</v>
      </c>
      <c r="G110" s="138" t="n">
        <f aca="false">Scoring!D116</f>
        <v>0</v>
      </c>
      <c r="H110" s="138" t="str">
        <f aca="false">Scoring!BD116</f>
        <v/>
      </c>
      <c r="I110" s="140" t="str">
        <f aca="false">Scoring!BC116</f>
        <v/>
      </c>
    </row>
    <row r="111" customFormat="false" ht="15.75" hidden="false" customHeight="false" outlineLevel="0" collapsed="false">
      <c r="A111" s="138" t="str">
        <f aca="false">Scoring!BF117</f>
        <v/>
      </c>
      <c r="B111" s="138" t="str">
        <f aca="false">Scoring!BE117</f>
        <v/>
      </c>
      <c r="C111" s="138" t="n">
        <f aca="false">Scoring!C117</f>
        <v>0</v>
      </c>
      <c r="D111" s="139" t="str">
        <f aca="false">Scoring!BB117</f>
        <v/>
      </c>
      <c r="E111" s="138" t="str">
        <f aca="false">Scoring!AE117</f>
        <v/>
      </c>
      <c r="F111" s="138" t="n">
        <f aca="false">Scoring!B117</f>
        <v>0</v>
      </c>
      <c r="G111" s="138" t="n">
        <f aca="false">Scoring!D117</f>
        <v>0</v>
      </c>
      <c r="H111" s="138" t="str">
        <f aca="false">Scoring!BD117</f>
        <v/>
      </c>
      <c r="I111" s="140" t="str">
        <f aca="false">Scoring!BC117</f>
        <v/>
      </c>
    </row>
    <row r="112" customFormat="false" ht="15.75" hidden="false" customHeight="false" outlineLevel="0" collapsed="false">
      <c r="A112" s="138" t="str">
        <f aca="false">Scoring!BF118</f>
        <v/>
      </c>
      <c r="B112" s="138" t="str">
        <f aca="false">Scoring!BE118</f>
        <v/>
      </c>
      <c r="C112" s="138" t="n">
        <f aca="false">Scoring!C118</f>
        <v>0</v>
      </c>
      <c r="D112" s="139" t="str">
        <f aca="false">Scoring!BB118</f>
        <v/>
      </c>
      <c r="E112" s="138" t="str">
        <f aca="false">Scoring!AE118</f>
        <v/>
      </c>
      <c r="F112" s="138" t="n">
        <f aca="false">Scoring!B118</f>
        <v>0</v>
      </c>
      <c r="G112" s="138" t="n">
        <f aca="false">Scoring!D118</f>
        <v>0</v>
      </c>
      <c r="H112" s="138" t="str">
        <f aca="false">Scoring!BD118</f>
        <v/>
      </c>
      <c r="I112" s="140" t="str">
        <f aca="false">Scoring!BC118</f>
        <v/>
      </c>
    </row>
    <row r="113" customFormat="false" ht="15.75" hidden="false" customHeight="false" outlineLevel="0" collapsed="false">
      <c r="A113" s="138" t="str">
        <f aca="false">Scoring!BF119</f>
        <v/>
      </c>
      <c r="B113" s="138" t="str">
        <f aca="false">Scoring!BE119</f>
        <v/>
      </c>
      <c r="C113" s="138" t="n">
        <f aca="false">Scoring!C119</f>
        <v>0</v>
      </c>
      <c r="D113" s="139" t="str">
        <f aca="false">Scoring!BB119</f>
        <v/>
      </c>
      <c r="E113" s="138" t="str">
        <f aca="false">Scoring!AE119</f>
        <v/>
      </c>
      <c r="F113" s="138" t="n">
        <f aca="false">Scoring!B119</f>
        <v>0</v>
      </c>
      <c r="G113" s="138" t="n">
        <f aca="false">Scoring!D119</f>
        <v>0</v>
      </c>
      <c r="H113" s="138" t="str">
        <f aca="false">Scoring!BD119</f>
        <v/>
      </c>
      <c r="I113" s="140" t="str">
        <f aca="false">Scoring!BC119</f>
        <v/>
      </c>
    </row>
    <row r="114" customFormat="false" ht="15.75" hidden="false" customHeight="false" outlineLevel="0" collapsed="false">
      <c r="A114" s="138" t="str">
        <f aca="false">Scoring!BF120</f>
        <v/>
      </c>
      <c r="B114" s="138" t="str">
        <f aca="false">Scoring!BE120</f>
        <v/>
      </c>
      <c r="C114" s="138" t="n">
        <f aca="false">Scoring!C120</f>
        <v>0</v>
      </c>
      <c r="D114" s="139" t="str">
        <f aca="false">Scoring!BB120</f>
        <v/>
      </c>
      <c r="E114" s="138" t="str">
        <f aca="false">Scoring!AE120</f>
        <v/>
      </c>
      <c r="F114" s="138" t="n">
        <f aca="false">Scoring!B120</f>
        <v>0</v>
      </c>
      <c r="G114" s="138" t="n">
        <f aca="false">Scoring!D120</f>
        <v>0</v>
      </c>
      <c r="H114" s="138" t="str">
        <f aca="false">Scoring!BD120</f>
        <v/>
      </c>
      <c r="I114" s="140" t="str">
        <f aca="false">Scoring!BC120</f>
        <v/>
      </c>
    </row>
    <row r="115" customFormat="false" ht="15.75" hidden="false" customHeight="false" outlineLevel="0" collapsed="false">
      <c r="A115" s="138" t="str">
        <f aca="false">Scoring!BF121</f>
        <v/>
      </c>
      <c r="B115" s="138" t="str">
        <f aca="false">Scoring!BE121</f>
        <v/>
      </c>
      <c r="C115" s="138" t="n">
        <f aca="false">Scoring!C121</f>
        <v>0</v>
      </c>
      <c r="D115" s="139" t="str">
        <f aca="false">Scoring!BB121</f>
        <v/>
      </c>
      <c r="E115" s="138" t="str">
        <f aca="false">Scoring!AE121</f>
        <v/>
      </c>
      <c r="F115" s="138" t="n">
        <f aca="false">Scoring!B121</f>
        <v>0</v>
      </c>
      <c r="G115" s="138" t="n">
        <f aca="false">Scoring!D121</f>
        <v>0</v>
      </c>
      <c r="H115" s="138" t="str">
        <f aca="false">Scoring!BD121</f>
        <v/>
      </c>
      <c r="I115" s="140" t="str">
        <f aca="false">Scoring!BC121</f>
        <v/>
      </c>
    </row>
    <row r="116" customFormat="false" ht="15.75" hidden="false" customHeight="false" outlineLevel="0" collapsed="false">
      <c r="A116" s="138" t="str">
        <f aca="false">Scoring!BF122</f>
        <v/>
      </c>
      <c r="B116" s="138" t="str">
        <f aca="false">Scoring!BE122</f>
        <v/>
      </c>
      <c r="C116" s="138" t="n">
        <f aca="false">Scoring!C122</f>
        <v>0</v>
      </c>
      <c r="D116" s="139" t="str">
        <f aca="false">Scoring!BB122</f>
        <v/>
      </c>
      <c r="E116" s="138" t="str">
        <f aca="false">Scoring!AE122</f>
        <v/>
      </c>
      <c r="F116" s="138" t="n">
        <f aca="false">Scoring!B122</f>
        <v>0</v>
      </c>
      <c r="G116" s="138" t="n">
        <f aca="false">Scoring!D122</f>
        <v>0</v>
      </c>
      <c r="H116" s="138" t="str">
        <f aca="false">Scoring!BD122</f>
        <v/>
      </c>
      <c r="I116" s="140" t="str">
        <f aca="false">Scoring!BC122</f>
        <v/>
      </c>
    </row>
    <row r="117" customFormat="false" ht="15.75" hidden="false" customHeight="false" outlineLevel="0" collapsed="false">
      <c r="A117" s="138" t="str">
        <f aca="false">Scoring!BF123</f>
        <v/>
      </c>
      <c r="B117" s="138" t="str">
        <f aca="false">Scoring!BE123</f>
        <v/>
      </c>
      <c r="C117" s="138" t="n">
        <f aca="false">Scoring!C123</f>
        <v>0</v>
      </c>
      <c r="D117" s="139" t="str">
        <f aca="false">Scoring!BB123</f>
        <v/>
      </c>
      <c r="E117" s="138" t="str">
        <f aca="false">Scoring!AE123</f>
        <v/>
      </c>
      <c r="F117" s="138" t="n">
        <f aca="false">Scoring!B123</f>
        <v>0</v>
      </c>
      <c r="G117" s="138" t="n">
        <f aca="false">Scoring!D123</f>
        <v>0</v>
      </c>
      <c r="H117" s="138" t="str">
        <f aca="false">Scoring!BD123</f>
        <v/>
      </c>
      <c r="I117" s="140" t="str">
        <f aca="false">Scoring!BC123</f>
        <v/>
      </c>
    </row>
    <row r="118" customFormat="false" ht="15.75" hidden="false" customHeight="false" outlineLevel="0" collapsed="false">
      <c r="A118" s="138" t="str">
        <f aca="false">Scoring!BF124</f>
        <v/>
      </c>
      <c r="B118" s="138" t="str">
        <f aca="false">Scoring!BE124</f>
        <v/>
      </c>
      <c r="C118" s="138" t="n">
        <f aca="false">Scoring!C124</f>
        <v>0</v>
      </c>
      <c r="D118" s="139" t="str">
        <f aca="false">Scoring!BB124</f>
        <v/>
      </c>
      <c r="E118" s="138" t="str">
        <f aca="false">Scoring!AE124</f>
        <v/>
      </c>
      <c r="F118" s="138" t="n">
        <f aca="false">Scoring!B124</f>
        <v>0</v>
      </c>
      <c r="G118" s="138" t="n">
        <f aca="false">Scoring!D124</f>
        <v>0</v>
      </c>
      <c r="H118" s="138" t="str">
        <f aca="false">Scoring!BD124</f>
        <v/>
      </c>
      <c r="I118" s="140" t="str">
        <f aca="false">Scoring!BC124</f>
        <v/>
      </c>
    </row>
    <row r="119" customFormat="false" ht="15.75" hidden="false" customHeight="false" outlineLevel="0" collapsed="false">
      <c r="A119" s="138" t="str">
        <f aca="false">Scoring!BF125</f>
        <v/>
      </c>
      <c r="B119" s="138" t="str">
        <f aca="false">Scoring!BE125</f>
        <v/>
      </c>
      <c r="C119" s="138" t="n">
        <f aca="false">Scoring!C125</f>
        <v>0</v>
      </c>
      <c r="D119" s="139" t="str">
        <f aca="false">Scoring!BB125</f>
        <v/>
      </c>
      <c r="E119" s="138" t="str">
        <f aca="false">Scoring!AE125</f>
        <v/>
      </c>
      <c r="F119" s="138" t="n">
        <f aca="false">Scoring!B125</f>
        <v>0</v>
      </c>
      <c r="G119" s="138" t="n">
        <f aca="false">Scoring!D125</f>
        <v>0</v>
      </c>
      <c r="H119" s="138" t="str">
        <f aca="false">Scoring!BD125</f>
        <v/>
      </c>
      <c r="I119" s="140" t="str">
        <f aca="false">Scoring!BC125</f>
        <v/>
      </c>
    </row>
    <row r="120" customFormat="false" ht="15.75" hidden="false" customHeight="false" outlineLevel="0" collapsed="false">
      <c r="A120" s="138" t="str">
        <f aca="false">Scoring!BF126</f>
        <v/>
      </c>
      <c r="B120" s="138" t="str">
        <f aca="false">Scoring!BE126</f>
        <v/>
      </c>
      <c r="C120" s="138" t="n">
        <f aca="false">Scoring!C126</f>
        <v>0</v>
      </c>
      <c r="D120" s="139" t="str">
        <f aca="false">Scoring!BB126</f>
        <v/>
      </c>
      <c r="E120" s="138" t="str">
        <f aca="false">Scoring!AE126</f>
        <v/>
      </c>
      <c r="F120" s="138" t="n">
        <f aca="false">Scoring!B126</f>
        <v>0</v>
      </c>
      <c r="G120" s="138" t="n">
        <f aca="false">Scoring!D126</f>
        <v>0</v>
      </c>
      <c r="H120" s="138" t="str">
        <f aca="false">Scoring!BD126</f>
        <v/>
      </c>
      <c r="I120" s="140" t="str">
        <f aca="false">Scoring!BC126</f>
        <v/>
      </c>
    </row>
    <row r="121" customFormat="false" ht="15.75" hidden="false" customHeight="false" outlineLevel="0" collapsed="false">
      <c r="A121" s="138" t="str">
        <f aca="false">Scoring!BF127</f>
        <v/>
      </c>
      <c r="B121" s="138" t="str">
        <f aca="false">Scoring!BE127</f>
        <v/>
      </c>
      <c r="C121" s="138" t="n">
        <f aca="false">Scoring!C127</f>
        <v>0</v>
      </c>
      <c r="D121" s="139" t="str">
        <f aca="false">Scoring!BB127</f>
        <v/>
      </c>
      <c r="E121" s="138" t="str">
        <f aca="false">Scoring!AE127</f>
        <v/>
      </c>
      <c r="F121" s="138" t="n">
        <f aca="false">Scoring!B127</f>
        <v>0</v>
      </c>
      <c r="G121" s="138" t="n">
        <f aca="false">Scoring!D127</f>
        <v>0</v>
      </c>
      <c r="H121" s="138" t="str">
        <f aca="false">Scoring!BD127</f>
        <v/>
      </c>
      <c r="I121" s="140" t="str">
        <f aca="false">Scoring!BC127</f>
        <v/>
      </c>
    </row>
    <row r="122" customFormat="false" ht="15.75" hidden="false" customHeight="false" outlineLevel="0" collapsed="false">
      <c r="A122" s="138" t="str">
        <f aca="false">Scoring!BF128</f>
        <v/>
      </c>
      <c r="B122" s="138" t="str">
        <f aca="false">Scoring!BE128</f>
        <v/>
      </c>
      <c r="C122" s="138" t="n">
        <f aca="false">Scoring!C128</f>
        <v>0</v>
      </c>
      <c r="D122" s="139" t="str">
        <f aca="false">Scoring!BB128</f>
        <v/>
      </c>
      <c r="E122" s="138" t="str">
        <f aca="false">Scoring!AE128</f>
        <v/>
      </c>
      <c r="F122" s="138" t="n">
        <f aca="false">Scoring!B128</f>
        <v>0</v>
      </c>
      <c r="G122" s="138" t="n">
        <f aca="false">Scoring!D128</f>
        <v>0</v>
      </c>
      <c r="H122" s="138" t="str">
        <f aca="false">Scoring!BD128</f>
        <v/>
      </c>
      <c r="I122" s="140" t="str">
        <f aca="false">Scoring!BC128</f>
        <v/>
      </c>
    </row>
    <row r="123" customFormat="false" ht="15.75" hidden="false" customHeight="false" outlineLevel="0" collapsed="false">
      <c r="A123" s="138" t="str">
        <f aca="false">Scoring!BF129</f>
        <v/>
      </c>
      <c r="B123" s="138" t="str">
        <f aca="false">Scoring!BE129</f>
        <v/>
      </c>
      <c r="C123" s="138" t="n">
        <f aca="false">Scoring!C129</f>
        <v>0</v>
      </c>
      <c r="D123" s="139" t="str">
        <f aca="false">Scoring!BB129</f>
        <v/>
      </c>
      <c r="E123" s="138" t="str">
        <f aca="false">Scoring!AE129</f>
        <v/>
      </c>
      <c r="F123" s="138" t="n">
        <f aca="false">Scoring!B129</f>
        <v>0</v>
      </c>
      <c r="G123" s="138" t="n">
        <f aca="false">Scoring!D129</f>
        <v>0</v>
      </c>
      <c r="H123" s="138" t="str">
        <f aca="false">Scoring!BD129</f>
        <v/>
      </c>
      <c r="I123" s="140" t="str">
        <f aca="false">Scoring!BC129</f>
        <v/>
      </c>
    </row>
    <row r="124" customFormat="false" ht="15.75" hidden="false" customHeight="false" outlineLevel="0" collapsed="false">
      <c r="A124" s="138" t="str">
        <f aca="false">Scoring!BF130</f>
        <v/>
      </c>
      <c r="B124" s="138" t="str">
        <f aca="false">Scoring!BE130</f>
        <v/>
      </c>
      <c r="C124" s="138" t="n">
        <f aca="false">Scoring!C130</f>
        <v>0</v>
      </c>
      <c r="D124" s="139" t="str">
        <f aca="false">Scoring!BB130</f>
        <v/>
      </c>
      <c r="E124" s="138" t="str">
        <f aca="false">Scoring!AE130</f>
        <v/>
      </c>
      <c r="F124" s="138" t="n">
        <f aca="false">Scoring!B130</f>
        <v>0</v>
      </c>
      <c r="G124" s="138" t="n">
        <f aca="false">Scoring!D130</f>
        <v>0</v>
      </c>
      <c r="H124" s="138" t="str">
        <f aca="false">Scoring!BD130</f>
        <v/>
      </c>
      <c r="I124" s="140" t="str">
        <f aca="false">Scoring!BC130</f>
        <v/>
      </c>
    </row>
    <row r="125" customFormat="false" ht="15.75" hidden="false" customHeight="false" outlineLevel="0" collapsed="false">
      <c r="A125" s="138" t="str">
        <f aca="false">Scoring!BF131</f>
        <v/>
      </c>
      <c r="B125" s="138" t="str">
        <f aca="false">Scoring!BE131</f>
        <v/>
      </c>
      <c r="C125" s="138" t="n">
        <f aca="false">Scoring!C131</f>
        <v>0</v>
      </c>
      <c r="D125" s="139" t="str">
        <f aca="false">Scoring!BB131</f>
        <v/>
      </c>
      <c r="E125" s="138" t="str">
        <f aca="false">Scoring!AE131</f>
        <v/>
      </c>
      <c r="F125" s="138" t="n">
        <f aca="false">Scoring!B131</f>
        <v>0</v>
      </c>
      <c r="G125" s="138" t="n">
        <f aca="false">Scoring!D131</f>
        <v>0</v>
      </c>
      <c r="H125" s="138" t="str">
        <f aca="false">Scoring!BD131</f>
        <v/>
      </c>
      <c r="I125" s="140" t="str">
        <f aca="false">Scoring!BC131</f>
        <v/>
      </c>
    </row>
    <row r="126" customFormat="false" ht="15.75" hidden="false" customHeight="false" outlineLevel="0" collapsed="false">
      <c r="A126" s="138" t="str">
        <f aca="false">Scoring!BF132</f>
        <v/>
      </c>
      <c r="B126" s="138" t="str">
        <f aca="false">Scoring!BE132</f>
        <v/>
      </c>
      <c r="C126" s="138" t="n">
        <f aca="false">Scoring!C132</f>
        <v>0</v>
      </c>
      <c r="D126" s="139" t="str">
        <f aca="false">Scoring!BB132</f>
        <v/>
      </c>
      <c r="E126" s="138" t="str">
        <f aca="false">Scoring!AE132</f>
        <v/>
      </c>
      <c r="F126" s="138" t="n">
        <f aca="false">Scoring!B132</f>
        <v>0</v>
      </c>
      <c r="G126" s="138" t="n">
        <f aca="false">Scoring!D132</f>
        <v>0</v>
      </c>
      <c r="H126" s="138" t="str">
        <f aca="false">Scoring!BD132</f>
        <v/>
      </c>
      <c r="I126" s="140" t="str">
        <f aca="false">Scoring!BC132</f>
        <v/>
      </c>
    </row>
    <row r="127" customFormat="false" ht="15.75" hidden="false" customHeight="false" outlineLevel="0" collapsed="false">
      <c r="A127" s="138" t="str">
        <f aca="false">Scoring!BF133</f>
        <v/>
      </c>
      <c r="B127" s="138" t="str">
        <f aca="false">Scoring!BE133</f>
        <v/>
      </c>
      <c r="C127" s="138" t="n">
        <f aca="false">Scoring!C133</f>
        <v>0</v>
      </c>
      <c r="D127" s="139" t="str">
        <f aca="false">Scoring!BB133</f>
        <v/>
      </c>
      <c r="E127" s="138" t="str">
        <f aca="false">Scoring!AE133</f>
        <v/>
      </c>
      <c r="F127" s="138" t="n">
        <f aca="false">Scoring!B133</f>
        <v>0</v>
      </c>
      <c r="G127" s="138" t="n">
        <f aca="false">Scoring!D133</f>
        <v>0</v>
      </c>
      <c r="H127" s="138" t="str">
        <f aca="false">Scoring!BD133</f>
        <v/>
      </c>
      <c r="I127" s="140" t="str">
        <f aca="false">Scoring!BC133</f>
        <v/>
      </c>
    </row>
    <row r="128" customFormat="false" ht="15.75" hidden="false" customHeight="false" outlineLevel="0" collapsed="false">
      <c r="A128" s="138" t="str">
        <f aca="false">Scoring!BF134</f>
        <v/>
      </c>
      <c r="B128" s="138" t="str">
        <f aca="false">Scoring!BE134</f>
        <v/>
      </c>
      <c r="C128" s="138" t="n">
        <f aca="false">Scoring!C134</f>
        <v>0</v>
      </c>
      <c r="D128" s="139" t="str">
        <f aca="false">Scoring!BB134</f>
        <v/>
      </c>
      <c r="E128" s="138" t="str">
        <f aca="false">Scoring!AE134</f>
        <v/>
      </c>
      <c r="F128" s="138" t="n">
        <f aca="false">Scoring!B134</f>
        <v>0</v>
      </c>
      <c r="G128" s="138" t="n">
        <f aca="false">Scoring!D134</f>
        <v>0</v>
      </c>
      <c r="H128" s="138" t="str">
        <f aca="false">Scoring!BD134</f>
        <v/>
      </c>
      <c r="I128" s="140" t="str">
        <f aca="false">Scoring!BC134</f>
        <v/>
      </c>
    </row>
    <row r="129" customFormat="false" ht="15.75" hidden="false" customHeight="false" outlineLevel="0" collapsed="false">
      <c r="A129" s="138" t="str">
        <f aca="false">Scoring!BF135</f>
        <v/>
      </c>
      <c r="B129" s="138" t="str">
        <f aca="false">Scoring!BE135</f>
        <v/>
      </c>
      <c r="C129" s="138" t="n">
        <f aca="false">Scoring!C135</f>
        <v>0</v>
      </c>
      <c r="D129" s="139" t="str">
        <f aca="false">Scoring!BB135</f>
        <v/>
      </c>
      <c r="E129" s="138" t="str">
        <f aca="false">Scoring!AE135</f>
        <v/>
      </c>
      <c r="F129" s="138" t="n">
        <f aca="false">Scoring!B135</f>
        <v>0</v>
      </c>
      <c r="G129" s="138" t="n">
        <f aca="false">Scoring!D135</f>
        <v>0</v>
      </c>
      <c r="H129" s="138" t="str">
        <f aca="false">Scoring!BD135</f>
        <v/>
      </c>
      <c r="I129" s="140" t="str">
        <f aca="false">Scoring!BC135</f>
        <v/>
      </c>
    </row>
    <row r="130" customFormat="false" ht="15.75" hidden="false" customHeight="false" outlineLevel="0" collapsed="false">
      <c r="A130" s="138" t="str">
        <f aca="false">Scoring!BF136</f>
        <v/>
      </c>
      <c r="B130" s="138" t="str">
        <f aca="false">Scoring!BE136</f>
        <v/>
      </c>
      <c r="C130" s="138" t="n">
        <f aca="false">Scoring!C136</f>
        <v>0</v>
      </c>
      <c r="D130" s="139" t="str">
        <f aca="false">Scoring!BB136</f>
        <v/>
      </c>
      <c r="E130" s="138" t="str">
        <f aca="false">Scoring!AE136</f>
        <v/>
      </c>
      <c r="F130" s="138" t="n">
        <f aca="false">Scoring!B136</f>
        <v>0</v>
      </c>
      <c r="G130" s="138" t="n">
        <f aca="false">Scoring!D136</f>
        <v>0</v>
      </c>
      <c r="H130" s="138" t="str">
        <f aca="false">Scoring!BD136</f>
        <v/>
      </c>
      <c r="I130" s="140" t="str">
        <f aca="false">Scoring!BC136</f>
        <v/>
      </c>
    </row>
    <row r="131" customFormat="false" ht="15.75" hidden="false" customHeight="false" outlineLevel="0" collapsed="false">
      <c r="A131" s="138" t="str">
        <f aca="false">Scoring!BF137</f>
        <v/>
      </c>
      <c r="B131" s="138" t="str">
        <f aca="false">Scoring!BE137</f>
        <v/>
      </c>
      <c r="C131" s="138" t="n">
        <f aca="false">Scoring!C137</f>
        <v>0</v>
      </c>
      <c r="D131" s="139" t="str">
        <f aca="false">Scoring!BB137</f>
        <v/>
      </c>
      <c r="E131" s="138" t="str">
        <f aca="false">Scoring!AE137</f>
        <v/>
      </c>
      <c r="F131" s="138" t="n">
        <f aca="false">Scoring!B137</f>
        <v>0</v>
      </c>
      <c r="G131" s="138" t="n">
        <f aca="false">Scoring!D137</f>
        <v>0</v>
      </c>
      <c r="H131" s="138" t="str">
        <f aca="false">Scoring!BD137</f>
        <v/>
      </c>
      <c r="I131" s="140" t="str">
        <f aca="false">Scoring!BC137</f>
        <v/>
      </c>
    </row>
    <row r="132" customFormat="false" ht="15.75" hidden="false" customHeight="false" outlineLevel="0" collapsed="false">
      <c r="A132" s="138" t="str">
        <f aca="false">Scoring!BF138</f>
        <v/>
      </c>
      <c r="B132" s="138" t="str">
        <f aca="false">Scoring!BE138</f>
        <v/>
      </c>
      <c r="C132" s="138" t="n">
        <f aca="false">Scoring!C138</f>
        <v>0</v>
      </c>
      <c r="D132" s="139" t="str">
        <f aca="false">Scoring!BB138</f>
        <v/>
      </c>
      <c r="E132" s="138" t="str">
        <f aca="false">Scoring!AE138</f>
        <v/>
      </c>
      <c r="F132" s="138" t="n">
        <f aca="false">Scoring!B138</f>
        <v>0</v>
      </c>
      <c r="G132" s="138" t="n">
        <f aca="false">Scoring!D138</f>
        <v>0</v>
      </c>
      <c r="H132" s="138" t="str">
        <f aca="false">Scoring!BD138</f>
        <v/>
      </c>
      <c r="I132" s="140" t="str">
        <f aca="false">Scoring!BC138</f>
        <v/>
      </c>
    </row>
    <row r="133" customFormat="false" ht="15.75" hidden="false" customHeight="false" outlineLevel="0" collapsed="false">
      <c r="A133" s="138" t="str">
        <f aca="false">Scoring!BF139</f>
        <v/>
      </c>
      <c r="B133" s="138" t="str">
        <f aca="false">Scoring!BE139</f>
        <v/>
      </c>
      <c r="C133" s="138" t="n">
        <f aca="false">Scoring!C139</f>
        <v>0</v>
      </c>
      <c r="D133" s="139" t="str">
        <f aca="false">Scoring!BB139</f>
        <v/>
      </c>
      <c r="E133" s="138" t="str">
        <f aca="false">Scoring!AE139</f>
        <v/>
      </c>
      <c r="F133" s="138" t="n">
        <f aca="false">Scoring!B139</f>
        <v>0</v>
      </c>
      <c r="G133" s="138" t="n">
        <f aca="false">Scoring!D139</f>
        <v>0</v>
      </c>
      <c r="H133" s="138" t="str">
        <f aca="false">Scoring!BD139</f>
        <v/>
      </c>
      <c r="I133" s="140" t="str">
        <f aca="false">Scoring!BC139</f>
        <v/>
      </c>
    </row>
    <row r="134" customFormat="false" ht="15.75" hidden="false" customHeight="false" outlineLevel="0" collapsed="false">
      <c r="A134" s="138" t="str">
        <f aca="false">Scoring!BF140</f>
        <v/>
      </c>
      <c r="B134" s="138" t="str">
        <f aca="false">Scoring!BE140</f>
        <v/>
      </c>
      <c r="C134" s="138" t="n">
        <f aca="false">Scoring!C140</f>
        <v>0</v>
      </c>
      <c r="D134" s="139" t="str">
        <f aca="false">Scoring!BB140</f>
        <v/>
      </c>
      <c r="E134" s="138" t="str">
        <f aca="false">Scoring!AE140</f>
        <v/>
      </c>
      <c r="F134" s="138" t="n">
        <f aca="false">Scoring!B140</f>
        <v>0</v>
      </c>
      <c r="G134" s="138" t="n">
        <f aca="false">Scoring!D140</f>
        <v>0</v>
      </c>
      <c r="H134" s="138" t="str">
        <f aca="false">Scoring!BD140</f>
        <v/>
      </c>
      <c r="I134" s="140" t="str">
        <f aca="false">Scoring!BC140</f>
        <v/>
      </c>
    </row>
    <row r="135" customFormat="false" ht="15.75" hidden="false" customHeight="false" outlineLevel="0" collapsed="false">
      <c r="A135" s="138" t="str">
        <f aca="false">Scoring!BF141</f>
        <v/>
      </c>
      <c r="B135" s="138" t="str">
        <f aca="false">Scoring!BE141</f>
        <v/>
      </c>
      <c r="C135" s="138" t="n">
        <f aca="false">Scoring!C141</f>
        <v>0</v>
      </c>
      <c r="D135" s="139" t="str">
        <f aca="false">Scoring!BB141</f>
        <v/>
      </c>
      <c r="E135" s="138" t="str">
        <f aca="false">Scoring!AE141</f>
        <v/>
      </c>
      <c r="F135" s="138" t="n">
        <f aca="false">Scoring!B141</f>
        <v>0</v>
      </c>
      <c r="G135" s="138" t="n">
        <f aca="false">Scoring!D141</f>
        <v>0</v>
      </c>
      <c r="H135" s="138" t="str">
        <f aca="false">Scoring!BD141</f>
        <v/>
      </c>
      <c r="I135" s="140" t="str">
        <f aca="false">Scoring!BC141</f>
        <v/>
      </c>
    </row>
    <row r="136" customFormat="false" ht="15.75" hidden="false" customHeight="false" outlineLevel="0" collapsed="false">
      <c r="A136" s="138" t="str">
        <f aca="false">Scoring!BF142</f>
        <v/>
      </c>
      <c r="B136" s="138" t="str">
        <f aca="false">Scoring!BE142</f>
        <v/>
      </c>
      <c r="C136" s="138" t="n">
        <f aca="false">Scoring!C142</f>
        <v>0</v>
      </c>
      <c r="D136" s="139" t="str">
        <f aca="false">Scoring!BB142</f>
        <v/>
      </c>
      <c r="E136" s="138" t="str">
        <f aca="false">Scoring!AE142</f>
        <v/>
      </c>
      <c r="F136" s="138" t="n">
        <f aca="false">Scoring!B142</f>
        <v>0</v>
      </c>
      <c r="G136" s="138" t="n">
        <f aca="false">Scoring!D142</f>
        <v>0</v>
      </c>
      <c r="H136" s="138" t="str">
        <f aca="false">Scoring!BD142</f>
        <v/>
      </c>
      <c r="I136" s="140" t="str">
        <f aca="false">Scoring!BC142</f>
        <v/>
      </c>
    </row>
    <row r="137" customFormat="false" ht="15.75" hidden="false" customHeight="false" outlineLevel="0" collapsed="false">
      <c r="A137" s="138" t="str">
        <f aca="false">Scoring!BF143</f>
        <v/>
      </c>
      <c r="B137" s="138" t="str">
        <f aca="false">Scoring!BE143</f>
        <v/>
      </c>
      <c r="C137" s="138" t="n">
        <f aca="false">Scoring!C143</f>
        <v>0</v>
      </c>
      <c r="D137" s="139" t="str">
        <f aca="false">Scoring!BB143</f>
        <v/>
      </c>
      <c r="E137" s="138" t="str">
        <f aca="false">Scoring!AE143</f>
        <v/>
      </c>
      <c r="F137" s="138" t="n">
        <f aca="false">Scoring!B143</f>
        <v>0</v>
      </c>
      <c r="G137" s="138" t="n">
        <f aca="false">Scoring!D143</f>
        <v>0</v>
      </c>
      <c r="H137" s="138" t="str">
        <f aca="false">Scoring!BD143</f>
        <v/>
      </c>
      <c r="I137" s="140" t="str">
        <f aca="false">Scoring!BC143</f>
        <v/>
      </c>
    </row>
    <row r="138" customFormat="false" ht="15.75" hidden="false" customHeight="false" outlineLevel="0" collapsed="false">
      <c r="A138" s="138" t="str">
        <f aca="false">Scoring!BF144</f>
        <v/>
      </c>
      <c r="B138" s="138" t="str">
        <f aca="false">Scoring!BE144</f>
        <v/>
      </c>
      <c r="C138" s="138" t="n">
        <f aca="false">Scoring!C144</f>
        <v>0</v>
      </c>
      <c r="D138" s="139" t="str">
        <f aca="false">Scoring!BB144</f>
        <v/>
      </c>
      <c r="E138" s="138" t="str">
        <f aca="false">Scoring!AE144</f>
        <v/>
      </c>
      <c r="F138" s="138" t="n">
        <f aca="false">Scoring!B144</f>
        <v>0</v>
      </c>
      <c r="G138" s="138" t="n">
        <f aca="false">Scoring!D144</f>
        <v>0</v>
      </c>
      <c r="H138" s="138" t="str">
        <f aca="false">Scoring!BD144</f>
        <v/>
      </c>
      <c r="I138" s="140" t="str">
        <f aca="false">Scoring!BC144</f>
        <v/>
      </c>
    </row>
    <row r="139" customFormat="false" ht="15.75" hidden="false" customHeight="false" outlineLevel="0" collapsed="false">
      <c r="A139" s="138" t="str">
        <f aca="false">Scoring!BF145</f>
        <v/>
      </c>
      <c r="B139" s="138" t="str">
        <f aca="false">Scoring!BE145</f>
        <v/>
      </c>
      <c r="C139" s="138" t="n">
        <f aca="false">Scoring!C145</f>
        <v>0</v>
      </c>
      <c r="D139" s="139" t="str">
        <f aca="false">Scoring!BB145</f>
        <v/>
      </c>
      <c r="E139" s="138" t="str">
        <f aca="false">Scoring!AE145</f>
        <v/>
      </c>
      <c r="F139" s="138" t="n">
        <f aca="false">Scoring!B145</f>
        <v>0</v>
      </c>
      <c r="G139" s="138" t="n">
        <f aca="false">Scoring!D145</f>
        <v>0</v>
      </c>
      <c r="H139" s="138" t="str">
        <f aca="false">Scoring!BD145</f>
        <v/>
      </c>
      <c r="I139" s="140" t="str">
        <f aca="false">Scoring!BC145</f>
        <v/>
      </c>
    </row>
    <row r="140" customFormat="false" ht="15.75" hidden="false" customHeight="false" outlineLevel="0" collapsed="false">
      <c r="A140" s="138" t="str">
        <f aca="false">Scoring!BF146</f>
        <v/>
      </c>
      <c r="B140" s="138" t="str">
        <f aca="false">Scoring!BE146</f>
        <v/>
      </c>
      <c r="C140" s="138" t="n">
        <f aca="false">Scoring!C146</f>
        <v>0</v>
      </c>
      <c r="D140" s="139" t="str">
        <f aca="false">Scoring!BB146</f>
        <v/>
      </c>
      <c r="E140" s="138" t="str">
        <f aca="false">Scoring!AE146</f>
        <v/>
      </c>
      <c r="F140" s="138" t="n">
        <f aca="false">Scoring!B146</f>
        <v>0</v>
      </c>
      <c r="G140" s="138" t="n">
        <f aca="false">Scoring!D146</f>
        <v>0</v>
      </c>
      <c r="H140" s="138" t="str">
        <f aca="false">Scoring!BD146</f>
        <v/>
      </c>
      <c r="I140" s="140" t="str">
        <f aca="false">Scoring!BC146</f>
        <v/>
      </c>
    </row>
    <row r="141" customFormat="false" ht="15.75" hidden="false" customHeight="false" outlineLevel="0" collapsed="false">
      <c r="A141" s="138" t="str">
        <f aca="false">Scoring!BF147</f>
        <v/>
      </c>
      <c r="B141" s="138" t="str">
        <f aca="false">Scoring!BE147</f>
        <v/>
      </c>
      <c r="C141" s="138" t="n">
        <f aca="false">Scoring!C147</f>
        <v>0</v>
      </c>
      <c r="D141" s="139" t="str">
        <f aca="false">Scoring!BB147</f>
        <v/>
      </c>
      <c r="E141" s="138" t="str">
        <f aca="false">Scoring!AE147</f>
        <v/>
      </c>
      <c r="F141" s="138" t="n">
        <f aca="false">Scoring!B147</f>
        <v>0</v>
      </c>
      <c r="G141" s="138" t="n">
        <f aca="false">Scoring!D147</f>
        <v>0</v>
      </c>
      <c r="H141" s="138" t="str">
        <f aca="false">Scoring!BD147</f>
        <v/>
      </c>
      <c r="I141" s="140" t="str">
        <f aca="false">Scoring!BC147</f>
        <v/>
      </c>
    </row>
    <row r="142" customFormat="false" ht="15.75" hidden="false" customHeight="false" outlineLevel="0" collapsed="false">
      <c r="A142" s="138" t="str">
        <f aca="false">Scoring!BF148</f>
        <v/>
      </c>
      <c r="B142" s="138" t="str">
        <f aca="false">Scoring!BE148</f>
        <v/>
      </c>
      <c r="C142" s="138" t="n">
        <f aca="false">Scoring!C148</f>
        <v>0</v>
      </c>
      <c r="D142" s="139" t="str">
        <f aca="false">Scoring!BB148</f>
        <v/>
      </c>
      <c r="E142" s="138" t="str">
        <f aca="false">Scoring!AE148</f>
        <v/>
      </c>
      <c r="F142" s="138" t="n">
        <f aca="false">Scoring!B148</f>
        <v>0</v>
      </c>
      <c r="G142" s="138" t="n">
        <f aca="false">Scoring!D148</f>
        <v>0</v>
      </c>
      <c r="H142" s="138" t="str">
        <f aca="false">Scoring!BD148</f>
        <v/>
      </c>
      <c r="I142" s="140" t="str">
        <f aca="false">Scoring!BC148</f>
        <v/>
      </c>
    </row>
    <row r="143" customFormat="false" ht="15.75" hidden="false" customHeight="false" outlineLevel="0" collapsed="false">
      <c r="A143" s="138" t="str">
        <f aca="false">Scoring!BF149</f>
        <v/>
      </c>
      <c r="B143" s="138" t="str">
        <f aca="false">Scoring!BE149</f>
        <v/>
      </c>
      <c r="C143" s="138" t="n">
        <f aca="false">Scoring!C149</f>
        <v>0</v>
      </c>
      <c r="D143" s="139" t="str">
        <f aca="false">Scoring!BB149</f>
        <v/>
      </c>
      <c r="E143" s="138" t="str">
        <f aca="false">Scoring!AE149</f>
        <v/>
      </c>
      <c r="F143" s="138" t="n">
        <f aca="false">Scoring!B149</f>
        <v>0</v>
      </c>
      <c r="G143" s="138" t="n">
        <f aca="false">Scoring!D149</f>
        <v>0</v>
      </c>
      <c r="H143" s="138" t="str">
        <f aca="false">Scoring!BD149</f>
        <v/>
      </c>
      <c r="I143" s="140" t="str">
        <f aca="false">Scoring!BC149</f>
        <v/>
      </c>
    </row>
    <row r="144" customFormat="false" ht="15.75" hidden="false" customHeight="false" outlineLevel="0" collapsed="false">
      <c r="A144" s="138" t="str">
        <f aca="false">Scoring!BF150</f>
        <v/>
      </c>
      <c r="B144" s="138" t="str">
        <f aca="false">Scoring!BE150</f>
        <v/>
      </c>
      <c r="C144" s="138" t="n">
        <f aca="false">Scoring!C150</f>
        <v>0</v>
      </c>
      <c r="D144" s="139" t="str">
        <f aca="false">Scoring!BB150</f>
        <v/>
      </c>
      <c r="E144" s="138" t="str">
        <f aca="false">Scoring!AE150</f>
        <v/>
      </c>
      <c r="F144" s="138" t="n">
        <f aca="false">Scoring!B150</f>
        <v>0</v>
      </c>
      <c r="G144" s="138" t="n">
        <f aca="false">Scoring!D150</f>
        <v>0</v>
      </c>
      <c r="H144" s="138" t="str">
        <f aca="false">Scoring!BD150</f>
        <v/>
      </c>
      <c r="I144" s="140" t="str">
        <f aca="false">Scoring!BC150</f>
        <v/>
      </c>
    </row>
    <row r="145" customFormat="false" ht="15.75" hidden="false" customHeight="false" outlineLevel="0" collapsed="false">
      <c r="A145" s="138" t="str">
        <f aca="false">Scoring!BF151</f>
        <v/>
      </c>
      <c r="B145" s="138" t="str">
        <f aca="false">Scoring!BE151</f>
        <v/>
      </c>
      <c r="C145" s="138" t="n">
        <f aca="false">Scoring!C151</f>
        <v>0</v>
      </c>
      <c r="D145" s="139" t="str">
        <f aca="false">Scoring!BB151</f>
        <v/>
      </c>
      <c r="E145" s="138" t="str">
        <f aca="false">Scoring!AE151</f>
        <v/>
      </c>
      <c r="F145" s="138" t="n">
        <f aca="false">Scoring!B151</f>
        <v>0</v>
      </c>
      <c r="G145" s="138" t="n">
        <f aca="false">Scoring!D151</f>
        <v>0</v>
      </c>
      <c r="H145" s="138" t="str">
        <f aca="false">Scoring!BD151</f>
        <v/>
      </c>
      <c r="I145" s="140" t="str">
        <f aca="false">Scoring!BC151</f>
        <v/>
      </c>
    </row>
    <row r="146" customFormat="false" ht="15.75" hidden="false" customHeight="false" outlineLevel="0" collapsed="false">
      <c r="A146" s="138" t="str">
        <f aca="false">Scoring!BF152</f>
        <v/>
      </c>
      <c r="B146" s="138" t="str">
        <f aca="false">Scoring!BE152</f>
        <v/>
      </c>
      <c r="C146" s="138" t="n">
        <f aca="false">Scoring!C152</f>
        <v>0</v>
      </c>
      <c r="D146" s="139" t="str">
        <f aca="false">Scoring!BB152</f>
        <v/>
      </c>
      <c r="E146" s="138" t="str">
        <f aca="false">Scoring!AE152</f>
        <v/>
      </c>
      <c r="F146" s="138" t="n">
        <f aca="false">Scoring!B152</f>
        <v>0</v>
      </c>
      <c r="G146" s="138" t="n">
        <f aca="false">Scoring!D152</f>
        <v>0</v>
      </c>
      <c r="H146" s="138" t="str">
        <f aca="false">Scoring!BD152</f>
        <v/>
      </c>
      <c r="I146" s="140" t="str">
        <f aca="false">Scoring!BC152</f>
        <v/>
      </c>
    </row>
    <row r="147" customFormat="false" ht="15.75" hidden="false" customHeight="false" outlineLevel="0" collapsed="false">
      <c r="A147" s="138" t="str">
        <f aca="false">Scoring!BF153</f>
        <v/>
      </c>
      <c r="B147" s="138" t="str">
        <f aca="false">Scoring!BE153</f>
        <v/>
      </c>
      <c r="C147" s="138" t="n">
        <f aca="false">Scoring!C153</f>
        <v>0</v>
      </c>
      <c r="D147" s="139" t="str">
        <f aca="false">Scoring!BB153</f>
        <v/>
      </c>
      <c r="E147" s="138" t="str">
        <f aca="false">Scoring!AE153</f>
        <v/>
      </c>
      <c r="F147" s="138" t="n">
        <f aca="false">Scoring!B153</f>
        <v>0</v>
      </c>
      <c r="G147" s="138" t="n">
        <f aca="false">Scoring!D153</f>
        <v>0</v>
      </c>
      <c r="H147" s="138" t="str">
        <f aca="false">Scoring!BD153</f>
        <v/>
      </c>
      <c r="I147" s="140" t="str">
        <f aca="false">Scoring!BC153</f>
        <v/>
      </c>
    </row>
    <row r="148" customFormat="false" ht="15.75" hidden="false" customHeight="false" outlineLevel="0" collapsed="false">
      <c r="A148" s="138" t="str">
        <f aca="false">Scoring!BF154</f>
        <v/>
      </c>
      <c r="B148" s="138" t="str">
        <f aca="false">Scoring!BE154</f>
        <v/>
      </c>
      <c r="C148" s="138" t="n">
        <f aca="false">Scoring!C154</f>
        <v>0</v>
      </c>
      <c r="D148" s="139" t="str">
        <f aca="false">Scoring!BB154</f>
        <v/>
      </c>
      <c r="E148" s="138" t="str">
        <f aca="false">Scoring!AE154</f>
        <v/>
      </c>
      <c r="F148" s="138" t="n">
        <f aca="false">Scoring!B154</f>
        <v>0</v>
      </c>
      <c r="G148" s="138" t="n">
        <f aca="false">Scoring!D154</f>
        <v>0</v>
      </c>
      <c r="H148" s="138" t="str">
        <f aca="false">Scoring!BD154</f>
        <v/>
      </c>
      <c r="I148" s="140" t="str">
        <f aca="false">Scoring!BC154</f>
        <v/>
      </c>
    </row>
    <row r="149" customFormat="false" ht="15.75" hidden="false" customHeight="false" outlineLevel="0" collapsed="false">
      <c r="A149" s="138" t="str">
        <f aca="false">Scoring!BF155</f>
        <v/>
      </c>
      <c r="B149" s="138" t="str">
        <f aca="false">Scoring!BE155</f>
        <v/>
      </c>
      <c r="C149" s="138" t="n">
        <f aca="false">Scoring!C155</f>
        <v>0</v>
      </c>
      <c r="D149" s="139" t="str">
        <f aca="false">Scoring!BB155</f>
        <v/>
      </c>
      <c r="E149" s="138" t="str">
        <f aca="false">Scoring!AE155</f>
        <v/>
      </c>
      <c r="F149" s="138" t="n">
        <f aca="false">Scoring!B155</f>
        <v>0</v>
      </c>
      <c r="G149" s="138" t="n">
        <f aca="false">Scoring!D155</f>
        <v>0</v>
      </c>
      <c r="H149" s="138" t="str">
        <f aca="false">Scoring!BD155</f>
        <v/>
      </c>
      <c r="I149" s="140" t="str">
        <f aca="false">Scoring!BC155</f>
        <v/>
      </c>
    </row>
    <row r="150" customFormat="false" ht="15.75" hidden="false" customHeight="false" outlineLevel="0" collapsed="false">
      <c r="A150" s="138" t="str">
        <f aca="false">Scoring!BF156</f>
        <v/>
      </c>
      <c r="B150" s="138" t="str">
        <f aca="false">Scoring!BE156</f>
        <v/>
      </c>
      <c r="C150" s="138" t="n">
        <f aca="false">Scoring!C156</f>
        <v>0</v>
      </c>
      <c r="D150" s="139" t="str">
        <f aca="false">Scoring!BB156</f>
        <v/>
      </c>
      <c r="E150" s="138" t="str">
        <f aca="false">Scoring!AE156</f>
        <v/>
      </c>
      <c r="F150" s="138" t="n">
        <f aca="false">Scoring!B156</f>
        <v>0</v>
      </c>
      <c r="G150" s="138" t="n">
        <f aca="false">Scoring!D156</f>
        <v>0</v>
      </c>
      <c r="H150" s="138" t="str">
        <f aca="false">Scoring!BD156</f>
        <v/>
      </c>
      <c r="I150" s="140" t="str">
        <f aca="false">Scoring!BC156</f>
        <v/>
      </c>
    </row>
    <row r="151" customFormat="false" ht="15.75" hidden="false" customHeight="false" outlineLevel="0" collapsed="false">
      <c r="A151" s="138" t="str">
        <f aca="false">Scoring!BF157</f>
        <v/>
      </c>
      <c r="B151" s="138" t="str">
        <f aca="false">Scoring!BE157</f>
        <v/>
      </c>
      <c r="C151" s="138" t="n">
        <f aca="false">Scoring!C157</f>
        <v>0</v>
      </c>
      <c r="D151" s="139" t="str">
        <f aca="false">Scoring!BB157</f>
        <v/>
      </c>
      <c r="E151" s="138" t="str">
        <f aca="false">Scoring!AE157</f>
        <v/>
      </c>
      <c r="F151" s="138" t="n">
        <f aca="false">Scoring!B157</f>
        <v>0</v>
      </c>
      <c r="G151" s="138" t="n">
        <f aca="false">Scoring!D157</f>
        <v>0</v>
      </c>
      <c r="H151" s="138" t="str">
        <f aca="false">Scoring!BD157</f>
        <v/>
      </c>
      <c r="I151" s="140" t="str">
        <f aca="false">Scoring!BC157</f>
        <v/>
      </c>
    </row>
    <row r="152" customFormat="false" ht="15.75" hidden="false" customHeight="false" outlineLevel="0" collapsed="false">
      <c r="A152" s="138" t="str">
        <f aca="false">Scoring!BF158</f>
        <v/>
      </c>
      <c r="B152" s="138" t="str">
        <f aca="false">Scoring!BE158</f>
        <v/>
      </c>
      <c r="C152" s="138" t="n">
        <f aca="false">Scoring!C158</f>
        <v>0</v>
      </c>
      <c r="D152" s="139" t="str">
        <f aca="false">Scoring!BB158</f>
        <v/>
      </c>
      <c r="E152" s="138" t="str">
        <f aca="false">Scoring!AE158</f>
        <v/>
      </c>
      <c r="F152" s="138" t="n">
        <f aca="false">Scoring!B158</f>
        <v>0</v>
      </c>
      <c r="G152" s="138" t="n">
        <f aca="false">Scoring!D158</f>
        <v>0</v>
      </c>
      <c r="H152" s="138" t="str">
        <f aca="false">Scoring!BD158</f>
        <v/>
      </c>
      <c r="I152" s="140" t="str">
        <f aca="false">Scoring!BC158</f>
        <v/>
      </c>
    </row>
    <row r="153" customFormat="false" ht="15.75" hidden="false" customHeight="false" outlineLevel="0" collapsed="false">
      <c r="A153" s="138" t="str">
        <f aca="false">Scoring!BF159</f>
        <v/>
      </c>
      <c r="B153" s="138" t="str">
        <f aca="false">Scoring!BE159</f>
        <v/>
      </c>
      <c r="C153" s="138" t="n">
        <f aca="false">Scoring!C159</f>
        <v>0</v>
      </c>
      <c r="D153" s="139" t="str">
        <f aca="false">Scoring!BB159</f>
        <v/>
      </c>
      <c r="E153" s="138" t="str">
        <f aca="false">Scoring!AE159</f>
        <v/>
      </c>
      <c r="F153" s="138" t="n">
        <f aca="false">Scoring!B159</f>
        <v>0</v>
      </c>
      <c r="G153" s="138" t="n">
        <f aca="false">Scoring!D159</f>
        <v>0</v>
      </c>
      <c r="H153" s="138" t="str">
        <f aca="false">Scoring!BD159</f>
        <v/>
      </c>
      <c r="I153" s="140" t="str">
        <f aca="false">Scoring!BC159</f>
        <v/>
      </c>
    </row>
    <row r="154" customFormat="false" ht="15.75" hidden="false" customHeight="false" outlineLevel="0" collapsed="false">
      <c r="A154" s="138" t="str">
        <f aca="false">Scoring!BF160</f>
        <v/>
      </c>
      <c r="B154" s="138" t="str">
        <f aca="false">Scoring!BE160</f>
        <v/>
      </c>
      <c r="C154" s="138" t="n">
        <f aca="false">Scoring!C160</f>
        <v>0</v>
      </c>
      <c r="D154" s="139" t="str">
        <f aca="false">Scoring!BB160</f>
        <v/>
      </c>
      <c r="E154" s="138" t="str">
        <f aca="false">Scoring!AE160</f>
        <v/>
      </c>
      <c r="F154" s="138" t="n">
        <f aca="false">Scoring!B160</f>
        <v>0</v>
      </c>
      <c r="G154" s="138" t="n">
        <f aca="false">Scoring!D160</f>
        <v>0</v>
      </c>
      <c r="H154" s="138" t="str">
        <f aca="false">Scoring!BD160</f>
        <v/>
      </c>
      <c r="I154" s="140" t="str">
        <f aca="false">Scoring!BC160</f>
        <v/>
      </c>
    </row>
    <row r="155" customFormat="false" ht="15.75" hidden="false" customHeight="false" outlineLevel="0" collapsed="false">
      <c r="A155" s="138" t="str">
        <f aca="false">Scoring!BF161</f>
        <v/>
      </c>
      <c r="B155" s="138" t="str">
        <f aca="false">Scoring!BE161</f>
        <v/>
      </c>
      <c r="C155" s="138" t="n">
        <f aca="false">Scoring!C161</f>
        <v>0</v>
      </c>
      <c r="D155" s="139" t="str">
        <f aca="false">Scoring!BB161</f>
        <v/>
      </c>
      <c r="E155" s="138" t="str">
        <f aca="false">Scoring!AE161</f>
        <v/>
      </c>
      <c r="F155" s="138" t="n">
        <f aca="false">Scoring!B161</f>
        <v>0</v>
      </c>
      <c r="G155" s="138" t="n">
        <f aca="false">Scoring!D161</f>
        <v>0</v>
      </c>
      <c r="H155" s="138" t="str">
        <f aca="false">Scoring!BD161</f>
        <v/>
      </c>
      <c r="I155" s="140" t="str">
        <f aca="false">Scoring!BC161</f>
        <v/>
      </c>
    </row>
    <row r="156" customFormat="false" ht="15.75" hidden="false" customHeight="false" outlineLevel="0" collapsed="false">
      <c r="A156" s="138" t="str">
        <f aca="false">Scoring!BF162</f>
        <v/>
      </c>
      <c r="B156" s="138" t="str">
        <f aca="false">Scoring!BE162</f>
        <v/>
      </c>
      <c r="C156" s="138" t="n">
        <f aca="false">Scoring!C162</f>
        <v>0</v>
      </c>
      <c r="D156" s="139" t="str">
        <f aca="false">Scoring!BB162</f>
        <v/>
      </c>
      <c r="E156" s="138" t="str">
        <f aca="false">Scoring!AE162</f>
        <v/>
      </c>
      <c r="F156" s="138" t="n">
        <f aca="false">Scoring!B162</f>
        <v>0</v>
      </c>
      <c r="G156" s="138" t="n">
        <f aca="false">Scoring!D162</f>
        <v>0</v>
      </c>
      <c r="H156" s="138" t="str">
        <f aca="false">Scoring!BD162</f>
        <v/>
      </c>
      <c r="I156" s="140" t="str">
        <f aca="false">Scoring!BC162</f>
        <v/>
      </c>
    </row>
    <row r="157" customFormat="false" ht="15.75" hidden="false" customHeight="false" outlineLevel="0" collapsed="false">
      <c r="A157" s="138" t="str">
        <f aca="false">Scoring!BF163</f>
        <v/>
      </c>
      <c r="B157" s="138" t="str">
        <f aca="false">Scoring!BE163</f>
        <v/>
      </c>
      <c r="C157" s="138" t="n">
        <f aca="false">Scoring!C163</f>
        <v>0</v>
      </c>
      <c r="D157" s="139" t="str">
        <f aca="false">Scoring!BB163</f>
        <v/>
      </c>
      <c r="E157" s="138" t="str">
        <f aca="false">Scoring!AE163</f>
        <v/>
      </c>
      <c r="F157" s="138" t="n">
        <f aca="false">Scoring!B163</f>
        <v>0</v>
      </c>
      <c r="G157" s="138" t="n">
        <f aca="false">Scoring!D163</f>
        <v>0</v>
      </c>
      <c r="H157" s="138" t="str">
        <f aca="false">Scoring!BD163</f>
        <v/>
      </c>
      <c r="I157" s="140" t="str">
        <f aca="false">Scoring!BC163</f>
        <v/>
      </c>
    </row>
    <row r="158" customFormat="false" ht="15.75" hidden="false" customHeight="false" outlineLevel="0" collapsed="false">
      <c r="A158" s="138" t="str">
        <f aca="false">Scoring!BF164</f>
        <v/>
      </c>
      <c r="B158" s="138" t="str">
        <f aca="false">Scoring!BE164</f>
        <v/>
      </c>
      <c r="C158" s="138" t="n">
        <f aca="false">Scoring!C164</f>
        <v>0</v>
      </c>
      <c r="D158" s="139" t="str">
        <f aca="false">Scoring!BB164</f>
        <v/>
      </c>
      <c r="E158" s="138" t="str">
        <f aca="false">Scoring!AE164</f>
        <v/>
      </c>
      <c r="F158" s="138" t="n">
        <f aca="false">Scoring!B164</f>
        <v>0</v>
      </c>
      <c r="G158" s="138" t="n">
        <f aca="false">Scoring!D164</f>
        <v>0</v>
      </c>
      <c r="H158" s="138" t="str">
        <f aca="false">Scoring!BD164</f>
        <v/>
      </c>
      <c r="I158" s="140" t="str">
        <f aca="false">Scoring!BC164</f>
        <v/>
      </c>
    </row>
    <row r="159" customFormat="false" ht="15.75" hidden="false" customHeight="false" outlineLevel="0" collapsed="false">
      <c r="A159" s="138" t="str">
        <f aca="false">Scoring!BF165</f>
        <v/>
      </c>
      <c r="B159" s="138" t="str">
        <f aca="false">Scoring!BE165</f>
        <v/>
      </c>
      <c r="C159" s="138" t="n">
        <f aca="false">Scoring!C165</f>
        <v>0</v>
      </c>
      <c r="D159" s="139" t="str">
        <f aca="false">Scoring!BB165</f>
        <v/>
      </c>
      <c r="E159" s="138" t="str">
        <f aca="false">Scoring!AE165</f>
        <v/>
      </c>
      <c r="F159" s="138" t="n">
        <f aca="false">Scoring!B165</f>
        <v>0</v>
      </c>
      <c r="G159" s="138" t="n">
        <f aca="false">Scoring!D165</f>
        <v>0</v>
      </c>
      <c r="H159" s="138" t="str">
        <f aca="false">Scoring!BD165</f>
        <v/>
      </c>
      <c r="I159" s="140" t="str">
        <f aca="false">Scoring!BC165</f>
        <v/>
      </c>
    </row>
    <row r="160" customFormat="false" ht="15.75" hidden="false" customHeight="false" outlineLevel="0" collapsed="false">
      <c r="A160" s="138" t="str">
        <f aca="false">Scoring!BF166</f>
        <v/>
      </c>
      <c r="B160" s="138" t="str">
        <f aca="false">Scoring!BE166</f>
        <v/>
      </c>
      <c r="C160" s="138" t="n">
        <f aca="false">Scoring!C166</f>
        <v>0</v>
      </c>
      <c r="D160" s="139" t="str">
        <f aca="false">Scoring!BB166</f>
        <v/>
      </c>
      <c r="E160" s="138" t="str">
        <f aca="false">Scoring!AE166</f>
        <v/>
      </c>
      <c r="F160" s="138" t="n">
        <f aca="false">Scoring!B166</f>
        <v>0</v>
      </c>
      <c r="G160" s="138" t="n">
        <f aca="false">Scoring!D166</f>
        <v>0</v>
      </c>
      <c r="H160" s="138" t="str">
        <f aca="false">Scoring!BD166</f>
        <v/>
      </c>
      <c r="I160" s="140" t="str">
        <f aca="false">Scoring!BC166</f>
        <v/>
      </c>
    </row>
    <row r="161" customFormat="false" ht="15.75" hidden="false" customHeight="false" outlineLevel="0" collapsed="false">
      <c r="A161" s="138" t="str">
        <f aca="false">Scoring!BF167</f>
        <v/>
      </c>
      <c r="B161" s="138" t="str">
        <f aca="false">Scoring!BE167</f>
        <v/>
      </c>
      <c r="C161" s="138" t="n">
        <f aca="false">Scoring!C167</f>
        <v>0</v>
      </c>
      <c r="D161" s="139" t="str">
        <f aca="false">Scoring!BB167</f>
        <v/>
      </c>
      <c r="E161" s="138" t="str">
        <f aca="false">Scoring!AE167</f>
        <v/>
      </c>
      <c r="F161" s="138" t="n">
        <f aca="false">Scoring!B167</f>
        <v>0</v>
      </c>
      <c r="G161" s="138" t="n">
        <f aca="false">Scoring!D167</f>
        <v>0</v>
      </c>
      <c r="H161" s="138" t="str">
        <f aca="false">Scoring!BD167</f>
        <v/>
      </c>
      <c r="I161" s="140" t="str">
        <f aca="false">Scoring!BC167</f>
        <v/>
      </c>
    </row>
    <row r="162" customFormat="false" ht="15.75" hidden="false" customHeight="false" outlineLevel="0" collapsed="false">
      <c r="A162" s="138" t="str">
        <f aca="false">Scoring!BF168</f>
        <v/>
      </c>
      <c r="B162" s="138" t="str">
        <f aca="false">Scoring!BE168</f>
        <v/>
      </c>
      <c r="C162" s="138" t="n">
        <f aca="false">Scoring!C168</f>
        <v>0</v>
      </c>
      <c r="D162" s="139" t="str">
        <f aca="false">Scoring!BB168</f>
        <v/>
      </c>
      <c r="E162" s="138" t="str">
        <f aca="false">Scoring!AE168</f>
        <v/>
      </c>
      <c r="F162" s="138" t="n">
        <f aca="false">Scoring!B168</f>
        <v>0</v>
      </c>
      <c r="G162" s="138" t="n">
        <f aca="false">Scoring!D168</f>
        <v>0</v>
      </c>
      <c r="H162" s="138" t="str">
        <f aca="false">Scoring!BD168</f>
        <v/>
      </c>
      <c r="I162" s="140" t="str">
        <f aca="false">Scoring!BC168</f>
        <v/>
      </c>
    </row>
    <row r="163" customFormat="false" ht="15.75" hidden="false" customHeight="false" outlineLevel="0" collapsed="false">
      <c r="A163" s="138" t="str">
        <f aca="false">Scoring!BF169</f>
        <v/>
      </c>
      <c r="B163" s="138" t="str">
        <f aca="false">Scoring!BE169</f>
        <v/>
      </c>
      <c r="C163" s="138" t="n">
        <f aca="false">Scoring!C169</f>
        <v>0</v>
      </c>
      <c r="D163" s="139" t="str">
        <f aca="false">Scoring!BB169</f>
        <v/>
      </c>
      <c r="E163" s="138" t="str">
        <f aca="false">Scoring!AE169</f>
        <v/>
      </c>
      <c r="F163" s="138" t="n">
        <f aca="false">Scoring!B169</f>
        <v>0</v>
      </c>
      <c r="G163" s="138" t="n">
        <f aca="false">Scoring!D169</f>
        <v>0</v>
      </c>
      <c r="H163" s="138" t="str">
        <f aca="false">Scoring!BD169</f>
        <v/>
      </c>
      <c r="I163" s="140" t="str">
        <f aca="false">Scoring!BC169</f>
        <v/>
      </c>
    </row>
    <row r="164" customFormat="false" ht="15.75" hidden="false" customHeight="false" outlineLevel="0" collapsed="false">
      <c r="A164" s="138" t="str">
        <f aca="false">Scoring!BF170</f>
        <v/>
      </c>
      <c r="B164" s="138" t="str">
        <f aca="false">Scoring!BE170</f>
        <v/>
      </c>
      <c r="C164" s="138" t="n">
        <f aca="false">Scoring!C170</f>
        <v>0</v>
      </c>
      <c r="D164" s="139" t="str">
        <f aca="false">Scoring!BB170</f>
        <v/>
      </c>
      <c r="E164" s="138" t="str">
        <f aca="false">Scoring!AE170</f>
        <v/>
      </c>
      <c r="F164" s="138" t="n">
        <f aca="false">Scoring!B170</f>
        <v>0</v>
      </c>
      <c r="G164" s="138" t="n">
        <f aca="false">Scoring!D170</f>
        <v>0</v>
      </c>
      <c r="H164" s="138" t="str">
        <f aca="false">Scoring!BD170</f>
        <v/>
      </c>
      <c r="I164" s="140" t="str">
        <f aca="false">Scoring!BC170</f>
        <v/>
      </c>
    </row>
    <row r="165" customFormat="false" ht="15.75" hidden="false" customHeight="false" outlineLevel="0" collapsed="false">
      <c r="A165" s="138" t="str">
        <f aca="false">Scoring!BF171</f>
        <v/>
      </c>
      <c r="B165" s="138" t="str">
        <f aca="false">Scoring!BE171</f>
        <v/>
      </c>
      <c r="C165" s="138" t="n">
        <f aca="false">Scoring!C171</f>
        <v>0</v>
      </c>
      <c r="D165" s="139" t="str">
        <f aca="false">Scoring!BB171</f>
        <v/>
      </c>
      <c r="E165" s="138" t="str">
        <f aca="false">Scoring!AE171</f>
        <v/>
      </c>
      <c r="F165" s="138" t="n">
        <f aca="false">Scoring!B171</f>
        <v>0</v>
      </c>
      <c r="G165" s="138" t="n">
        <f aca="false">Scoring!D171</f>
        <v>0</v>
      </c>
      <c r="H165" s="138" t="str">
        <f aca="false">Scoring!BD171</f>
        <v/>
      </c>
      <c r="I165" s="140" t="str">
        <f aca="false">Scoring!BC171</f>
        <v/>
      </c>
    </row>
    <row r="166" customFormat="false" ht="15.75" hidden="false" customHeight="false" outlineLevel="0" collapsed="false">
      <c r="A166" s="138" t="str">
        <f aca="false">Scoring!BF172</f>
        <v/>
      </c>
      <c r="B166" s="138" t="str">
        <f aca="false">Scoring!BE172</f>
        <v/>
      </c>
      <c r="C166" s="138" t="n">
        <f aca="false">Scoring!C172</f>
        <v>0</v>
      </c>
      <c r="D166" s="139" t="str">
        <f aca="false">Scoring!BB172</f>
        <v/>
      </c>
      <c r="E166" s="138" t="str">
        <f aca="false">Scoring!AE172</f>
        <v/>
      </c>
      <c r="F166" s="138" t="n">
        <f aca="false">Scoring!B172</f>
        <v>0</v>
      </c>
      <c r="G166" s="138" t="n">
        <f aca="false">Scoring!D172</f>
        <v>0</v>
      </c>
      <c r="H166" s="138" t="str">
        <f aca="false">Scoring!BD172</f>
        <v/>
      </c>
      <c r="I166" s="140" t="str">
        <f aca="false">Scoring!BC172</f>
        <v/>
      </c>
    </row>
    <row r="167" customFormat="false" ht="15.75" hidden="false" customHeight="false" outlineLevel="0" collapsed="false">
      <c r="A167" s="138" t="str">
        <f aca="false">Scoring!BF173</f>
        <v/>
      </c>
      <c r="B167" s="138" t="str">
        <f aca="false">Scoring!BE173</f>
        <v/>
      </c>
      <c r="C167" s="138" t="n">
        <f aca="false">Scoring!C173</f>
        <v>0</v>
      </c>
      <c r="D167" s="139" t="str">
        <f aca="false">Scoring!BB173</f>
        <v/>
      </c>
      <c r="E167" s="138" t="str">
        <f aca="false">Scoring!AE173</f>
        <v/>
      </c>
      <c r="F167" s="138" t="n">
        <f aca="false">Scoring!B173</f>
        <v>0</v>
      </c>
      <c r="G167" s="138" t="n">
        <f aca="false">Scoring!D173</f>
        <v>0</v>
      </c>
      <c r="H167" s="138" t="str">
        <f aca="false">Scoring!BD173</f>
        <v/>
      </c>
      <c r="I167" s="140" t="str">
        <f aca="false">Scoring!BC173</f>
        <v/>
      </c>
    </row>
    <row r="168" customFormat="false" ht="15.75" hidden="false" customHeight="false" outlineLevel="0" collapsed="false">
      <c r="A168" s="138" t="str">
        <f aca="false">Scoring!BF174</f>
        <v/>
      </c>
      <c r="B168" s="138" t="str">
        <f aca="false">Scoring!BE174</f>
        <v/>
      </c>
      <c r="C168" s="138" t="n">
        <f aca="false">Scoring!C174</f>
        <v>0</v>
      </c>
      <c r="D168" s="139" t="str">
        <f aca="false">Scoring!BB174</f>
        <v/>
      </c>
      <c r="E168" s="138" t="str">
        <f aca="false">Scoring!AE174</f>
        <v/>
      </c>
      <c r="F168" s="138" t="n">
        <f aca="false">Scoring!B174</f>
        <v>0</v>
      </c>
      <c r="G168" s="138" t="n">
        <f aca="false">Scoring!D174</f>
        <v>0</v>
      </c>
      <c r="H168" s="138" t="str">
        <f aca="false">Scoring!BD174</f>
        <v/>
      </c>
      <c r="I168" s="140" t="str">
        <f aca="false">Scoring!BC174</f>
        <v/>
      </c>
    </row>
    <row r="169" customFormat="false" ht="15.75" hidden="false" customHeight="false" outlineLevel="0" collapsed="false">
      <c r="A169" s="138" t="str">
        <f aca="false">Scoring!BF175</f>
        <v/>
      </c>
      <c r="B169" s="138" t="str">
        <f aca="false">Scoring!BE175</f>
        <v/>
      </c>
      <c r="C169" s="138" t="n">
        <f aca="false">Scoring!C175</f>
        <v>0</v>
      </c>
      <c r="D169" s="139" t="str">
        <f aca="false">Scoring!BB175</f>
        <v/>
      </c>
      <c r="E169" s="138" t="str">
        <f aca="false">Scoring!AE175</f>
        <v/>
      </c>
      <c r="F169" s="138" t="n">
        <f aca="false">Scoring!B175</f>
        <v>0</v>
      </c>
      <c r="G169" s="138" t="n">
        <f aca="false">Scoring!D175</f>
        <v>0</v>
      </c>
      <c r="H169" s="138" t="str">
        <f aca="false">Scoring!BD175</f>
        <v/>
      </c>
      <c r="I169" s="140" t="str">
        <f aca="false">Scoring!BC175</f>
        <v/>
      </c>
    </row>
    <row r="170" customFormat="false" ht="15.75" hidden="false" customHeight="false" outlineLevel="0" collapsed="false">
      <c r="A170" s="138" t="str">
        <f aca="false">Scoring!BF176</f>
        <v/>
      </c>
      <c r="B170" s="138" t="str">
        <f aca="false">Scoring!BE176</f>
        <v/>
      </c>
      <c r="C170" s="138" t="n">
        <f aca="false">Scoring!C176</f>
        <v>0</v>
      </c>
      <c r="D170" s="139" t="str">
        <f aca="false">Scoring!BB176</f>
        <v/>
      </c>
      <c r="E170" s="138" t="str">
        <f aca="false">Scoring!AE176</f>
        <v/>
      </c>
      <c r="F170" s="138" t="n">
        <f aca="false">Scoring!B176</f>
        <v>0</v>
      </c>
      <c r="G170" s="138" t="n">
        <f aca="false">Scoring!D176</f>
        <v>0</v>
      </c>
      <c r="H170" s="138" t="str">
        <f aca="false">Scoring!BD176</f>
        <v/>
      </c>
      <c r="I170" s="140" t="str">
        <f aca="false">Scoring!BC176</f>
        <v/>
      </c>
    </row>
    <row r="171" customFormat="false" ht="15.75" hidden="false" customHeight="false" outlineLevel="0" collapsed="false">
      <c r="A171" s="138" t="str">
        <f aca="false">Scoring!BF177</f>
        <v/>
      </c>
      <c r="B171" s="138" t="str">
        <f aca="false">Scoring!BE177</f>
        <v/>
      </c>
      <c r="C171" s="138" t="n">
        <f aca="false">Scoring!C177</f>
        <v>0</v>
      </c>
      <c r="D171" s="139" t="str">
        <f aca="false">Scoring!BB177</f>
        <v/>
      </c>
      <c r="E171" s="138" t="str">
        <f aca="false">Scoring!AE177</f>
        <v/>
      </c>
      <c r="F171" s="138" t="n">
        <f aca="false">Scoring!B177</f>
        <v>0</v>
      </c>
      <c r="G171" s="138" t="n">
        <f aca="false">Scoring!D177</f>
        <v>0</v>
      </c>
      <c r="H171" s="138" t="str">
        <f aca="false">Scoring!BD177</f>
        <v/>
      </c>
      <c r="I171" s="140" t="str">
        <f aca="false">Scoring!BC177</f>
        <v/>
      </c>
    </row>
    <row r="172" customFormat="false" ht="15.75" hidden="false" customHeight="false" outlineLevel="0" collapsed="false">
      <c r="A172" s="138" t="str">
        <f aca="false">Scoring!BF178</f>
        <v/>
      </c>
      <c r="B172" s="138" t="str">
        <f aca="false">Scoring!BE178</f>
        <v/>
      </c>
      <c r="C172" s="138" t="n">
        <f aca="false">Scoring!C178</f>
        <v>0</v>
      </c>
      <c r="D172" s="139" t="str">
        <f aca="false">Scoring!BB178</f>
        <v/>
      </c>
      <c r="E172" s="138" t="str">
        <f aca="false">Scoring!AE178</f>
        <v/>
      </c>
      <c r="F172" s="138" t="n">
        <f aca="false">Scoring!B178</f>
        <v>0</v>
      </c>
      <c r="G172" s="138" t="n">
        <f aca="false">Scoring!D178</f>
        <v>0</v>
      </c>
      <c r="H172" s="138" t="str">
        <f aca="false">Scoring!BD178</f>
        <v/>
      </c>
      <c r="I172" s="140" t="str">
        <f aca="false">Scoring!BC178</f>
        <v/>
      </c>
    </row>
    <row r="173" customFormat="false" ht="15.75" hidden="false" customHeight="false" outlineLevel="0" collapsed="false">
      <c r="A173" s="138" t="str">
        <f aca="false">Scoring!BF179</f>
        <v/>
      </c>
      <c r="B173" s="138" t="str">
        <f aca="false">Scoring!BE179</f>
        <v/>
      </c>
      <c r="C173" s="138" t="n">
        <f aca="false">Scoring!C179</f>
        <v>0</v>
      </c>
      <c r="D173" s="139" t="str">
        <f aca="false">Scoring!BB179</f>
        <v/>
      </c>
      <c r="E173" s="138" t="str">
        <f aca="false">Scoring!AE179</f>
        <v/>
      </c>
      <c r="F173" s="138" t="n">
        <f aca="false">Scoring!B179</f>
        <v>0</v>
      </c>
      <c r="G173" s="138" t="n">
        <f aca="false">Scoring!D179</f>
        <v>0</v>
      </c>
      <c r="H173" s="138" t="str">
        <f aca="false">Scoring!BD179</f>
        <v/>
      </c>
      <c r="I173" s="140" t="str">
        <f aca="false">Scoring!BC179</f>
        <v/>
      </c>
    </row>
    <row r="174" customFormat="false" ht="15.75" hidden="false" customHeight="false" outlineLevel="0" collapsed="false">
      <c r="A174" s="138" t="str">
        <f aca="false">Scoring!BF180</f>
        <v/>
      </c>
      <c r="B174" s="138" t="str">
        <f aca="false">Scoring!BE180</f>
        <v/>
      </c>
      <c r="C174" s="138" t="n">
        <f aca="false">Scoring!C180</f>
        <v>0</v>
      </c>
      <c r="D174" s="139" t="str">
        <f aca="false">Scoring!BB180</f>
        <v/>
      </c>
      <c r="E174" s="138" t="str">
        <f aca="false">Scoring!AE180</f>
        <v/>
      </c>
      <c r="F174" s="138" t="n">
        <f aca="false">Scoring!B180</f>
        <v>0</v>
      </c>
      <c r="G174" s="138" t="n">
        <f aca="false">Scoring!D180</f>
        <v>0</v>
      </c>
      <c r="H174" s="138" t="str">
        <f aca="false">Scoring!BD180</f>
        <v/>
      </c>
      <c r="I174" s="140" t="str">
        <f aca="false">Scoring!BC180</f>
        <v/>
      </c>
    </row>
    <row r="175" customFormat="false" ht="15.75" hidden="false" customHeight="false" outlineLevel="0" collapsed="false">
      <c r="A175" s="138" t="str">
        <f aca="false">Scoring!BF181</f>
        <v/>
      </c>
      <c r="B175" s="138" t="str">
        <f aca="false">Scoring!BE181</f>
        <v/>
      </c>
      <c r="C175" s="138" t="n">
        <f aca="false">Scoring!C181</f>
        <v>0</v>
      </c>
      <c r="D175" s="139" t="str">
        <f aca="false">Scoring!BB181</f>
        <v/>
      </c>
      <c r="E175" s="138" t="str">
        <f aca="false">Scoring!AE181</f>
        <v/>
      </c>
      <c r="F175" s="138" t="n">
        <f aca="false">Scoring!B181</f>
        <v>0</v>
      </c>
      <c r="G175" s="138" t="n">
        <f aca="false">Scoring!D181</f>
        <v>0</v>
      </c>
      <c r="H175" s="138" t="str">
        <f aca="false">Scoring!BD181</f>
        <v/>
      </c>
      <c r="I175" s="140" t="str">
        <f aca="false">Scoring!BC181</f>
        <v/>
      </c>
    </row>
    <row r="176" customFormat="false" ht="15.75" hidden="false" customHeight="false" outlineLevel="0" collapsed="false">
      <c r="A176" s="138" t="str">
        <f aca="false">Scoring!BF182</f>
        <v/>
      </c>
      <c r="B176" s="138" t="str">
        <f aca="false">Scoring!BE182</f>
        <v/>
      </c>
      <c r="C176" s="138" t="n">
        <f aca="false">Scoring!C182</f>
        <v>0</v>
      </c>
      <c r="D176" s="139" t="str">
        <f aca="false">Scoring!BB182</f>
        <v/>
      </c>
      <c r="E176" s="138" t="str">
        <f aca="false">Scoring!AE182</f>
        <v/>
      </c>
      <c r="F176" s="138" t="n">
        <f aca="false">Scoring!B182</f>
        <v>0</v>
      </c>
      <c r="G176" s="138" t="n">
        <f aca="false">Scoring!D182</f>
        <v>0</v>
      </c>
      <c r="H176" s="138" t="str">
        <f aca="false">Scoring!BD182</f>
        <v/>
      </c>
      <c r="I176" s="140" t="str">
        <f aca="false">Scoring!BC182</f>
        <v/>
      </c>
    </row>
    <row r="177" customFormat="false" ht="15.75" hidden="false" customHeight="false" outlineLevel="0" collapsed="false">
      <c r="A177" s="138" t="str">
        <f aca="false">Scoring!BF183</f>
        <v/>
      </c>
      <c r="B177" s="138" t="str">
        <f aca="false">Scoring!BE183</f>
        <v/>
      </c>
      <c r="C177" s="138" t="n">
        <f aca="false">Scoring!C183</f>
        <v>0</v>
      </c>
      <c r="D177" s="139" t="str">
        <f aca="false">Scoring!BB183</f>
        <v/>
      </c>
      <c r="E177" s="138" t="str">
        <f aca="false">Scoring!AE183</f>
        <v/>
      </c>
      <c r="F177" s="138" t="n">
        <f aca="false">Scoring!B183</f>
        <v>0</v>
      </c>
      <c r="G177" s="138" t="n">
        <f aca="false">Scoring!D183</f>
        <v>0</v>
      </c>
      <c r="H177" s="138" t="str">
        <f aca="false">Scoring!BD183</f>
        <v/>
      </c>
      <c r="I177" s="140" t="str">
        <f aca="false">Scoring!BC183</f>
        <v/>
      </c>
    </row>
    <row r="178" customFormat="false" ht="15.75" hidden="false" customHeight="false" outlineLevel="0" collapsed="false">
      <c r="A178" s="138" t="str">
        <f aca="false">Scoring!BF184</f>
        <v/>
      </c>
      <c r="B178" s="138" t="str">
        <f aca="false">Scoring!BE184</f>
        <v/>
      </c>
      <c r="C178" s="138" t="n">
        <f aca="false">Scoring!C184</f>
        <v>0</v>
      </c>
      <c r="D178" s="139" t="str">
        <f aca="false">Scoring!BB184</f>
        <v/>
      </c>
      <c r="E178" s="138" t="str">
        <f aca="false">Scoring!AE184</f>
        <v/>
      </c>
      <c r="F178" s="138" t="n">
        <f aca="false">Scoring!B184</f>
        <v>0</v>
      </c>
      <c r="G178" s="138" t="n">
        <f aca="false">Scoring!D184</f>
        <v>0</v>
      </c>
      <c r="H178" s="138" t="str">
        <f aca="false">Scoring!BD184</f>
        <v/>
      </c>
      <c r="I178" s="140" t="str">
        <f aca="false">Scoring!BC184</f>
        <v/>
      </c>
    </row>
    <row r="179" customFormat="false" ht="15.75" hidden="false" customHeight="false" outlineLevel="0" collapsed="false">
      <c r="A179" s="138" t="str">
        <f aca="false">Scoring!BF185</f>
        <v/>
      </c>
      <c r="B179" s="138" t="str">
        <f aca="false">Scoring!BE185</f>
        <v/>
      </c>
      <c r="C179" s="138" t="n">
        <f aca="false">Scoring!C185</f>
        <v>0</v>
      </c>
      <c r="D179" s="139" t="str">
        <f aca="false">Scoring!BB185</f>
        <v/>
      </c>
      <c r="E179" s="138" t="str">
        <f aca="false">Scoring!AE185</f>
        <v/>
      </c>
      <c r="F179" s="138" t="n">
        <f aca="false">Scoring!B185</f>
        <v>0</v>
      </c>
      <c r="G179" s="138" t="n">
        <f aca="false">Scoring!D185</f>
        <v>0</v>
      </c>
      <c r="H179" s="138" t="str">
        <f aca="false">Scoring!BD185</f>
        <v/>
      </c>
      <c r="I179" s="140" t="str">
        <f aca="false">Scoring!BC185</f>
        <v/>
      </c>
    </row>
    <row r="180" customFormat="false" ht="15.75" hidden="false" customHeight="false" outlineLevel="0" collapsed="false">
      <c r="A180" s="138" t="str">
        <f aca="false">Scoring!BF186</f>
        <v/>
      </c>
      <c r="B180" s="138" t="str">
        <f aca="false">Scoring!BE186</f>
        <v/>
      </c>
      <c r="C180" s="138" t="n">
        <f aca="false">Scoring!C186</f>
        <v>0</v>
      </c>
      <c r="D180" s="139" t="str">
        <f aca="false">Scoring!BB186</f>
        <v/>
      </c>
      <c r="E180" s="138" t="str">
        <f aca="false">Scoring!AE186</f>
        <v/>
      </c>
      <c r="F180" s="138" t="n">
        <f aca="false">Scoring!B186</f>
        <v>0</v>
      </c>
      <c r="G180" s="138" t="n">
        <f aca="false">Scoring!D186</f>
        <v>0</v>
      </c>
      <c r="H180" s="138" t="str">
        <f aca="false">Scoring!BD186</f>
        <v/>
      </c>
      <c r="I180" s="140" t="str">
        <f aca="false">Scoring!BC186</f>
        <v/>
      </c>
    </row>
    <row r="181" customFormat="false" ht="15.75" hidden="false" customHeight="false" outlineLevel="0" collapsed="false">
      <c r="A181" s="138" t="str">
        <f aca="false">Scoring!BF187</f>
        <v/>
      </c>
      <c r="B181" s="138" t="str">
        <f aca="false">Scoring!BE187</f>
        <v/>
      </c>
      <c r="C181" s="138" t="n">
        <f aca="false">Scoring!C187</f>
        <v>0</v>
      </c>
      <c r="D181" s="139" t="str">
        <f aca="false">Scoring!BB187</f>
        <v/>
      </c>
      <c r="E181" s="138" t="str">
        <f aca="false">Scoring!AE187</f>
        <v/>
      </c>
      <c r="F181" s="138" t="n">
        <f aca="false">Scoring!B187</f>
        <v>0</v>
      </c>
      <c r="G181" s="138" t="n">
        <f aca="false">Scoring!D187</f>
        <v>0</v>
      </c>
      <c r="H181" s="138" t="str">
        <f aca="false">Scoring!BD187</f>
        <v/>
      </c>
      <c r="I181" s="140" t="str">
        <f aca="false">Scoring!BC187</f>
        <v/>
      </c>
    </row>
    <row r="182" customFormat="false" ht="15.75" hidden="false" customHeight="false" outlineLevel="0" collapsed="false">
      <c r="A182" s="138" t="str">
        <f aca="false">Scoring!BF188</f>
        <v/>
      </c>
      <c r="B182" s="138" t="str">
        <f aca="false">Scoring!BE188</f>
        <v/>
      </c>
      <c r="C182" s="138" t="n">
        <f aca="false">Scoring!C188</f>
        <v>0</v>
      </c>
      <c r="D182" s="139" t="str">
        <f aca="false">Scoring!BB188</f>
        <v/>
      </c>
      <c r="E182" s="138" t="str">
        <f aca="false">Scoring!AE188</f>
        <v/>
      </c>
      <c r="F182" s="138" t="n">
        <f aca="false">Scoring!B188</f>
        <v>0</v>
      </c>
      <c r="G182" s="138" t="n">
        <f aca="false">Scoring!D188</f>
        <v>0</v>
      </c>
      <c r="H182" s="138" t="str">
        <f aca="false">Scoring!BD188</f>
        <v/>
      </c>
      <c r="I182" s="140" t="str">
        <f aca="false">Scoring!BC188</f>
        <v/>
      </c>
    </row>
    <row r="183" customFormat="false" ht="15.75" hidden="false" customHeight="false" outlineLevel="0" collapsed="false">
      <c r="A183" s="138" t="str">
        <f aca="false">Scoring!BF189</f>
        <v/>
      </c>
      <c r="B183" s="138" t="str">
        <f aca="false">Scoring!BE189</f>
        <v/>
      </c>
      <c r="C183" s="138" t="n">
        <f aca="false">Scoring!C189</f>
        <v>0</v>
      </c>
      <c r="D183" s="139" t="str">
        <f aca="false">Scoring!BB189</f>
        <v/>
      </c>
      <c r="E183" s="138" t="str">
        <f aca="false">Scoring!AE189</f>
        <v/>
      </c>
      <c r="F183" s="138" t="n">
        <f aca="false">Scoring!B189</f>
        <v>0</v>
      </c>
      <c r="G183" s="138" t="n">
        <f aca="false">Scoring!D189</f>
        <v>0</v>
      </c>
      <c r="H183" s="138" t="str">
        <f aca="false">Scoring!BD189</f>
        <v/>
      </c>
      <c r="I183" s="140" t="str">
        <f aca="false">Scoring!BC189</f>
        <v/>
      </c>
    </row>
    <row r="184" customFormat="false" ht="15.75" hidden="false" customHeight="false" outlineLevel="0" collapsed="false">
      <c r="A184" s="138" t="str">
        <f aca="false">Scoring!BF190</f>
        <v/>
      </c>
      <c r="B184" s="138" t="str">
        <f aca="false">Scoring!BE190</f>
        <v/>
      </c>
      <c r="C184" s="138" t="n">
        <f aca="false">Scoring!C190</f>
        <v>0</v>
      </c>
      <c r="D184" s="139" t="str">
        <f aca="false">Scoring!BB190</f>
        <v/>
      </c>
      <c r="E184" s="138" t="str">
        <f aca="false">Scoring!AE190</f>
        <v/>
      </c>
      <c r="F184" s="138" t="n">
        <f aca="false">Scoring!B190</f>
        <v>0</v>
      </c>
      <c r="G184" s="138" t="n">
        <f aca="false">Scoring!D190</f>
        <v>0</v>
      </c>
      <c r="H184" s="138" t="str">
        <f aca="false">Scoring!BD190</f>
        <v/>
      </c>
      <c r="I184" s="140" t="str">
        <f aca="false">Scoring!BC190</f>
        <v/>
      </c>
    </row>
    <row r="185" customFormat="false" ht="15.75" hidden="false" customHeight="false" outlineLevel="0" collapsed="false">
      <c r="A185" s="138" t="str">
        <f aca="false">Scoring!BF191</f>
        <v/>
      </c>
      <c r="B185" s="138" t="str">
        <f aca="false">Scoring!BE191</f>
        <v/>
      </c>
      <c r="C185" s="138" t="n">
        <f aca="false">Scoring!C191</f>
        <v>0</v>
      </c>
      <c r="D185" s="139" t="str">
        <f aca="false">Scoring!BB191</f>
        <v/>
      </c>
      <c r="E185" s="138" t="str">
        <f aca="false">Scoring!AE191</f>
        <v/>
      </c>
      <c r="F185" s="138" t="n">
        <f aca="false">Scoring!B191</f>
        <v>0</v>
      </c>
      <c r="G185" s="138" t="n">
        <f aca="false">Scoring!D191</f>
        <v>0</v>
      </c>
      <c r="H185" s="138" t="str">
        <f aca="false">Scoring!BD191</f>
        <v/>
      </c>
      <c r="I185" s="140" t="str">
        <f aca="false">Scoring!BC191</f>
        <v/>
      </c>
    </row>
    <row r="186" customFormat="false" ht="15.75" hidden="false" customHeight="false" outlineLevel="0" collapsed="false">
      <c r="A186" s="138" t="str">
        <f aca="false">Scoring!BF192</f>
        <v/>
      </c>
      <c r="B186" s="138" t="str">
        <f aca="false">Scoring!BE192</f>
        <v/>
      </c>
      <c r="C186" s="138" t="n">
        <f aca="false">Scoring!C192</f>
        <v>0</v>
      </c>
      <c r="D186" s="139" t="str">
        <f aca="false">Scoring!BB192</f>
        <v/>
      </c>
      <c r="E186" s="138" t="str">
        <f aca="false">Scoring!AE192</f>
        <v/>
      </c>
      <c r="F186" s="138" t="n">
        <f aca="false">Scoring!B192</f>
        <v>0</v>
      </c>
      <c r="G186" s="138" t="n">
        <f aca="false">Scoring!D192</f>
        <v>0</v>
      </c>
      <c r="H186" s="138" t="str">
        <f aca="false">Scoring!BD192</f>
        <v/>
      </c>
      <c r="I186" s="140" t="str">
        <f aca="false">Scoring!BC192</f>
        <v/>
      </c>
    </row>
    <row r="187" customFormat="false" ht="15.75" hidden="false" customHeight="false" outlineLevel="0" collapsed="false">
      <c r="A187" s="138" t="str">
        <f aca="false">Scoring!BF193</f>
        <v/>
      </c>
      <c r="B187" s="138" t="str">
        <f aca="false">Scoring!BE193</f>
        <v/>
      </c>
      <c r="C187" s="138" t="n">
        <f aca="false">Scoring!C193</f>
        <v>0</v>
      </c>
      <c r="D187" s="139" t="str">
        <f aca="false">Scoring!BB193</f>
        <v/>
      </c>
      <c r="E187" s="138" t="str">
        <f aca="false">Scoring!AE193</f>
        <v/>
      </c>
      <c r="F187" s="138" t="n">
        <f aca="false">Scoring!B193</f>
        <v>0</v>
      </c>
      <c r="G187" s="138" t="n">
        <f aca="false">Scoring!D193</f>
        <v>0</v>
      </c>
      <c r="H187" s="138" t="str">
        <f aca="false">Scoring!BD193</f>
        <v/>
      </c>
      <c r="I187" s="140" t="str">
        <f aca="false">Scoring!BC193</f>
        <v/>
      </c>
    </row>
    <row r="188" customFormat="false" ht="15.75" hidden="false" customHeight="false" outlineLevel="0" collapsed="false">
      <c r="A188" s="138" t="str">
        <f aca="false">Scoring!BF194</f>
        <v/>
      </c>
      <c r="B188" s="138" t="str">
        <f aca="false">Scoring!BE194</f>
        <v/>
      </c>
      <c r="C188" s="138" t="n">
        <f aca="false">Scoring!C194</f>
        <v>0</v>
      </c>
      <c r="D188" s="139" t="str">
        <f aca="false">Scoring!BB194</f>
        <v/>
      </c>
      <c r="E188" s="138" t="str">
        <f aca="false">Scoring!AE194</f>
        <v/>
      </c>
      <c r="F188" s="138" t="n">
        <f aca="false">Scoring!B194</f>
        <v>0</v>
      </c>
      <c r="G188" s="138" t="n">
        <f aca="false">Scoring!D194</f>
        <v>0</v>
      </c>
      <c r="H188" s="138" t="str">
        <f aca="false">Scoring!BD194</f>
        <v/>
      </c>
      <c r="I188" s="140" t="str">
        <f aca="false">Scoring!BC194</f>
        <v/>
      </c>
    </row>
    <row r="189" customFormat="false" ht="15.75" hidden="false" customHeight="false" outlineLevel="0" collapsed="false">
      <c r="A189" s="138" t="str">
        <f aca="false">Scoring!BF195</f>
        <v/>
      </c>
      <c r="B189" s="138" t="str">
        <f aca="false">Scoring!BE195</f>
        <v/>
      </c>
      <c r="C189" s="138" t="n">
        <f aca="false">Scoring!C195</f>
        <v>0</v>
      </c>
      <c r="D189" s="139" t="str">
        <f aca="false">Scoring!BB195</f>
        <v/>
      </c>
      <c r="E189" s="138" t="str">
        <f aca="false">Scoring!AE195</f>
        <v/>
      </c>
      <c r="F189" s="138" t="n">
        <f aca="false">Scoring!B195</f>
        <v>0</v>
      </c>
      <c r="G189" s="138" t="n">
        <f aca="false">Scoring!D195</f>
        <v>0</v>
      </c>
      <c r="H189" s="138" t="str">
        <f aca="false">Scoring!BD195</f>
        <v/>
      </c>
      <c r="I189" s="140" t="str">
        <f aca="false">Scoring!BC195</f>
        <v/>
      </c>
    </row>
    <row r="190" customFormat="false" ht="15.75" hidden="false" customHeight="false" outlineLevel="0" collapsed="false">
      <c r="A190" s="138" t="str">
        <f aca="false">Scoring!BF196</f>
        <v/>
      </c>
      <c r="B190" s="138" t="str">
        <f aca="false">Scoring!BE196</f>
        <v/>
      </c>
      <c r="C190" s="138" t="n">
        <f aca="false">Scoring!C196</f>
        <v>0</v>
      </c>
      <c r="D190" s="139" t="str">
        <f aca="false">Scoring!BB196</f>
        <v/>
      </c>
      <c r="E190" s="138" t="str">
        <f aca="false">Scoring!AE196</f>
        <v/>
      </c>
      <c r="F190" s="138" t="n">
        <f aca="false">Scoring!B196</f>
        <v>0</v>
      </c>
      <c r="G190" s="138" t="n">
        <f aca="false">Scoring!D196</f>
        <v>0</v>
      </c>
      <c r="H190" s="138" t="str">
        <f aca="false">Scoring!BD196</f>
        <v/>
      </c>
      <c r="I190" s="140" t="str">
        <f aca="false">Scoring!BC196</f>
        <v/>
      </c>
    </row>
    <row r="191" customFormat="false" ht="15.75" hidden="false" customHeight="false" outlineLevel="0" collapsed="false">
      <c r="A191" s="138" t="str">
        <f aca="false">Scoring!BF197</f>
        <v/>
      </c>
      <c r="B191" s="138" t="str">
        <f aca="false">Scoring!BE197</f>
        <v/>
      </c>
      <c r="C191" s="138" t="n">
        <f aca="false">Scoring!C197</f>
        <v>0</v>
      </c>
      <c r="D191" s="139" t="str">
        <f aca="false">Scoring!BB197</f>
        <v/>
      </c>
      <c r="E191" s="138" t="str">
        <f aca="false">Scoring!AE197</f>
        <v/>
      </c>
      <c r="F191" s="138" t="n">
        <f aca="false">Scoring!B197</f>
        <v>0</v>
      </c>
      <c r="G191" s="138" t="n">
        <f aca="false">Scoring!D197</f>
        <v>0</v>
      </c>
      <c r="H191" s="138" t="str">
        <f aca="false">Scoring!BD197</f>
        <v/>
      </c>
      <c r="I191" s="140" t="str">
        <f aca="false">Scoring!BC197</f>
        <v/>
      </c>
    </row>
    <row r="192" customFormat="false" ht="15.75" hidden="false" customHeight="false" outlineLevel="0" collapsed="false">
      <c r="A192" s="138" t="str">
        <f aca="false">Scoring!BF198</f>
        <v/>
      </c>
      <c r="B192" s="138" t="str">
        <f aca="false">Scoring!BE198</f>
        <v/>
      </c>
      <c r="C192" s="138" t="n">
        <f aca="false">Scoring!C198</f>
        <v>0</v>
      </c>
      <c r="D192" s="139" t="str">
        <f aca="false">Scoring!BB198</f>
        <v/>
      </c>
      <c r="E192" s="138" t="str">
        <f aca="false">Scoring!AE198</f>
        <v/>
      </c>
      <c r="F192" s="138" t="n">
        <f aca="false">Scoring!B198</f>
        <v>0</v>
      </c>
      <c r="G192" s="138" t="n">
        <f aca="false">Scoring!D198</f>
        <v>0</v>
      </c>
      <c r="H192" s="138" t="str">
        <f aca="false">Scoring!BD198</f>
        <v/>
      </c>
      <c r="I192" s="140" t="str">
        <f aca="false">Scoring!BC198</f>
        <v/>
      </c>
    </row>
    <row r="193" customFormat="false" ht="15.75" hidden="false" customHeight="false" outlineLevel="0" collapsed="false">
      <c r="A193" s="138" t="str">
        <f aca="false">Scoring!BF199</f>
        <v/>
      </c>
      <c r="B193" s="138" t="str">
        <f aca="false">Scoring!BE199</f>
        <v/>
      </c>
      <c r="C193" s="138" t="n">
        <f aca="false">Scoring!C199</f>
        <v>0</v>
      </c>
      <c r="D193" s="139" t="str">
        <f aca="false">Scoring!BB199</f>
        <v/>
      </c>
      <c r="E193" s="138" t="str">
        <f aca="false">Scoring!AE199</f>
        <v/>
      </c>
      <c r="F193" s="138" t="n">
        <f aca="false">Scoring!B199</f>
        <v>0</v>
      </c>
      <c r="G193" s="138" t="n">
        <f aca="false">Scoring!D199</f>
        <v>0</v>
      </c>
      <c r="H193" s="138" t="str">
        <f aca="false">Scoring!BD199</f>
        <v/>
      </c>
      <c r="I193" s="140" t="str">
        <f aca="false">Scoring!BC199</f>
        <v/>
      </c>
    </row>
    <row r="194" customFormat="false" ht="15.75" hidden="false" customHeight="false" outlineLevel="0" collapsed="false">
      <c r="A194" s="138" t="str">
        <f aca="false">Scoring!BF200</f>
        <v/>
      </c>
      <c r="B194" s="138" t="str">
        <f aca="false">Scoring!BE200</f>
        <v/>
      </c>
      <c r="C194" s="138" t="n">
        <f aca="false">Scoring!C200</f>
        <v>0</v>
      </c>
      <c r="D194" s="139" t="str">
        <f aca="false">Scoring!BB200</f>
        <v/>
      </c>
      <c r="E194" s="138" t="str">
        <f aca="false">Scoring!AE200</f>
        <v/>
      </c>
      <c r="F194" s="138" t="n">
        <f aca="false">Scoring!B200</f>
        <v>0</v>
      </c>
      <c r="G194" s="138" t="n">
        <f aca="false">Scoring!D200</f>
        <v>0</v>
      </c>
      <c r="H194" s="138" t="str">
        <f aca="false">Scoring!BD200</f>
        <v/>
      </c>
      <c r="I194" s="140" t="str">
        <f aca="false">Scoring!BC200</f>
        <v/>
      </c>
    </row>
    <row r="195" customFormat="false" ht="15.75" hidden="false" customHeight="false" outlineLevel="0" collapsed="false">
      <c r="A195" s="138" t="str">
        <f aca="false">Scoring!BF201</f>
        <v/>
      </c>
      <c r="B195" s="138" t="str">
        <f aca="false">Scoring!BE201</f>
        <v/>
      </c>
      <c r="C195" s="138" t="n">
        <f aca="false">Scoring!C201</f>
        <v>0</v>
      </c>
      <c r="D195" s="139" t="str">
        <f aca="false">Scoring!BB201</f>
        <v/>
      </c>
      <c r="E195" s="138" t="str">
        <f aca="false">Scoring!AE201</f>
        <v/>
      </c>
      <c r="F195" s="138" t="n">
        <f aca="false">Scoring!B201</f>
        <v>0</v>
      </c>
      <c r="G195" s="138" t="n">
        <f aca="false">Scoring!D201</f>
        <v>0</v>
      </c>
      <c r="H195" s="138" t="str">
        <f aca="false">Scoring!BD201</f>
        <v/>
      </c>
      <c r="I195" s="140" t="str">
        <f aca="false">Scoring!BC201</f>
        <v/>
      </c>
    </row>
    <row r="196" customFormat="false" ht="15.75" hidden="false" customHeight="false" outlineLevel="0" collapsed="false">
      <c r="A196" s="138" t="str">
        <f aca="false">Scoring!BF202</f>
        <v/>
      </c>
      <c r="B196" s="138" t="str">
        <f aca="false">Scoring!BE202</f>
        <v/>
      </c>
      <c r="C196" s="138" t="n">
        <f aca="false">Scoring!C202</f>
        <v>0</v>
      </c>
      <c r="D196" s="139" t="str">
        <f aca="false">Scoring!BB202</f>
        <v/>
      </c>
      <c r="E196" s="138" t="str">
        <f aca="false">Scoring!AE202</f>
        <v/>
      </c>
      <c r="F196" s="138" t="n">
        <f aca="false">Scoring!B202</f>
        <v>0</v>
      </c>
      <c r="G196" s="138" t="n">
        <f aca="false">Scoring!D202</f>
        <v>0</v>
      </c>
      <c r="H196" s="138" t="str">
        <f aca="false">Scoring!BD202</f>
        <v/>
      </c>
      <c r="I196" s="140" t="str">
        <f aca="false">Scoring!BC202</f>
        <v/>
      </c>
    </row>
    <row r="197" customFormat="false" ht="15.75" hidden="false" customHeight="false" outlineLevel="0" collapsed="false">
      <c r="A197" s="138" t="str">
        <f aca="false">Scoring!BF203</f>
        <v/>
      </c>
      <c r="B197" s="138" t="str">
        <f aca="false">Scoring!BE203</f>
        <v/>
      </c>
      <c r="C197" s="138" t="n">
        <f aca="false">Scoring!C203</f>
        <v>0</v>
      </c>
      <c r="D197" s="139" t="str">
        <f aca="false">Scoring!BB203</f>
        <v/>
      </c>
      <c r="E197" s="138" t="str">
        <f aca="false">Scoring!AE203</f>
        <v/>
      </c>
      <c r="F197" s="138" t="n">
        <f aca="false">Scoring!B203</f>
        <v>0</v>
      </c>
      <c r="G197" s="138" t="n">
        <f aca="false">Scoring!D203</f>
        <v>0</v>
      </c>
      <c r="H197" s="138" t="str">
        <f aca="false">Scoring!BD203</f>
        <v/>
      </c>
      <c r="I197" s="140" t="str">
        <f aca="false">Scoring!BC203</f>
        <v/>
      </c>
    </row>
    <row r="198" customFormat="false" ht="15.75" hidden="false" customHeight="false" outlineLevel="0" collapsed="false">
      <c r="A198" s="138" t="str">
        <f aca="false">Scoring!BF204</f>
        <v/>
      </c>
      <c r="B198" s="138" t="str">
        <f aca="false">Scoring!BE204</f>
        <v/>
      </c>
      <c r="C198" s="138" t="n">
        <f aca="false">Scoring!C204</f>
        <v>0</v>
      </c>
      <c r="D198" s="139" t="str">
        <f aca="false">Scoring!BB204</f>
        <v/>
      </c>
      <c r="E198" s="138" t="str">
        <f aca="false">Scoring!AE204</f>
        <v/>
      </c>
      <c r="F198" s="138" t="n">
        <f aca="false">Scoring!B204</f>
        <v>0</v>
      </c>
      <c r="G198" s="138" t="n">
        <f aca="false">Scoring!D204</f>
        <v>0</v>
      </c>
      <c r="H198" s="138" t="str">
        <f aca="false">Scoring!BD204</f>
        <v/>
      </c>
      <c r="I198" s="140" t="str">
        <f aca="false">Scoring!BC204</f>
        <v/>
      </c>
    </row>
    <row r="199" customFormat="false" ht="15.75" hidden="false" customHeight="false" outlineLevel="0" collapsed="false">
      <c r="A199" s="138" t="str">
        <f aca="false">Scoring!BF205</f>
        <v/>
      </c>
      <c r="B199" s="138" t="str">
        <f aca="false">Scoring!BE205</f>
        <v/>
      </c>
      <c r="C199" s="138" t="n">
        <f aca="false">Scoring!C205</f>
        <v>0</v>
      </c>
      <c r="D199" s="139" t="str">
        <f aca="false">Scoring!BB205</f>
        <v/>
      </c>
      <c r="E199" s="138" t="str">
        <f aca="false">Scoring!AE205</f>
        <v/>
      </c>
      <c r="F199" s="138" t="n">
        <f aca="false">Scoring!B205</f>
        <v>0</v>
      </c>
      <c r="G199" s="138" t="n">
        <f aca="false">Scoring!D205</f>
        <v>0</v>
      </c>
      <c r="H199" s="138" t="str">
        <f aca="false">Scoring!BD205</f>
        <v/>
      </c>
      <c r="I199" s="140" t="str">
        <f aca="false">Scoring!BC205</f>
        <v/>
      </c>
    </row>
    <row r="200" customFormat="false" ht="15.75" hidden="false" customHeight="false" outlineLevel="0" collapsed="false">
      <c r="A200" s="138" t="str">
        <f aca="false">Scoring!BF206</f>
        <v/>
      </c>
      <c r="B200" s="138" t="str">
        <f aca="false">Scoring!BE206</f>
        <v/>
      </c>
      <c r="C200" s="138" t="n">
        <f aca="false">Scoring!C206</f>
        <v>0</v>
      </c>
      <c r="D200" s="139" t="str">
        <f aca="false">Scoring!BB206</f>
        <v/>
      </c>
      <c r="E200" s="138" t="str">
        <f aca="false">Scoring!AE206</f>
        <v/>
      </c>
      <c r="F200" s="138" t="n">
        <f aca="false">Scoring!B206</f>
        <v>0</v>
      </c>
      <c r="G200" s="138" t="n">
        <f aca="false">Scoring!D206</f>
        <v>0</v>
      </c>
      <c r="H200" s="138" t="str">
        <f aca="false">Scoring!BD206</f>
        <v/>
      </c>
      <c r="I200" s="140" t="str">
        <f aca="false">Scoring!BC206</f>
        <v/>
      </c>
    </row>
    <row r="201" customFormat="false" ht="15.75" hidden="false" customHeight="false" outlineLevel="0" collapsed="false">
      <c r="A201" s="138" t="str">
        <f aca="false">Scoring!BF207</f>
        <v/>
      </c>
      <c r="B201" s="138" t="str">
        <f aca="false">Scoring!BE207</f>
        <v/>
      </c>
      <c r="C201" s="138" t="n">
        <f aca="false">Scoring!C207</f>
        <v>0</v>
      </c>
      <c r="D201" s="139" t="str">
        <f aca="false">Scoring!BB207</f>
        <v/>
      </c>
      <c r="E201" s="138" t="str">
        <f aca="false">Scoring!AE207</f>
        <v/>
      </c>
      <c r="F201" s="138" t="n">
        <f aca="false">Scoring!B207</f>
        <v>0</v>
      </c>
      <c r="G201" s="138" t="n">
        <f aca="false">Scoring!D207</f>
        <v>0</v>
      </c>
      <c r="H201" s="138" t="str">
        <f aca="false">Scoring!BD207</f>
        <v/>
      </c>
      <c r="I201" s="140" t="str">
        <f aca="false">Scoring!BC207</f>
        <v/>
      </c>
    </row>
    <row r="202" customFormat="false" ht="15.75" hidden="false" customHeight="false" outlineLevel="0" collapsed="false">
      <c r="A202" s="138" t="str">
        <f aca="false">Scoring!BF208</f>
        <v/>
      </c>
      <c r="B202" s="138" t="str">
        <f aca="false">Scoring!BE208</f>
        <v/>
      </c>
      <c r="C202" s="138" t="n">
        <f aca="false">Scoring!C208</f>
        <v>0</v>
      </c>
      <c r="D202" s="139" t="str">
        <f aca="false">Scoring!BB208</f>
        <v/>
      </c>
      <c r="E202" s="138" t="str">
        <f aca="false">Scoring!AE208</f>
        <v/>
      </c>
      <c r="F202" s="138" t="n">
        <f aca="false">Scoring!B208</f>
        <v>0</v>
      </c>
      <c r="G202" s="138" t="n">
        <f aca="false">Scoring!D208</f>
        <v>0</v>
      </c>
      <c r="H202" s="138" t="str">
        <f aca="false">Scoring!BD208</f>
        <v/>
      </c>
      <c r="I202" s="140" t="str">
        <f aca="false">Scoring!BC208</f>
        <v/>
      </c>
    </row>
    <row r="203" customFormat="false" ht="15.75" hidden="false" customHeight="false" outlineLevel="0" collapsed="false">
      <c r="A203" s="138" t="str">
        <f aca="false">Scoring!BF209</f>
        <v/>
      </c>
      <c r="B203" s="138" t="str">
        <f aca="false">Scoring!BE209</f>
        <v/>
      </c>
      <c r="C203" s="138" t="n">
        <f aca="false">Scoring!C209</f>
        <v>0</v>
      </c>
      <c r="D203" s="139" t="str">
        <f aca="false">Scoring!BB209</f>
        <v/>
      </c>
      <c r="E203" s="138" t="str">
        <f aca="false">Scoring!AE209</f>
        <v/>
      </c>
      <c r="F203" s="138" t="n">
        <f aca="false">Scoring!B209</f>
        <v>0</v>
      </c>
      <c r="G203" s="138" t="n">
        <f aca="false">Scoring!D209</f>
        <v>0</v>
      </c>
      <c r="H203" s="138" t="str">
        <f aca="false">Scoring!BD209</f>
        <v/>
      </c>
      <c r="I203" s="140" t="str">
        <f aca="false">Scoring!BC209</f>
        <v/>
      </c>
    </row>
    <row r="204" customFormat="false" ht="15.75" hidden="false" customHeight="false" outlineLevel="0" collapsed="false">
      <c r="A204" s="138" t="str">
        <f aca="false">Scoring!BF210</f>
        <v/>
      </c>
      <c r="B204" s="138" t="str">
        <f aca="false">Scoring!BE210</f>
        <v/>
      </c>
      <c r="C204" s="138" t="n">
        <f aca="false">Scoring!C210</f>
        <v>0</v>
      </c>
      <c r="D204" s="139" t="str">
        <f aca="false">Scoring!BB210</f>
        <v/>
      </c>
      <c r="E204" s="138" t="str">
        <f aca="false">Scoring!AE210</f>
        <v/>
      </c>
      <c r="F204" s="138" t="n">
        <f aca="false">Scoring!B210</f>
        <v>0</v>
      </c>
      <c r="G204" s="138" t="n">
        <f aca="false">Scoring!D210</f>
        <v>0</v>
      </c>
      <c r="H204" s="138" t="str">
        <f aca="false">Scoring!BD210</f>
        <v/>
      </c>
      <c r="I204" s="140" t="str">
        <f aca="false">Scoring!BC210</f>
        <v/>
      </c>
    </row>
    <row r="205" customFormat="false" ht="15.75" hidden="false" customHeight="false" outlineLevel="0" collapsed="false">
      <c r="A205" s="138" t="str">
        <f aca="false">Scoring!BF211</f>
        <v/>
      </c>
      <c r="B205" s="138" t="str">
        <f aca="false">Scoring!BE211</f>
        <v/>
      </c>
      <c r="C205" s="138" t="n">
        <f aca="false">Scoring!C211</f>
        <v>0</v>
      </c>
      <c r="D205" s="139" t="str">
        <f aca="false">Scoring!BB211</f>
        <v/>
      </c>
      <c r="E205" s="138" t="str">
        <f aca="false">Scoring!AE211</f>
        <v/>
      </c>
      <c r="F205" s="138" t="n">
        <f aca="false">Scoring!B211</f>
        <v>0</v>
      </c>
      <c r="G205" s="138" t="n">
        <f aca="false">Scoring!D211</f>
        <v>0</v>
      </c>
      <c r="H205" s="138" t="str">
        <f aca="false">Scoring!BD211</f>
        <v/>
      </c>
      <c r="I205" s="140" t="str">
        <f aca="false">Scoring!BC211</f>
        <v/>
      </c>
    </row>
    <row r="206" customFormat="false" ht="15.75" hidden="false" customHeight="false" outlineLevel="0" collapsed="false">
      <c r="A206" s="138" t="str">
        <f aca="false">Scoring!BF212</f>
        <v/>
      </c>
      <c r="B206" s="138" t="str">
        <f aca="false">Scoring!BE212</f>
        <v/>
      </c>
      <c r="C206" s="138" t="n">
        <f aca="false">Scoring!C212</f>
        <v>0</v>
      </c>
      <c r="D206" s="139" t="str">
        <f aca="false">Scoring!BB212</f>
        <v/>
      </c>
      <c r="E206" s="138" t="str">
        <f aca="false">Scoring!AE212</f>
        <v/>
      </c>
      <c r="F206" s="138" t="n">
        <f aca="false">Scoring!B212</f>
        <v>0</v>
      </c>
      <c r="G206" s="138" t="n">
        <f aca="false">Scoring!D212</f>
        <v>0</v>
      </c>
      <c r="H206" s="138" t="str">
        <f aca="false">Scoring!BD212</f>
        <v/>
      </c>
      <c r="I206" s="140" t="str">
        <f aca="false">Scoring!BC212</f>
        <v/>
      </c>
    </row>
    <row r="207" customFormat="false" ht="15.75" hidden="false" customHeight="false" outlineLevel="0" collapsed="false">
      <c r="A207" s="138" t="str">
        <f aca="false">Scoring!BF213</f>
        <v/>
      </c>
      <c r="B207" s="138" t="str">
        <f aca="false">Scoring!BE213</f>
        <v/>
      </c>
      <c r="C207" s="138" t="n">
        <f aca="false">Scoring!C213</f>
        <v>0</v>
      </c>
      <c r="D207" s="139" t="str">
        <f aca="false">Scoring!BB213</f>
        <v/>
      </c>
      <c r="E207" s="138" t="str">
        <f aca="false">Scoring!AE213</f>
        <v/>
      </c>
      <c r="F207" s="138" t="n">
        <f aca="false">Scoring!B213</f>
        <v>0</v>
      </c>
      <c r="G207" s="138" t="n">
        <f aca="false">Scoring!D213</f>
        <v>0</v>
      </c>
      <c r="H207" s="138" t="str">
        <f aca="false">Scoring!BD213</f>
        <v/>
      </c>
      <c r="I207" s="140" t="str">
        <f aca="false">Scoring!BC213</f>
        <v/>
      </c>
    </row>
    <row r="208" customFormat="false" ht="15.75" hidden="false" customHeight="false" outlineLevel="0" collapsed="false">
      <c r="A208" s="138" t="str">
        <f aca="false">Scoring!BF214</f>
        <v/>
      </c>
      <c r="B208" s="138" t="str">
        <f aca="false">Scoring!BE214</f>
        <v/>
      </c>
      <c r="C208" s="138" t="n">
        <f aca="false">Scoring!C214</f>
        <v>0</v>
      </c>
      <c r="D208" s="139" t="str">
        <f aca="false">Scoring!BB214</f>
        <v/>
      </c>
      <c r="E208" s="138" t="str">
        <f aca="false">Scoring!AE214</f>
        <v/>
      </c>
      <c r="F208" s="138" t="n">
        <f aca="false">Scoring!B214</f>
        <v>0</v>
      </c>
      <c r="G208" s="138" t="n">
        <f aca="false">Scoring!D214</f>
        <v>0</v>
      </c>
      <c r="H208" s="138" t="str">
        <f aca="false">Scoring!BD214</f>
        <v/>
      </c>
      <c r="I208" s="140" t="str">
        <f aca="false">Scoring!BC214</f>
        <v/>
      </c>
    </row>
    <row r="209" customFormat="false" ht="15.75" hidden="false" customHeight="false" outlineLevel="0" collapsed="false">
      <c r="A209" s="138" t="str">
        <f aca="false">Scoring!BF215</f>
        <v/>
      </c>
      <c r="B209" s="138" t="str">
        <f aca="false">Scoring!BE215</f>
        <v/>
      </c>
      <c r="C209" s="138" t="n">
        <f aca="false">Scoring!C215</f>
        <v>0</v>
      </c>
      <c r="D209" s="139" t="str">
        <f aca="false">Scoring!BB215</f>
        <v/>
      </c>
      <c r="E209" s="138" t="str">
        <f aca="false">Scoring!AE215</f>
        <v/>
      </c>
      <c r="F209" s="138" t="n">
        <f aca="false">Scoring!B215</f>
        <v>0</v>
      </c>
      <c r="G209" s="138" t="n">
        <f aca="false">Scoring!D215</f>
        <v>0</v>
      </c>
      <c r="H209" s="138" t="str">
        <f aca="false">Scoring!BD215</f>
        <v/>
      </c>
      <c r="I209" s="140" t="str">
        <f aca="false">Scoring!BC215</f>
        <v/>
      </c>
    </row>
    <row r="210" customFormat="false" ht="15.75" hidden="false" customHeight="false" outlineLevel="0" collapsed="false">
      <c r="A210" s="138" t="str">
        <f aca="false">Scoring!BF216</f>
        <v/>
      </c>
      <c r="B210" s="138" t="str">
        <f aca="false">Scoring!BE216</f>
        <v/>
      </c>
      <c r="C210" s="138" t="n">
        <f aca="false">Scoring!C216</f>
        <v>0</v>
      </c>
      <c r="D210" s="139" t="str">
        <f aca="false">Scoring!BB216</f>
        <v/>
      </c>
      <c r="E210" s="138" t="str">
        <f aca="false">Scoring!AE216</f>
        <v/>
      </c>
      <c r="F210" s="138" t="n">
        <f aca="false">Scoring!B216</f>
        <v>0</v>
      </c>
      <c r="G210" s="138" t="n">
        <f aca="false">Scoring!D216</f>
        <v>0</v>
      </c>
      <c r="H210" s="138" t="str">
        <f aca="false">Scoring!BD216</f>
        <v/>
      </c>
      <c r="I210" s="140" t="str">
        <f aca="false">Scoring!BC216</f>
        <v/>
      </c>
    </row>
    <row r="211" customFormat="false" ht="15.75" hidden="false" customHeight="false" outlineLevel="0" collapsed="false">
      <c r="A211" s="138" t="str">
        <f aca="false">Scoring!BF217</f>
        <v/>
      </c>
      <c r="B211" s="138" t="str">
        <f aca="false">Scoring!BE217</f>
        <v/>
      </c>
      <c r="C211" s="138" t="n">
        <f aca="false">Scoring!C217</f>
        <v>0</v>
      </c>
      <c r="D211" s="139" t="str">
        <f aca="false">Scoring!BB217</f>
        <v/>
      </c>
      <c r="E211" s="138" t="str">
        <f aca="false">Scoring!AE217</f>
        <v/>
      </c>
      <c r="F211" s="138" t="n">
        <f aca="false">Scoring!B217</f>
        <v>0</v>
      </c>
      <c r="G211" s="138" t="n">
        <f aca="false">Scoring!D217</f>
        <v>0</v>
      </c>
      <c r="H211" s="138" t="str">
        <f aca="false">Scoring!BD217</f>
        <v/>
      </c>
      <c r="I211" s="140" t="str">
        <f aca="false">Scoring!BC217</f>
        <v/>
      </c>
    </row>
    <row r="212" customFormat="false" ht="15.75" hidden="false" customHeight="false" outlineLevel="0" collapsed="false">
      <c r="A212" s="138" t="str">
        <f aca="false">Scoring!BF218</f>
        <v/>
      </c>
      <c r="B212" s="138" t="str">
        <f aca="false">Scoring!BE218</f>
        <v/>
      </c>
      <c r="C212" s="138" t="n">
        <f aca="false">Scoring!C218</f>
        <v>0</v>
      </c>
      <c r="D212" s="139" t="str">
        <f aca="false">Scoring!BB218</f>
        <v/>
      </c>
      <c r="E212" s="138" t="str">
        <f aca="false">Scoring!AE218</f>
        <v/>
      </c>
      <c r="F212" s="138" t="n">
        <f aca="false">Scoring!B218</f>
        <v>0</v>
      </c>
      <c r="G212" s="138" t="n">
        <f aca="false">Scoring!D218</f>
        <v>0</v>
      </c>
      <c r="H212" s="138" t="str">
        <f aca="false">Scoring!BD218</f>
        <v/>
      </c>
      <c r="I212" s="140" t="str">
        <f aca="false">Scoring!BC218</f>
        <v/>
      </c>
    </row>
    <row r="213" customFormat="false" ht="15.75" hidden="false" customHeight="false" outlineLevel="0" collapsed="false">
      <c r="A213" s="138" t="str">
        <f aca="false">Scoring!BF219</f>
        <v/>
      </c>
      <c r="B213" s="138" t="str">
        <f aca="false">Scoring!BE219</f>
        <v/>
      </c>
      <c r="C213" s="138" t="n">
        <f aca="false">Scoring!C219</f>
        <v>0</v>
      </c>
      <c r="D213" s="139" t="str">
        <f aca="false">Scoring!BB219</f>
        <v/>
      </c>
      <c r="E213" s="138" t="str">
        <f aca="false">Scoring!AE219</f>
        <v/>
      </c>
      <c r="F213" s="138" t="n">
        <f aca="false">Scoring!B219</f>
        <v>0</v>
      </c>
      <c r="G213" s="138" t="n">
        <f aca="false">Scoring!D219</f>
        <v>0</v>
      </c>
      <c r="H213" s="138" t="str">
        <f aca="false">Scoring!BD219</f>
        <v/>
      </c>
      <c r="I213" s="140" t="str">
        <f aca="false">Scoring!BC219</f>
        <v/>
      </c>
    </row>
    <row r="214" customFormat="false" ht="15.75" hidden="false" customHeight="false" outlineLevel="0" collapsed="false">
      <c r="A214" s="138" t="str">
        <f aca="false">Scoring!BF220</f>
        <v/>
      </c>
      <c r="B214" s="138" t="str">
        <f aca="false">Scoring!BE220</f>
        <v/>
      </c>
      <c r="C214" s="138" t="n">
        <f aca="false">Scoring!C220</f>
        <v>0</v>
      </c>
      <c r="D214" s="139" t="str">
        <f aca="false">Scoring!BB220</f>
        <v/>
      </c>
      <c r="E214" s="138" t="str">
        <f aca="false">Scoring!AE220</f>
        <v/>
      </c>
      <c r="F214" s="138" t="n">
        <f aca="false">Scoring!B220</f>
        <v>0</v>
      </c>
      <c r="G214" s="138" t="n">
        <f aca="false">Scoring!D220</f>
        <v>0</v>
      </c>
      <c r="H214" s="138" t="str">
        <f aca="false">Scoring!BD220</f>
        <v/>
      </c>
      <c r="I214" s="140" t="str">
        <f aca="false">Scoring!BC220</f>
        <v/>
      </c>
    </row>
    <row r="215" customFormat="false" ht="15.75" hidden="false" customHeight="false" outlineLevel="0" collapsed="false">
      <c r="A215" s="138" t="str">
        <f aca="false">Scoring!BF221</f>
        <v/>
      </c>
      <c r="B215" s="138" t="str">
        <f aca="false">Scoring!BE221</f>
        <v/>
      </c>
      <c r="C215" s="138" t="n">
        <f aca="false">Scoring!C221</f>
        <v>0</v>
      </c>
      <c r="D215" s="139" t="str">
        <f aca="false">Scoring!BB221</f>
        <v/>
      </c>
      <c r="E215" s="138" t="str">
        <f aca="false">Scoring!AE221</f>
        <v/>
      </c>
      <c r="F215" s="138" t="n">
        <f aca="false">Scoring!B221</f>
        <v>0</v>
      </c>
      <c r="G215" s="138" t="n">
        <f aca="false">Scoring!D221</f>
        <v>0</v>
      </c>
      <c r="H215" s="138" t="str">
        <f aca="false">Scoring!BD221</f>
        <v/>
      </c>
      <c r="I215" s="140" t="str">
        <f aca="false">Scoring!BC221</f>
        <v/>
      </c>
    </row>
    <row r="216" customFormat="false" ht="15.75" hidden="false" customHeight="false" outlineLevel="0" collapsed="false">
      <c r="A216" s="138" t="str">
        <f aca="false">Scoring!BF222</f>
        <v/>
      </c>
      <c r="B216" s="138" t="str">
        <f aca="false">Scoring!BE222</f>
        <v/>
      </c>
      <c r="C216" s="138" t="n">
        <f aca="false">Scoring!C222</f>
        <v>0</v>
      </c>
      <c r="D216" s="139" t="str">
        <f aca="false">Scoring!BB222</f>
        <v/>
      </c>
      <c r="E216" s="138" t="str">
        <f aca="false">Scoring!AE222</f>
        <v/>
      </c>
      <c r="F216" s="138" t="n">
        <f aca="false">Scoring!B222</f>
        <v>0</v>
      </c>
      <c r="G216" s="138" t="n">
        <f aca="false">Scoring!D222</f>
        <v>0</v>
      </c>
      <c r="H216" s="138" t="str">
        <f aca="false">Scoring!BD222</f>
        <v/>
      </c>
      <c r="I216" s="140" t="str">
        <f aca="false">Scoring!BC222</f>
        <v/>
      </c>
    </row>
    <row r="217" customFormat="false" ht="15.75" hidden="false" customHeight="false" outlineLevel="0" collapsed="false">
      <c r="A217" s="138" t="str">
        <f aca="false">Scoring!BF223</f>
        <v/>
      </c>
      <c r="B217" s="138" t="str">
        <f aca="false">Scoring!BE223</f>
        <v/>
      </c>
      <c r="C217" s="138" t="n">
        <f aca="false">Scoring!C223</f>
        <v>0</v>
      </c>
      <c r="D217" s="139" t="str">
        <f aca="false">Scoring!BB223</f>
        <v/>
      </c>
      <c r="E217" s="138" t="str">
        <f aca="false">Scoring!AE223</f>
        <v/>
      </c>
      <c r="F217" s="138" t="n">
        <f aca="false">Scoring!B223</f>
        <v>0</v>
      </c>
      <c r="G217" s="138" t="n">
        <f aca="false">Scoring!D223</f>
        <v>0</v>
      </c>
      <c r="H217" s="138" t="str">
        <f aca="false">Scoring!BD223</f>
        <v/>
      </c>
      <c r="I217" s="140" t="str">
        <f aca="false">Scoring!BC223</f>
        <v/>
      </c>
    </row>
    <row r="218" customFormat="false" ht="15.75" hidden="false" customHeight="false" outlineLevel="0" collapsed="false">
      <c r="A218" s="138" t="str">
        <f aca="false">Scoring!BF224</f>
        <v/>
      </c>
      <c r="B218" s="138" t="str">
        <f aca="false">Scoring!BE224</f>
        <v/>
      </c>
      <c r="C218" s="138" t="n">
        <f aca="false">Scoring!C224</f>
        <v>0</v>
      </c>
      <c r="D218" s="139" t="str">
        <f aca="false">Scoring!BB224</f>
        <v/>
      </c>
      <c r="E218" s="138" t="str">
        <f aca="false">Scoring!AE224</f>
        <v/>
      </c>
      <c r="F218" s="138" t="n">
        <f aca="false">Scoring!B224</f>
        <v>0</v>
      </c>
      <c r="G218" s="138" t="n">
        <f aca="false">Scoring!D224</f>
        <v>0</v>
      </c>
      <c r="H218" s="138" t="str">
        <f aca="false">Scoring!BD224</f>
        <v/>
      </c>
      <c r="I218" s="140" t="str">
        <f aca="false">Scoring!BC224</f>
        <v/>
      </c>
    </row>
    <row r="219" customFormat="false" ht="15.75" hidden="false" customHeight="false" outlineLevel="0" collapsed="false">
      <c r="A219" s="138" t="str">
        <f aca="false">Scoring!BF225</f>
        <v/>
      </c>
      <c r="B219" s="138" t="str">
        <f aca="false">Scoring!BE225</f>
        <v/>
      </c>
      <c r="C219" s="138" t="n">
        <f aca="false">Scoring!C225</f>
        <v>0</v>
      </c>
      <c r="D219" s="139" t="str">
        <f aca="false">Scoring!BB225</f>
        <v/>
      </c>
      <c r="E219" s="138" t="str">
        <f aca="false">Scoring!AE225</f>
        <v/>
      </c>
      <c r="F219" s="138" t="n">
        <f aca="false">Scoring!B225</f>
        <v>0</v>
      </c>
      <c r="G219" s="138" t="n">
        <f aca="false">Scoring!D225</f>
        <v>0</v>
      </c>
      <c r="H219" s="138" t="str">
        <f aca="false">Scoring!BD225</f>
        <v/>
      </c>
      <c r="I219" s="140" t="str">
        <f aca="false">Scoring!BC225</f>
        <v/>
      </c>
    </row>
    <row r="220" customFormat="false" ht="15.75" hidden="false" customHeight="false" outlineLevel="0" collapsed="false">
      <c r="A220" s="138" t="str">
        <f aca="false">Scoring!BF226</f>
        <v/>
      </c>
      <c r="B220" s="138" t="str">
        <f aca="false">Scoring!BE226</f>
        <v/>
      </c>
      <c r="C220" s="138" t="n">
        <f aca="false">Scoring!C226</f>
        <v>0</v>
      </c>
      <c r="D220" s="139" t="str">
        <f aca="false">Scoring!BB226</f>
        <v/>
      </c>
      <c r="E220" s="138" t="str">
        <f aca="false">Scoring!AE226</f>
        <v/>
      </c>
      <c r="F220" s="138" t="n">
        <f aca="false">Scoring!B226</f>
        <v>0</v>
      </c>
      <c r="G220" s="138" t="n">
        <f aca="false">Scoring!D226</f>
        <v>0</v>
      </c>
      <c r="H220" s="138" t="str">
        <f aca="false">Scoring!BD226</f>
        <v/>
      </c>
      <c r="I220" s="140" t="str">
        <f aca="false">Scoring!BC226</f>
        <v/>
      </c>
    </row>
    <row r="221" customFormat="false" ht="15.75" hidden="false" customHeight="false" outlineLevel="0" collapsed="false">
      <c r="A221" s="138" t="str">
        <f aca="false">Scoring!BF227</f>
        <v/>
      </c>
      <c r="B221" s="138" t="str">
        <f aca="false">Scoring!BE227</f>
        <v/>
      </c>
      <c r="C221" s="138" t="n">
        <f aca="false">Scoring!C227</f>
        <v>0</v>
      </c>
      <c r="D221" s="139" t="str">
        <f aca="false">Scoring!BB227</f>
        <v/>
      </c>
      <c r="E221" s="138" t="str">
        <f aca="false">Scoring!AE227</f>
        <v/>
      </c>
      <c r="F221" s="138" t="n">
        <f aca="false">Scoring!B227</f>
        <v>0</v>
      </c>
      <c r="G221" s="138" t="n">
        <f aca="false">Scoring!D227</f>
        <v>0</v>
      </c>
      <c r="H221" s="138" t="str">
        <f aca="false">Scoring!BD227</f>
        <v/>
      </c>
      <c r="I221" s="140" t="str">
        <f aca="false">Scoring!BC227</f>
        <v/>
      </c>
    </row>
    <row r="222" customFormat="false" ht="15.75" hidden="false" customHeight="false" outlineLevel="0" collapsed="false">
      <c r="A222" s="138" t="str">
        <f aca="false">Scoring!BF228</f>
        <v/>
      </c>
      <c r="B222" s="138" t="str">
        <f aca="false">Scoring!BE228</f>
        <v/>
      </c>
      <c r="C222" s="138" t="n">
        <f aca="false">Scoring!C228</f>
        <v>0</v>
      </c>
      <c r="D222" s="139" t="str">
        <f aca="false">Scoring!BB228</f>
        <v/>
      </c>
      <c r="E222" s="138" t="str">
        <f aca="false">Scoring!AE228</f>
        <v/>
      </c>
      <c r="F222" s="138" t="n">
        <f aca="false">Scoring!B228</f>
        <v>0</v>
      </c>
      <c r="G222" s="138" t="n">
        <f aca="false">Scoring!D228</f>
        <v>0</v>
      </c>
      <c r="H222" s="138" t="str">
        <f aca="false">Scoring!BD228</f>
        <v/>
      </c>
      <c r="I222" s="140" t="str">
        <f aca="false">Scoring!BC228</f>
        <v/>
      </c>
    </row>
    <row r="223" customFormat="false" ht="15.75" hidden="false" customHeight="false" outlineLevel="0" collapsed="false">
      <c r="A223" s="138" t="str">
        <f aca="false">Scoring!BF229</f>
        <v/>
      </c>
      <c r="B223" s="138" t="str">
        <f aca="false">Scoring!BE229</f>
        <v/>
      </c>
      <c r="C223" s="138" t="n">
        <f aca="false">Scoring!C229</f>
        <v>0</v>
      </c>
      <c r="D223" s="139" t="str">
        <f aca="false">Scoring!BB229</f>
        <v/>
      </c>
      <c r="E223" s="138" t="str">
        <f aca="false">Scoring!AE229</f>
        <v/>
      </c>
      <c r="F223" s="138" t="n">
        <f aca="false">Scoring!B229</f>
        <v>0</v>
      </c>
      <c r="G223" s="138" t="n">
        <f aca="false">Scoring!D229</f>
        <v>0</v>
      </c>
      <c r="H223" s="138" t="str">
        <f aca="false">Scoring!BD229</f>
        <v/>
      </c>
      <c r="I223" s="140" t="str">
        <f aca="false">Scoring!BC229</f>
        <v/>
      </c>
    </row>
    <row r="224" customFormat="false" ht="15.75" hidden="false" customHeight="false" outlineLevel="0" collapsed="false">
      <c r="A224" s="138" t="str">
        <f aca="false">Scoring!BF230</f>
        <v/>
      </c>
      <c r="B224" s="138" t="str">
        <f aca="false">Scoring!BE230</f>
        <v/>
      </c>
      <c r="C224" s="138" t="n">
        <f aca="false">Scoring!C230</f>
        <v>0</v>
      </c>
      <c r="D224" s="139" t="str">
        <f aca="false">Scoring!BB230</f>
        <v/>
      </c>
      <c r="E224" s="138" t="str">
        <f aca="false">Scoring!AE230</f>
        <v/>
      </c>
      <c r="F224" s="138" t="n">
        <f aca="false">Scoring!B230</f>
        <v>0</v>
      </c>
      <c r="G224" s="138" t="n">
        <f aca="false">Scoring!D230</f>
        <v>0</v>
      </c>
      <c r="H224" s="138" t="str">
        <f aca="false">Scoring!BD230</f>
        <v/>
      </c>
      <c r="I224" s="140" t="str">
        <f aca="false">Scoring!BC230</f>
        <v/>
      </c>
    </row>
    <row r="225" customFormat="false" ht="15.75" hidden="false" customHeight="false" outlineLevel="0" collapsed="false">
      <c r="A225" s="138" t="str">
        <f aca="false">Scoring!BF231</f>
        <v/>
      </c>
      <c r="B225" s="138" t="str">
        <f aca="false">Scoring!BE231</f>
        <v/>
      </c>
      <c r="C225" s="138" t="n">
        <f aca="false">Scoring!C231</f>
        <v>0</v>
      </c>
      <c r="D225" s="139" t="str">
        <f aca="false">Scoring!BB231</f>
        <v/>
      </c>
      <c r="E225" s="138" t="str">
        <f aca="false">Scoring!AE231</f>
        <v/>
      </c>
      <c r="F225" s="138" t="n">
        <f aca="false">Scoring!B231</f>
        <v>0</v>
      </c>
      <c r="G225" s="138" t="n">
        <f aca="false">Scoring!D231</f>
        <v>0</v>
      </c>
      <c r="H225" s="138" t="str">
        <f aca="false">Scoring!BD231</f>
        <v/>
      </c>
      <c r="I225" s="140" t="str">
        <f aca="false">Scoring!BC231</f>
        <v/>
      </c>
    </row>
    <row r="226" customFormat="false" ht="15.75" hidden="false" customHeight="false" outlineLevel="0" collapsed="false">
      <c r="A226" s="138" t="str">
        <f aca="false">Scoring!BF232</f>
        <v/>
      </c>
      <c r="B226" s="138" t="str">
        <f aca="false">Scoring!BE232</f>
        <v/>
      </c>
      <c r="C226" s="138" t="n">
        <f aca="false">Scoring!C232</f>
        <v>0</v>
      </c>
      <c r="D226" s="139" t="str">
        <f aca="false">Scoring!BB232</f>
        <v/>
      </c>
      <c r="E226" s="138" t="str">
        <f aca="false">Scoring!AE232</f>
        <v/>
      </c>
      <c r="F226" s="138" t="n">
        <f aca="false">Scoring!B232</f>
        <v>0</v>
      </c>
      <c r="G226" s="138" t="n">
        <f aca="false">Scoring!D232</f>
        <v>0</v>
      </c>
      <c r="H226" s="138" t="str">
        <f aca="false">Scoring!BD232</f>
        <v/>
      </c>
      <c r="I226" s="140" t="str">
        <f aca="false">Scoring!BC232</f>
        <v/>
      </c>
    </row>
    <row r="227" customFormat="false" ht="15.75" hidden="false" customHeight="false" outlineLevel="0" collapsed="false">
      <c r="A227" s="138" t="str">
        <f aca="false">Scoring!BF233</f>
        <v/>
      </c>
      <c r="B227" s="138" t="str">
        <f aca="false">Scoring!BE233</f>
        <v/>
      </c>
      <c r="C227" s="138" t="n">
        <f aca="false">Scoring!C233</f>
        <v>0</v>
      </c>
      <c r="D227" s="139" t="str">
        <f aca="false">Scoring!BB233</f>
        <v/>
      </c>
      <c r="E227" s="138" t="str">
        <f aca="false">Scoring!AE233</f>
        <v/>
      </c>
      <c r="F227" s="138" t="n">
        <f aca="false">Scoring!B233</f>
        <v>0</v>
      </c>
      <c r="G227" s="138" t="n">
        <f aca="false">Scoring!D233</f>
        <v>0</v>
      </c>
      <c r="H227" s="138" t="str">
        <f aca="false">Scoring!BD233</f>
        <v/>
      </c>
      <c r="I227" s="140" t="str">
        <f aca="false">Scoring!BC233</f>
        <v/>
      </c>
    </row>
    <row r="228" customFormat="false" ht="15.75" hidden="false" customHeight="false" outlineLevel="0" collapsed="false">
      <c r="A228" s="138" t="str">
        <f aca="false">Scoring!BF234</f>
        <v/>
      </c>
      <c r="B228" s="138" t="str">
        <f aca="false">Scoring!BE234</f>
        <v/>
      </c>
      <c r="C228" s="138" t="n">
        <f aca="false">Scoring!C234</f>
        <v>0</v>
      </c>
      <c r="D228" s="139" t="str">
        <f aca="false">Scoring!BB234</f>
        <v/>
      </c>
      <c r="E228" s="138" t="str">
        <f aca="false">Scoring!AE234</f>
        <v/>
      </c>
      <c r="F228" s="138" t="n">
        <f aca="false">Scoring!B234</f>
        <v>0</v>
      </c>
      <c r="G228" s="138" t="n">
        <f aca="false">Scoring!D234</f>
        <v>0</v>
      </c>
      <c r="H228" s="138" t="str">
        <f aca="false">Scoring!BD234</f>
        <v/>
      </c>
      <c r="I228" s="140" t="str">
        <f aca="false">Scoring!BC234</f>
        <v/>
      </c>
    </row>
    <row r="229" customFormat="false" ht="15.75" hidden="false" customHeight="false" outlineLevel="0" collapsed="false">
      <c r="A229" s="138" t="str">
        <f aca="false">Scoring!BF235</f>
        <v/>
      </c>
      <c r="B229" s="138" t="str">
        <f aca="false">Scoring!BE235</f>
        <v/>
      </c>
      <c r="C229" s="138" t="n">
        <f aca="false">Scoring!C235</f>
        <v>0</v>
      </c>
      <c r="D229" s="139" t="str">
        <f aca="false">Scoring!BB235</f>
        <v/>
      </c>
      <c r="E229" s="138" t="str">
        <f aca="false">Scoring!AE235</f>
        <v/>
      </c>
      <c r="F229" s="138" t="n">
        <f aca="false">Scoring!B235</f>
        <v>0</v>
      </c>
      <c r="G229" s="138" t="n">
        <f aca="false">Scoring!D235</f>
        <v>0</v>
      </c>
      <c r="H229" s="138" t="str">
        <f aca="false">Scoring!BD235</f>
        <v/>
      </c>
      <c r="I229" s="140" t="str">
        <f aca="false">Scoring!BC235</f>
        <v/>
      </c>
    </row>
    <row r="230" customFormat="false" ht="15.75" hidden="false" customHeight="false" outlineLevel="0" collapsed="false">
      <c r="A230" s="138" t="str">
        <f aca="false">Scoring!BF236</f>
        <v/>
      </c>
      <c r="B230" s="138" t="str">
        <f aca="false">Scoring!BE236</f>
        <v/>
      </c>
      <c r="C230" s="138" t="n">
        <f aca="false">Scoring!C236</f>
        <v>0</v>
      </c>
      <c r="D230" s="139" t="str">
        <f aca="false">Scoring!BB236</f>
        <v/>
      </c>
      <c r="E230" s="138" t="str">
        <f aca="false">Scoring!AE236</f>
        <v/>
      </c>
      <c r="F230" s="138" t="n">
        <f aca="false">Scoring!B236</f>
        <v>0</v>
      </c>
      <c r="G230" s="138" t="n">
        <f aca="false">Scoring!D236</f>
        <v>0</v>
      </c>
      <c r="H230" s="138" t="str">
        <f aca="false">Scoring!BD236</f>
        <v/>
      </c>
      <c r="I230" s="140" t="str">
        <f aca="false">Scoring!BC236</f>
        <v/>
      </c>
    </row>
    <row r="231" customFormat="false" ht="15.75" hidden="false" customHeight="false" outlineLevel="0" collapsed="false">
      <c r="A231" s="138" t="str">
        <f aca="false">Scoring!BF237</f>
        <v/>
      </c>
      <c r="B231" s="138" t="str">
        <f aca="false">Scoring!BE237</f>
        <v/>
      </c>
      <c r="C231" s="138" t="n">
        <f aca="false">Scoring!C237</f>
        <v>0</v>
      </c>
      <c r="D231" s="139" t="str">
        <f aca="false">Scoring!BB237</f>
        <v/>
      </c>
      <c r="E231" s="138" t="str">
        <f aca="false">Scoring!AE237</f>
        <v/>
      </c>
      <c r="F231" s="138" t="n">
        <f aca="false">Scoring!B237</f>
        <v>0</v>
      </c>
      <c r="G231" s="138" t="n">
        <f aca="false">Scoring!D237</f>
        <v>0</v>
      </c>
      <c r="H231" s="138" t="str">
        <f aca="false">Scoring!BD237</f>
        <v/>
      </c>
      <c r="I231" s="140" t="str">
        <f aca="false">Scoring!BC237</f>
        <v/>
      </c>
    </row>
    <row r="232" customFormat="false" ht="15.75" hidden="false" customHeight="false" outlineLevel="0" collapsed="false">
      <c r="A232" s="138" t="str">
        <f aca="false">Scoring!BF238</f>
        <v/>
      </c>
      <c r="B232" s="138" t="str">
        <f aca="false">Scoring!BE238</f>
        <v/>
      </c>
      <c r="C232" s="138" t="n">
        <f aca="false">Scoring!C238</f>
        <v>0</v>
      </c>
      <c r="D232" s="139" t="str">
        <f aca="false">Scoring!BB238</f>
        <v/>
      </c>
      <c r="E232" s="138" t="str">
        <f aca="false">Scoring!AE238</f>
        <v/>
      </c>
      <c r="F232" s="138" t="n">
        <f aca="false">Scoring!B238</f>
        <v>0</v>
      </c>
      <c r="G232" s="138" t="n">
        <f aca="false">Scoring!D238</f>
        <v>0</v>
      </c>
      <c r="H232" s="138" t="str">
        <f aca="false">Scoring!BD238</f>
        <v/>
      </c>
      <c r="I232" s="140" t="str">
        <f aca="false">Scoring!BC238</f>
        <v/>
      </c>
    </row>
    <row r="233" customFormat="false" ht="15.75" hidden="false" customHeight="false" outlineLevel="0" collapsed="false">
      <c r="A233" s="138" t="str">
        <f aca="false">Scoring!BF239</f>
        <v/>
      </c>
      <c r="B233" s="138" t="str">
        <f aca="false">Scoring!BE239</f>
        <v/>
      </c>
      <c r="C233" s="138" t="n">
        <f aca="false">Scoring!C239</f>
        <v>0</v>
      </c>
      <c r="D233" s="139" t="str">
        <f aca="false">Scoring!BB239</f>
        <v/>
      </c>
      <c r="E233" s="138" t="str">
        <f aca="false">Scoring!AE239</f>
        <v/>
      </c>
      <c r="F233" s="138" t="n">
        <f aca="false">Scoring!B239</f>
        <v>0</v>
      </c>
      <c r="G233" s="138" t="n">
        <f aca="false">Scoring!D239</f>
        <v>0</v>
      </c>
      <c r="H233" s="138" t="str">
        <f aca="false">Scoring!BD239</f>
        <v/>
      </c>
      <c r="I233" s="140" t="str">
        <f aca="false">Scoring!BC239</f>
        <v/>
      </c>
    </row>
    <row r="234" customFormat="false" ht="15.75" hidden="false" customHeight="false" outlineLevel="0" collapsed="false">
      <c r="A234" s="138" t="str">
        <f aca="false">Scoring!BF240</f>
        <v/>
      </c>
      <c r="B234" s="138" t="str">
        <f aca="false">Scoring!BE240</f>
        <v/>
      </c>
      <c r="C234" s="138" t="n">
        <f aca="false">Scoring!C240</f>
        <v>0</v>
      </c>
      <c r="D234" s="139" t="str">
        <f aca="false">Scoring!BB240</f>
        <v/>
      </c>
      <c r="E234" s="138" t="str">
        <f aca="false">Scoring!AE240</f>
        <v/>
      </c>
      <c r="F234" s="138" t="n">
        <f aca="false">Scoring!B240</f>
        <v>0</v>
      </c>
      <c r="G234" s="138" t="n">
        <f aca="false">Scoring!D240</f>
        <v>0</v>
      </c>
      <c r="H234" s="138" t="str">
        <f aca="false">Scoring!BD240</f>
        <v/>
      </c>
      <c r="I234" s="140" t="str">
        <f aca="false">Scoring!BC240</f>
        <v/>
      </c>
    </row>
    <row r="235" customFormat="false" ht="15.75" hidden="false" customHeight="false" outlineLevel="0" collapsed="false">
      <c r="A235" s="138" t="str">
        <f aca="false">Scoring!BF241</f>
        <v/>
      </c>
      <c r="B235" s="138" t="str">
        <f aca="false">Scoring!BE241</f>
        <v/>
      </c>
      <c r="C235" s="138" t="n">
        <f aca="false">Scoring!C241</f>
        <v>0</v>
      </c>
      <c r="D235" s="139" t="str">
        <f aca="false">Scoring!BB241</f>
        <v/>
      </c>
      <c r="E235" s="138" t="str">
        <f aca="false">Scoring!AE241</f>
        <v/>
      </c>
      <c r="F235" s="138" t="n">
        <f aca="false">Scoring!B241</f>
        <v>0</v>
      </c>
      <c r="G235" s="138" t="n">
        <f aca="false">Scoring!D241</f>
        <v>0</v>
      </c>
      <c r="H235" s="138" t="str">
        <f aca="false">Scoring!BD241</f>
        <v/>
      </c>
      <c r="I235" s="140" t="str">
        <f aca="false">Scoring!BC241</f>
        <v/>
      </c>
    </row>
    <row r="236" customFormat="false" ht="15.75" hidden="false" customHeight="false" outlineLevel="0" collapsed="false">
      <c r="A236" s="138" t="str">
        <f aca="false">Scoring!BF242</f>
        <v/>
      </c>
      <c r="B236" s="138" t="str">
        <f aca="false">Scoring!BE242</f>
        <v/>
      </c>
      <c r="C236" s="138" t="n">
        <f aca="false">Scoring!C242</f>
        <v>0</v>
      </c>
      <c r="D236" s="139" t="str">
        <f aca="false">Scoring!BB242</f>
        <v/>
      </c>
      <c r="E236" s="138" t="str">
        <f aca="false">Scoring!AE242</f>
        <v/>
      </c>
      <c r="F236" s="138" t="n">
        <f aca="false">Scoring!B242</f>
        <v>0</v>
      </c>
      <c r="G236" s="138" t="n">
        <f aca="false">Scoring!D242</f>
        <v>0</v>
      </c>
      <c r="H236" s="138" t="str">
        <f aca="false">Scoring!BD242</f>
        <v/>
      </c>
      <c r="I236" s="140" t="str">
        <f aca="false">Scoring!BC242</f>
        <v/>
      </c>
    </row>
    <row r="237" customFormat="false" ht="15.75" hidden="false" customHeight="false" outlineLevel="0" collapsed="false">
      <c r="A237" s="138" t="str">
        <f aca="false">Scoring!BF243</f>
        <v/>
      </c>
      <c r="B237" s="138" t="str">
        <f aca="false">Scoring!BE243</f>
        <v/>
      </c>
      <c r="C237" s="138" t="n">
        <f aca="false">Scoring!C243</f>
        <v>0</v>
      </c>
      <c r="D237" s="139" t="str">
        <f aca="false">Scoring!BB243</f>
        <v/>
      </c>
      <c r="E237" s="138" t="str">
        <f aca="false">Scoring!AE243</f>
        <v/>
      </c>
      <c r="F237" s="138" t="n">
        <f aca="false">Scoring!B243</f>
        <v>0</v>
      </c>
      <c r="G237" s="138" t="n">
        <f aca="false">Scoring!D243</f>
        <v>0</v>
      </c>
      <c r="H237" s="138" t="str">
        <f aca="false">Scoring!BD243</f>
        <v/>
      </c>
      <c r="I237" s="140" t="str">
        <f aca="false">Scoring!BC243</f>
        <v/>
      </c>
    </row>
    <row r="238" customFormat="false" ht="15.75" hidden="false" customHeight="false" outlineLevel="0" collapsed="false">
      <c r="A238" s="138" t="str">
        <f aca="false">Scoring!BF244</f>
        <v/>
      </c>
      <c r="B238" s="138" t="str">
        <f aca="false">Scoring!BE244</f>
        <v/>
      </c>
      <c r="C238" s="138" t="n">
        <f aca="false">Scoring!C244</f>
        <v>0</v>
      </c>
      <c r="D238" s="139" t="str">
        <f aca="false">Scoring!BB244</f>
        <v/>
      </c>
      <c r="E238" s="138" t="str">
        <f aca="false">Scoring!AE244</f>
        <v/>
      </c>
      <c r="F238" s="138" t="n">
        <f aca="false">Scoring!B244</f>
        <v>0</v>
      </c>
      <c r="G238" s="138" t="n">
        <f aca="false">Scoring!D244</f>
        <v>0</v>
      </c>
      <c r="H238" s="138" t="str">
        <f aca="false">Scoring!BD244</f>
        <v/>
      </c>
      <c r="I238" s="140" t="str">
        <f aca="false">Scoring!BC244</f>
        <v/>
      </c>
    </row>
    <row r="239" customFormat="false" ht="15.75" hidden="false" customHeight="false" outlineLevel="0" collapsed="false">
      <c r="A239" s="138" t="str">
        <f aca="false">Scoring!BF245</f>
        <v/>
      </c>
      <c r="B239" s="138" t="str">
        <f aca="false">Scoring!BE245</f>
        <v/>
      </c>
      <c r="C239" s="138" t="n">
        <f aca="false">Scoring!C245</f>
        <v>0</v>
      </c>
      <c r="D239" s="139" t="str">
        <f aca="false">Scoring!BB245</f>
        <v/>
      </c>
      <c r="E239" s="138" t="str">
        <f aca="false">Scoring!AE245</f>
        <v/>
      </c>
      <c r="F239" s="138" t="n">
        <f aca="false">Scoring!B245</f>
        <v>0</v>
      </c>
      <c r="G239" s="138" t="n">
        <f aca="false">Scoring!D245</f>
        <v>0</v>
      </c>
      <c r="H239" s="138" t="str">
        <f aca="false">Scoring!BD245</f>
        <v/>
      </c>
      <c r="I239" s="140" t="str">
        <f aca="false">Scoring!BC245</f>
        <v/>
      </c>
    </row>
    <row r="240" customFormat="false" ht="15.75" hidden="false" customHeight="false" outlineLevel="0" collapsed="false">
      <c r="A240" s="138" t="str">
        <f aca="false">Scoring!BF246</f>
        <v/>
      </c>
      <c r="B240" s="138" t="str">
        <f aca="false">Scoring!BE246</f>
        <v/>
      </c>
      <c r="C240" s="138" t="n">
        <f aca="false">Scoring!C246</f>
        <v>0</v>
      </c>
      <c r="D240" s="139" t="str">
        <f aca="false">Scoring!BB246</f>
        <v/>
      </c>
      <c r="E240" s="138" t="str">
        <f aca="false">Scoring!AE246</f>
        <v/>
      </c>
      <c r="F240" s="138" t="n">
        <f aca="false">Scoring!B246</f>
        <v>0</v>
      </c>
      <c r="G240" s="138" t="n">
        <f aca="false">Scoring!D246</f>
        <v>0</v>
      </c>
      <c r="H240" s="138" t="str">
        <f aca="false">Scoring!BD246</f>
        <v/>
      </c>
      <c r="I240" s="140" t="str">
        <f aca="false">Scoring!BC246</f>
        <v/>
      </c>
    </row>
    <row r="241" customFormat="false" ht="15.75" hidden="false" customHeight="false" outlineLevel="0" collapsed="false">
      <c r="A241" s="138" t="str">
        <f aca="false">Scoring!BF247</f>
        <v/>
      </c>
      <c r="B241" s="138" t="str">
        <f aca="false">Scoring!BE247</f>
        <v/>
      </c>
      <c r="C241" s="138" t="n">
        <f aca="false">Scoring!C247</f>
        <v>0</v>
      </c>
      <c r="D241" s="139" t="str">
        <f aca="false">Scoring!BB247</f>
        <v/>
      </c>
      <c r="E241" s="138" t="str">
        <f aca="false">Scoring!AE247</f>
        <v/>
      </c>
      <c r="F241" s="138" t="n">
        <f aca="false">Scoring!B247</f>
        <v>0</v>
      </c>
      <c r="G241" s="138" t="n">
        <f aca="false">Scoring!D247</f>
        <v>0</v>
      </c>
      <c r="H241" s="138" t="str">
        <f aca="false">Scoring!BD247</f>
        <v/>
      </c>
      <c r="I241" s="140" t="str">
        <f aca="false">Scoring!BC247</f>
        <v/>
      </c>
    </row>
    <row r="242" customFormat="false" ht="15.75" hidden="false" customHeight="false" outlineLevel="0" collapsed="false">
      <c r="A242" s="138" t="str">
        <f aca="false">Scoring!BF248</f>
        <v/>
      </c>
      <c r="B242" s="138" t="str">
        <f aca="false">Scoring!BE248</f>
        <v/>
      </c>
      <c r="C242" s="138" t="n">
        <f aca="false">Scoring!C248</f>
        <v>0</v>
      </c>
      <c r="D242" s="139" t="str">
        <f aca="false">Scoring!BB248</f>
        <v/>
      </c>
      <c r="E242" s="138" t="str">
        <f aca="false">Scoring!AE248</f>
        <v/>
      </c>
      <c r="F242" s="138" t="n">
        <f aca="false">Scoring!B248</f>
        <v>0</v>
      </c>
      <c r="G242" s="138" t="n">
        <f aca="false">Scoring!D248</f>
        <v>0</v>
      </c>
      <c r="H242" s="138" t="str">
        <f aca="false">Scoring!BD248</f>
        <v/>
      </c>
      <c r="I242" s="140" t="str">
        <f aca="false">Scoring!BC248</f>
        <v/>
      </c>
    </row>
    <row r="243" customFormat="false" ht="15.75" hidden="false" customHeight="false" outlineLevel="0" collapsed="false">
      <c r="A243" s="138" t="str">
        <f aca="false">Scoring!BF249</f>
        <v/>
      </c>
      <c r="B243" s="138" t="str">
        <f aca="false">Scoring!BE249</f>
        <v/>
      </c>
      <c r="C243" s="138" t="n">
        <f aca="false">Scoring!C249</f>
        <v>0</v>
      </c>
      <c r="D243" s="139" t="str">
        <f aca="false">Scoring!BB249</f>
        <v/>
      </c>
      <c r="E243" s="138" t="str">
        <f aca="false">Scoring!AE249</f>
        <v/>
      </c>
      <c r="F243" s="138" t="n">
        <f aca="false">Scoring!B249</f>
        <v>0</v>
      </c>
      <c r="G243" s="138" t="n">
        <f aca="false">Scoring!D249</f>
        <v>0</v>
      </c>
      <c r="H243" s="138" t="str">
        <f aca="false">Scoring!BD249</f>
        <v/>
      </c>
      <c r="I243" s="140" t="str">
        <f aca="false">Scoring!BC249</f>
        <v/>
      </c>
    </row>
    <row r="244" customFormat="false" ht="15.75" hidden="false" customHeight="false" outlineLevel="0" collapsed="false">
      <c r="A244" s="138" t="str">
        <f aca="false">Scoring!BF250</f>
        <v/>
      </c>
      <c r="B244" s="138" t="str">
        <f aca="false">Scoring!BE250</f>
        <v/>
      </c>
      <c r="C244" s="138" t="n">
        <f aca="false">Scoring!C250</f>
        <v>0</v>
      </c>
      <c r="D244" s="139" t="str">
        <f aca="false">Scoring!BB250</f>
        <v/>
      </c>
      <c r="E244" s="138" t="str">
        <f aca="false">Scoring!AE250</f>
        <v/>
      </c>
      <c r="F244" s="138" t="n">
        <f aca="false">Scoring!B250</f>
        <v>0</v>
      </c>
      <c r="G244" s="138" t="n">
        <f aca="false">Scoring!D250</f>
        <v>0</v>
      </c>
      <c r="H244" s="138" t="str">
        <f aca="false">Scoring!BD250</f>
        <v/>
      </c>
      <c r="I244" s="140" t="str">
        <f aca="false">Scoring!BC250</f>
        <v/>
      </c>
    </row>
    <row r="245" customFormat="false" ht="15.75" hidden="false" customHeight="false" outlineLevel="0" collapsed="false">
      <c r="A245" s="138" t="str">
        <f aca="false">Scoring!BF251</f>
        <v/>
      </c>
      <c r="B245" s="138" t="str">
        <f aca="false">Scoring!BE251</f>
        <v/>
      </c>
      <c r="C245" s="138" t="n">
        <f aca="false">Scoring!C251</f>
        <v>0</v>
      </c>
      <c r="D245" s="139" t="str">
        <f aca="false">Scoring!BB251</f>
        <v/>
      </c>
      <c r="E245" s="138" t="str">
        <f aca="false">Scoring!AE251</f>
        <v/>
      </c>
      <c r="F245" s="138" t="n">
        <f aca="false">Scoring!B251</f>
        <v>0</v>
      </c>
      <c r="G245" s="138" t="n">
        <f aca="false">Scoring!D251</f>
        <v>0</v>
      </c>
      <c r="H245" s="138" t="str">
        <f aca="false">Scoring!BD251</f>
        <v/>
      </c>
      <c r="I245" s="140" t="str">
        <f aca="false">Scoring!BC251</f>
        <v/>
      </c>
    </row>
    <row r="246" customFormat="false" ht="15.75" hidden="false" customHeight="false" outlineLevel="0" collapsed="false">
      <c r="A246" s="138" t="str">
        <f aca="false">Scoring!BF252</f>
        <v/>
      </c>
      <c r="B246" s="138" t="str">
        <f aca="false">Scoring!BE252</f>
        <v/>
      </c>
      <c r="C246" s="138" t="n">
        <f aca="false">Scoring!C252</f>
        <v>0</v>
      </c>
      <c r="D246" s="139" t="str">
        <f aca="false">Scoring!BB252</f>
        <v/>
      </c>
      <c r="E246" s="138" t="str">
        <f aca="false">Scoring!AE252</f>
        <v/>
      </c>
      <c r="F246" s="138" t="n">
        <f aca="false">Scoring!B252</f>
        <v>0</v>
      </c>
      <c r="G246" s="138" t="n">
        <f aca="false">Scoring!D252</f>
        <v>0</v>
      </c>
      <c r="H246" s="138" t="str">
        <f aca="false">Scoring!BD252</f>
        <v/>
      </c>
      <c r="I246" s="140" t="str">
        <f aca="false">Scoring!BC252</f>
        <v/>
      </c>
    </row>
    <row r="247" customFormat="false" ht="15.75" hidden="false" customHeight="false" outlineLevel="0" collapsed="false">
      <c r="A247" s="138" t="str">
        <f aca="false">Scoring!BF253</f>
        <v/>
      </c>
      <c r="B247" s="138" t="str">
        <f aca="false">Scoring!BE253</f>
        <v/>
      </c>
      <c r="C247" s="138" t="n">
        <f aca="false">Scoring!C253</f>
        <v>0</v>
      </c>
      <c r="D247" s="139" t="str">
        <f aca="false">Scoring!BB253</f>
        <v/>
      </c>
      <c r="E247" s="138" t="str">
        <f aca="false">Scoring!AE253</f>
        <v/>
      </c>
      <c r="F247" s="138" t="n">
        <f aca="false">Scoring!B253</f>
        <v>0</v>
      </c>
      <c r="G247" s="138" t="n">
        <f aca="false">Scoring!D253</f>
        <v>0</v>
      </c>
      <c r="H247" s="138" t="str">
        <f aca="false">Scoring!BD253</f>
        <v/>
      </c>
      <c r="I247" s="140" t="str">
        <f aca="false">Scoring!BC253</f>
        <v/>
      </c>
    </row>
    <row r="248" customFormat="false" ht="15.75" hidden="false" customHeight="false" outlineLevel="0" collapsed="false">
      <c r="A248" s="138" t="str">
        <f aca="false">Scoring!BF254</f>
        <v/>
      </c>
      <c r="B248" s="138" t="str">
        <f aca="false">Scoring!BE254</f>
        <v/>
      </c>
      <c r="C248" s="138" t="n">
        <f aca="false">Scoring!C254</f>
        <v>0</v>
      </c>
      <c r="D248" s="139" t="str">
        <f aca="false">Scoring!BB254</f>
        <v/>
      </c>
      <c r="E248" s="138" t="str">
        <f aca="false">Scoring!AE254</f>
        <v/>
      </c>
      <c r="F248" s="138" t="n">
        <f aca="false">Scoring!B254</f>
        <v>0</v>
      </c>
      <c r="G248" s="138" t="n">
        <f aca="false">Scoring!D254</f>
        <v>0</v>
      </c>
      <c r="H248" s="138" t="str">
        <f aca="false">Scoring!BD254</f>
        <v/>
      </c>
      <c r="I248" s="140" t="str">
        <f aca="false">Scoring!BC254</f>
        <v/>
      </c>
    </row>
    <row r="249" customFormat="false" ht="15.75" hidden="false" customHeight="false" outlineLevel="0" collapsed="false">
      <c r="A249" s="138" t="str">
        <f aca="false">Scoring!BF255</f>
        <v/>
      </c>
      <c r="B249" s="138" t="str">
        <f aca="false">Scoring!BE255</f>
        <v/>
      </c>
      <c r="C249" s="138" t="n">
        <f aca="false">Scoring!C255</f>
        <v>0</v>
      </c>
      <c r="D249" s="139" t="str">
        <f aca="false">Scoring!BB255</f>
        <v/>
      </c>
      <c r="E249" s="138" t="str">
        <f aca="false">Scoring!AE255</f>
        <v/>
      </c>
      <c r="F249" s="138" t="n">
        <f aca="false">Scoring!B255</f>
        <v>0</v>
      </c>
      <c r="G249" s="138" t="n">
        <f aca="false">Scoring!D255</f>
        <v>0</v>
      </c>
      <c r="H249" s="138" t="str">
        <f aca="false">Scoring!BD255</f>
        <v/>
      </c>
      <c r="I249" s="140" t="str">
        <f aca="false">Scoring!BC255</f>
        <v/>
      </c>
    </row>
    <row r="250" customFormat="false" ht="15.75" hidden="false" customHeight="false" outlineLevel="0" collapsed="false">
      <c r="A250" s="138" t="str">
        <f aca="false">Scoring!BF256</f>
        <v/>
      </c>
      <c r="B250" s="138" t="str">
        <f aca="false">Scoring!BE256</f>
        <v/>
      </c>
      <c r="C250" s="138" t="n">
        <f aca="false">Scoring!C256</f>
        <v>0</v>
      </c>
      <c r="D250" s="139" t="str">
        <f aca="false">Scoring!BB256</f>
        <v/>
      </c>
      <c r="E250" s="138" t="str">
        <f aca="false">Scoring!AE256</f>
        <v/>
      </c>
      <c r="F250" s="138" t="n">
        <f aca="false">Scoring!B256</f>
        <v>0</v>
      </c>
      <c r="G250" s="138" t="n">
        <f aca="false">Scoring!D256</f>
        <v>0</v>
      </c>
      <c r="H250" s="138" t="str">
        <f aca="false">Scoring!BD256</f>
        <v/>
      </c>
      <c r="I250" s="140" t="str">
        <f aca="false">Scoring!BC256</f>
        <v/>
      </c>
    </row>
    <row r="251" customFormat="false" ht="15.75" hidden="false" customHeight="false" outlineLevel="0" collapsed="false">
      <c r="A251" s="138" t="str">
        <f aca="false">Scoring!BF257</f>
        <v/>
      </c>
      <c r="B251" s="138" t="str">
        <f aca="false">Scoring!BE257</f>
        <v/>
      </c>
      <c r="C251" s="138" t="n">
        <f aca="false">Scoring!C257</f>
        <v>0</v>
      </c>
      <c r="D251" s="139" t="str">
        <f aca="false">Scoring!BB257</f>
        <v/>
      </c>
      <c r="E251" s="138" t="str">
        <f aca="false">Scoring!AE257</f>
        <v/>
      </c>
      <c r="F251" s="138" t="n">
        <f aca="false">Scoring!B257</f>
        <v>0</v>
      </c>
      <c r="G251" s="138" t="n">
        <f aca="false">Scoring!D257</f>
        <v>0</v>
      </c>
      <c r="H251" s="138" t="str">
        <f aca="false">Scoring!BD257</f>
        <v/>
      </c>
      <c r="I251" s="140" t="str">
        <f aca="false">Scoring!BC257</f>
        <v/>
      </c>
    </row>
    <row r="252" customFormat="false" ht="15.75" hidden="false" customHeight="false" outlineLevel="0" collapsed="false">
      <c r="A252" s="138" t="str">
        <f aca="false">Scoring!BF258</f>
        <v/>
      </c>
      <c r="B252" s="138" t="str">
        <f aca="false">Scoring!BE258</f>
        <v/>
      </c>
      <c r="C252" s="138" t="n">
        <f aca="false">Scoring!C258</f>
        <v>0</v>
      </c>
      <c r="D252" s="139" t="str">
        <f aca="false">Scoring!BB258</f>
        <v/>
      </c>
      <c r="E252" s="138" t="str">
        <f aca="false">Scoring!AE258</f>
        <v/>
      </c>
      <c r="F252" s="138" t="n">
        <f aca="false">Scoring!B258</f>
        <v>0</v>
      </c>
      <c r="G252" s="138" t="n">
        <f aca="false">Scoring!D258</f>
        <v>0</v>
      </c>
      <c r="H252" s="138" t="str">
        <f aca="false">Scoring!BD258</f>
        <v/>
      </c>
      <c r="I252" s="140" t="str">
        <f aca="false">Scoring!BC258</f>
        <v/>
      </c>
    </row>
    <row r="253" customFormat="false" ht="15.75" hidden="false" customHeight="false" outlineLevel="0" collapsed="false">
      <c r="A253" s="138" t="str">
        <f aca="false">Scoring!BF259</f>
        <v/>
      </c>
      <c r="B253" s="138" t="str">
        <f aca="false">Scoring!BE259</f>
        <v/>
      </c>
      <c r="C253" s="138" t="n">
        <f aca="false">Scoring!C259</f>
        <v>0</v>
      </c>
      <c r="D253" s="139" t="str">
        <f aca="false">Scoring!BB259</f>
        <v/>
      </c>
      <c r="E253" s="138" t="str">
        <f aca="false">Scoring!AE259</f>
        <v/>
      </c>
      <c r="F253" s="138" t="n">
        <f aca="false">Scoring!B259</f>
        <v>0</v>
      </c>
      <c r="G253" s="138" t="n">
        <f aca="false">Scoring!D259</f>
        <v>0</v>
      </c>
      <c r="H253" s="138" t="str">
        <f aca="false">Scoring!BD259</f>
        <v/>
      </c>
      <c r="I253" s="140" t="str">
        <f aca="false">Scoring!BC259</f>
        <v/>
      </c>
    </row>
    <row r="254" customFormat="false" ht="15.75" hidden="false" customHeight="false" outlineLevel="0" collapsed="false">
      <c r="A254" s="138" t="str">
        <f aca="false">Scoring!BF260</f>
        <v/>
      </c>
      <c r="B254" s="138" t="str">
        <f aca="false">Scoring!BE260</f>
        <v/>
      </c>
      <c r="C254" s="138" t="n">
        <f aca="false">Scoring!C260</f>
        <v>0</v>
      </c>
      <c r="D254" s="139" t="str">
        <f aca="false">Scoring!BB260</f>
        <v/>
      </c>
      <c r="E254" s="138" t="str">
        <f aca="false">Scoring!AE260</f>
        <v/>
      </c>
      <c r="F254" s="138" t="n">
        <f aca="false">Scoring!B260</f>
        <v>0</v>
      </c>
      <c r="G254" s="138" t="n">
        <f aca="false">Scoring!D260</f>
        <v>0</v>
      </c>
      <c r="H254" s="138" t="str">
        <f aca="false">Scoring!BD260</f>
        <v/>
      </c>
      <c r="I254" s="140" t="str">
        <f aca="false">Scoring!BC260</f>
        <v/>
      </c>
    </row>
    <row r="255" customFormat="false" ht="15.75" hidden="false" customHeight="false" outlineLevel="0" collapsed="false">
      <c r="A255" s="138" t="str">
        <f aca="false">Scoring!BF261</f>
        <v/>
      </c>
      <c r="B255" s="138" t="str">
        <f aca="false">Scoring!BE261</f>
        <v/>
      </c>
      <c r="C255" s="138" t="n">
        <f aca="false">Scoring!C261</f>
        <v>0</v>
      </c>
      <c r="D255" s="139" t="str">
        <f aca="false">Scoring!BB261</f>
        <v/>
      </c>
      <c r="E255" s="138" t="str">
        <f aca="false">Scoring!AE261</f>
        <v/>
      </c>
      <c r="F255" s="138" t="n">
        <f aca="false">Scoring!B261</f>
        <v>0</v>
      </c>
      <c r="G255" s="138" t="n">
        <f aca="false">Scoring!D261</f>
        <v>0</v>
      </c>
      <c r="H255" s="138" t="str">
        <f aca="false">Scoring!BD261</f>
        <v/>
      </c>
      <c r="I255" s="140" t="str">
        <f aca="false">Scoring!BC261</f>
        <v/>
      </c>
    </row>
    <row r="256" customFormat="false" ht="15.75" hidden="false" customHeight="false" outlineLevel="0" collapsed="false">
      <c r="A256" s="138" t="str">
        <f aca="false">Scoring!BF262</f>
        <v/>
      </c>
      <c r="B256" s="138" t="str">
        <f aca="false">Scoring!BE262</f>
        <v/>
      </c>
      <c r="C256" s="138" t="n">
        <f aca="false">Scoring!C262</f>
        <v>0</v>
      </c>
      <c r="D256" s="139" t="str">
        <f aca="false">Scoring!BB262</f>
        <v/>
      </c>
      <c r="E256" s="138" t="str">
        <f aca="false">Scoring!AE262</f>
        <v/>
      </c>
      <c r="F256" s="138" t="n">
        <f aca="false">Scoring!B262</f>
        <v>0</v>
      </c>
      <c r="G256" s="138" t="n">
        <f aca="false">Scoring!D262</f>
        <v>0</v>
      </c>
      <c r="H256" s="138" t="str">
        <f aca="false">Scoring!BD262</f>
        <v/>
      </c>
      <c r="I256" s="140" t="str">
        <f aca="false">Scoring!BC262</f>
        <v/>
      </c>
    </row>
    <row r="257" customFormat="false" ht="15.75" hidden="false" customHeight="false" outlineLevel="0" collapsed="false">
      <c r="A257" s="138" t="str">
        <f aca="false">Scoring!BF263</f>
        <v/>
      </c>
      <c r="B257" s="138" t="str">
        <f aca="false">Scoring!BE263</f>
        <v/>
      </c>
      <c r="C257" s="138" t="n">
        <f aca="false">Scoring!C263</f>
        <v>0</v>
      </c>
      <c r="D257" s="139" t="str">
        <f aca="false">Scoring!BB263</f>
        <v/>
      </c>
      <c r="E257" s="138" t="str">
        <f aca="false">Scoring!AE263</f>
        <v/>
      </c>
      <c r="F257" s="138" t="n">
        <f aca="false">Scoring!B263</f>
        <v>0</v>
      </c>
      <c r="G257" s="138" t="n">
        <f aca="false">Scoring!D263</f>
        <v>0</v>
      </c>
      <c r="H257" s="138" t="str">
        <f aca="false">Scoring!BD263</f>
        <v/>
      </c>
      <c r="I257" s="140" t="str">
        <f aca="false">Scoring!BC263</f>
        <v/>
      </c>
    </row>
    <row r="258" customFormat="false" ht="15.75" hidden="false" customHeight="false" outlineLevel="0" collapsed="false">
      <c r="A258" s="138" t="str">
        <f aca="false">Scoring!BF264</f>
        <v/>
      </c>
      <c r="B258" s="138" t="str">
        <f aca="false">Scoring!BE264</f>
        <v/>
      </c>
      <c r="C258" s="138" t="n">
        <f aca="false">Scoring!C264</f>
        <v>0</v>
      </c>
      <c r="D258" s="139" t="str">
        <f aca="false">Scoring!BB264</f>
        <v/>
      </c>
      <c r="E258" s="138" t="str">
        <f aca="false">Scoring!AE264</f>
        <v/>
      </c>
      <c r="F258" s="138" t="n">
        <f aca="false">Scoring!B264</f>
        <v>0</v>
      </c>
      <c r="G258" s="138" t="n">
        <f aca="false">Scoring!D264</f>
        <v>0</v>
      </c>
      <c r="H258" s="138" t="str">
        <f aca="false">Scoring!BD264</f>
        <v/>
      </c>
      <c r="I258" s="140" t="str">
        <f aca="false">Scoring!BC264</f>
        <v/>
      </c>
    </row>
    <row r="259" customFormat="false" ht="15.75" hidden="false" customHeight="false" outlineLevel="0" collapsed="false">
      <c r="A259" s="138" t="str">
        <f aca="false">Scoring!BF265</f>
        <v/>
      </c>
      <c r="B259" s="138" t="str">
        <f aca="false">Scoring!BE265</f>
        <v/>
      </c>
      <c r="C259" s="138" t="n">
        <f aca="false">Scoring!C265</f>
        <v>0</v>
      </c>
      <c r="D259" s="139" t="str">
        <f aca="false">Scoring!BB265</f>
        <v/>
      </c>
      <c r="E259" s="138" t="str">
        <f aca="false">Scoring!AE265</f>
        <v/>
      </c>
      <c r="F259" s="138" t="n">
        <f aca="false">Scoring!B265</f>
        <v>0</v>
      </c>
      <c r="G259" s="138" t="n">
        <f aca="false">Scoring!D265</f>
        <v>0</v>
      </c>
      <c r="H259" s="138" t="str">
        <f aca="false">Scoring!BD265</f>
        <v/>
      </c>
      <c r="I259" s="140" t="str">
        <f aca="false">Scoring!BC265</f>
        <v/>
      </c>
    </row>
    <row r="260" customFormat="false" ht="15.75" hidden="false" customHeight="false" outlineLevel="0" collapsed="false">
      <c r="A260" s="138" t="str">
        <f aca="false">Scoring!BF266</f>
        <v/>
      </c>
      <c r="B260" s="138" t="str">
        <f aca="false">Scoring!BE266</f>
        <v/>
      </c>
      <c r="C260" s="138" t="n">
        <f aca="false">Scoring!C266</f>
        <v>0</v>
      </c>
      <c r="D260" s="139" t="str">
        <f aca="false">Scoring!BB266</f>
        <v/>
      </c>
      <c r="E260" s="138" t="str">
        <f aca="false">Scoring!AE266</f>
        <v/>
      </c>
      <c r="F260" s="138" t="n">
        <f aca="false">Scoring!B266</f>
        <v>0</v>
      </c>
      <c r="G260" s="138" t="n">
        <f aca="false">Scoring!D266</f>
        <v>0</v>
      </c>
      <c r="H260" s="138" t="str">
        <f aca="false">Scoring!BD266</f>
        <v/>
      </c>
      <c r="I260" s="140" t="str">
        <f aca="false">Scoring!BC266</f>
        <v/>
      </c>
    </row>
    <row r="261" customFormat="false" ht="15.75" hidden="false" customHeight="false" outlineLevel="0" collapsed="false">
      <c r="A261" s="138" t="str">
        <f aca="false">Scoring!BF267</f>
        <v/>
      </c>
      <c r="B261" s="138" t="str">
        <f aca="false">Scoring!BE267</f>
        <v/>
      </c>
      <c r="C261" s="138" t="n">
        <f aca="false">Scoring!C267</f>
        <v>0</v>
      </c>
      <c r="D261" s="139" t="str">
        <f aca="false">Scoring!BB267</f>
        <v/>
      </c>
      <c r="E261" s="138" t="str">
        <f aca="false">Scoring!AE267</f>
        <v/>
      </c>
      <c r="F261" s="138" t="n">
        <f aca="false">Scoring!B267</f>
        <v>0</v>
      </c>
      <c r="G261" s="138" t="n">
        <f aca="false">Scoring!D267</f>
        <v>0</v>
      </c>
      <c r="H261" s="138" t="str">
        <f aca="false">Scoring!BD267</f>
        <v/>
      </c>
      <c r="I261" s="140" t="str">
        <f aca="false">Scoring!BC267</f>
        <v/>
      </c>
    </row>
    <row r="262" customFormat="false" ht="15.75" hidden="false" customHeight="false" outlineLevel="0" collapsed="false">
      <c r="A262" s="138" t="str">
        <f aca="false">Scoring!BF268</f>
        <v/>
      </c>
      <c r="B262" s="138" t="str">
        <f aca="false">Scoring!BE268</f>
        <v/>
      </c>
      <c r="C262" s="138" t="n">
        <f aca="false">Scoring!C268</f>
        <v>0</v>
      </c>
      <c r="D262" s="139" t="str">
        <f aca="false">Scoring!BB268</f>
        <v/>
      </c>
      <c r="E262" s="138" t="str">
        <f aca="false">Scoring!AE268</f>
        <v/>
      </c>
      <c r="F262" s="138" t="n">
        <f aca="false">Scoring!B268</f>
        <v>0</v>
      </c>
      <c r="G262" s="138" t="n">
        <f aca="false">Scoring!D268</f>
        <v>0</v>
      </c>
      <c r="H262" s="138" t="str">
        <f aca="false">Scoring!BD268</f>
        <v/>
      </c>
      <c r="I262" s="140" t="str">
        <f aca="false">Scoring!BC268</f>
        <v/>
      </c>
    </row>
    <row r="263" customFormat="false" ht="15.75" hidden="false" customHeight="false" outlineLevel="0" collapsed="false">
      <c r="A263" s="138" t="str">
        <f aca="false">Scoring!BF269</f>
        <v/>
      </c>
      <c r="B263" s="138" t="str">
        <f aca="false">Scoring!BE269</f>
        <v/>
      </c>
      <c r="C263" s="138" t="n">
        <f aca="false">Scoring!C269</f>
        <v>0</v>
      </c>
      <c r="D263" s="139" t="str">
        <f aca="false">Scoring!BB269</f>
        <v/>
      </c>
      <c r="E263" s="138" t="str">
        <f aca="false">Scoring!AE269</f>
        <v/>
      </c>
      <c r="F263" s="138" t="n">
        <f aca="false">Scoring!B269</f>
        <v>0</v>
      </c>
      <c r="G263" s="138" t="n">
        <f aca="false">Scoring!D269</f>
        <v>0</v>
      </c>
      <c r="H263" s="138" t="str">
        <f aca="false">Scoring!BD269</f>
        <v/>
      </c>
      <c r="I263" s="140" t="str">
        <f aca="false">Scoring!BC269</f>
        <v/>
      </c>
    </row>
    <row r="264" customFormat="false" ht="15.75" hidden="false" customHeight="false" outlineLevel="0" collapsed="false">
      <c r="A264" s="138" t="str">
        <f aca="false">Scoring!BF270</f>
        <v/>
      </c>
      <c r="B264" s="138" t="str">
        <f aca="false">Scoring!BE270</f>
        <v/>
      </c>
      <c r="C264" s="138" t="n">
        <f aca="false">Scoring!C270</f>
        <v>0</v>
      </c>
      <c r="D264" s="139" t="str">
        <f aca="false">Scoring!BB270</f>
        <v/>
      </c>
      <c r="E264" s="138" t="str">
        <f aca="false">Scoring!AE270</f>
        <v/>
      </c>
      <c r="F264" s="138" t="n">
        <f aca="false">Scoring!B270</f>
        <v>0</v>
      </c>
      <c r="G264" s="138" t="n">
        <f aca="false">Scoring!D270</f>
        <v>0</v>
      </c>
      <c r="H264" s="138" t="str">
        <f aca="false">Scoring!BD270</f>
        <v/>
      </c>
      <c r="I264" s="140" t="str">
        <f aca="false">Scoring!BC270</f>
        <v/>
      </c>
    </row>
    <row r="265" customFormat="false" ht="15.75" hidden="false" customHeight="false" outlineLevel="0" collapsed="false">
      <c r="A265" s="138" t="str">
        <f aca="false">Scoring!BF271</f>
        <v/>
      </c>
      <c r="B265" s="138" t="str">
        <f aca="false">Scoring!BE271</f>
        <v/>
      </c>
      <c r="C265" s="138" t="n">
        <f aca="false">Scoring!C271</f>
        <v>0</v>
      </c>
      <c r="D265" s="139" t="str">
        <f aca="false">Scoring!BB271</f>
        <v/>
      </c>
      <c r="E265" s="138" t="str">
        <f aca="false">Scoring!AE271</f>
        <v/>
      </c>
      <c r="F265" s="138" t="n">
        <f aca="false">Scoring!B271</f>
        <v>0</v>
      </c>
      <c r="G265" s="138" t="n">
        <f aca="false">Scoring!D271</f>
        <v>0</v>
      </c>
      <c r="H265" s="138" t="str">
        <f aca="false">Scoring!BD271</f>
        <v/>
      </c>
      <c r="I265" s="140" t="str">
        <f aca="false">Scoring!BC271</f>
        <v/>
      </c>
    </row>
    <row r="266" customFormat="false" ht="15.75" hidden="false" customHeight="false" outlineLevel="0" collapsed="false">
      <c r="A266" s="138" t="str">
        <f aca="false">Scoring!BF272</f>
        <v/>
      </c>
      <c r="B266" s="138" t="str">
        <f aca="false">Scoring!BE272</f>
        <v/>
      </c>
      <c r="C266" s="138" t="n">
        <f aca="false">Scoring!C272</f>
        <v>0</v>
      </c>
      <c r="D266" s="139" t="str">
        <f aca="false">Scoring!BB272</f>
        <v/>
      </c>
      <c r="E266" s="138" t="str">
        <f aca="false">Scoring!AE272</f>
        <v/>
      </c>
      <c r="F266" s="138" t="n">
        <f aca="false">Scoring!B272</f>
        <v>0</v>
      </c>
      <c r="G266" s="138" t="n">
        <f aca="false">Scoring!D272</f>
        <v>0</v>
      </c>
      <c r="H266" s="138" t="str">
        <f aca="false">Scoring!BD272</f>
        <v/>
      </c>
      <c r="I266" s="140" t="str">
        <f aca="false">Scoring!BC272</f>
        <v/>
      </c>
    </row>
    <row r="267" customFormat="false" ht="15.75" hidden="false" customHeight="false" outlineLevel="0" collapsed="false">
      <c r="A267" s="138" t="str">
        <f aca="false">Scoring!BF273</f>
        <v/>
      </c>
      <c r="B267" s="138" t="str">
        <f aca="false">Scoring!BE273</f>
        <v/>
      </c>
      <c r="C267" s="138" t="n">
        <f aca="false">Scoring!C273</f>
        <v>0</v>
      </c>
      <c r="D267" s="139" t="str">
        <f aca="false">Scoring!BB273</f>
        <v/>
      </c>
      <c r="E267" s="138" t="str">
        <f aca="false">Scoring!AE273</f>
        <v/>
      </c>
      <c r="F267" s="138" t="n">
        <f aca="false">Scoring!B273</f>
        <v>0</v>
      </c>
      <c r="G267" s="138" t="n">
        <f aca="false">Scoring!D273</f>
        <v>0</v>
      </c>
      <c r="H267" s="138" t="str">
        <f aca="false">Scoring!BD273</f>
        <v/>
      </c>
      <c r="I267" s="140" t="str">
        <f aca="false">Scoring!BC273</f>
        <v/>
      </c>
    </row>
    <row r="268" customFormat="false" ht="15.75" hidden="false" customHeight="false" outlineLevel="0" collapsed="false">
      <c r="A268" s="138" t="str">
        <f aca="false">Scoring!BF274</f>
        <v/>
      </c>
      <c r="B268" s="138" t="str">
        <f aca="false">Scoring!BE274</f>
        <v/>
      </c>
      <c r="C268" s="138" t="n">
        <f aca="false">Scoring!C274</f>
        <v>0</v>
      </c>
      <c r="D268" s="139" t="str">
        <f aca="false">Scoring!BB274</f>
        <v/>
      </c>
      <c r="E268" s="138" t="str">
        <f aca="false">Scoring!AE274</f>
        <v/>
      </c>
      <c r="F268" s="138" t="n">
        <f aca="false">Scoring!B274</f>
        <v>0</v>
      </c>
      <c r="G268" s="138" t="n">
        <f aca="false">Scoring!D274</f>
        <v>0</v>
      </c>
      <c r="H268" s="138" t="str">
        <f aca="false">Scoring!BD274</f>
        <v/>
      </c>
      <c r="I268" s="140" t="str">
        <f aca="false">Scoring!BC274</f>
        <v/>
      </c>
    </row>
    <row r="269" customFormat="false" ht="15.75" hidden="false" customHeight="false" outlineLevel="0" collapsed="false">
      <c r="A269" s="138" t="str">
        <f aca="false">Scoring!BF275</f>
        <v/>
      </c>
      <c r="B269" s="138" t="str">
        <f aca="false">Scoring!BE275</f>
        <v/>
      </c>
      <c r="C269" s="138" t="n">
        <f aca="false">Scoring!C275</f>
        <v>0</v>
      </c>
      <c r="D269" s="139" t="str">
        <f aca="false">Scoring!BB275</f>
        <v/>
      </c>
      <c r="E269" s="138" t="str">
        <f aca="false">Scoring!AE275</f>
        <v/>
      </c>
      <c r="F269" s="138" t="n">
        <f aca="false">Scoring!B275</f>
        <v>0</v>
      </c>
      <c r="G269" s="138" t="n">
        <f aca="false">Scoring!D275</f>
        <v>0</v>
      </c>
      <c r="H269" s="138" t="str">
        <f aca="false">Scoring!BD275</f>
        <v/>
      </c>
      <c r="I269" s="140" t="str">
        <f aca="false">Scoring!BC275</f>
        <v/>
      </c>
    </row>
    <row r="270" customFormat="false" ht="15.75" hidden="false" customHeight="false" outlineLevel="0" collapsed="false">
      <c r="A270" s="138" t="str">
        <f aca="false">Scoring!BF276</f>
        <v/>
      </c>
      <c r="B270" s="138" t="str">
        <f aca="false">Scoring!BE276</f>
        <v/>
      </c>
      <c r="C270" s="138" t="n">
        <f aca="false">Scoring!C276</f>
        <v>0</v>
      </c>
      <c r="D270" s="139" t="str">
        <f aca="false">Scoring!BB276</f>
        <v/>
      </c>
      <c r="E270" s="138" t="str">
        <f aca="false">Scoring!AE276</f>
        <v/>
      </c>
      <c r="F270" s="138" t="n">
        <f aca="false">Scoring!B276</f>
        <v>0</v>
      </c>
      <c r="G270" s="138" t="n">
        <f aca="false">Scoring!D276</f>
        <v>0</v>
      </c>
      <c r="H270" s="138" t="str">
        <f aca="false">Scoring!BD276</f>
        <v/>
      </c>
      <c r="I270" s="140" t="str">
        <f aca="false">Scoring!BC276</f>
        <v/>
      </c>
    </row>
    <row r="271" customFormat="false" ht="15.75" hidden="false" customHeight="false" outlineLevel="0" collapsed="false">
      <c r="A271" s="138" t="str">
        <f aca="false">Scoring!BF277</f>
        <v/>
      </c>
      <c r="B271" s="138" t="str">
        <f aca="false">Scoring!BE277</f>
        <v/>
      </c>
      <c r="C271" s="138" t="n">
        <f aca="false">Scoring!C277</f>
        <v>0</v>
      </c>
      <c r="D271" s="139" t="str">
        <f aca="false">Scoring!BB277</f>
        <v/>
      </c>
      <c r="E271" s="138" t="str">
        <f aca="false">Scoring!AE277</f>
        <v/>
      </c>
      <c r="F271" s="138" t="n">
        <f aca="false">Scoring!B277</f>
        <v>0</v>
      </c>
      <c r="G271" s="138" t="n">
        <f aca="false">Scoring!D277</f>
        <v>0</v>
      </c>
      <c r="H271" s="138" t="str">
        <f aca="false">Scoring!BD277</f>
        <v/>
      </c>
      <c r="I271" s="140" t="str">
        <f aca="false">Scoring!BC277</f>
        <v/>
      </c>
    </row>
    <row r="272" customFormat="false" ht="15.75" hidden="false" customHeight="false" outlineLevel="0" collapsed="false">
      <c r="A272" s="138" t="str">
        <f aca="false">Scoring!BF278</f>
        <v/>
      </c>
      <c r="B272" s="138" t="str">
        <f aca="false">Scoring!BE278</f>
        <v/>
      </c>
      <c r="C272" s="138" t="n">
        <f aca="false">Scoring!C278</f>
        <v>0</v>
      </c>
      <c r="D272" s="139" t="str">
        <f aca="false">Scoring!BB278</f>
        <v/>
      </c>
      <c r="E272" s="138" t="str">
        <f aca="false">Scoring!AE278</f>
        <v/>
      </c>
      <c r="F272" s="138" t="n">
        <f aca="false">Scoring!B278</f>
        <v>0</v>
      </c>
      <c r="G272" s="138" t="n">
        <f aca="false">Scoring!D278</f>
        <v>0</v>
      </c>
      <c r="H272" s="138" t="str">
        <f aca="false">Scoring!BD278</f>
        <v/>
      </c>
      <c r="I272" s="140" t="str">
        <f aca="false">Scoring!BC278</f>
        <v/>
      </c>
    </row>
    <row r="273" customFormat="false" ht="15.75" hidden="false" customHeight="false" outlineLevel="0" collapsed="false">
      <c r="A273" s="138" t="str">
        <f aca="false">Scoring!BF279</f>
        <v/>
      </c>
      <c r="B273" s="138" t="str">
        <f aca="false">Scoring!BE279</f>
        <v/>
      </c>
      <c r="C273" s="138" t="n">
        <f aca="false">Scoring!C279</f>
        <v>0</v>
      </c>
      <c r="D273" s="139" t="str">
        <f aca="false">Scoring!BB279</f>
        <v/>
      </c>
      <c r="E273" s="138" t="str">
        <f aca="false">Scoring!AE279</f>
        <v/>
      </c>
      <c r="F273" s="138" t="n">
        <f aca="false">Scoring!B279</f>
        <v>0</v>
      </c>
      <c r="G273" s="138" t="n">
        <f aca="false">Scoring!D279</f>
        <v>0</v>
      </c>
      <c r="H273" s="138" t="str">
        <f aca="false">Scoring!BD279</f>
        <v/>
      </c>
      <c r="I273" s="140" t="str">
        <f aca="false">Scoring!BC279</f>
        <v/>
      </c>
    </row>
    <row r="274" customFormat="false" ht="15.75" hidden="false" customHeight="false" outlineLevel="0" collapsed="false">
      <c r="A274" s="138" t="str">
        <f aca="false">Scoring!BF280</f>
        <v/>
      </c>
      <c r="B274" s="138" t="str">
        <f aca="false">Scoring!BE280</f>
        <v/>
      </c>
      <c r="C274" s="138" t="n">
        <f aca="false">Scoring!C280</f>
        <v>0</v>
      </c>
      <c r="D274" s="139" t="str">
        <f aca="false">Scoring!BB280</f>
        <v/>
      </c>
      <c r="E274" s="138" t="str">
        <f aca="false">Scoring!AE280</f>
        <v/>
      </c>
      <c r="F274" s="138" t="n">
        <f aca="false">Scoring!B280</f>
        <v>0</v>
      </c>
      <c r="G274" s="138" t="n">
        <f aca="false">Scoring!D280</f>
        <v>0</v>
      </c>
      <c r="H274" s="138" t="str">
        <f aca="false">Scoring!BD280</f>
        <v/>
      </c>
      <c r="I274" s="140" t="str">
        <f aca="false">Scoring!BC280</f>
        <v/>
      </c>
    </row>
    <row r="275" customFormat="false" ht="15.75" hidden="false" customHeight="false" outlineLevel="0" collapsed="false">
      <c r="A275" s="138" t="str">
        <f aca="false">Scoring!BF281</f>
        <v/>
      </c>
      <c r="B275" s="138" t="str">
        <f aca="false">Scoring!BE281</f>
        <v/>
      </c>
      <c r="C275" s="138" t="n">
        <f aca="false">Scoring!C281</f>
        <v>0</v>
      </c>
      <c r="D275" s="139" t="str">
        <f aca="false">Scoring!BB281</f>
        <v/>
      </c>
      <c r="E275" s="138" t="str">
        <f aca="false">Scoring!AE281</f>
        <v/>
      </c>
      <c r="F275" s="138" t="n">
        <f aca="false">Scoring!B281</f>
        <v>0</v>
      </c>
      <c r="G275" s="138" t="n">
        <f aca="false">Scoring!D281</f>
        <v>0</v>
      </c>
      <c r="H275" s="138" t="str">
        <f aca="false">Scoring!BD281</f>
        <v/>
      </c>
      <c r="I275" s="140" t="str">
        <f aca="false">Scoring!BC281</f>
        <v/>
      </c>
    </row>
    <row r="276" customFormat="false" ht="15.75" hidden="false" customHeight="false" outlineLevel="0" collapsed="false">
      <c r="A276" s="138" t="str">
        <f aca="false">Scoring!BF282</f>
        <v/>
      </c>
      <c r="B276" s="138" t="str">
        <f aca="false">Scoring!BE282</f>
        <v/>
      </c>
      <c r="C276" s="138" t="n">
        <f aca="false">Scoring!C282</f>
        <v>0</v>
      </c>
      <c r="D276" s="139" t="str">
        <f aca="false">Scoring!BB282</f>
        <v/>
      </c>
      <c r="E276" s="138" t="str">
        <f aca="false">Scoring!AE282</f>
        <v/>
      </c>
      <c r="F276" s="138" t="n">
        <f aca="false">Scoring!B282</f>
        <v>0</v>
      </c>
      <c r="G276" s="138" t="n">
        <f aca="false">Scoring!D282</f>
        <v>0</v>
      </c>
      <c r="H276" s="138" t="str">
        <f aca="false">Scoring!BD282</f>
        <v/>
      </c>
      <c r="I276" s="140" t="str">
        <f aca="false">Scoring!BC282</f>
        <v/>
      </c>
    </row>
    <row r="277" customFormat="false" ht="15.75" hidden="false" customHeight="false" outlineLevel="0" collapsed="false">
      <c r="A277" s="138" t="str">
        <f aca="false">Scoring!BF283</f>
        <v/>
      </c>
      <c r="B277" s="138" t="str">
        <f aca="false">Scoring!BE283</f>
        <v/>
      </c>
      <c r="C277" s="138" t="n">
        <f aca="false">Scoring!C283</f>
        <v>0</v>
      </c>
      <c r="D277" s="139" t="str">
        <f aca="false">Scoring!BB283</f>
        <v/>
      </c>
      <c r="E277" s="138" t="str">
        <f aca="false">Scoring!AE283</f>
        <v/>
      </c>
      <c r="F277" s="138" t="n">
        <f aca="false">Scoring!B283</f>
        <v>0</v>
      </c>
      <c r="G277" s="138" t="n">
        <f aca="false">Scoring!D283</f>
        <v>0</v>
      </c>
      <c r="H277" s="138" t="str">
        <f aca="false">Scoring!BD283</f>
        <v/>
      </c>
      <c r="I277" s="140" t="str">
        <f aca="false">Scoring!BC283</f>
        <v/>
      </c>
    </row>
    <row r="278" customFormat="false" ht="15.75" hidden="false" customHeight="false" outlineLevel="0" collapsed="false">
      <c r="A278" s="138" t="str">
        <f aca="false">Scoring!BF284</f>
        <v/>
      </c>
      <c r="B278" s="138" t="str">
        <f aca="false">Scoring!BE284</f>
        <v/>
      </c>
      <c r="C278" s="138" t="n">
        <f aca="false">Scoring!C284</f>
        <v>0</v>
      </c>
      <c r="D278" s="139" t="str">
        <f aca="false">Scoring!BB284</f>
        <v/>
      </c>
      <c r="E278" s="138" t="str">
        <f aca="false">Scoring!AE284</f>
        <v/>
      </c>
      <c r="F278" s="138" t="n">
        <f aca="false">Scoring!B284</f>
        <v>0</v>
      </c>
      <c r="G278" s="138" t="n">
        <f aca="false">Scoring!D284</f>
        <v>0</v>
      </c>
      <c r="H278" s="138" t="str">
        <f aca="false">Scoring!BD284</f>
        <v/>
      </c>
      <c r="I278" s="140" t="str">
        <f aca="false">Scoring!BC284</f>
        <v/>
      </c>
    </row>
    <row r="279" customFormat="false" ht="15.75" hidden="false" customHeight="false" outlineLevel="0" collapsed="false">
      <c r="A279" s="138" t="str">
        <f aca="false">Scoring!BF285</f>
        <v/>
      </c>
      <c r="B279" s="138" t="str">
        <f aca="false">Scoring!BE285</f>
        <v/>
      </c>
      <c r="C279" s="138" t="n">
        <f aca="false">Scoring!C285</f>
        <v>0</v>
      </c>
      <c r="D279" s="139" t="str">
        <f aca="false">Scoring!BB285</f>
        <v/>
      </c>
      <c r="E279" s="138" t="str">
        <f aca="false">Scoring!AE285</f>
        <v/>
      </c>
      <c r="F279" s="138" t="n">
        <f aca="false">Scoring!B285</f>
        <v>0</v>
      </c>
      <c r="G279" s="138" t="n">
        <f aca="false">Scoring!D285</f>
        <v>0</v>
      </c>
      <c r="H279" s="138" t="str">
        <f aca="false">Scoring!BD285</f>
        <v/>
      </c>
      <c r="I279" s="140" t="str">
        <f aca="false">Scoring!BC285</f>
        <v/>
      </c>
    </row>
    <row r="280" customFormat="false" ht="15.75" hidden="false" customHeight="false" outlineLevel="0" collapsed="false">
      <c r="A280" s="138" t="str">
        <f aca="false">Scoring!BF286</f>
        <v/>
      </c>
      <c r="B280" s="138" t="str">
        <f aca="false">Scoring!BE286</f>
        <v/>
      </c>
      <c r="C280" s="138" t="n">
        <f aca="false">Scoring!C286</f>
        <v>0</v>
      </c>
      <c r="D280" s="139" t="str">
        <f aca="false">Scoring!BB286</f>
        <v/>
      </c>
      <c r="E280" s="138" t="str">
        <f aca="false">Scoring!AE286</f>
        <v/>
      </c>
      <c r="F280" s="138" t="n">
        <f aca="false">Scoring!B286</f>
        <v>0</v>
      </c>
      <c r="G280" s="138" t="n">
        <f aca="false">Scoring!D286</f>
        <v>0</v>
      </c>
      <c r="H280" s="138" t="str">
        <f aca="false">Scoring!BD286</f>
        <v/>
      </c>
      <c r="I280" s="140" t="str">
        <f aca="false">Scoring!BC286</f>
        <v/>
      </c>
    </row>
    <row r="281" customFormat="false" ht="15.75" hidden="false" customHeight="false" outlineLevel="0" collapsed="false">
      <c r="A281" s="138" t="str">
        <f aca="false">Scoring!BF287</f>
        <v/>
      </c>
      <c r="B281" s="138" t="str">
        <f aca="false">Scoring!BE287</f>
        <v/>
      </c>
      <c r="C281" s="138" t="n">
        <f aca="false">Scoring!C287</f>
        <v>0</v>
      </c>
      <c r="D281" s="139" t="str">
        <f aca="false">Scoring!BB287</f>
        <v/>
      </c>
      <c r="E281" s="138" t="str">
        <f aca="false">Scoring!AE287</f>
        <v/>
      </c>
      <c r="F281" s="138" t="n">
        <f aca="false">Scoring!B287</f>
        <v>0</v>
      </c>
      <c r="G281" s="138" t="n">
        <f aca="false">Scoring!D287</f>
        <v>0</v>
      </c>
      <c r="H281" s="138" t="str">
        <f aca="false">Scoring!BD287</f>
        <v/>
      </c>
      <c r="I281" s="140" t="str">
        <f aca="false">Scoring!BC287</f>
        <v/>
      </c>
    </row>
    <row r="282" customFormat="false" ht="15.75" hidden="false" customHeight="false" outlineLevel="0" collapsed="false">
      <c r="A282" s="138" t="str">
        <f aca="false">Scoring!BF288</f>
        <v/>
      </c>
      <c r="B282" s="138" t="str">
        <f aca="false">Scoring!BE288</f>
        <v/>
      </c>
      <c r="C282" s="138" t="n">
        <f aca="false">Scoring!C288</f>
        <v>0</v>
      </c>
      <c r="D282" s="139" t="str">
        <f aca="false">Scoring!BB288</f>
        <v/>
      </c>
      <c r="E282" s="138" t="str">
        <f aca="false">Scoring!AE288</f>
        <v/>
      </c>
      <c r="F282" s="138" t="n">
        <f aca="false">Scoring!B288</f>
        <v>0</v>
      </c>
      <c r="G282" s="138" t="n">
        <f aca="false">Scoring!D288</f>
        <v>0</v>
      </c>
      <c r="H282" s="138" t="str">
        <f aca="false">Scoring!BD288</f>
        <v/>
      </c>
      <c r="I282" s="140" t="str">
        <f aca="false">Scoring!BC288</f>
        <v/>
      </c>
    </row>
    <row r="283" customFormat="false" ht="15.75" hidden="false" customHeight="false" outlineLevel="0" collapsed="false">
      <c r="A283" s="138" t="str">
        <f aca="false">Scoring!BF289</f>
        <v/>
      </c>
      <c r="B283" s="138" t="str">
        <f aca="false">Scoring!BE289</f>
        <v/>
      </c>
      <c r="C283" s="138" t="n">
        <f aca="false">Scoring!C289</f>
        <v>0</v>
      </c>
      <c r="D283" s="139" t="str">
        <f aca="false">Scoring!BB289</f>
        <v/>
      </c>
      <c r="E283" s="138" t="str">
        <f aca="false">Scoring!AE289</f>
        <v/>
      </c>
      <c r="F283" s="138" t="n">
        <f aca="false">Scoring!B289</f>
        <v>0</v>
      </c>
      <c r="G283" s="138" t="n">
        <f aca="false">Scoring!D289</f>
        <v>0</v>
      </c>
      <c r="H283" s="138" t="str">
        <f aca="false">Scoring!BD289</f>
        <v/>
      </c>
      <c r="I283" s="140" t="str">
        <f aca="false">Scoring!BC289</f>
        <v/>
      </c>
    </row>
    <row r="284" customFormat="false" ht="15.75" hidden="false" customHeight="false" outlineLevel="0" collapsed="false">
      <c r="A284" s="138" t="str">
        <f aca="false">Scoring!BF290</f>
        <v/>
      </c>
      <c r="B284" s="138" t="str">
        <f aca="false">Scoring!BE290</f>
        <v/>
      </c>
      <c r="C284" s="138" t="n">
        <f aca="false">Scoring!C290</f>
        <v>0</v>
      </c>
      <c r="D284" s="139" t="str">
        <f aca="false">Scoring!BB290</f>
        <v/>
      </c>
      <c r="E284" s="138" t="str">
        <f aca="false">Scoring!AE290</f>
        <v/>
      </c>
      <c r="F284" s="138" t="n">
        <f aca="false">Scoring!B290</f>
        <v>0</v>
      </c>
      <c r="G284" s="138" t="n">
        <f aca="false">Scoring!D290</f>
        <v>0</v>
      </c>
      <c r="H284" s="138" t="str">
        <f aca="false">Scoring!BD290</f>
        <v/>
      </c>
      <c r="I284" s="140" t="str">
        <f aca="false">Scoring!BC290</f>
        <v/>
      </c>
    </row>
    <row r="285" customFormat="false" ht="15.75" hidden="false" customHeight="false" outlineLevel="0" collapsed="false">
      <c r="A285" s="138" t="str">
        <f aca="false">Scoring!BF291</f>
        <v/>
      </c>
      <c r="B285" s="138" t="str">
        <f aca="false">Scoring!BE291</f>
        <v/>
      </c>
      <c r="C285" s="138" t="n">
        <f aca="false">Scoring!C291</f>
        <v>0</v>
      </c>
      <c r="D285" s="139" t="str">
        <f aca="false">Scoring!BB291</f>
        <v/>
      </c>
      <c r="E285" s="138" t="str">
        <f aca="false">Scoring!AE291</f>
        <v/>
      </c>
      <c r="F285" s="138" t="n">
        <f aca="false">Scoring!B291</f>
        <v>0</v>
      </c>
      <c r="G285" s="138" t="n">
        <f aca="false">Scoring!D291</f>
        <v>0</v>
      </c>
      <c r="H285" s="138" t="str">
        <f aca="false">Scoring!BD291</f>
        <v/>
      </c>
      <c r="I285" s="140" t="str">
        <f aca="false">Scoring!BC291</f>
        <v/>
      </c>
    </row>
    <row r="286" customFormat="false" ht="15.75" hidden="false" customHeight="false" outlineLevel="0" collapsed="false">
      <c r="A286" s="138" t="str">
        <f aca="false">Scoring!BF292</f>
        <v/>
      </c>
      <c r="B286" s="138" t="str">
        <f aca="false">Scoring!BE292</f>
        <v/>
      </c>
      <c r="C286" s="138" t="n">
        <f aca="false">Scoring!C292</f>
        <v>0</v>
      </c>
      <c r="D286" s="139" t="str">
        <f aca="false">Scoring!BB292</f>
        <v/>
      </c>
      <c r="E286" s="138" t="str">
        <f aca="false">Scoring!AE292</f>
        <v/>
      </c>
      <c r="F286" s="138" t="n">
        <f aca="false">Scoring!B292</f>
        <v>0</v>
      </c>
      <c r="G286" s="138" t="n">
        <f aca="false">Scoring!D292</f>
        <v>0</v>
      </c>
      <c r="H286" s="138" t="str">
        <f aca="false">Scoring!BD292</f>
        <v/>
      </c>
      <c r="I286" s="140" t="str">
        <f aca="false">Scoring!BC292</f>
        <v/>
      </c>
    </row>
    <row r="287" customFormat="false" ht="15.75" hidden="false" customHeight="false" outlineLevel="0" collapsed="false">
      <c r="A287" s="138" t="str">
        <f aca="false">Scoring!BF293</f>
        <v/>
      </c>
      <c r="B287" s="138" t="str">
        <f aca="false">Scoring!BE293</f>
        <v/>
      </c>
      <c r="C287" s="138" t="n">
        <f aca="false">Scoring!C293</f>
        <v>0</v>
      </c>
      <c r="D287" s="139" t="str">
        <f aca="false">Scoring!BB293</f>
        <v/>
      </c>
      <c r="E287" s="138" t="str">
        <f aca="false">Scoring!AE293</f>
        <v/>
      </c>
      <c r="F287" s="138" t="n">
        <f aca="false">Scoring!B293</f>
        <v>0</v>
      </c>
      <c r="G287" s="138" t="n">
        <f aca="false">Scoring!D293</f>
        <v>0</v>
      </c>
      <c r="H287" s="138" t="str">
        <f aca="false">Scoring!BD293</f>
        <v/>
      </c>
      <c r="I287" s="140" t="str">
        <f aca="false">Scoring!BC293</f>
        <v/>
      </c>
    </row>
    <row r="288" customFormat="false" ht="15.75" hidden="false" customHeight="false" outlineLevel="0" collapsed="false">
      <c r="A288" s="138" t="str">
        <f aca="false">Scoring!BF294</f>
        <v/>
      </c>
      <c r="B288" s="138" t="str">
        <f aca="false">Scoring!BE294</f>
        <v/>
      </c>
      <c r="C288" s="138" t="n">
        <f aca="false">Scoring!C294</f>
        <v>0</v>
      </c>
      <c r="D288" s="139" t="str">
        <f aca="false">Scoring!BB294</f>
        <v/>
      </c>
      <c r="E288" s="138" t="str">
        <f aca="false">Scoring!AE294</f>
        <v/>
      </c>
      <c r="F288" s="138" t="n">
        <f aca="false">Scoring!B294</f>
        <v>0</v>
      </c>
      <c r="G288" s="138" t="n">
        <f aca="false">Scoring!D294</f>
        <v>0</v>
      </c>
      <c r="H288" s="138" t="str">
        <f aca="false">Scoring!BD294</f>
        <v/>
      </c>
      <c r="I288" s="140" t="str">
        <f aca="false">Scoring!BC294</f>
        <v/>
      </c>
    </row>
    <row r="289" customFormat="false" ht="15.75" hidden="false" customHeight="false" outlineLevel="0" collapsed="false">
      <c r="A289" s="138" t="str">
        <f aca="false">Scoring!BF295</f>
        <v/>
      </c>
      <c r="B289" s="138" t="str">
        <f aca="false">Scoring!BE295</f>
        <v/>
      </c>
      <c r="C289" s="138" t="n">
        <f aca="false">Scoring!C295</f>
        <v>0</v>
      </c>
      <c r="D289" s="139" t="str">
        <f aca="false">Scoring!BB295</f>
        <v/>
      </c>
      <c r="E289" s="138" t="str">
        <f aca="false">Scoring!AE295</f>
        <v/>
      </c>
      <c r="F289" s="138" t="n">
        <f aca="false">Scoring!B295</f>
        <v>0</v>
      </c>
      <c r="G289" s="138" t="n">
        <f aca="false">Scoring!D295</f>
        <v>0</v>
      </c>
      <c r="H289" s="138" t="str">
        <f aca="false">Scoring!BD295</f>
        <v/>
      </c>
      <c r="I289" s="140" t="str">
        <f aca="false">Scoring!BC295</f>
        <v/>
      </c>
    </row>
    <row r="290" customFormat="false" ht="15.75" hidden="false" customHeight="false" outlineLevel="0" collapsed="false">
      <c r="A290" s="138" t="str">
        <f aca="false">Scoring!BF296</f>
        <v/>
      </c>
      <c r="B290" s="138" t="str">
        <f aca="false">Scoring!BE296</f>
        <v/>
      </c>
      <c r="C290" s="138" t="n">
        <f aca="false">Scoring!C296</f>
        <v>0</v>
      </c>
      <c r="D290" s="139" t="str">
        <f aca="false">Scoring!BB296</f>
        <v/>
      </c>
      <c r="E290" s="138" t="str">
        <f aca="false">Scoring!AE296</f>
        <v/>
      </c>
      <c r="F290" s="138" t="n">
        <f aca="false">Scoring!B296</f>
        <v>0</v>
      </c>
      <c r="G290" s="138" t="n">
        <f aca="false">Scoring!D296</f>
        <v>0</v>
      </c>
      <c r="H290" s="138" t="str">
        <f aca="false">Scoring!BD296</f>
        <v/>
      </c>
      <c r="I290" s="140" t="str">
        <f aca="false">Scoring!BC296</f>
        <v/>
      </c>
    </row>
    <row r="291" customFormat="false" ht="15.75" hidden="false" customHeight="false" outlineLevel="0" collapsed="false">
      <c r="A291" s="138" t="str">
        <f aca="false">Scoring!BF297</f>
        <v/>
      </c>
      <c r="B291" s="138" t="str">
        <f aca="false">Scoring!BE297</f>
        <v/>
      </c>
      <c r="C291" s="138" t="n">
        <f aca="false">Scoring!C297</f>
        <v>0</v>
      </c>
      <c r="D291" s="139" t="str">
        <f aca="false">Scoring!BB297</f>
        <v/>
      </c>
      <c r="E291" s="138" t="str">
        <f aca="false">Scoring!AE297</f>
        <v/>
      </c>
      <c r="F291" s="138" t="n">
        <f aca="false">Scoring!B297</f>
        <v>0</v>
      </c>
      <c r="G291" s="138" t="n">
        <f aca="false">Scoring!D297</f>
        <v>0</v>
      </c>
      <c r="H291" s="138" t="str">
        <f aca="false">Scoring!BD297</f>
        <v/>
      </c>
      <c r="I291" s="140" t="str">
        <f aca="false">Scoring!BC297</f>
        <v/>
      </c>
    </row>
    <row r="292" customFormat="false" ht="15.75" hidden="false" customHeight="false" outlineLevel="0" collapsed="false">
      <c r="A292" s="138" t="str">
        <f aca="false">Scoring!BF298</f>
        <v/>
      </c>
      <c r="B292" s="138" t="str">
        <f aca="false">Scoring!BE298</f>
        <v/>
      </c>
      <c r="C292" s="138" t="n">
        <f aca="false">Scoring!C298</f>
        <v>0</v>
      </c>
      <c r="D292" s="139" t="str">
        <f aca="false">Scoring!BB298</f>
        <v/>
      </c>
      <c r="E292" s="138" t="str">
        <f aca="false">Scoring!AE298</f>
        <v/>
      </c>
      <c r="F292" s="138" t="n">
        <f aca="false">Scoring!B298</f>
        <v>0</v>
      </c>
      <c r="G292" s="138" t="n">
        <f aca="false">Scoring!D298</f>
        <v>0</v>
      </c>
      <c r="H292" s="138" t="str">
        <f aca="false">Scoring!BD298</f>
        <v/>
      </c>
      <c r="I292" s="140" t="str">
        <f aca="false">Scoring!BC298</f>
        <v/>
      </c>
    </row>
    <row r="293" customFormat="false" ht="15.75" hidden="false" customHeight="false" outlineLevel="0" collapsed="false">
      <c r="A293" s="138" t="str">
        <f aca="false">Scoring!BF299</f>
        <v/>
      </c>
      <c r="B293" s="138" t="str">
        <f aca="false">Scoring!BE299</f>
        <v/>
      </c>
      <c r="C293" s="138" t="n">
        <f aca="false">Scoring!C299</f>
        <v>0</v>
      </c>
      <c r="D293" s="139" t="str">
        <f aca="false">Scoring!BB299</f>
        <v/>
      </c>
      <c r="E293" s="138" t="str">
        <f aca="false">Scoring!AE299</f>
        <v/>
      </c>
      <c r="F293" s="138" t="n">
        <f aca="false">Scoring!B299</f>
        <v>0</v>
      </c>
      <c r="G293" s="138" t="n">
        <f aca="false">Scoring!D299</f>
        <v>0</v>
      </c>
      <c r="H293" s="138" t="str">
        <f aca="false">Scoring!BD299</f>
        <v/>
      </c>
      <c r="I293" s="140" t="str">
        <f aca="false">Scoring!BC299</f>
        <v/>
      </c>
    </row>
    <row r="294" customFormat="false" ht="15.75" hidden="false" customHeight="false" outlineLevel="0" collapsed="false">
      <c r="A294" s="138" t="str">
        <f aca="false">Scoring!BF300</f>
        <v/>
      </c>
      <c r="B294" s="138" t="str">
        <f aca="false">Scoring!BE300</f>
        <v/>
      </c>
      <c r="C294" s="138" t="n">
        <f aca="false">Scoring!C300</f>
        <v>0</v>
      </c>
      <c r="D294" s="139" t="str">
        <f aca="false">Scoring!BB300</f>
        <v/>
      </c>
      <c r="E294" s="138" t="str">
        <f aca="false">Scoring!AE300</f>
        <v/>
      </c>
      <c r="F294" s="138" t="n">
        <f aca="false">Scoring!B300</f>
        <v>0</v>
      </c>
      <c r="G294" s="138" t="n">
        <f aca="false">Scoring!D300</f>
        <v>0</v>
      </c>
      <c r="H294" s="138" t="str">
        <f aca="false">Scoring!BD300</f>
        <v/>
      </c>
      <c r="I294" s="140" t="str">
        <f aca="false">Scoring!BC300</f>
        <v/>
      </c>
    </row>
    <row r="295" customFormat="false" ht="15.75" hidden="false" customHeight="false" outlineLevel="0" collapsed="false">
      <c r="A295" s="138" t="str">
        <f aca="false">Scoring!BF301</f>
        <v/>
      </c>
      <c r="B295" s="138" t="str">
        <f aca="false">Scoring!BE301</f>
        <v/>
      </c>
      <c r="C295" s="138" t="n">
        <f aca="false">Scoring!C301</f>
        <v>0</v>
      </c>
      <c r="D295" s="139" t="str">
        <f aca="false">Scoring!BB301</f>
        <v/>
      </c>
      <c r="E295" s="138" t="str">
        <f aca="false">Scoring!AE301</f>
        <v/>
      </c>
      <c r="F295" s="138" t="n">
        <f aca="false">Scoring!B301</f>
        <v>0</v>
      </c>
      <c r="G295" s="138" t="n">
        <f aca="false">Scoring!D301</f>
        <v>0</v>
      </c>
      <c r="H295" s="138" t="str">
        <f aca="false">Scoring!BD301</f>
        <v/>
      </c>
      <c r="I295" s="140" t="str">
        <f aca="false">Scoring!BC301</f>
        <v/>
      </c>
    </row>
    <row r="296" customFormat="false" ht="15.75" hidden="false" customHeight="false" outlineLevel="0" collapsed="false">
      <c r="A296" s="138" t="str">
        <f aca="false">Scoring!BF302</f>
        <v/>
      </c>
      <c r="B296" s="138" t="str">
        <f aca="false">Scoring!BE302</f>
        <v/>
      </c>
      <c r="C296" s="138" t="n">
        <f aca="false">Scoring!C302</f>
        <v>0</v>
      </c>
      <c r="D296" s="139" t="str">
        <f aca="false">Scoring!BB302</f>
        <v/>
      </c>
      <c r="E296" s="138" t="str">
        <f aca="false">Scoring!AE302</f>
        <v/>
      </c>
      <c r="F296" s="138" t="n">
        <f aca="false">Scoring!B302</f>
        <v>0</v>
      </c>
      <c r="G296" s="138" t="n">
        <f aca="false">Scoring!D302</f>
        <v>0</v>
      </c>
      <c r="H296" s="138" t="str">
        <f aca="false">Scoring!BD302</f>
        <v/>
      </c>
      <c r="I296" s="140" t="str">
        <f aca="false">Scoring!BC302</f>
        <v/>
      </c>
    </row>
    <row r="297" customFormat="false" ht="15.75" hidden="false" customHeight="false" outlineLevel="0" collapsed="false">
      <c r="A297" s="138" t="str">
        <f aca="false">Scoring!BF303</f>
        <v/>
      </c>
      <c r="B297" s="138" t="str">
        <f aca="false">Scoring!BE303</f>
        <v/>
      </c>
      <c r="C297" s="138" t="n">
        <f aca="false">Scoring!C303</f>
        <v>0</v>
      </c>
      <c r="D297" s="139" t="str">
        <f aca="false">Scoring!BB303</f>
        <v/>
      </c>
      <c r="E297" s="138" t="str">
        <f aca="false">Scoring!AE303</f>
        <v/>
      </c>
      <c r="F297" s="138" t="n">
        <f aca="false">Scoring!B303</f>
        <v>0</v>
      </c>
      <c r="G297" s="138" t="n">
        <f aca="false">Scoring!D303</f>
        <v>0</v>
      </c>
      <c r="H297" s="138" t="str">
        <f aca="false">Scoring!BD303</f>
        <v/>
      </c>
      <c r="I297" s="140" t="str">
        <f aca="false">Scoring!BC303</f>
        <v/>
      </c>
    </row>
    <row r="298" customFormat="false" ht="15.75" hidden="false" customHeight="false" outlineLevel="0" collapsed="false">
      <c r="A298" s="138" t="str">
        <f aca="false">Scoring!BF304</f>
        <v/>
      </c>
      <c r="B298" s="138" t="str">
        <f aca="false">Scoring!BE304</f>
        <v/>
      </c>
      <c r="C298" s="138" t="n">
        <f aca="false">Scoring!C304</f>
        <v>0</v>
      </c>
      <c r="D298" s="139" t="str">
        <f aca="false">Scoring!BB304</f>
        <v/>
      </c>
      <c r="E298" s="138" t="str">
        <f aca="false">Scoring!AE304</f>
        <v/>
      </c>
      <c r="F298" s="138" t="n">
        <f aca="false">Scoring!B304</f>
        <v>0</v>
      </c>
      <c r="G298" s="138" t="n">
        <f aca="false">Scoring!D304</f>
        <v>0</v>
      </c>
      <c r="H298" s="138" t="str">
        <f aca="false">Scoring!BD304</f>
        <v/>
      </c>
      <c r="I298" s="140" t="str">
        <f aca="false">Scoring!BC304</f>
        <v/>
      </c>
    </row>
    <row r="299" customFormat="false" ht="15.75" hidden="false" customHeight="false" outlineLevel="0" collapsed="false">
      <c r="A299" s="138" t="str">
        <f aca="false">Scoring!BF305</f>
        <v/>
      </c>
      <c r="B299" s="138" t="str">
        <f aca="false">Scoring!BE305</f>
        <v/>
      </c>
      <c r="C299" s="138" t="n">
        <f aca="false">Scoring!C305</f>
        <v>0</v>
      </c>
      <c r="D299" s="139" t="str">
        <f aca="false">Scoring!BB305</f>
        <v/>
      </c>
      <c r="E299" s="138" t="str">
        <f aca="false">Scoring!AE305</f>
        <v/>
      </c>
      <c r="F299" s="138" t="n">
        <f aca="false">Scoring!B305</f>
        <v>0</v>
      </c>
      <c r="G299" s="138" t="n">
        <f aca="false">Scoring!D305</f>
        <v>0</v>
      </c>
      <c r="H299" s="138" t="str">
        <f aca="false">Scoring!BD305</f>
        <v/>
      </c>
      <c r="I299" s="140" t="str">
        <f aca="false">Scoring!BC305</f>
        <v/>
      </c>
    </row>
    <row r="300" customFormat="false" ht="15.75" hidden="false" customHeight="false" outlineLevel="0" collapsed="false">
      <c r="A300" s="138" t="str">
        <f aca="false">Scoring!BF306</f>
        <v/>
      </c>
      <c r="B300" s="138" t="str">
        <f aca="false">Scoring!BE306</f>
        <v/>
      </c>
      <c r="C300" s="138" t="n">
        <f aca="false">Scoring!C306</f>
        <v>0</v>
      </c>
      <c r="D300" s="139" t="str">
        <f aca="false">Scoring!BB306</f>
        <v/>
      </c>
      <c r="E300" s="138" t="str">
        <f aca="false">Scoring!AE306</f>
        <v/>
      </c>
      <c r="F300" s="138" t="n">
        <f aca="false">Scoring!B306</f>
        <v>0</v>
      </c>
      <c r="G300" s="138" t="n">
        <f aca="false">Scoring!D306</f>
        <v>0</v>
      </c>
      <c r="H300" s="138" t="str">
        <f aca="false">Scoring!BD306</f>
        <v/>
      </c>
      <c r="I300" s="140" t="str">
        <f aca="false">Scoring!BC306</f>
        <v/>
      </c>
    </row>
    <row r="301" customFormat="false" ht="15.75" hidden="false" customHeight="false" outlineLevel="0" collapsed="false">
      <c r="A301" s="138" t="str">
        <f aca="false">Scoring!BF307</f>
        <v/>
      </c>
      <c r="B301" s="138" t="str">
        <f aca="false">Scoring!BE307</f>
        <v/>
      </c>
      <c r="C301" s="138" t="n">
        <f aca="false">Scoring!C307</f>
        <v>0</v>
      </c>
      <c r="D301" s="139" t="str">
        <f aca="false">Scoring!BB307</f>
        <v/>
      </c>
      <c r="E301" s="138" t="str">
        <f aca="false">Scoring!AE307</f>
        <v/>
      </c>
      <c r="F301" s="138" t="n">
        <f aca="false">Scoring!B307</f>
        <v>0</v>
      </c>
      <c r="G301" s="138" t="n">
        <f aca="false">Scoring!D307</f>
        <v>0</v>
      </c>
      <c r="H301" s="138" t="str">
        <f aca="false">Scoring!BD307</f>
        <v/>
      </c>
      <c r="I301" s="140" t="str">
        <f aca="false">Scoring!BC307</f>
        <v/>
      </c>
    </row>
    <row r="302" customFormat="false" ht="15.75" hidden="false" customHeight="false" outlineLevel="0" collapsed="false">
      <c r="A302" s="138" t="str">
        <f aca="false">Scoring!BF308</f>
        <v/>
      </c>
      <c r="B302" s="138" t="str">
        <f aca="false">Scoring!BE308</f>
        <v/>
      </c>
      <c r="C302" s="138" t="n">
        <f aca="false">Scoring!C308</f>
        <v>0</v>
      </c>
      <c r="D302" s="139" t="str">
        <f aca="false">Scoring!BB308</f>
        <v/>
      </c>
      <c r="E302" s="138" t="str">
        <f aca="false">Scoring!AE308</f>
        <v/>
      </c>
      <c r="F302" s="138" t="n">
        <f aca="false">Scoring!B308</f>
        <v>0</v>
      </c>
      <c r="G302" s="138" t="n">
        <f aca="false">Scoring!D308</f>
        <v>0</v>
      </c>
      <c r="H302" s="138" t="str">
        <f aca="false">Scoring!BD308</f>
        <v/>
      </c>
      <c r="I302" s="140" t="str">
        <f aca="false">Scoring!BC308</f>
        <v/>
      </c>
    </row>
    <row r="303" customFormat="false" ht="15.75" hidden="false" customHeight="false" outlineLevel="0" collapsed="false">
      <c r="A303" s="138" t="str">
        <f aca="false">Scoring!BF309</f>
        <v/>
      </c>
      <c r="B303" s="138" t="str">
        <f aca="false">Scoring!BE309</f>
        <v/>
      </c>
      <c r="C303" s="138" t="n">
        <f aca="false">Scoring!C309</f>
        <v>0</v>
      </c>
      <c r="D303" s="139" t="str">
        <f aca="false">Scoring!BB309</f>
        <v/>
      </c>
      <c r="E303" s="138" t="str">
        <f aca="false">Scoring!AE309</f>
        <v/>
      </c>
      <c r="F303" s="138" t="n">
        <f aca="false">Scoring!B309</f>
        <v>0</v>
      </c>
      <c r="G303" s="138" t="n">
        <f aca="false">Scoring!D309</f>
        <v>0</v>
      </c>
      <c r="H303" s="138" t="str">
        <f aca="false">Scoring!BD309</f>
        <v/>
      </c>
      <c r="I303" s="140" t="str">
        <f aca="false">Scoring!BC309</f>
        <v/>
      </c>
    </row>
    <row r="304" customFormat="false" ht="15.75" hidden="false" customHeight="false" outlineLevel="0" collapsed="false">
      <c r="A304" s="138" t="str">
        <f aca="false">Scoring!BF310</f>
        <v/>
      </c>
      <c r="B304" s="138" t="str">
        <f aca="false">Scoring!BE310</f>
        <v/>
      </c>
      <c r="C304" s="138" t="n">
        <f aca="false">Scoring!C310</f>
        <v>0</v>
      </c>
      <c r="D304" s="139" t="str">
        <f aca="false">Scoring!BB310</f>
        <v/>
      </c>
      <c r="E304" s="138" t="str">
        <f aca="false">Scoring!AE310</f>
        <v/>
      </c>
      <c r="F304" s="138" t="n">
        <f aca="false">Scoring!B310</f>
        <v>0</v>
      </c>
      <c r="G304" s="138" t="n">
        <f aca="false">Scoring!D310</f>
        <v>0</v>
      </c>
      <c r="H304" s="138" t="str">
        <f aca="false">Scoring!BD310</f>
        <v/>
      </c>
      <c r="I304" s="140" t="str">
        <f aca="false">Scoring!BC310</f>
        <v/>
      </c>
    </row>
    <row r="305" customFormat="false" ht="15.75" hidden="false" customHeight="false" outlineLevel="0" collapsed="false">
      <c r="A305" s="138" t="str">
        <f aca="false">Scoring!BF311</f>
        <v/>
      </c>
      <c r="B305" s="138" t="str">
        <f aca="false">Scoring!BE311</f>
        <v/>
      </c>
      <c r="C305" s="138" t="n">
        <f aca="false">Scoring!C311</f>
        <v>0</v>
      </c>
      <c r="D305" s="139" t="str">
        <f aca="false">Scoring!BB311</f>
        <v/>
      </c>
      <c r="E305" s="138" t="str">
        <f aca="false">Scoring!AE311</f>
        <v/>
      </c>
      <c r="F305" s="138" t="n">
        <f aca="false">Scoring!B311</f>
        <v>0</v>
      </c>
      <c r="G305" s="138" t="n">
        <f aca="false">Scoring!D311</f>
        <v>0</v>
      </c>
      <c r="H305" s="138" t="str">
        <f aca="false">Scoring!BD311</f>
        <v/>
      </c>
      <c r="I305" s="140" t="str">
        <f aca="false">Scoring!BC311</f>
        <v/>
      </c>
    </row>
    <row r="306" customFormat="false" ht="15.75" hidden="false" customHeight="false" outlineLevel="0" collapsed="false">
      <c r="A306" s="138" t="str">
        <f aca="false">Scoring!BF312</f>
        <v/>
      </c>
      <c r="B306" s="138" t="str">
        <f aca="false">Scoring!BE312</f>
        <v/>
      </c>
      <c r="C306" s="138" t="n">
        <f aca="false">Scoring!C312</f>
        <v>0</v>
      </c>
      <c r="D306" s="139" t="str">
        <f aca="false">Scoring!BB312</f>
        <v/>
      </c>
      <c r="E306" s="138" t="str">
        <f aca="false">Scoring!AE312</f>
        <v/>
      </c>
      <c r="F306" s="138" t="n">
        <f aca="false">Scoring!B312</f>
        <v>0</v>
      </c>
      <c r="G306" s="138" t="n">
        <f aca="false">Scoring!D312</f>
        <v>0</v>
      </c>
      <c r="H306" s="138" t="str">
        <f aca="false">Scoring!BD312</f>
        <v/>
      </c>
      <c r="I306" s="140" t="str">
        <f aca="false">Scoring!BC312</f>
        <v/>
      </c>
    </row>
    <row r="307" customFormat="false" ht="15.75" hidden="false" customHeight="false" outlineLevel="0" collapsed="false">
      <c r="A307" s="138" t="str">
        <f aca="false">Scoring!BF313</f>
        <v/>
      </c>
      <c r="B307" s="138" t="str">
        <f aca="false">Scoring!BE313</f>
        <v/>
      </c>
      <c r="C307" s="138" t="n">
        <f aca="false">Scoring!C313</f>
        <v>0</v>
      </c>
      <c r="D307" s="139" t="str">
        <f aca="false">Scoring!BB313</f>
        <v/>
      </c>
      <c r="E307" s="138" t="str">
        <f aca="false">Scoring!AE313</f>
        <v/>
      </c>
      <c r="F307" s="138" t="n">
        <f aca="false">Scoring!B313</f>
        <v>0</v>
      </c>
      <c r="G307" s="138" t="n">
        <f aca="false">Scoring!D313</f>
        <v>0</v>
      </c>
      <c r="H307" s="138" t="str">
        <f aca="false">Scoring!BD313</f>
        <v/>
      </c>
      <c r="I307" s="140" t="str">
        <f aca="false">Scoring!BC313</f>
        <v/>
      </c>
    </row>
    <row r="308" customFormat="false" ht="15.75" hidden="false" customHeight="false" outlineLevel="0" collapsed="false">
      <c r="A308" s="138" t="str">
        <f aca="false">Scoring!BF314</f>
        <v/>
      </c>
      <c r="B308" s="138" t="str">
        <f aca="false">Scoring!BE314</f>
        <v/>
      </c>
      <c r="C308" s="138" t="n">
        <f aca="false">Scoring!C314</f>
        <v>0</v>
      </c>
      <c r="D308" s="139" t="str">
        <f aca="false">Scoring!BB314</f>
        <v/>
      </c>
      <c r="E308" s="138" t="str">
        <f aca="false">Scoring!AE314</f>
        <v/>
      </c>
      <c r="F308" s="138" t="n">
        <f aca="false">Scoring!B314</f>
        <v>0</v>
      </c>
      <c r="G308" s="138" t="n">
        <f aca="false">Scoring!D314</f>
        <v>0</v>
      </c>
      <c r="H308" s="138" t="str">
        <f aca="false">Scoring!BD314</f>
        <v/>
      </c>
      <c r="I308" s="140" t="str">
        <f aca="false">Scoring!BC314</f>
        <v/>
      </c>
    </row>
    <row r="309" customFormat="false" ht="15.75" hidden="false" customHeight="false" outlineLevel="0" collapsed="false">
      <c r="A309" s="138" t="str">
        <f aca="false">Scoring!BF315</f>
        <v/>
      </c>
      <c r="B309" s="138" t="str">
        <f aca="false">Scoring!BE315</f>
        <v/>
      </c>
      <c r="C309" s="138" t="n">
        <f aca="false">Scoring!C315</f>
        <v>0</v>
      </c>
      <c r="D309" s="139" t="str">
        <f aca="false">Scoring!BB315</f>
        <v/>
      </c>
      <c r="E309" s="138" t="str">
        <f aca="false">Scoring!AE315</f>
        <v/>
      </c>
      <c r="F309" s="138" t="n">
        <f aca="false">Scoring!B315</f>
        <v>0</v>
      </c>
      <c r="G309" s="138" t="n">
        <f aca="false">Scoring!D315</f>
        <v>0</v>
      </c>
      <c r="H309" s="138" t="str">
        <f aca="false">Scoring!BD315</f>
        <v/>
      </c>
      <c r="I309" s="140" t="str">
        <f aca="false">Scoring!BC315</f>
        <v/>
      </c>
    </row>
    <row r="310" customFormat="false" ht="15.75" hidden="false" customHeight="false" outlineLevel="0" collapsed="false">
      <c r="A310" s="138" t="str">
        <f aca="false">Scoring!BF316</f>
        <v/>
      </c>
      <c r="B310" s="138" t="str">
        <f aca="false">Scoring!BE316</f>
        <v/>
      </c>
      <c r="C310" s="138" t="n">
        <f aca="false">Scoring!C316</f>
        <v>0</v>
      </c>
      <c r="D310" s="139" t="str">
        <f aca="false">Scoring!BB316</f>
        <v/>
      </c>
      <c r="E310" s="138" t="str">
        <f aca="false">Scoring!AE316</f>
        <v/>
      </c>
      <c r="F310" s="138" t="n">
        <f aca="false">Scoring!B316</f>
        <v>0</v>
      </c>
      <c r="G310" s="138" t="n">
        <f aca="false">Scoring!D316</f>
        <v>0</v>
      </c>
      <c r="H310" s="138" t="str">
        <f aca="false">Scoring!BD316</f>
        <v/>
      </c>
      <c r="I310" s="140" t="str">
        <f aca="false">Scoring!BC316</f>
        <v/>
      </c>
    </row>
    <row r="311" customFormat="false" ht="15.75" hidden="false" customHeight="false" outlineLevel="0" collapsed="false">
      <c r="A311" s="138" t="str">
        <f aca="false">Scoring!BF317</f>
        <v/>
      </c>
      <c r="B311" s="138" t="str">
        <f aca="false">Scoring!BE317</f>
        <v/>
      </c>
      <c r="C311" s="138" t="n">
        <f aca="false">Scoring!C317</f>
        <v>0</v>
      </c>
      <c r="D311" s="139" t="str">
        <f aca="false">Scoring!BB317</f>
        <v/>
      </c>
      <c r="E311" s="138" t="str">
        <f aca="false">Scoring!AE317</f>
        <v/>
      </c>
      <c r="F311" s="138" t="n">
        <f aca="false">Scoring!B317</f>
        <v>0</v>
      </c>
      <c r="G311" s="138" t="n">
        <f aca="false">Scoring!D317</f>
        <v>0</v>
      </c>
      <c r="H311" s="138" t="str">
        <f aca="false">Scoring!BD317</f>
        <v/>
      </c>
      <c r="I311" s="140" t="str">
        <f aca="false">Scoring!BC317</f>
        <v/>
      </c>
    </row>
    <row r="312" customFormat="false" ht="15.75" hidden="false" customHeight="false" outlineLevel="0" collapsed="false">
      <c r="A312" s="138" t="str">
        <f aca="false">Scoring!BF318</f>
        <v/>
      </c>
      <c r="B312" s="138" t="str">
        <f aca="false">Scoring!BE318</f>
        <v/>
      </c>
      <c r="C312" s="138" t="n">
        <f aca="false">Scoring!C318</f>
        <v>0</v>
      </c>
      <c r="D312" s="139" t="str">
        <f aca="false">Scoring!BB318</f>
        <v/>
      </c>
      <c r="E312" s="138" t="str">
        <f aca="false">Scoring!AE318</f>
        <v/>
      </c>
      <c r="F312" s="138" t="n">
        <f aca="false">Scoring!B318</f>
        <v>0</v>
      </c>
      <c r="G312" s="138" t="n">
        <f aca="false">Scoring!D318</f>
        <v>0</v>
      </c>
      <c r="H312" s="138" t="str">
        <f aca="false">Scoring!BD318</f>
        <v/>
      </c>
      <c r="I312" s="140" t="str">
        <f aca="false">Scoring!BC318</f>
        <v/>
      </c>
    </row>
    <row r="313" customFormat="false" ht="15.75" hidden="false" customHeight="false" outlineLevel="0" collapsed="false">
      <c r="A313" s="138" t="str">
        <f aca="false">Scoring!BF319</f>
        <v/>
      </c>
      <c r="B313" s="138" t="str">
        <f aca="false">Scoring!BE319</f>
        <v/>
      </c>
      <c r="C313" s="138" t="n">
        <f aca="false">Scoring!C319</f>
        <v>0</v>
      </c>
      <c r="D313" s="139" t="str">
        <f aca="false">Scoring!BB319</f>
        <v/>
      </c>
      <c r="E313" s="138" t="str">
        <f aca="false">Scoring!AE319</f>
        <v/>
      </c>
      <c r="F313" s="138" t="n">
        <f aca="false">Scoring!B319</f>
        <v>0</v>
      </c>
      <c r="G313" s="138" t="n">
        <f aca="false">Scoring!D319</f>
        <v>0</v>
      </c>
      <c r="H313" s="138" t="str">
        <f aca="false">Scoring!BD319</f>
        <v/>
      </c>
      <c r="I313" s="140" t="str">
        <f aca="false">Scoring!BC319</f>
        <v/>
      </c>
    </row>
    <row r="314" customFormat="false" ht="15.75" hidden="false" customHeight="false" outlineLevel="0" collapsed="false">
      <c r="A314" s="138" t="str">
        <f aca="false">Scoring!BF320</f>
        <v/>
      </c>
      <c r="B314" s="138" t="str">
        <f aca="false">Scoring!BE320</f>
        <v/>
      </c>
      <c r="C314" s="138" t="n">
        <f aca="false">Scoring!C320</f>
        <v>0</v>
      </c>
      <c r="D314" s="139" t="str">
        <f aca="false">Scoring!BB320</f>
        <v/>
      </c>
      <c r="E314" s="138" t="str">
        <f aca="false">Scoring!AE320</f>
        <v/>
      </c>
      <c r="F314" s="138" t="n">
        <f aca="false">Scoring!B320</f>
        <v>0</v>
      </c>
      <c r="G314" s="138" t="n">
        <f aca="false">Scoring!D320</f>
        <v>0</v>
      </c>
      <c r="H314" s="138" t="str">
        <f aca="false">Scoring!BD320</f>
        <v/>
      </c>
      <c r="I314" s="140" t="str">
        <f aca="false">Scoring!BC320</f>
        <v/>
      </c>
    </row>
    <row r="315" customFormat="false" ht="15.75" hidden="false" customHeight="false" outlineLevel="0" collapsed="false">
      <c r="A315" s="138" t="str">
        <f aca="false">Scoring!BF321</f>
        <v/>
      </c>
      <c r="B315" s="138" t="str">
        <f aca="false">Scoring!BE321</f>
        <v/>
      </c>
      <c r="C315" s="138" t="n">
        <f aca="false">Scoring!C321</f>
        <v>0</v>
      </c>
      <c r="D315" s="139" t="str">
        <f aca="false">Scoring!BB321</f>
        <v/>
      </c>
      <c r="E315" s="138" t="str">
        <f aca="false">Scoring!AE321</f>
        <v/>
      </c>
      <c r="F315" s="138" t="n">
        <f aca="false">Scoring!B321</f>
        <v>0</v>
      </c>
      <c r="G315" s="138" t="n">
        <f aca="false">Scoring!D321</f>
        <v>0</v>
      </c>
      <c r="H315" s="138" t="str">
        <f aca="false">Scoring!BD321</f>
        <v/>
      </c>
      <c r="I315" s="140" t="str">
        <f aca="false">Scoring!BC321</f>
        <v/>
      </c>
    </row>
    <row r="316" customFormat="false" ht="15.75" hidden="false" customHeight="false" outlineLevel="0" collapsed="false">
      <c r="A316" s="138" t="str">
        <f aca="false">Scoring!BF322</f>
        <v/>
      </c>
      <c r="B316" s="138" t="str">
        <f aca="false">Scoring!BE322</f>
        <v/>
      </c>
      <c r="C316" s="138" t="n">
        <f aca="false">Scoring!C322</f>
        <v>0</v>
      </c>
      <c r="D316" s="139" t="str">
        <f aca="false">Scoring!BB322</f>
        <v/>
      </c>
      <c r="E316" s="138" t="str">
        <f aca="false">Scoring!AE322</f>
        <v/>
      </c>
      <c r="F316" s="138" t="n">
        <f aca="false">Scoring!B322</f>
        <v>0</v>
      </c>
      <c r="G316" s="138" t="n">
        <f aca="false">Scoring!D322</f>
        <v>0</v>
      </c>
      <c r="H316" s="138" t="str">
        <f aca="false">Scoring!BD322</f>
        <v/>
      </c>
      <c r="I316" s="140" t="str">
        <f aca="false">Scoring!BC322</f>
        <v/>
      </c>
    </row>
    <row r="317" customFormat="false" ht="15.75" hidden="false" customHeight="false" outlineLevel="0" collapsed="false">
      <c r="A317" s="138" t="str">
        <f aca="false">Scoring!BF323</f>
        <v/>
      </c>
      <c r="B317" s="138" t="str">
        <f aca="false">Scoring!BE323</f>
        <v/>
      </c>
      <c r="C317" s="138" t="n">
        <f aca="false">Scoring!C323</f>
        <v>0</v>
      </c>
      <c r="D317" s="139" t="str">
        <f aca="false">Scoring!BB323</f>
        <v/>
      </c>
      <c r="E317" s="138" t="str">
        <f aca="false">Scoring!AE323</f>
        <v/>
      </c>
      <c r="F317" s="138" t="n">
        <f aca="false">Scoring!B323</f>
        <v>0</v>
      </c>
      <c r="G317" s="138" t="n">
        <f aca="false">Scoring!D323</f>
        <v>0</v>
      </c>
      <c r="H317" s="138" t="str">
        <f aca="false">Scoring!BD323</f>
        <v/>
      </c>
      <c r="I317" s="140" t="str">
        <f aca="false">Scoring!BC323</f>
        <v/>
      </c>
    </row>
    <row r="318" customFormat="false" ht="15.75" hidden="false" customHeight="false" outlineLevel="0" collapsed="false">
      <c r="A318" s="138" t="str">
        <f aca="false">Scoring!BF324</f>
        <v/>
      </c>
      <c r="B318" s="138" t="str">
        <f aca="false">Scoring!BE324</f>
        <v/>
      </c>
      <c r="C318" s="138" t="n">
        <f aca="false">Scoring!C324</f>
        <v>0</v>
      </c>
      <c r="D318" s="139" t="str">
        <f aca="false">Scoring!BB324</f>
        <v/>
      </c>
      <c r="E318" s="138" t="str">
        <f aca="false">Scoring!AE324</f>
        <v/>
      </c>
      <c r="F318" s="138" t="n">
        <f aca="false">Scoring!B324</f>
        <v>0</v>
      </c>
      <c r="G318" s="138" t="n">
        <f aca="false">Scoring!D324</f>
        <v>0</v>
      </c>
      <c r="H318" s="138" t="str">
        <f aca="false">Scoring!BD324</f>
        <v/>
      </c>
      <c r="I318" s="140" t="str">
        <f aca="false">Scoring!BC324</f>
        <v/>
      </c>
    </row>
    <row r="319" customFormat="false" ht="15.75" hidden="false" customHeight="false" outlineLevel="0" collapsed="false">
      <c r="A319" s="138" t="str">
        <f aca="false">Scoring!BF325</f>
        <v/>
      </c>
      <c r="B319" s="138" t="str">
        <f aca="false">Scoring!BE325</f>
        <v/>
      </c>
      <c r="C319" s="138" t="n">
        <f aca="false">Scoring!C325</f>
        <v>0</v>
      </c>
      <c r="D319" s="139" t="str">
        <f aca="false">Scoring!BB325</f>
        <v/>
      </c>
      <c r="E319" s="138" t="str">
        <f aca="false">Scoring!AE325</f>
        <v/>
      </c>
      <c r="F319" s="138" t="n">
        <f aca="false">Scoring!B325</f>
        <v>0</v>
      </c>
      <c r="G319" s="138" t="n">
        <f aca="false">Scoring!D325</f>
        <v>0</v>
      </c>
      <c r="H319" s="138" t="str">
        <f aca="false">Scoring!BD325</f>
        <v/>
      </c>
      <c r="I319" s="140" t="str">
        <f aca="false">Scoring!BC325</f>
        <v/>
      </c>
    </row>
    <row r="320" customFormat="false" ht="15.75" hidden="false" customHeight="false" outlineLevel="0" collapsed="false">
      <c r="A320" s="138" t="str">
        <f aca="false">Scoring!BF326</f>
        <v/>
      </c>
      <c r="B320" s="138" t="str">
        <f aca="false">Scoring!BE326</f>
        <v/>
      </c>
      <c r="C320" s="138" t="n">
        <f aca="false">Scoring!C326</f>
        <v>0</v>
      </c>
      <c r="D320" s="139" t="str">
        <f aca="false">Scoring!BB326</f>
        <v/>
      </c>
      <c r="E320" s="138" t="str">
        <f aca="false">Scoring!AE326</f>
        <v/>
      </c>
      <c r="F320" s="138" t="n">
        <f aca="false">Scoring!B326</f>
        <v>0</v>
      </c>
      <c r="G320" s="138" t="n">
        <f aca="false">Scoring!D326</f>
        <v>0</v>
      </c>
      <c r="H320" s="138" t="str">
        <f aca="false">Scoring!BD326</f>
        <v/>
      </c>
      <c r="I320" s="140" t="str">
        <f aca="false">Scoring!BC326</f>
        <v/>
      </c>
    </row>
    <row r="321" customFormat="false" ht="15.75" hidden="false" customHeight="false" outlineLevel="0" collapsed="false">
      <c r="A321" s="138" t="str">
        <f aca="false">Scoring!BF327</f>
        <v/>
      </c>
      <c r="B321" s="138" t="str">
        <f aca="false">Scoring!BE327</f>
        <v/>
      </c>
      <c r="C321" s="138" t="n">
        <f aca="false">Scoring!C327</f>
        <v>0</v>
      </c>
      <c r="D321" s="139" t="str">
        <f aca="false">Scoring!BB327</f>
        <v/>
      </c>
      <c r="E321" s="138" t="str">
        <f aca="false">Scoring!AE327</f>
        <v/>
      </c>
      <c r="F321" s="138" t="n">
        <f aca="false">Scoring!B327</f>
        <v>0</v>
      </c>
      <c r="G321" s="138" t="n">
        <f aca="false">Scoring!D327</f>
        <v>0</v>
      </c>
      <c r="H321" s="138" t="str">
        <f aca="false">Scoring!BD327</f>
        <v/>
      </c>
      <c r="I321" s="140" t="str">
        <f aca="false">Scoring!BC327</f>
        <v/>
      </c>
    </row>
    <row r="322" customFormat="false" ht="15.75" hidden="false" customHeight="false" outlineLevel="0" collapsed="false">
      <c r="A322" s="138" t="str">
        <f aca="false">Scoring!BF328</f>
        <v/>
      </c>
      <c r="B322" s="138" t="str">
        <f aca="false">Scoring!BE328</f>
        <v/>
      </c>
      <c r="C322" s="138" t="n">
        <f aca="false">Scoring!C328</f>
        <v>0</v>
      </c>
      <c r="D322" s="139" t="str">
        <f aca="false">Scoring!BB328</f>
        <v/>
      </c>
      <c r="E322" s="138" t="str">
        <f aca="false">Scoring!AE328</f>
        <v/>
      </c>
      <c r="F322" s="138" t="n">
        <f aca="false">Scoring!B328</f>
        <v>0</v>
      </c>
      <c r="G322" s="138" t="n">
        <f aca="false">Scoring!D328</f>
        <v>0</v>
      </c>
      <c r="H322" s="138" t="str">
        <f aca="false">Scoring!BD328</f>
        <v/>
      </c>
      <c r="I322" s="140" t="str">
        <f aca="false">Scoring!BC328</f>
        <v/>
      </c>
    </row>
    <row r="323" customFormat="false" ht="15.75" hidden="false" customHeight="false" outlineLevel="0" collapsed="false">
      <c r="A323" s="138" t="str">
        <f aca="false">Scoring!BF329</f>
        <v/>
      </c>
      <c r="B323" s="138" t="str">
        <f aca="false">Scoring!BE329</f>
        <v/>
      </c>
      <c r="C323" s="138" t="n">
        <f aca="false">Scoring!C329</f>
        <v>0</v>
      </c>
      <c r="D323" s="139" t="str">
        <f aca="false">Scoring!BB329</f>
        <v/>
      </c>
      <c r="E323" s="138" t="str">
        <f aca="false">Scoring!AE329</f>
        <v/>
      </c>
      <c r="F323" s="138" t="n">
        <f aca="false">Scoring!B329</f>
        <v>0</v>
      </c>
      <c r="G323" s="138" t="n">
        <f aca="false">Scoring!D329</f>
        <v>0</v>
      </c>
      <c r="H323" s="138" t="str">
        <f aca="false">Scoring!BD329</f>
        <v/>
      </c>
      <c r="I323" s="140" t="str">
        <f aca="false">Scoring!BC329</f>
        <v/>
      </c>
    </row>
    <row r="324" customFormat="false" ht="15.75" hidden="false" customHeight="false" outlineLevel="0" collapsed="false">
      <c r="A324" s="138" t="str">
        <f aca="false">Scoring!BF330</f>
        <v/>
      </c>
      <c r="B324" s="138" t="str">
        <f aca="false">Scoring!BE330</f>
        <v/>
      </c>
      <c r="C324" s="138" t="n">
        <f aca="false">Scoring!C330</f>
        <v>0</v>
      </c>
      <c r="D324" s="139" t="str">
        <f aca="false">Scoring!BB330</f>
        <v/>
      </c>
      <c r="E324" s="138" t="str">
        <f aca="false">Scoring!AE330</f>
        <v/>
      </c>
      <c r="F324" s="138" t="n">
        <f aca="false">Scoring!B330</f>
        <v>0</v>
      </c>
      <c r="G324" s="138" t="n">
        <f aca="false">Scoring!D330</f>
        <v>0</v>
      </c>
      <c r="H324" s="138" t="str">
        <f aca="false">Scoring!BD330</f>
        <v/>
      </c>
      <c r="I324" s="140" t="str">
        <f aca="false">Scoring!BC330</f>
        <v/>
      </c>
    </row>
    <row r="325" customFormat="false" ht="15.75" hidden="false" customHeight="false" outlineLevel="0" collapsed="false">
      <c r="A325" s="138" t="str">
        <f aca="false">Scoring!BF331</f>
        <v/>
      </c>
      <c r="B325" s="138" t="str">
        <f aca="false">Scoring!BE331</f>
        <v/>
      </c>
      <c r="C325" s="138" t="n">
        <f aca="false">Scoring!C331</f>
        <v>0</v>
      </c>
      <c r="D325" s="139" t="str">
        <f aca="false">Scoring!BB331</f>
        <v/>
      </c>
      <c r="E325" s="138" t="str">
        <f aca="false">Scoring!AE331</f>
        <v/>
      </c>
      <c r="F325" s="138" t="n">
        <f aca="false">Scoring!B331</f>
        <v>0</v>
      </c>
      <c r="G325" s="138" t="n">
        <f aca="false">Scoring!D331</f>
        <v>0</v>
      </c>
      <c r="H325" s="138" t="str">
        <f aca="false">Scoring!BD331</f>
        <v/>
      </c>
      <c r="I325" s="140" t="str">
        <f aca="false">Scoring!BC331</f>
        <v/>
      </c>
    </row>
    <row r="326" customFormat="false" ht="15.75" hidden="false" customHeight="false" outlineLevel="0" collapsed="false">
      <c r="A326" s="138" t="str">
        <f aca="false">Scoring!BF332</f>
        <v/>
      </c>
      <c r="B326" s="138" t="str">
        <f aca="false">Scoring!BE332</f>
        <v/>
      </c>
      <c r="C326" s="138" t="n">
        <f aca="false">Scoring!C332</f>
        <v>0</v>
      </c>
      <c r="D326" s="139" t="str">
        <f aca="false">Scoring!BB332</f>
        <v/>
      </c>
      <c r="E326" s="138" t="str">
        <f aca="false">Scoring!AE332</f>
        <v/>
      </c>
      <c r="F326" s="138" t="n">
        <f aca="false">Scoring!B332</f>
        <v>0</v>
      </c>
      <c r="G326" s="138" t="n">
        <f aca="false">Scoring!D332</f>
        <v>0</v>
      </c>
      <c r="H326" s="138" t="str">
        <f aca="false">Scoring!BD332</f>
        <v/>
      </c>
      <c r="I326" s="140" t="str">
        <f aca="false">Scoring!BC332</f>
        <v/>
      </c>
    </row>
    <row r="327" customFormat="false" ht="15.75" hidden="false" customHeight="false" outlineLevel="0" collapsed="false">
      <c r="A327" s="138" t="str">
        <f aca="false">Scoring!BF333</f>
        <v/>
      </c>
      <c r="B327" s="138" t="str">
        <f aca="false">Scoring!BE333</f>
        <v/>
      </c>
      <c r="C327" s="138" t="n">
        <f aca="false">Scoring!C333</f>
        <v>0</v>
      </c>
      <c r="D327" s="139" t="str">
        <f aca="false">Scoring!BB333</f>
        <v/>
      </c>
      <c r="E327" s="138" t="str">
        <f aca="false">Scoring!AE333</f>
        <v/>
      </c>
      <c r="F327" s="138" t="n">
        <f aca="false">Scoring!B333</f>
        <v>0</v>
      </c>
      <c r="G327" s="138" t="n">
        <f aca="false">Scoring!D333</f>
        <v>0</v>
      </c>
      <c r="H327" s="138" t="str">
        <f aca="false">Scoring!BD333</f>
        <v/>
      </c>
      <c r="I327" s="140" t="str">
        <f aca="false">Scoring!BC333</f>
        <v/>
      </c>
    </row>
    <row r="328" customFormat="false" ht="15.75" hidden="false" customHeight="false" outlineLevel="0" collapsed="false">
      <c r="A328" s="138" t="str">
        <f aca="false">Scoring!BF334</f>
        <v/>
      </c>
      <c r="B328" s="138" t="str">
        <f aca="false">Scoring!BE334</f>
        <v/>
      </c>
      <c r="C328" s="138" t="n">
        <f aca="false">Scoring!C334</f>
        <v>0</v>
      </c>
      <c r="D328" s="139" t="str">
        <f aca="false">Scoring!BB334</f>
        <v/>
      </c>
      <c r="E328" s="138" t="str">
        <f aca="false">Scoring!AE334</f>
        <v/>
      </c>
      <c r="F328" s="138" t="n">
        <f aca="false">Scoring!B334</f>
        <v>0</v>
      </c>
      <c r="G328" s="138" t="n">
        <f aca="false">Scoring!D334</f>
        <v>0</v>
      </c>
      <c r="H328" s="138" t="str">
        <f aca="false">Scoring!BD334</f>
        <v/>
      </c>
      <c r="I328" s="140" t="str">
        <f aca="false">Scoring!BC334</f>
        <v/>
      </c>
    </row>
    <row r="329" customFormat="false" ht="15.75" hidden="false" customHeight="false" outlineLevel="0" collapsed="false">
      <c r="A329" s="138" t="str">
        <f aca="false">Scoring!BF335</f>
        <v/>
      </c>
      <c r="B329" s="138" t="str">
        <f aca="false">Scoring!BE335</f>
        <v/>
      </c>
      <c r="C329" s="138" t="n">
        <f aca="false">Scoring!C335</f>
        <v>0</v>
      </c>
      <c r="D329" s="139" t="str">
        <f aca="false">Scoring!BB335</f>
        <v/>
      </c>
      <c r="E329" s="138" t="str">
        <f aca="false">Scoring!AE335</f>
        <v/>
      </c>
      <c r="F329" s="138" t="n">
        <f aca="false">Scoring!B335</f>
        <v>0</v>
      </c>
      <c r="G329" s="138" t="n">
        <f aca="false">Scoring!D335</f>
        <v>0</v>
      </c>
      <c r="H329" s="138" t="str">
        <f aca="false">Scoring!BD335</f>
        <v/>
      </c>
      <c r="I329" s="140" t="str">
        <f aca="false">Scoring!BC335</f>
        <v/>
      </c>
    </row>
    <row r="330" customFormat="false" ht="15.75" hidden="false" customHeight="false" outlineLevel="0" collapsed="false">
      <c r="A330" s="138" t="str">
        <f aca="false">Scoring!BF336</f>
        <v/>
      </c>
      <c r="B330" s="138" t="str">
        <f aca="false">Scoring!BE336</f>
        <v/>
      </c>
      <c r="C330" s="138" t="n">
        <f aca="false">Scoring!C336</f>
        <v>0</v>
      </c>
      <c r="D330" s="139" t="str">
        <f aca="false">Scoring!BB336</f>
        <v/>
      </c>
      <c r="E330" s="138" t="str">
        <f aca="false">Scoring!AE336</f>
        <v/>
      </c>
      <c r="F330" s="138" t="n">
        <f aca="false">Scoring!B336</f>
        <v>0</v>
      </c>
      <c r="G330" s="138" t="n">
        <f aca="false">Scoring!D336</f>
        <v>0</v>
      </c>
      <c r="H330" s="138" t="str">
        <f aca="false">Scoring!BD336</f>
        <v/>
      </c>
      <c r="I330" s="140" t="str">
        <f aca="false">Scoring!BC336</f>
        <v/>
      </c>
    </row>
    <row r="331" customFormat="false" ht="15.75" hidden="false" customHeight="false" outlineLevel="0" collapsed="false">
      <c r="A331" s="138" t="str">
        <f aca="false">Scoring!BF337</f>
        <v/>
      </c>
      <c r="B331" s="138" t="str">
        <f aca="false">Scoring!BE337</f>
        <v/>
      </c>
      <c r="C331" s="138" t="n">
        <f aca="false">Scoring!C337</f>
        <v>0</v>
      </c>
      <c r="D331" s="139" t="str">
        <f aca="false">Scoring!BB337</f>
        <v/>
      </c>
      <c r="E331" s="138" t="str">
        <f aca="false">Scoring!AE337</f>
        <v/>
      </c>
      <c r="F331" s="138" t="n">
        <f aca="false">Scoring!B337</f>
        <v>0</v>
      </c>
      <c r="G331" s="138" t="n">
        <f aca="false">Scoring!D337</f>
        <v>0</v>
      </c>
      <c r="H331" s="138" t="str">
        <f aca="false">Scoring!BD337</f>
        <v/>
      </c>
      <c r="I331" s="140" t="str">
        <f aca="false">Scoring!BC337</f>
        <v/>
      </c>
    </row>
    <row r="332" customFormat="false" ht="15.75" hidden="false" customHeight="false" outlineLevel="0" collapsed="false">
      <c r="A332" s="138" t="str">
        <f aca="false">Scoring!BF338</f>
        <v/>
      </c>
      <c r="B332" s="138" t="str">
        <f aca="false">Scoring!BE338</f>
        <v/>
      </c>
      <c r="C332" s="138" t="n">
        <f aca="false">Scoring!C338</f>
        <v>0</v>
      </c>
      <c r="D332" s="139" t="str">
        <f aca="false">Scoring!BB338</f>
        <v/>
      </c>
      <c r="E332" s="138" t="str">
        <f aca="false">Scoring!AE338</f>
        <v/>
      </c>
      <c r="F332" s="138" t="n">
        <f aca="false">Scoring!B338</f>
        <v>0</v>
      </c>
      <c r="G332" s="138" t="n">
        <f aca="false">Scoring!D338</f>
        <v>0</v>
      </c>
      <c r="H332" s="138" t="str">
        <f aca="false">Scoring!BD338</f>
        <v/>
      </c>
      <c r="I332" s="140" t="str">
        <f aca="false">Scoring!BC338</f>
        <v/>
      </c>
    </row>
    <row r="333" customFormat="false" ht="15.75" hidden="false" customHeight="false" outlineLevel="0" collapsed="false">
      <c r="A333" s="138" t="str">
        <f aca="false">Scoring!BF339</f>
        <v/>
      </c>
      <c r="B333" s="138" t="str">
        <f aca="false">Scoring!BE339</f>
        <v/>
      </c>
      <c r="C333" s="138" t="n">
        <f aca="false">Scoring!C339</f>
        <v>0</v>
      </c>
      <c r="D333" s="139" t="str">
        <f aca="false">Scoring!BB339</f>
        <v/>
      </c>
      <c r="E333" s="138" t="str">
        <f aca="false">Scoring!AE339</f>
        <v/>
      </c>
      <c r="F333" s="138" t="n">
        <f aca="false">Scoring!B339</f>
        <v>0</v>
      </c>
      <c r="G333" s="138" t="n">
        <f aca="false">Scoring!D339</f>
        <v>0</v>
      </c>
      <c r="H333" s="138" t="str">
        <f aca="false">Scoring!BD339</f>
        <v/>
      </c>
      <c r="I333" s="140" t="str">
        <f aca="false">Scoring!BC339</f>
        <v/>
      </c>
    </row>
    <row r="334" customFormat="false" ht="15.75" hidden="false" customHeight="false" outlineLevel="0" collapsed="false">
      <c r="A334" s="138" t="str">
        <f aca="false">Scoring!BF340</f>
        <v/>
      </c>
      <c r="B334" s="138" t="str">
        <f aca="false">Scoring!BE340</f>
        <v/>
      </c>
      <c r="C334" s="138" t="n">
        <f aca="false">Scoring!C340</f>
        <v>0</v>
      </c>
      <c r="D334" s="139" t="str">
        <f aca="false">Scoring!BB340</f>
        <v/>
      </c>
      <c r="E334" s="138" t="str">
        <f aca="false">Scoring!AE340</f>
        <v/>
      </c>
      <c r="F334" s="138" t="n">
        <f aca="false">Scoring!B340</f>
        <v>0</v>
      </c>
      <c r="G334" s="138" t="n">
        <f aca="false">Scoring!D340</f>
        <v>0</v>
      </c>
      <c r="H334" s="138" t="str">
        <f aca="false">Scoring!BD340</f>
        <v/>
      </c>
      <c r="I334" s="140" t="str">
        <f aca="false">Scoring!BC340</f>
        <v/>
      </c>
    </row>
    <row r="335" customFormat="false" ht="15.75" hidden="false" customHeight="false" outlineLevel="0" collapsed="false">
      <c r="A335" s="138" t="str">
        <f aca="false">Scoring!BF341</f>
        <v/>
      </c>
      <c r="B335" s="138" t="str">
        <f aca="false">Scoring!BE341</f>
        <v/>
      </c>
      <c r="C335" s="138" t="n">
        <f aca="false">Scoring!C341</f>
        <v>0</v>
      </c>
      <c r="D335" s="139" t="str">
        <f aca="false">Scoring!BB341</f>
        <v/>
      </c>
      <c r="E335" s="138" t="str">
        <f aca="false">Scoring!AE341</f>
        <v/>
      </c>
      <c r="F335" s="138" t="n">
        <f aca="false">Scoring!B341</f>
        <v>0</v>
      </c>
      <c r="G335" s="138" t="n">
        <f aca="false">Scoring!D341</f>
        <v>0</v>
      </c>
      <c r="H335" s="138" t="str">
        <f aca="false">Scoring!BD341</f>
        <v/>
      </c>
      <c r="I335" s="140" t="str">
        <f aca="false">Scoring!BC341</f>
        <v/>
      </c>
    </row>
    <row r="336" customFormat="false" ht="15.75" hidden="false" customHeight="false" outlineLevel="0" collapsed="false">
      <c r="A336" s="138" t="str">
        <f aca="false">Scoring!BF342</f>
        <v/>
      </c>
      <c r="B336" s="138" t="str">
        <f aca="false">Scoring!BE342</f>
        <v/>
      </c>
      <c r="C336" s="138" t="n">
        <f aca="false">Scoring!C342</f>
        <v>0</v>
      </c>
      <c r="D336" s="139" t="str">
        <f aca="false">Scoring!BB342</f>
        <v/>
      </c>
      <c r="E336" s="138" t="str">
        <f aca="false">Scoring!AE342</f>
        <v/>
      </c>
      <c r="F336" s="138" t="n">
        <f aca="false">Scoring!B342</f>
        <v>0</v>
      </c>
      <c r="G336" s="138" t="n">
        <f aca="false">Scoring!D342</f>
        <v>0</v>
      </c>
      <c r="H336" s="138" t="str">
        <f aca="false">Scoring!BD342</f>
        <v/>
      </c>
      <c r="I336" s="140" t="str">
        <f aca="false">Scoring!BC342</f>
        <v/>
      </c>
    </row>
    <row r="337" customFormat="false" ht="15.75" hidden="false" customHeight="false" outlineLevel="0" collapsed="false">
      <c r="A337" s="138" t="str">
        <f aca="false">Scoring!BF343</f>
        <v/>
      </c>
      <c r="B337" s="138" t="str">
        <f aca="false">Scoring!BE343</f>
        <v/>
      </c>
      <c r="C337" s="138" t="n">
        <f aca="false">Scoring!C343</f>
        <v>0</v>
      </c>
      <c r="D337" s="139" t="str">
        <f aca="false">Scoring!BB343</f>
        <v/>
      </c>
      <c r="E337" s="138" t="str">
        <f aca="false">Scoring!AE343</f>
        <v/>
      </c>
      <c r="F337" s="138" t="n">
        <f aca="false">Scoring!B343</f>
        <v>0</v>
      </c>
      <c r="G337" s="138" t="n">
        <f aca="false">Scoring!D343</f>
        <v>0</v>
      </c>
      <c r="H337" s="138" t="str">
        <f aca="false">Scoring!BD343</f>
        <v/>
      </c>
      <c r="I337" s="140" t="str">
        <f aca="false">Scoring!BC343</f>
        <v/>
      </c>
    </row>
    <row r="338" customFormat="false" ht="15.75" hidden="false" customHeight="false" outlineLevel="0" collapsed="false">
      <c r="A338" s="138" t="str">
        <f aca="false">Scoring!BF344</f>
        <v/>
      </c>
      <c r="B338" s="138" t="str">
        <f aca="false">Scoring!BE344</f>
        <v/>
      </c>
      <c r="C338" s="138" t="n">
        <f aca="false">Scoring!C344</f>
        <v>0</v>
      </c>
      <c r="D338" s="139" t="str">
        <f aca="false">Scoring!BB344</f>
        <v/>
      </c>
      <c r="E338" s="138" t="str">
        <f aca="false">Scoring!AE344</f>
        <v/>
      </c>
      <c r="F338" s="138" t="n">
        <f aca="false">Scoring!B344</f>
        <v>0</v>
      </c>
      <c r="G338" s="138" t="n">
        <f aca="false">Scoring!D344</f>
        <v>0</v>
      </c>
      <c r="H338" s="138" t="str">
        <f aca="false">Scoring!BD344</f>
        <v/>
      </c>
      <c r="I338" s="140" t="str">
        <f aca="false">Scoring!BC344</f>
        <v/>
      </c>
    </row>
    <row r="339" customFormat="false" ht="15.75" hidden="false" customHeight="false" outlineLevel="0" collapsed="false">
      <c r="A339" s="138" t="str">
        <f aca="false">Scoring!BF345</f>
        <v/>
      </c>
      <c r="B339" s="138" t="str">
        <f aca="false">Scoring!BE345</f>
        <v/>
      </c>
      <c r="C339" s="138" t="n">
        <f aca="false">Scoring!C345</f>
        <v>0</v>
      </c>
      <c r="D339" s="139" t="str">
        <f aca="false">Scoring!BB345</f>
        <v/>
      </c>
      <c r="E339" s="138" t="str">
        <f aca="false">Scoring!AE345</f>
        <v/>
      </c>
      <c r="F339" s="138" t="n">
        <f aca="false">Scoring!B345</f>
        <v>0</v>
      </c>
      <c r="G339" s="138" t="n">
        <f aca="false">Scoring!D345</f>
        <v>0</v>
      </c>
      <c r="H339" s="138" t="str">
        <f aca="false">Scoring!BD345</f>
        <v/>
      </c>
      <c r="I339" s="140" t="str">
        <f aca="false">Scoring!BC345</f>
        <v/>
      </c>
    </row>
    <row r="340" customFormat="false" ht="15.75" hidden="false" customHeight="false" outlineLevel="0" collapsed="false">
      <c r="A340" s="138" t="str">
        <f aca="false">Scoring!BF346</f>
        <v/>
      </c>
      <c r="B340" s="138" t="str">
        <f aca="false">Scoring!BE346</f>
        <v/>
      </c>
      <c r="C340" s="138" t="n">
        <f aca="false">Scoring!C346</f>
        <v>0</v>
      </c>
      <c r="D340" s="139" t="str">
        <f aca="false">Scoring!BB346</f>
        <v/>
      </c>
      <c r="E340" s="138" t="str">
        <f aca="false">Scoring!AE346</f>
        <v/>
      </c>
      <c r="F340" s="138" t="n">
        <f aca="false">Scoring!B346</f>
        <v>0</v>
      </c>
      <c r="G340" s="138" t="n">
        <f aca="false">Scoring!D346</f>
        <v>0</v>
      </c>
      <c r="H340" s="138" t="str">
        <f aca="false">Scoring!BD346</f>
        <v/>
      </c>
      <c r="I340" s="140" t="str">
        <f aca="false">Scoring!BC346</f>
        <v/>
      </c>
    </row>
    <row r="341" customFormat="false" ht="15.75" hidden="false" customHeight="false" outlineLevel="0" collapsed="false">
      <c r="A341" s="138" t="str">
        <f aca="false">Scoring!BF347</f>
        <v/>
      </c>
      <c r="B341" s="138" t="str">
        <f aca="false">Scoring!BE347</f>
        <v/>
      </c>
      <c r="C341" s="138" t="n">
        <f aca="false">Scoring!C347</f>
        <v>0</v>
      </c>
      <c r="D341" s="139" t="str">
        <f aca="false">Scoring!BB347</f>
        <v/>
      </c>
      <c r="E341" s="138" t="str">
        <f aca="false">Scoring!AE347</f>
        <v/>
      </c>
      <c r="F341" s="138" t="n">
        <f aca="false">Scoring!B347</f>
        <v>0</v>
      </c>
      <c r="G341" s="138" t="n">
        <f aca="false">Scoring!D347</f>
        <v>0</v>
      </c>
      <c r="H341" s="138" t="str">
        <f aca="false">Scoring!BD347</f>
        <v/>
      </c>
      <c r="I341" s="140" t="str">
        <f aca="false">Scoring!BC347</f>
        <v/>
      </c>
    </row>
    <row r="342" customFormat="false" ht="15.75" hidden="false" customHeight="false" outlineLevel="0" collapsed="false">
      <c r="A342" s="138" t="str">
        <f aca="false">Scoring!BF348</f>
        <v/>
      </c>
      <c r="B342" s="138" t="str">
        <f aca="false">Scoring!BE348</f>
        <v/>
      </c>
      <c r="C342" s="138" t="n">
        <f aca="false">Scoring!C348</f>
        <v>0</v>
      </c>
      <c r="D342" s="139" t="str">
        <f aca="false">Scoring!BB348</f>
        <v/>
      </c>
      <c r="E342" s="138" t="str">
        <f aca="false">Scoring!AE348</f>
        <v/>
      </c>
      <c r="F342" s="138" t="n">
        <f aca="false">Scoring!B348</f>
        <v>0</v>
      </c>
      <c r="G342" s="138" t="n">
        <f aca="false">Scoring!D348</f>
        <v>0</v>
      </c>
      <c r="H342" s="138" t="str">
        <f aca="false">Scoring!BD348</f>
        <v/>
      </c>
      <c r="I342" s="140" t="str">
        <f aca="false">Scoring!BC348</f>
        <v/>
      </c>
    </row>
    <row r="343" customFormat="false" ht="15.75" hidden="false" customHeight="false" outlineLevel="0" collapsed="false">
      <c r="A343" s="138" t="str">
        <f aca="false">Scoring!BF349</f>
        <v/>
      </c>
      <c r="B343" s="138" t="str">
        <f aca="false">Scoring!BE349</f>
        <v/>
      </c>
      <c r="C343" s="138" t="n">
        <f aca="false">Scoring!C349</f>
        <v>0</v>
      </c>
      <c r="D343" s="139" t="str">
        <f aca="false">Scoring!BB349</f>
        <v/>
      </c>
      <c r="E343" s="138" t="str">
        <f aca="false">Scoring!AE349</f>
        <v/>
      </c>
      <c r="F343" s="138" t="n">
        <f aca="false">Scoring!B349</f>
        <v>0</v>
      </c>
      <c r="G343" s="138" t="n">
        <f aca="false">Scoring!D349</f>
        <v>0</v>
      </c>
      <c r="H343" s="138" t="str">
        <f aca="false">Scoring!BD349</f>
        <v/>
      </c>
      <c r="I343" s="140" t="str">
        <f aca="false">Scoring!BC349</f>
        <v/>
      </c>
    </row>
    <row r="344" customFormat="false" ht="15.75" hidden="false" customHeight="false" outlineLevel="0" collapsed="false">
      <c r="A344" s="138" t="str">
        <f aca="false">Scoring!BF350</f>
        <v/>
      </c>
      <c r="B344" s="138" t="str">
        <f aca="false">Scoring!BE350</f>
        <v/>
      </c>
      <c r="C344" s="138" t="n">
        <f aca="false">Scoring!C350</f>
        <v>0</v>
      </c>
      <c r="D344" s="139" t="str">
        <f aca="false">Scoring!BB350</f>
        <v/>
      </c>
      <c r="E344" s="138" t="str">
        <f aca="false">Scoring!AE350</f>
        <v/>
      </c>
      <c r="F344" s="138" t="n">
        <f aca="false">Scoring!B350</f>
        <v>0</v>
      </c>
      <c r="G344" s="138" t="n">
        <f aca="false">Scoring!D350</f>
        <v>0</v>
      </c>
      <c r="H344" s="138" t="str">
        <f aca="false">Scoring!BD350</f>
        <v/>
      </c>
      <c r="I344" s="140" t="str">
        <f aca="false">Scoring!BC350</f>
        <v/>
      </c>
    </row>
    <row r="345" customFormat="false" ht="15.75" hidden="false" customHeight="false" outlineLevel="0" collapsed="false">
      <c r="A345" s="138" t="str">
        <f aca="false">Scoring!BF351</f>
        <v/>
      </c>
      <c r="B345" s="138" t="str">
        <f aca="false">Scoring!BE351</f>
        <v/>
      </c>
      <c r="C345" s="138" t="n">
        <f aca="false">Scoring!C351</f>
        <v>0</v>
      </c>
      <c r="D345" s="139" t="str">
        <f aca="false">Scoring!BB351</f>
        <v/>
      </c>
      <c r="E345" s="138" t="str">
        <f aca="false">Scoring!AE351</f>
        <v/>
      </c>
      <c r="F345" s="138" t="n">
        <f aca="false">Scoring!B351</f>
        <v>0</v>
      </c>
      <c r="G345" s="138" t="n">
        <f aca="false">Scoring!D351</f>
        <v>0</v>
      </c>
      <c r="H345" s="138" t="str">
        <f aca="false">Scoring!BD351</f>
        <v/>
      </c>
      <c r="I345" s="140" t="str">
        <f aca="false">Scoring!BC351</f>
        <v/>
      </c>
    </row>
    <row r="346" customFormat="false" ht="15.75" hidden="false" customHeight="false" outlineLevel="0" collapsed="false">
      <c r="A346" s="138" t="str">
        <f aca="false">Scoring!BF352</f>
        <v/>
      </c>
      <c r="B346" s="138" t="str">
        <f aca="false">Scoring!BE352</f>
        <v/>
      </c>
      <c r="C346" s="138" t="n">
        <f aca="false">Scoring!C352</f>
        <v>0</v>
      </c>
      <c r="D346" s="139" t="str">
        <f aca="false">Scoring!BB352</f>
        <v/>
      </c>
      <c r="E346" s="138" t="str">
        <f aca="false">Scoring!AE352</f>
        <v/>
      </c>
      <c r="F346" s="138" t="n">
        <f aca="false">Scoring!B352</f>
        <v>0</v>
      </c>
      <c r="G346" s="138" t="n">
        <f aca="false">Scoring!D352</f>
        <v>0</v>
      </c>
      <c r="H346" s="138" t="str">
        <f aca="false">Scoring!BD352</f>
        <v/>
      </c>
      <c r="I346" s="140" t="str">
        <f aca="false">Scoring!BC352</f>
        <v/>
      </c>
    </row>
    <row r="347" customFormat="false" ht="15.75" hidden="false" customHeight="false" outlineLevel="0" collapsed="false">
      <c r="A347" s="138" t="str">
        <f aca="false">Scoring!BF353</f>
        <v/>
      </c>
      <c r="B347" s="138" t="str">
        <f aca="false">Scoring!BE353</f>
        <v/>
      </c>
      <c r="C347" s="138" t="n">
        <f aca="false">Scoring!C353</f>
        <v>0</v>
      </c>
      <c r="D347" s="139" t="str">
        <f aca="false">Scoring!BB353</f>
        <v/>
      </c>
      <c r="E347" s="138" t="str">
        <f aca="false">Scoring!AE353</f>
        <v/>
      </c>
      <c r="F347" s="138" t="n">
        <f aca="false">Scoring!B353</f>
        <v>0</v>
      </c>
      <c r="G347" s="138" t="n">
        <f aca="false">Scoring!D353</f>
        <v>0</v>
      </c>
      <c r="H347" s="138" t="str">
        <f aca="false">Scoring!BD353</f>
        <v/>
      </c>
      <c r="I347" s="140" t="str">
        <f aca="false">Scoring!BC353</f>
        <v/>
      </c>
    </row>
    <row r="348" customFormat="false" ht="15.75" hidden="false" customHeight="false" outlineLevel="0" collapsed="false">
      <c r="A348" s="138" t="str">
        <f aca="false">Scoring!BF354</f>
        <v/>
      </c>
      <c r="B348" s="138" t="str">
        <f aca="false">Scoring!BE354</f>
        <v/>
      </c>
      <c r="C348" s="138" t="n">
        <f aca="false">Scoring!C354</f>
        <v>0</v>
      </c>
      <c r="D348" s="139" t="str">
        <f aca="false">Scoring!BB354</f>
        <v/>
      </c>
      <c r="E348" s="138" t="str">
        <f aca="false">Scoring!AE354</f>
        <v/>
      </c>
      <c r="F348" s="138" t="n">
        <f aca="false">Scoring!B354</f>
        <v>0</v>
      </c>
      <c r="G348" s="138" t="n">
        <f aca="false">Scoring!D354</f>
        <v>0</v>
      </c>
      <c r="H348" s="138" t="str">
        <f aca="false">Scoring!BD354</f>
        <v/>
      </c>
      <c r="I348" s="140" t="str">
        <f aca="false">Scoring!BC354</f>
        <v/>
      </c>
    </row>
    <row r="349" customFormat="false" ht="15.75" hidden="false" customHeight="false" outlineLevel="0" collapsed="false">
      <c r="A349" s="138" t="str">
        <f aca="false">Scoring!BF355</f>
        <v/>
      </c>
      <c r="B349" s="138" t="str">
        <f aca="false">Scoring!BE355</f>
        <v/>
      </c>
      <c r="C349" s="138" t="n">
        <f aca="false">Scoring!C355</f>
        <v>0</v>
      </c>
      <c r="D349" s="139" t="str">
        <f aca="false">Scoring!BB355</f>
        <v/>
      </c>
      <c r="E349" s="138" t="str">
        <f aca="false">Scoring!AE355</f>
        <v/>
      </c>
      <c r="F349" s="138" t="n">
        <f aca="false">Scoring!B355</f>
        <v>0</v>
      </c>
      <c r="G349" s="138" t="n">
        <f aca="false">Scoring!D355</f>
        <v>0</v>
      </c>
      <c r="H349" s="138" t="str">
        <f aca="false">Scoring!BD355</f>
        <v/>
      </c>
      <c r="I349" s="140" t="str">
        <f aca="false">Scoring!BC355</f>
        <v/>
      </c>
    </row>
    <row r="350" customFormat="false" ht="15.75" hidden="false" customHeight="false" outlineLevel="0" collapsed="false">
      <c r="A350" s="138" t="str">
        <f aca="false">Scoring!BF356</f>
        <v/>
      </c>
      <c r="B350" s="138" t="str">
        <f aca="false">Scoring!BE356</f>
        <v/>
      </c>
      <c r="C350" s="138" t="n">
        <f aca="false">Scoring!C356</f>
        <v>0</v>
      </c>
      <c r="D350" s="139" t="str">
        <f aca="false">Scoring!BB356</f>
        <v/>
      </c>
      <c r="E350" s="138" t="str">
        <f aca="false">Scoring!AE356</f>
        <v/>
      </c>
      <c r="F350" s="138" t="n">
        <f aca="false">Scoring!B356</f>
        <v>0</v>
      </c>
      <c r="G350" s="138" t="n">
        <f aca="false">Scoring!D356</f>
        <v>0</v>
      </c>
      <c r="H350" s="138" t="str">
        <f aca="false">Scoring!BD356</f>
        <v/>
      </c>
      <c r="I350" s="140" t="str">
        <f aca="false">Scoring!BC356</f>
        <v/>
      </c>
    </row>
    <row r="351" customFormat="false" ht="15.75" hidden="false" customHeight="false" outlineLevel="0" collapsed="false">
      <c r="A351" s="138" t="str">
        <f aca="false">Scoring!BF357</f>
        <v/>
      </c>
      <c r="B351" s="138" t="str">
        <f aca="false">Scoring!BE357</f>
        <v/>
      </c>
      <c r="C351" s="138" t="n">
        <f aca="false">Scoring!C357</f>
        <v>0</v>
      </c>
      <c r="D351" s="139" t="str">
        <f aca="false">Scoring!BB357</f>
        <v/>
      </c>
      <c r="E351" s="138" t="str">
        <f aca="false">Scoring!AE357</f>
        <v/>
      </c>
      <c r="F351" s="138" t="n">
        <f aca="false">Scoring!B357</f>
        <v>0</v>
      </c>
      <c r="G351" s="138" t="n">
        <f aca="false">Scoring!D357</f>
        <v>0</v>
      </c>
      <c r="H351" s="138" t="str">
        <f aca="false">Scoring!BD357</f>
        <v/>
      </c>
      <c r="I351" s="140" t="str">
        <f aca="false">Scoring!BC357</f>
        <v/>
      </c>
    </row>
    <row r="352" customFormat="false" ht="15.75" hidden="false" customHeight="false" outlineLevel="0" collapsed="false">
      <c r="A352" s="138" t="str">
        <f aca="false">Scoring!BF358</f>
        <v/>
      </c>
      <c r="B352" s="138" t="str">
        <f aca="false">Scoring!BE358</f>
        <v/>
      </c>
      <c r="C352" s="138" t="n">
        <f aca="false">Scoring!C358</f>
        <v>0</v>
      </c>
      <c r="D352" s="139" t="str">
        <f aca="false">Scoring!BB358</f>
        <v/>
      </c>
      <c r="E352" s="138" t="str">
        <f aca="false">Scoring!AE358</f>
        <v/>
      </c>
      <c r="F352" s="138" t="n">
        <f aca="false">Scoring!B358</f>
        <v>0</v>
      </c>
      <c r="G352" s="138" t="n">
        <f aca="false">Scoring!D358</f>
        <v>0</v>
      </c>
      <c r="H352" s="138" t="str">
        <f aca="false">Scoring!BD358</f>
        <v/>
      </c>
      <c r="I352" s="140" t="str">
        <f aca="false">Scoring!BC358</f>
        <v/>
      </c>
    </row>
    <row r="353" customFormat="false" ht="15.75" hidden="false" customHeight="false" outlineLevel="0" collapsed="false">
      <c r="A353" s="138" t="str">
        <f aca="false">Scoring!BF359</f>
        <v/>
      </c>
      <c r="B353" s="138" t="str">
        <f aca="false">Scoring!BE359</f>
        <v/>
      </c>
      <c r="C353" s="138" t="n">
        <f aca="false">Scoring!C359</f>
        <v>0</v>
      </c>
      <c r="D353" s="139" t="str">
        <f aca="false">Scoring!BB359</f>
        <v/>
      </c>
      <c r="E353" s="138" t="str">
        <f aca="false">Scoring!AE359</f>
        <v/>
      </c>
      <c r="F353" s="138" t="n">
        <f aca="false">Scoring!B359</f>
        <v>0</v>
      </c>
      <c r="G353" s="138" t="n">
        <f aca="false">Scoring!D359</f>
        <v>0</v>
      </c>
      <c r="H353" s="138" t="str">
        <f aca="false">Scoring!BD359</f>
        <v/>
      </c>
      <c r="I353" s="140" t="str">
        <f aca="false">Scoring!BC359</f>
        <v/>
      </c>
    </row>
    <row r="354" customFormat="false" ht="15.75" hidden="false" customHeight="false" outlineLevel="0" collapsed="false">
      <c r="A354" s="138" t="str">
        <f aca="false">Scoring!BF360</f>
        <v/>
      </c>
      <c r="B354" s="138" t="str">
        <f aca="false">Scoring!BE360</f>
        <v/>
      </c>
      <c r="C354" s="138" t="n">
        <f aca="false">Scoring!C360</f>
        <v>0</v>
      </c>
      <c r="D354" s="139" t="str">
        <f aca="false">Scoring!BB360</f>
        <v/>
      </c>
      <c r="E354" s="138" t="str">
        <f aca="false">Scoring!AE360</f>
        <v/>
      </c>
      <c r="F354" s="138" t="n">
        <f aca="false">Scoring!B360</f>
        <v>0</v>
      </c>
      <c r="G354" s="138" t="n">
        <f aca="false">Scoring!D360</f>
        <v>0</v>
      </c>
      <c r="H354" s="138" t="str">
        <f aca="false">Scoring!BD360</f>
        <v/>
      </c>
      <c r="I354" s="140" t="str">
        <f aca="false">Scoring!BC360</f>
        <v/>
      </c>
    </row>
    <row r="355" customFormat="false" ht="15.75" hidden="false" customHeight="false" outlineLevel="0" collapsed="false">
      <c r="A355" s="138" t="str">
        <f aca="false">Scoring!BF361</f>
        <v/>
      </c>
      <c r="B355" s="138" t="str">
        <f aca="false">Scoring!BE361</f>
        <v/>
      </c>
      <c r="C355" s="138" t="n">
        <f aca="false">Scoring!C361</f>
        <v>0</v>
      </c>
      <c r="D355" s="139" t="str">
        <f aca="false">Scoring!BB361</f>
        <v/>
      </c>
      <c r="E355" s="138" t="str">
        <f aca="false">Scoring!AE361</f>
        <v/>
      </c>
      <c r="F355" s="138" t="n">
        <f aca="false">Scoring!B361</f>
        <v>0</v>
      </c>
      <c r="G355" s="138" t="n">
        <f aca="false">Scoring!D361</f>
        <v>0</v>
      </c>
      <c r="H355" s="138" t="str">
        <f aca="false">Scoring!BD361</f>
        <v/>
      </c>
      <c r="I355" s="140" t="str">
        <f aca="false">Scoring!BC361</f>
        <v/>
      </c>
    </row>
    <row r="356" customFormat="false" ht="15.75" hidden="false" customHeight="false" outlineLevel="0" collapsed="false">
      <c r="A356" s="138" t="str">
        <f aca="false">Scoring!BF362</f>
        <v/>
      </c>
      <c r="B356" s="138" t="str">
        <f aca="false">Scoring!BE362</f>
        <v/>
      </c>
      <c r="C356" s="138" t="n">
        <f aca="false">Scoring!C362</f>
        <v>0</v>
      </c>
      <c r="D356" s="139" t="str">
        <f aca="false">Scoring!BB362</f>
        <v/>
      </c>
      <c r="E356" s="138" t="str">
        <f aca="false">Scoring!AE362</f>
        <v/>
      </c>
      <c r="F356" s="138" t="n">
        <f aca="false">Scoring!B362</f>
        <v>0</v>
      </c>
      <c r="G356" s="138" t="n">
        <f aca="false">Scoring!D362</f>
        <v>0</v>
      </c>
      <c r="H356" s="138" t="str">
        <f aca="false">Scoring!BD362</f>
        <v/>
      </c>
      <c r="I356" s="140" t="str">
        <f aca="false">Scoring!BC362</f>
        <v/>
      </c>
    </row>
    <row r="357" customFormat="false" ht="15.75" hidden="false" customHeight="false" outlineLevel="0" collapsed="false">
      <c r="A357" s="138" t="str">
        <f aca="false">Scoring!BF363</f>
        <v/>
      </c>
      <c r="B357" s="138" t="str">
        <f aca="false">Scoring!BE363</f>
        <v/>
      </c>
      <c r="C357" s="138" t="n">
        <f aca="false">Scoring!C363</f>
        <v>0</v>
      </c>
      <c r="D357" s="139" t="str">
        <f aca="false">Scoring!BB363</f>
        <v/>
      </c>
      <c r="E357" s="138" t="str">
        <f aca="false">Scoring!AE363</f>
        <v/>
      </c>
      <c r="F357" s="138" t="n">
        <f aca="false">Scoring!B363</f>
        <v>0</v>
      </c>
      <c r="G357" s="138" t="n">
        <f aca="false">Scoring!D363</f>
        <v>0</v>
      </c>
      <c r="H357" s="138" t="str">
        <f aca="false">Scoring!BD363</f>
        <v/>
      </c>
      <c r="I357" s="140" t="str">
        <f aca="false">Scoring!BC363</f>
        <v/>
      </c>
    </row>
    <row r="358" customFormat="false" ht="15.75" hidden="false" customHeight="false" outlineLevel="0" collapsed="false">
      <c r="A358" s="138" t="str">
        <f aca="false">Scoring!BF364</f>
        <v/>
      </c>
      <c r="B358" s="138" t="str">
        <f aca="false">Scoring!BE364</f>
        <v/>
      </c>
      <c r="C358" s="138" t="n">
        <f aca="false">Scoring!C364</f>
        <v>0</v>
      </c>
      <c r="D358" s="139" t="str">
        <f aca="false">Scoring!BB364</f>
        <v/>
      </c>
      <c r="E358" s="138" t="str">
        <f aca="false">Scoring!AE364</f>
        <v/>
      </c>
      <c r="F358" s="138" t="n">
        <f aca="false">Scoring!B364</f>
        <v>0</v>
      </c>
      <c r="G358" s="138" t="n">
        <f aca="false">Scoring!D364</f>
        <v>0</v>
      </c>
      <c r="H358" s="138" t="str">
        <f aca="false">Scoring!BD364</f>
        <v/>
      </c>
      <c r="I358" s="140" t="str">
        <f aca="false">Scoring!BC364</f>
        <v/>
      </c>
    </row>
    <row r="359" customFormat="false" ht="15.75" hidden="false" customHeight="false" outlineLevel="0" collapsed="false">
      <c r="A359" s="138" t="str">
        <f aca="false">Scoring!BF365</f>
        <v/>
      </c>
      <c r="B359" s="138" t="str">
        <f aca="false">Scoring!BE365</f>
        <v/>
      </c>
      <c r="C359" s="138" t="n">
        <f aca="false">Scoring!C365</f>
        <v>0</v>
      </c>
      <c r="D359" s="139" t="str">
        <f aca="false">Scoring!BB365</f>
        <v/>
      </c>
      <c r="E359" s="138" t="str">
        <f aca="false">Scoring!AE365</f>
        <v/>
      </c>
      <c r="F359" s="138" t="n">
        <f aca="false">Scoring!B365</f>
        <v>0</v>
      </c>
      <c r="G359" s="138" t="n">
        <f aca="false">Scoring!D365</f>
        <v>0</v>
      </c>
      <c r="H359" s="138" t="str">
        <f aca="false">Scoring!BD365</f>
        <v/>
      </c>
      <c r="I359" s="140" t="str">
        <f aca="false">Scoring!BC365</f>
        <v/>
      </c>
    </row>
    <row r="360" customFormat="false" ht="15.75" hidden="false" customHeight="false" outlineLevel="0" collapsed="false">
      <c r="A360" s="138" t="str">
        <f aca="false">Scoring!BF366</f>
        <v/>
      </c>
      <c r="B360" s="138" t="str">
        <f aca="false">Scoring!BE366</f>
        <v/>
      </c>
      <c r="C360" s="138" t="n">
        <f aca="false">Scoring!C366</f>
        <v>0</v>
      </c>
      <c r="D360" s="139" t="str">
        <f aca="false">Scoring!BB366</f>
        <v/>
      </c>
      <c r="E360" s="138" t="str">
        <f aca="false">Scoring!AE366</f>
        <v/>
      </c>
      <c r="F360" s="138" t="n">
        <f aca="false">Scoring!B366</f>
        <v>0</v>
      </c>
      <c r="G360" s="138" t="n">
        <f aca="false">Scoring!D366</f>
        <v>0</v>
      </c>
      <c r="H360" s="138" t="str">
        <f aca="false">Scoring!BD366</f>
        <v/>
      </c>
      <c r="I360" s="140" t="str">
        <f aca="false">Scoring!BC366</f>
        <v/>
      </c>
    </row>
    <row r="361" customFormat="false" ht="15.75" hidden="false" customHeight="false" outlineLevel="0" collapsed="false">
      <c r="A361" s="138" t="str">
        <f aca="false">Scoring!BF367</f>
        <v/>
      </c>
      <c r="B361" s="138" t="str">
        <f aca="false">Scoring!BE367</f>
        <v/>
      </c>
      <c r="C361" s="138" t="n">
        <f aca="false">Scoring!C367</f>
        <v>0</v>
      </c>
      <c r="D361" s="139" t="str">
        <f aca="false">Scoring!BB367</f>
        <v/>
      </c>
      <c r="E361" s="138" t="str">
        <f aca="false">Scoring!AE367</f>
        <v/>
      </c>
      <c r="F361" s="138" t="n">
        <f aca="false">Scoring!B367</f>
        <v>0</v>
      </c>
      <c r="G361" s="138" t="n">
        <f aca="false">Scoring!D367</f>
        <v>0</v>
      </c>
      <c r="H361" s="138" t="str">
        <f aca="false">Scoring!BD367</f>
        <v/>
      </c>
      <c r="I361" s="140" t="str">
        <f aca="false">Scoring!BC367</f>
        <v/>
      </c>
    </row>
    <row r="362" customFormat="false" ht="15.75" hidden="false" customHeight="false" outlineLevel="0" collapsed="false">
      <c r="A362" s="138" t="str">
        <f aca="false">Scoring!BF368</f>
        <v/>
      </c>
      <c r="B362" s="138" t="str">
        <f aca="false">Scoring!BE368</f>
        <v/>
      </c>
      <c r="C362" s="138" t="n">
        <f aca="false">Scoring!C368</f>
        <v>0</v>
      </c>
      <c r="D362" s="139" t="str">
        <f aca="false">Scoring!BB368</f>
        <v/>
      </c>
      <c r="E362" s="138" t="str">
        <f aca="false">Scoring!AE368</f>
        <v/>
      </c>
      <c r="F362" s="138" t="n">
        <f aca="false">Scoring!B368</f>
        <v>0</v>
      </c>
      <c r="G362" s="138" t="n">
        <f aca="false">Scoring!D368</f>
        <v>0</v>
      </c>
      <c r="H362" s="138" t="str">
        <f aca="false">Scoring!BD368</f>
        <v/>
      </c>
      <c r="I362" s="140" t="str">
        <f aca="false">Scoring!BC368</f>
        <v/>
      </c>
    </row>
    <row r="363" customFormat="false" ht="15.75" hidden="false" customHeight="false" outlineLevel="0" collapsed="false">
      <c r="A363" s="138" t="str">
        <f aca="false">Scoring!BF369</f>
        <v/>
      </c>
      <c r="B363" s="138" t="str">
        <f aca="false">Scoring!BE369</f>
        <v/>
      </c>
      <c r="C363" s="138" t="n">
        <f aca="false">Scoring!C369</f>
        <v>0</v>
      </c>
      <c r="D363" s="139" t="str">
        <f aca="false">Scoring!BB369</f>
        <v/>
      </c>
      <c r="E363" s="138" t="str">
        <f aca="false">Scoring!AE369</f>
        <v/>
      </c>
      <c r="F363" s="138" t="n">
        <f aca="false">Scoring!B369</f>
        <v>0</v>
      </c>
      <c r="G363" s="138" t="n">
        <f aca="false">Scoring!D369</f>
        <v>0</v>
      </c>
      <c r="H363" s="138" t="str">
        <f aca="false">Scoring!BD369</f>
        <v/>
      </c>
      <c r="I363" s="140" t="str">
        <f aca="false">Scoring!BC369</f>
        <v/>
      </c>
    </row>
    <row r="364" customFormat="false" ht="15.75" hidden="false" customHeight="false" outlineLevel="0" collapsed="false">
      <c r="A364" s="138" t="str">
        <f aca="false">Scoring!BF370</f>
        <v/>
      </c>
      <c r="B364" s="138" t="str">
        <f aca="false">Scoring!BE370</f>
        <v/>
      </c>
      <c r="C364" s="138" t="n">
        <f aca="false">Scoring!C370</f>
        <v>0</v>
      </c>
      <c r="D364" s="139" t="str">
        <f aca="false">Scoring!BB370</f>
        <v/>
      </c>
      <c r="E364" s="138" t="str">
        <f aca="false">Scoring!AE370</f>
        <v/>
      </c>
      <c r="F364" s="138" t="n">
        <f aca="false">Scoring!B370</f>
        <v>0</v>
      </c>
      <c r="G364" s="138" t="n">
        <f aca="false">Scoring!D370</f>
        <v>0</v>
      </c>
      <c r="H364" s="138" t="str">
        <f aca="false">Scoring!BD370</f>
        <v/>
      </c>
      <c r="I364" s="140" t="str">
        <f aca="false">Scoring!BC370</f>
        <v/>
      </c>
    </row>
    <row r="365" customFormat="false" ht="15.75" hidden="false" customHeight="false" outlineLevel="0" collapsed="false">
      <c r="A365" s="138" t="str">
        <f aca="false">Scoring!BF371</f>
        <v/>
      </c>
      <c r="B365" s="138" t="str">
        <f aca="false">Scoring!BE371</f>
        <v/>
      </c>
      <c r="C365" s="138" t="n">
        <f aca="false">Scoring!C371</f>
        <v>0</v>
      </c>
      <c r="D365" s="139" t="str">
        <f aca="false">Scoring!BB371</f>
        <v/>
      </c>
      <c r="E365" s="138" t="str">
        <f aca="false">Scoring!AE371</f>
        <v/>
      </c>
      <c r="F365" s="138" t="n">
        <f aca="false">Scoring!B371</f>
        <v>0</v>
      </c>
      <c r="G365" s="138" t="n">
        <f aca="false">Scoring!D371</f>
        <v>0</v>
      </c>
      <c r="H365" s="138" t="str">
        <f aca="false">Scoring!BD371</f>
        <v/>
      </c>
      <c r="I365" s="140" t="str">
        <f aca="false">Scoring!BC371</f>
        <v/>
      </c>
    </row>
    <row r="366" customFormat="false" ht="15.75" hidden="false" customHeight="false" outlineLevel="0" collapsed="false">
      <c r="A366" s="138" t="str">
        <f aca="false">Scoring!BF372</f>
        <v/>
      </c>
      <c r="B366" s="138" t="str">
        <f aca="false">Scoring!BE372</f>
        <v/>
      </c>
      <c r="C366" s="138" t="n">
        <f aca="false">Scoring!C372</f>
        <v>0</v>
      </c>
      <c r="D366" s="139" t="str">
        <f aca="false">Scoring!BB372</f>
        <v/>
      </c>
      <c r="E366" s="138" t="str">
        <f aca="false">Scoring!AE372</f>
        <v/>
      </c>
      <c r="F366" s="138" t="n">
        <f aca="false">Scoring!B372</f>
        <v>0</v>
      </c>
      <c r="G366" s="138" t="n">
        <f aca="false">Scoring!D372</f>
        <v>0</v>
      </c>
      <c r="H366" s="138" t="str">
        <f aca="false">Scoring!BD372</f>
        <v/>
      </c>
      <c r="I366" s="140" t="str">
        <f aca="false">Scoring!BC372</f>
        <v/>
      </c>
    </row>
    <row r="367" customFormat="false" ht="15.75" hidden="false" customHeight="false" outlineLevel="0" collapsed="false">
      <c r="A367" s="138" t="str">
        <f aca="false">Scoring!BF373</f>
        <v/>
      </c>
      <c r="B367" s="138" t="str">
        <f aca="false">Scoring!BE373</f>
        <v/>
      </c>
      <c r="C367" s="138" t="n">
        <f aca="false">Scoring!C373</f>
        <v>0</v>
      </c>
      <c r="D367" s="139" t="str">
        <f aca="false">Scoring!BB373</f>
        <v/>
      </c>
      <c r="E367" s="138" t="str">
        <f aca="false">Scoring!AE373</f>
        <v/>
      </c>
      <c r="F367" s="138" t="n">
        <f aca="false">Scoring!B373</f>
        <v>0</v>
      </c>
      <c r="G367" s="138" t="n">
        <f aca="false">Scoring!D373</f>
        <v>0</v>
      </c>
      <c r="H367" s="138" t="str">
        <f aca="false">Scoring!BD373</f>
        <v/>
      </c>
      <c r="I367" s="140" t="str">
        <f aca="false">Scoring!BC373</f>
        <v/>
      </c>
    </row>
    <row r="368" customFormat="false" ht="15.75" hidden="false" customHeight="false" outlineLevel="0" collapsed="false">
      <c r="A368" s="138" t="str">
        <f aca="false">Scoring!BF374</f>
        <v/>
      </c>
      <c r="B368" s="138" t="str">
        <f aca="false">Scoring!BE374</f>
        <v/>
      </c>
      <c r="C368" s="138" t="n">
        <f aca="false">Scoring!C374</f>
        <v>0</v>
      </c>
      <c r="D368" s="139" t="str">
        <f aca="false">Scoring!BB374</f>
        <v/>
      </c>
      <c r="E368" s="138" t="str">
        <f aca="false">Scoring!AE374</f>
        <v/>
      </c>
      <c r="F368" s="138" t="n">
        <f aca="false">Scoring!B374</f>
        <v>0</v>
      </c>
      <c r="G368" s="138" t="n">
        <f aca="false">Scoring!D374</f>
        <v>0</v>
      </c>
      <c r="H368" s="138" t="str">
        <f aca="false">Scoring!BD374</f>
        <v/>
      </c>
      <c r="I368" s="140" t="str">
        <f aca="false">Scoring!BC374</f>
        <v/>
      </c>
    </row>
    <row r="369" customFormat="false" ht="15.75" hidden="false" customHeight="false" outlineLevel="0" collapsed="false">
      <c r="A369" s="138" t="str">
        <f aca="false">Scoring!BF375</f>
        <v/>
      </c>
      <c r="B369" s="138" t="str">
        <f aca="false">Scoring!BE375</f>
        <v/>
      </c>
      <c r="C369" s="138" t="n">
        <f aca="false">Scoring!C375</f>
        <v>0</v>
      </c>
      <c r="D369" s="139" t="str">
        <f aca="false">Scoring!BB375</f>
        <v/>
      </c>
      <c r="E369" s="138" t="str">
        <f aca="false">Scoring!AE375</f>
        <v/>
      </c>
      <c r="F369" s="138" t="n">
        <f aca="false">Scoring!B375</f>
        <v>0</v>
      </c>
      <c r="G369" s="138" t="n">
        <f aca="false">Scoring!D375</f>
        <v>0</v>
      </c>
      <c r="H369" s="138" t="str">
        <f aca="false">Scoring!BD375</f>
        <v/>
      </c>
      <c r="I369" s="140" t="str">
        <f aca="false">Scoring!BC375</f>
        <v/>
      </c>
    </row>
    <row r="370" customFormat="false" ht="15.75" hidden="false" customHeight="false" outlineLevel="0" collapsed="false">
      <c r="A370" s="138" t="str">
        <f aca="false">Scoring!BF376</f>
        <v/>
      </c>
      <c r="B370" s="138" t="str">
        <f aca="false">Scoring!BE376</f>
        <v/>
      </c>
      <c r="C370" s="138" t="n">
        <f aca="false">Scoring!C376</f>
        <v>0</v>
      </c>
      <c r="D370" s="139" t="str">
        <f aca="false">Scoring!BB376</f>
        <v/>
      </c>
      <c r="E370" s="138" t="str">
        <f aca="false">Scoring!AE376</f>
        <v/>
      </c>
      <c r="F370" s="138" t="n">
        <f aca="false">Scoring!B376</f>
        <v>0</v>
      </c>
      <c r="G370" s="138" t="n">
        <f aca="false">Scoring!D376</f>
        <v>0</v>
      </c>
      <c r="H370" s="138" t="str">
        <f aca="false">Scoring!BD376</f>
        <v/>
      </c>
      <c r="I370" s="140" t="str">
        <f aca="false">Scoring!BC376</f>
        <v/>
      </c>
    </row>
    <row r="371" customFormat="false" ht="15.75" hidden="false" customHeight="false" outlineLevel="0" collapsed="false">
      <c r="A371" s="138" t="str">
        <f aca="false">Scoring!BF377</f>
        <v/>
      </c>
      <c r="B371" s="138" t="str">
        <f aca="false">Scoring!BE377</f>
        <v/>
      </c>
      <c r="C371" s="138" t="n">
        <f aca="false">Scoring!C377</f>
        <v>0</v>
      </c>
      <c r="D371" s="139" t="str">
        <f aca="false">Scoring!BB377</f>
        <v/>
      </c>
      <c r="E371" s="138" t="str">
        <f aca="false">Scoring!AE377</f>
        <v/>
      </c>
      <c r="F371" s="138" t="n">
        <f aca="false">Scoring!B377</f>
        <v>0</v>
      </c>
      <c r="G371" s="138" t="n">
        <f aca="false">Scoring!D377</f>
        <v>0</v>
      </c>
      <c r="H371" s="138" t="str">
        <f aca="false">Scoring!BD377</f>
        <v/>
      </c>
      <c r="I371" s="140" t="str">
        <f aca="false">Scoring!BC377</f>
        <v/>
      </c>
    </row>
    <row r="372" customFormat="false" ht="15.75" hidden="false" customHeight="false" outlineLevel="0" collapsed="false">
      <c r="A372" s="138" t="str">
        <f aca="false">Scoring!BF378</f>
        <v/>
      </c>
      <c r="B372" s="138" t="str">
        <f aca="false">Scoring!BE378</f>
        <v/>
      </c>
      <c r="C372" s="138" t="n">
        <f aca="false">Scoring!C378</f>
        <v>0</v>
      </c>
      <c r="D372" s="139" t="str">
        <f aca="false">Scoring!BB378</f>
        <v/>
      </c>
      <c r="E372" s="138" t="str">
        <f aca="false">Scoring!AE378</f>
        <v/>
      </c>
      <c r="F372" s="138" t="n">
        <f aca="false">Scoring!B378</f>
        <v>0</v>
      </c>
      <c r="G372" s="138" t="n">
        <f aca="false">Scoring!D378</f>
        <v>0</v>
      </c>
      <c r="H372" s="138" t="str">
        <f aca="false">Scoring!BD378</f>
        <v/>
      </c>
      <c r="I372" s="140" t="str">
        <f aca="false">Scoring!BC378</f>
        <v/>
      </c>
    </row>
    <row r="373" customFormat="false" ht="15.75" hidden="false" customHeight="false" outlineLevel="0" collapsed="false">
      <c r="A373" s="138" t="str">
        <f aca="false">Scoring!BF379</f>
        <v/>
      </c>
      <c r="B373" s="138" t="str">
        <f aca="false">Scoring!BE379</f>
        <v/>
      </c>
      <c r="C373" s="138" t="n">
        <f aca="false">Scoring!C379</f>
        <v>0</v>
      </c>
      <c r="D373" s="139" t="str">
        <f aca="false">Scoring!BB379</f>
        <v/>
      </c>
      <c r="E373" s="138" t="str">
        <f aca="false">Scoring!AE379</f>
        <v/>
      </c>
      <c r="F373" s="138" t="n">
        <f aca="false">Scoring!B379</f>
        <v>0</v>
      </c>
      <c r="G373" s="138" t="n">
        <f aca="false">Scoring!D379</f>
        <v>0</v>
      </c>
      <c r="H373" s="138" t="str">
        <f aca="false">Scoring!BD379</f>
        <v/>
      </c>
      <c r="I373" s="140" t="str">
        <f aca="false">Scoring!BC379</f>
        <v/>
      </c>
    </row>
    <row r="374" customFormat="false" ht="15.75" hidden="false" customHeight="false" outlineLevel="0" collapsed="false">
      <c r="A374" s="138" t="str">
        <f aca="false">Scoring!BF380</f>
        <v/>
      </c>
      <c r="B374" s="138" t="str">
        <f aca="false">Scoring!BE380</f>
        <v/>
      </c>
      <c r="C374" s="138" t="n">
        <f aca="false">Scoring!C380</f>
        <v>0</v>
      </c>
      <c r="D374" s="139" t="str">
        <f aca="false">Scoring!BB380</f>
        <v/>
      </c>
      <c r="E374" s="138" t="str">
        <f aca="false">Scoring!AE380</f>
        <v/>
      </c>
      <c r="F374" s="138" t="n">
        <f aca="false">Scoring!B380</f>
        <v>0</v>
      </c>
      <c r="G374" s="138" t="n">
        <f aca="false">Scoring!D380</f>
        <v>0</v>
      </c>
      <c r="H374" s="138" t="str">
        <f aca="false">Scoring!BD380</f>
        <v/>
      </c>
      <c r="I374" s="140" t="str">
        <f aca="false">Scoring!BC380</f>
        <v/>
      </c>
    </row>
    <row r="375" customFormat="false" ht="15.75" hidden="false" customHeight="false" outlineLevel="0" collapsed="false">
      <c r="A375" s="138" t="str">
        <f aca="false">Scoring!BF381</f>
        <v/>
      </c>
      <c r="B375" s="138" t="str">
        <f aca="false">Scoring!BE381</f>
        <v/>
      </c>
      <c r="C375" s="138" t="n">
        <f aca="false">Scoring!C381</f>
        <v>0</v>
      </c>
      <c r="D375" s="139" t="str">
        <f aca="false">Scoring!BB381</f>
        <v/>
      </c>
      <c r="E375" s="138" t="str">
        <f aca="false">Scoring!AE381</f>
        <v/>
      </c>
      <c r="F375" s="138" t="n">
        <f aca="false">Scoring!B381</f>
        <v>0</v>
      </c>
      <c r="G375" s="138" t="n">
        <f aca="false">Scoring!D381</f>
        <v>0</v>
      </c>
      <c r="H375" s="138" t="str">
        <f aca="false">Scoring!BD381</f>
        <v/>
      </c>
      <c r="I375" s="140" t="str">
        <f aca="false">Scoring!BC381</f>
        <v/>
      </c>
    </row>
    <row r="376" customFormat="false" ht="15.75" hidden="false" customHeight="false" outlineLevel="0" collapsed="false">
      <c r="A376" s="138" t="str">
        <f aca="false">Scoring!BF382</f>
        <v/>
      </c>
      <c r="B376" s="138" t="str">
        <f aca="false">Scoring!BE382</f>
        <v/>
      </c>
      <c r="C376" s="138" t="n">
        <f aca="false">Scoring!C382</f>
        <v>0</v>
      </c>
      <c r="D376" s="139" t="str">
        <f aca="false">Scoring!BB382</f>
        <v/>
      </c>
      <c r="E376" s="138" t="str">
        <f aca="false">Scoring!AE382</f>
        <v/>
      </c>
      <c r="F376" s="138" t="n">
        <f aca="false">Scoring!B382</f>
        <v>0</v>
      </c>
      <c r="G376" s="138" t="n">
        <f aca="false">Scoring!D382</f>
        <v>0</v>
      </c>
      <c r="H376" s="138" t="str">
        <f aca="false">Scoring!BD382</f>
        <v/>
      </c>
      <c r="I376" s="140" t="str">
        <f aca="false">Scoring!BC382</f>
        <v/>
      </c>
    </row>
    <row r="377" customFormat="false" ht="15.75" hidden="false" customHeight="false" outlineLevel="0" collapsed="false">
      <c r="A377" s="138" t="str">
        <f aca="false">Scoring!BF383</f>
        <v/>
      </c>
      <c r="B377" s="138" t="str">
        <f aca="false">Scoring!BE383</f>
        <v/>
      </c>
      <c r="C377" s="138" t="n">
        <f aca="false">Scoring!C383</f>
        <v>0</v>
      </c>
      <c r="D377" s="139" t="str">
        <f aca="false">Scoring!BB383</f>
        <v/>
      </c>
      <c r="E377" s="138" t="str">
        <f aca="false">Scoring!AE383</f>
        <v/>
      </c>
      <c r="F377" s="138" t="n">
        <f aca="false">Scoring!B383</f>
        <v>0</v>
      </c>
      <c r="G377" s="138" t="n">
        <f aca="false">Scoring!D383</f>
        <v>0</v>
      </c>
      <c r="H377" s="138" t="str">
        <f aca="false">Scoring!BD383</f>
        <v/>
      </c>
      <c r="I377" s="140" t="str">
        <f aca="false">Scoring!BC383</f>
        <v/>
      </c>
    </row>
    <row r="378" customFormat="false" ht="15.75" hidden="false" customHeight="false" outlineLevel="0" collapsed="false">
      <c r="A378" s="138" t="str">
        <f aca="false">Scoring!BF384</f>
        <v/>
      </c>
      <c r="B378" s="138" t="str">
        <f aca="false">Scoring!BE384</f>
        <v/>
      </c>
      <c r="C378" s="138" t="n">
        <f aca="false">Scoring!C384</f>
        <v>0</v>
      </c>
      <c r="D378" s="139" t="str">
        <f aca="false">Scoring!BB384</f>
        <v/>
      </c>
      <c r="E378" s="138" t="str">
        <f aca="false">Scoring!AE384</f>
        <v/>
      </c>
      <c r="F378" s="138" t="n">
        <f aca="false">Scoring!B384</f>
        <v>0</v>
      </c>
      <c r="G378" s="138" t="n">
        <f aca="false">Scoring!D384</f>
        <v>0</v>
      </c>
      <c r="H378" s="138" t="str">
        <f aca="false">Scoring!BD384</f>
        <v/>
      </c>
      <c r="I378" s="140" t="str">
        <f aca="false">Scoring!BC384</f>
        <v/>
      </c>
    </row>
    <row r="379" customFormat="false" ht="15.75" hidden="false" customHeight="false" outlineLevel="0" collapsed="false">
      <c r="A379" s="138" t="str">
        <f aca="false">Scoring!BF385</f>
        <v/>
      </c>
      <c r="B379" s="138" t="str">
        <f aca="false">Scoring!BE385</f>
        <v/>
      </c>
      <c r="C379" s="138" t="n">
        <f aca="false">Scoring!C385</f>
        <v>0</v>
      </c>
      <c r="D379" s="139" t="str">
        <f aca="false">Scoring!BB385</f>
        <v/>
      </c>
      <c r="E379" s="138" t="str">
        <f aca="false">Scoring!AE385</f>
        <v/>
      </c>
      <c r="F379" s="138" t="n">
        <f aca="false">Scoring!B385</f>
        <v>0</v>
      </c>
      <c r="G379" s="138" t="n">
        <f aca="false">Scoring!D385</f>
        <v>0</v>
      </c>
      <c r="H379" s="138" t="str">
        <f aca="false">Scoring!BD385</f>
        <v/>
      </c>
      <c r="I379" s="140" t="str">
        <f aca="false">Scoring!BC385</f>
        <v/>
      </c>
    </row>
    <row r="380" customFormat="false" ht="15.75" hidden="false" customHeight="false" outlineLevel="0" collapsed="false">
      <c r="A380" s="138" t="str">
        <f aca="false">Scoring!BF386</f>
        <v/>
      </c>
      <c r="B380" s="138" t="str">
        <f aca="false">Scoring!BE386</f>
        <v/>
      </c>
      <c r="C380" s="138" t="n">
        <f aca="false">Scoring!C386</f>
        <v>0</v>
      </c>
      <c r="D380" s="139" t="str">
        <f aca="false">Scoring!BB386</f>
        <v/>
      </c>
      <c r="E380" s="138" t="str">
        <f aca="false">Scoring!AE386</f>
        <v/>
      </c>
      <c r="F380" s="138" t="n">
        <f aca="false">Scoring!B386</f>
        <v>0</v>
      </c>
      <c r="G380" s="138" t="n">
        <f aca="false">Scoring!D386</f>
        <v>0</v>
      </c>
      <c r="H380" s="138" t="str">
        <f aca="false">Scoring!BD386</f>
        <v/>
      </c>
      <c r="I380" s="140" t="str">
        <f aca="false">Scoring!BC386</f>
        <v/>
      </c>
    </row>
    <row r="381" customFormat="false" ht="15.75" hidden="false" customHeight="false" outlineLevel="0" collapsed="false">
      <c r="A381" s="138" t="str">
        <f aca="false">Scoring!BF387</f>
        <v/>
      </c>
      <c r="B381" s="138" t="str">
        <f aca="false">Scoring!BE387</f>
        <v/>
      </c>
      <c r="C381" s="138" t="n">
        <f aca="false">Scoring!C387</f>
        <v>0</v>
      </c>
      <c r="D381" s="139" t="str">
        <f aca="false">Scoring!BB387</f>
        <v/>
      </c>
      <c r="E381" s="138" t="str">
        <f aca="false">Scoring!AE387</f>
        <v/>
      </c>
      <c r="F381" s="138" t="n">
        <f aca="false">Scoring!B387</f>
        <v>0</v>
      </c>
      <c r="G381" s="138" t="n">
        <f aca="false">Scoring!D387</f>
        <v>0</v>
      </c>
      <c r="H381" s="138" t="str">
        <f aca="false">Scoring!BD387</f>
        <v/>
      </c>
      <c r="I381" s="140" t="str">
        <f aca="false">Scoring!BC387</f>
        <v/>
      </c>
    </row>
    <row r="382" customFormat="false" ht="15.75" hidden="false" customHeight="false" outlineLevel="0" collapsed="false">
      <c r="A382" s="138" t="str">
        <f aca="false">Scoring!BF388</f>
        <v/>
      </c>
      <c r="B382" s="138" t="str">
        <f aca="false">Scoring!BE388</f>
        <v/>
      </c>
      <c r="C382" s="138" t="n">
        <f aca="false">Scoring!C388</f>
        <v>0</v>
      </c>
      <c r="D382" s="139" t="str">
        <f aca="false">Scoring!BB388</f>
        <v/>
      </c>
      <c r="E382" s="138" t="str">
        <f aca="false">Scoring!AE388</f>
        <v/>
      </c>
      <c r="F382" s="138" t="n">
        <f aca="false">Scoring!B388</f>
        <v>0</v>
      </c>
      <c r="G382" s="138" t="n">
        <f aca="false">Scoring!D388</f>
        <v>0</v>
      </c>
      <c r="H382" s="138" t="str">
        <f aca="false">Scoring!BD388</f>
        <v/>
      </c>
      <c r="I382" s="140" t="str">
        <f aca="false">Scoring!BC388</f>
        <v/>
      </c>
    </row>
    <row r="383" customFormat="false" ht="15.75" hidden="false" customHeight="false" outlineLevel="0" collapsed="false">
      <c r="A383" s="138" t="str">
        <f aca="false">Scoring!BF389</f>
        <v/>
      </c>
      <c r="B383" s="138" t="str">
        <f aca="false">Scoring!BE389</f>
        <v/>
      </c>
      <c r="C383" s="138" t="n">
        <f aca="false">Scoring!C389</f>
        <v>0</v>
      </c>
      <c r="D383" s="139" t="str">
        <f aca="false">Scoring!BB389</f>
        <v/>
      </c>
      <c r="E383" s="138" t="str">
        <f aca="false">Scoring!AE389</f>
        <v/>
      </c>
      <c r="F383" s="138" t="n">
        <f aca="false">Scoring!B389</f>
        <v>0</v>
      </c>
      <c r="G383" s="138" t="n">
        <f aca="false">Scoring!D389</f>
        <v>0</v>
      </c>
      <c r="H383" s="138" t="str">
        <f aca="false">Scoring!BD389</f>
        <v/>
      </c>
      <c r="I383" s="140" t="str">
        <f aca="false">Scoring!BC389</f>
        <v/>
      </c>
    </row>
    <row r="384" customFormat="false" ht="15.75" hidden="false" customHeight="false" outlineLevel="0" collapsed="false">
      <c r="A384" s="138" t="str">
        <f aca="false">Scoring!BF390</f>
        <v/>
      </c>
      <c r="B384" s="138" t="str">
        <f aca="false">Scoring!BE390</f>
        <v/>
      </c>
      <c r="C384" s="138" t="n">
        <f aca="false">Scoring!C390</f>
        <v>0</v>
      </c>
      <c r="D384" s="139" t="str">
        <f aca="false">Scoring!BB390</f>
        <v/>
      </c>
      <c r="E384" s="138" t="str">
        <f aca="false">Scoring!AE390</f>
        <v/>
      </c>
      <c r="F384" s="138" t="n">
        <f aca="false">Scoring!B390</f>
        <v>0</v>
      </c>
      <c r="G384" s="138" t="n">
        <f aca="false">Scoring!D390</f>
        <v>0</v>
      </c>
      <c r="H384" s="138" t="str">
        <f aca="false">Scoring!BD390</f>
        <v/>
      </c>
      <c r="I384" s="140" t="str">
        <f aca="false">Scoring!BC390</f>
        <v/>
      </c>
    </row>
    <row r="385" customFormat="false" ht="15.75" hidden="false" customHeight="false" outlineLevel="0" collapsed="false">
      <c r="A385" s="138" t="str">
        <f aca="false">Scoring!BF391</f>
        <v/>
      </c>
      <c r="B385" s="138" t="str">
        <f aca="false">Scoring!BE391</f>
        <v/>
      </c>
      <c r="C385" s="138" t="n">
        <f aca="false">Scoring!C391</f>
        <v>0</v>
      </c>
      <c r="D385" s="139" t="str">
        <f aca="false">Scoring!BB391</f>
        <v/>
      </c>
      <c r="E385" s="138" t="str">
        <f aca="false">Scoring!AE391</f>
        <v/>
      </c>
      <c r="F385" s="138" t="n">
        <f aca="false">Scoring!B391</f>
        <v>0</v>
      </c>
      <c r="G385" s="138" t="n">
        <f aca="false">Scoring!D391</f>
        <v>0</v>
      </c>
      <c r="H385" s="138" t="str">
        <f aca="false">Scoring!BD391</f>
        <v/>
      </c>
      <c r="I385" s="140" t="str">
        <f aca="false">Scoring!BC391</f>
        <v/>
      </c>
    </row>
    <row r="386" customFormat="false" ht="15.75" hidden="false" customHeight="false" outlineLevel="0" collapsed="false">
      <c r="A386" s="138" t="str">
        <f aca="false">Scoring!BF392</f>
        <v/>
      </c>
      <c r="B386" s="138" t="str">
        <f aca="false">Scoring!BE392</f>
        <v/>
      </c>
      <c r="C386" s="138" t="n">
        <f aca="false">Scoring!C392</f>
        <v>0</v>
      </c>
      <c r="D386" s="139" t="str">
        <f aca="false">Scoring!BB392</f>
        <v/>
      </c>
      <c r="E386" s="138" t="str">
        <f aca="false">Scoring!AE392</f>
        <v/>
      </c>
      <c r="F386" s="138" t="n">
        <f aca="false">Scoring!B392</f>
        <v>0</v>
      </c>
      <c r="G386" s="138" t="n">
        <f aca="false">Scoring!D392</f>
        <v>0</v>
      </c>
      <c r="H386" s="138" t="str">
        <f aca="false">Scoring!BD392</f>
        <v/>
      </c>
      <c r="I386" s="140" t="str">
        <f aca="false">Scoring!BC392</f>
        <v/>
      </c>
    </row>
    <row r="387" customFormat="false" ht="15.75" hidden="false" customHeight="false" outlineLevel="0" collapsed="false">
      <c r="A387" s="138" t="str">
        <f aca="false">Scoring!BF393</f>
        <v/>
      </c>
      <c r="B387" s="138" t="str">
        <f aca="false">Scoring!BE393</f>
        <v/>
      </c>
      <c r="C387" s="138" t="n">
        <f aca="false">Scoring!C393</f>
        <v>0</v>
      </c>
      <c r="D387" s="139" t="str">
        <f aca="false">Scoring!BB393</f>
        <v/>
      </c>
      <c r="E387" s="138" t="str">
        <f aca="false">Scoring!AE393</f>
        <v/>
      </c>
      <c r="F387" s="138" t="n">
        <f aca="false">Scoring!B393</f>
        <v>0</v>
      </c>
      <c r="G387" s="138" t="n">
        <f aca="false">Scoring!D393</f>
        <v>0</v>
      </c>
      <c r="H387" s="138" t="str">
        <f aca="false">Scoring!BD393</f>
        <v/>
      </c>
      <c r="I387" s="140" t="str">
        <f aca="false">Scoring!BC393</f>
        <v/>
      </c>
    </row>
    <row r="388" customFormat="false" ht="15.75" hidden="false" customHeight="false" outlineLevel="0" collapsed="false">
      <c r="A388" s="138" t="str">
        <f aca="false">Scoring!BF394</f>
        <v/>
      </c>
      <c r="B388" s="138" t="str">
        <f aca="false">Scoring!BE394</f>
        <v/>
      </c>
      <c r="C388" s="138" t="n">
        <f aca="false">Scoring!C394</f>
        <v>0</v>
      </c>
      <c r="D388" s="139" t="str">
        <f aca="false">Scoring!BB394</f>
        <v/>
      </c>
      <c r="E388" s="138" t="str">
        <f aca="false">Scoring!AE394</f>
        <v/>
      </c>
      <c r="F388" s="138" t="n">
        <f aca="false">Scoring!B394</f>
        <v>0</v>
      </c>
      <c r="G388" s="138" t="n">
        <f aca="false">Scoring!D394</f>
        <v>0</v>
      </c>
      <c r="H388" s="138" t="str">
        <f aca="false">Scoring!BD394</f>
        <v/>
      </c>
      <c r="I388" s="140" t="str">
        <f aca="false">Scoring!BC394</f>
        <v/>
      </c>
    </row>
    <row r="389" customFormat="false" ht="15.75" hidden="false" customHeight="false" outlineLevel="0" collapsed="false">
      <c r="A389" s="138" t="str">
        <f aca="false">Scoring!BF395</f>
        <v/>
      </c>
      <c r="B389" s="138" t="str">
        <f aca="false">Scoring!BE395</f>
        <v/>
      </c>
      <c r="C389" s="138" t="n">
        <f aca="false">Scoring!C395</f>
        <v>0</v>
      </c>
      <c r="D389" s="139" t="str">
        <f aca="false">Scoring!BB395</f>
        <v/>
      </c>
      <c r="E389" s="138" t="str">
        <f aca="false">Scoring!AE395</f>
        <v/>
      </c>
      <c r="F389" s="138" t="n">
        <f aca="false">Scoring!B395</f>
        <v>0</v>
      </c>
      <c r="G389" s="138" t="n">
        <f aca="false">Scoring!D395</f>
        <v>0</v>
      </c>
      <c r="H389" s="138" t="str">
        <f aca="false">Scoring!BD395</f>
        <v/>
      </c>
      <c r="I389" s="140" t="str">
        <f aca="false">Scoring!BC395</f>
        <v/>
      </c>
    </row>
    <row r="390" customFormat="false" ht="15.75" hidden="false" customHeight="false" outlineLevel="0" collapsed="false">
      <c r="A390" s="138" t="str">
        <f aca="false">Scoring!BF396</f>
        <v/>
      </c>
      <c r="B390" s="138" t="str">
        <f aca="false">Scoring!BE396</f>
        <v/>
      </c>
      <c r="C390" s="138" t="n">
        <f aca="false">Scoring!C396</f>
        <v>0</v>
      </c>
      <c r="D390" s="139" t="str">
        <f aca="false">Scoring!BB396</f>
        <v/>
      </c>
      <c r="E390" s="138" t="str">
        <f aca="false">Scoring!AE396</f>
        <v/>
      </c>
      <c r="F390" s="138" t="n">
        <f aca="false">Scoring!B396</f>
        <v>0</v>
      </c>
      <c r="G390" s="138" t="n">
        <f aca="false">Scoring!D396</f>
        <v>0</v>
      </c>
      <c r="H390" s="138" t="str">
        <f aca="false">Scoring!BD396</f>
        <v/>
      </c>
      <c r="I390" s="140" t="str">
        <f aca="false">Scoring!BC396</f>
        <v/>
      </c>
    </row>
    <row r="391" customFormat="false" ht="15.75" hidden="false" customHeight="false" outlineLevel="0" collapsed="false">
      <c r="A391" s="138" t="str">
        <f aca="false">Scoring!BF397</f>
        <v/>
      </c>
      <c r="B391" s="138" t="str">
        <f aca="false">Scoring!BE397</f>
        <v/>
      </c>
      <c r="C391" s="138" t="n">
        <f aca="false">Scoring!C397</f>
        <v>0</v>
      </c>
      <c r="D391" s="139" t="str">
        <f aca="false">Scoring!BB397</f>
        <v/>
      </c>
      <c r="E391" s="138" t="str">
        <f aca="false">Scoring!AE397</f>
        <v/>
      </c>
      <c r="F391" s="138" t="n">
        <f aca="false">Scoring!B397</f>
        <v>0</v>
      </c>
      <c r="G391" s="138" t="n">
        <f aca="false">Scoring!D397</f>
        <v>0</v>
      </c>
      <c r="H391" s="138" t="str">
        <f aca="false">Scoring!BD397</f>
        <v/>
      </c>
      <c r="I391" s="140" t="str">
        <f aca="false">Scoring!BC397</f>
        <v/>
      </c>
    </row>
    <row r="392" customFormat="false" ht="15.75" hidden="false" customHeight="false" outlineLevel="0" collapsed="false">
      <c r="A392" s="138" t="str">
        <f aca="false">Scoring!BF398</f>
        <v/>
      </c>
      <c r="B392" s="138" t="str">
        <f aca="false">Scoring!BE398</f>
        <v/>
      </c>
      <c r="C392" s="138" t="n">
        <f aca="false">Scoring!C398</f>
        <v>0</v>
      </c>
      <c r="D392" s="139" t="str">
        <f aca="false">Scoring!BB398</f>
        <v/>
      </c>
      <c r="E392" s="138" t="str">
        <f aca="false">Scoring!AE398</f>
        <v/>
      </c>
      <c r="F392" s="138" t="n">
        <f aca="false">Scoring!B398</f>
        <v>0</v>
      </c>
      <c r="G392" s="138" t="n">
        <f aca="false">Scoring!D398</f>
        <v>0</v>
      </c>
      <c r="H392" s="138" t="str">
        <f aca="false">Scoring!BD398</f>
        <v/>
      </c>
      <c r="I392" s="140" t="str">
        <f aca="false">Scoring!BC398</f>
        <v/>
      </c>
    </row>
    <row r="393" customFormat="false" ht="15.75" hidden="false" customHeight="false" outlineLevel="0" collapsed="false">
      <c r="A393" s="138" t="str">
        <f aca="false">Scoring!BF399</f>
        <v/>
      </c>
      <c r="B393" s="138" t="str">
        <f aca="false">Scoring!BE399</f>
        <v/>
      </c>
      <c r="C393" s="138" t="n">
        <f aca="false">Scoring!C399</f>
        <v>0</v>
      </c>
      <c r="D393" s="139" t="str">
        <f aca="false">Scoring!BB399</f>
        <v/>
      </c>
      <c r="E393" s="138" t="str">
        <f aca="false">Scoring!AE399</f>
        <v/>
      </c>
      <c r="F393" s="138" t="n">
        <f aca="false">Scoring!B399</f>
        <v>0</v>
      </c>
      <c r="G393" s="138" t="n">
        <f aca="false">Scoring!D399</f>
        <v>0</v>
      </c>
      <c r="H393" s="138" t="str">
        <f aca="false">Scoring!BD399</f>
        <v/>
      </c>
      <c r="I393" s="140" t="str">
        <f aca="false">Scoring!BC399</f>
        <v/>
      </c>
    </row>
    <row r="394" customFormat="false" ht="15.75" hidden="false" customHeight="false" outlineLevel="0" collapsed="false">
      <c r="A394" s="138" t="str">
        <f aca="false">Scoring!BF400</f>
        <v/>
      </c>
      <c r="B394" s="138" t="str">
        <f aca="false">Scoring!BE400</f>
        <v/>
      </c>
      <c r="C394" s="138" t="n">
        <f aca="false">Scoring!C400</f>
        <v>0</v>
      </c>
      <c r="D394" s="139" t="str">
        <f aca="false">Scoring!BB400</f>
        <v/>
      </c>
      <c r="E394" s="138" t="str">
        <f aca="false">Scoring!AE400</f>
        <v/>
      </c>
      <c r="F394" s="138" t="n">
        <f aca="false">Scoring!B400</f>
        <v>0</v>
      </c>
      <c r="G394" s="138" t="n">
        <f aca="false">Scoring!D400</f>
        <v>0</v>
      </c>
      <c r="H394" s="138" t="str">
        <f aca="false">Scoring!BD400</f>
        <v/>
      </c>
      <c r="I394" s="140" t="str">
        <f aca="false">Scoring!BC400</f>
        <v/>
      </c>
    </row>
    <row r="395" customFormat="false" ht="15.75" hidden="false" customHeight="false" outlineLevel="0" collapsed="false">
      <c r="A395" s="138" t="str">
        <f aca="false">Scoring!BF401</f>
        <v/>
      </c>
      <c r="B395" s="138" t="str">
        <f aca="false">Scoring!BE401</f>
        <v/>
      </c>
      <c r="C395" s="138" t="n">
        <f aca="false">Scoring!C401</f>
        <v>0</v>
      </c>
      <c r="D395" s="139" t="str">
        <f aca="false">Scoring!BB401</f>
        <v/>
      </c>
      <c r="E395" s="138" t="str">
        <f aca="false">Scoring!AE401</f>
        <v/>
      </c>
      <c r="F395" s="138" t="n">
        <f aca="false">Scoring!B401</f>
        <v>0</v>
      </c>
      <c r="G395" s="138" t="n">
        <f aca="false">Scoring!D401</f>
        <v>0</v>
      </c>
      <c r="H395" s="138" t="str">
        <f aca="false">Scoring!BD401</f>
        <v/>
      </c>
      <c r="I395" s="140" t="str">
        <f aca="false">Scoring!BC401</f>
        <v/>
      </c>
    </row>
    <row r="396" customFormat="false" ht="15.75" hidden="false" customHeight="false" outlineLevel="0" collapsed="false">
      <c r="A396" s="138" t="str">
        <f aca="false">Scoring!BF402</f>
        <v/>
      </c>
      <c r="B396" s="138" t="str">
        <f aca="false">Scoring!BE402</f>
        <v/>
      </c>
      <c r="C396" s="138" t="n">
        <f aca="false">Scoring!C402</f>
        <v>0</v>
      </c>
      <c r="D396" s="139" t="str">
        <f aca="false">Scoring!BB402</f>
        <v/>
      </c>
      <c r="E396" s="138" t="str">
        <f aca="false">Scoring!AE402</f>
        <v/>
      </c>
      <c r="F396" s="138" t="n">
        <f aca="false">Scoring!B402</f>
        <v>0</v>
      </c>
      <c r="G396" s="138" t="n">
        <f aca="false">Scoring!D402</f>
        <v>0</v>
      </c>
      <c r="H396" s="138" t="str">
        <f aca="false">Scoring!BD402</f>
        <v/>
      </c>
      <c r="I396" s="140" t="str">
        <f aca="false">Scoring!BC402</f>
        <v/>
      </c>
    </row>
    <row r="397" customFormat="false" ht="15.75" hidden="false" customHeight="false" outlineLevel="0" collapsed="false">
      <c r="A397" s="138" t="str">
        <f aca="false">Scoring!BF403</f>
        <v/>
      </c>
      <c r="B397" s="138" t="str">
        <f aca="false">Scoring!BE403</f>
        <v/>
      </c>
      <c r="C397" s="138" t="n">
        <f aca="false">Scoring!C403</f>
        <v>0</v>
      </c>
      <c r="D397" s="139" t="str">
        <f aca="false">Scoring!BB403</f>
        <v/>
      </c>
      <c r="E397" s="138" t="str">
        <f aca="false">Scoring!AE403</f>
        <v/>
      </c>
      <c r="F397" s="138" t="n">
        <f aca="false">Scoring!B403</f>
        <v>0</v>
      </c>
      <c r="G397" s="138" t="n">
        <f aca="false">Scoring!D403</f>
        <v>0</v>
      </c>
      <c r="H397" s="138" t="str">
        <f aca="false">Scoring!BD403</f>
        <v/>
      </c>
      <c r="I397" s="140" t="str">
        <f aca="false">Scoring!BC403</f>
        <v/>
      </c>
    </row>
    <row r="398" customFormat="false" ht="15.75" hidden="false" customHeight="false" outlineLevel="0" collapsed="false">
      <c r="A398" s="138" t="str">
        <f aca="false">Scoring!BF404</f>
        <v/>
      </c>
      <c r="B398" s="138" t="str">
        <f aca="false">Scoring!BE404</f>
        <v/>
      </c>
      <c r="C398" s="138" t="n">
        <f aca="false">Scoring!C404</f>
        <v>0</v>
      </c>
      <c r="D398" s="139" t="str">
        <f aca="false">Scoring!BB404</f>
        <v/>
      </c>
      <c r="E398" s="138" t="str">
        <f aca="false">Scoring!AE404</f>
        <v/>
      </c>
      <c r="F398" s="138" t="n">
        <f aca="false">Scoring!B404</f>
        <v>0</v>
      </c>
      <c r="G398" s="138" t="n">
        <f aca="false">Scoring!D404</f>
        <v>0</v>
      </c>
      <c r="H398" s="138" t="str">
        <f aca="false">Scoring!BD404</f>
        <v/>
      </c>
      <c r="I398" s="140" t="str">
        <f aca="false">Scoring!BC404</f>
        <v/>
      </c>
    </row>
    <row r="399" customFormat="false" ht="15.75" hidden="false" customHeight="false" outlineLevel="0" collapsed="false">
      <c r="A399" s="138" t="str">
        <f aca="false">Scoring!BF405</f>
        <v/>
      </c>
      <c r="B399" s="138" t="str">
        <f aca="false">Scoring!BE405</f>
        <v/>
      </c>
      <c r="C399" s="138" t="n">
        <f aca="false">Scoring!C405</f>
        <v>0</v>
      </c>
      <c r="D399" s="139" t="str">
        <f aca="false">Scoring!BB405</f>
        <v/>
      </c>
      <c r="E399" s="138" t="str">
        <f aca="false">Scoring!AE405</f>
        <v/>
      </c>
      <c r="F399" s="138" t="n">
        <f aca="false">Scoring!B405</f>
        <v>0</v>
      </c>
      <c r="G399" s="138" t="n">
        <f aca="false">Scoring!D405</f>
        <v>0</v>
      </c>
      <c r="H399" s="138" t="str">
        <f aca="false">Scoring!BD405</f>
        <v/>
      </c>
      <c r="I399" s="140" t="str">
        <f aca="false">Scoring!BC405</f>
        <v/>
      </c>
    </row>
    <row r="400" customFormat="false" ht="15.75" hidden="false" customHeight="false" outlineLevel="0" collapsed="false">
      <c r="A400" s="138" t="str">
        <f aca="false">Scoring!BF406</f>
        <v/>
      </c>
      <c r="B400" s="138" t="str">
        <f aca="false">Scoring!BE406</f>
        <v/>
      </c>
      <c r="C400" s="138" t="n">
        <f aca="false">Scoring!C406</f>
        <v>0</v>
      </c>
      <c r="D400" s="139" t="str">
        <f aca="false">Scoring!BB406</f>
        <v/>
      </c>
      <c r="E400" s="138" t="str">
        <f aca="false">Scoring!AE406</f>
        <v/>
      </c>
      <c r="F400" s="138" t="n">
        <f aca="false">Scoring!B406</f>
        <v>0</v>
      </c>
      <c r="G400" s="138" t="n">
        <f aca="false">Scoring!D406</f>
        <v>0</v>
      </c>
      <c r="H400" s="138" t="str">
        <f aca="false">Scoring!BD406</f>
        <v/>
      </c>
      <c r="I400" s="140" t="str">
        <f aca="false">Scoring!BC406</f>
        <v/>
      </c>
    </row>
    <row r="401" customFormat="false" ht="15.75" hidden="false" customHeight="false" outlineLevel="0" collapsed="false">
      <c r="A401" s="138" t="str">
        <f aca="false">Scoring!BF407</f>
        <v/>
      </c>
      <c r="B401" s="138" t="str">
        <f aca="false">Scoring!BE407</f>
        <v/>
      </c>
      <c r="C401" s="138" t="n">
        <f aca="false">Scoring!C407</f>
        <v>0</v>
      </c>
      <c r="D401" s="139" t="str">
        <f aca="false">Scoring!BB407</f>
        <v/>
      </c>
      <c r="E401" s="138" t="str">
        <f aca="false">Scoring!AE407</f>
        <v/>
      </c>
      <c r="F401" s="138" t="n">
        <f aca="false">Scoring!B407</f>
        <v>0</v>
      </c>
      <c r="G401" s="138" t="n">
        <f aca="false">Scoring!D407</f>
        <v>0</v>
      </c>
      <c r="H401" s="138" t="str">
        <f aca="false">Scoring!BD407</f>
        <v/>
      </c>
      <c r="I401" s="140" t="str">
        <f aca="false">Scoring!BC407</f>
        <v/>
      </c>
    </row>
    <row r="402" customFormat="false" ht="15.75" hidden="false" customHeight="false" outlineLevel="0" collapsed="false">
      <c r="A402" s="138" t="str">
        <f aca="false">Scoring!BF408</f>
        <v/>
      </c>
      <c r="B402" s="138" t="str">
        <f aca="false">Scoring!BE408</f>
        <v/>
      </c>
      <c r="C402" s="138" t="n">
        <f aca="false">Scoring!C408</f>
        <v>0</v>
      </c>
      <c r="D402" s="139" t="str">
        <f aca="false">Scoring!BB408</f>
        <v/>
      </c>
      <c r="E402" s="138" t="str">
        <f aca="false">Scoring!AE408</f>
        <v/>
      </c>
      <c r="F402" s="138" t="n">
        <f aca="false">Scoring!B408</f>
        <v>0</v>
      </c>
      <c r="G402" s="138" t="n">
        <f aca="false">Scoring!D408</f>
        <v>0</v>
      </c>
      <c r="H402" s="138" t="str">
        <f aca="false">Scoring!BD408</f>
        <v/>
      </c>
      <c r="I402" s="140" t="str">
        <f aca="false">Scoring!BC408</f>
        <v/>
      </c>
    </row>
    <row r="403" customFormat="false" ht="15.75" hidden="false" customHeight="false" outlineLevel="0" collapsed="false">
      <c r="A403" s="138" t="str">
        <f aca="false">Scoring!BF409</f>
        <v/>
      </c>
      <c r="B403" s="138" t="str">
        <f aca="false">Scoring!BE409</f>
        <v/>
      </c>
      <c r="C403" s="138" t="n">
        <f aca="false">Scoring!C409</f>
        <v>0</v>
      </c>
      <c r="D403" s="139" t="str">
        <f aca="false">Scoring!BB409</f>
        <v/>
      </c>
      <c r="E403" s="138" t="str">
        <f aca="false">Scoring!AE409</f>
        <v/>
      </c>
      <c r="F403" s="138" t="n">
        <f aca="false">Scoring!B409</f>
        <v>0</v>
      </c>
      <c r="G403" s="138" t="n">
        <f aca="false">Scoring!D409</f>
        <v>0</v>
      </c>
      <c r="H403" s="138" t="str">
        <f aca="false">Scoring!BD409</f>
        <v/>
      </c>
      <c r="I403" s="140" t="str">
        <f aca="false">Scoring!BC409</f>
        <v/>
      </c>
    </row>
    <row r="404" customFormat="false" ht="15.75" hidden="false" customHeight="false" outlineLevel="0" collapsed="false">
      <c r="A404" s="138" t="str">
        <f aca="false">Scoring!BF410</f>
        <v/>
      </c>
      <c r="B404" s="138" t="str">
        <f aca="false">Scoring!BE410</f>
        <v/>
      </c>
      <c r="C404" s="138" t="n">
        <f aca="false">Scoring!C410</f>
        <v>0</v>
      </c>
      <c r="D404" s="139" t="str">
        <f aca="false">Scoring!BB410</f>
        <v/>
      </c>
      <c r="E404" s="138" t="str">
        <f aca="false">Scoring!AE410</f>
        <v/>
      </c>
      <c r="F404" s="138" t="n">
        <f aca="false">Scoring!B410</f>
        <v>0</v>
      </c>
      <c r="G404" s="138" t="n">
        <f aca="false">Scoring!D410</f>
        <v>0</v>
      </c>
      <c r="H404" s="138" t="str">
        <f aca="false">Scoring!BD410</f>
        <v/>
      </c>
      <c r="I404" s="140" t="str">
        <f aca="false">Scoring!BC410</f>
        <v/>
      </c>
    </row>
    <row r="405" customFormat="false" ht="15.75" hidden="false" customHeight="false" outlineLevel="0" collapsed="false">
      <c r="A405" s="138" t="str">
        <f aca="false">Scoring!BF411</f>
        <v/>
      </c>
      <c r="B405" s="138" t="str">
        <f aca="false">Scoring!BE411</f>
        <v/>
      </c>
      <c r="C405" s="138" t="n">
        <f aca="false">Scoring!C411</f>
        <v>0</v>
      </c>
      <c r="D405" s="139" t="str">
        <f aca="false">Scoring!BB411</f>
        <v/>
      </c>
      <c r="E405" s="138" t="str">
        <f aca="false">Scoring!AE411</f>
        <v/>
      </c>
      <c r="F405" s="138" t="n">
        <f aca="false">Scoring!B411</f>
        <v>0</v>
      </c>
      <c r="G405" s="138" t="n">
        <f aca="false">Scoring!D411</f>
        <v>0</v>
      </c>
      <c r="H405" s="138" t="str">
        <f aca="false">Scoring!BD411</f>
        <v/>
      </c>
      <c r="I405" s="140" t="str">
        <f aca="false">Scoring!BC411</f>
        <v/>
      </c>
    </row>
    <row r="406" customFormat="false" ht="15.75" hidden="false" customHeight="false" outlineLevel="0" collapsed="false">
      <c r="A406" s="138" t="str">
        <f aca="false">Scoring!BF412</f>
        <v/>
      </c>
      <c r="B406" s="138" t="str">
        <f aca="false">Scoring!BE412</f>
        <v/>
      </c>
      <c r="C406" s="138" t="n">
        <f aca="false">Scoring!C412</f>
        <v>0</v>
      </c>
      <c r="D406" s="139" t="str">
        <f aca="false">Scoring!BB412</f>
        <v/>
      </c>
      <c r="E406" s="138" t="str">
        <f aca="false">Scoring!AE412</f>
        <v/>
      </c>
      <c r="F406" s="138" t="n">
        <f aca="false">Scoring!B412</f>
        <v>0</v>
      </c>
      <c r="G406" s="138" t="n">
        <f aca="false">Scoring!D412</f>
        <v>0</v>
      </c>
      <c r="H406" s="138" t="str">
        <f aca="false">Scoring!BD412</f>
        <v/>
      </c>
      <c r="I406" s="140" t="str">
        <f aca="false">Scoring!BC412</f>
        <v/>
      </c>
    </row>
    <row r="407" customFormat="false" ht="15.75" hidden="false" customHeight="false" outlineLevel="0" collapsed="false">
      <c r="A407" s="138" t="str">
        <f aca="false">Scoring!BF413</f>
        <v/>
      </c>
      <c r="B407" s="138" t="str">
        <f aca="false">Scoring!BE413</f>
        <v/>
      </c>
      <c r="C407" s="138" t="n">
        <f aca="false">Scoring!C413</f>
        <v>0</v>
      </c>
      <c r="D407" s="139" t="str">
        <f aca="false">Scoring!BB413</f>
        <v/>
      </c>
      <c r="E407" s="138" t="str">
        <f aca="false">Scoring!AE413</f>
        <v/>
      </c>
      <c r="F407" s="138" t="n">
        <f aca="false">Scoring!B413</f>
        <v>0</v>
      </c>
      <c r="G407" s="138" t="n">
        <f aca="false">Scoring!D413</f>
        <v>0</v>
      </c>
      <c r="H407" s="138" t="str">
        <f aca="false">Scoring!BD413</f>
        <v/>
      </c>
      <c r="I407" s="140" t="str">
        <f aca="false">Scoring!BC413</f>
        <v/>
      </c>
    </row>
    <row r="408" customFormat="false" ht="15.75" hidden="false" customHeight="false" outlineLevel="0" collapsed="false">
      <c r="A408" s="138" t="str">
        <f aca="false">Scoring!BF414</f>
        <v/>
      </c>
      <c r="B408" s="138" t="str">
        <f aca="false">Scoring!BE414</f>
        <v/>
      </c>
      <c r="C408" s="138" t="n">
        <f aca="false">Scoring!C414</f>
        <v>0</v>
      </c>
      <c r="D408" s="139" t="str">
        <f aca="false">Scoring!BB414</f>
        <v/>
      </c>
      <c r="E408" s="138" t="str">
        <f aca="false">Scoring!AE414</f>
        <v/>
      </c>
      <c r="F408" s="138" t="n">
        <f aca="false">Scoring!B414</f>
        <v>0</v>
      </c>
      <c r="G408" s="138" t="n">
        <f aca="false">Scoring!D414</f>
        <v>0</v>
      </c>
      <c r="H408" s="138" t="str">
        <f aca="false">Scoring!BD414</f>
        <v/>
      </c>
      <c r="I408" s="140" t="str">
        <f aca="false">Scoring!BC414</f>
        <v/>
      </c>
    </row>
    <row r="409" customFormat="false" ht="15.75" hidden="false" customHeight="false" outlineLevel="0" collapsed="false">
      <c r="A409" s="138" t="str">
        <f aca="false">Scoring!BF415</f>
        <v/>
      </c>
      <c r="B409" s="138" t="str">
        <f aca="false">Scoring!BE415</f>
        <v/>
      </c>
      <c r="C409" s="138" t="n">
        <f aca="false">Scoring!C415</f>
        <v>0</v>
      </c>
      <c r="D409" s="139" t="str">
        <f aca="false">Scoring!BB415</f>
        <v/>
      </c>
      <c r="E409" s="138" t="str">
        <f aca="false">Scoring!AE415</f>
        <v/>
      </c>
      <c r="F409" s="138" t="n">
        <f aca="false">Scoring!B415</f>
        <v>0</v>
      </c>
      <c r="G409" s="138" t="n">
        <f aca="false">Scoring!D415</f>
        <v>0</v>
      </c>
      <c r="H409" s="138" t="str">
        <f aca="false">Scoring!BD415</f>
        <v/>
      </c>
      <c r="I409" s="140" t="str">
        <f aca="false">Scoring!BC415</f>
        <v/>
      </c>
    </row>
    <row r="410" customFormat="false" ht="15.75" hidden="false" customHeight="false" outlineLevel="0" collapsed="false">
      <c r="A410" s="138" t="str">
        <f aca="false">Scoring!BF416</f>
        <v/>
      </c>
      <c r="B410" s="138" t="str">
        <f aca="false">Scoring!BE416</f>
        <v/>
      </c>
      <c r="C410" s="138" t="n">
        <f aca="false">Scoring!C416</f>
        <v>0</v>
      </c>
      <c r="D410" s="139" t="str">
        <f aca="false">Scoring!BB416</f>
        <v/>
      </c>
      <c r="E410" s="138" t="str">
        <f aca="false">Scoring!AE416</f>
        <v/>
      </c>
      <c r="F410" s="138" t="n">
        <f aca="false">Scoring!B416</f>
        <v>0</v>
      </c>
      <c r="G410" s="138" t="n">
        <f aca="false">Scoring!D416</f>
        <v>0</v>
      </c>
      <c r="H410" s="138" t="str">
        <f aca="false">Scoring!BD416</f>
        <v/>
      </c>
      <c r="I410" s="140" t="str">
        <f aca="false">Scoring!BC416</f>
        <v/>
      </c>
    </row>
    <row r="411" customFormat="false" ht="15.75" hidden="false" customHeight="false" outlineLevel="0" collapsed="false">
      <c r="A411" s="138" t="str">
        <f aca="false">Scoring!BF417</f>
        <v/>
      </c>
      <c r="B411" s="138" t="str">
        <f aca="false">Scoring!BE417</f>
        <v/>
      </c>
      <c r="C411" s="138" t="n">
        <f aca="false">Scoring!C417</f>
        <v>0</v>
      </c>
      <c r="D411" s="139" t="str">
        <f aca="false">Scoring!BB417</f>
        <v/>
      </c>
      <c r="E411" s="138" t="str">
        <f aca="false">Scoring!AE417</f>
        <v/>
      </c>
      <c r="F411" s="138" t="n">
        <f aca="false">Scoring!B417</f>
        <v>0</v>
      </c>
      <c r="G411" s="138" t="n">
        <f aca="false">Scoring!D417</f>
        <v>0</v>
      </c>
      <c r="H411" s="138" t="str">
        <f aca="false">Scoring!BD417</f>
        <v/>
      </c>
      <c r="I411" s="140" t="str">
        <f aca="false">Scoring!BC417</f>
        <v/>
      </c>
    </row>
    <row r="412" customFormat="false" ht="15.75" hidden="false" customHeight="false" outlineLevel="0" collapsed="false">
      <c r="A412" s="138" t="str">
        <f aca="false">Scoring!BF418</f>
        <v/>
      </c>
      <c r="B412" s="138" t="str">
        <f aca="false">Scoring!BE418</f>
        <v/>
      </c>
      <c r="C412" s="138" t="n">
        <f aca="false">Scoring!C418</f>
        <v>0</v>
      </c>
      <c r="D412" s="139" t="str">
        <f aca="false">Scoring!BB418</f>
        <v/>
      </c>
      <c r="E412" s="138" t="str">
        <f aca="false">Scoring!AE418</f>
        <v/>
      </c>
      <c r="F412" s="138" t="n">
        <f aca="false">Scoring!B418</f>
        <v>0</v>
      </c>
      <c r="G412" s="138" t="n">
        <f aca="false">Scoring!D418</f>
        <v>0</v>
      </c>
      <c r="H412" s="138" t="str">
        <f aca="false">Scoring!BD418</f>
        <v/>
      </c>
      <c r="I412" s="140" t="str">
        <f aca="false">Scoring!BC418</f>
        <v/>
      </c>
    </row>
    <row r="413" customFormat="false" ht="15.75" hidden="false" customHeight="false" outlineLevel="0" collapsed="false">
      <c r="A413" s="138" t="str">
        <f aca="false">Scoring!BF419</f>
        <v/>
      </c>
      <c r="B413" s="138" t="str">
        <f aca="false">Scoring!BE419</f>
        <v/>
      </c>
      <c r="C413" s="138" t="n">
        <f aca="false">Scoring!C419</f>
        <v>0</v>
      </c>
      <c r="D413" s="139" t="str">
        <f aca="false">Scoring!BB419</f>
        <v/>
      </c>
      <c r="E413" s="138" t="str">
        <f aca="false">Scoring!AE419</f>
        <v/>
      </c>
      <c r="F413" s="138" t="n">
        <f aca="false">Scoring!B419</f>
        <v>0</v>
      </c>
      <c r="G413" s="138" t="n">
        <f aca="false">Scoring!D419</f>
        <v>0</v>
      </c>
      <c r="H413" s="138" t="str">
        <f aca="false">Scoring!BD419</f>
        <v/>
      </c>
      <c r="I413" s="140" t="str">
        <f aca="false">Scoring!BC419</f>
        <v/>
      </c>
    </row>
    <row r="414" customFormat="false" ht="15.75" hidden="false" customHeight="false" outlineLevel="0" collapsed="false">
      <c r="A414" s="138" t="str">
        <f aca="false">Scoring!BF420</f>
        <v/>
      </c>
      <c r="B414" s="138" t="str">
        <f aca="false">Scoring!BE420</f>
        <v/>
      </c>
      <c r="C414" s="138" t="n">
        <f aca="false">Scoring!C420</f>
        <v>0</v>
      </c>
      <c r="D414" s="139" t="str">
        <f aca="false">Scoring!BB420</f>
        <v/>
      </c>
      <c r="E414" s="138" t="str">
        <f aca="false">Scoring!AE420</f>
        <v/>
      </c>
      <c r="F414" s="138" t="n">
        <f aca="false">Scoring!B420</f>
        <v>0</v>
      </c>
      <c r="G414" s="138" t="n">
        <f aca="false">Scoring!D420</f>
        <v>0</v>
      </c>
      <c r="H414" s="138" t="str">
        <f aca="false">Scoring!BD420</f>
        <v/>
      </c>
      <c r="I414" s="140" t="str">
        <f aca="false">Scoring!BC420</f>
        <v/>
      </c>
    </row>
    <row r="415" customFormat="false" ht="15.75" hidden="false" customHeight="false" outlineLevel="0" collapsed="false">
      <c r="A415" s="138" t="str">
        <f aca="false">Scoring!BF421</f>
        <v/>
      </c>
      <c r="B415" s="138" t="str">
        <f aca="false">Scoring!BE421</f>
        <v/>
      </c>
      <c r="C415" s="138" t="n">
        <f aca="false">Scoring!C421</f>
        <v>0</v>
      </c>
      <c r="D415" s="139" t="str">
        <f aca="false">Scoring!BB421</f>
        <v/>
      </c>
      <c r="E415" s="138" t="str">
        <f aca="false">Scoring!AE421</f>
        <v/>
      </c>
      <c r="F415" s="138" t="n">
        <f aca="false">Scoring!B421</f>
        <v>0</v>
      </c>
      <c r="G415" s="138" t="n">
        <f aca="false">Scoring!D421</f>
        <v>0</v>
      </c>
      <c r="H415" s="138" t="str">
        <f aca="false">Scoring!BD421</f>
        <v/>
      </c>
      <c r="I415" s="140" t="str">
        <f aca="false">Scoring!BC421</f>
        <v/>
      </c>
    </row>
    <row r="416" customFormat="false" ht="15.75" hidden="false" customHeight="false" outlineLevel="0" collapsed="false">
      <c r="A416" s="138" t="str">
        <f aca="false">Scoring!BF422</f>
        <v/>
      </c>
      <c r="B416" s="138" t="str">
        <f aca="false">Scoring!BE422</f>
        <v/>
      </c>
      <c r="C416" s="138" t="n">
        <f aca="false">Scoring!C422</f>
        <v>0</v>
      </c>
      <c r="D416" s="139" t="str">
        <f aca="false">Scoring!BB422</f>
        <v/>
      </c>
      <c r="E416" s="138" t="str">
        <f aca="false">Scoring!AE422</f>
        <v/>
      </c>
      <c r="F416" s="138" t="n">
        <f aca="false">Scoring!B422</f>
        <v>0</v>
      </c>
      <c r="G416" s="138" t="n">
        <f aca="false">Scoring!D422</f>
        <v>0</v>
      </c>
      <c r="H416" s="138" t="str">
        <f aca="false">Scoring!BD422</f>
        <v/>
      </c>
      <c r="I416" s="140" t="str">
        <f aca="false">Scoring!BC422</f>
        <v/>
      </c>
    </row>
    <row r="417" customFormat="false" ht="15.75" hidden="false" customHeight="false" outlineLevel="0" collapsed="false">
      <c r="A417" s="138" t="str">
        <f aca="false">Scoring!BF423</f>
        <v/>
      </c>
      <c r="B417" s="138" t="str">
        <f aca="false">Scoring!BE423</f>
        <v/>
      </c>
      <c r="C417" s="138" t="n">
        <f aca="false">Scoring!C423</f>
        <v>0</v>
      </c>
      <c r="D417" s="139" t="str">
        <f aca="false">Scoring!BB423</f>
        <v/>
      </c>
      <c r="E417" s="138" t="str">
        <f aca="false">Scoring!AE423</f>
        <v/>
      </c>
      <c r="F417" s="138" t="n">
        <f aca="false">Scoring!B423</f>
        <v>0</v>
      </c>
      <c r="G417" s="138" t="n">
        <f aca="false">Scoring!D423</f>
        <v>0</v>
      </c>
      <c r="H417" s="138" t="str">
        <f aca="false">Scoring!BD423</f>
        <v/>
      </c>
      <c r="I417" s="140" t="str">
        <f aca="false">Scoring!BC423</f>
        <v/>
      </c>
    </row>
    <row r="418" customFormat="false" ht="15.75" hidden="false" customHeight="false" outlineLevel="0" collapsed="false">
      <c r="A418" s="138" t="str">
        <f aca="false">Scoring!BF424</f>
        <v/>
      </c>
      <c r="B418" s="138" t="str">
        <f aca="false">Scoring!BE424</f>
        <v/>
      </c>
      <c r="C418" s="138" t="n">
        <f aca="false">Scoring!C424</f>
        <v>0</v>
      </c>
      <c r="D418" s="139" t="str">
        <f aca="false">Scoring!BB424</f>
        <v/>
      </c>
      <c r="E418" s="138" t="str">
        <f aca="false">Scoring!AE424</f>
        <v/>
      </c>
      <c r="F418" s="138" t="n">
        <f aca="false">Scoring!B424</f>
        <v>0</v>
      </c>
      <c r="G418" s="138" t="n">
        <f aca="false">Scoring!D424</f>
        <v>0</v>
      </c>
      <c r="H418" s="138" t="str">
        <f aca="false">Scoring!BD424</f>
        <v/>
      </c>
      <c r="I418" s="140" t="str">
        <f aca="false">Scoring!BC424</f>
        <v/>
      </c>
    </row>
    <row r="419" customFormat="false" ht="15.75" hidden="false" customHeight="false" outlineLevel="0" collapsed="false">
      <c r="A419" s="138" t="str">
        <f aca="false">Scoring!BF425</f>
        <v/>
      </c>
      <c r="B419" s="138" t="str">
        <f aca="false">Scoring!BE425</f>
        <v/>
      </c>
      <c r="C419" s="138" t="n">
        <f aca="false">Scoring!C425</f>
        <v>0</v>
      </c>
      <c r="D419" s="139" t="str">
        <f aca="false">Scoring!BB425</f>
        <v/>
      </c>
      <c r="E419" s="138" t="str">
        <f aca="false">Scoring!AE425</f>
        <v/>
      </c>
      <c r="F419" s="138" t="n">
        <f aca="false">Scoring!B425</f>
        <v>0</v>
      </c>
      <c r="G419" s="138" t="n">
        <f aca="false">Scoring!D425</f>
        <v>0</v>
      </c>
      <c r="H419" s="138" t="str">
        <f aca="false">Scoring!BD425</f>
        <v/>
      </c>
      <c r="I419" s="140" t="str">
        <f aca="false">Scoring!BC425</f>
        <v/>
      </c>
    </row>
    <row r="420" customFormat="false" ht="15.75" hidden="false" customHeight="false" outlineLevel="0" collapsed="false">
      <c r="A420" s="138" t="str">
        <f aca="false">Scoring!BF426</f>
        <v/>
      </c>
      <c r="B420" s="138" t="str">
        <f aca="false">Scoring!BE426</f>
        <v/>
      </c>
      <c r="C420" s="138" t="n">
        <f aca="false">Scoring!C426</f>
        <v>0</v>
      </c>
      <c r="D420" s="139" t="str">
        <f aca="false">Scoring!BB426</f>
        <v/>
      </c>
      <c r="E420" s="138" t="str">
        <f aca="false">Scoring!AE426</f>
        <v/>
      </c>
      <c r="F420" s="138" t="n">
        <f aca="false">Scoring!B426</f>
        <v>0</v>
      </c>
      <c r="G420" s="138" t="n">
        <f aca="false">Scoring!D426</f>
        <v>0</v>
      </c>
      <c r="H420" s="138" t="str">
        <f aca="false">Scoring!BD426</f>
        <v/>
      </c>
      <c r="I420" s="140" t="str">
        <f aca="false">Scoring!BC426</f>
        <v/>
      </c>
    </row>
    <row r="421" customFormat="false" ht="15.75" hidden="false" customHeight="false" outlineLevel="0" collapsed="false">
      <c r="A421" s="138" t="str">
        <f aca="false">Scoring!BF427</f>
        <v/>
      </c>
      <c r="B421" s="138" t="str">
        <f aca="false">Scoring!BE427</f>
        <v/>
      </c>
      <c r="C421" s="138" t="n">
        <f aca="false">Scoring!C427</f>
        <v>0</v>
      </c>
      <c r="D421" s="139" t="str">
        <f aca="false">Scoring!BB427</f>
        <v/>
      </c>
      <c r="E421" s="138" t="str">
        <f aca="false">Scoring!AE427</f>
        <v/>
      </c>
      <c r="F421" s="138" t="n">
        <f aca="false">Scoring!B427</f>
        <v>0</v>
      </c>
      <c r="G421" s="138" t="n">
        <f aca="false">Scoring!D427</f>
        <v>0</v>
      </c>
      <c r="H421" s="138" t="str">
        <f aca="false">Scoring!BD427</f>
        <v/>
      </c>
      <c r="I421" s="140" t="str">
        <f aca="false">Scoring!BC427</f>
        <v/>
      </c>
    </row>
    <row r="422" customFormat="false" ht="15.75" hidden="false" customHeight="false" outlineLevel="0" collapsed="false">
      <c r="A422" s="138" t="str">
        <f aca="false">Scoring!BF428</f>
        <v/>
      </c>
      <c r="B422" s="138" t="str">
        <f aca="false">Scoring!BE428</f>
        <v/>
      </c>
      <c r="C422" s="138" t="n">
        <f aca="false">Scoring!C428</f>
        <v>0</v>
      </c>
      <c r="D422" s="139" t="str">
        <f aca="false">Scoring!BB428</f>
        <v/>
      </c>
      <c r="E422" s="138" t="str">
        <f aca="false">Scoring!AE428</f>
        <v/>
      </c>
      <c r="F422" s="138" t="n">
        <f aca="false">Scoring!B428</f>
        <v>0</v>
      </c>
      <c r="G422" s="138" t="n">
        <f aca="false">Scoring!D428</f>
        <v>0</v>
      </c>
      <c r="H422" s="138" t="str">
        <f aca="false">Scoring!BD428</f>
        <v/>
      </c>
      <c r="I422" s="140" t="str">
        <f aca="false">Scoring!BC428</f>
        <v/>
      </c>
    </row>
    <row r="423" customFormat="false" ht="15.75" hidden="false" customHeight="false" outlineLevel="0" collapsed="false">
      <c r="A423" s="138" t="str">
        <f aca="false">Scoring!BF429</f>
        <v/>
      </c>
      <c r="B423" s="138" t="str">
        <f aca="false">Scoring!BE429</f>
        <v/>
      </c>
      <c r="C423" s="138" t="n">
        <f aca="false">Scoring!C429</f>
        <v>0</v>
      </c>
      <c r="D423" s="139" t="str">
        <f aca="false">Scoring!BB429</f>
        <v/>
      </c>
      <c r="E423" s="138" t="str">
        <f aca="false">Scoring!AE429</f>
        <v/>
      </c>
      <c r="F423" s="138" t="n">
        <f aca="false">Scoring!B429</f>
        <v>0</v>
      </c>
      <c r="G423" s="138" t="n">
        <f aca="false">Scoring!D429</f>
        <v>0</v>
      </c>
      <c r="H423" s="138" t="str">
        <f aca="false">Scoring!BD429</f>
        <v/>
      </c>
      <c r="I423" s="140" t="str">
        <f aca="false">Scoring!BC429</f>
        <v/>
      </c>
    </row>
    <row r="424" customFormat="false" ht="15.75" hidden="false" customHeight="false" outlineLevel="0" collapsed="false">
      <c r="A424" s="138" t="str">
        <f aca="false">Scoring!BF430</f>
        <v/>
      </c>
      <c r="B424" s="138" t="str">
        <f aca="false">Scoring!BE430</f>
        <v/>
      </c>
      <c r="C424" s="138" t="n">
        <f aca="false">Scoring!C430</f>
        <v>0</v>
      </c>
      <c r="D424" s="139" t="str">
        <f aca="false">Scoring!BB430</f>
        <v/>
      </c>
      <c r="E424" s="138" t="str">
        <f aca="false">Scoring!AE430</f>
        <v/>
      </c>
      <c r="F424" s="138" t="n">
        <f aca="false">Scoring!B430</f>
        <v>0</v>
      </c>
      <c r="G424" s="138" t="n">
        <f aca="false">Scoring!D430</f>
        <v>0</v>
      </c>
      <c r="H424" s="138" t="str">
        <f aca="false">Scoring!BD430</f>
        <v/>
      </c>
      <c r="I424" s="140" t="str">
        <f aca="false">Scoring!BC430</f>
        <v/>
      </c>
    </row>
    <row r="425" customFormat="false" ht="15.75" hidden="false" customHeight="false" outlineLevel="0" collapsed="false">
      <c r="A425" s="138" t="str">
        <f aca="false">Scoring!BF431</f>
        <v/>
      </c>
      <c r="B425" s="138" t="str">
        <f aca="false">Scoring!BE431</f>
        <v/>
      </c>
      <c r="C425" s="138" t="n">
        <f aca="false">Scoring!C431</f>
        <v>0</v>
      </c>
      <c r="D425" s="139" t="str">
        <f aca="false">Scoring!BB431</f>
        <v/>
      </c>
      <c r="E425" s="138" t="str">
        <f aca="false">Scoring!AE431</f>
        <v/>
      </c>
      <c r="F425" s="138" t="n">
        <f aca="false">Scoring!B431</f>
        <v>0</v>
      </c>
      <c r="G425" s="138" t="n">
        <f aca="false">Scoring!D431</f>
        <v>0</v>
      </c>
      <c r="H425" s="138" t="str">
        <f aca="false">Scoring!BD431</f>
        <v/>
      </c>
      <c r="I425" s="140" t="str">
        <f aca="false">Scoring!BC431</f>
        <v/>
      </c>
    </row>
    <row r="426" customFormat="false" ht="15.75" hidden="false" customHeight="false" outlineLevel="0" collapsed="false">
      <c r="A426" s="138" t="str">
        <f aca="false">Scoring!BF432</f>
        <v/>
      </c>
      <c r="B426" s="138" t="str">
        <f aca="false">Scoring!BE432</f>
        <v/>
      </c>
      <c r="C426" s="138" t="n">
        <f aca="false">Scoring!C432</f>
        <v>0</v>
      </c>
      <c r="D426" s="139" t="str">
        <f aca="false">Scoring!BB432</f>
        <v/>
      </c>
      <c r="E426" s="138" t="str">
        <f aca="false">Scoring!AE432</f>
        <v/>
      </c>
      <c r="F426" s="138" t="n">
        <f aca="false">Scoring!B432</f>
        <v>0</v>
      </c>
      <c r="G426" s="138" t="n">
        <f aca="false">Scoring!D432</f>
        <v>0</v>
      </c>
      <c r="H426" s="138" t="str">
        <f aca="false">Scoring!BD432</f>
        <v/>
      </c>
      <c r="I426" s="140" t="str">
        <f aca="false">Scoring!BC432</f>
        <v/>
      </c>
    </row>
    <row r="427" customFormat="false" ht="15.75" hidden="false" customHeight="false" outlineLevel="0" collapsed="false">
      <c r="A427" s="138" t="str">
        <f aca="false">Scoring!BF433</f>
        <v/>
      </c>
      <c r="B427" s="138" t="str">
        <f aca="false">Scoring!BE433</f>
        <v/>
      </c>
      <c r="C427" s="138" t="n">
        <f aca="false">Scoring!C433</f>
        <v>0</v>
      </c>
      <c r="D427" s="139" t="str">
        <f aca="false">Scoring!BB433</f>
        <v/>
      </c>
      <c r="E427" s="138" t="str">
        <f aca="false">Scoring!AE433</f>
        <v/>
      </c>
      <c r="F427" s="138" t="n">
        <f aca="false">Scoring!B433</f>
        <v>0</v>
      </c>
      <c r="G427" s="138" t="n">
        <f aca="false">Scoring!D433</f>
        <v>0</v>
      </c>
      <c r="H427" s="138" t="str">
        <f aca="false">Scoring!BD433</f>
        <v/>
      </c>
      <c r="I427" s="140" t="str">
        <f aca="false">Scoring!BC433</f>
        <v/>
      </c>
    </row>
    <row r="428" customFormat="false" ht="15.75" hidden="false" customHeight="false" outlineLevel="0" collapsed="false">
      <c r="A428" s="138" t="str">
        <f aca="false">Scoring!BF434</f>
        <v/>
      </c>
      <c r="B428" s="138" t="str">
        <f aca="false">Scoring!BE434</f>
        <v/>
      </c>
      <c r="C428" s="138" t="n">
        <f aca="false">Scoring!C434</f>
        <v>0</v>
      </c>
      <c r="D428" s="139" t="str">
        <f aca="false">Scoring!BB434</f>
        <v/>
      </c>
      <c r="E428" s="138" t="str">
        <f aca="false">Scoring!AE434</f>
        <v/>
      </c>
      <c r="F428" s="138" t="n">
        <f aca="false">Scoring!B434</f>
        <v>0</v>
      </c>
      <c r="G428" s="138" t="n">
        <f aca="false">Scoring!D434</f>
        <v>0</v>
      </c>
      <c r="H428" s="138" t="str">
        <f aca="false">Scoring!BD434</f>
        <v/>
      </c>
      <c r="I428" s="140" t="str">
        <f aca="false">Scoring!BC434</f>
        <v/>
      </c>
    </row>
    <row r="429" customFormat="false" ht="15.75" hidden="false" customHeight="false" outlineLevel="0" collapsed="false">
      <c r="A429" s="138" t="str">
        <f aca="false">Scoring!BF435</f>
        <v/>
      </c>
      <c r="B429" s="138" t="str">
        <f aca="false">Scoring!BE435</f>
        <v/>
      </c>
      <c r="C429" s="138" t="n">
        <f aca="false">Scoring!C435</f>
        <v>0</v>
      </c>
      <c r="D429" s="139" t="str">
        <f aca="false">Scoring!BB435</f>
        <v/>
      </c>
      <c r="E429" s="138" t="str">
        <f aca="false">Scoring!AE435</f>
        <v/>
      </c>
      <c r="F429" s="138" t="n">
        <f aca="false">Scoring!B435</f>
        <v>0</v>
      </c>
      <c r="G429" s="138" t="n">
        <f aca="false">Scoring!D435</f>
        <v>0</v>
      </c>
      <c r="H429" s="138" t="str">
        <f aca="false">Scoring!BD435</f>
        <v/>
      </c>
      <c r="I429" s="140" t="str">
        <f aca="false">Scoring!BC435</f>
        <v/>
      </c>
    </row>
    <row r="430" customFormat="false" ht="15.75" hidden="false" customHeight="false" outlineLevel="0" collapsed="false">
      <c r="A430" s="138" t="str">
        <f aca="false">Scoring!BF436</f>
        <v/>
      </c>
      <c r="B430" s="138" t="str">
        <f aca="false">Scoring!BE436</f>
        <v/>
      </c>
      <c r="C430" s="138" t="n">
        <f aca="false">Scoring!C436</f>
        <v>0</v>
      </c>
      <c r="D430" s="139" t="str">
        <f aca="false">Scoring!BB436</f>
        <v/>
      </c>
      <c r="E430" s="138" t="str">
        <f aca="false">Scoring!AE436</f>
        <v/>
      </c>
      <c r="F430" s="138" t="n">
        <f aca="false">Scoring!B436</f>
        <v>0</v>
      </c>
      <c r="G430" s="138" t="n">
        <f aca="false">Scoring!D436</f>
        <v>0</v>
      </c>
      <c r="H430" s="138" t="str">
        <f aca="false">Scoring!BD436</f>
        <v/>
      </c>
      <c r="I430" s="140" t="str">
        <f aca="false">Scoring!BC436</f>
        <v/>
      </c>
    </row>
    <row r="431" customFormat="false" ht="15.75" hidden="false" customHeight="false" outlineLevel="0" collapsed="false">
      <c r="A431" s="138" t="str">
        <f aca="false">Scoring!BF437</f>
        <v/>
      </c>
      <c r="B431" s="138" t="str">
        <f aca="false">Scoring!BE437</f>
        <v/>
      </c>
      <c r="C431" s="138" t="n">
        <f aca="false">Scoring!C437</f>
        <v>0</v>
      </c>
      <c r="D431" s="139" t="str">
        <f aca="false">Scoring!BB437</f>
        <v/>
      </c>
      <c r="E431" s="138" t="str">
        <f aca="false">Scoring!AE437</f>
        <v/>
      </c>
      <c r="F431" s="138" t="n">
        <f aca="false">Scoring!B437</f>
        <v>0</v>
      </c>
      <c r="G431" s="138" t="n">
        <f aca="false">Scoring!D437</f>
        <v>0</v>
      </c>
      <c r="H431" s="138" t="str">
        <f aca="false">Scoring!BD437</f>
        <v/>
      </c>
      <c r="I431" s="140" t="str">
        <f aca="false">Scoring!BC437</f>
        <v/>
      </c>
    </row>
    <row r="432" customFormat="false" ht="15.75" hidden="false" customHeight="false" outlineLevel="0" collapsed="false">
      <c r="A432" s="138" t="str">
        <f aca="false">Scoring!BF438</f>
        <v/>
      </c>
      <c r="B432" s="138" t="str">
        <f aca="false">Scoring!BE438</f>
        <v/>
      </c>
      <c r="C432" s="138" t="n">
        <f aca="false">Scoring!C438</f>
        <v>0</v>
      </c>
      <c r="D432" s="139" t="str">
        <f aca="false">Scoring!BB438</f>
        <v/>
      </c>
      <c r="E432" s="138" t="str">
        <f aca="false">Scoring!AE438</f>
        <v/>
      </c>
      <c r="F432" s="138" t="n">
        <f aca="false">Scoring!B438</f>
        <v>0</v>
      </c>
      <c r="G432" s="138" t="n">
        <f aca="false">Scoring!D438</f>
        <v>0</v>
      </c>
      <c r="H432" s="138" t="str">
        <f aca="false">Scoring!BD438</f>
        <v/>
      </c>
      <c r="I432" s="140" t="str">
        <f aca="false">Scoring!BC438</f>
        <v/>
      </c>
    </row>
    <row r="433" customFormat="false" ht="15.75" hidden="false" customHeight="false" outlineLevel="0" collapsed="false">
      <c r="A433" s="138" t="str">
        <f aca="false">Scoring!BF439</f>
        <v/>
      </c>
      <c r="B433" s="138" t="str">
        <f aca="false">Scoring!BE439</f>
        <v/>
      </c>
      <c r="C433" s="138" t="n">
        <f aca="false">Scoring!C439</f>
        <v>0</v>
      </c>
      <c r="D433" s="139" t="str">
        <f aca="false">Scoring!BB439</f>
        <v/>
      </c>
      <c r="E433" s="138" t="str">
        <f aca="false">Scoring!AE439</f>
        <v/>
      </c>
      <c r="F433" s="138" t="n">
        <f aca="false">Scoring!B439</f>
        <v>0</v>
      </c>
      <c r="G433" s="138" t="n">
        <f aca="false">Scoring!D439</f>
        <v>0</v>
      </c>
      <c r="H433" s="138" t="str">
        <f aca="false">Scoring!BD439</f>
        <v/>
      </c>
      <c r="I433" s="140" t="str">
        <f aca="false">Scoring!BC439</f>
        <v/>
      </c>
    </row>
    <row r="434" customFormat="false" ht="15.75" hidden="false" customHeight="false" outlineLevel="0" collapsed="false">
      <c r="A434" s="138" t="str">
        <f aca="false">Scoring!BF440</f>
        <v/>
      </c>
      <c r="B434" s="138" t="str">
        <f aca="false">Scoring!BE440</f>
        <v/>
      </c>
      <c r="C434" s="138" t="n">
        <f aca="false">Scoring!C440</f>
        <v>0</v>
      </c>
      <c r="D434" s="139" t="str">
        <f aca="false">Scoring!BB440</f>
        <v/>
      </c>
      <c r="E434" s="138" t="str">
        <f aca="false">Scoring!AE440</f>
        <v/>
      </c>
      <c r="F434" s="138" t="n">
        <f aca="false">Scoring!B440</f>
        <v>0</v>
      </c>
      <c r="G434" s="138" t="n">
        <f aca="false">Scoring!D440</f>
        <v>0</v>
      </c>
      <c r="H434" s="138" t="str">
        <f aca="false">Scoring!BD440</f>
        <v/>
      </c>
      <c r="I434" s="140" t="str">
        <f aca="false">Scoring!BC440</f>
        <v/>
      </c>
    </row>
    <row r="435" customFormat="false" ht="15.75" hidden="false" customHeight="false" outlineLevel="0" collapsed="false">
      <c r="A435" s="138" t="str">
        <f aca="false">Scoring!BF441</f>
        <v/>
      </c>
      <c r="B435" s="138" t="str">
        <f aca="false">Scoring!BE441</f>
        <v/>
      </c>
      <c r="C435" s="138" t="n">
        <f aca="false">Scoring!C441</f>
        <v>0</v>
      </c>
      <c r="D435" s="139" t="str">
        <f aca="false">Scoring!BB441</f>
        <v/>
      </c>
      <c r="E435" s="138" t="str">
        <f aca="false">Scoring!AE441</f>
        <v/>
      </c>
      <c r="F435" s="138" t="n">
        <f aca="false">Scoring!B441</f>
        <v>0</v>
      </c>
      <c r="G435" s="138" t="n">
        <f aca="false">Scoring!D441</f>
        <v>0</v>
      </c>
      <c r="H435" s="138" t="str">
        <f aca="false">Scoring!BD441</f>
        <v/>
      </c>
      <c r="I435" s="140" t="str">
        <f aca="false">Scoring!BC441</f>
        <v/>
      </c>
    </row>
    <row r="436" customFormat="false" ht="15.75" hidden="false" customHeight="false" outlineLevel="0" collapsed="false">
      <c r="A436" s="138" t="str">
        <f aca="false">Scoring!BF442</f>
        <v/>
      </c>
      <c r="B436" s="138" t="str">
        <f aca="false">Scoring!BE442</f>
        <v/>
      </c>
      <c r="C436" s="138" t="n">
        <f aca="false">Scoring!C442</f>
        <v>0</v>
      </c>
      <c r="D436" s="139" t="str">
        <f aca="false">Scoring!BB442</f>
        <v/>
      </c>
      <c r="E436" s="138" t="str">
        <f aca="false">Scoring!AE442</f>
        <v/>
      </c>
      <c r="F436" s="138" t="n">
        <f aca="false">Scoring!B442</f>
        <v>0</v>
      </c>
      <c r="G436" s="138" t="n">
        <f aca="false">Scoring!D442</f>
        <v>0</v>
      </c>
      <c r="H436" s="138" t="str">
        <f aca="false">Scoring!BD442</f>
        <v/>
      </c>
      <c r="I436" s="140" t="str">
        <f aca="false">Scoring!BC442</f>
        <v/>
      </c>
    </row>
    <row r="437" customFormat="false" ht="15.75" hidden="false" customHeight="false" outlineLevel="0" collapsed="false">
      <c r="A437" s="138" t="str">
        <f aca="false">Scoring!BF443</f>
        <v/>
      </c>
      <c r="B437" s="138" t="str">
        <f aca="false">Scoring!BE443</f>
        <v/>
      </c>
      <c r="C437" s="138" t="n">
        <f aca="false">Scoring!C443</f>
        <v>0</v>
      </c>
      <c r="D437" s="139" t="str">
        <f aca="false">Scoring!BB443</f>
        <v/>
      </c>
      <c r="E437" s="138" t="str">
        <f aca="false">Scoring!AE443</f>
        <v/>
      </c>
      <c r="F437" s="138" t="n">
        <f aca="false">Scoring!B443</f>
        <v>0</v>
      </c>
      <c r="G437" s="138" t="n">
        <f aca="false">Scoring!D443</f>
        <v>0</v>
      </c>
      <c r="H437" s="138" t="str">
        <f aca="false">Scoring!BD443</f>
        <v/>
      </c>
      <c r="I437" s="140" t="str">
        <f aca="false">Scoring!BC443</f>
        <v/>
      </c>
    </row>
    <row r="438" customFormat="false" ht="15.75" hidden="false" customHeight="false" outlineLevel="0" collapsed="false">
      <c r="A438" s="138" t="str">
        <f aca="false">Scoring!BF444</f>
        <v/>
      </c>
      <c r="B438" s="138" t="str">
        <f aca="false">Scoring!BE444</f>
        <v/>
      </c>
      <c r="C438" s="138" t="n">
        <f aca="false">Scoring!C444</f>
        <v>0</v>
      </c>
      <c r="D438" s="139" t="str">
        <f aca="false">Scoring!BB444</f>
        <v/>
      </c>
      <c r="E438" s="138" t="str">
        <f aca="false">Scoring!AE444</f>
        <v/>
      </c>
      <c r="F438" s="138" t="n">
        <f aca="false">Scoring!B444</f>
        <v>0</v>
      </c>
      <c r="G438" s="138" t="n">
        <f aca="false">Scoring!D444</f>
        <v>0</v>
      </c>
      <c r="H438" s="138" t="str">
        <f aca="false">Scoring!BD444</f>
        <v/>
      </c>
      <c r="I438" s="140" t="str">
        <f aca="false">Scoring!BC444</f>
        <v/>
      </c>
    </row>
    <row r="439" customFormat="false" ht="15.75" hidden="false" customHeight="false" outlineLevel="0" collapsed="false">
      <c r="A439" s="138" t="str">
        <f aca="false">Scoring!BF445</f>
        <v/>
      </c>
      <c r="B439" s="138" t="str">
        <f aca="false">Scoring!BE445</f>
        <v/>
      </c>
      <c r="C439" s="138" t="n">
        <f aca="false">Scoring!C445</f>
        <v>0</v>
      </c>
      <c r="D439" s="139" t="str">
        <f aca="false">Scoring!BB445</f>
        <v/>
      </c>
      <c r="E439" s="138" t="str">
        <f aca="false">Scoring!AE445</f>
        <v/>
      </c>
      <c r="F439" s="138" t="n">
        <f aca="false">Scoring!B445</f>
        <v>0</v>
      </c>
      <c r="G439" s="138" t="n">
        <f aca="false">Scoring!D445</f>
        <v>0</v>
      </c>
      <c r="H439" s="138" t="str">
        <f aca="false">Scoring!BD445</f>
        <v/>
      </c>
      <c r="I439" s="140" t="str">
        <f aca="false">Scoring!BC445</f>
        <v/>
      </c>
    </row>
    <row r="440" customFormat="false" ht="15.75" hidden="false" customHeight="false" outlineLevel="0" collapsed="false">
      <c r="A440" s="138" t="str">
        <f aca="false">Scoring!BF446</f>
        <v/>
      </c>
      <c r="B440" s="138" t="str">
        <f aca="false">Scoring!BE446</f>
        <v/>
      </c>
      <c r="C440" s="138" t="n">
        <f aca="false">Scoring!C446</f>
        <v>0</v>
      </c>
      <c r="D440" s="139" t="str">
        <f aca="false">Scoring!BB446</f>
        <v/>
      </c>
      <c r="E440" s="138" t="str">
        <f aca="false">Scoring!AE446</f>
        <v/>
      </c>
      <c r="F440" s="138" t="n">
        <f aca="false">Scoring!B446</f>
        <v>0</v>
      </c>
      <c r="G440" s="138" t="n">
        <f aca="false">Scoring!D446</f>
        <v>0</v>
      </c>
      <c r="H440" s="138" t="str">
        <f aca="false">Scoring!BD446</f>
        <v/>
      </c>
      <c r="I440" s="140" t="str">
        <f aca="false">Scoring!BC446</f>
        <v/>
      </c>
    </row>
    <row r="441" customFormat="false" ht="15.75" hidden="false" customHeight="false" outlineLevel="0" collapsed="false">
      <c r="A441" s="138" t="str">
        <f aca="false">Scoring!BF447</f>
        <v/>
      </c>
      <c r="B441" s="138" t="str">
        <f aca="false">Scoring!BE447</f>
        <v/>
      </c>
      <c r="C441" s="138" t="n">
        <f aca="false">Scoring!C447</f>
        <v>0</v>
      </c>
      <c r="D441" s="139" t="str">
        <f aca="false">Scoring!BB447</f>
        <v/>
      </c>
      <c r="E441" s="138" t="str">
        <f aca="false">Scoring!AE447</f>
        <v/>
      </c>
      <c r="F441" s="138" t="n">
        <f aca="false">Scoring!B447</f>
        <v>0</v>
      </c>
      <c r="G441" s="138" t="n">
        <f aca="false">Scoring!D447</f>
        <v>0</v>
      </c>
      <c r="H441" s="138" t="str">
        <f aca="false">Scoring!BD447</f>
        <v/>
      </c>
      <c r="I441" s="140" t="str">
        <f aca="false">Scoring!BC447</f>
        <v/>
      </c>
    </row>
    <row r="442" customFormat="false" ht="15.75" hidden="false" customHeight="false" outlineLevel="0" collapsed="false">
      <c r="A442" s="138" t="str">
        <f aca="false">Scoring!BF448</f>
        <v/>
      </c>
      <c r="B442" s="138" t="str">
        <f aca="false">Scoring!BE448</f>
        <v/>
      </c>
      <c r="C442" s="138" t="n">
        <f aca="false">Scoring!C448</f>
        <v>0</v>
      </c>
      <c r="D442" s="139" t="str">
        <f aca="false">Scoring!BB448</f>
        <v/>
      </c>
      <c r="E442" s="138" t="str">
        <f aca="false">Scoring!AE448</f>
        <v/>
      </c>
      <c r="F442" s="138" t="n">
        <f aca="false">Scoring!B448</f>
        <v>0</v>
      </c>
      <c r="G442" s="138" t="n">
        <f aca="false">Scoring!D448</f>
        <v>0</v>
      </c>
      <c r="H442" s="138" t="str">
        <f aca="false">Scoring!BD448</f>
        <v/>
      </c>
      <c r="I442" s="140" t="str">
        <f aca="false">Scoring!BC448</f>
        <v/>
      </c>
    </row>
    <row r="443" customFormat="false" ht="15.75" hidden="false" customHeight="false" outlineLevel="0" collapsed="false">
      <c r="A443" s="138" t="str">
        <f aca="false">Scoring!BF449</f>
        <v/>
      </c>
      <c r="B443" s="138" t="str">
        <f aca="false">Scoring!BE449</f>
        <v/>
      </c>
      <c r="C443" s="138" t="n">
        <f aca="false">Scoring!C449</f>
        <v>0</v>
      </c>
      <c r="D443" s="139" t="str">
        <f aca="false">Scoring!BB449</f>
        <v/>
      </c>
      <c r="E443" s="138" t="str">
        <f aca="false">Scoring!AE449</f>
        <v/>
      </c>
      <c r="F443" s="138" t="n">
        <f aca="false">Scoring!B449</f>
        <v>0</v>
      </c>
      <c r="G443" s="138" t="n">
        <f aca="false">Scoring!D449</f>
        <v>0</v>
      </c>
      <c r="H443" s="138" t="str">
        <f aca="false">Scoring!BD449</f>
        <v/>
      </c>
      <c r="I443" s="140" t="str">
        <f aca="false">Scoring!BC449</f>
        <v/>
      </c>
    </row>
    <row r="444" customFormat="false" ht="15.75" hidden="false" customHeight="false" outlineLevel="0" collapsed="false">
      <c r="A444" s="138" t="str">
        <f aca="false">Scoring!BF450</f>
        <v/>
      </c>
      <c r="B444" s="138" t="str">
        <f aca="false">Scoring!BE450</f>
        <v/>
      </c>
      <c r="C444" s="138" t="n">
        <f aca="false">Scoring!C450</f>
        <v>0</v>
      </c>
      <c r="D444" s="139" t="str">
        <f aca="false">Scoring!BB450</f>
        <v/>
      </c>
      <c r="E444" s="138" t="str">
        <f aca="false">Scoring!AE450</f>
        <v/>
      </c>
      <c r="F444" s="138" t="n">
        <f aca="false">Scoring!B450</f>
        <v>0</v>
      </c>
      <c r="G444" s="138" t="n">
        <f aca="false">Scoring!D450</f>
        <v>0</v>
      </c>
      <c r="H444" s="138" t="str">
        <f aca="false">Scoring!BD450</f>
        <v/>
      </c>
      <c r="I444" s="140" t="str">
        <f aca="false">Scoring!BC450</f>
        <v/>
      </c>
    </row>
    <row r="445" customFormat="false" ht="15.75" hidden="false" customHeight="false" outlineLevel="0" collapsed="false">
      <c r="A445" s="138" t="str">
        <f aca="false">Scoring!BF451</f>
        <v/>
      </c>
      <c r="B445" s="138" t="str">
        <f aca="false">Scoring!BE451</f>
        <v/>
      </c>
      <c r="C445" s="138" t="n">
        <f aca="false">Scoring!C451</f>
        <v>0</v>
      </c>
      <c r="D445" s="139" t="str">
        <f aca="false">Scoring!BB451</f>
        <v/>
      </c>
      <c r="E445" s="138" t="str">
        <f aca="false">Scoring!AE451</f>
        <v/>
      </c>
      <c r="F445" s="138" t="n">
        <f aca="false">Scoring!B451</f>
        <v>0</v>
      </c>
      <c r="G445" s="138" t="n">
        <f aca="false">Scoring!D451</f>
        <v>0</v>
      </c>
      <c r="H445" s="138" t="str">
        <f aca="false">Scoring!BD451</f>
        <v/>
      </c>
      <c r="I445" s="140" t="str">
        <f aca="false">Scoring!BC451</f>
        <v/>
      </c>
    </row>
    <row r="446" customFormat="false" ht="15.75" hidden="false" customHeight="false" outlineLevel="0" collapsed="false">
      <c r="A446" s="138" t="str">
        <f aca="false">Scoring!BF452</f>
        <v/>
      </c>
      <c r="B446" s="138" t="str">
        <f aca="false">Scoring!BE452</f>
        <v/>
      </c>
      <c r="C446" s="138" t="n">
        <f aca="false">Scoring!C452</f>
        <v>0</v>
      </c>
      <c r="D446" s="139" t="str">
        <f aca="false">Scoring!BB452</f>
        <v/>
      </c>
      <c r="E446" s="138" t="str">
        <f aca="false">Scoring!AE452</f>
        <v/>
      </c>
      <c r="F446" s="138" t="n">
        <f aca="false">Scoring!B452</f>
        <v>0</v>
      </c>
      <c r="G446" s="138" t="n">
        <f aca="false">Scoring!D452</f>
        <v>0</v>
      </c>
      <c r="H446" s="138" t="str">
        <f aca="false">Scoring!BD452</f>
        <v/>
      </c>
      <c r="I446" s="140" t="str">
        <f aca="false">Scoring!BC452</f>
        <v/>
      </c>
    </row>
    <row r="447" customFormat="false" ht="15.75" hidden="false" customHeight="false" outlineLevel="0" collapsed="false">
      <c r="A447" s="138" t="str">
        <f aca="false">Scoring!BF453</f>
        <v/>
      </c>
      <c r="B447" s="138" t="str">
        <f aca="false">Scoring!BE453</f>
        <v/>
      </c>
      <c r="C447" s="138" t="n">
        <f aca="false">Scoring!C453</f>
        <v>0</v>
      </c>
      <c r="D447" s="139" t="str">
        <f aca="false">Scoring!BB453</f>
        <v/>
      </c>
      <c r="E447" s="138" t="str">
        <f aca="false">Scoring!AE453</f>
        <v/>
      </c>
      <c r="F447" s="138" t="n">
        <f aca="false">Scoring!B453</f>
        <v>0</v>
      </c>
      <c r="G447" s="138" t="n">
        <f aca="false">Scoring!D453</f>
        <v>0</v>
      </c>
      <c r="H447" s="138" t="str">
        <f aca="false">Scoring!BD453</f>
        <v/>
      </c>
      <c r="I447" s="140" t="str">
        <f aca="false">Scoring!BC453</f>
        <v/>
      </c>
    </row>
    <row r="448" customFormat="false" ht="15.75" hidden="false" customHeight="false" outlineLevel="0" collapsed="false">
      <c r="A448" s="138" t="str">
        <f aca="false">Scoring!BF454</f>
        <v/>
      </c>
      <c r="B448" s="138" t="str">
        <f aca="false">Scoring!BE454</f>
        <v/>
      </c>
      <c r="C448" s="138" t="n">
        <f aca="false">Scoring!C454</f>
        <v>0</v>
      </c>
      <c r="D448" s="139" t="str">
        <f aca="false">Scoring!BB454</f>
        <v/>
      </c>
      <c r="E448" s="138" t="str">
        <f aca="false">Scoring!AE454</f>
        <v/>
      </c>
      <c r="F448" s="138" t="n">
        <f aca="false">Scoring!B454</f>
        <v>0</v>
      </c>
      <c r="G448" s="138" t="n">
        <f aca="false">Scoring!D454</f>
        <v>0</v>
      </c>
      <c r="H448" s="138" t="str">
        <f aca="false">Scoring!BD454</f>
        <v/>
      </c>
      <c r="I448" s="140" t="str">
        <f aca="false">Scoring!BC454</f>
        <v/>
      </c>
    </row>
    <row r="449" customFormat="false" ht="15.75" hidden="false" customHeight="false" outlineLevel="0" collapsed="false">
      <c r="A449" s="138" t="str">
        <f aca="false">Scoring!BF455</f>
        <v/>
      </c>
      <c r="B449" s="138" t="str">
        <f aca="false">Scoring!BE455</f>
        <v/>
      </c>
      <c r="C449" s="138" t="n">
        <f aca="false">Scoring!C455</f>
        <v>0</v>
      </c>
      <c r="D449" s="139" t="str">
        <f aca="false">Scoring!BB455</f>
        <v/>
      </c>
      <c r="E449" s="138" t="str">
        <f aca="false">Scoring!AE455</f>
        <v/>
      </c>
      <c r="F449" s="138" t="n">
        <f aca="false">Scoring!B455</f>
        <v>0</v>
      </c>
      <c r="G449" s="138" t="n">
        <f aca="false">Scoring!D455</f>
        <v>0</v>
      </c>
      <c r="H449" s="138" t="str">
        <f aca="false">Scoring!BD455</f>
        <v/>
      </c>
      <c r="I449" s="140" t="str">
        <f aca="false">Scoring!BC455</f>
        <v/>
      </c>
    </row>
    <row r="450" customFormat="false" ht="15.75" hidden="false" customHeight="false" outlineLevel="0" collapsed="false">
      <c r="A450" s="138" t="str">
        <f aca="false">Scoring!BF456</f>
        <v/>
      </c>
      <c r="B450" s="138" t="str">
        <f aca="false">Scoring!BE456</f>
        <v/>
      </c>
      <c r="C450" s="138" t="n">
        <f aca="false">Scoring!C456</f>
        <v>0</v>
      </c>
      <c r="D450" s="139" t="str">
        <f aca="false">Scoring!BB456</f>
        <v/>
      </c>
      <c r="E450" s="138" t="str">
        <f aca="false">Scoring!AE456</f>
        <v/>
      </c>
      <c r="F450" s="138" t="n">
        <f aca="false">Scoring!B456</f>
        <v>0</v>
      </c>
      <c r="G450" s="138" t="n">
        <f aca="false">Scoring!D456</f>
        <v>0</v>
      </c>
      <c r="H450" s="138" t="str">
        <f aca="false">Scoring!BD456</f>
        <v/>
      </c>
      <c r="I450" s="140" t="str">
        <f aca="false">Scoring!BC456</f>
        <v/>
      </c>
    </row>
    <row r="451" customFormat="false" ht="15.75" hidden="false" customHeight="false" outlineLevel="0" collapsed="false">
      <c r="A451" s="138" t="str">
        <f aca="false">Scoring!BF457</f>
        <v/>
      </c>
      <c r="B451" s="138" t="str">
        <f aca="false">Scoring!BE457</f>
        <v/>
      </c>
      <c r="C451" s="138" t="n">
        <f aca="false">Scoring!C457</f>
        <v>0</v>
      </c>
      <c r="D451" s="139" t="str">
        <f aca="false">Scoring!BB457</f>
        <v/>
      </c>
      <c r="E451" s="138" t="str">
        <f aca="false">Scoring!AE457</f>
        <v/>
      </c>
      <c r="F451" s="138" t="n">
        <f aca="false">Scoring!B457</f>
        <v>0</v>
      </c>
      <c r="G451" s="138" t="n">
        <f aca="false">Scoring!D457</f>
        <v>0</v>
      </c>
      <c r="H451" s="138" t="str">
        <f aca="false">Scoring!BD457</f>
        <v/>
      </c>
      <c r="I451" s="140" t="str">
        <f aca="false">Scoring!BC457</f>
        <v/>
      </c>
    </row>
    <row r="452" customFormat="false" ht="15.75" hidden="false" customHeight="false" outlineLevel="0" collapsed="false">
      <c r="A452" s="138" t="str">
        <f aca="false">Scoring!BF458</f>
        <v/>
      </c>
      <c r="B452" s="138" t="str">
        <f aca="false">Scoring!BE458</f>
        <v/>
      </c>
      <c r="C452" s="138" t="n">
        <f aca="false">Scoring!C458</f>
        <v>0</v>
      </c>
      <c r="D452" s="139" t="str">
        <f aca="false">Scoring!BB458</f>
        <v/>
      </c>
      <c r="E452" s="138" t="str">
        <f aca="false">Scoring!AE458</f>
        <v/>
      </c>
      <c r="F452" s="138" t="n">
        <f aca="false">Scoring!B458</f>
        <v>0</v>
      </c>
      <c r="G452" s="138" t="n">
        <f aca="false">Scoring!D458</f>
        <v>0</v>
      </c>
      <c r="H452" s="138" t="str">
        <f aca="false">Scoring!BD458</f>
        <v/>
      </c>
      <c r="I452" s="140" t="str">
        <f aca="false">Scoring!BC458</f>
        <v/>
      </c>
    </row>
    <row r="453" customFormat="false" ht="15.75" hidden="false" customHeight="false" outlineLevel="0" collapsed="false">
      <c r="A453" s="138" t="str">
        <f aca="false">Scoring!BF459</f>
        <v/>
      </c>
      <c r="B453" s="138" t="str">
        <f aca="false">Scoring!BE459</f>
        <v/>
      </c>
      <c r="C453" s="138" t="n">
        <f aca="false">Scoring!C459</f>
        <v>0</v>
      </c>
      <c r="D453" s="139" t="str">
        <f aca="false">Scoring!BB459</f>
        <v/>
      </c>
      <c r="E453" s="138" t="str">
        <f aca="false">Scoring!AE459</f>
        <v/>
      </c>
      <c r="F453" s="138" t="n">
        <f aca="false">Scoring!B459</f>
        <v>0</v>
      </c>
      <c r="G453" s="138" t="n">
        <f aca="false">Scoring!D459</f>
        <v>0</v>
      </c>
      <c r="H453" s="138" t="str">
        <f aca="false">Scoring!BD459</f>
        <v/>
      </c>
      <c r="I453" s="140" t="str">
        <f aca="false">Scoring!BC459</f>
        <v/>
      </c>
    </row>
    <row r="454" customFormat="false" ht="15.75" hidden="false" customHeight="false" outlineLevel="0" collapsed="false">
      <c r="A454" s="138" t="str">
        <f aca="false">Scoring!BF460</f>
        <v/>
      </c>
      <c r="B454" s="138" t="str">
        <f aca="false">Scoring!BE460</f>
        <v/>
      </c>
      <c r="C454" s="138" t="n">
        <f aca="false">Scoring!C460</f>
        <v>0</v>
      </c>
      <c r="D454" s="139" t="str">
        <f aca="false">Scoring!BB460</f>
        <v/>
      </c>
      <c r="E454" s="138" t="str">
        <f aca="false">Scoring!AE460</f>
        <v/>
      </c>
      <c r="F454" s="138" t="n">
        <f aca="false">Scoring!B460</f>
        <v>0</v>
      </c>
      <c r="G454" s="138" t="n">
        <f aca="false">Scoring!D460</f>
        <v>0</v>
      </c>
      <c r="H454" s="138" t="str">
        <f aca="false">Scoring!BD460</f>
        <v/>
      </c>
      <c r="I454" s="140" t="str">
        <f aca="false">Scoring!BC460</f>
        <v/>
      </c>
    </row>
    <row r="455" customFormat="false" ht="15.75" hidden="false" customHeight="false" outlineLevel="0" collapsed="false">
      <c r="A455" s="138" t="str">
        <f aca="false">Scoring!BF461</f>
        <v/>
      </c>
      <c r="B455" s="138" t="str">
        <f aca="false">Scoring!BE461</f>
        <v/>
      </c>
      <c r="C455" s="138" t="n">
        <f aca="false">Scoring!C461</f>
        <v>0</v>
      </c>
      <c r="D455" s="139" t="str">
        <f aca="false">Scoring!BB461</f>
        <v/>
      </c>
      <c r="E455" s="138" t="str">
        <f aca="false">Scoring!AE461</f>
        <v/>
      </c>
      <c r="F455" s="138" t="n">
        <f aca="false">Scoring!B461</f>
        <v>0</v>
      </c>
      <c r="G455" s="138" t="n">
        <f aca="false">Scoring!D461</f>
        <v>0</v>
      </c>
      <c r="H455" s="138" t="str">
        <f aca="false">Scoring!BD461</f>
        <v/>
      </c>
      <c r="I455" s="140" t="str">
        <f aca="false">Scoring!BC461</f>
        <v/>
      </c>
    </row>
    <row r="456" customFormat="false" ht="15.75" hidden="false" customHeight="false" outlineLevel="0" collapsed="false">
      <c r="A456" s="138" t="str">
        <f aca="false">Scoring!BF462</f>
        <v/>
      </c>
      <c r="B456" s="138" t="str">
        <f aca="false">Scoring!BE462</f>
        <v/>
      </c>
      <c r="C456" s="138" t="n">
        <f aca="false">Scoring!C462</f>
        <v>0</v>
      </c>
      <c r="D456" s="139" t="str">
        <f aca="false">Scoring!BB462</f>
        <v/>
      </c>
      <c r="E456" s="138" t="str">
        <f aca="false">Scoring!AE462</f>
        <v/>
      </c>
      <c r="F456" s="138" t="n">
        <f aca="false">Scoring!B462</f>
        <v>0</v>
      </c>
      <c r="G456" s="138" t="n">
        <f aca="false">Scoring!D462</f>
        <v>0</v>
      </c>
      <c r="H456" s="138" t="str">
        <f aca="false">Scoring!BD462</f>
        <v/>
      </c>
      <c r="I456" s="140" t="str">
        <f aca="false">Scoring!BC462</f>
        <v/>
      </c>
    </row>
    <row r="457" customFormat="false" ht="15.75" hidden="false" customHeight="false" outlineLevel="0" collapsed="false">
      <c r="A457" s="138" t="str">
        <f aca="false">Scoring!BF463</f>
        <v/>
      </c>
      <c r="B457" s="138" t="str">
        <f aca="false">Scoring!BE463</f>
        <v/>
      </c>
      <c r="C457" s="138" t="n">
        <f aca="false">Scoring!C463</f>
        <v>0</v>
      </c>
      <c r="D457" s="139" t="str">
        <f aca="false">Scoring!BB463</f>
        <v/>
      </c>
      <c r="E457" s="138" t="str">
        <f aca="false">Scoring!AE463</f>
        <v/>
      </c>
      <c r="F457" s="138" t="n">
        <f aca="false">Scoring!B463</f>
        <v>0</v>
      </c>
      <c r="G457" s="138" t="n">
        <f aca="false">Scoring!D463</f>
        <v>0</v>
      </c>
      <c r="H457" s="138" t="str">
        <f aca="false">Scoring!BD463</f>
        <v/>
      </c>
      <c r="I457" s="140" t="str">
        <f aca="false">Scoring!BC463</f>
        <v/>
      </c>
    </row>
    <row r="458" customFormat="false" ht="15.75" hidden="false" customHeight="false" outlineLevel="0" collapsed="false">
      <c r="A458" s="138" t="str">
        <f aca="false">Scoring!BF464</f>
        <v/>
      </c>
      <c r="B458" s="138" t="str">
        <f aca="false">Scoring!BE464</f>
        <v/>
      </c>
      <c r="C458" s="138" t="n">
        <f aca="false">Scoring!C464</f>
        <v>0</v>
      </c>
      <c r="D458" s="139" t="str">
        <f aca="false">Scoring!BB464</f>
        <v/>
      </c>
      <c r="E458" s="138" t="str">
        <f aca="false">Scoring!AE464</f>
        <v/>
      </c>
      <c r="F458" s="138" t="n">
        <f aca="false">Scoring!B464</f>
        <v>0</v>
      </c>
      <c r="G458" s="138" t="n">
        <f aca="false">Scoring!D464</f>
        <v>0</v>
      </c>
      <c r="H458" s="138" t="str">
        <f aca="false">Scoring!BD464</f>
        <v/>
      </c>
      <c r="I458" s="140" t="str">
        <f aca="false">Scoring!BC464</f>
        <v/>
      </c>
    </row>
    <row r="459" customFormat="false" ht="15.75" hidden="false" customHeight="false" outlineLevel="0" collapsed="false">
      <c r="A459" s="138" t="str">
        <f aca="false">Scoring!BF465</f>
        <v/>
      </c>
      <c r="B459" s="138" t="str">
        <f aca="false">Scoring!BE465</f>
        <v/>
      </c>
      <c r="C459" s="138" t="n">
        <f aca="false">Scoring!C465</f>
        <v>0</v>
      </c>
      <c r="D459" s="139" t="str">
        <f aca="false">Scoring!BB465</f>
        <v/>
      </c>
      <c r="E459" s="138" t="str">
        <f aca="false">Scoring!AE465</f>
        <v/>
      </c>
      <c r="F459" s="138" t="n">
        <f aca="false">Scoring!B465</f>
        <v>0</v>
      </c>
      <c r="G459" s="138" t="n">
        <f aca="false">Scoring!D465</f>
        <v>0</v>
      </c>
      <c r="H459" s="138" t="str">
        <f aca="false">Scoring!BD465</f>
        <v/>
      </c>
      <c r="I459" s="140" t="str">
        <f aca="false">Scoring!BC465</f>
        <v/>
      </c>
    </row>
    <row r="460" customFormat="false" ht="15.75" hidden="false" customHeight="false" outlineLevel="0" collapsed="false">
      <c r="A460" s="138" t="str">
        <f aca="false">Scoring!BF466</f>
        <v/>
      </c>
      <c r="B460" s="138" t="str">
        <f aca="false">Scoring!BE466</f>
        <v/>
      </c>
      <c r="C460" s="138" t="n">
        <f aca="false">Scoring!C466</f>
        <v>0</v>
      </c>
      <c r="D460" s="139" t="str">
        <f aca="false">Scoring!BB466</f>
        <v/>
      </c>
      <c r="E460" s="138" t="str">
        <f aca="false">Scoring!AE466</f>
        <v/>
      </c>
      <c r="F460" s="138" t="n">
        <f aca="false">Scoring!B466</f>
        <v>0</v>
      </c>
      <c r="G460" s="138" t="n">
        <f aca="false">Scoring!D466</f>
        <v>0</v>
      </c>
      <c r="H460" s="138" t="str">
        <f aca="false">Scoring!BD466</f>
        <v/>
      </c>
      <c r="I460" s="140" t="str">
        <f aca="false">Scoring!BC466</f>
        <v/>
      </c>
    </row>
    <row r="461" customFormat="false" ht="15.75" hidden="false" customHeight="false" outlineLevel="0" collapsed="false">
      <c r="A461" s="138" t="str">
        <f aca="false">Scoring!BF467</f>
        <v/>
      </c>
      <c r="B461" s="138" t="str">
        <f aca="false">Scoring!BE467</f>
        <v/>
      </c>
      <c r="C461" s="138" t="n">
        <f aca="false">Scoring!C467</f>
        <v>0</v>
      </c>
      <c r="D461" s="139" t="str">
        <f aca="false">Scoring!BB467</f>
        <v/>
      </c>
      <c r="E461" s="138" t="str">
        <f aca="false">Scoring!AE467</f>
        <v/>
      </c>
      <c r="F461" s="138" t="n">
        <f aca="false">Scoring!B467</f>
        <v>0</v>
      </c>
      <c r="G461" s="138" t="n">
        <f aca="false">Scoring!D467</f>
        <v>0</v>
      </c>
      <c r="H461" s="138" t="str">
        <f aca="false">Scoring!BD467</f>
        <v/>
      </c>
      <c r="I461" s="140" t="str">
        <f aca="false">Scoring!BC467</f>
        <v/>
      </c>
    </row>
    <row r="462" customFormat="false" ht="15.75" hidden="false" customHeight="false" outlineLevel="0" collapsed="false">
      <c r="A462" s="138" t="str">
        <f aca="false">Scoring!BF468</f>
        <v/>
      </c>
      <c r="B462" s="138" t="str">
        <f aca="false">Scoring!BE468</f>
        <v/>
      </c>
      <c r="C462" s="138" t="n">
        <f aca="false">Scoring!C468</f>
        <v>0</v>
      </c>
      <c r="D462" s="139" t="str">
        <f aca="false">Scoring!BB468</f>
        <v/>
      </c>
      <c r="E462" s="138" t="str">
        <f aca="false">Scoring!AE468</f>
        <v/>
      </c>
      <c r="F462" s="138" t="n">
        <f aca="false">Scoring!B468</f>
        <v>0</v>
      </c>
      <c r="G462" s="138" t="n">
        <f aca="false">Scoring!D468</f>
        <v>0</v>
      </c>
      <c r="H462" s="138" t="str">
        <f aca="false">Scoring!BD468</f>
        <v/>
      </c>
      <c r="I462" s="140" t="str">
        <f aca="false">Scoring!BC468</f>
        <v/>
      </c>
    </row>
    <row r="463" customFormat="false" ht="15.75" hidden="false" customHeight="false" outlineLevel="0" collapsed="false">
      <c r="A463" s="138" t="str">
        <f aca="false">Scoring!BF469</f>
        <v/>
      </c>
      <c r="B463" s="138" t="str">
        <f aca="false">Scoring!BE469</f>
        <v/>
      </c>
      <c r="C463" s="138" t="n">
        <f aca="false">Scoring!C469</f>
        <v>0</v>
      </c>
      <c r="D463" s="139" t="str">
        <f aca="false">Scoring!BB469</f>
        <v/>
      </c>
      <c r="E463" s="138" t="str">
        <f aca="false">Scoring!AE469</f>
        <v/>
      </c>
      <c r="F463" s="138" t="n">
        <f aca="false">Scoring!B469</f>
        <v>0</v>
      </c>
      <c r="G463" s="138" t="n">
        <f aca="false">Scoring!D469</f>
        <v>0</v>
      </c>
      <c r="H463" s="138" t="str">
        <f aca="false">Scoring!BD469</f>
        <v/>
      </c>
      <c r="I463" s="140" t="str">
        <f aca="false">Scoring!BC469</f>
        <v/>
      </c>
    </row>
    <row r="464" customFormat="false" ht="15.75" hidden="false" customHeight="false" outlineLevel="0" collapsed="false">
      <c r="A464" s="138" t="str">
        <f aca="false">Scoring!BF470</f>
        <v/>
      </c>
      <c r="B464" s="138" t="str">
        <f aca="false">Scoring!BE470</f>
        <v/>
      </c>
      <c r="C464" s="138" t="n">
        <f aca="false">Scoring!C470</f>
        <v>0</v>
      </c>
      <c r="D464" s="139" t="str">
        <f aca="false">Scoring!BB470</f>
        <v/>
      </c>
      <c r="E464" s="138" t="str">
        <f aca="false">Scoring!AE470</f>
        <v/>
      </c>
      <c r="F464" s="138" t="n">
        <f aca="false">Scoring!B470</f>
        <v>0</v>
      </c>
      <c r="G464" s="138" t="n">
        <f aca="false">Scoring!D470</f>
        <v>0</v>
      </c>
      <c r="H464" s="138" t="str">
        <f aca="false">Scoring!BD470</f>
        <v/>
      </c>
      <c r="I464" s="140" t="str">
        <f aca="false">Scoring!BC470</f>
        <v/>
      </c>
    </row>
    <row r="465" customFormat="false" ht="15.75" hidden="false" customHeight="false" outlineLevel="0" collapsed="false">
      <c r="A465" s="138" t="str">
        <f aca="false">Scoring!BF471</f>
        <v/>
      </c>
      <c r="B465" s="138" t="str">
        <f aca="false">Scoring!BE471</f>
        <v/>
      </c>
      <c r="C465" s="138" t="n">
        <f aca="false">Scoring!C471</f>
        <v>0</v>
      </c>
      <c r="D465" s="139" t="str">
        <f aca="false">Scoring!BB471</f>
        <v/>
      </c>
      <c r="E465" s="138" t="str">
        <f aca="false">Scoring!AE471</f>
        <v/>
      </c>
      <c r="F465" s="138" t="n">
        <f aca="false">Scoring!B471</f>
        <v>0</v>
      </c>
      <c r="G465" s="138" t="n">
        <f aca="false">Scoring!D471</f>
        <v>0</v>
      </c>
      <c r="H465" s="138" t="str">
        <f aca="false">Scoring!BD471</f>
        <v/>
      </c>
      <c r="I465" s="140" t="str">
        <f aca="false">Scoring!BC471</f>
        <v/>
      </c>
    </row>
    <row r="466" customFormat="false" ht="15.75" hidden="false" customHeight="false" outlineLevel="0" collapsed="false">
      <c r="A466" s="138" t="str">
        <f aca="false">Scoring!BF472</f>
        <v/>
      </c>
      <c r="B466" s="138" t="str">
        <f aca="false">Scoring!BE472</f>
        <v/>
      </c>
      <c r="C466" s="138" t="n">
        <f aca="false">Scoring!C472</f>
        <v>0</v>
      </c>
      <c r="D466" s="139" t="str">
        <f aca="false">Scoring!BB472</f>
        <v/>
      </c>
      <c r="E466" s="138" t="str">
        <f aca="false">Scoring!AE472</f>
        <v/>
      </c>
      <c r="F466" s="138" t="n">
        <f aca="false">Scoring!B472</f>
        <v>0</v>
      </c>
      <c r="G466" s="138" t="n">
        <f aca="false">Scoring!D472</f>
        <v>0</v>
      </c>
      <c r="H466" s="138" t="str">
        <f aca="false">Scoring!BD472</f>
        <v/>
      </c>
      <c r="I466" s="140" t="str">
        <f aca="false">Scoring!BC472</f>
        <v/>
      </c>
    </row>
    <row r="467" customFormat="false" ht="15.75" hidden="false" customHeight="false" outlineLevel="0" collapsed="false">
      <c r="A467" s="138" t="str">
        <f aca="false">Scoring!BF473</f>
        <v/>
      </c>
      <c r="B467" s="138" t="str">
        <f aca="false">Scoring!BE473</f>
        <v/>
      </c>
      <c r="C467" s="138" t="n">
        <f aca="false">Scoring!C473</f>
        <v>0</v>
      </c>
      <c r="D467" s="139" t="str">
        <f aca="false">Scoring!BB473</f>
        <v/>
      </c>
      <c r="E467" s="138" t="str">
        <f aca="false">Scoring!AE473</f>
        <v/>
      </c>
      <c r="F467" s="138" t="n">
        <f aca="false">Scoring!B473</f>
        <v>0</v>
      </c>
      <c r="G467" s="138" t="n">
        <f aca="false">Scoring!D473</f>
        <v>0</v>
      </c>
      <c r="H467" s="138" t="str">
        <f aca="false">Scoring!BD473</f>
        <v/>
      </c>
      <c r="I467" s="140" t="str">
        <f aca="false">Scoring!BC473</f>
        <v/>
      </c>
    </row>
    <row r="468" customFormat="false" ht="15.75" hidden="false" customHeight="false" outlineLevel="0" collapsed="false">
      <c r="A468" s="138" t="str">
        <f aca="false">Scoring!BF474</f>
        <v/>
      </c>
      <c r="B468" s="138" t="str">
        <f aca="false">Scoring!BE474</f>
        <v/>
      </c>
      <c r="C468" s="138" t="n">
        <f aca="false">Scoring!C474</f>
        <v>0</v>
      </c>
      <c r="D468" s="139" t="str">
        <f aca="false">Scoring!BB474</f>
        <v/>
      </c>
      <c r="E468" s="138" t="str">
        <f aca="false">Scoring!AE474</f>
        <v/>
      </c>
      <c r="F468" s="138" t="n">
        <f aca="false">Scoring!B474</f>
        <v>0</v>
      </c>
      <c r="G468" s="138" t="n">
        <f aca="false">Scoring!D474</f>
        <v>0</v>
      </c>
      <c r="H468" s="138" t="str">
        <f aca="false">Scoring!BD474</f>
        <v/>
      </c>
      <c r="I468" s="140" t="str">
        <f aca="false">Scoring!BC474</f>
        <v/>
      </c>
    </row>
    <row r="469" customFormat="false" ht="15.75" hidden="false" customHeight="false" outlineLevel="0" collapsed="false">
      <c r="A469" s="138" t="str">
        <f aca="false">Scoring!BF475</f>
        <v/>
      </c>
      <c r="B469" s="138" t="str">
        <f aca="false">Scoring!BE475</f>
        <v/>
      </c>
      <c r="C469" s="138" t="n">
        <f aca="false">Scoring!C475</f>
        <v>0</v>
      </c>
      <c r="D469" s="139" t="str">
        <f aca="false">Scoring!BB475</f>
        <v/>
      </c>
      <c r="E469" s="138" t="str">
        <f aca="false">Scoring!AE475</f>
        <v/>
      </c>
      <c r="F469" s="138" t="n">
        <f aca="false">Scoring!B475</f>
        <v>0</v>
      </c>
      <c r="G469" s="138" t="n">
        <f aca="false">Scoring!D475</f>
        <v>0</v>
      </c>
      <c r="H469" s="138" t="str">
        <f aca="false">Scoring!BD475</f>
        <v/>
      </c>
      <c r="I469" s="140" t="str">
        <f aca="false">Scoring!BC475</f>
        <v/>
      </c>
    </row>
    <row r="470" customFormat="false" ht="15.75" hidden="false" customHeight="false" outlineLevel="0" collapsed="false">
      <c r="A470" s="138" t="str">
        <f aca="false">Scoring!BF476</f>
        <v/>
      </c>
      <c r="B470" s="138" t="str">
        <f aca="false">Scoring!BE476</f>
        <v/>
      </c>
      <c r="C470" s="138" t="n">
        <f aca="false">Scoring!C476</f>
        <v>0</v>
      </c>
      <c r="D470" s="139" t="str">
        <f aca="false">Scoring!BB476</f>
        <v/>
      </c>
      <c r="E470" s="138" t="str">
        <f aca="false">Scoring!AE476</f>
        <v/>
      </c>
      <c r="F470" s="138" t="n">
        <f aca="false">Scoring!B476</f>
        <v>0</v>
      </c>
      <c r="G470" s="138" t="n">
        <f aca="false">Scoring!D476</f>
        <v>0</v>
      </c>
      <c r="H470" s="138" t="str">
        <f aca="false">Scoring!BD476</f>
        <v/>
      </c>
      <c r="I470" s="140" t="str">
        <f aca="false">Scoring!BC476</f>
        <v/>
      </c>
    </row>
    <row r="471" customFormat="false" ht="15.75" hidden="false" customHeight="false" outlineLevel="0" collapsed="false">
      <c r="A471" s="138" t="str">
        <f aca="false">Scoring!BF477</f>
        <v/>
      </c>
      <c r="B471" s="138" t="str">
        <f aca="false">Scoring!BE477</f>
        <v/>
      </c>
      <c r="C471" s="138" t="n">
        <f aca="false">Scoring!C477</f>
        <v>0</v>
      </c>
      <c r="D471" s="139" t="str">
        <f aca="false">Scoring!BB477</f>
        <v/>
      </c>
      <c r="E471" s="138" t="str">
        <f aca="false">Scoring!AE477</f>
        <v/>
      </c>
      <c r="F471" s="138" t="n">
        <f aca="false">Scoring!B477</f>
        <v>0</v>
      </c>
      <c r="G471" s="138" t="n">
        <f aca="false">Scoring!D477</f>
        <v>0</v>
      </c>
      <c r="H471" s="138" t="str">
        <f aca="false">Scoring!BD477</f>
        <v/>
      </c>
      <c r="I471" s="140" t="str">
        <f aca="false">Scoring!BC477</f>
        <v/>
      </c>
    </row>
    <row r="472" customFormat="false" ht="15.75" hidden="false" customHeight="false" outlineLevel="0" collapsed="false">
      <c r="A472" s="138" t="str">
        <f aca="false">Scoring!BF478</f>
        <v/>
      </c>
      <c r="B472" s="138" t="str">
        <f aca="false">Scoring!BE478</f>
        <v/>
      </c>
      <c r="C472" s="138" t="n">
        <f aca="false">Scoring!C478</f>
        <v>0</v>
      </c>
      <c r="D472" s="139" t="str">
        <f aca="false">Scoring!BB478</f>
        <v/>
      </c>
      <c r="E472" s="138" t="str">
        <f aca="false">Scoring!AE478</f>
        <v/>
      </c>
      <c r="F472" s="138" t="n">
        <f aca="false">Scoring!B478</f>
        <v>0</v>
      </c>
      <c r="G472" s="138" t="n">
        <f aca="false">Scoring!D478</f>
        <v>0</v>
      </c>
      <c r="H472" s="138" t="str">
        <f aca="false">Scoring!BD478</f>
        <v/>
      </c>
      <c r="I472" s="140" t="str">
        <f aca="false">Scoring!BC478</f>
        <v/>
      </c>
    </row>
    <row r="473" customFormat="false" ht="15.75" hidden="false" customHeight="false" outlineLevel="0" collapsed="false">
      <c r="A473" s="138" t="str">
        <f aca="false">Scoring!BF479</f>
        <v/>
      </c>
      <c r="B473" s="138" t="str">
        <f aca="false">Scoring!BE479</f>
        <v/>
      </c>
      <c r="C473" s="138" t="n">
        <f aca="false">Scoring!C479</f>
        <v>0</v>
      </c>
      <c r="D473" s="139" t="str">
        <f aca="false">Scoring!BB479</f>
        <v/>
      </c>
      <c r="E473" s="138" t="str">
        <f aca="false">Scoring!AE479</f>
        <v/>
      </c>
      <c r="F473" s="138" t="n">
        <f aca="false">Scoring!B479</f>
        <v>0</v>
      </c>
      <c r="G473" s="138" t="n">
        <f aca="false">Scoring!D479</f>
        <v>0</v>
      </c>
      <c r="H473" s="138" t="str">
        <f aca="false">Scoring!BD479</f>
        <v/>
      </c>
      <c r="I473" s="140" t="str">
        <f aca="false">Scoring!BC479</f>
        <v/>
      </c>
    </row>
    <row r="474" customFormat="false" ht="15.75" hidden="false" customHeight="false" outlineLevel="0" collapsed="false">
      <c r="A474" s="138" t="str">
        <f aca="false">Scoring!BF480</f>
        <v/>
      </c>
      <c r="B474" s="138" t="str">
        <f aca="false">Scoring!BE480</f>
        <v/>
      </c>
      <c r="C474" s="138" t="n">
        <f aca="false">Scoring!C480</f>
        <v>0</v>
      </c>
      <c r="D474" s="139" t="str">
        <f aca="false">Scoring!BB480</f>
        <v/>
      </c>
      <c r="E474" s="138" t="str">
        <f aca="false">Scoring!AE480</f>
        <v/>
      </c>
      <c r="F474" s="138" t="n">
        <f aca="false">Scoring!B480</f>
        <v>0</v>
      </c>
      <c r="G474" s="138" t="n">
        <f aca="false">Scoring!D480</f>
        <v>0</v>
      </c>
      <c r="H474" s="138" t="str">
        <f aca="false">Scoring!BD480</f>
        <v/>
      </c>
      <c r="I474" s="140" t="str">
        <f aca="false">Scoring!BC480</f>
        <v/>
      </c>
    </row>
    <row r="475" customFormat="false" ht="15.75" hidden="false" customHeight="false" outlineLevel="0" collapsed="false">
      <c r="A475" s="138" t="str">
        <f aca="false">Scoring!BF481</f>
        <v/>
      </c>
      <c r="B475" s="138" t="str">
        <f aca="false">Scoring!BE481</f>
        <v/>
      </c>
      <c r="C475" s="138" t="n">
        <f aca="false">Scoring!C481</f>
        <v>0</v>
      </c>
      <c r="D475" s="139" t="str">
        <f aca="false">Scoring!BB481</f>
        <v/>
      </c>
      <c r="E475" s="138" t="str">
        <f aca="false">Scoring!AE481</f>
        <v/>
      </c>
      <c r="F475" s="138" t="n">
        <f aca="false">Scoring!B481</f>
        <v>0</v>
      </c>
      <c r="G475" s="138" t="n">
        <f aca="false">Scoring!D481</f>
        <v>0</v>
      </c>
      <c r="H475" s="138" t="str">
        <f aca="false">Scoring!BD481</f>
        <v/>
      </c>
      <c r="I475" s="140" t="str">
        <f aca="false">Scoring!BC481</f>
        <v/>
      </c>
    </row>
    <row r="476" customFormat="false" ht="15.75" hidden="false" customHeight="false" outlineLevel="0" collapsed="false">
      <c r="A476" s="138" t="str">
        <f aca="false">Scoring!BF482</f>
        <v/>
      </c>
      <c r="B476" s="138" t="str">
        <f aca="false">Scoring!BE482</f>
        <v/>
      </c>
      <c r="C476" s="138" t="n">
        <f aca="false">Scoring!C482</f>
        <v>0</v>
      </c>
      <c r="D476" s="139" t="str">
        <f aca="false">Scoring!BB482</f>
        <v/>
      </c>
      <c r="E476" s="138" t="str">
        <f aca="false">Scoring!AE482</f>
        <v/>
      </c>
      <c r="F476" s="138" t="n">
        <f aca="false">Scoring!B482</f>
        <v>0</v>
      </c>
      <c r="G476" s="138" t="n">
        <f aca="false">Scoring!D482</f>
        <v>0</v>
      </c>
      <c r="H476" s="138" t="str">
        <f aca="false">Scoring!BD482</f>
        <v/>
      </c>
      <c r="I476" s="140" t="str">
        <f aca="false">Scoring!BC482</f>
        <v/>
      </c>
    </row>
    <row r="477" customFormat="false" ht="15.75" hidden="false" customHeight="false" outlineLevel="0" collapsed="false">
      <c r="A477" s="138" t="str">
        <f aca="false">Scoring!BF483</f>
        <v/>
      </c>
      <c r="B477" s="138" t="str">
        <f aca="false">Scoring!BE483</f>
        <v/>
      </c>
      <c r="C477" s="138" t="n">
        <f aca="false">Scoring!C483</f>
        <v>0</v>
      </c>
      <c r="D477" s="139" t="str">
        <f aca="false">Scoring!BB483</f>
        <v/>
      </c>
      <c r="E477" s="138" t="str">
        <f aca="false">Scoring!AE483</f>
        <v/>
      </c>
      <c r="F477" s="138" t="n">
        <f aca="false">Scoring!B483</f>
        <v>0</v>
      </c>
      <c r="G477" s="138" t="n">
        <f aca="false">Scoring!D483</f>
        <v>0</v>
      </c>
      <c r="H477" s="138" t="str">
        <f aca="false">Scoring!BD483</f>
        <v/>
      </c>
      <c r="I477" s="140" t="str">
        <f aca="false">Scoring!BC483</f>
        <v/>
      </c>
    </row>
    <row r="478" customFormat="false" ht="15.75" hidden="false" customHeight="false" outlineLevel="0" collapsed="false">
      <c r="A478" s="138" t="str">
        <f aca="false">Scoring!BF484</f>
        <v/>
      </c>
      <c r="B478" s="138" t="str">
        <f aca="false">Scoring!BE484</f>
        <v/>
      </c>
      <c r="C478" s="138" t="n">
        <f aca="false">Scoring!C484</f>
        <v>0</v>
      </c>
      <c r="D478" s="139" t="str">
        <f aca="false">Scoring!BB484</f>
        <v/>
      </c>
      <c r="E478" s="138" t="str">
        <f aca="false">Scoring!AE484</f>
        <v/>
      </c>
      <c r="F478" s="138" t="n">
        <f aca="false">Scoring!B484</f>
        <v>0</v>
      </c>
      <c r="G478" s="138" t="n">
        <f aca="false">Scoring!D484</f>
        <v>0</v>
      </c>
      <c r="H478" s="138" t="str">
        <f aca="false">Scoring!BD484</f>
        <v/>
      </c>
      <c r="I478" s="140" t="str">
        <f aca="false">Scoring!BC484</f>
        <v/>
      </c>
    </row>
    <row r="479" customFormat="false" ht="15.75" hidden="false" customHeight="false" outlineLevel="0" collapsed="false">
      <c r="A479" s="138" t="str">
        <f aca="false">Scoring!BF485</f>
        <v/>
      </c>
      <c r="B479" s="138" t="str">
        <f aca="false">Scoring!BE485</f>
        <v/>
      </c>
      <c r="C479" s="138" t="n">
        <f aca="false">Scoring!C485</f>
        <v>0</v>
      </c>
      <c r="D479" s="139" t="str">
        <f aca="false">Scoring!BB485</f>
        <v/>
      </c>
      <c r="E479" s="138" t="str">
        <f aca="false">Scoring!AE485</f>
        <v/>
      </c>
      <c r="F479" s="138" t="n">
        <f aca="false">Scoring!B485</f>
        <v>0</v>
      </c>
      <c r="G479" s="138" t="n">
        <f aca="false">Scoring!D485</f>
        <v>0</v>
      </c>
      <c r="H479" s="138" t="str">
        <f aca="false">Scoring!BD485</f>
        <v/>
      </c>
      <c r="I479" s="140" t="str">
        <f aca="false">Scoring!BC485</f>
        <v/>
      </c>
    </row>
    <row r="480" customFormat="false" ht="15.75" hidden="false" customHeight="false" outlineLevel="0" collapsed="false">
      <c r="A480" s="138" t="str">
        <f aca="false">Scoring!BF486</f>
        <v/>
      </c>
      <c r="B480" s="138" t="str">
        <f aca="false">Scoring!BE486</f>
        <v/>
      </c>
      <c r="C480" s="138" t="n">
        <f aca="false">Scoring!C486</f>
        <v>0</v>
      </c>
      <c r="D480" s="139" t="str">
        <f aca="false">Scoring!BB486</f>
        <v/>
      </c>
      <c r="E480" s="138" t="str">
        <f aca="false">Scoring!AE486</f>
        <v/>
      </c>
      <c r="F480" s="138" t="n">
        <f aca="false">Scoring!B486</f>
        <v>0</v>
      </c>
      <c r="G480" s="138" t="n">
        <f aca="false">Scoring!D486</f>
        <v>0</v>
      </c>
      <c r="H480" s="138" t="str">
        <f aca="false">Scoring!BD486</f>
        <v/>
      </c>
      <c r="I480" s="140" t="str">
        <f aca="false">Scoring!BC486</f>
        <v/>
      </c>
    </row>
    <row r="481" customFormat="false" ht="15.75" hidden="false" customHeight="false" outlineLevel="0" collapsed="false">
      <c r="A481" s="138" t="str">
        <f aca="false">Scoring!BF487</f>
        <v/>
      </c>
      <c r="B481" s="138" t="str">
        <f aca="false">Scoring!BE487</f>
        <v/>
      </c>
      <c r="C481" s="138" t="n">
        <f aca="false">Scoring!C487</f>
        <v>0</v>
      </c>
      <c r="D481" s="139" t="str">
        <f aca="false">Scoring!BB487</f>
        <v/>
      </c>
      <c r="E481" s="138" t="str">
        <f aca="false">Scoring!AE487</f>
        <v/>
      </c>
      <c r="F481" s="138" t="n">
        <f aca="false">Scoring!B487</f>
        <v>0</v>
      </c>
      <c r="G481" s="138" t="n">
        <f aca="false">Scoring!D487</f>
        <v>0</v>
      </c>
      <c r="H481" s="138" t="str">
        <f aca="false">Scoring!BD487</f>
        <v/>
      </c>
      <c r="I481" s="140" t="str">
        <f aca="false">Scoring!BC487</f>
        <v/>
      </c>
    </row>
    <row r="482" customFormat="false" ht="15.75" hidden="false" customHeight="false" outlineLevel="0" collapsed="false">
      <c r="A482" s="138" t="str">
        <f aca="false">Scoring!BF488</f>
        <v/>
      </c>
      <c r="B482" s="138" t="str">
        <f aca="false">Scoring!BE488</f>
        <v/>
      </c>
      <c r="C482" s="138" t="n">
        <f aca="false">Scoring!C488</f>
        <v>0</v>
      </c>
      <c r="D482" s="139" t="str">
        <f aca="false">Scoring!BB488</f>
        <v/>
      </c>
      <c r="E482" s="138" t="str">
        <f aca="false">Scoring!AE488</f>
        <v/>
      </c>
      <c r="F482" s="138" t="n">
        <f aca="false">Scoring!B488</f>
        <v>0</v>
      </c>
      <c r="G482" s="138" t="n">
        <f aca="false">Scoring!D488</f>
        <v>0</v>
      </c>
      <c r="H482" s="138" t="str">
        <f aca="false">Scoring!BD488</f>
        <v/>
      </c>
      <c r="I482" s="140" t="str">
        <f aca="false">Scoring!BC488</f>
        <v/>
      </c>
    </row>
    <row r="483" customFormat="false" ht="15.75" hidden="false" customHeight="false" outlineLevel="0" collapsed="false">
      <c r="A483" s="138" t="str">
        <f aca="false">Scoring!BF489</f>
        <v/>
      </c>
      <c r="B483" s="138" t="str">
        <f aca="false">Scoring!BE489</f>
        <v/>
      </c>
      <c r="C483" s="138" t="n">
        <f aca="false">Scoring!C489</f>
        <v>0</v>
      </c>
      <c r="D483" s="139" t="str">
        <f aca="false">Scoring!BB489</f>
        <v/>
      </c>
      <c r="E483" s="138" t="str">
        <f aca="false">Scoring!AE489</f>
        <v/>
      </c>
      <c r="F483" s="138" t="n">
        <f aca="false">Scoring!B489</f>
        <v>0</v>
      </c>
      <c r="G483" s="138" t="n">
        <f aca="false">Scoring!D489</f>
        <v>0</v>
      </c>
      <c r="H483" s="138" t="str">
        <f aca="false">Scoring!BD489</f>
        <v/>
      </c>
      <c r="I483" s="140" t="str">
        <f aca="false">Scoring!BC489</f>
        <v/>
      </c>
    </row>
    <row r="484" customFormat="false" ht="15.75" hidden="false" customHeight="false" outlineLevel="0" collapsed="false">
      <c r="A484" s="138" t="str">
        <f aca="false">Scoring!BF490</f>
        <v/>
      </c>
      <c r="B484" s="138" t="str">
        <f aca="false">Scoring!BE490</f>
        <v/>
      </c>
      <c r="C484" s="138" t="n">
        <f aca="false">Scoring!C490</f>
        <v>0</v>
      </c>
      <c r="D484" s="139" t="str">
        <f aca="false">Scoring!BB490</f>
        <v/>
      </c>
      <c r="E484" s="138" t="str">
        <f aca="false">Scoring!AE490</f>
        <v/>
      </c>
      <c r="F484" s="138" t="n">
        <f aca="false">Scoring!B490</f>
        <v>0</v>
      </c>
      <c r="G484" s="138" t="n">
        <f aca="false">Scoring!D490</f>
        <v>0</v>
      </c>
      <c r="H484" s="138" t="str">
        <f aca="false">Scoring!BD490</f>
        <v/>
      </c>
      <c r="I484" s="140" t="str">
        <f aca="false">Scoring!BC490</f>
        <v/>
      </c>
    </row>
    <row r="485" customFormat="false" ht="15.75" hidden="false" customHeight="false" outlineLevel="0" collapsed="false">
      <c r="A485" s="138" t="str">
        <f aca="false">Scoring!BF491</f>
        <v/>
      </c>
      <c r="B485" s="138" t="str">
        <f aca="false">Scoring!BE491</f>
        <v/>
      </c>
      <c r="C485" s="138" t="n">
        <f aca="false">Scoring!C491</f>
        <v>0</v>
      </c>
      <c r="D485" s="139" t="str">
        <f aca="false">Scoring!BB491</f>
        <v/>
      </c>
      <c r="E485" s="138" t="str">
        <f aca="false">Scoring!AE491</f>
        <v/>
      </c>
      <c r="F485" s="138" t="n">
        <f aca="false">Scoring!B491</f>
        <v>0</v>
      </c>
      <c r="G485" s="138" t="n">
        <f aca="false">Scoring!D491</f>
        <v>0</v>
      </c>
      <c r="H485" s="138" t="str">
        <f aca="false">Scoring!BD491</f>
        <v/>
      </c>
      <c r="I485" s="140" t="str">
        <f aca="false">Scoring!BC491</f>
        <v/>
      </c>
    </row>
    <row r="486" customFormat="false" ht="15.75" hidden="false" customHeight="false" outlineLevel="0" collapsed="false">
      <c r="A486" s="138" t="str">
        <f aca="false">Scoring!BF492</f>
        <v/>
      </c>
      <c r="B486" s="138" t="str">
        <f aca="false">Scoring!BE492</f>
        <v/>
      </c>
      <c r="C486" s="138" t="n">
        <f aca="false">Scoring!C492</f>
        <v>0</v>
      </c>
      <c r="D486" s="139" t="str">
        <f aca="false">Scoring!BB492</f>
        <v/>
      </c>
      <c r="E486" s="138" t="str">
        <f aca="false">Scoring!AE492</f>
        <v/>
      </c>
      <c r="F486" s="138" t="n">
        <f aca="false">Scoring!B492</f>
        <v>0</v>
      </c>
      <c r="G486" s="138" t="n">
        <f aca="false">Scoring!D492</f>
        <v>0</v>
      </c>
      <c r="H486" s="138" t="str">
        <f aca="false">Scoring!BD492</f>
        <v/>
      </c>
      <c r="I486" s="140" t="str">
        <f aca="false">Scoring!BC492</f>
        <v/>
      </c>
    </row>
    <row r="487" customFormat="false" ht="15.75" hidden="false" customHeight="false" outlineLevel="0" collapsed="false">
      <c r="A487" s="138" t="str">
        <f aca="false">Scoring!BF493</f>
        <v/>
      </c>
      <c r="B487" s="138" t="str">
        <f aca="false">Scoring!BE493</f>
        <v/>
      </c>
      <c r="C487" s="138" t="n">
        <f aca="false">Scoring!C493</f>
        <v>0</v>
      </c>
      <c r="D487" s="139" t="str">
        <f aca="false">Scoring!BB493</f>
        <v/>
      </c>
      <c r="E487" s="138" t="str">
        <f aca="false">Scoring!AE493</f>
        <v/>
      </c>
      <c r="F487" s="138" t="n">
        <f aca="false">Scoring!B493</f>
        <v>0</v>
      </c>
      <c r="G487" s="138" t="n">
        <f aca="false">Scoring!D493</f>
        <v>0</v>
      </c>
      <c r="H487" s="138" t="str">
        <f aca="false">Scoring!BD493</f>
        <v/>
      </c>
      <c r="I487" s="140" t="str">
        <f aca="false">Scoring!BC493</f>
        <v/>
      </c>
    </row>
    <row r="488" customFormat="false" ht="15.75" hidden="false" customHeight="false" outlineLevel="0" collapsed="false">
      <c r="A488" s="138" t="str">
        <f aca="false">Scoring!BF494</f>
        <v/>
      </c>
      <c r="B488" s="138" t="str">
        <f aca="false">Scoring!BE494</f>
        <v/>
      </c>
      <c r="C488" s="138" t="n">
        <f aca="false">Scoring!C494</f>
        <v>0</v>
      </c>
      <c r="D488" s="139" t="str">
        <f aca="false">Scoring!BB494</f>
        <v/>
      </c>
      <c r="E488" s="138" t="str">
        <f aca="false">Scoring!AE494</f>
        <v/>
      </c>
      <c r="F488" s="138" t="n">
        <f aca="false">Scoring!B494</f>
        <v>0</v>
      </c>
      <c r="G488" s="138" t="n">
        <f aca="false">Scoring!D494</f>
        <v>0</v>
      </c>
      <c r="H488" s="138" t="str">
        <f aca="false">Scoring!BD494</f>
        <v/>
      </c>
      <c r="I488" s="140" t="str">
        <f aca="false">Scoring!BC494</f>
        <v/>
      </c>
    </row>
    <row r="489" customFormat="false" ht="15.75" hidden="false" customHeight="false" outlineLevel="0" collapsed="false">
      <c r="A489" s="138" t="str">
        <f aca="false">Scoring!BF495</f>
        <v/>
      </c>
      <c r="B489" s="138" t="str">
        <f aca="false">Scoring!BE495</f>
        <v/>
      </c>
      <c r="C489" s="138" t="n">
        <f aca="false">Scoring!C495</f>
        <v>0</v>
      </c>
      <c r="D489" s="139" t="str">
        <f aca="false">Scoring!BB495</f>
        <v/>
      </c>
      <c r="E489" s="138" t="str">
        <f aca="false">Scoring!AE495</f>
        <v/>
      </c>
      <c r="F489" s="138" t="n">
        <f aca="false">Scoring!B495</f>
        <v>0</v>
      </c>
      <c r="G489" s="138" t="n">
        <f aca="false">Scoring!D495</f>
        <v>0</v>
      </c>
      <c r="H489" s="138" t="str">
        <f aca="false">Scoring!BD495</f>
        <v/>
      </c>
      <c r="I489" s="140" t="str">
        <f aca="false">Scoring!BC495</f>
        <v/>
      </c>
    </row>
    <row r="490" customFormat="false" ht="15.75" hidden="false" customHeight="false" outlineLevel="0" collapsed="false">
      <c r="A490" s="138" t="str">
        <f aca="false">Scoring!BF496</f>
        <v/>
      </c>
      <c r="B490" s="138" t="str">
        <f aca="false">Scoring!BE496</f>
        <v/>
      </c>
      <c r="C490" s="138" t="n">
        <f aca="false">Scoring!C496</f>
        <v>0</v>
      </c>
      <c r="D490" s="139" t="str">
        <f aca="false">Scoring!BB496</f>
        <v/>
      </c>
      <c r="E490" s="138" t="str">
        <f aca="false">Scoring!AE496</f>
        <v/>
      </c>
      <c r="F490" s="138" t="n">
        <f aca="false">Scoring!B496</f>
        <v>0</v>
      </c>
      <c r="G490" s="138" t="n">
        <f aca="false">Scoring!D496</f>
        <v>0</v>
      </c>
      <c r="H490" s="138" t="str">
        <f aca="false">Scoring!BD496</f>
        <v/>
      </c>
      <c r="I490" s="140" t="str">
        <f aca="false">Scoring!BC496</f>
        <v/>
      </c>
    </row>
    <row r="491" customFormat="false" ht="15.75" hidden="false" customHeight="false" outlineLevel="0" collapsed="false">
      <c r="A491" s="138" t="str">
        <f aca="false">Scoring!BF497</f>
        <v/>
      </c>
      <c r="B491" s="138" t="str">
        <f aca="false">Scoring!BE497</f>
        <v/>
      </c>
      <c r="C491" s="138" t="n">
        <f aca="false">Scoring!C497</f>
        <v>0</v>
      </c>
      <c r="D491" s="139" t="str">
        <f aca="false">Scoring!BB497</f>
        <v/>
      </c>
      <c r="E491" s="138" t="str">
        <f aca="false">Scoring!AE497</f>
        <v/>
      </c>
      <c r="F491" s="138" t="n">
        <f aca="false">Scoring!B497</f>
        <v>0</v>
      </c>
      <c r="G491" s="138" t="n">
        <f aca="false">Scoring!D497</f>
        <v>0</v>
      </c>
      <c r="H491" s="138" t="str">
        <f aca="false">Scoring!BD497</f>
        <v/>
      </c>
      <c r="I491" s="140" t="str">
        <f aca="false">Scoring!BC497</f>
        <v/>
      </c>
    </row>
    <row r="492" customFormat="false" ht="15.75" hidden="false" customHeight="false" outlineLevel="0" collapsed="false">
      <c r="A492" s="138" t="str">
        <f aca="false">Scoring!BF498</f>
        <v/>
      </c>
      <c r="B492" s="138" t="str">
        <f aca="false">Scoring!BE498</f>
        <v/>
      </c>
      <c r="C492" s="138" t="n">
        <f aca="false">Scoring!C498</f>
        <v>0</v>
      </c>
      <c r="D492" s="139" t="str">
        <f aca="false">Scoring!BB498</f>
        <v/>
      </c>
      <c r="E492" s="138" t="str">
        <f aca="false">Scoring!AE498</f>
        <v/>
      </c>
      <c r="F492" s="138" t="n">
        <f aca="false">Scoring!B498</f>
        <v>0</v>
      </c>
      <c r="G492" s="138" t="n">
        <f aca="false">Scoring!D498</f>
        <v>0</v>
      </c>
      <c r="H492" s="138" t="str">
        <f aca="false">Scoring!BD498</f>
        <v/>
      </c>
      <c r="I492" s="140" t="str">
        <f aca="false">Scoring!BC498</f>
        <v/>
      </c>
    </row>
    <row r="493" customFormat="false" ht="15.75" hidden="false" customHeight="false" outlineLevel="0" collapsed="false">
      <c r="A493" s="138" t="str">
        <f aca="false">Scoring!BF499</f>
        <v/>
      </c>
      <c r="B493" s="138" t="str">
        <f aca="false">Scoring!BE499</f>
        <v/>
      </c>
      <c r="C493" s="138" t="n">
        <f aca="false">Scoring!C499</f>
        <v>0</v>
      </c>
      <c r="D493" s="139" t="str">
        <f aca="false">Scoring!BB499</f>
        <v/>
      </c>
      <c r="E493" s="138" t="str">
        <f aca="false">Scoring!AE499</f>
        <v/>
      </c>
      <c r="F493" s="138" t="n">
        <f aca="false">Scoring!B499</f>
        <v>0</v>
      </c>
      <c r="G493" s="138" t="n">
        <f aca="false">Scoring!D499</f>
        <v>0</v>
      </c>
      <c r="H493" s="138" t="str">
        <f aca="false">Scoring!BD499</f>
        <v/>
      </c>
      <c r="I493" s="140" t="str">
        <f aca="false">Scoring!BC499</f>
        <v/>
      </c>
    </row>
    <row r="494" customFormat="false" ht="15.75" hidden="false" customHeight="false" outlineLevel="0" collapsed="false">
      <c r="A494" s="138" t="str">
        <f aca="false">Scoring!BF500</f>
        <v/>
      </c>
      <c r="B494" s="138" t="str">
        <f aca="false">Scoring!BE500</f>
        <v/>
      </c>
      <c r="C494" s="138" t="n">
        <f aca="false">Scoring!C500</f>
        <v>0</v>
      </c>
      <c r="D494" s="139" t="str">
        <f aca="false">Scoring!BB500</f>
        <v/>
      </c>
      <c r="E494" s="138" t="str">
        <f aca="false">Scoring!AE500</f>
        <v/>
      </c>
      <c r="F494" s="138" t="n">
        <f aca="false">Scoring!B500</f>
        <v>0</v>
      </c>
      <c r="G494" s="138" t="n">
        <f aca="false">Scoring!D500</f>
        <v>0</v>
      </c>
      <c r="H494" s="138" t="str">
        <f aca="false">Scoring!BD500</f>
        <v/>
      </c>
      <c r="I494" s="140" t="str">
        <f aca="false">Scoring!BC500</f>
        <v/>
      </c>
    </row>
    <row r="495" customFormat="false" ht="15.75" hidden="false" customHeight="false" outlineLevel="0" collapsed="false">
      <c r="A495" s="138" t="str">
        <f aca="false">Scoring!BF501</f>
        <v/>
      </c>
      <c r="B495" s="138" t="str">
        <f aca="false">Scoring!BE501</f>
        <v/>
      </c>
      <c r="C495" s="138" t="n">
        <f aca="false">Scoring!C501</f>
        <v>0</v>
      </c>
      <c r="D495" s="139" t="str">
        <f aca="false">Scoring!BB501</f>
        <v/>
      </c>
      <c r="E495" s="138" t="str">
        <f aca="false">Scoring!AE501</f>
        <v/>
      </c>
      <c r="F495" s="138" t="n">
        <f aca="false">Scoring!B501</f>
        <v>0</v>
      </c>
      <c r="G495" s="138" t="n">
        <f aca="false">Scoring!D501</f>
        <v>0</v>
      </c>
      <c r="H495" s="138" t="str">
        <f aca="false">Scoring!BD501</f>
        <v/>
      </c>
      <c r="I495" s="140" t="str">
        <f aca="false">Scoring!BC501</f>
        <v/>
      </c>
    </row>
    <row r="496" customFormat="false" ht="15.75" hidden="false" customHeight="false" outlineLevel="0" collapsed="false">
      <c r="A496" s="138" t="str">
        <f aca="false">Scoring!BF502</f>
        <v/>
      </c>
      <c r="B496" s="138" t="str">
        <f aca="false">Scoring!BE502</f>
        <v/>
      </c>
      <c r="C496" s="138" t="n">
        <f aca="false">Scoring!C502</f>
        <v>0</v>
      </c>
      <c r="D496" s="139" t="str">
        <f aca="false">Scoring!BB502</f>
        <v/>
      </c>
      <c r="E496" s="138" t="str">
        <f aca="false">Scoring!AE502</f>
        <v/>
      </c>
      <c r="F496" s="138" t="n">
        <f aca="false">Scoring!B502</f>
        <v>0</v>
      </c>
      <c r="G496" s="138" t="n">
        <f aca="false">Scoring!D502</f>
        <v>0</v>
      </c>
      <c r="H496" s="138" t="str">
        <f aca="false">Scoring!BD502</f>
        <v/>
      </c>
      <c r="I496" s="140" t="str">
        <f aca="false">Scoring!BC502</f>
        <v/>
      </c>
    </row>
    <row r="497" customFormat="false" ht="15.75" hidden="false" customHeight="false" outlineLevel="0" collapsed="false">
      <c r="A497" s="138" t="str">
        <f aca="false">Scoring!BF503</f>
        <v/>
      </c>
      <c r="B497" s="138" t="str">
        <f aca="false">Scoring!BE503</f>
        <v/>
      </c>
      <c r="C497" s="138" t="n">
        <f aca="false">Scoring!C503</f>
        <v>0</v>
      </c>
      <c r="D497" s="139" t="str">
        <f aca="false">Scoring!BB503</f>
        <v/>
      </c>
      <c r="E497" s="138" t="str">
        <f aca="false">Scoring!AE503</f>
        <v/>
      </c>
      <c r="F497" s="138" t="n">
        <f aca="false">Scoring!B503</f>
        <v>0</v>
      </c>
      <c r="G497" s="138" t="n">
        <f aca="false">Scoring!D503</f>
        <v>0</v>
      </c>
      <c r="H497" s="138" t="str">
        <f aca="false">Scoring!BD503</f>
        <v/>
      </c>
      <c r="I497" s="140" t="str">
        <f aca="false">Scoring!BC503</f>
        <v/>
      </c>
    </row>
    <row r="498" customFormat="false" ht="15.75" hidden="false" customHeight="false" outlineLevel="0" collapsed="false">
      <c r="A498" s="138" t="str">
        <f aca="false">Scoring!BF504</f>
        <v/>
      </c>
      <c r="B498" s="138" t="str">
        <f aca="false">Scoring!BE504</f>
        <v/>
      </c>
      <c r="C498" s="138" t="n">
        <f aca="false">Scoring!C504</f>
        <v>0</v>
      </c>
      <c r="D498" s="139" t="str">
        <f aca="false">Scoring!BB504</f>
        <v/>
      </c>
      <c r="E498" s="138" t="str">
        <f aca="false">Scoring!AE504</f>
        <v/>
      </c>
      <c r="F498" s="138" t="n">
        <f aca="false">Scoring!B504</f>
        <v>0</v>
      </c>
      <c r="G498" s="138" t="n">
        <f aca="false">Scoring!D504</f>
        <v>0</v>
      </c>
      <c r="H498" s="138" t="str">
        <f aca="false">Scoring!BD504</f>
        <v/>
      </c>
      <c r="I498" s="140" t="str">
        <f aca="false">Scoring!BC504</f>
        <v/>
      </c>
    </row>
    <row r="499" customFormat="false" ht="15.75" hidden="false" customHeight="false" outlineLevel="0" collapsed="false">
      <c r="A499" s="138" t="str">
        <f aca="false">Scoring!BF505</f>
        <v/>
      </c>
      <c r="B499" s="138" t="str">
        <f aca="false">Scoring!BE505</f>
        <v/>
      </c>
      <c r="C499" s="138" t="n">
        <f aca="false">Scoring!C505</f>
        <v>0</v>
      </c>
      <c r="D499" s="139" t="str">
        <f aca="false">Scoring!BB505</f>
        <v/>
      </c>
      <c r="E499" s="138" t="str">
        <f aca="false">Scoring!AE505</f>
        <v/>
      </c>
      <c r="F499" s="138" t="n">
        <f aca="false">Scoring!B505</f>
        <v>0</v>
      </c>
      <c r="G499" s="138" t="n">
        <f aca="false">Scoring!D505</f>
        <v>0</v>
      </c>
      <c r="H499" s="138" t="str">
        <f aca="false">Scoring!BD505</f>
        <v/>
      </c>
      <c r="I499" s="140" t="str">
        <f aca="false">Scoring!BC505</f>
        <v/>
      </c>
    </row>
    <row r="500" customFormat="false" ht="15.75" hidden="false" customHeight="false" outlineLevel="0" collapsed="false">
      <c r="A500" s="138" t="str">
        <f aca="false">Scoring!BF506</f>
        <v/>
      </c>
      <c r="B500" s="138" t="str">
        <f aca="false">Scoring!BE506</f>
        <v/>
      </c>
      <c r="C500" s="138" t="n">
        <f aca="false">Scoring!C506</f>
        <v>0</v>
      </c>
      <c r="D500" s="139" t="str">
        <f aca="false">Scoring!BB506</f>
        <v/>
      </c>
      <c r="E500" s="138" t="str">
        <f aca="false">Scoring!AE506</f>
        <v/>
      </c>
      <c r="F500" s="138" t="n">
        <f aca="false">Scoring!B506</f>
        <v>0</v>
      </c>
      <c r="G500" s="138" t="n">
        <f aca="false">Scoring!D506</f>
        <v>0</v>
      </c>
      <c r="H500" s="138" t="str">
        <f aca="false">Scoring!BD506</f>
        <v/>
      </c>
      <c r="I500" s="140" t="str">
        <f aca="false">Scoring!BC506</f>
        <v/>
      </c>
    </row>
    <row r="501" customFormat="false" ht="15.75" hidden="false" customHeight="false" outlineLevel="0" collapsed="false">
      <c r="A501" s="138" t="str">
        <f aca="false">Scoring!BF507</f>
        <v/>
      </c>
      <c r="B501" s="138" t="str">
        <f aca="false">Scoring!BE507</f>
        <v/>
      </c>
      <c r="C501" s="138" t="n">
        <f aca="false">Scoring!C507</f>
        <v>0</v>
      </c>
      <c r="D501" s="139" t="str">
        <f aca="false">Scoring!BB507</f>
        <v/>
      </c>
      <c r="E501" s="138" t="str">
        <f aca="false">Scoring!AE507</f>
        <v/>
      </c>
      <c r="F501" s="138" t="n">
        <f aca="false">Scoring!B507</f>
        <v>0</v>
      </c>
      <c r="G501" s="138" t="n">
        <f aca="false">Scoring!D507</f>
        <v>0</v>
      </c>
      <c r="H501" s="138" t="str">
        <f aca="false">Scoring!BD507</f>
        <v/>
      </c>
      <c r="I501" s="140" t="str">
        <f aca="false">Scoring!BC507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2026-09-12T12:05:31Z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