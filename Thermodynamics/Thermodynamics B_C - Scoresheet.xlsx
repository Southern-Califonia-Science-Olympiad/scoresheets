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<sst xmlns="http://schemas.openxmlformats.org/spreadsheetml/2006/main" count="145" uniqueCount="105">
  <si>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</si>
  <si>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</si>
  <si>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</si>
  <si>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</si>
  <si>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</si>
  <si>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</si>
  <si>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</si>
  <si>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</si>
  <si>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</si>
  <si>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</si>
  <si>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</si>
  <si>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</si>
  <si>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</si>
  <si>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</si>
  <si>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</si>
  <si>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</si>
  <si>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</si>
  <si>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</si>
  <si>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</si>
  <si>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</si>
  <si>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</si>
  <si>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</si>
  <si>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</si>
  <si>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</si>
  <si>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</si>
  <si>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</si>
  <si>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</si>
  <si>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</si>
  <si>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</si>
  <si>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</si>
  <si>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</si>
  <si>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</si>
  <si>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</si>
  <si>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</si>
  <si>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</si>
  <si>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</si>
  <si>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</si>
  <si>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</si>
  <si>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</si>
  <si>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</si>
  <si>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</si>
  <si>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</si>
  <si>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</si>
  <si>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</si>
  <si>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</si>
  <si>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</si>
  <si>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</si>
  <si>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</si>
  <si>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</si>
  <si>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</si>
  <si>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</si>
  <si>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</si>
  <si>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</si>
  <si>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</si>
  <si>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</si>
  <si>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</si>
  <si>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</si>
  <si>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</si>
  <si>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c</t>
  </si>
  <si>
    <t xml:space="preserve">f</t>
  </si>
  <si>
    <t xml:space="preserve">b</t>
  </si>
  <si>
    <t xml:space="preserve">d</t>
  </si>
  <si>
    <t xml:space="preserve">e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</si>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</sst>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N1" colorId="64" zoomScale="100" zoomScaleNormal="100" zoomScalePageLayoutView="100" workbookViewId="0">
      <pane xSplit="0" ySplit="7" topLeftCell="A8" activePane="bottomLeft" state="frozen"/>
      <selection pane="topLeft" activeCell="AN1" activeCellId="0" sqref="AN1"/>
      <selection pane="bottomLeft" activeCell="BB10" activeCellId="0" sqref="BB1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0</v>
      </c>
      <c r="AI6" s="42" t="s">
        <v>38</v>
      </c>
      <c r="AJ6" s="42"/>
      <c r="AK6" s="42"/>
      <c r="AL6" s="42" t="n">
        <f aca="false">MAX(AL8:AL507)</f>
        <v>0</v>
      </c>
      <c r="AM6" s="42" t="s">
        <v>39</v>
      </c>
      <c r="AN6" s="42"/>
      <c r="AO6" s="42"/>
      <c r="AP6" s="43" t="n">
        <f aca="false">MAX(AB8:AB507)</f>
        <v>1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4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 t="s">
        <v>58</v>
      </c>
      <c r="D8" s="52"/>
      <c r="E8" s="53"/>
      <c r="F8" s="53"/>
      <c r="G8" s="54" t="s">
        <v>59</v>
      </c>
      <c r="H8" s="55"/>
      <c r="I8" s="56"/>
      <c r="J8" s="56"/>
      <c r="K8" s="56"/>
      <c r="L8" s="57" t="n">
        <v>22</v>
      </c>
      <c r="M8" s="57" t="n">
        <v>20</v>
      </c>
      <c r="N8" s="57" t="n">
        <v>34</v>
      </c>
      <c r="O8" s="58" t="n">
        <v>1</v>
      </c>
      <c r="P8" s="59"/>
      <c r="Q8" s="60"/>
      <c r="R8" s="61"/>
      <c r="S8" s="62"/>
      <c r="T8" s="63" t="n">
        <f aca="false">IF(ISBLANK($C8),"",IF(G8=Constants!$B$2, TRUE(), IF(G8=Constants!$B$3, FALSE(), TRUE())))</f>
        <v>0</v>
      </c>
      <c r="U8" s="63" t="n">
        <f aca="false">IF(ISBLANK($C8),"",IF(H8=Constants!$B$2, TRUE(), IF(H8=Constants!$B$3, FALSE(), TRUE())))</f>
        <v>1</v>
      </c>
      <c r="V8" s="62" t="b">
        <f aca="false">IF(ISBLANK($C8),"",IF(I8=Constants!$B$2, TRUE(), IF(I8=Constants!$B$3, FALSE(), TRUE())))</f>
        <v>1</v>
      </c>
      <c r="W8" s="62" t="n">
        <f aca="false">IF(ISBLANK($C8),"",IF(J8=Constants!$B$2, TRUE(), IF(J8=Constants!$B$3, FALSE(), TRUE())))</f>
        <v>1</v>
      </c>
      <c r="X8" s="62" t="b">
        <f aca="false">IF(ISBLANK($C8),"",IF(K8=Constants!$B$2, TRUE(), IF(K8=Constants!$B$3, FALSE(), TRUE())))</f>
        <v>1</v>
      </c>
      <c r="Y8" s="64" t="n">
        <f aca="false">IF(ISBLANK($C8),"",IF(ISNUMBER(L8), L8, ""))</f>
        <v>22</v>
      </c>
      <c r="Z8" s="64" t="n">
        <f aca="false">IF(ISBLANK($C8),"",IF(ISNUMBER(M8), M8, ""))</f>
        <v>20</v>
      </c>
      <c r="AA8" s="64" t="n">
        <f aca="false">IF(ISBLANK($C8),"",IF(ISNUMBER(N8), N8, ""))</f>
        <v>34</v>
      </c>
      <c r="AB8" s="65" t="n">
        <f aca="false">IF(ISBLANK($C8),"",IF(ISNUMBER(O8), O8, ""))</f>
        <v>1</v>
      </c>
      <c r="AC8" s="65" t="n">
        <f aca="false">IF(ISBLANK($C8),"",IF(ISNUMBER(P8), P8, Constants!$B$13))</f>
        <v>1</v>
      </c>
      <c r="AD8" s="62" t="n">
        <f aca="false">IF(ISBLANK($C8),"",IF(Q8=Constants!$B$2, TRUE(), IF(Q8=Constants!$B$3, FALSE(), FALSE())))</f>
        <v>0</v>
      </c>
      <c r="AE8" s="62" t="str">
        <f aca="false">IF(ISBLANK(C8), "", IF(AD8, Constants!$B$4,IF(COUNTA(G8:O8)=0, Constants!$B$5, Constants!$B$7)))</f>
        <v>C</v>
      </c>
      <c r="AF8" s="62" t="n">
        <f aca="false">IF(ISBLANK($C8), "",IF($AE8=Constants!$B$7,1,$AE8))</f>
        <v>1</v>
      </c>
      <c r="AG8" s="62" t="n">
        <f aca="false">IF($AE8=Constants!$B$7,IF(V8, 1, Constants!B11) * IF(X8, 1, Constants!B12),"")</f>
        <v>1</v>
      </c>
      <c r="AH8" s="62" t="str">
        <f aca="false">IF(AND($AE8=Constants!$B$7, T8, U8) ,MAX(0, $AA8-$Y8),"")</f>
        <v/>
      </c>
      <c r="AI8" s="62" t="str">
        <f aca="false">IFERROR(AH8,"InputError: Check to see if Box 7 and Box 9 are filled")</f>
        <v/>
      </c>
      <c r="AJ8" s="62" t="n">
        <f aca="false">IF($AE8=Constants!$B$7,IF(AND(T8,U8,W8),Constants!$B$9*AH8/$AH$6, 0),"")</f>
        <v>0</v>
      </c>
      <c r="AK8" s="62" t="n">
        <f aca="false">IF(AJ8&lt;&gt;"", AJ8*AG8,"")</f>
        <v>0</v>
      </c>
      <c r="AL8" s="62" t="str">
        <f aca="false">IF(AND($AE8=Constants!$B$7, T8, U8) ,IF($Z8="", "", 1-ABS($AA8-$Z8)/$AA8),"")</f>
        <v/>
      </c>
      <c r="AM8" s="62" t="str">
        <f aca="false">IFERROR(AL8,"InputError: Check to see if Box 9 is filled")</f>
        <v/>
      </c>
      <c r="AN8" s="62" t="n">
        <f aca="false">IF($AE8=Constants!$B$7 ,IF(AND(T8,U8,W8,ISNUMBER(Z8)),Constants!$B$10*AL8/$AL$6, 0),"")</f>
        <v>0</v>
      </c>
      <c r="AO8" s="62" t="n">
        <f aca="false">IF(AN8&lt;&gt;"", AN8*AG8,"")</f>
        <v>0</v>
      </c>
      <c r="AP8" s="62" t="n">
        <f aca="false">IF($AE8=Constants!$B$7,Constants!$B$8*AB8/$AP$6,"")</f>
        <v>50</v>
      </c>
      <c r="AQ8" s="62" t="n">
        <f aca="false">IF($AE8&lt;&gt;Constants!$B$7,$AE8,AK8+AO8+AP8)</f>
        <v>50</v>
      </c>
      <c r="AR8" s="62" t="n">
        <f aca="false">IF(ISBLANK($C8),"",IF($AE8=Constants!$B$7,RANK(AQ8,$AQ$8:$AQ$507),$AE8))</f>
        <v>1</v>
      </c>
      <c r="AS8" s="62" t="n">
        <f aca="false">IF(ISBLANK($C8), "",AK8)</f>
        <v>0</v>
      </c>
      <c r="AT8" s="62" t="n">
        <f aca="false">IF(ISBLANK($C8),"",IF($AE8=Constants!$B$7,RANK(AS8,AS$8:AS$507),$AE8))</f>
        <v>1</v>
      </c>
      <c r="AU8" s="62" t="n">
        <f aca="false">IF(ISBLANK($C8), "",AP8)</f>
        <v>50</v>
      </c>
      <c r="AV8" s="62" t="n">
        <f aca="false">IF(ISBLANK($C8),"",IF($AE8=Constants!$B$7,RANK(AU8,AU$8:AU$507),$AE8))</f>
        <v>1</v>
      </c>
      <c r="AW8" s="62" t="n">
        <f aca="false">IF(ISBLANK($C8), "",AC8)</f>
        <v>1</v>
      </c>
      <c r="AX8" s="62" t="n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>1</v>
      </c>
      <c r="AY8" s="62" t="n">
        <f aca="false">IF(ISBLANK(C8),"",IF($AE8=Constants!$B$7, AR8-AX8,$AE8))</f>
        <v>0</v>
      </c>
      <c r="AZ8" s="66"/>
      <c r="BA8" s="67"/>
      <c r="BB8" s="68" t="n">
        <f aca="false">IF(ISBLANK($C8),"",IF($AE8&lt;&gt;Constants!$B$7, $AE8 ,AQ8))</f>
        <v>50</v>
      </c>
      <c r="BC8" s="69" t="n">
        <f aca="false">IF(ISBLANK($C8),"",IF($AE8&lt;&gt;Constants!$B$7, $AE8 ,AF8))</f>
        <v>1</v>
      </c>
      <c r="BD8" s="70" t="n">
        <f aca="false">IF(ISBLANK(C8),"",AY8)</f>
        <v>0</v>
      </c>
      <c r="BE8" s="70" t="n">
        <f aca="false">IF(ISBLANK(C8),"",AX8)</f>
        <v>1</v>
      </c>
      <c r="BF8" s="71" t="n">
        <f aca="false">IF(ISBLANK(C8),"",IFERROR(_xlfn.SWITCH(BE8, Constants!$B$4, COUNTA($C$8:$C507)+2, Constants!$B$5, COUNTA($C$8:$C507)+1, Constants!$B$6, COUNTA($C$8:$C507)),BE8))</f>
        <v>1</v>
      </c>
      <c r="BG8" s="5"/>
      <c r="BH8" s="72" t="n">
        <f aca="false">IF(OR(ISNUMBER(BE8),BE8="DQ",BE8="P",BE8="NS"),
    1,
    0
)</f>
        <v>1</v>
      </c>
      <c r="BI8" s="72" t="n">
        <v>1</v>
      </c>
      <c r="BJ8" s="72" t="n">
        <f aca="false">IF(ISBLANK($C8),
    "",
   BF8+ROW($B8)/1000
)</f>
        <v>1.008</v>
      </c>
      <c r="BK8" s="72" t="n">
        <f aca="false">IF(ISNUMBER(BJ8), RANK(BJ8,BJ$8:BJ$507,1), "")</f>
        <v>1</v>
      </c>
      <c r="BL8" s="72" t="n">
        <f aca="false">IF(ISBLANK($C8),
    "",
    $B8
)</f>
        <v>0</v>
      </c>
      <c r="BM8" s="72" t="str">
        <f aca="false">IF(ISBLANK($C8),
    "",
    $C8
)</f>
        <v>c</v>
      </c>
      <c r="BN8" s="72" t="n">
        <f aca="false">IF(ISBLANK($C8),
    "",
    $D8
)</f>
        <v>0</v>
      </c>
      <c r="BO8" s="73" t="n">
        <f aca="false">BC8</f>
        <v>1</v>
      </c>
      <c r="BP8" s="74" t="n">
        <f aca="false">BB8</f>
        <v>50</v>
      </c>
      <c r="BQ8" s="72" t="n">
        <f aca="false">IF(ISBLANK($C8),
    "",
    BE8
)</f>
        <v>1</v>
      </c>
      <c r="BR8" s="75" t="n">
        <f aca="false">IF(BI8&gt;BH$7,
    "",
    VLOOKUP(BI8,BK$8:BQ507,7,FALSE())
)</f>
        <v>1</v>
      </c>
      <c r="BS8" s="76" t="n">
        <f aca="false">IF(BI8&gt;BH$7,
    "",
    VLOOKUP(BI8,BK$8:BQ507,2,FALSE())
)</f>
        <v>0</v>
      </c>
      <c r="BT8" s="76" t="str">
        <f aca="false">IF(BI8&gt;BH$7,
    "",
    VLOOKUP(BI8,BK$8:BQ507,3,FALSE())
)</f>
        <v>c</v>
      </c>
      <c r="BU8" s="76" t="n">
        <f aca="false">IF(BI8&gt;BH$7,
    "",
    VLOOKUP(BI8,BK$8:BQ507,4,FALSE())
)</f>
        <v>0</v>
      </c>
      <c r="BV8" s="76" t="n">
        <f aca="false">IF(BI8&gt;BH$7,
    "",
    VLOOKUP(BI8,BK$8:BQ507,5,FALSE())
)</f>
        <v>1</v>
      </c>
      <c r="BW8" s="77" t="n">
        <f aca="false">IF(BI8&gt;BH$7,
    "",
    VLOOKUP(BI8,BK$8:BQ507,6,FALSE())
)</f>
        <v>50</v>
      </c>
      <c r="BX8" s="49"/>
    </row>
    <row r="9" customFormat="false" ht="15.75" hidden="false" customHeight="false" outlineLevel="0" collapsed="false">
      <c r="A9" s="5"/>
      <c r="B9" s="78"/>
      <c r="C9" s="51" t="s">
        <v>60</v>
      </c>
      <c r="D9" s="52"/>
      <c r="E9" s="53"/>
      <c r="F9" s="53"/>
      <c r="G9" s="54" t="s">
        <v>59</v>
      </c>
      <c r="H9" s="55"/>
      <c r="I9" s="56"/>
      <c r="J9" s="56"/>
      <c r="K9" s="56"/>
      <c r="L9" s="57" t="n">
        <v>22</v>
      </c>
      <c r="M9" s="57" t="n">
        <v>20</v>
      </c>
      <c r="N9" s="57" t="n">
        <v>34</v>
      </c>
      <c r="O9" s="58" t="n">
        <v>1</v>
      </c>
      <c r="P9" s="59"/>
      <c r="Q9" s="79"/>
      <c r="R9" s="61"/>
      <c r="S9" s="62"/>
      <c r="T9" s="62" t="b">
        <f aca="false">IF(ISBLANK($C9),"",IF(G9=Constants!$B$2, TRUE(), IF(G9=Constants!$B$3, FALSE(), TRUE())))</f>
        <v>0</v>
      </c>
      <c r="U9" s="62" t="n">
        <f aca="false">IF(ISBLANK($C9),"",IF(H9=Constants!$B$2, TRUE(), IF(H9=Constants!$B$3, FALSE(), TRUE())))</f>
        <v>1</v>
      </c>
      <c r="V9" s="62" t="b">
        <f aca="false">IF(ISBLANK($C9),"",IF(I9=Constants!$B$2, TRUE(), IF(I9=Constants!$B$3, FALSE(), TRUE())))</f>
        <v>1</v>
      </c>
      <c r="W9" s="62" t="n">
        <f aca="false">IF(ISBLANK($C9),"",IF(J9=Constants!$B$2, TRUE(), IF(J9=Constants!$B$3, FALSE(), TRUE())))</f>
        <v>1</v>
      </c>
      <c r="X9" s="62" t="b">
        <f aca="false">IF(ISBLANK($C9),"",IF(J9=Constants!$B$2, TRUE(), IF(J9=Constants!$B$3, FALSE(), TRUE())))</f>
        <v>1</v>
      </c>
      <c r="Y9" s="64" t="n">
        <f aca="false">IF(ISBLANK($C9),"",IF(ISNUMBER(L9), L9, ""))</f>
        <v>22</v>
      </c>
      <c r="Z9" s="64" t="n">
        <f aca="false">IF(ISBLANK($C9),"",IF(ISNUMBER(M9), M9, ""))</f>
        <v>20</v>
      </c>
      <c r="AA9" s="64" t="n">
        <f aca="false">IF(ISBLANK($C9),"",IF(ISNUMBER(N9), N9, ""))</f>
        <v>34</v>
      </c>
      <c r="AB9" s="65" t="n">
        <f aca="false">IF(ISBLANK($C9),"",IF(ISNUMBER(O9), O9, ""))</f>
        <v>1</v>
      </c>
      <c r="AC9" s="65" t="n">
        <f aca="false">IF(ISBLANK($C9),"",IF(ISNUMBER(P9), P9, Constants!$B$13))</f>
        <v>1</v>
      </c>
      <c r="AD9" s="62" t="n">
        <f aca="false">IF(ISBLANK($C9),"",IF(Q9=Constants!$B$2, TRUE(), IF(Q9=Constants!$B$3, FALSE(), FALSE())))</f>
        <v>0</v>
      </c>
      <c r="AE9" s="62" t="str">
        <f aca="false">IF(ISBLANK(C9), "", IF(AD9, Constants!$B$4,IF(COUNTA(G9:O9)=0, Constants!$B$5, Constants!$B$7)))</f>
        <v>C</v>
      </c>
      <c r="AF9" s="62" t="n">
        <f aca="false">IF(ISBLANK($C9), "",IF($AE9=Constants!$B$7,1,$AE9))</f>
        <v>1</v>
      </c>
      <c r="AG9" s="62" t="n">
        <f aca="false">IF($AE9=Constants!$B$7,IF(V9, 1, Constants!B12) * IF(X9, 1, Constants!B13),"")</f>
        <v>1</v>
      </c>
      <c r="AH9" s="62" t="str">
        <f aca="false">IF(AND($AE9=Constants!$B$7, T9, U9) ,MAX(0, $AA9-$Y9),"")</f>
        <v/>
      </c>
      <c r="AI9" s="62" t="str">
        <f aca="false">IFERROR(AH9,"InputError: Check to see if Box 7 and Box 9 are filled")</f>
        <v/>
      </c>
      <c r="AJ9" s="62" t="n">
        <f aca="false">IF($AE9=Constants!$B$7,IF(AND(T9,U9,W9),Constants!$B$9*AH9/$AH$6, 0),"")</f>
        <v>0</v>
      </c>
      <c r="AK9" s="62" t="n">
        <f aca="false">IF(AJ9&lt;&gt;"", AJ9*AG9,"")</f>
        <v>0</v>
      </c>
      <c r="AL9" s="62" t="str">
        <f aca="false">IF(AND($AE9=Constants!$B$7, T9, U9) ,IF($Z9="", "", 1-ABS($AA9-$Z9)/$AA9),"")</f>
        <v/>
      </c>
      <c r="AM9" s="62" t="str">
        <f aca="false">IFERROR(AL9,"InputError: Check to see if Box 9 is filled")</f>
        <v/>
      </c>
      <c r="AN9" s="62" t="n">
        <f aca="false">IF($AE9=Constants!$B$7 ,IF(AND(T9,U9,W9,ISNUMBER(Z9)),Constants!$B$10*AL9/$AL$6, 0),"")</f>
        <v>0</v>
      </c>
      <c r="AO9" s="62" t="n">
        <f aca="false">IF(AN9&lt;&gt;"", AN9*AG9,"")</f>
        <v>0</v>
      </c>
      <c r="AP9" s="62" t="n">
        <f aca="false">IF($AE9=Constants!$B$7,Constants!$B$8*AB9/$AP$6,"")</f>
        <v>50</v>
      </c>
      <c r="AQ9" s="62" t="n">
        <f aca="false">IF($AE9&lt;&gt;Constants!$B$7,$AE9,AK9+AO9+AP9)</f>
        <v>50</v>
      </c>
      <c r="AR9" s="62" t="n">
        <f aca="false">IF(ISBLANK($C9),"",IF($AE9=Constants!$B$7,RANK(AQ9,$AQ$8:$AQ$507),$AE9))</f>
        <v>1</v>
      </c>
      <c r="AS9" s="62" t="n">
        <f aca="false">IF(ISBLANK($C9), "",AK9)</f>
        <v>0</v>
      </c>
      <c r="AT9" s="62" t="n">
        <f aca="false">IF(ISBLANK($C9),"",IF($AE9=Constants!$B$7,RANK(AS9,AS$8:AS$507),$AE9))</f>
        <v>1</v>
      </c>
      <c r="AU9" s="62" t="n">
        <f aca="false">IF(ISBLANK($C9), "",AP9)</f>
        <v>50</v>
      </c>
      <c r="AV9" s="62" t="n">
        <f aca="false">IF(ISBLANK($C9),"",IF($AE9=Constants!$B$7,RANK(AU9,AU$8:AU$507),$AE9))</f>
        <v>1</v>
      </c>
      <c r="AW9" s="62" t="n">
        <f aca="false">IF(ISBLANK($C9), "",AC9)</f>
        <v>1</v>
      </c>
      <c r="AX9" s="62" t="n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>1</v>
      </c>
      <c r="AY9" s="62" t="n">
        <f aca="false">IF(ISBLANK(C9),"",IF($AE9=Constants!$B$7, AR9-AX9,$AE9))</f>
        <v>0</v>
      </c>
      <c r="AZ9" s="66"/>
      <c r="BA9" s="67"/>
      <c r="BB9" s="68" t="n">
        <f aca="false">IF(ISBLANK($C9),"",IF($AE9&lt;&gt;Constants!$B$7, $AE9 ,AQ9))</f>
        <v>50</v>
      </c>
      <c r="BC9" s="69" t="n">
        <f aca="false">IF(ISBLANK($C9),"",IF($AE9&lt;&gt;Constants!$B$7, $AE9 ,AF9))</f>
        <v>1</v>
      </c>
      <c r="BD9" s="70" t="n">
        <f aca="false">IF(ISBLANK(C9),"",AY9)</f>
        <v>0</v>
      </c>
      <c r="BE9" s="70" t="n">
        <f aca="false">IF(ISBLANK(C9),"",AX9)</f>
        <v>1</v>
      </c>
      <c r="BF9" s="71" t="n">
        <f aca="false">IF(ISBLANK(C9),"",IFERROR(_xlfn.SWITCH(BE9, Constants!$B$4, COUNTA($C$8:$C508)+2, Constants!$B$5, COUNTA($C$8:$C508)+1, Constants!$B$6, COUNTA($C$8:$C508)),BE9))</f>
        <v>1</v>
      </c>
      <c r="BG9" s="5"/>
      <c r="BH9" s="72" t="n">
        <f aca="false">IF(OR(ISNUMBER(BE9),BE9="DQ",BE9="P",BE9="NS"),
    1,
    0
)</f>
        <v>1</v>
      </c>
      <c r="BI9" s="72" t="n">
        <v>2</v>
      </c>
      <c r="BJ9" s="72" t="n">
        <f aca="false">IF(ISBLANK($C9),
    "",
   BF9+ROW($B9)/1000
)</f>
        <v>1.009</v>
      </c>
      <c r="BK9" s="72" t="n">
        <f aca="false">IF(ISNUMBER(BJ9), RANK(BJ9,BJ$8:BJ$507,1), "")</f>
        <v>2</v>
      </c>
      <c r="BL9" s="72" t="n">
        <f aca="false">IF(ISBLANK($C9),
    "",
    $B9
)</f>
        <v>0</v>
      </c>
      <c r="BM9" s="72" t="str">
        <f aca="false">IF(ISBLANK($C9),
    "",
    $C9
)</f>
        <v>b</v>
      </c>
      <c r="BN9" s="72" t="n">
        <f aca="false">IF(ISBLANK($C9),
    "",
    $D9
)</f>
        <v>0</v>
      </c>
      <c r="BO9" s="73" t="n">
        <f aca="false">BC9</f>
        <v>1</v>
      </c>
      <c r="BP9" s="74" t="n">
        <f aca="false">BB9</f>
        <v>50</v>
      </c>
      <c r="BQ9" s="72" t="n">
        <f aca="false">IF(ISBLANK($C9),
    "",
    BE9
)</f>
        <v>1</v>
      </c>
      <c r="BR9" s="75" t="n">
        <f aca="false">IF(BI9&gt;BH$7,
    "",
    VLOOKUP(BI9,BK$8:BQ508,7,FALSE())
)</f>
        <v>1</v>
      </c>
      <c r="BS9" s="76" t="n">
        <f aca="false">IF(BI9&gt;BH$7,
    "",
    VLOOKUP(BI9,BK$8:BQ508,2,FALSE())
)</f>
        <v>0</v>
      </c>
      <c r="BT9" s="76" t="str">
        <f aca="false">IF(BI9&gt;BH$7,
    "",
    VLOOKUP(BI9,BK$8:BQ508,3,FALSE())
)</f>
        <v>b</v>
      </c>
      <c r="BU9" s="76" t="n">
        <f aca="false">IF(BI9&gt;BH$7,
    "",
    VLOOKUP(BI9,BK$8:BQ508,4,FALSE())
)</f>
        <v>0</v>
      </c>
      <c r="BV9" s="76" t="n">
        <f aca="false">IF(BI9&gt;BH$7,
    "",
    VLOOKUP(BI9,BK$8:BQ508,5,FALSE())
)</f>
        <v>1</v>
      </c>
      <c r="BW9" s="77" t="n">
        <f aca="false">IF(BI9&gt;BH$7,
    "",
    VLOOKUP(BI9,BK$8:BQ508,6,FALSE())
)</f>
        <v>50</v>
      </c>
      <c r="BX9" s="49"/>
    </row>
    <row r="10" customFormat="false" ht="15.75" hidden="false" customHeight="false" outlineLevel="0" collapsed="false">
      <c r="A10" s="5"/>
      <c r="B10" s="78"/>
      <c r="C10" s="80" t="s">
        <v>61</v>
      </c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b">
        <f aca="false">IF(ISBLANK($C10),"",IF(G10=Constants!$B$2, TRUE(), IF(G10=Constants!$B$3, FALSE(), TRUE())))</f>
        <v>1</v>
      </c>
      <c r="U10" s="62" t="b">
        <f aca="false">IF(ISBLANK($C10),"",IF(H10=Constants!$B$2, TRUE(), IF(H10=Constants!$B$3, FALSE(), TRUE())))</f>
        <v>1</v>
      </c>
      <c r="V10" s="62" t="b">
        <f aca="false">IF(ISBLANK($C10),"",IF(I10=Constants!$B$2, TRUE(), IF(I10=Constants!$B$3, FALSE(), TRUE())))</f>
        <v>1</v>
      </c>
      <c r="W10" s="62" t="b">
        <f aca="false">IF(ISBLANK($C10),"",IF(J10=Constants!$B$2, TRUE(), IF(J10=Constants!$B$3, FALSE(), TRUE())))</f>
        <v>1</v>
      </c>
      <c r="X10" s="62" t="b">
        <f aca="false">IF(ISBLANK($C10),"",IF(J10=Constants!$B$2, TRUE(), IF(J10=Constants!$B$3, FALSE(), TRUE())))</f>
        <v>1</v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n">
        <f aca="false">IF(ISBLANK($C10),"",IF(ISNUMBER(P10), P10, Constants!$B$13))</f>
        <v>1</v>
      </c>
      <c r="AD10" s="62" t="b">
        <f aca="false">IF(ISBLANK($C10),"",IF(Q10=Constants!$B$2, TRUE(), IF(Q10=Constants!$B$3, FALSE(), FALSE())))</f>
        <v>0</v>
      </c>
      <c r="AE10" s="62" t="str">
        <f aca="false">IF(ISBLANK(C10), "", IF(AD10, Constants!$B$4,IF(COUNTA(G10:O10)=0, Constants!$B$5, Constants!$B$7)))</f>
        <v>NS</v>
      </c>
      <c r="AF10" s="62" t="str">
        <f aca="false">IF(ISBLANK($C10), "",IF($AE10=Constants!$B$7,1,$AE10))</f>
        <v>NS</v>
      </c>
      <c r="AG10" s="62" t="str">
        <f aca="false">IF($AE10=Constants!$B$7,IF(V10, 1, Constants!B13) * IF(X10, 1, Constants!B14),"")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IF($AE10=Constants!$B$7,IF(AND(T10,U10,W10),Constants!$B$9*AH10/$AH$6, 0),"")</f>
        <v/>
      </c>
      <c r="AK10" s="62" t="str">
        <f aca="false">IF(AJ10&lt;&gt;"", AJ10*AG10,"")</f>
        <v/>
      </c>
      <c r="AL10" s="62" t="str">
        <f aca="false">IF(AND($AE10=Constants!$B$7, T10, U10) ,IF($Z10="", "", 1-ABS($AA10-$Z10)/$AA10),"")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IF($AE10=Constants!$B$7,Constants!$B$8*AB10/$AP$6,"")</f>
        <v/>
      </c>
      <c r="AQ10" s="62" t="str">
        <f aca="false">IF($AE10&lt;&gt;Constants!$B$7,$AE10,AK10+AO10+AP10)</f>
        <v>NS</v>
      </c>
      <c r="AR10" s="62" t="str">
        <f aca="false">IF(ISBLANK($C10),"",IF($AE10=Constants!$B$7,RANK(AQ10,$AQ$8:$AQ$507),$AE10))</f>
        <v>NS</v>
      </c>
      <c r="AS10" s="62" t="str">
        <f aca="false">IF(ISBLANK($C10), "",AK10)</f>
        <v/>
      </c>
      <c r="AT10" s="62" t="str">
        <f aca="false">IF(ISBLANK($C10),"",IF($AE10=Constants!$B$7,RANK(AS10,AS$8:AS$507),$AE10))</f>
        <v>NS</v>
      </c>
      <c r="AU10" s="62" t="str">
        <f aca="false">IF(ISBLANK($C10), "",AP10)</f>
        <v/>
      </c>
      <c r="AV10" s="62" t="str">
        <f aca="false">IF(ISBLANK($C10),"",IF($AE10=Constants!$B$7,RANK(AU10,AU$8:AU$507),$AE10))</f>
        <v>NS</v>
      </c>
      <c r="AW10" s="62" t="n">
        <f aca="false">IF(ISBLANK($C10), "",AC10)</f>
        <v>1</v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>NS</v>
      </c>
      <c r="AY10" s="62" t="str">
        <f aca="false">IF(ISBLANK(C10),"",IF($AE10=Constants!$B$7, AR10-AX10,$AE10))</f>
        <v>NS</v>
      </c>
      <c r="AZ10" s="66"/>
      <c r="BA10" s="67"/>
      <c r="BB10" s="68" t="str">
        <f aca="false">IF(ISBLANK($C10),"",IF($AE10&lt;&gt;Constants!$B$7, $AE10 ,AQ10))</f>
        <v>NS</v>
      </c>
      <c r="BC10" s="69" t="str">
        <f aca="false">IF(ISBLANK($C10),"",IF($AE10&lt;&gt;Constants!$B$7, $AE10 ,AF10))</f>
        <v>NS</v>
      </c>
      <c r="BD10" s="70" t="str">
        <f aca="false">IF(ISBLANK(C10),"",AY10)</f>
        <v>NS</v>
      </c>
      <c r="BE10" s="70" t="str">
        <f aca="false">IF(ISBLANK(C10),"",AX10)</f>
        <v>NS</v>
      </c>
      <c r="BF10" s="71" t="n">
        <f aca="false">IF(ISBLANK(C10),"",IFERROR(_xlfn.SWITCH(BE10, Constants!$B$4, COUNTA($C$8:$C509)+2, Constants!$B$5, COUNTA($C$8:$C509)+1, Constants!$B$6, COUNTA($C$8:$C509)),BE10))</f>
        <v>5</v>
      </c>
      <c r="BG10" s="5"/>
      <c r="BH10" s="72" t="n">
        <f aca="false">IF(OR(ISNUMBER(BE10),BE10="DQ",BE10="P",BE10="NS"),
    1,
    0
)</f>
        <v>1</v>
      </c>
      <c r="BI10" s="72" t="n">
        <v>3</v>
      </c>
      <c r="BJ10" s="72" t="n">
        <f aca="false">IF(ISBLANK($C10),
    "",
   BF10+ROW($B10)/1000
)</f>
        <v>5.01</v>
      </c>
      <c r="BK10" s="72" t="n">
        <f aca="false">IF(ISNUMBER(BJ10), RANK(BJ10,BJ$8:BJ$507,1), "")</f>
        <v>3</v>
      </c>
      <c r="BL10" s="72" t="n">
        <f aca="false">IF(ISBLANK($C10),
    "",
    $B10
)</f>
        <v>0</v>
      </c>
      <c r="BM10" s="72" t="str">
        <f aca="false">IF(ISBLANK($C10),
    "",
    $C10
)</f>
        <v>d</v>
      </c>
      <c r="BN10" s="72" t="n">
        <f aca="false">IF(ISBLANK($C10),
    "",
    $D10
)</f>
        <v>0</v>
      </c>
      <c r="BO10" s="73" t="str">
        <f aca="false">BC10</f>
        <v>NS</v>
      </c>
      <c r="BP10" s="74" t="str">
        <f aca="false">BB10</f>
        <v>NS</v>
      </c>
      <c r="BQ10" s="72" t="str">
        <f aca="false">IF(ISBLANK($C10),
    "",
    BE10
)</f>
        <v>NS</v>
      </c>
      <c r="BR10" s="75" t="str">
        <f aca="false">IF(BI10&gt;BH$7,
    "",
    VLOOKUP(BI10,BK$8:BQ509,7,FALSE())
)</f>
        <v>NS</v>
      </c>
      <c r="BS10" s="76" t="n">
        <f aca="false">IF(BI10&gt;BH$7,
    "",
    VLOOKUP(BI10,BK$8:BQ509,2,FALSE())
)</f>
        <v>0</v>
      </c>
      <c r="BT10" s="76" t="str">
        <f aca="false">IF(BI10&gt;BH$7,
    "",
    VLOOKUP(BI10,BK$8:BQ509,3,FALSE())
)</f>
        <v>d</v>
      </c>
      <c r="BU10" s="76" t="n">
        <f aca="false">IF(BI10&gt;BH$7,
    "",
    VLOOKUP(BI10,BK$8:BQ509,4,FALSE())
)</f>
        <v>0</v>
      </c>
      <c r="BV10" s="76" t="str">
        <f aca="false">IF(BI10&gt;BH$7,
    "",
    VLOOKUP(BI10,BK$8:BQ509,5,FALSE())
)</f>
        <v>NS</v>
      </c>
      <c r="BW10" s="77" t="str">
        <f aca="false">IF(BI10&gt;BH$7,
    "",
    VLOOKUP(BI10,BK$8:BQ509,6,FALSE())
)</f>
        <v>NS</v>
      </c>
      <c r="BX10" s="49"/>
    </row>
    <row r="11" customFormat="false" ht="15.75" hidden="false" customHeight="false" outlineLevel="0" collapsed="false">
      <c r="A11" s="5"/>
      <c r="B11" s="82"/>
      <c r="C11" s="83" t="s">
        <v>62</v>
      </c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n">
        <f aca="false">IF(ISBLANK($C11),"",IF(G11=Constants!$B$2, TRUE(), IF(G11=Constants!$B$3, FALSE(), TRUE())))</f>
        <v>1</v>
      </c>
      <c r="U11" s="95" t="n">
        <f aca="false">IF(ISBLANK($C11),"",IF(H11=Constants!$B$2, TRUE(), IF(H11=Constants!$B$3, FALSE(), TRUE())))</f>
        <v>1</v>
      </c>
      <c r="V11" s="94" t="b">
        <f aca="false">IF(ISBLANK($C11),"",IF(I11=Constants!$B$2, TRUE(), IF(I11=Constants!$B$3, FALSE(), TRUE())))</f>
        <v>1</v>
      </c>
      <c r="W11" s="94" t="n">
        <f aca="false">IF(ISBLANK($C11),"",IF(J11=Constants!$B$2, TRUE(), IF(J11=Constants!$B$3, FALSE(), TRUE())))</f>
        <v>1</v>
      </c>
      <c r="X11" s="94" t="b">
        <f aca="false">IF(ISBLANK($C11),"",IF(J11=Constants!$B$2, TRUE(), IF(J11=Constants!$B$3, FALSE(), TRUE())))</f>
        <v>1</v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n">
        <f aca="false">IF(ISBLANK($C11),"",IF(ISNUMBER(P11), P11, Constants!$B$13))</f>
        <v>1</v>
      </c>
      <c r="AD11" s="94" t="b">
        <f aca="false">IF(ISBLANK($C11),"",IF(Q11=Constants!$B$2, TRUE(), IF(Q11=Constants!$B$3, FALSE(), FALSE())))</f>
        <v>0</v>
      </c>
      <c r="AE11" s="94" t="str">
        <f aca="false">IF(ISBLANK(C11), "", IF(AD11, Constants!$B$4,IF(COUNTA(G11:O11)=0, Constants!$B$5, Constants!$B$7)))</f>
        <v>NS</v>
      </c>
      <c r="AF11" s="94" t="str">
        <f aca="false">IF(ISBLANK($C11), "",IF($AE11=Constants!$B$7,1,$AE11))</f>
        <v>NS</v>
      </c>
      <c r="AG11" s="94" t="str">
        <f aca="false">IF($AE11=Constants!$B$7,IF(V11, 1, Constants!B14) * IF(X11, 1, Constants!B15),"")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IF($AE11=Constants!$B$7,IF(AND(T11,U11,W11),Constants!$B$9*AH11/$AH$6, 0),"")</f>
        <v/>
      </c>
      <c r="AK11" s="94" t="str">
        <f aca="false">IF(AJ11&lt;&gt;"", AJ11*AG11,"")</f>
        <v/>
      </c>
      <c r="AL11" s="94" t="str">
        <f aca="false">IF(AND($AE11=Constants!$B$7, T11, U11) ,IF($Z11="", "", 1-ABS($AA11-$Z11)/$AA11),"")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,IF(AND(T11,U11,W11,ISNUMBER(Z11)),Constants!$B$10*AL11/$AL$6, 0),"")</f>
        <v/>
      </c>
      <c r="AO11" s="94" t="str">
        <f aca="false">IF(AN11&lt;&gt;"", AN11*AG11,"")</f>
        <v/>
      </c>
      <c r="AP11" s="94" t="str">
        <f aca="false">IF($AE11=Constants!$B$7,Constants!$B$8*AB11/$AP$6,"")</f>
        <v/>
      </c>
      <c r="AQ11" s="94" t="str">
        <f aca="false">IF($AE11&lt;&gt;Constants!$B$7,$AE11,AK11+AO11+AP11)</f>
        <v>NS</v>
      </c>
      <c r="AR11" s="94" t="str">
        <f aca="false">IF(ISBLANK($C11),"",IF($AE11=Constants!$B$7,RANK(AQ11,$AQ$8:$AQ$507),$AE11))</f>
        <v>NS</v>
      </c>
      <c r="AS11" s="94" t="str">
        <f aca="false">IF(ISBLANK($C11), "",AK11)</f>
        <v/>
      </c>
      <c r="AT11" s="94" t="str">
        <f aca="false">IF(ISBLANK($C11),"",IF($AE11=Constants!$B$7,RANK(AS11,AS$8:AS$507),$AE11))</f>
        <v>NS</v>
      </c>
      <c r="AU11" s="94" t="str">
        <f aca="false">IF(ISBLANK($C11), "",AP11)</f>
        <v/>
      </c>
      <c r="AV11" s="94" t="str">
        <f aca="false">IF(ISBLANK($C11),"",IF($AE11=Constants!$B$7,RANK(AU11,AU$8:AU$507),$AE11))</f>
        <v>NS</v>
      </c>
      <c r="AW11" s="94" t="n">
        <f aca="false">IF(ISBLANK($C11), "",AC11)</f>
        <v>1</v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>NS</v>
      </c>
      <c r="AY11" s="94" t="str">
        <f aca="false">IF(ISBLANK(C11),"",IF($AE11=Constants!$B$7, AR11-AX11,$AE11))</f>
        <v>NS</v>
      </c>
      <c r="AZ11" s="98"/>
      <c r="BA11" s="99"/>
      <c r="BB11" s="100" t="str">
        <f aca="false">IF(ISBLANK($C11),"",IF($AE11&lt;&gt;Constants!$B$7, $AE11 ,AQ11))</f>
        <v>NS</v>
      </c>
      <c r="BC11" s="101" t="str">
        <f aca="false">IF(ISBLANK($C11),"",IF($AE11&lt;&gt;Constants!$B$7, $AE11 ,AF11))</f>
        <v>NS</v>
      </c>
      <c r="BD11" s="102" t="str">
        <f aca="false">IF(ISBLANK(C11),"",AY11)</f>
        <v>NS</v>
      </c>
      <c r="BE11" s="102" t="str">
        <f aca="false">IF(ISBLANK(C11),"",AX11)</f>
        <v>NS</v>
      </c>
      <c r="BF11" s="103" t="n">
        <f aca="false">IF(ISBLANK(C11),"",IFERROR(_xlfn.SWITCH(BE11, Constants!$B$4, COUNTA($C$8:$C510)+2, Constants!$B$5, COUNTA($C$8:$C510)+1, Constants!$B$6, COUNTA($C$8:$C510)),BE11))</f>
        <v>5</v>
      </c>
      <c r="BG11" s="5"/>
      <c r="BH11" s="104" t="n">
        <f aca="false">IF(OR(ISNUMBER(BE11),BE11="DQ",BE11="P",BE11="NS"),
    1,
    0
)</f>
        <v>1</v>
      </c>
      <c r="BI11" s="104" t="n">
        <v>4</v>
      </c>
      <c r="BJ11" s="104" t="n">
        <f aca="false">IF(ISBLANK($C11),
    "",
   BF11+ROW($B11)/1000
)</f>
        <v>5.011</v>
      </c>
      <c r="BK11" s="104" t="n">
        <f aca="false">IF(ISNUMBER(BJ11), RANK(BJ11,BJ$8:BJ$507,1), "")</f>
        <v>4</v>
      </c>
      <c r="BL11" s="104" t="n">
        <f aca="false">IF(ISBLANK($C11),
    "",
    $B11
)</f>
        <v>0</v>
      </c>
      <c r="BM11" s="104" t="str">
        <f aca="false">IF(ISBLANK($C11),
    "",
    $C11
)</f>
        <v>e</v>
      </c>
      <c r="BN11" s="104" t="n">
        <f aca="false">IF(ISBLANK($C11),
    "",
    $D11
)</f>
        <v>0</v>
      </c>
      <c r="BO11" s="105" t="str">
        <f aca="false">BC11</f>
        <v>NS</v>
      </c>
      <c r="BP11" s="106" t="str">
        <f aca="false">BB11</f>
        <v>NS</v>
      </c>
      <c r="BQ11" s="104" t="str">
        <f aca="false">IF(ISBLANK($C11),
    "",
    BE11
)</f>
        <v>NS</v>
      </c>
      <c r="BR11" s="107" t="str">
        <f aca="false">IF(BI11&gt;BH$7,
    "",
    VLOOKUP(BI11,BK$8:BQ510,7,FALSE())
)</f>
        <v>NS</v>
      </c>
      <c r="BS11" s="108" t="n">
        <f aca="false">IF(BI11&gt;BH$7,
    "",
    VLOOKUP(BI11,BK$8:BQ510,2,FALSE())
)</f>
        <v>0</v>
      </c>
      <c r="BT11" s="108" t="str">
        <f aca="false">IF(BI11&gt;BH$7,
    "",
    VLOOKUP(BI11,BK$8:BQ510,3,FALSE())
)</f>
        <v>e</v>
      </c>
      <c r="BU11" s="108" t="n">
        <f aca="false">IF(BI11&gt;BH$7,
    "",
    VLOOKUP(BI11,BK$8:BQ510,4,FALSE())
)</f>
        <v>0</v>
      </c>
      <c r="BV11" s="108" t="str">
        <f aca="false">IF(BI11&gt;BH$7,
    "",
    VLOOKUP(BI11,BK$8:BQ510,5,FALSE())
)</f>
        <v>NS</v>
      </c>
      <c r="BW11" s="109" t="str">
        <f aca="false">IF(BI11&gt;BH$7,
    "",
    VLOOKUP(BI11,BK$8:BQ510,6,FALSE())
)</f>
        <v>NS</v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4" t="str">
        <f aca="false">IF(ISBLANK($C12),"",IF(J12=Constants!$B$2, TRUE(), IF(J12=Constants!$B$3,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Constants!B15) * IF(X12, 1, Constants!B16),"")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IF($AE12=Constants!$B$7,IF(AND(T12,U12,W12),Constants!$B$9*AH12/$AH$6, 0),"")</f>
        <v/>
      </c>
      <c r="AK12" s="94" t="str">
        <f aca="false">IF(AJ12&lt;&gt;"", AJ12*AG12,"")</f>
        <v/>
      </c>
      <c r="AL12" s="94" t="str">
        <f aca="false">IF(AND($AE12=Constants!$B$7, T12, U12) ,IF($Z12="", "", 1-ABS($AA12-$Z12)/$AA12),"")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,IF(AND(T12,U12,W12,ISNUMBER(Z12)),Constants!$B$10*AL12/$AL$6, 0),"")</f>
        <v/>
      </c>
      <c r="AO12" s="94" t="str">
        <f aca="false">IF(AN12&lt;&gt;"", AN12*AG12,"")</f>
        <v/>
      </c>
      <c r="AP12" s="94" t="str">
        <f aca="false">IF($AE12=Constants!$B$7,Constants!$B$8*AB12/$AP$6,"")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IF(ISBLANK(C12),"",IFERROR(_xlfn.SWITCH(BE12, Constants!$B$4, COUNTA($C$8:$C511)+2, Constants!$B$5, COUNTA($C$8:$C511)+1, Constants!$B$6, COUNTA($C$8:$C511)),BE12))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86"/>
      <c r="H13" s="87"/>
      <c r="I13" s="115"/>
      <c r="J13" s="115"/>
      <c r="K13" s="115"/>
      <c r="L13" s="89"/>
      <c r="M13" s="89"/>
      <c r="N13" s="89"/>
      <c r="O13" s="90"/>
      <c r="P13" s="91"/>
      <c r="Q13" s="116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4" t="str">
        <f aca="false">IF(ISBLANK($C13),"",IF(J13=Constants!$B$2, TRUE(), IF(J13=Constants!$B$3,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Constants!B16) * IF(X13, 1, Constants!B17),"")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IF($AE13=Constants!$B$7,IF(AND(T13,U13,W13),Constants!$B$9*AH13/$AH$6, 0),"")</f>
        <v/>
      </c>
      <c r="AK13" s="94" t="str">
        <f aca="false">IF(AJ13&lt;&gt;"", AJ13*AG13,"")</f>
        <v/>
      </c>
      <c r="AL13" s="94" t="str">
        <f aca="false">IF(AND($AE13=Constants!$B$7, T13, U13) ,IF($Z13="", "", 1-ABS($AA13-$Z13)/$AA13),"")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,IF(AND(T13,U13,W13,ISNUMBER(Z13)),Constants!$B$10*AL13/$AL$6, 0),"")</f>
        <v/>
      </c>
      <c r="AO13" s="94" t="str">
        <f aca="false">IF(AN13&lt;&gt;"", AN13*AG13,"")</f>
        <v/>
      </c>
      <c r="AP13" s="94" t="str">
        <f aca="false">IF($AE13=Constants!$B$7,Constants!$B$8*AB13/$AP$6,"")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IF(ISBLANK(C13),"",IFERROR(_xlfn.SWITCH(BE13, Constants!$B$4, COUNTA($C$8:$C512)+2, Constants!$B$5, COUNTA($C$8:$C512)+1, Constants!$B$6, COUNTA($C$8:$C512)),BE13))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7"/>
      <c r="C14" s="80"/>
      <c r="D14" s="81"/>
      <c r="E14" s="118"/>
      <c r="F14" s="118"/>
      <c r="G14" s="54"/>
      <c r="H14" s="55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IF(ISBLANK($C14),"",IF(J14=Constants!$B$2, TRUE(), IF(J14=Constants!$B$3,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Constants!B17) * IF(X14, 1, Constants!B18),"")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IF($AE14=Constants!$B$7,IF(AND(T14,U14,W14),Constants!$B$9*AH14/$AH$6, 0),"")</f>
        <v/>
      </c>
      <c r="AK14" s="62" t="str">
        <f aca="false">IF(AJ14&lt;&gt;"", AJ14*AG14,"")</f>
        <v/>
      </c>
      <c r="AL14" s="62" t="str">
        <f aca="false">IF(AND($AE14=Constants!$B$7, T14, U14) ,IF($Z14="", "", 1-ABS($AA14-$Z14)/$AA14),"")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,IF(AND(T14,U14,W14,ISNUMBER(Z14)),Constants!$B$10*AL14/$AL$6, 0),"")</f>
        <v/>
      </c>
      <c r="AO14" s="62" t="str">
        <f aca="false">IF(AN14&lt;&gt;"", AN14*AG14,"")</f>
        <v/>
      </c>
      <c r="AP14" s="62" t="str">
        <f aca="false">IF($AE14=Constants!$B$7,Constants!$B$8*AB14/$AP$6,"")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IF(ISBLANK(C14),"",IFERROR(_xlfn.SWITCH(BE14, Constants!$B$4, COUNTA($C$8:$C513)+2, Constants!$B$5, COUNTA($C$8:$C513)+1, Constants!$B$6, COUNTA($C$8:$C513)),BE14))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7"/>
      <c r="C15" s="80"/>
      <c r="D15" s="52"/>
      <c r="E15" s="118"/>
      <c r="F15" s="118"/>
      <c r="G15" s="54"/>
      <c r="H15" s="55"/>
      <c r="I15" s="119"/>
      <c r="J15" s="119"/>
      <c r="K15" s="119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IF(ISBLANK($C15),"",IF(J15=Constants!$B$2, TRUE(), IF(J15=Constants!$B$3,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Constants!B18) * IF(X15, 1, Constants!B19),"")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IF($AE15=Constants!$B$7,IF(AND(T15,U15,W15),Constants!$B$9*AH15/$AH$6, 0),"")</f>
        <v/>
      </c>
      <c r="AK15" s="62" t="str">
        <f aca="false">IF(AJ15&lt;&gt;"", AJ15*AG15,"")</f>
        <v/>
      </c>
      <c r="AL15" s="62" t="str">
        <f aca="false">IF(AND($AE15=Constants!$B$7, T15, U15) ,IF($Z15="", "", 1-ABS($AA15-$Z15)/$AA15),"")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IF($AE15=Constants!$B$7,Constants!$B$8*AB15/$AP$6,"")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IF(ISBLANK(C15),"",IFERROR(_xlfn.SWITCH(BE15, Constants!$B$4, COUNTA($C$8:$C514)+2, Constants!$B$5, COUNTA($C$8:$C514)+1, Constants!$B$6, COUNTA($C$8:$C514)),BE15))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7"/>
      <c r="C16" s="80"/>
      <c r="D16" s="52"/>
      <c r="E16" s="118"/>
      <c r="F16" s="118"/>
      <c r="G16" s="54"/>
      <c r="H16" s="55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IF(ISBLANK($C16),"",IF(J16=Constants!$B$2, TRUE(), IF(J16=Constants!$B$3,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Constants!B19) * IF(X16, 1, Constants!B20),"")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IF($AE16=Constants!$B$7,IF(AND(T16,U16,W16),Constants!$B$9*AH16/$AH$6, 0),"")</f>
        <v/>
      </c>
      <c r="AK16" s="62" t="str">
        <f aca="false">IF(AJ16&lt;&gt;"", AJ16*AG16,"")</f>
        <v/>
      </c>
      <c r="AL16" s="62" t="str">
        <f aca="false">IF(AND($AE16=Constants!$B$7, T16, U16) ,IF($Z16="", "", 1-ABS($AA16-$Z16)/$AA16),"")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IF($AE16=Constants!$B$7,Constants!$B$8*AB16/$AP$6,"")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IF(ISBLANK(C16),"",IFERROR(_xlfn.SWITCH(BE16, Constants!$B$4, COUNTA($C$8:$C515)+2, Constants!$B$5, COUNTA($C$8:$C515)+1, Constants!$B$6, COUNTA($C$8:$C515)),BE16))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0"/>
      <c r="C17" s="121"/>
      <c r="D17" s="110"/>
      <c r="E17" s="114"/>
      <c r="F17" s="114"/>
      <c r="G17" s="86"/>
      <c r="H17" s="87"/>
      <c r="I17" s="122"/>
      <c r="J17" s="122"/>
      <c r="K17" s="122"/>
      <c r="L17" s="89"/>
      <c r="M17" s="89"/>
      <c r="N17" s="89"/>
      <c r="O17" s="90"/>
      <c r="P17" s="91"/>
      <c r="Q17" s="123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4" t="str">
        <f aca="false">IF(ISBLANK($C17),"",IF(J17=Constants!$B$2, TRUE(), IF(J17=Constants!$B$3,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Constants!B20) * IF(X17, 1, Constants!B21),"")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IF($AE17=Constants!$B$7,IF(AND(T17,U17,W17),Constants!$B$9*AH17/$AH$6, 0),"")</f>
        <v/>
      </c>
      <c r="AK17" s="94" t="str">
        <f aca="false">IF(AJ17&lt;&gt;"", AJ17*AG17,"")</f>
        <v/>
      </c>
      <c r="AL17" s="94" t="str">
        <f aca="false">IF(AND($AE17=Constants!$B$7, T17, U17) ,IF($Z17="", "", 1-ABS($AA17-$Z17)/$AA17),"")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,IF(AND(T17,U17,W17,ISNUMBER(Z17)),Constants!$B$10*AL17/$AL$6, 0),"")</f>
        <v/>
      </c>
      <c r="AO17" s="94" t="str">
        <f aca="false">IF(AN17&lt;&gt;"", AN17*AG17,"")</f>
        <v/>
      </c>
      <c r="AP17" s="94" t="str">
        <f aca="false">IF($AE17=Constants!$B$7,Constants!$B$8*AB17/$AP$6,"")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IF(ISBLANK(C17),"",IFERROR(_xlfn.SWITCH(BE17, Constants!$B$4, COUNTA($C$8:$C516)+2, Constants!$B$5, COUNTA($C$8:$C516)+1, Constants!$B$6, COUNTA($C$8:$C516)),BE17))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0"/>
      <c r="C18" s="121"/>
      <c r="D18" s="110"/>
      <c r="E18" s="114"/>
      <c r="F18" s="114"/>
      <c r="G18" s="86"/>
      <c r="H18" s="87"/>
      <c r="I18" s="122"/>
      <c r="J18" s="122"/>
      <c r="K18" s="122"/>
      <c r="L18" s="89"/>
      <c r="M18" s="89"/>
      <c r="N18" s="89"/>
      <c r="O18" s="90"/>
      <c r="P18" s="91"/>
      <c r="Q18" s="123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4" t="str">
        <f aca="false">IF(ISBLANK($C18),"",IF(J18=Constants!$B$2, TRUE(), IF(J18=Constants!$B$3,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Constants!B21) * IF(X18, 1, Constants!B22),"")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IF($AE18=Constants!$B$7,IF(AND(T18,U18,W18),Constants!$B$9*AH18/$AH$6, 0),"")</f>
        <v/>
      </c>
      <c r="AK18" s="94" t="str">
        <f aca="false">IF(AJ18&lt;&gt;"", AJ18*AG18,"")</f>
        <v/>
      </c>
      <c r="AL18" s="94" t="str">
        <f aca="false">IF(AND($AE18=Constants!$B$7, T18, U18) ,IF($Z18="", "", 1-ABS($AA18-$Z18)/$AA18),"")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,IF(AND(T18,U18,W18,ISNUMBER(Z18)),Constants!$B$10*AL18/$AL$6, 0),"")</f>
        <v/>
      </c>
      <c r="AO18" s="94" t="str">
        <f aca="false">IF(AN18&lt;&gt;"", AN18*AG18,"")</f>
        <v/>
      </c>
      <c r="AP18" s="94" t="str">
        <f aca="false">IF($AE18=Constants!$B$7,Constants!$B$8*AB18/$AP$6,"")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IF(ISBLANK(C18),"",IFERROR(_xlfn.SWITCH(BE18, Constants!$B$4, COUNTA($C$8:$C517)+2, Constants!$B$5, COUNTA($C$8:$C517)+1, Constants!$B$6, COUNTA($C$8:$C517)),BE18))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0"/>
      <c r="C19" s="121"/>
      <c r="D19" s="110"/>
      <c r="E19" s="114"/>
      <c r="F19" s="114"/>
      <c r="G19" s="86"/>
      <c r="H19" s="87"/>
      <c r="I19" s="122"/>
      <c r="J19" s="122"/>
      <c r="K19" s="122"/>
      <c r="L19" s="89"/>
      <c r="M19" s="89"/>
      <c r="N19" s="89"/>
      <c r="O19" s="90"/>
      <c r="P19" s="91"/>
      <c r="Q19" s="123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4" t="str">
        <f aca="false">IF(ISBLANK($C19),"",IF(J19=Constants!$B$2, TRUE(), IF(J19=Constants!$B$3,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Constants!B22) * IF(X19, 1, Constants!B23),"")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IF($AE19=Constants!$B$7,IF(AND(T19,U19,W19),Constants!$B$9*AH19/$AH$6, 0),"")</f>
        <v/>
      </c>
      <c r="AK19" s="94" t="str">
        <f aca="false">IF(AJ19&lt;&gt;"", AJ19*AG19,"")</f>
        <v/>
      </c>
      <c r="AL19" s="94" t="str">
        <f aca="false">IF(AND($AE19=Constants!$B$7, T19, U19) ,IF($Z19="", "", 1-ABS($AA19-$Z19)/$AA19),"")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,IF(AND(T19,U19,W19,ISNUMBER(Z19)),Constants!$B$10*AL19/$AL$6, 0),"")</f>
        <v/>
      </c>
      <c r="AO19" s="94" t="str">
        <f aca="false">IF(AN19&lt;&gt;"", AN19*AG19,"")</f>
        <v/>
      </c>
      <c r="AP19" s="94" t="str">
        <f aca="false">IF($AE19=Constants!$B$7,Constants!$B$8*AB19/$AP$6,"")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IF(ISBLANK(C19),"",IFERROR(_xlfn.SWITCH(BE19, Constants!$B$4, COUNTA($C$8:$C518)+2, Constants!$B$5, COUNTA($C$8:$C518)+1, Constants!$B$6, COUNTA($C$8:$C518)),BE19))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4"/>
      <c r="C20" s="51"/>
      <c r="D20" s="52"/>
      <c r="E20" s="118"/>
      <c r="F20" s="118"/>
      <c r="G20" s="54"/>
      <c r="H20" s="55"/>
      <c r="I20" s="119"/>
      <c r="J20" s="119"/>
      <c r="K20" s="119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IF(ISBLANK($C20),"",IF(J20=Constants!$B$2, TRUE(), IF(J20=Constants!$B$3,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Constants!B23) * IF(X20, 1, Constants!B24),"")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IF($AE20=Constants!$B$7,IF(AND(T20,U20,W20),Constants!$B$9*AH20/$AH$6, 0),"")</f>
        <v/>
      </c>
      <c r="AK20" s="62" t="str">
        <f aca="false">IF(AJ20&lt;&gt;"", AJ20*AG20,"")</f>
        <v/>
      </c>
      <c r="AL20" s="62" t="str">
        <f aca="false">IF(AND($AE20=Constants!$B$7, T20, U20) ,IF($Z20="", "", 1-ABS($AA20-$Z20)/$AA20),"")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IF($AE20=Constants!$B$7,Constants!$B$8*AB20/$AP$6,"")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IF(ISBLANK(C20),"",IFERROR(_xlfn.SWITCH(BE20, Constants!$B$4, COUNTA($C$8:$C519)+2, Constants!$B$5, COUNTA($C$8:$C519)+1, Constants!$B$6, COUNTA($C$8:$C519)),BE20))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4"/>
      <c r="C21" s="51"/>
      <c r="D21" s="52"/>
      <c r="E21" s="118"/>
      <c r="F21" s="118"/>
      <c r="G21" s="54"/>
      <c r="H21" s="55"/>
      <c r="I21" s="119"/>
      <c r="J21" s="119"/>
      <c r="K21" s="119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IF(ISBLANK($C21),"",IF(J21=Constants!$B$2, TRUE(), IF(J21=Constants!$B$3,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Constants!B24) * IF(X21, 1, Constants!B25),"")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IF($AE21=Constants!$B$7,IF(AND(T21,U21,W21),Constants!$B$9*AH21/$AH$6, 0),"")</f>
        <v/>
      </c>
      <c r="AK21" s="62" t="str">
        <f aca="false">IF(AJ21&lt;&gt;"", AJ21*AG21,"")</f>
        <v/>
      </c>
      <c r="AL21" s="62" t="str">
        <f aca="false">IF(AND($AE21=Constants!$B$7, T21, U21) ,IF($Z21="", "", 1-ABS($AA21-$Z21)/$AA21),"")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IF($AE21=Constants!$B$7,Constants!$B$8*AB21/$AP$6,"")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IF(ISBLANK(C21),"",IFERROR(_xlfn.SWITCH(BE21, Constants!$B$4, COUNTA($C$8:$C520)+2, Constants!$B$5, COUNTA($C$8:$C520)+1, Constants!$B$6, COUNTA($C$8:$C520)),BE21))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4"/>
      <c r="C22" s="51"/>
      <c r="D22" s="52"/>
      <c r="E22" s="118"/>
      <c r="F22" s="118"/>
      <c r="G22" s="54"/>
      <c r="H22" s="55"/>
      <c r="I22" s="119"/>
      <c r="J22" s="119"/>
      <c r="K22" s="119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IF(ISBLANK($C22),"",IF(J22=Constants!$B$2, TRUE(), IF(J22=Constants!$B$3,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Constants!B25) * IF(X22, 1, Constants!B26),"")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IF($AE22=Constants!$B$7,IF(AND(T22,U22,W22),Constants!$B$9*AH22/$AH$6, 0),"")</f>
        <v/>
      </c>
      <c r="AK22" s="62" t="str">
        <f aca="false">IF(AJ22&lt;&gt;"", AJ22*AG22,"")</f>
        <v/>
      </c>
      <c r="AL22" s="62" t="str">
        <f aca="false">IF(AND($AE22=Constants!$B$7, T22, U22) ,IF($Z22="", "", 1-ABS($AA22-$Z22)/$AA22),"")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IF($AE22=Constants!$B$7,Constants!$B$8*AB22/$AP$6,"")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IF(ISBLANK(C22),"",IFERROR(_xlfn.SWITCH(BE22, Constants!$B$4, COUNTA($C$8:$C521)+2, Constants!$B$5, COUNTA($C$8:$C521)+1, Constants!$B$6, COUNTA($C$8:$C521)),BE22))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0"/>
      <c r="C23" s="121"/>
      <c r="D23" s="110"/>
      <c r="E23" s="114"/>
      <c r="F23" s="114"/>
      <c r="G23" s="86"/>
      <c r="H23" s="87"/>
      <c r="I23" s="122"/>
      <c r="J23" s="122"/>
      <c r="K23" s="122"/>
      <c r="L23" s="89"/>
      <c r="M23" s="89"/>
      <c r="N23" s="89"/>
      <c r="O23" s="90"/>
      <c r="P23" s="91"/>
      <c r="Q23" s="123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4" t="str">
        <f aca="false">IF(ISBLANK($C23),"",IF(J23=Constants!$B$2, TRUE(), IF(J23=Constants!$B$3,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Constants!B26) * IF(X23, 1, Constants!B27),"")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IF($AE23=Constants!$B$7,IF(AND(T23,U23,W23),Constants!$B$9*AH23/$AH$6, 0),"")</f>
        <v/>
      </c>
      <c r="AK23" s="94" t="str">
        <f aca="false">IF(AJ23&lt;&gt;"", AJ23*AG23,"")</f>
        <v/>
      </c>
      <c r="AL23" s="94" t="str">
        <f aca="false">IF(AND($AE23=Constants!$B$7, T23, U23) ,IF($Z23="", "", 1-ABS($AA23-$Z23)/$AA23),"")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,IF(AND(T23,U23,W23,ISNUMBER(Z23)),Constants!$B$10*AL23/$AL$6, 0),"")</f>
        <v/>
      </c>
      <c r="AO23" s="94" t="str">
        <f aca="false">IF(AN23&lt;&gt;"", AN23*AG23,"")</f>
        <v/>
      </c>
      <c r="AP23" s="94" t="str">
        <f aca="false">IF($AE23=Constants!$B$7,Constants!$B$8*AB23/$AP$6,"")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IF(ISBLANK(C23),"",IFERROR(_xlfn.SWITCH(BE23, Constants!$B$4, COUNTA($C$8:$C522)+2, Constants!$B$5, COUNTA($C$8:$C522)+1, Constants!$B$6, COUNTA($C$8:$C522)),BE23))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0"/>
      <c r="C24" s="121"/>
      <c r="D24" s="110"/>
      <c r="E24" s="114"/>
      <c r="F24" s="114"/>
      <c r="G24" s="86"/>
      <c r="H24" s="87"/>
      <c r="I24" s="122"/>
      <c r="J24" s="122"/>
      <c r="K24" s="122"/>
      <c r="L24" s="89"/>
      <c r="M24" s="89"/>
      <c r="N24" s="89"/>
      <c r="O24" s="90"/>
      <c r="P24" s="91"/>
      <c r="Q24" s="123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4" t="str">
        <f aca="false">IF(ISBLANK($C24),"",IF(J24=Constants!$B$2, TRUE(), IF(J24=Constants!$B$3,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Constants!B27) * IF(X24, 1, Constants!B28),"")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IF($AE24=Constants!$B$7,IF(AND(T24,U24,W24),Constants!$B$9*AH24/$AH$6, 0),"")</f>
        <v/>
      </c>
      <c r="AK24" s="94" t="str">
        <f aca="false">IF(AJ24&lt;&gt;"", AJ24*AG24,"")</f>
        <v/>
      </c>
      <c r="AL24" s="94" t="str">
        <f aca="false">IF(AND($AE24=Constants!$B$7, T24, U24) ,IF($Z24="", "", 1-ABS($AA24-$Z24)/$AA24),"")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,IF(AND(T24,U24,W24,ISNUMBER(Z24)),Constants!$B$10*AL24/$AL$6, 0),"")</f>
        <v/>
      </c>
      <c r="AO24" s="94" t="str">
        <f aca="false">IF(AN24&lt;&gt;"", AN24*AG24,"")</f>
        <v/>
      </c>
      <c r="AP24" s="94" t="str">
        <f aca="false">IF($AE24=Constants!$B$7,Constants!$B$8*AB24/$AP$6,"")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IF(ISBLANK(C24),"",IFERROR(_xlfn.SWITCH(BE24, Constants!$B$4, COUNTA($C$8:$C523)+2, Constants!$B$5, COUNTA($C$8:$C523)+1, Constants!$B$6, COUNTA($C$8:$C523)),BE24))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0"/>
      <c r="C25" s="121"/>
      <c r="D25" s="110"/>
      <c r="E25" s="114"/>
      <c r="F25" s="114"/>
      <c r="G25" s="86"/>
      <c r="H25" s="87"/>
      <c r="I25" s="122"/>
      <c r="J25" s="122"/>
      <c r="K25" s="122"/>
      <c r="L25" s="89"/>
      <c r="M25" s="89"/>
      <c r="N25" s="89"/>
      <c r="O25" s="90"/>
      <c r="P25" s="91"/>
      <c r="Q25" s="123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4" t="str">
        <f aca="false">IF(ISBLANK($C25),"",IF(J25=Constants!$B$2, TRUE(), IF(J25=Constants!$B$3,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Constants!B28) * IF(X25, 1, Constants!B29),"")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IF($AE25=Constants!$B$7,IF(AND(T25,U25,W25),Constants!$B$9*AH25/$AH$6, 0),"")</f>
        <v/>
      </c>
      <c r="AK25" s="94" t="str">
        <f aca="false">IF(AJ25&lt;&gt;"", AJ25*AG25,"")</f>
        <v/>
      </c>
      <c r="AL25" s="94" t="str">
        <f aca="false">IF(AND($AE25=Constants!$B$7, T25, U25) ,IF($Z25="", "", 1-ABS($AA25-$Z25)/$AA25),"")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,IF(AND(T25,U25,W25,ISNUMBER(Z25)),Constants!$B$10*AL25/$AL$6, 0),"")</f>
        <v/>
      </c>
      <c r="AO25" s="94" t="str">
        <f aca="false">IF(AN25&lt;&gt;"", AN25*AG25,"")</f>
        <v/>
      </c>
      <c r="AP25" s="94" t="str">
        <f aca="false">IF($AE25=Constants!$B$7,Constants!$B$8*AB25/$AP$6,"")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IF(ISBLANK(C25),"",IFERROR(_xlfn.SWITCH(BE25, Constants!$B$4, COUNTA($C$8:$C524)+2, Constants!$B$5, COUNTA($C$8:$C524)+1, Constants!$B$6, COUNTA($C$8:$C524)),BE25))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4"/>
      <c r="C26" s="51"/>
      <c r="D26" s="52"/>
      <c r="E26" s="118"/>
      <c r="F26" s="118"/>
      <c r="G26" s="54"/>
      <c r="H26" s="55"/>
      <c r="I26" s="119"/>
      <c r="J26" s="119"/>
      <c r="K26" s="119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IF(ISBLANK($C26),"",IF(J26=Constants!$B$2, TRUE(), IF(J26=Constants!$B$3,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Constants!B29) * IF(X26, 1, Constants!B30),"")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IF($AE26=Constants!$B$7,IF(AND(T26,U26,W26),Constants!$B$9*AH26/$AH$6, 0),"")</f>
        <v/>
      </c>
      <c r="AK26" s="62" t="str">
        <f aca="false">IF(AJ26&lt;&gt;"", AJ26*AG26,"")</f>
        <v/>
      </c>
      <c r="AL26" s="62" t="str">
        <f aca="false">IF(AND($AE26=Constants!$B$7, T26, U26) ,IF($Z26="", "", 1-ABS($AA26-$Z26)/$AA26),"")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IF($AE26=Constants!$B$7,Constants!$B$8*AB26/$AP$6,"")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IF(ISBLANK(C26),"",IFERROR(_xlfn.SWITCH(BE26, Constants!$B$4, COUNTA($C$8:$C525)+2, Constants!$B$5, COUNTA($C$8:$C525)+1, Constants!$B$6, COUNTA($C$8:$C525)),BE26))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4"/>
      <c r="C27" s="51"/>
      <c r="D27" s="52"/>
      <c r="E27" s="118"/>
      <c r="F27" s="118"/>
      <c r="G27" s="54"/>
      <c r="H27" s="55"/>
      <c r="I27" s="119"/>
      <c r="J27" s="119"/>
      <c r="K27" s="119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IF(ISBLANK($C27),"",IF(J27=Constants!$B$2, TRUE(), IF(J27=Constants!$B$3,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Constants!B30) * IF(X27, 1, Constants!B31),"")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IF($AE27=Constants!$B$7,IF(AND(T27,U27,W27),Constants!$B$9*AH27/$AH$6, 0),"")</f>
        <v/>
      </c>
      <c r="AK27" s="62" t="str">
        <f aca="false">IF(AJ27&lt;&gt;"", AJ27*AG27,"")</f>
        <v/>
      </c>
      <c r="AL27" s="62" t="str">
        <f aca="false">IF(AND($AE27=Constants!$B$7, T27, U27) ,IF($Z27="", "", 1-ABS($AA27-$Z27)/$AA27),"")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IF($AE27=Constants!$B$7,Constants!$B$8*AB27/$AP$6,"")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IF(ISBLANK(C27),"",IFERROR(_xlfn.SWITCH(BE27, Constants!$B$4, COUNTA($C$8:$C526)+2, Constants!$B$5, COUNTA($C$8:$C526)+1, Constants!$B$6, COUNTA($C$8:$C526)),BE27))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4"/>
      <c r="C28" s="51"/>
      <c r="D28" s="52"/>
      <c r="E28" s="118"/>
      <c r="F28" s="118"/>
      <c r="G28" s="54"/>
      <c r="H28" s="55"/>
      <c r="I28" s="119"/>
      <c r="J28" s="119"/>
      <c r="K28" s="119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IF(ISBLANK($C28),"",IF(J28=Constants!$B$2, TRUE(), IF(J28=Constants!$B$3,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Constants!B31) * IF(X28, 1, Constants!B32),"")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IF($AE28=Constants!$B$7,IF(AND(T28,U28,W28),Constants!$B$9*AH28/$AH$6, 0),"")</f>
        <v/>
      </c>
      <c r="AK28" s="62" t="str">
        <f aca="false">IF(AJ28&lt;&gt;"", AJ28*AG28,"")</f>
        <v/>
      </c>
      <c r="AL28" s="62" t="str">
        <f aca="false">IF(AND($AE28=Constants!$B$7, T28, U28) ,IF($Z28="", "", 1-ABS($AA28-$Z28)/$AA28),"")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IF($AE28=Constants!$B$7,Constants!$B$8*AB28/$AP$6,"")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IF(ISBLANK(C28),"",IFERROR(_xlfn.SWITCH(BE28, Constants!$B$4, COUNTA($C$8:$C527)+2, Constants!$B$5, COUNTA($C$8:$C527)+1, Constants!$B$6, COUNTA($C$8:$C527)),BE28))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0"/>
      <c r="C29" s="121"/>
      <c r="D29" s="110"/>
      <c r="E29" s="114"/>
      <c r="F29" s="114"/>
      <c r="G29" s="86"/>
      <c r="H29" s="87"/>
      <c r="I29" s="122"/>
      <c r="J29" s="122"/>
      <c r="K29" s="122"/>
      <c r="L29" s="89"/>
      <c r="M29" s="89"/>
      <c r="N29" s="89"/>
      <c r="O29" s="90"/>
      <c r="P29" s="91"/>
      <c r="Q29" s="123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4" t="str">
        <f aca="false">IF(ISBLANK($C29),"",IF(J29=Constants!$B$2, TRUE(), IF(J29=Constants!$B$3,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Constants!B32) * IF(X29, 1, Constants!B33),"")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IF($AE29=Constants!$B$7,IF(AND(T29,U29,W29),Constants!$B$9*AH29/$AH$6, 0),"")</f>
        <v/>
      </c>
      <c r="AK29" s="94" t="str">
        <f aca="false">IF(AJ29&lt;&gt;"", AJ29*AG29,"")</f>
        <v/>
      </c>
      <c r="AL29" s="94" t="str">
        <f aca="false">IF(AND($AE29=Constants!$B$7, T29, U29) ,IF($Z29="", "", 1-ABS($AA29-$Z29)/$AA29),"")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,IF(AND(T29,U29,W29,ISNUMBER(Z29)),Constants!$B$10*AL29/$AL$6, 0),"")</f>
        <v/>
      </c>
      <c r="AO29" s="94" t="str">
        <f aca="false">IF(AN29&lt;&gt;"", AN29*AG29,"")</f>
        <v/>
      </c>
      <c r="AP29" s="94" t="str">
        <f aca="false">IF($AE29=Constants!$B$7,Constants!$B$8*AB29/$AP$6,"")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IF(ISBLANK(C29),"",IFERROR(_xlfn.SWITCH(BE29, Constants!$B$4, COUNTA($C$8:$C528)+2, Constants!$B$5, COUNTA($C$8:$C528)+1, Constants!$B$6, COUNTA($C$8:$C528)),BE29))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0"/>
      <c r="C30" s="121"/>
      <c r="D30" s="110"/>
      <c r="E30" s="114"/>
      <c r="F30" s="114"/>
      <c r="G30" s="86"/>
      <c r="H30" s="87"/>
      <c r="I30" s="122"/>
      <c r="J30" s="122"/>
      <c r="K30" s="122"/>
      <c r="L30" s="89"/>
      <c r="M30" s="89"/>
      <c r="N30" s="89"/>
      <c r="O30" s="90"/>
      <c r="P30" s="91"/>
      <c r="Q30" s="123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4" t="str">
        <f aca="false">IF(ISBLANK($C30),"",IF(J30=Constants!$B$2, TRUE(), IF(J30=Constants!$B$3,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Constants!B33) * IF(X30, 1, Constants!B34),"")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IF($AE30=Constants!$B$7,IF(AND(T30,U30,W30),Constants!$B$9*AH30/$AH$6, 0),"")</f>
        <v/>
      </c>
      <c r="AK30" s="94" t="str">
        <f aca="false">IF(AJ30&lt;&gt;"", AJ30*AG30,"")</f>
        <v/>
      </c>
      <c r="AL30" s="94" t="str">
        <f aca="false">IF(AND($AE30=Constants!$B$7, T30, U30) ,IF($Z30="", "", 1-ABS($AA30-$Z30)/$AA30),"")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,IF(AND(T30,U30,W30,ISNUMBER(Z30)),Constants!$B$10*AL30/$AL$6, 0),"")</f>
        <v/>
      </c>
      <c r="AO30" s="94" t="str">
        <f aca="false">IF(AN30&lt;&gt;"", AN30*AG30,"")</f>
        <v/>
      </c>
      <c r="AP30" s="94" t="str">
        <f aca="false">IF($AE30=Constants!$B$7,Constants!$B$8*AB30/$AP$6,"")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IF(ISBLANK(C30),"",IFERROR(_xlfn.SWITCH(BE30, Constants!$B$4, COUNTA($C$8:$C529)+2, Constants!$B$5, COUNTA($C$8:$C529)+1, Constants!$B$6, COUNTA($C$8:$C529)),BE30))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0"/>
      <c r="C31" s="121"/>
      <c r="D31" s="110"/>
      <c r="E31" s="114"/>
      <c r="F31" s="114"/>
      <c r="G31" s="86"/>
      <c r="H31" s="87"/>
      <c r="I31" s="122"/>
      <c r="J31" s="122"/>
      <c r="K31" s="122"/>
      <c r="L31" s="89"/>
      <c r="M31" s="89"/>
      <c r="N31" s="89"/>
      <c r="O31" s="90"/>
      <c r="P31" s="91"/>
      <c r="Q31" s="123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4" t="str">
        <f aca="false">IF(ISBLANK($C31),"",IF(J31=Constants!$B$2, TRUE(), IF(J31=Constants!$B$3,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Constants!B34) * IF(X31, 1, Constants!B35),"")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IF($AE31=Constants!$B$7,IF(AND(T31,U31,W31),Constants!$B$9*AH31/$AH$6, 0),"")</f>
        <v/>
      </c>
      <c r="AK31" s="94" t="str">
        <f aca="false">IF(AJ31&lt;&gt;"", AJ31*AG31,"")</f>
        <v/>
      </c>
      <c r="AL31" s="94" t="str">
        <f aca="false">IF(AND($AE31=Constants!$B$7, T31, U31) ,IF($Z31="", "", 1-ABS($AA31-$Z31)/$AA31),"")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,IF(AND(T31,U31,W31,ISNUMBER(Z31)),Constants!$B$10*AL31/$AL$6, 0),"")</f>
        <v/>
      </c>
      <c r="AO31" s="94" t="str">
        <f aca="false">IF(AN31&lt;&gt;"", AN31*AG31,"")</f>
        <v/>
      </c>
      <c r="AP31" s="94" t="str">
        <f aca="false">IF($AE31=Constants!$B$7,Constants!$B$8*AB31/$AP$6,"")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IF(ISBLANK(C31),"",IFERROR(_xlfn.SWITCH(BE31, Constants!$B$4, COUNTA($C$8:$C530)+2, Constants!$B$5, COUNTA($C$8:$C530)+1, Constants!$B$6, COUNTA($C$8:$C530)),BE31))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4"/>
      <c r="C32" s="51"/>
      <c r="D32" s="52"/>
      <c r="E32" s="118"/>
      <c r="F32" s="118"/>
      <c r="G32" s="54"/>
      <c r="H32" s="55"/>
      <c r="I32" s="119"/>
      <c r="J32" s="119"/>
      <c r="K32" s="119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IF(ISBLANK($C32),"",IF(J32=Constants!$B$2, TRUE(), IF(J32=Constants!$B$3,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Constants!B35) * IF(X32, 1, Constants!B36),"")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IF($AE32=Constants!$B$7,IF(AND(T32,U32,W32),Constants!$B$9*AH32/$AH$6, 0),"")</f>
        <v/>
      </c>
      <c r="AK32" s="62" t="str">
        <f aca="false">IF(AJ32&lt;&gt;"", AJ32*AG32,"")</f>
        <v/>
      </c>
      <c r="AL32" s="62" t="str">
        <f aca="false">IF(AND($AE32=Constants!$B$7, T32, U32) ,IF($Z32="", "", 1-ABS($AA32-$Z32)/$AA32),"")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IF($AE32=Constants!$B$7,Constants!$B$8*AB32/$AP$6,"")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IF(ISBLANK(C32),"",IFERROR(_xlfn.SWITCH(BE32, Constants!$B$4, COUNTA($C$8:$C531)+2, Constants!$B$5, COUNTA($C$8:$C531)+1, Constants!$B$6, COUNTA($C$8:$C531)),BE32))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4"/>
      <c r="C33" s="51"/>
      <c r="D33" s="52"/>
      <c r="E33" s="118"/>
      <c r="F33" s="118"/>
      <c r="G33" s="54"/>
      <c r="H33" s="55"/>
      <c r="I33" s="119"/>
      <c r="J33" s="119"/>
      <c r="K33" s="119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IF(ISBLANK($C33),"",IF(J33=Constants!$B$2, TRUE(), IF(J33=Constants!$B$3,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Constants!B36) * IF(X33, 1, Constants!B37),"")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IF($AE33=Constants!$B$7,IF(AND(T33,U33,W33),Constants!$B$9*AH33/$AH$6, 0),"")</f>
        <v/>
      </c>
      <c r="AK33" s="62" t="str">
        <f aca="false">IF(AJ33&lt;&gt;"", AJ33*AG33,"")</f>
        <v/>
      </c>
      <c r="AL33" s="62" t="str">
        <f aca="false">IF(AND($AE33=Constants!$B$7, T33, U33) ,IF($Z33="", "", 1-ABS($AA33-$Z33)/$AA33),"")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IF($AE33=Constants!$B$7,Constants!$B$8*AB33/$AP$6,"")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IF(ISBLANK(C33),"",IFERROR(_xlfn.SWITCH(BE33, Constants!$B$4, COUNTA($C$8:$C532)+2, Constants!$B$5, COUNTA($C$8:$C532)+1, Constants!$B$6, COUNTA($C$8:$C532)),BE33))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4"/>
      <c r="C34" s="51"/>
      <c r="D34" s="52"/>
      <c r="E34" s="118"/>
      <c r="F34" s="118"/>
      <c r="G34" s="54"/>
      <c r="H34" s="55"/>
      <c r="I34" s="119"/>
      <c r="J34" s="119"/>
      <c r="K34" s="119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IF(ISBLANK($C34),"",IF(J34=Constants!$B$2, TRUE(), IF(J34=Constants!$B$3,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Constants!B37) * IF(X34, 1, Constants!B38),"")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IF($AE34=Constants!$B$7,IF(AND(T34,U34,W34),Constants!$B$9*AH34/$AH$6, 0),"")</f>
        <v/>
      </c>
      <c r="AK34" s="62" t="str">
        <f aca="false">IF(AJ34&lt;&gt;"", AJ34*AG34,"")</f>
        <v/>
      </c>
      <c r="AL34" s="62" t="str">
        <f aca="false">IF(AND($AE34=Constants!$B$7, T34, U34) ,IF($Z34="", "", 1-ABS($AA34-$Z34)/$AA34),"")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IF($AE34=Constants!$B$7,Constants!$B$8*AB34/$AP$6,"")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IF(ISBLANK(C34),"",IFERROR(_xlfn.SWITCH(BE34, Constants!$B$4, COUNTA($C$8:$C533)+2, Constants!$B$5, COUNTA($C$8:$C533)+1, Constants!$B$6, COUNTA($C$8:$C533)),BE34))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0"/>
      <c r="C35" s="121"/>
      <c r="D35" s="110"/>
      <c r="E35" s="114"/>
      <c r="F35" s="114"/>
      <c r="G35" s="86"/>
      <c r="H35" s="87"/>
      <c r="I35" s="122"/>
      <c r="J35" s="122"/>
      <c r="K35" s="122"/>
      <c r="L35" s="89"/>
      <c r="M35" s="89"/>
      <c r="N35" s="89"/>
      <c r="O35" s="90"/>
      <c r="P35" s="91"/>
      <c r="Q35" s="123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4" t="str">
        <f aca="false">IF(ISBLANK($C35),"",IF(J35=Constants!$B$2, TRUE(), IF(J35=Constants!$B$3,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Constants!B38) * IF(X35, 1, Constants!B39),"")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IF($AE35=Constants!$B$7,IF(AND(T35,U35,W35),Constants!$B$9*AH35/$AH$6, 0),"")</f>
        <v/>
      </c>
      <c r="AK35" s="94" t="str">
        <f aca="false">IF(AJ35&lt;&gt;"", AJ35*AG35,"")</f>
        <v/>
      </c>
      <c r="AL35" s="94" t="str">
        <f aca="false">IF(AND($AE35=Constants!$B$7, T35, U35) ,IF($Z35="", "", 1-ABS($AA35-$Z35)/$AA35),"")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,IF(AND(T35,U35,W35,ISNUMBER(Z35)),Constants!$B$10*AL35/$AL$6, 0),"")</f>
        <v/>
      </c>
      <c r="AO35" s="94" t="str">
        <f aca="false">IF(AN35&lt;&gt;"", AN35*AG35,"")</f>
        <v/>
      </c>
      <c r="AP35" s="94" t="str">
        <f aca="false">IF($AE35=Constants!$B$7,Constants!$B$8*AB35/$AP$6,"")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IF(ISBLANK(C35),"",IFERROR(_xlfn.SWITCH(BE35, Constants!$B$4, COUNTA($C$8:$C534)+2, Constants!$B$5, COUNTA($C$8:$C534)+1, Constants!$B$6, COUNTA($C$8:$C534)),BE35))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0"/>
      <c r="C36" s="121"/>
      <c r="D36" s="110"/>
      <c r="E36" s="114"/>
      <c r="F36" s="114"/>
      <c r="G36" s="86"/>
      <c r="H36" s="87"/>
      <c r="I36" s="122"/>
      <c r="J36" s="122"/>
      <c r="K36" s="122"/>
      <c r="L36" s="89"/>
      <c r="M36" s="89"/>
      <c r="N36" s="89"/>
      <c r="O36" s="90"/>
      <c r="P36" s="91"/>
      <c r="Q36" s="123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4" t="str">
        <f aca="false">IF(ISBLANK($C36),"",IF(J36=Constants!$B$2, TRUE(), IF(J36=Constants!$B$3,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Constants!B39) * IF(X36, 1, Constants!B40),"")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IF($AE36=Constants!$B$7,IF(AND(T36,U36,W36),Constants!$B$9*AH36/$AH$6, 0),"")</f>
        <v/>
      </c>
      <c r="AK36" s="94" t="str">
        <f aca="false">IF(AJ36&lt;&gt;"", AJ36*AG36,"")</f>
        <v/>
      </c>
      <c r="AL36" s="94" t="str">
        <f aca="false">IF(AND($AE36=Constants!$B$7, T36, U36) ,IF($Z36="", "", 1-ABS($AA36-$Z36)/$AA36),"")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,IF(AND(T36,U36,W36,ISNUMBER(Z36)),Constants!$B$10*AL36/$AL$6, 0),"")</f>
        <v/>
      </c>
      <c r="AO36" s="94" t="str">
        <f aca="false">IF(AN36&lt;&gt;"", AN36*AG36,"")</f>
        <v/>
      </c>
      <c r="AP36" s="94" t="str">
        <f aca="false">IF($AE36=Constants!$B$7,Constants!$B$8*AB36/$AP$6,"")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IF(ISBLANK(C36),"",IFERROR(_xlfn.SWITCH(BE36, Constants!$B$4, COUNTA($C$8:$C535)+2, Constants!$B$5, COUNTA($C$8:$C535)+1, Constants!$B$6, COUNTA($C$8:$C535)),BE36))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0"/>
      <c r="C37" s="121"/>
      <c r="D37" s="110"/>
      <c r="E37" s="114"/>
      <c r="F37" s="114"/>
      <c r="G37" s="86"/>
      <c r="H37" s="87"/>
      <c r="I37" s="122"/>
      <c r="J37" s="122"/>
      <c r="K37" s="122"/>
      <c r="L37" s="89"/>
      <c r="M37" s="89"/>
      <c r="N37" s="89"/>
      <c r="O37" s="90"/>
      <c r="P37" s="91"/>
      <c r="Q37" s="123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4" t="str">
        <f aca="false">IF(ISBLANK($C37),"",IF(J37=Constants!$B$2, TRUE(), IF(J37=Constants!$B$3,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Constants!B40) * IF(X37, 1, Constants!B41),"")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IF($AE37=Constants!$B$7,IF(AND(T37,U37,W37),Constants!$B$9*AH37/$AH$6, 0),"")</f>
        <v/>
      </c>
      <c r="AK37" s="94" t="str">
        <f aca="false">IF(AJ37&lt;&gt;"", AJ37*AG37,"")</f>
        <v/>
      </c>
      <c r="AL37" s="94" t="str">
        <f aca="false">IF(AND($AE37=Constants!$B$7, T37, U37) ,IF($Z37="", "", 1-ABS($AA37-$Z37)/$AA37),"")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,IF(AND(T37,U37,W37,ISNUMBER(Z37)),Constants!$B$10*AL37/$AL$6, 0),"")</f>
        <v/>
      </c>
      <c r="AO37" s="94" t="str">
        <f aca="false">IF(AN37&lt;&gt;"", AN37*AG37,"")</f>
        <v/>
      </c>
      <c r="AP37" s="94" t="str">
        <f aca="false">IF($AE37=Constants!$B$7,Constants!$B$8*AB37/$AP$6,"")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IF(ISBLANK(C37),"",IFERROR(_xlfn.SWITCH(BE37, Constants!$B$4, COUNTA($C$8:$C536)+2, Constants!$B$5, COUNTA($C$8:$C536)+1, Constants!$B$6, COUNTA($C$8:$C536)),BE37))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4"/>
      <c r="C38" s="51"/>
      <c r="D38" s="52"/>
      <c r="E38" s="118"/>
      <c r="F38" s="118"/>
      <c r="G38" s="54"/>
      <c r="H38" s="55"/>
      <c r="I38" s="119"/>
      <c r="J38" s="119"/>
      <c r="K38" s="119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IF(ISBLANK($C38),"",IF(J38=Constants!$B$2, TRUE(), IF(J38=Constants!$B$3,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Constants!B41) * IF(X38, 1, Constants!B42),"")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IF($AE38=Constants!$B$7,IF(AND(T38,U38,W38),Constants!$B$9*AH38/$AH$6, 0),"")</f>
        <v/>
      </c>
      <c r="AK38" s="62" t="str">
        <f aca="false">IF(AJ38&lt;&gt;"", AJ38*AG38,"")</f>
        <v/>
      </c>
      <c r="AL38" s="62" t="str">
        <f aca="false">IF(AND($AE38=Constants!$B$7, T38, U38) ,IF($Z38="", "", 1-ABS($AA38-$Z38)/$AA38),"")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IF($AE38=Constants!$B$7,Constants!$B$8*AB38/$AP$6,"")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IF(ISBLANK(C38),"",IFERROR(_xlfn.SWITCH(BE38, Constants!$B$4, COUNTA($C$8:$C537)+2, Constants!$B$5, COUNTA($C$8:$C537)+1, Constants!$B$6, COUNTA($C$8:$C537)),BE38))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4"/>
      <c r="C39" s="51"/>
      <c r="D39" s="52"/>
      <c r="E39" s="118"/>
      <c r="F39" s="118"/>
      <c r="G39" s="54"/>
      <c r="H39" s="55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IF(ISBLANK($C39),"",IF(J39=Constants!$B$2, TRUE(), IF(J39=Constants!$B$3,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Constants!B42) * IF(X39, 1, Constants!B43),"")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IF($AE39=Constants!$B$7,IF(AND(T39,U39,W39),Constants!$B$9*AH39/$AH$6, 0),"")</f>
        <v/>
      </c>
      <c r="AK39" s="62" t="str">
        <f aca="false">IF(AJ39&lt;&gt;"", AJ39*AG39,"")</f>
        <v/>
      </c>
      <c r="AL39" s="62" t="str">
        <f aca="false">IF(AND($AE39=Constants!$B$7, T39, U39) ,IF($Z39="", "", 1-ABS($AA39-$Z39)/$AA39),"")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IF($AE39=Constants!$B$7,Constants!$B$8*AB39/$AP$6,"")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IF(ISBLANK(C39),"",IFERROR(_xlfn.SWITCH(BE39, Constants!$B$4, COUNTA($C$8:$C538)+2, Constants!$B$5, COUNTA($C$8:$C538)+1, Constants!$B$6, COUNTA($C$8:$C538)),BE39))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4"/>
      <c r="C40" s="51"/>
      <c r="D40" s="52"/>
      <c r="E40" s="118"/>
      <c r="F40" s="118"/>
      <c r="G40" s="54"/>
      <c r="H40" s="55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IF(ISBLANK($C40),"",IF(J40=Constants!$B$2, TRUE(), IF(J40=Constants!$B$3,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Constants!B43) * IF(X40, 1, Constants!B44),"")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IF($AE40=Constants!$B$7,IF(AND(T40,U40,W40),Constants!$B$9*AH40/$AH$6, 0),"")</f>
        <v/>
      </c>
      <c r="AK40" s="62" t="str">
        <f aca="false">IF(AJ40&lt;&gt;"", AJ40*AG40,"")</f>
        <v/>
      </c>
      <c r="AL40" s="62" t="str">
        <f aca="false">IF(AND($AE40=Constants!$B$7, T40, U40) ,IF($Z40="", "", 1-ABS($AA40-$Z40)/$AA40),"")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IF($AE40=Constants!$B$7,Constants!$B$8*AB40/$AP$6,"")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IF(ISBLANK(C40),"",IFERROR(_xlfn.SWITCH(BE40, Constants!$B$4, COUNTA($C$8:$C539)+2, Constants!$B$5, COUNTA($C$8:$C539)+1, Constants!$B$6, COUNTA($C$8:$C539)),BE40))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0"/>
      <c r="C41" s="121"/>
      <c r="D41" s="110"/>
      <c r="E41" s="114"/>
      <c r="F41" s="114"/>
      <c r="G41" s="86"/>
      <c r="H41" s="87"/>
      <c r="I41" s="123"/>
      <c r="J41" s="123"/>
      <c r="K41" s="123"/>
      <c r="L41" s="89"/>
      <c r="M41" s="89"/>
      <c r="N41" s="89"/>
      <c r="O41" s="90"/>
      <c r="P41" s="91"/>
      <c r="Q41" s="123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4" t="str">
        <f aca="false">IF(ISBLANK($C41),"",IF(J41=Constants!$B$2, TRUE(), IF(J41=Constants!$B$3,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Constants!B44) * IF(X41, 1, Constants!B45),"")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IF($AE41=Constants!$B$7,IF(AND(T41,U41,W41),Constants!$B$9*AH41/$AH$6, 0),"")</f>
        <v/>
      </c>
      <c r="AK41" s="94" t="str">
        <f aca="false">IF(AJ41&lt;&gt;"", AJ41*AG41,"")</f>
        <v/>
      </c>
      <c r="AL41" s="94" t="str">
        <f aca="false">IF(AND($AE41=Constants!$B$7, T41, U41) ,IF($Z41="", "", 1-ABS($AA41-$Z41)/$AA41),"")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,IF(AND(T41,U41,W41,ISNUMBER(Z41)),Constants!$B$10*AL41/$AL$6, 0),"")</f>
        <v/>
      </c>
      <c r="AO41" s="94" t="str">
        <f aca="false">IF(AN41&lt;&gt;"", AN41*AG41,"")</f>
        <v/>
      </c>
      <c r="AP41" s="94" t="str">
        <f aca="false">IF($AE41=Constants!$B$7,Constants!$B$8*AB41/$AP$6,"")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IF(ISBLANK(C41),"",IFERROR(_xlfn.SWITCH(BE41, Constants!$B$4, COUNTA($C$8:$C540)+2, Constants!$B$5, COUNTA($C$8:$C540)+1, Constants!$B$6, COUNTA($C$8:$C540)),BE41))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0"/>
      <c r="C42" s="121"/>
      <c r="D42" s="110"/>
      <c r="E42" s="114"/>
      <c r="F42" s="114"/>
      <c r="G42" s="86"/>
      <c r="H42" s="87"/>
      <c r="I42" s="123"/>
      <c r="J42" s="123"/>
      <c r="K42" s="123"/>
      <c r="L42" s="89"/>
      <c r="M42" s="89"/>
      <c r="N42" s="89"/>
      <c r="O42" s="90"/>
      <c r="P42" s="91"/>
      <c r="Q42" s="123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4" t="str">
        <f aca="false">IF(ISBLANK($C42),"",IF(J42=Constants!$B$2, TRUE(), IF(J42=Constants!$B$3,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Constants!B45) * IF(X42, 1, Constants!B46),"")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IF($AE42=Constants!$B$7,IF(AND(T42,U42,W42),Constants!$B$9*AH42/$AH$6, 0),"")</f>
        <v/>
      </c>
      <c r="AK42" s="94" t="str">
        <f aca="false">IF(AJ42&lt;&gt;"", AJ42*AG42,"")</f>
        <v/>
      </c>
      <c r="AL42" s="94" t="str">
        <f aca="false">IF(AND($AE42=Constants!$B$7, T42, U42) ,IF($Z42="", "", 1-ABS($AA42-$Z42)/$AA42),"")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,IF(AND(T42,U42,W42,ISNUMBER(Z42)),Constants!$B$10*AL42/$AL$6, 0),"")</f>
        <v/>
      </c>
      <c r="AO42" s="94" t="str">
        <f aca="false">IF(AN42&lt;&gt;"", AN42*AG42,"")</f>
        <v/>
      </c>
      <c r="AP42" s="94" t="str">
        <f aca="false">IF($AE42=Constants!$B$7,Constants!$B$8*AB42/$AP$6,"")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IF(ISBLANK(C42),"",IFERROR(_xlfn.SWITCH(BE42, Constants!$B$4, COUNTA($C$8:$C541)+2, Constants!$B$5, COUNTA($C$8:$C541)+1, Constants!$B$6, COUNTA($C$8:$C541)),BE42))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0"/>
      <c r="C43" s="121"/>
      <c r="D43" s="110"/>
      <c r="E43" s="114"/>
      <c r="F43" s="114"/>
      <c r="G43" s="86"/>
      <c r="H43" s="87"/>
      <c r="I43" s="123"/>
      <c r="J43" s="123"/>
      <c r="K43" s="123"/>
      <c r="L43" s="89"/>
      <c r="M43" s="89"/>
      <c r="N43" s="89"/>
      <c r="O43" s="90"/>
      <c r="P43" s="91"/>
      <c r="Q43" s="123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4" t="str">
        <f aca="false">IF(ISBLANK($C43),"",IF(J43=Constants!$B$2, TRUE(), IF(J43=Constants!$B$3,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Constants!B46) * IF(X43, 1, Constants!B47),"")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IF($AE43=Constants!$B$7,IF(AND(T43,U43,W43),Constants!$B$9*AH43/$AH$6, 0),"")</f>
        <v/>
      </c>
      <c r="AK43" s="94" t="str">
        <f aca="false">IF(AJ43&lt;&gt;"", AJ43*AG43,"")</f>
        <v/>
      </c>
      <c r="AL43" s="94" t="str">
        <f aca="false">IF(AND($AE43=Constants!$B$7, T43, U43) ,IF($Z43="", "", 1-ABS($AA43-$Z43)/$AA43),"")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,IF(AND(T43,U43,W43,ISNUMBER(Z43)),Constants!$B$10*AL43/$AL$6, 0),"")</f>
        <v/>
      </c>
      <c r="AO43" s="94" t="str">
        <f aca="false">IF(AN43&lt;&gt;"", AN43*AG43,"")</f>
        <v/>
      </c>
      <c r="AP43" s="94" t="str">
        <f aca="false">IF($AE43=Constants!$B$7,Constants!$B$8*AB43/$AP$6,"")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IF(ISBLANK(C43),"",IFERROR(_xlfn.SWITCH(BE43, Constants!$B$4, COUNTA($C$8:$C542)+2, Constants!$B$5, COUNTA($C$8:$C542)+1, Constants!$B$6, COUNTA($C$8:$C542)),BE43))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4"/>
      <c r="C44" s="51"/>
      <c r="D44" s="52"/>
      <c r="E44" s="118"/>
      <c r="F44" s="118"/>
      <c r="G44" s="54"/>
      <c r="H44" s="55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IF(ISBLANK($C44),"",IF(J44=Constants!$B$2, TRUE(), IF(J44=Constants!$B$3,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Constants!B47) * IF(X44, 1, Constants!B48),"")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IF($AE44=Constants!$B$7,IF(AND(T44,U44,W44),Constants!$B$9*AH44/$AH$6, 0),"")</f>
        <v/>
      </c>
      <c r="AK44" s="62" t="str">
        <f aca="false">IF(AJ44&lt;&gt;"", AJ44*AG44,"")</f>
        <v/>
      </c>
      <c r="AL44" s="62" t="str">
        <f aca="false">IF(AND($AE44=Constants!$B$7, T44, U44) ,IF($Z44="", "", 1-ABS($AA44-$Z44)/$AA44),"")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IF($AE44=Constants!$B$7,Constants!$B$8*AB44/$AP$6,"")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IF(ISBLANK(C44),"",IFERROR(_xlfn.SWITCH(BE44, Constants!$B$4, COUNTA($C$8:$C543)+2, Constants!$B$5, COUNTA($C$8:$C543)+1, Constants!$B$6, COUNTA($C$8:$C543)),BE44))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4"/>
      <c r="C45" s="51"/>
      <c r="D45" s="52"/>
      <c r="E45" s="118"/>
      <c r="F45" s="118"/>
      <c r="G45" s="54"/>
      <c r="H45" s="55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IF(ISBLANK($C45),"",IF(J45=Constants!$B$2, TRUE(), IF(J45=Constants!$B$3,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Constants!B48) * IF(X45, 1, Constants!B49),"")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IF($AE45=Constants!$B$7,IF(AND(T45,U45,W45),Constants!$B$9*AH45/$AH$6, 0),"")</f>
        <v/>
      </c>
      <c r="AK45" s="62" t="str">
        <f aca="false">IF(AJ45&lt;&gt;"", AJ45*AG45,"")</f>
        <v/>
      </c>
      <c r="AL45" s="62" t="str">
        <f aca="false">IF(AND($AE45=Constants!$B$7, T45, U45) ,IF($Z45="", "", 1-ABS($AA45-$Z45)/$AA45),"")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IF($AE45=Constants!$B$7,Constants!$B$8*AB45/$AP$6,"")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IF(ISBLANK(C45),"",IFERROR(_xlfn.SWITCH(BE45, Constants!$B$4, COUNTA($C$8:$C544)+2, Constants!$B$5, COUNTA($C$8:$C544)+1, Constants!$B$6, COUNTA($C$8:$C544)),BE45))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4"/>
      <c r="C46" s="51"/>
      <c r="D46" s="52"/>
      <c r="E46" s="118"/>
      <c r="F46" s="118"/>
      <c r="G46" s="54"/>
      <c r="H46" s="55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IF(ISBLANK($C46),"",IF(J46=Constants!$B$2, TRUE(), IF(J46=Constants!$B$3,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Constants!B49) * IF(X46, 1, Constants!B50),"")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IF($AE46=Constants!$B$7,IF(AND(T46,U46,W46),Constants!$B$9*AH46/$AH$6, 0),"")</f>
        <v/>
      </c>
      <c r="AK46" s="62" t="str">
        <f aca="false">IF(AJ46&lt;&gt;"", AJ46*AG46,"")</f>
        <v/>
      </c>
      <c r="AL46" s="62" t="str">
        <f aca="false">IF(AND($AE46=Constants!$B$7, T46, U46) ,IF($Z46="", "", 1-ABS($AA46-$Z46)/$AA46),"")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IF($AE46=Constants!$B$7,Constants!$B$8*AB46/$AP$6,"")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IF(ISBLANK(C46),"",IFERROR(_xlfn.SWITCH(BE46, Constants!$B$4, COUNTA($C$8:$C545)+2, Constants!$B$5, COUNTA($C$8:$C545)+1, Constants!$B$6, COUNTA($C$8:$C545)),BE46))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0"/>
      <c r="C47" s="121"/>
      <c r="D47" s="110"/>
      <c r="E47" s="114"/>
      <c r="F47" s="114"/>
      <c r="G47" s="86"/>
      <c r="H47" s="87"/>
      <c r="I47" s="123"/>
      <c r="J47" s="123"/>
      <c r="K47" s="123"/>
      <c r="L47" s="89"/>
      <c r="M47" s="89"/>
      <c r="N47" s="89"/>
      <c r="O47" s="90"/>
      <c r="P47" s="91"/>
      <c r="Q47" s="123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4" t="str">
        <f aca="false">IF(ISBLANK($C47),"",IF(J47=Constants!$B$2, TRUE(), IF(J47=Constants!$B$3,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Constants!B50) * IF(X47, 1, Constants!B51),"")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IF($AE47=Constants!$B$7,IF(AND(T47,U47,W47),Constants!$B$9*AH47/$AH$6, 0),"")</f>
        <v/>
      </c>
      <c r="AK47" s="94" t="str">
        <f aca="false">IF(AJ47&lt;&gt;"", AJ47*AG47,"")</f>
        <v/>
      </c>
      <c r="AL47" s="94" t="str">
        <f aca="false">IF(AND($AE47=Constants!$B$7, T47, U47) ,IF($Z47="", "", 1-ABS($AA47-$Z47)/$AA47),"")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,IF(AND(T47,U47,W47,ISNUMBER(Z47)),Constants!$B$10*AL47/$AL$6, 0),"")</f>
        <v/>
      </c>
      <c r="AO47" s="94" t="str">
        <f aca="false">IF(AN47&lt;&gt;"", AN47*AG47,"")</f>
        <v/>
      </c>
      <c r="AP47" s="94" t="str">
        <f aca="false">IF($AE47=Constants!$B$7,Constants!$B$8*AB47/$AP$6,"")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IF(ISBLANK(C47),"",IFERROR(_xlfn.SWITCH(BE47, Constants!$B$4, COUNTA($C$8:$C546)+2, Constants!$B$5, COUNTA($C$8:$C546)+1, Constants!$B$6, COUNTA($C$8:$C546)),BE47))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0"/>
      <c r="C48" s="121"/>
      <c r="D48" s="110"/>
      <c r="E48" s="114"/>
      <c r="F48" s="114"/>
      <c r="G48" s="86"/>
      <c r="H48" s="87"/>
      <c r="I48" s="123"/>
      <c r="J48" s="123"/>
      <c r="K48" s="123"/>
      <c r="L48" s="89"/>
      <c r="M48" s="89"/>
      <c r="N48" s="89"/>
      <c r="O48" s="90"/>
      <c r="P48" s="91"/>
      <c r="Q48" s="123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4" t="str">
        <f aca="false">IF(ISBLANK($C48),"",IF(J48=Constants!$B$2, TRUE(), IF(J48=Constants!$B$3,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Constants!B51) * IF(X48, 1, Constants!B52),"")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IF($AE48=Constants!$B$7,IF(AND(T48,U48,W48),Constants!$B$9*AH48/$AH$6, 0),"")</f>
        <v/>
      </c>
      <c r="AK48" s="94" t="str">
        <f aca="false">IF(AJ48&lt;&gt;"", AJ48*AG48,"")</f>
        <v/>
      </c>
      <c r="AL48" s="94" t="str">
        <f aca="false">IF(AND($AE48=Constants!$B$7, T48, U48) ,IF($Z48="", "", 1-ABS($AA48-$Z48)/$AA48),"")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,IF(AND(T48,U48,W48,ISNUMBER(Z48)),Constants!$B$10*AL48/$AL$6, 0),"")</f>
        <v/>
      </c>
      <c r="AO48" s="94" t="str">
        <f aca="false">IF(AN48&lt;&gt;"", AN48*AG48,"")</f>
        <v/>
      </c>
      <c r="AP48" s="94" t="str">
        <f aca="false">IF($AE48=Constants!$B$7,Constants!$B$8*AB48/$AP$6,"")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IF(ISBLANK(C48),"",IFERROR(_xlfn.SWITCH(BE48, Constants!$B$4, COUNTA($C$8:$C547)+2, Constants!$B$5, COUNTA($C$8:$C547)+1, Constants!$B$6, COUNTA($C$8:$C547)),BE48))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0"/>
      <c r="C49" s="121"/>
      <c r="D49" s="110"/>
      <c r="E49" s="114"/>
      <c r="F49" s="114"/>
      <c r="G49" s="86"/>
      <c r="H49" s="87"/>
      <c r="I49" s="123"/>
      <c r="J49" s="123"/>
      <c r="K49" s="123"/>
      <c r="L49" s="89"/>
      <c r="M49" s="89"/>
      <c r="N49" s="89"/>
      <c r="O49" s="90"/>
      <c r="P49" s="91"/>
      <c r="Q49" s="123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4" t="str">
        <f aca="false">IF(ISBLANK($C49),"",IF(J49=Constants!$B$2, TRUE(), IF(J49=Constants!$B$3,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Constants!B52) * IF(X49, 1, Constants!B53),"")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IF($AE49=Constants!$B$7,IF(AND(T49,U49,W49),Constants!$B$9*AH49/$AH$6, 0),"")</f>
        <v/>
      </c>
      <c r="AK49" s="94" t="str">
        <f aca="false">IF(AJ49&lt;&gt;"", AJ49*AG49,"")</f>
        <v/>
      </c>
      <c r="AL49" s="94" t="str">
        <f aca="false">IF(AND($AE49=Constants!$B$7, T49, U49) ,IF($Z49="", "", 1-ABS($AA49-$Z49)/$AA49),"")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,IF(AND(T49,U49,W49,ISNUMBER(Z49)),Constants!$B$10*AL49/$AL$6, 0),"")</f>
        <v/>
      </c>
      <c r="AO49" s="94" t="str">
        <f aca="false">IF(AN49&lt;&gt;"", AN49*AG49,"")</f>
        <v/>
      </c>
      <c r="AP49" s="94" t="str">
        <f aca="false">IF($AE49=Constants!$B$7,Constants!$B$8*AB49/$AP$6,"")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IF(ISBLANK(C49),"",IFERROR(_xlfn.SWITCH(BE49, Constants!$B$4, COUNTA($C$8:$C548)+2, Constants!$B$5, COUNTA($C$8:$C548)+1, Constants!$B$6, COUNTA($C$8:$C548)),BE49))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4"/>
      <c r="C50" s="51"/>
      <c r="D50" s="52"/>
      <c r="E50" s="118"/>
      <c r="F50" s="118"/>
      <c r="G50" s="54"/>
      <c r="H50" s="55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IF(ISBLANK($C50),"",IF(J50=Constants!$B$2, TRUE(), IF(J50=Constants!$B$3,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Constants!B53) * IF(X50, 1, Constants!B54),"")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IF($AE50=Constants!$B$7,IF(AND(T50,U50,W50),Constants!$B$9*AH50/$AH$6, 0),"")</f>
        <v/>
      </c>
      <c r="AK50" s="62" t="str">
        <f aca="false">IF(AJ50&lt;&gt;"", AJ50*AG50,"")</f>
        <v/>
      </c>
      <c r="AL50" s="62" t="str">
        <f aca="false">IF(AND($AE50=Constants!$B$7, T50, U50) ,IF($Z50="", "", 1-ABS($AA50-$Z50)/$AA50),"")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IF($AE50=Constants!$B$7,Constants!$B$8*AB50/$AP$6,"")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IF(ISBLANK(C50),"",IFERROR(_xlfn.SWITCH(BE50, Constants!$B$4, COUNTA($C$8:$C549)+2, Constants!$B$5, COUNTA($C$8:$C549)+1, Constants!$B$6, COUNTA($C$8:$C549)),BE50))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4"/>
      <c r="C51" s="51"/>
      <c r="D51" s="52"/>
      <c r="E51" s="118"/>
      <c r="F51" s="118"/>
      <c r="G51" s="54"/>
      <c r="H51" s="55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IF(ISBLANK($C51),"",IF(J51=Constants!$B$2, TRUE(), IF(J51=Constants!$B$3,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Constants!B54) * IF(X51, 1, Constants!B55),"")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IF($AE51=Constants!$B$7,IF(AND(T51,U51,W51),Constants!$B$9*AH51/$AH$6, 0),"")</f>
        <v/>
      </c>
      <c r="AK51" s="62" t="str">
        <f aca="false">IF(AJ51&lt;&gt;"", AJ51*AG51,"")</f>
        <v/>
      </c>
      <c r="AL51" s="62" t="str">
        <f aca="false">IF(AND($AE51=Constants!$B$7, T51, U51) ,IF($Z51="", "", 1-ABS($AA51-$Z51)/$AA51),"")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IF($AE51=Constants!$B$7,Constants!$B$8*AB51/$AP$6,"")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IF(ISBLANK(C51),"",IFERROR(_xlfn.SWITCH(BE51, Constants!$B$4, COUNTA($C$8:$C550)+2, Constants!$B$5, COUNTA($C$8:$C550)+1, Constants!$B$6, COUNTA($C$8:$C550)),BE51))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4"/>
      <c r="C52" s="51"/>
      <c r="D52" s="52"/>
      <c r="E52" s="118"/>
      <c r="F52" s="118"/>
      <c r="G52" s="54"/>
      <c r="H52" s="55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IF(ISBLANK($C52),"",IF(J52=Constants!$B$2, TRUE(), IF(J52=Constants!$B$3,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Constants!B55) * IF(X52, 1, Constants!B56),"")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IF($AE52=Constants!$B$7,IF(AND(T52,U52,W52),Constants!$B$9*AH52/$AH$6, 0),"")</f>
        <v/>
      </c>
      <c r="AK52" s="62" t="str">
        <f aca="false">IF(AJ52&lt;&gt;"", AJ52*AG52,"")</f>
        <v/>
      </c>
      <c r="AL52" s="62" t="str">
        <f aca="false">IF(AND($AE52=Constants!$B$7, T52, U52) ,IF($Z52="", "", 1-ABS($AA52-$Z52)/$AA52),"")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IF($AE52=Constants!$B$7,Constants!$B$8*AB52/$AP$6,"")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IF(ISBLANK(C52),"",IFERROR(_xlfn.SWITCH(BE52, Constants!$B$4, COUNTA($C$8:$C551)+2, Constants!$B$5, COUNTA($C$8:$C551)+1, Constants!$B$6, COUNTA($C$8:$C551)),BE52))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0"/>
      <c r="C53" s="121"/>
      <c r="D53" s="110"/>
      <c r="E53" s="114"/>
      <c r="F53" s="114"/>
      <c r="G53" s="86"/>
      <c r="H53" s="87"/>
      <c r="I53" s="123"/>
      <c r="J53" s="123"/>
      <c r="K53" s="123"/>
      <c r="L53" s="89"/>
      <c r="M53" s="89"/>
      <c r="N53" s="89"/>
      <c r="O53" s="90"/>
      <c r="P53" s="91"/>
      <c r="Q53" s="123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4" t="str">
        <f aca="false">IF(ISBLANK($C53),"",IF(J53=Constants!$B$2, TRUE(), IF(J53=Constants!$B$3,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Constants!B56) * IF(X53, 1, Constants!B57),"")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IF($AE53=Constants!$B$7,IF(AND(T53,U53,W53),Constants!$B$9*AH53/$AH$6, 0),"")</f>
        <v/>
      </c>
      <c r="AK53" s="94" t="str">
        <f aca="false">IF(AJ53&lt;&gt;"", AJ53*AG53,"")</f>
        <v/>
      </c>
      <c r="AL53" s="94" t="str">
        <f aca="false">IF(AND($AE53=Constants!$B$7, T53, U53) ,IF($Z53="", "", 1-ABS($AA53-$Z53)/$AA53),"")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,IF(AND(T53,U53,W53,ISNUMBER(Z53)),Constants!$B$10*AL53/$AL$6, 0),"")</f>
        <v/>
      </c>
      <c r="AO53" s="94" t="str">
        <f aca="false">IF(AN53&lt;&gt;"", AN53*AG53,"")</f>
        <v/>
      </c>
      <c r="AP53" s="94" t="str">
        <f aca="false">IF($AE53=Constants!$B$7,Constants!$B$8*AB53/$AP$6,"")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IF(ISBLANK(C53),"",IFERROR(_xlfn.SWITCH(BE53, Constants!$B$4, COUNTA($C$8:$C552)+2, Constants!$B$5, COUNTA($C$8:$C552)+1, Constants!$B$6, COUNTA($C$8:$C552)),BE53))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0"/>
      <c r="C54" s="121"/>
      <c r="D54" s="110"/>
      <c r="E54" s="114"/>
      <c r="F54" s="114"/>
      <c r="G54" s="86"/>
      <c r="H54" s="87"/>
      <c r="I54" s="123"/>
      <c r="J54" s="123"/>
      <c r="K54" s="123"/>
      <c r="L54" s="89"/>
      <c r="M54" s="89"/>
      <c r="N54" s="89"/>
      <c r="O54" s="90"/>
      <c r="P54" s="91"/>
      <c r="Q54" s="123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4" t="str">
        <f aca="false">IF(ISBLANK($C54),"",IF(J54=Constants!$B$2, TRUE(), IF(J54=Constants!$B$3,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Constants!B57) * IF(X54, 1, Constants!B58),"")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IF($AE54=Constants!$B$7,IF(AND(T54,U54,W54),Constants!$B$9*AH54/$AH$6, 0),"")</f>
        <v/>
      </c>
      <c r="AK54" s="94" t="str">
        <f aca="false">IF(AJ54&lt;&gt;"", AJ54*AG54,"")</f>
        <v/>
      </c>
      <c r="AL54" s="94" t="str">
        <f aca="false">IF(AND($AE54=Constants!$B$7, T54, U54) ,IF($Z54="", "", 1-ABS($AA54-$Z54)/$AA54),"")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,IF(AND(T54,U54,W54,ISNUMBER(Z54)),Constants!$B$10*AL54/$AL$6, 0),"")</f>
        <v/>
      </c>
      <c r="AO54" s="94" t="str">
        <f aca="false">IF(AN54&lt;&gt;"", AN54*AG54,"")</f>
        <v/>
      </c>
      <c r="AP54" s="94" t="str">
        <f aca="false">IF($AE54=Constants!$B$7,Constants!$B$8*AB54/$AP$6,"")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IF(ISBLANK(C54),"",IFERROR(_xlfn.SWITCH(BE54, Constants!$B$4, COUNTA($C$8:$C553)+2, Constants!$B$5, COUNTA($C$8:$C553)+1, Constants!$B$6, COUNTA($C$8:$C553)),BE54))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0"/>
      <c r="C55" s="121"/>
      <c r="D55" s="110"/>
      <c r="E55" s="114"/>
      <c r="F55" s="114"/>
      <c r="G55" s="86"/>
      <c r="H55" s="87"/>
      <c r="I55" s="123"/>
      <c r="J55" s="123"/>
      <c r="K55" s="123"/>
      <c r="L55" s="89"/>
      <c r="M55" s="89"/>
      <c r="N55" s="89"/>
      <c r="O55" s="90"/>
      <c r="P55" s="91"/>
      <c r="Q55" s="123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4" t="str">
        <f aca="false">IF(ISBLANK($C55),"",IF(J55=Constants!$B$2, TRUE(), IF(J55=Constants!$B$3,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Constants!B58) * IF(X55, 1, Constants!B59),"")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IF($AE55=Constants!$B$7,IF(AND(T55,U55,W55),Constants!$B$9*AH55/$AH$6, 0),"")</f>
        <v/>
      </c>
      <c r="AK55" s="94" t="str">
        <f aca="false">IF(AJ55&lt;&gt;"", AJ55*AG55,"")</f>
        <v/>
      </c>
      <c r="AL55" s="94" t="str">
        <f aca="false">IF(AND($AE55=Constants!$B$7, T55, U55) ,IF($Z55="", "", 1-ABS($AA55-$Z55)/$AA55),"")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,IF(AND(T55,U55,W55,ISNUMBER(Z55)),Constants!$B$10*AL55/$AL$6, 0),"")</f>
        <v/>
      </c>
      <c r="AO55" s="94" t="str">
        <f aca="false">IF(AN55&lt;&gt;"", AN55*AG55,"")</f>
        <v/>
      </c>
      <c r="AP55" s="94" t="str">
        <f aca="false">IF($AE55=Constants!$B$7,Constants!$B$8*AB55/$AP$6,"")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IF(ISBLANK(C55),"",IFERROR(_xlfn.SWITCH(BE55, Constants!$B$4, COUNTA($C$8:$C554)+2, Constants!$B$5, COUNTA($C$8:$C554)+1, Constants!$B$6, COUNTA($C$8:$C554)),BE55))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4"/>
      <c r="C56" s="51"/>
      <c r="D56" s="52"/>
      <c r="E56" s="118"/>
      <c r="F56" s="118"/>
      <c r="G56" s="54"/>
      <c r="H56" s="55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IF(ISBLANK($C56),"",IF(J56=Constants!$B$2, TRUE(), IF(J56=Constants!$B$3,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Constants!B59) * IF(X56, 1, Constants!B60),"")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IF($AE56=Constants!$B$7,IF(AND(T56,U56,W56),Constants!$B$9*AH56/$AH$6, 0),"")</f>
        <v/>
      </c>
      <c r="AK56" s="62" t="str">
        <f aca="false">IF(AJ56&lt;&gt;"", AJ56*AG56,"")</f>
        <v/>
      </c>
      <c r="AL56" s="62" t="str">
        <f aca="false">IF(AND($AE56=Constants!$B$7, T56, U56) ,IF($Z56="", "", 1-ABS($AA56-$Z56)/$AA56),"")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IF($AE56=Constants!$B$7,Constants!$B$8*AB56/$AP$6,"")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IF(ISBLANK(C56),"",IFERROR(_xlfn.SWITCH(BE56, Constants!$B$4, COUNTA($C$8:$C555)+2, Constants!$B$5, COUNTA($C$8:$C555)+1, Constants!$B$6, COUNTA($C$8:$C555)),BE56))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4"/>
      <c r="C57" s="51"/>
      <c r="D57" s="52"/>
      <c r="E57" s="118"/>
      <c r="F57" s="118"/>
      <c r="G57" s="54"/>
      <c r="H57" s="55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IF(ISBLANK($C57),"",IF(J57=Constants!$B$2, TRUE(), IF(J57=Constants!$B$3,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Constants!B60) * IF(X57, 1, Constants!B61),"")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IF($AE57=Constants!$B$7,IF(AND(T57,U57,W57),Constants!$B$9*AH57/$AH$6, 0),"")</f>
        <v/>
      </c>
      <c r="AK57" s="62" t="str">
        <f aca="false">IF(AJ57&lt;&gt;"", AJ57*AG57,"")</f>
        <v/>
      </c>
      <c r="AL57" s="62" t="str">
        <f aca="false">IF(AND($AE57=Constants!$B$7, T57, U57) ,IF($Z57="", "", 1-ABS($AA57-$Z57)/$AA57),"")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IF($AE57=Constants!$B$7,Constants!$B$8*AB57/$AP$6,"")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IF(ISBLANK(C57),"",IFERROR(_xlfn.SWITCH(BE57, Constants!$B$4, COUNTA($C$8:$C556)+2, Constants!$B$5, COUNTA($C$8:$C556)+1, Constants!$B$6, COUNTA($C$8:$C556)),BE57))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4"/>
      <c r="C58" s="51"/>
      <c r="D58" s="52"/>
      <c r="E58" s="118"/>
      <c r="F58" s="118"/>
      <c r="G58" s="54"/>
      <c r="H58" s="55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IF(ISBLANK($C58),"",IF(J58=Constants!$B$2, TRUE(), IF(J58=Constants!$B$3,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Constants!B61) * IF(X58, 1, Constants!B62),"")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IF($AE58=Constants!$B$7,IF(AND(T58,U58,W58),Constants!$B$9*AH58/$AH$6, 0),"")</f>
        <v/>
      </c>
      <c r="AK58" s="62" t="str">
        <f aca="false">IF(AJ58&lt;&gt;"", AJ58*AG58,"")</f>
        <v/>
      </c>
      <c r="AL58" s="62" t="str">
        <f aca="false">IF(AND($AE58=Constants!$B$7, T58, U58) ,IF($Z58="", "", 1-ABS($AA58-$Z58)/$AA58),"")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IF($AE58=Constants!$B$7,Constants!$B$8*AB58/$AP$6,"")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IF(ISBLANK(C58),"",IFERROR(_xlfn.SWITCH(BE58, Constants!$B$4, COUNTA($C$8:$C557)+2, Constants!$B$5, COUNTA($C$8:$C557)+1, Constants!$B$6, COUNTA($C$8:$C557)),BE58))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0"/>
      <c r="C59" s="121"/>
      <c r="D59" s="110"/>
      <c r="E59" s="114"/>
      <c r="F59" s="114"/>
      <c r="G59" s="86"/>
      <c r="H59" s="87"/>
      <c r="I59" s="123"/>
      <c r="J59" s="123"/>
      <c r="K59" s="123"/>
      <c r="L59" s="89"/>
      <c r="M59" s="89"/>
      <c r="N59" s="89"/>
      <c r="O59" s="90"/>
      <c r="P59" s="91"/>
      <c r="Q59" s="123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4" t="str">
        <f aca="false">IF(ISBLANK($C59),"",IF(J59=Constants!$B$2, TRUE(), IF(J59=Constants!$B$3,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Constants!B62) * IF(X59, 1, Constants!B63),"")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IF($AE59=Constants!$B$7,IF(AND(T59,U59,W59),Constants!$B$9*AH59/$AH$6, 0),"")</f>
        <v/>
      </c>
      <c r="AK59" s="94" t="str">
        <f aca="false">IF(AJ59&lt;&gt;"", AJ59*AG59,"")</f>
        <v/>
      </c>
      <c r="AL59" s="94" t="str">
        <f aca="false">IF(AND($AE59=Constants!$B$7, T59, U59) ,IF($Z59="", "", 1-ABS($AA59-$Z59)/$AA59),"")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,IF(AND(T59,U59,W59,ISNUMBER(Z59)),Constants!$B$10*AL59/$AL$6, 0),"")</f>
        <v/>
      </c>
      <c r="AO59" s="94" t="str">
        <f aca="false">IF(AN59&lt;&gt;"", AN59*AG59,"")</f>
        <v/>
      </c>
      <c r="AP59" s="94" t="str">
        <f aca="false">IF($AE59=Constants!$B$7,Constants!$B$8*AB59/$AP$6,"")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IF(ISBLANK(C59),"",IFERROR(_xlfn.SWITCH(BE59, Constants!$B$4, COUNTA($C$8:$C558)+2, Constants!$B$5, COUNTA($C$8:$C558)+1, Constants!$B$6, COUNTA($C$8:$C558)),BE59))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0"/>
      <c r="C60" s="121"/>
      <c r="D60" s="110"/>
      <c r="E60" s="114"/>
      <c r="F60" s="114"/>
      <c r="G60" s="86"/>
      <c r="H60" s="87"/>
      <c r="I60" s="123"/>
      <c r="J60" s="123"/>
      <c r="K60" s="123"/>
      <c r="L60" s="89"/>
      <c r="M60" s="89"/>
      <c r="N60" s="89"/>
      <c r="O60" s="90"/>
      <c r="P60" s="91"/>
      <c r="Q60" s="123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4" t="str">
        <f aca="false">IF(ISBLANK($C60),"",IF(J60=Constants!$B$2, TRUE(), IF(J60=Constants!$B$3,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Constants!B63) * IF(X60, 1, Constants!B64),"")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IF($AE60=Constants!$B$7,IF(AND(T60,U60,W60),Constants!$B$9*AH60/$AH$6, 0),"")</f>
        <v/>
      </c>
      <c r="AK60" s="94" t="str">
        <f aca="false">IF(AJ60&lt;&gt;"", AJ60*AG60,"")</f>
        <v/>
      </c>
      <c r="AL60" s="94" t="str">
        <f aca="false">IF(AND($AE60=Constants!$B$7, T60, U60) ,IF($Z60="", "", 1-ABS($AA60-$Z60)/$AA60),"")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,IF(AND(T60,U60,W60,ISNUMBER(Z60)),Constants!$B$10*AL60/$AL$6, 0),"")</f>
        <v/>
      </c>
      <c r="AO60" s="94" t="str">
        <f aca="false">IF(AN60&lt;&gt;"", AN60*AG60,"")</f>
        <v/>
      </c>
      <c r="AP60" s="94" t="str">
        <f aca="false">IF($AE60=Constants!$B$7,Constants!$B$8*AB60/$AP$6,"")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IF(ISBLANK(C60),"",IFERROR(_xlfn.SWITCH(BE60, Constants!$B$4, COUNTA($C$8:$C559)+2, Constants!$B$5, COUNTA($C$8:$C559)+1, Constants!$B$6, COUNTA($C$8:$C559)),BE60))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0"/>
      <c r="C61" s="121"/>
      <c r="D61" s="110"/>
      <c r="E61" s="114"/>
      <c r="F61" s="114"/>
      <c r="G61" s="86"/>
      <c r="H61" s="87"/>
      <c r="I61" s="123"/>
      <c r="J61" s="123"/>
      <c r="K61" s="123"/>
      <c r="L61" s="89"/>
      <c r="M61" s="89"/>
      <c r="N61" s="89"/>
      <c r="O61" s="90"/>
      <c r="P61" s="91"/>
      <c r="Q61" s="123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4" t="str">
        <f aca="false">IF(ISBLANK($C61),"",IF(J61=Constants!$B$2, TRUE(), IF(J61=Constants!$B$3,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Constants!B64) * IF(X61, 1, Constants!B65),"")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IF($AE61=Constants!$B$7,IF(AND(T61,U61,W61),Constants!$B$9*AH61/$AH$6, 0),"")</f>
        <v/>
      </c>
      <c r="AK61" s="94" t="str">
        <f aca="false">IF(AJ61&lt;&gt;"", AJ61*AG61,"")</f>
        <v/>
      </c>
      <c r="AL61" s="94" t="str">
        <f aca="false">IF(AND($AE61=Constants!$B$7, T61, U61) ,IF($Z61="", "", 1-ABS($AA61-$Z61)/$AA61),"")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,IF(AND(T61,U61,W61,ISNUMBER(Z61)),Constants!$B$10*AL61/$AL$6, 0),"")</f>
        <v/>
      </c>
      <c r="AO61" s="94" t="str">
        <f aca="false">IF(AN61&lt;&gt;"", AN61*AG61,"")</f>
        <v/>
      </c>
      <c r="AP61" s="94" t="str">
        <f aca="false">IF($AE61=Constants!$B$7,Constants!$B$8*AB61/$AP$6,"")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IF(ISBLANK(C61),"",IFERROR(_xlfn.SWITCH(BE61, Constants!$B$4, COUNTA($C$8:$C560)+2, Constants!$B$5, COUNTA($C$8:$C560)+1, Constants!$B$6, COUNTA($C$8:$C560)),BE61))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4"/>
      <c r="C62" s="51"/>
      <c r="D62" s="52"/>
      <c r="E62" s="118"/>
      <c r="F62" s="118"/>
      <c r="G62" s="54"/>
      <c r="H62" s="55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IF(ISBLANK($C62),"",IF(J62=Constants!$B$2, TRUE(), IF(J62=Constants!$B$3,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Constants!B65) * IF(X62, 1, Constants!B66),"")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IF($AE62=Constants!$B$7,IF(AND(T62,U62,W62),Constants!$B$9*AH62/$AH$6, 0),"")</f>
        <v/>
      </c>
      <c r="AK62" s="62" t="str">
        <f aca="false">IF(AJ62&lt;&gt;"", AJ62*AG62,"")</f>
        <v/>
      </c>
      <c r="AL62" s="62" t="str">
        <f aca="false">IF(AND($AE62=Constants!$B$7, T62, U62) ,IF($Z62="", "", 1-ABS($AA62-$Z62)/$AA62),"")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IF($AE62=Constants!$B$7,Constants!$B$8*AB62/$AP$6,"")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IF(ISBLANK(C62),"",IFERROR(_xlfn.SWITCH(BE62, Constants!$B$4, COUNTA($C$8:$C561)+2, Constants!$B$5, COUNTA($C$8:$C561)+1, Constants!$B$6, COUNTA($C$8:$C561)),BE62))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4"/>
      <c r="C63" s="51"/>
      <c r="D63" s="52"/>
      <c r="E63" s="118"/>
      <c r="F63" s="118"/>
      <c r="G63" s="54"/>
      <c r="H63" s="55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IF(ISBLANK($C63),"",IF(J63=Constants!$B$2, TRUE(), IF(J63=Constants!$B$3,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Constants!B66) * IF(X63, 1, Constants!B67),"")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IF($AE63=Constants!$B$7,IF(AND(T63,U63,W63),Constants!$B$9*AH63/$AH$6, 0),"")</f>
        <v/>
      </c>
      <c r="AK63" s="62" t="str">
        <f aca="false">IF(AJ63&lt;&gt;"", AJ63*AG63,"")</f>
        <v/>
      </c>
      <c r="AL63" s="62" t="str">
        <f aca="false">IF(AND($AE63=Constants!$B$7, T63, U63) ,IF($Z63="", "", 1-ABS($AA63-$Z63)/$AA63),"")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IF($AE63=Constants!$B$7,Constants!$B$8*AB63/$AP$6,"")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IF(ISBLANK(C63),"",IFERROR(_xlfn.SWITCH(BE63, Constants!$B$4, COUNTA($C$8:$C562)+2, Constants!$B$5, COUNTA($C$8:$C562)+1, Constants!$B$6, COUNTA($C$8:$C562)),BE63))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4"/>
      <c r="C64" s="51"/>
      <c r="D64" s="52"/>
      <c r="E64" s="118"/>
      <c r="F64" s="118"/>
      <c r="G64" s="54"/>
      <c r="H64" s="55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IF(ISBLANK($C64),"",IF(J64=Constants!$B$2, TRUE(), IF(J64=Constants!$B$3,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Constants!B67) * IF(X64, 1, Constants!B68),"")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IF($AE64=Constants!$B$7,IF(AND(T64,U64,W64),Constants!$B$9*AH64/$AH$6, 0),"")</f>
        <v/>
      </c>
      <c r="AK64" s="62" t="str">
        <f aca="false">IF(AJ64&lt;&gt;"", AJ64*AG64,"")</f>
        <v/>
      </c>
      <c r="AL64" s="62" t="str">
        <f aca="false">IF(AND($AE64=Constants!$B$7, T64, U64) ,IF($Z64="", "", 1-ABS($AA64-$Z64)/$AA64),"")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IF($AE64=Constants!$B$7,Constants!$B$8*AB64/$AP$6,"")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IF(ISBLANK(C64),"",IFERROR(_xlfn.SWITCH(BE64, Constants!$B$4, COUNTA($C$8:$C563)+2, Constants!$B$5, COUNTA($C$8:$C563)+1, Constants!$B$6, COUNTA($C$8:$C563)),BE64))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0"/>
      <c r="C65" s="121"/>
      <c r="D65" s="110"/>
      <c r="E65" s="114"/>
      <c r="F65" s="114"/>
      <c r="G65" s="86"/>
      <c r="H65" s="87"/>
      <c r="I65" s="123"/>
      <c r="J65" s="123"/>
      <c r="K65" s="123"/>
      <c r="L65" s="89"/>
      <c r="M65" s="89"/>
      <c r="N65" s="89"/>
      <c r="O65" s="90"/>
      <c r="P65" s="91"/>
      <c r="Q65" s="123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4" t="str">
        <f aca="false">IF(ISBLANK($C65),"",IF(J65=Constants!$B$2, TRUE(), IF(J65=Constants!$B$3,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Constants!B68) * IF(X65, 1, Constants!B69),"")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IF($AE65=Constants!$B$7,IF(AND(T65,U65,W65),Constants!$B$9*AH65/$AH$6, 0),"")</f>
        <v/>
      </c>
      <c r="AK65" s="94" t="str">
        <f aca="false">IF(AJ65&lt;&gt;"", AJ65*AG65,"")</f>
        <v/>
      </c>
      <c r="AL65" s="94" t="str">
        <f aca="false">IF(AND($AE65=Constants!$B$7, T65, U65) ,IF($Z65="", "", 1-ABS($AA65-$Z65)/$AA65),"")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,IF(AND(T65,U65,W65,ISNUMBER(Z65)),Constants!$B$10*AL65/$AL$6, 0),"")</f>
        <v/>
      </c>
      <c r="AO65" s="94" t="str">
        <f aca="false">IF(AN65&lt;&gt;"", AN65*AG65,"")</f>
        <v/>
      </c>
      <c r="AP65" s="94" t="str">
        <f aca="false">IF($AE65=Constants!$B$7,Constants!$B$8*AB65/$AP$6,"")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IF(ISBLANK(C65),"",IFERROR(_xlfn.SWITCH(BE65, Constants!$B$4, COUNTA($C$8:$C564)+2, Constants!$B$5, COUNTA($C$8:$C564)+1, Constants!$B$6, COUNTA($C$8:$C564)),BE65))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0"/>
      <c r="C66" s="121"/>
      <c r="D66" s="110"/>
      <c r="E66" s="114"/>
      <c r="F66" s="114"/>
      <c r="G66" s="86"/>
      <c r="H66" s="87"/>
      <c r="I66" s="123"/>
      <c r="J66" s="123"/>
      <c r="K66" s="123"/>
      <c r="L66" s="89"/>
      <c r="M66" s="89"/>
      <c r="N66" s="89"/>
      <c r="O66" s="90"/>
      <c r="P66" s="91"/>
      <c r="Q66" s="123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4" t="str">
        <f aca="false">IF(ISBLANK($C66),"",IF(J66=Constants!$B$2, TRUE(), IF(J66=Constants!$B$3,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Constants!B69) * IF(X66, 1, Constants!B70),"")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IF($AE66=Constants!$B$7,IF(AND(T66,U66,W66),Constants!$B$9*AH66/$AH$6, 0),"")</f>
        <v/>
      </c>
      <c r="AK66" s="94" t="str">
        <f aca="false">IF(AJ66&lt;&gt;"", AJ66*AG66,"")</f>
        <v/>
      </c>
      <c r="AL66" s="94" t="str">
        <f aca="false">IF(AND($AE66=Constants!$B$7, T66, U66) ,IF($Z66="", "", 1-ABS($AA66-$Z66)/$AA66),"")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,IF(AND(T66,U66,W66,ISNUMBER(Z66)),Constants!$B$10*AL66/$AL$6, 0),"")</f>
        <v/>
      </c>
      <c r="AO66" s="94" t="str">
        <f aca="false">IF(AN66&lt;&gt;"", AN66*AG66,"")</f>
        <v/>
      </c>
      <c r="AP66" s="94" t="str">
        <f aca="false">IF($AE66=Constants!$B$7,Constants!$B$8*AB66/$AP$6,"")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IF(ISBLANK(C66),"",IFERROR(_xlfn.SWITCH(BE66, Constants!$B$4, COUNTA($C$8:$C565)+2, Constants!$B$5, COUNTA($C$8:$C565)+1, Constants!$B$6, COUNTA($C$8:$C565)),BE66))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0"/>
      <c r="C67" s="121"/>
      <c r="D67" s="110"/>
      <c r="E67" s="114"/>
      <c r="F67" s="114"/>
      <c r="G67" s="86"/>
      <c r="H67" s="87"/>
      <c r="I67" s="123"/>
      <c r="J67" s="123"/>
      <c r="K67" s="123"/>
      <c r="L67" s="89"/>
      <c r="M67" s="89"/>
      <c r="N67" s="89"/>
      <c r="O67" s="90"/>
      <c r="P67" s="91"/>
      <c r="Q67" s="123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4" t="str">
        <f aca="false">IF(ISBLANK($C67),"",IF(J67=Constants!$B$2, TRUE(), IF(J67=Constants!$B$3,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Constants!B70) * IF(X67, 1, Constants!B71),"")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IF($AE67=Constants!$B$7,IF(AND(T67,U67,W67),Constants!$B$9*AH67/$AH$6, 0),"")</f>
        <v/>
      </c>
      <c r="AK67" s="94" t="str">
        <f aca="false">IF(AJ67&lt;&gt;"", AJ67*AG67,"")</f>
        <v/>
      </c>
      <c r="AL67" s="94" t="str">
        <f aca="false">IF(AND($AE67=Constants!$B$7, T67, U67) ,IF($Z67="", "", 1-ABS($AA67-$Z67)/$AA67),"")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,IF(AND(T67,U67,W67,ISNUMBER(Z67)),Constants!$B$10*AL67/$AL$6, 0),"")</f>
        <v/>
      </c>
      <c r="AO67" s="94" t="str">
        <f aca="false">IF(AN67&lt;&gt;"", AN67*AG67,"")</f>
        <v/>
      </c>
      <c r="AP67" s="94" t="str">
        <f aca="false">IF($AE67=Constants!$B$7,Constants!$B$8*AB67/$AP$6,"")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IF(ISBLANK(C67),"",IFERROR(_xlfn.SWITCH(BE67, Constants!$B$4, COUNTA($C$8:$C566)+2, Constants!$B$5, COUNTA($C$8:$C566)+1, Constants!$B$6, COUNTA($C$8:$C566)),BE67))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4"/>
      <c r="C68" s="51"/>
      <c r="D68" s="52"/>
      <c r="E68" s="118"/>
      <c r="F68" s="118"/>
      <c r="G68" s="54"/>
      <c r="H68" s="55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IF(ISBLANK($C68),"",IF(J68=Constants!$B$2, TRUE(), IF(J68=Constants!$B$3,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Constants!B71) * IF(X68, 1, Constants!B72),"")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IF($AE68=Constants!$B$7,IF(AND(T68,U68,W68),Constants!$B$9*AH68/$AH$6, 0),"")</f>
        <v/>
      </c>
      <c r="AK68" s="62" t="str">
        <f aca="false">IF(AJ68&lt;&gt;"", AJ68*AG68,"")</f>
        <v/>
      </c>
      <c r="AL68" s="62" t="str">
        <f aca="false">IF(AND($AE68=Constants!$B$7, T68, U68) ,IF($Z68="", "", 1-ABS($AA68-$Z68)/$AA68),"")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IF($AE68=Constants!$B$7,Constants!$B$8*AB68/$AP$6,"")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IF(ISBLANK(C68),"",IFERROR(_xlfn.SWITCH(BE68, Constants!$B$4, COUNTA($C$8:$C567)+2, Constants!$B$5, COUNTA($C$8:$C567)+1, Constants!$B$6, COUNTA($C$8:$C567)),BE68))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4"/>
      <c r="C69" s="51"/>
      <c r="D69" s="52"/>
      <c r="E69" s="118"/>
      <c r="F69" s="118"/>
      <c r="G69" s="54"/>
      <c r="H69" s="55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IF(ISBLANK($C69),"",IF(J69=Constants!$B$2, TRUE(), IF(J69=Constants!$B$3,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Constants!B72) * IF(X69, 1, Constants!B73),"")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IF($AE69=Constants!$B$7,IF(AND(T69,U69,W69),Constants!$B$9*AH69/$AH$6, 0),"")</f>
        <v/>
      </c>
      <c r="AK69" s="62" t="str">
        <f aca="false">IF(AJ69&lt;&gt;"", AJ69*AG69,"")</f>
        <v/>
      </c>
      <c r="AL69" s="62" t="str">
        <f aca="false">IF(AND($AE69=Constants!$B$7, T69, U69) ,IF($Z69="", "", 1-ABS($AA69-$Z69)/$AA69),"")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IF($AE69=Constants!$B$7,Constants!$B$8*AB69/$AP$6,"")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IF(ISBLANK(C69),"",IFERROR(_xlfn.SWITCH(BE69, Constants!$B$4, COUNTA($C$8:$C568)+2, Constants!$B$5, COUNTA($C$8:$C568)+1, Constants!$B$6, COUNTA($C$8:$C568)),BE69))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4"/>
      <c r="C70" s="51"/>
      <c r="D70" s="52"/>
      <c r="E70" s="118"/>
      <c r="F70" s="118"/>
      <c r="G70" s="54"/>
      <c r="H70" s="55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IF(ISBLANK($C70),"",IF(J70=Constants!$B$2, TRUE(), IF(J70=Constants!$B$3,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Constants!B73) * IF(X70, 1, Constants!B74),"")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IF($AE70=Constants!$B$7,IF(AND(T70,U70,W70),Constants!$B$9*AH70/$AH$6, 0),"")</f>
        <v/>
      </c>
      <c r="AK70" s="62" t="str">
        <f aca="false">IF(AJ70&lt;&gt;"", AJ70*AG70,"")</f>
        <v/>
      </c>
      <c r="AL70" s="62" t="str">
        <f aca="false">IF(AND($AE70=Constants!$B$7, T70, U70) ,IF($Z70="", "", 1-ABS($AA70-$Z70)/$AA70),"")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IF($AE70=Constants!$B$7,Constants!$B$8*AB70/$AP$6,"")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IF(ISBLANK(C70),"",IFERROR(_xlfn.SWITCH(BE70, Constants!$B$4, COUNTA($C$8:$C569)+2, Constants!$B$5, COUNTA($C$8:$C569)+1, Constants!$B$6, COUNTA($C$8:$C569)),BE70))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0"/>
      <c r="C71" s="121"/>
      <c r="D71" s="110"/>
      <c r="E71" s="114"/>
      <c r="F71" s="114"/>
      <c r="G71" s="86"/>
      <c r="H71" s="87"/>
      <c r="I71" s="123"/>
      <c r="J71" s="123"/>
      <c r="K71" s="123"/>
      <c r="L71" s="89"/>
      <c r="M71" s="89"/>
      <c r="N71" s="89"/>
      <c r="O71" s="90"/>
      <c r="P71" s="91"/>
      <c r="Q71" s="123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4" t="str">
        <f aca="false">IF(ISBLANK($C71),"",IF(J71=Constants!$B$2, TRUE(), IF(J71=Constants!$B$3,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Constants!B74) * IF(X71, 1, Constants!B75),"")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IF($AE71=Constants!$B$7,IF(AND(T71,U71,W71),Constants!$B$9*AH71/$AH$6, 0),"")</f>
        <v/>
      </c>
      <c r="AK71" s="94" t="str">
        <f aca="false">IF(AJ71&lt;&gt;"", AJ71*AG71,"")</f>
        <v/>
      </c>
      <c r="AL71" s="94" t="str">
        <f aca="false">IF(AND($AE71=Constants!$B$7, T71, U71) ,IF($Z71="", "", 1-ABS($AA71-$Z71)/$AA71),"")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,IF(AND(T71,U71,W71,ISNUMBER(Z71)),Constants!$B$10*AL71/$AL$6, 0),"")</f>
        <v/>
      </c>
      <c r="AO71" s="94" t="str">
        <f aca="false">IF(AN71&lt;&gt;"", AN71*AG71,"")</f>
        <v/>
      </c>
      <c r="AP71" s="94" t="str">
        <f aca="false">IF($AE71=Constants!$B$7,Constants!$B$8*AB71/$AP$6,"")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IF(ISBLANK(C71),"",IFERROR(_xlfn.SWITCH(BE71, Constants!$B$4, COUNTA($C$8:$C570)+2, Constants!$B$5, COUNTA($C$8:$C570)+1, Constants!$B$6, COUNTA($C$8:$C570)),BE71))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0"/>
      <c r="C72" s="121"/>
      <c r="D72" s="110"/>
      <c r="E72" s="114"/>
      <c r="F72" s="114"/>
      <c r="G72" s="86"/>
      <c r="H72" s="87"/>
      <c r="I72" s="123"/>
      <c r="J72" s="123"/>
      <c r="K72" s="123"/>
      <c r="L72" s="89"/>
      <c r="M72" s="89"/>
      <c r="N72" s="89"/>
      <c r="O72" s="90"/>
      <c r="P72" s="91"/>
      <c r="Q72" s="123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4" t="str">
        <f aca="false">IF(ISBLANK($C72),"",IF(J72=Constants!$B$2, TRUE(), IF(J72=Constants!$B$3,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Constants!B75) * IF(X72, 1, Constants!B76),"")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IF($AE72=Constants!$B$7,IF(AND(T72,U72,W72),Constants!$B$9*AH72/$AH$6, 0),"")</f>
        <v/>
      </c>
      <c r="AK72" s="94" t="str">
        <f aca="false">IF(AJ72&lt;&gt;"", AJ72*AG72,"")</f>
        <v/>
      </c>
      <c r="AL72" s="94" t="str">
        <f aca="false">IF(AND($AE72=Constants!$B$7, T72, U72) ,IF($Z72="", "", 1-ABS($AA72-$Z72)/$AA72),"")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,IF(AND(T72,U72,W72,ISNUMBER(Z72)),Constants!$B$10*AL72/$AL$6, 0),"")</f>
        <v/>
      </c>
      <c r="AO72" s="94" t="str">
        <f aca="false">IF(AN72&lt;&gt;"", AN72*AG72,"")</f>
        <v/>
      </c>
      <c r="AP72" s="94" t="str">
        <f aca="false">IF($AE72=Constants!$B$7,Constants!$B$8*AB72/$AP$6,"")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IF(ISBLANK(C72),"",IFERROR(_xlfn.SWITCH(BE72, Constants!$B$4, COUNTA($C$8:$C571)+2, Constants!$B$5, COUNTA($C$8:$C571)+1, Constants!$B$6, COUNTA($C$8:$C571)),BE72))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0"/>
      <c r="C73" s="121"/>
      <c r="D73" s="110"/>
      <c r="E73" s="114"/>
      <c r="F73" s="114"/>
      <c r="G73" s="86"/>
      <c r="H73" s="87"/>
      <c r="I73" s="123"/>
      <c r="J73" s="123"/>
      <c r="K73" s="123"/>
      <c r="L73" s="89"/>
      <c r="M73" s="89"/>
      <c r="N73" s="89"/>
      <c r="O73" s="90"/>
      <c r="P73" s="91"/>
      <c r="Q73" s="123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4" t="str">
        <f aca="false">IF(ISBLANK($C73),"",IF(J73=Constants!$B$2, TRUE(), IF(J73=Constants!$B$3,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Constants!B76) * IF(X73, 1, Constants!B77),"")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IF($AE73=Constants!$B$7,IF(AND(T73,U73,W73),Constants!$B$9*AH73/$AH$6, 0),"")</f>
        <v/>
      </c>
      <c r="AK73" s="94" t="str">
        <f aca="false">IF(AJ73&lt;&gt;"", AJ73*AG73,"")</f>
        <v/>
      </c>
      <c r="AL73" s="94" t="str">
        <f aca="false">IF(AND($AE73=Constants!$B$7, T73, U73) ,IF($Z73="", "", 1-ABS($AA73-$Z73)/$AA73),"")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,IF(AND(T73,U73,W73,ISNUMBER(Z73)),Constants!$B$10*AL73/$AL$6, 0),"")</f>
        <v/>
      </c>
      <c r="AO73" s="94" t="str">
        <f aca="false">IF(AN73&lt;&gt;"", AN73*AG73,"")</f>
        <v/>
      </c>
      <c r="AP73" s="94" t="str">
        <f aca="false">IF($AE73=Constants!$B$7,Constants!$B$8*AB73/$AP$6,"")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IF(ISBLANK(C73),"",IFERROR(_xlfn.SWITCH(BE73, Constants!$B$4, COUNTA($C$8:$C572)+2, Constants!$B$5, COUNTA($C$8:$C572)+1, Constants!$B$6, COUNTA($C$8:$C572)),BE73))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4"/>
      <c r="C74" s="51"/>
      <c r="D74" s="52"/>
      <c r="E74" s="118"/>
      <c r="F74" s="118"/>
      <c r="G74" s="54"/>
      <c r="H74" s="55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IF(ISBLANK($C74),"",IF(J74=Constants!$B$2, TRUE(), IF(J74=Constants!$B$3,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Constants!B77) * IF(X74, 1, Constants!B78),"")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IF($AE74=Constants!$B$7,IF(AND(T74,U74,W74),Constants!$B$9*AH74/$AH$6, 0),"")</f>
        <v/>
      </c>
      <c r="AK74" s="62" t="str">
        <f aca="false">IF(AJ74&lt;&gt;"", AJ74*AG74,"")</f>
        <v/>
      </c>
      <c r="AL74" s="62" t="str">
        <f aca="false">IF(AND($AE74=Constants!$B$7, T74, U74) ,IF($Z74="", "", 1-ABS($AA74-$Z74)/$AA74),"")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IF($AE74=Constants!$B$7,Constants!$B$8*AB74/$AP$6,"")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IF(ISBLANK(C74),"",IFERROR(_xlfn.SWITCH(BE74, Constants!$B$4, COUNTA($C$8:$C573)+2, Constants!$B$5, COUNTA($C$8:$C573)+1, Constants!$B$6, COUNTA($C$8:$C573)),BE74))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4"/>
      <c r="C75" s="51"/>
      <c r="D75" s="52"/>
      <c r="E75" s="118"/>
      <c r="F75" s="118"/>
      <c r="G75" s="54"/>
      <c r="H75" s="55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IF(ISBLANK($C75),"",IF(J75=Constants!$B$2, TRUE(), IF(J75=Constants!$B$3,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Constants!B78) * IF(X75, 1, Constants!B79),"")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IF($AE75=Constants!$B$7,IF(AND(T75,U75,W75),Constants!$B$9*AH75/$AH$6, 0),"")</f>
        <v/>
      </c>
      <c r="AK75" s="62" t="str">
        <f aca="false">IF(AJ75&lt;&gt;"", AJ75*AG75,"")</f>
        <v/>
      </c>
      <c r="AL75" s="62" t="str">
        <f aca="false">IF(AND($AE75=Constants!$B$7, T75, U75) ,IF($Z75="", "", 1-ABS($AA75-$Z75)/$AA75),"")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IF($AE75=Constants!$B$7,Constants!$B$8*AB75/$AP$6,"")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IF(ISBLANK(C75),"",IFERROR(_xlfn.SWITCH(BE75, Constants!$B$4, COUNTA($C$8:$C574)+2, Constants!$B$5, COUNTA($C$8:$C574)+1, Constants!$B$6, COUNTA($C$8:$C574)),BE75))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4"/>
      <c r="C76" s="51"/>
      <c r="D76" s="52"/>
      <c r="E76" s="118"/>
      <c r="F76" s="118"/>
      <c r="G76" s="54"/>
      <c r="H76" s="55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IF(ISBLANK($C76),"",IF(J76=Constants!$B$2, TRUE(), IF(J76=Constants!$B$3,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Constants!B79) * IF(X76, 1, Constants!B80),"")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IF($AE76=Constants!$B$7,IF(AND(T76,U76,W76),Constants!$B$9*AH76/$AH$6, 0),"")</f>
        <v/>
      </c>
      <c r="AK76" s="62" t="str">
        <f aca="false">IF(AJ76&lt;&gt;"", AJ76*AG76,"")</f>
        <v/>
      </c>
      <c r="AL76" s="62" t="str">
        <f aca="false">IF(AND($AE76=Constants!$B$7, T76, U76) ,IF($Z76="", "", 1-ABS($AA76-$Z76)/$AA76),"")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IF($AE76=Constants!$B$7,Constants!$B$8*AB76/$AP$6,"")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IF(ISBLANK(C76),"",IFERROR(_xlfn.SWITCH(BE76, Constants!$B$4, COUNTA($C$8:$C575)+2, Constants!$B$5, COUNTA($C$8:$C575)+1, Constants!$B$6, COUNTA($C$8:$C575)),BE76))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0"/>
      <c r="C77" s="121"/>
      <c r="D77" s="110"/>
      <c r="E77" s="114"/>
      <c r="F77" s="114"/>
      <c r="G77" s="86"/>
      <c r="H77" s="87"/>
      <c r="I77" s="123"/>
      <c r="J77" s="123"/>
      <c r="K77" s="123"/>
      <c r="L77" s="89"/>
      <c r="M77" s="89"/>
      <c r="N77" s="89"/>
      <c r="O77" s="90"/>
      <c r="P77" s="91"/>
      <c r="Q77" s="123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4" t="str">
        <f aca="false">IF(ISBLANK($C77),"",IF(J77=Constants!$B$2, TRUE(), IF(J77=Constants!$B$3,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Constants!B80) * IF(X77, 1, Constants!B81),"")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IF($AE77=Constants!$B$7,IF(AND(T77,U77,W77),Constants!$B$9*AH77/$AH$6, 0),"")</f>
        <v/>
      </c>
      <c r="AK77" s="94" t="str">
        <f aca="false">IF(AJ77&lt;&gt;"", AJ77*AG77,"")</f>
        <v/>
      </c>
      <c r="AL77" s="94" t="str">
        <f aca="false">IF(AND($AE77=Constants!$B$7, T77, U77) ,IF($Z77="", "", 1-ABS($AA77-$Z77)/$AA77),"")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,IF(AND(T77,U77,W77,ISNUMBER(Z77)),Constants!$B$10*AL77/$AL$6, 0),"")</f>
        <v/>
      </c>
      <c r="AO77" s="94" t="str">
        <f aca="false">IF(AN77&lt;&gt;"", AN77*AG77,"")</f>
        <v/>
      </c>
      <c r="AP77" s="94" t="str">
        <f aca="false">IF($AE77=Constants!$B$7,Constants!$B$8*AB77/$AP$6,"")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IF(ISBLANK(C77),"",IFERROR(_xlfn.SWITCH(BE77, Constants!$B$4, COUNTA($C$8:$C576)+2, Constants!$B$5, COUNTA($C$8:$C576)+1, Constants!$B$6, COUNTA($C$8:$C576)),BE77))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0"/>
      <c r="C78" s="121"/>
      <c r="D78" s="110"/>
      <c r="E78" s="114"/>
      <c r="F78" s="114"/>
      <c r="G78" s="86"/>
      <c r="H78" s="87"/>
      <c r="I78" s="123"/>
      <c r="J78" s="123"/>
      <c r="K78" s="123"/>
      <c r="L78" s="89"/>
      <c r="M78" s="89"/>
      <c r="N78" s="89"/>
      <c r="O78" s="90"/>
      <c r="P78" s="91"/>
      <c r="Q78" s="123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4" t="str">
        <f aca="false">IF(ISBLANK($C78),"",IF(J78=Constants!$B$2, TRUE(), IF(J78=Constants!$B$3,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Constants!B81) * IF(X78, 1, Constants!B82),"")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IF($AE78=Constants!$B$7,IF(AND(T78,U78,W78),Constants!$B$9*AH78/$AH$6, 0),"")</f>
        <v/>
      </c>
      <c r="AK78" s="94" t="str">
        <f aca="false">IF(AJ78&lt;&gt;"", AJ78*AG78,"")</f>
        <v/>
      </c>
      <c r="AL78" s="94" t="str">
        <f aca="false">IF(AND($AE78=Constants!$B$7, T78, U78) ,IF($Z78="", "", 1-ABS($AA78-$Z78)/$AA78),"")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,IF(AND(T78,U78,W78,ISNUMBER(Z78)),Constants!$B$10*AL78/$AL$6, 0),"")</f>
        <v/>
      </c>
      <c r="AO78" s="94" t="str">
        <f aca="false">IF(AN78&lt;&gt;"", AN78*AG78,"")</f>
        <v/>
      </c>
      <c r="AP78" s="94" t="str">
        <f aca="false">IF($AE78=Constants!$B$7,Constants!$B$8*AB78/$AP$6,"")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IF(ISBLANK(C78),"",IFERROR(_xlfn.SWITCH(BE78, Constants!$B$4, COUNTA($C$8:$C577)+2, Constants!$B$5, COUNTA($C$8:$C577)+1, Constants!$B$6, COUNTA($C$8:$C577)),BE78))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0"/>
      <c r="C79" s="121"/>
      <c r="D79" s="110"/>
      <c r="E79" s="114"/>
      <c r="F79" s="114"/>
      <c r="G79" s="86"/>
      <c r="H79" s="87"/>
      <c r="I79" s="123"/>
      <c r="J79" s="123"/>
      <c r="K79" s="123"/>
      <c r="L79" s="89"/>
      <c r="M79" s="89"/>
      <c r="N79" s="89"/>
      <c r="O79" s="90"/>
      <c r="P79" s="91"/>
      <c r="Q79" s="123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4" t="str">
        <f aca="false">IF(ISBLANK($C79),"",IF(J79=Constants!$B$2, TRUE(), IF(J79=Constants!$B$3,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Constants!B82) * IF(X79, 1, Constants!B83),"")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IF($AE79=Constants!$B$7,IF(AND(T79,U79,W79),Constants!$B$9*AH79/$AH$6, 0),"")</f>
        <v/>
      </c>
      <c r="AK79" s="94" t="str">
        <f aca="false">IF(AJ79&lt;&gt;"", AJ79*AG79,"")</f>
        <v/>
      </c>
      <c r="AL79" s="94" t="str">
        <f aca="false">IF(AND($AE79=Constants!$B$7, T79, U79) ,IF($Z79="", "", 1-ABS($AA79-$Z79)/$AA79),"")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,IF(AND(T79,U79,W79,ISNUMBER(Z79)),Constants!$B$10*AL79/$AL$6, 0),"")</f>
        <v/>
      </c>
      <c r="AO79" s="94" t="str">
        <f aca="false">IF(AN79&lt;&gt;"", AN79*AG79,"")</f>
        <v/>
      </c>
      <c r="AP79" s="94" t="str">
        <f aca="false">IF($AE79=Constants!$B$7,Constants!$B$8*AB79/$AP$6,"")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IF(ISBLANK(C79),"",IFERROR(_xlfn.SWITCH(BE79, Constants!$B$4, COUNTA($C$8:$C578)+2, Constants!$B$5, COUNTA($C$8:$C578)+1, Constants!$B$6, COUNTA($C$8:$C578)),BE79))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4"/>
      <c r="C80" s="51"/>
      <c r="D80" s="52"/>
      <c r="E80" s="118"/>
      <c r="F80" s="118"/>
      <c r="G80" s="54"/>
      <c r="H80" s="55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IF(ISBLANK($C80),"",IF(J80=Constants!$B$2, TRUE(), IF(J80=Constants!$B$3,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Constants!B83) * IF(X80, 1, Constants!B84),"")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IF($AE80=Constants!$B$7,IF(AND(T80,U80,W80),Constants!$B$9*AH80/$AH$6, 0),"")</f>
        <v/>
      </c>
      <c r="AK80" s="62" t="str">
        <f aca="false">IF(AJ80&lt;&gt;"", AJ80*AG80,"")</f>
        <v/>
      </c>
      <c r="AL80" s="62" t="str">
        <f aca="false">IF(AND($AE80=Constants!$B$7, T80, U80) ,IF($Z80="", "", 1-ABS($AA80-$Z80)/$AA80),"")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IF($AE80=Constants!$B$7,Constants!$B$8*AB80/$AP$6,"")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IF(ISBLANK(C80),"",IFERROR(_xlfn.SWITCH(BE80, Constants!$B$4, COUNTA($C$8:$C579)+2, Constants!$B$5, COUNTA($C$8:$C579)+1, Constants!$B$6, COUNTA($C$8:$C579)),BE80))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4"/>
      <c r="C81" s="51"/>
      <c r="D81" s="52"/>
      <c r="E81" s="118"/>
      <c r="F81" s="118"/>
      <c r="G81" s="54"/>
      <c r="H81" s="55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IF(ISBLANK($C81),"",IF(J81=Constants!$B$2, TRUE(), IF(J81=Constants!$B$3,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Constants!B84) * IF(X81, 1, Constants!B85),"")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IF($AE81=Constants!$B$7,IF(AND(T81,U81,W81),Constants!$B$9*AH81/$AH$6, 0),"")</f>
        <v/>
      </c>
      <c r="AK81" s="62" t="str">
        <f aca="false">IF(AJ81&lt;&gt;"", AJ81*AG81,"")</f>
        <v/>
      </c>
      <c r="AL81" s="62" t="str">
        <f aca="false">IF(AND($AE81=Constants!$B$7, T81, U81) ,IF($Z81="", "", 1-ABS($AA81-$Z81)/$AA81),"")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IF($AE81=Constants!$B$7,Constants!$B$8*AB81/$AP$6,"")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IF(ISBLANK(C81),"",IFERROR(_xlfn.SWITCH(BE81, Constants!$B$4, COUNTA($C$8:$C580)+2, Constants!$B$5, COUNTA($C$8:$C580)+1, Constants!$B$6, COUNTA($C$8:$C580)),BE81))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4"/>
      <c r="C82" s="51"/>
      <c r="D82" s="52"/>
      <c r="E82" s="118"/>
      <c r="F82" s="118"/>
      <c r="G82" s="54"/>
      <c r="H82" s="55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IF(ISBLANK($C82),"",IF(J82=Constants!$B$2, TRUE(), IF(J82=Constants!$B$3,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Constants!B85) * IF(X82, 1, Constants!B86),"")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IF($AE82=Constants!$B$7,IF(AND(T82,U82,W82),Constants!$B$9*AH82/$AH$6, 0),"")</f>
        <v/>
      </c>
      <c r="AK82" s="62" t="str">
        <f aca="false">IF(AJ82&lt;&gt;"", AJ82*AG82,"")</f>
        <v/>
      </c>
      <c r="AL82" s="62" t="str">
        <f aca="false">IF(AND($AE82=Constants!$B$7, T82, U82) ,IF($Z82="", "", 1-ABS($AA82-$Z82)/$AA82),"")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IF($AE82=Constants!$B$7,Constants!$B$8*AB82/$AP$6,"")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IF(ISBLANK(C82),"",IFERROR(_xlfn.SWITCH(BE82, Constants!$B$4, COUNTA($C$8:$C581)+2, Constants!$B$5, COUNTA($C$8:$C581)+1, Constants!$B$6, COUNTA($C$8:$C581)),BE82))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0"/>
      <c r="C83" s="121"/>
      <c r="D83" s="110"/>
      <c r="E83" s="114"/>
      <c r="F83" s="114"/>
      <c r="G83" s="86"/>
      <c r="H83" s="87"/>
      <c r="I83" s="123"/>
      <c r="J83" s="123"/>
      <c r="K83" s="123"/>
      <c r="L83" s="89"/>
      <c r="M83" s="89"/>
      <c r="N83" s="89"/>
      <c r="O83" s="90"/>
      <c r="P83" s="91"/>
      <c r="Q83" s="123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4" t="str">
        <f aca="false">IF(ISBLANK($C83),"",IF(J83=Constants!$B$2, TRUE(), IF(J83=Constants!$B$3,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Constants!B86) * IF(X83, 1, Constants!B87),"")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IF($AE83=Constants!$B$7,IF(AND(T83,U83,W83),Constants!$B$9*AH83/$AH$6, 0),"")</f>
        <v/>
      </c>
      <c r="AK83" s="94" t="str">
        <f aca="false">IF(AJ83&lt;&gt;"", AJ83*AG83,"")</f>
        <v/>
      </c>
      <c r="AL83" s="94" t="str">
        <f aca="false">IF(AND($AE83=Constants!$B$7, T83, U83) ,IF($Z83="", "", 1-ABS($AA83-$Z83)/$AA83),"")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,IF(AND(T83,U83,W83,ISNUMBER(Z83)),Constants!$B$10*AL83/$AL$6, 0),"")</f>
        <v/>
      </c>
      <c r="AO83" s="94" t="str">
        <f aca="false">IF(AN83&lt;&gt;"", AN83*AG83,"")</f>
        <v/>
      </c>
      <c r="AP83" s="94" t="str">
        <f aca="false">IF($AE83=Constants!$B$7,Constants!$B$8*AB83/$AP$6,"")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IF(ISBLANK(C83),"",IFERROR(_xlfn.SWITCH(BE83, Constants!$B$4, COUNTA($C$8:$C582)+2, Constants!$B$5, COUNTA($C$8:$C582)+1, Constants!$B$6, COUNTA($C$8:$C582)),BE83))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0"/>
      <c r="C84" s="121"/>
      <c r="D84" s="110"/>
      <c r="E84" s="114"/>
      <c r="F84" s="114"/>
      <c r="G84" s="86"/>
      <c r="H84" s="87"/>
      <c r="I84" s="123"/>
      <c r="J84" s="123"/>
      <c r="K84" s="123"/>
      <c r="L84" s="89"/>
      <c r="M84" s="89"/>
      <c r="N84" s="89"/>
      <c r="O84" s="90"/>
      <c r="P84" s="91"/>
      <c r="Q84" s="123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4" t="str">
        <f aca="false">IF(ISBLANK($C84),"",IF(J84=Constants!$B$2, TRUE(), IF(J84=Constants!$B$3,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Constants!B87) * IF(X84, 1, Constants!B88),"")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IF($AE84=Constants!$B$7,IF(AND(T84,U84,W84),Constants!$B$9*AH84/$AH$6, 0),"")</f>
        <v/>
      </c>
      <c r="AK84" s="94" t="str">
        <f aca="false">IF(AJ84&lt;&gt;"", AJ84*AG84,"")</f>
        <v/>
      </c>
      <c r="AL84" s="94" t="str">
        <f aca="false">IF(AND($AE84=Constants!$B$7, T84, U84) ,IF($Z84="", "", 1-ABS($AA84-$Z84)/$AA84),"")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,IF(AND(T84,U84,W84,ISNUMBER(Z84)),Constants!$B$10*AL84/$AL$6, 0),"")</f>
        <v/>
      </c>
      <c r="AO84" s="94" t="str">
        <f aca="false">IF(AN84&lt;&gt;"", AN84*AG84,"")</f>
        <v/>
      </c>
      <c r="AP84" s="94" t="str">
        <f aca="false">IF($AE84=Constants!$B$7,Constants!$B$8*AB84/$AP$6,"")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IF(ISBLANK(C84),"",IFERROR(_xlfn.SWITCH(BE84, Constants!$B$4, COUNTA($C$8:$C583)+2, Constants!$B$5, COUNTA($C$8:$C583)+1, Constants!$B$6, COUNTA($C$8:$C583)),BE84))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0"/>
      <c r="C85" s="121"/>
      <c r="D85" s="110"/>
      <c r="E85" s="114"/>
      <c r="F85" s="114"/>
      <c r="G85" s="86"/>
      <c r="H85" s="87"/>
      <c r="I85" s="123"/>
      <c r="J85" s="123"/>
      <c r="K85" s="123"/>
      <c r="L85" s="89"/>
      <c r="M85" s="89"/>
      <c r="N85" s="89"/>
      <c r="O85" s="90"/>
      <c r="P85" s="91"/>
      <c r="Q85" s="123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4" t="str">
        <f aca="false">IF(ISBLANK($C85),"",IF(J85=Constants!$B$2, TRUE(), IF(J85=Constants!$B$3,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Constants!B88) * IF(X85, 1, Constants!B89),"")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IF($AE85=Constants!$B$7,IF(AND(T85,U85,W85),Constants!$B$9*AH85/$AH$6, 0),"")</f>
        <v/>
      </c>
      <c r="AK85" s="94" t="str">
        <f aca="false">IF(AJ85&lt;&gt;"", AJ85*AG85,"")</f>
        <v/>
      </c>
      <c r="AL85" s="94" t="str">
        <f aca="false">IF(AND($AE85=Constants!$B$7, T85, U85) ,IF($Z85="", "", 1-ABS($AA85-$Z85)/$AA85),"")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,IF(AND(T85,U85,W85,ISNUMBER(Z85)),Constants!$B$10*AL85/$AL$6, 0),"")</f>
        <v/>
      </c>
      <c r="AO85" s="94" t="str">
        <f aca="false">IF(AN85&lt;&gt;"", AN85*AG85,"")</f>
        <v/>
      </c>
      <c r="AP85" s="94" t="str">
        <f aca="false">IF($AE85=Constants!$B$7,Constants!$B$8*AB85/$AP$6,"")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IF(ISBLANK(C85),"",IFERROR(_xlfn.SWITCH(BE85, Constants!$B$4, COUNTA($C$8:$C584)+2, Constants!$B$5, COUNTA($C$8:$C584)+1, Constants!$B$6, COUNTA($C$8:$C584)),BE85))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4"/>
      <c r="C86" s="51"/>
      <c r="D86" s="52"/>
      <c r="E86" s="118"/>
      <c r="F86" s="118"/>
      <c r="G86" s="54"/>
      <c r="H86" s="55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IF(ISBLANK($C86),"",IF(J86=Constants!$B$2, TRUE(), IF(J86=Constants!$B$3,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Constants!B89) * IF(X86, 1, Constants!B90),"")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IF($AE86=Constants!$B$7,IF(AND(T86,U86,W86),Constants!$B$9*AH86/$AH$6, 0),"")</f>
        <v/>
      </c>
      <c r="AK86" s="62" t="str">
        <f aca="false">IF(AJ86&lt;&gt;"", AJ86*AG86,"")</f>
        <v/>
      </c>
      <c r="AL86" s="62" t="str">
        <f aca="false">IF(AND($AE86=Constants!$B$7, T86, U86) ,IF($Z86="", "", 1-ABS($AA86-$Z86)/$AA86),"")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IF($AE86=Constants!$B$7,Constants!$B$8*AB86/$AP$6,"")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IF(ISBLANK(C86),"",IFERROR(_xlfn.SWITCH(BE86, Constants!$B$4, COUNTA($C$8:$C585)+2, Constants!$B$5, COUNTA($C$8:$C585)+1, Constants!$B$6, COUNTA($C$8:$C585)),BE86))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4"/>
      <c r="C87" s="51"/>
      <c r="D87" s="52"/>
      <c r="E87" s="118"/>
      <c r="F87" s="118"/>
      <c r="G87" s="54"/>
      <c r="H87" s="55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IF(ISBLANK($C87),"",IF(J87=Constants!$B$2, TRUE(), IF(J87=Constants!$B$3,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Constants!B90) * IF(X87, 1, Constants!B91),"")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IF($AE87=Constants!$B$7,IF(AND(T87,U87,W87),Constants!$B$9*AH87/$AH$6, 0),"")</f>
        <v/>
      </c>
      <c r="AK87" s="62" t="str">
        <f aca="false">IF(AJ87&lt;&gt;"", AJ87*AG87,"")</f>
        <v/>
      </c>
      <c r="AL87" s="62" t="str">
        <f aca="false">IF(AND($AE87=Constants!$B$7, T87, U87) ,IF($Z87="", "", 1-ABS($AA87-$Z87)/$AA87),"")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IF($AE87=Constants!$B$7,Constants!$B$8*AB87/$AP$6,"")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IF(ISBLANK(C87),"",IFERROR(_xlfn.SWITCH(BE87, Constants!$B$4, COUNTA($C$8:$C586)+2, Constants!$B$5, COUNTA($C$8:$C586)+1, Constants!$B$6, COUNTA($C$8:$C586)),BE87))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4"/>
      <c r="C88" s="51"/>
      <c r="D88" s="52"/>
      <c r="E88" s="118"/>
      <c r="F88" s="118"/>
      <c r="G88" s="54"/>
      <c r="H88" s="55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IF(ISBLANK($C88),"",IF(J88=Constants!$B$2, TRUE(), IF(J88=Constants!$B$3,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Constants!B91) * IF(X88, 1, Constants!B92),"")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IF($AE88=Constants!$B$7,IF(AND(T88,U88,W88),Constants!$B$9*AH88/$AH$6, 0),"")</f>
        <v/>
      </c>
      <c r="AK88" s="62" t="str">
        <f aca="false">IF(AJ88&lt;&gt;"", AJ88*AG88,"")</f>
        <v/>
      </c>
      <c r="AL88" s="62" t="str">
        <f aca="false">IF(AND($AE88=Constants!$B$7, T88, U88) ,IF($Z88="", "", 1-ABS($AA88-$Z88)/$AA88),"")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IF($AE88=Constants!$B$7,Constants!$B$8*AB88/$AP$6,"")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IF(ISBLANK(C88),"",IFERROR(_xlfn.SWITCH(BE88, Constants!$B$4, COUNTA($C$8:$C587)+2, Constants!$B$5, COUNTA($C$8:$C587)+1, Constants!$B$6, COUNTA($C$8:$C587)),BE88))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0"/>
      <c r="C89" s="121"/>
      <c r="D89" s="110"/>
      <c r="E89" s="114"/>
      <c r="F89" s="114"/>
      <c r="G89" s="86"/>
      <c r="H89" s="87"/>
      <c r="I89" s="123"/>
      <c r="J89" s="123"/>
      <c r="K89" s="123"/>
      <c r="L89" s="89"/>
      <c r="M89" s="89"/>
      <c r="N89" s="89"/>
      <c r="O89" s="90"/>
      <c r="P89" s="91"/>
      <c r="Q89" s="123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4" t="str">
        <f aca="false">IF(ISBLANK($C89),"",IF(J89=Constants!$B$2, TRUE(), IF(J89=Constants!$B$3,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Constants!B92) * IF(X89, 1, Constants!B93),"")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IF($AE89=Constants!$B$7,IF(AND(T89,U89,W89),Constants!$B$9*AH89/$AH$6, 0),"")</f>
        <v/>
      </c>
      <c r="AK89" s="94" t="str">
        <f aca="false">IF(AJ89&lt;&gt;"", AJ89*AG89,"")</f>
        <v/>
      </c>
      <c r="AL89" s="94" t="str">
        <f aca="false">IF(AND($AE89=Constants!$B$7, T89, U89) ,IF($Z89="", "", 1-ABS($AA89-$Z89)/$AA89),"")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,IF(AND(T89,U89,W89,ISNUMBER(Z89)),Constants!$B$10*AL89/$AL$6, 0),"")</f>
        <v/>
      </c>
      <c r="AO89" s="94" t="str">
        <f aca="false">IF(AN89&lt;&gt;"", AN89*AG89,"")</f>
        <v/>
      </c>
      <c r="AP89" s="94" t="str">
        <f aca="false">IF($AE89=Constants!$B$7,Constants!$B$8*AB89/$AP$6,"")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IF(ISBLANK(C89),"",IFERROR(_xlfn.SWITCH(BE89, Constants!$B$4, COUNTA($C$8:$C588)+2, Constants!$B$5, COUNTA($C$8:$C588)+1, Constants!$B$6, COUNTA($C$8:$C588)),BE89))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0"/>
      <c r="C90" s="121"/>
      <c r="D90" s="110"/>
      <c r="E90" s="114"/>
      <c r="F90" s="114"/>
      <c r="G90" s="86"/>
      <c r="H90" s="87"/>
      <c r="I90" s="123"/>
      <c r="J90" s="123"/>
      <c r="K90" s="123"/>
      <c r="L90" s="89"/>
      <c r="M90" s="89"/>
      <c r="N90" s="89"/>
      <c r="O90" s="90"/>
      <c r="P90" s="91"/>
      <c r="Q90" s="123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4" t="str">
        <f aca="false">IF(ISBLANK($C90),"",IF(J90=Constants!$B$2, TRUE(), IF(J90=Constants!$B$3,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Constants!B93) * IF(X90, 1, Constants!B94),"")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IF($AE90=Constants!$B$7,IF(AND(T90,U90,W90),Constants!$B$9*AH90/$AH$6, 0),"")</f>
        <v/>
      </c>
      <c r="AK90" s="94" t="str">
        <f aca="false">IF(AJ90&lt;&gt;"", AJ90*AG90,"")</f>
        <v/>
      </c>
      <c r="AL90" s="94" t="str">
        <f aca="false">IF(AND($AE90=Constants!$B$7, T90, U90) ,IF($Z90="", "", 1-ABS($AA90-$Z90)/$AA90),"")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,IF(AND(T90,U90,W90,ISNUMBER(Z90)),Constants!$B$10*AL90/$AL$6, 0),"")</f>
        <v/>
      </c>
      <c r="AO90" s="94" t="str">
        <f aca="false">IF(AN90&lt;&gt;"", AN90*AG90,"")</f>
        <v/>
      </c>
      <c r="AP90" s="94" t="str">
        <f aca="false">IF($AE90=Constants!$B$7,Constants!$B$8*AB90/$AP$6,"")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IF(ISBLANK(C90),"",IFERROR(_xlfn.SWITCH(BE90, Constants!$B$4, COUNTA($C$8:$C589)+2, Constants!$B$5, COUNTA($C$8:$C589)+1, Constants!$B$6, COUNTA($C$8:$C589)),BE90))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0"/>
      <c r="C91" s="121"/>
      <c r="D91" s="110"/>
      <c r="E91" s="114"/>
      <c r="F91" s="114"/>
      <c r="G91" s="86"/>
      <c r="H91" s="87"/>
      <c r="I91" s="123"/>
      <c r="J91" s="123"/>
      <c r="K91" s="123"/>
      <c r="L91" s="89"/>
      <c r="M91" s="89"/>
      <c r="N91" s="89"/>
      <c r="O91" s="90"/>
      <c r="P91" s="91"/>
      <c r="Q91" s="123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4" t="str">
        <f aca="false">IF(ISBLANK($C91),"",IF(J91=Constants!$B$2, TRUE(), IF(J91=Constants!$B$3,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Constants!B94) * IF(X91, 1, Constants!B95),"")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IF($AE91=Constants!$B$7,IF(AND(T91,U91,W91),Constants!$B$9*AH91/$AH$6, 0),"")</f>
        <v/>
      </c>
      <c r="AK91" s="94" t="str">
        <f aca="false">IF(AJ91&lt;&gt;"", AJ91*AG91,"")</f>
        <v/>
      </c>
      <c r="AL91" s="94" t="str">
        <f aca="false">IF(AND($AE91=Constants!$B$7, T91, U91) ,IF($Z91="", "", 1-ABS($AA91-$Z91)/$AA91),"")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,IF(AND(T91,U91,W91,ISNUMBER(Z91)),Constants!$B$10*AL91/$AL$6, 0),"")</f>
        <v/>
      </c>
      <c r="AO91" s="94" t="str">
        <f aca="false">IF(AN91&lt;&gt;"", AN91*AG91,"")</f>
        <v/>
      </c>
      <c r="AP91" s="94" t="str">
        <f aca="false">IF($AE91=Constants!$B$7,Constants!$B$8*AB91/$AP$6,"")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IF(ISBLANK(C91),"",IFERROR(_xlfn.SWITCH(BE91, Constants!$B$4, COUNTA($C$8:$C590)+2, Constants!$B$5, COUNTA($C$8:$C590)+1, Constants!$B$6, COUNTA($C$8:$C590)),BE91))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4"/>
      <c r="C92" s="51"/>
      <c r="D92" s="52"/>
      <c r="E92" s="118"/>
      <c r="F92" s="118"/>
      <c r="G92" s="54"/>
      <c r="H92" s="55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IF(ISBLANK($C92),"",IF(J92=Constants!$B$2, TRUE(), IF(J92=Constants!$B$3,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Constants!B95) * IF(X92, 1, Constants!B96),"")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IF($AE92=Constants!$B$7,IF(AND(T92,U92,W92),Constants!$B$9*AH92/$AH$6, 0),"")</f>
        <v/>
      </c>
      <c r="AK92" s="62" t="str">
        <f aca="false">IF(AJ92&lt;&gt;"", AJ92*AG92,"")</f>
        <v/>
      </c>
      <c r="AL92" s="62" t="str">
        <f aca="false">IF(AND($AE92=Constants!$B$7, T92, U92) ,IF($Z92="", "", 1-ABS($AA92-$Z92)/$AA92),"")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IF($AE92=Constants!$B$7,Constants!$B$8*AB92/$AP$6,"")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IF(ISBLANK(C92),"",IFERROR(_xlfn.SWITCH(BE92, Constants!$B$4, COUNTA($C$8:$C591)+2, Constants!$B$5, COUNTA($C$8:$C591)+1, Constants!$B$6, COUNTA($C$8:$C591)),BE92))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4"/>
      <c r="C93" s="51"/>
      <c r="D93" s="52"/>
      <c r="E93" s="118"/>
      <c r="F93" s="118"/>
      <c r="G93" s="54"/>
      <c r="H93" s="55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IF(ISBLANK($C93),"",IF(J93=Constants!$B$2, TRUE(), IF(J93=Constants!$B$3,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Constants!B96) * IF(X93, 1, Constants!B97),"")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IF($AE93=Constants!$B$7,IF(AND(T93,U93,W93),Constants!$B$9*AH93/$AH$6, 0),"")</f>
        <v/>
      </c>
      <c r="AK93" s="62" t="str">
        <f aca="false">IF(AJ93&lt;&gt;"", AJ93*AG93,"")</f>
        <v/>
      </c>
      <c r="AL93" s="62" t="str">
        <f aca="false">IF(AND($AE93=Constants!$B$7, T93, U93) ,IF($Z93="", "", 1-ABS($AA93-$Z93)/$AA93),"")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IF($AE93=Constants!$B$7,Constants!$B$8*AB93/$AP$6,"")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IF(ISBLANK(C93),"",IFERROR(_xlfn.SWITCH(BE93, Constants!$B$4, COUNTA($C$8:$C592)+2, Constants!$B$5, COUNTA($C$8:$C592)+1, Constants!$B$6, COUNTA($C$8:$C592)),BE93))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4"/>
      <c r="C94" s="51"/>
      <c r="D94" s="52"/>
      <c r="E94" s="118"/>
      <c r="F94" s="118"/>
      <c r="G94" s="54"/>
      <c r="H94" s="55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IF(ISBLANK($C94),"",IF(J94=Constants!$B$2, TRUE(), IF(J94=Constants!$B$3,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Constants!B97) * IF(X94, 1, Constants!B98),"")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IF($AE94=Constants!$B$7,IF(AND(T94,U94,W94),Constants!$B$9*AH94/$AH$6, 0),"")</f>
        <v/>
      </c>
      <c r="AK94" s="62" t="str">
        <f aca="false">IF(AJ94&lt;&gt;"", AJ94*AG94,"")</f>
        <v/>
      </c>
      <c r="AL94" s="62" t="str">
        <f aca="false">IF(AND($AE94=Constants!$B$7, T94, U94) ,IF($Z94="", "", 1-ABS($AA94-$Z94)/$AA94),"")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IF($AE94=Constants!$B$7,Constants!$B$8*AB94/$AP$6,"")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IF(ISBLANK(C94),"",IFERROR(_xlfn.SWITCH(BE94, Constants!$B$4, COUNTA($C$8:$C593)+2, Constants!$B$5, COUNTA($C$8:$C593)+1, Constants!$B$6, COUNTA($C$8:$C593)),BE94))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0"/>
      <c r="C95" s="121"/>
      <c r="D95" s="110"/>
      <c r="E95" s="114"/>
      <c r="F95" s="114"/>
      <c r="G95" s="86"/>
      <c r="H95" s="87"/>
      <c r="I95" s="123"/>
      <c r="J95" s="123"/>
      <c r="K95" s="123"/>
      <c r="L95" s="89"/>
      <c r="M95" s="89"/>
      <c r="N95" s="89"/>
      <c r="O95" s="90"/>
      <c r="P95" s="91"/>
      <c r="Q95" s="123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4" t="str">
        <f aca="false">IF(ISBLANK($C95),"",IF(J95=Constants!$B$2, TRUE(), IF(J95=Constants!$B$3,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Constants!B98) * IF(X95, 1, Constants!B99),"")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IF($AE95=Constants!$B$7,IF(AND(T95,U95,W95),Constants!$B$9*AH95/$AH$6, 0),"")</f>
        <v/>
      </c>
      <c r="AK95" s="94" t="str">
        <f aca="false">IF(AJ95&lt;&gt;"", AJ95*AG95,"")</f>
        <v/>
      </c>
      <c r="AL95" s="94" t="str">
        <f aca="false">IF(AND($AE95=Constants!$B$7, T95, U95) ,IF($Z95="", "", 1-ABS($AA95-$Z95)/$AA95),"")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,IF(AND(T95,U95,W95,ISNUMBER(Z95)),Constants!$B$10*AL95/$AL$6, 0),"")</f>
        <v/>
      </c>
      <c r="AO95" s="94" t="str">
        <f aca="false">IF(AN95&lt;&gt;"", AN95*AG95,"")</f>
        <v/>
      </c>
      <c r="AP95" s="94" t="str">
        <f aca="false">IF($AE95=Constants!$B$7,Constants!$B$8*AB95/$AP$6,"")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IF(ISBLANK(C95),"",IFERROR(_xlfn.SWITCH(BE95, Constants!$B$4, COUNTA($C$8:$C594)+2, Constants!$B$5, COUNTA($C$8:$C594)+1, Constants!$B$6, COUNTA($C$8:$C594)),BE95))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0"/>
      <c r="C96" s="121"/>
      <c r="D96" s="110"/>
      <c r="E96" s="114"/>
      <c r="F96" s="114"/>
      <c r="G96" s="86"/>
      <c r="H96" s="87"/>
      <c r="I96" s="123"/>
      <c r="J96" s="123"/>
      <c r="K96" s="123"/>
      <c r="L96" s="89"/>
      <c r="M96" s="89"/>
      <c r="N96" s="89"/>
      <c r="O96" s="90"/>
      <c r="P96" s="91"/>
      <c r="Q96" s="123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4" t="str">
        <f aca="false">IF(ISBLANK($C96),"",IF(J96=Constants!$B$2, TRUE(), IF(J96=Constants!$B$3,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Constants!B99) * IF(X96, 1, Constants!B100),"")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IF($AE96=Constants!$B$7,IF(AND(T96,U96,W96),Constants!$B$9*AH96/$AH$6, 0),"")</f>
        <v/>
      </c>
      <c r="AK96" s="94" t="str">
        <f aca="false">IF(AJ96&lt;&gt;"", AJ96*AG96,"")</f>
        <v/>
      </c>
      <c r="AL96" s="94" t="str">
        <f aca="false">IF(AND($AE96=Constants!$B$7, T96, U96) ,IF($Z96="", "", 1-ABS($AA96-$Z96)/$AA96),"")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,IF(AND(T96,U96,W96,ISNUMBER(Z96)),Constants!$B$10*AL96/$AL$6, 0),"")</f>
        <v/>
      </c>
      <c r="AO96" s="94" t="str">
        <f aca="false">IF(AN96&lt;&gt;"", AN96*AG96,"")</f>
        <v/>
      </c>
      <c r="AP96" s="94" t="str">
        <f aca="false">IF($AE96=Constants!$B$7,Constants!$B$8*AB96/$AP$6,"")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IF(ISBLANK(C96),"",IFERROR(_xlfn.SWITCH(BE96, Constants!$B$4, COUNTA($C$8:$C595)+2, Constants!$B$5, COUNTA($C$8:$C595)+1, Constants!$B$6, COUNTA($C$8:$C595)),BE96))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0"/>
      <c r="C97" s="121"/>
      <c r="D97" s="110"/>
      <c r="E97" s="114"/>
      <c r="F97" s="114"/>
      <c r="G97" s="86"/>
      <c r="H97" s="87"/>
      <c r="I97" s="123"/>
      <c r="J97" s="123"/>
      <c r="K97" s="123"/>
      <c r="L97" s="89"/>
      <c r="M97" s="89"/>
      <c r="N97" s="89"/>
      <c r="O97" s="90"/>
      <c r="P97" s="91"/>
      <c r="Q97" s="123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4" t="str">
        <f aca="false">IF(ISBLANK($C97),"",IF(J97=Constants!$B$2, TRUE(), IF(J97=Constants!$B$3,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Constants!B100) * IF(X97, 1, Constants!B101),"")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IF($AE97=Constants!$B$7,IF(AND(T97,U97,W97),Constants!$B$9*AH97/$AH$6, 0),"")</f>
        <v/>
      </c>
      <c r="AK97" s="94" t="str">
        <f aca="false">IF(AJ97&lt;&gt;"", AJ97*AG97,"")</f>
        <v/>
      </c>
      <c r="AL97" s="94" t="str">
        <f aca="false">IF(AND($AE97=Constants!$B$7, T97, U97) ,IF($Z97="", "", 1-ABS($AA97-$Z97)/$AA97),"")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,IF(AND(T97,U97,W97,ISNUMBER(Z97)),Constants!$B$10*AL97/$AL$6, 0),"")</f>
        <v/>
      </c>
      <c r="AO97" s="94" t="str">
        <f aca="false">IF(AN97&lt;&gt;"", AN97*AG97,"")</f>
        <v/>
      </c>
      <c r="AP97" s="94" t="str">
        <f aca="false">IF($AE97=Constants!$B$7,Constants!$B$8*AB97/$AP$6,"")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IF(ISBLANK(C97),"",IFERROR(_xlfn.SWITCH(BE97, Constants!$B$4, COUNTA($C$8:$C596)+2, Constants!$B$5, COUNTA($C$8:$C596)+1, Constants!$B$6, COUNTA($C$8:$C596)),BE97))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4"/>
      <c r="C98" s="51"/>
      <c r="D98" s="52"/>
      <c r="E98" s="118"/>
      <c r="F98" s="118"/>
      <c r="G98" s="54"/>
      <c r="H98" s="55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IF(ISBLANK($C98),"",IF(J98=Constants!$B$2, TRUE(), IF(J98=Constants!$B$3,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Constants!B101) * IF(X98, 1, Constants!B102),"")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IF($AE98=Constants!$B$7,IF(AND(T98,U98,W98),Constants!$B$9*AH98/$AH$6, 0),"")</f>
        <v/>
      </c>
      <c r="AK98" s="62" t="str">
        <f aca="false">IF(AJ98&lt;&gt;"", AJ98*AG98,"")</f>
        <v/>
      </c>
      <c r="AL98" s="62" t="str">
        <f aca="false">IF(AND($AE98=Constants!$B$7, T98, U98) ,IF($Z98="", "", 1-ABS($AA98-$Z98)/$AA98),"")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IF($AE98=Constants!$B$7,Constants!$B$8*AB98/$AP$6,"")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IF(ISBLANK(C98),"",IFERROR(_xlfn.SWITCH(BE98, Constants!$B$4, COUNTA($C$8:$C597)+2, Constants!$B$5, COUNTA($C$8:$C597)+1, Constants!$B$6, COUNTA($C$8:$C597)),BE98))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4"/>
      <c r="C99" s="51"/>
      <c r="D99" s="52"/>
      <c r="E99" s="118"/>
      <c r="F99" s="118"/>
      <c r="G99" s="54"/>
      <c r="H99" s="55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IF(ISBLANK($C99),"",IF(J99=Constants!$B$2, TRUE(), IF(J99=Constants!$B$3,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Constants!B102) * IF(X99, 1, Constants!B103),"")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IF($AE99=Constants!$B$7,IF(AND(T99,U99,W99),Constants!$B$9*AH99/$AH$6, 0),"")</f>
        <v/>
      </c>
      <c r="AK99" s="62" t="str">
        <f aca="false">IF(AJ99&lt;&gt;"", AJ99*AG99,"")</f>
        <v/>
      </c>
      <c r="AL99" s="62" t="str">
        <f aca="false">IF(AND($AE99=Constants!$B$7, T99, U99) ,IF($Z99="", "", 1-ABS($AA99-$Z99)/$AA99),"")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IF($AE99=Constants!$B$7,Constants!$B$8*AB99/$AP$6,"")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IF(ISBLANK(C99),"",IFERROR(_xlfn.SWITCH(BE99, Constants!$B$4, COUNTA($C$8:$C598)+2, Constants!$B$5, COUNTA($C$8:$C598)+1, Constants!$B$6, COUNTA($C$8:$C598)),BE99))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4"/>
      <c r="C100" s="51"/>
      <c r="D100" s="52"/>
      <c r="E100" s="118"/>
      <c r="F100" s="118"/>
      <c r="G100" s="54"/>
      <c r="H100" s="55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IF(ISBLANK($C100),"",IF(J100=Constants!$B$2, TRUE(), IF(J100=Constants!$B$3,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Constants!B103) * IF(X100, 1, Constants!B104),"")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IF($AE100=Constants!$B$7,IF(AND(T100,U100,W100),Constants!$B$9*AH100/$AH$6, 0),"")</f>
        <v/>
      </c>
      <c r="AK100" s="62" t="str">
        <f aca="false">IF(AJ100&lt;&gt;"", AJ100*AG100,"")</f>
        <v/>
      </c>
      <c r="AL100" s="62" t="str">
        <f aca="false">IF(AND($AE100=Constants!$B$7, T100, U100) ,IF($Z100="", "", 1-ABS($AA100-$Z100)/$AA100),"")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IF($AE100=Constants!$B$7,Constants!$B$8*AB100/$AP$6,"")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IF(ISBLANK(C100),"",IFERROR(_xlfn.SWITCH(BE100, Constants!$B$4, COUNTA($C$8:$C599)+2, Constants!$B$5, COUNTA($C$8:$C599)+1, Constants!$B$6, COUNTA($C$8:$C599)),BE100))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0"/>
      <c r="C101" s="121"/>
      <c r="D101" s="110"/>
      <c r="E101" s="114"/>
      <c r="F101" s="114"/>
      <c r="G101" s="86"/>
      <c r="H101" s="87"/>
      <c r="I101" s="123"/>
      <c r="J101" s="123"/>
      <c r="K101" s="123"/>
      <c r="L101" s="89"/>
      <c r="M101" s="89"/>
      <c r="N101" s="89"/>
      <c r="O101" s="90"/>
      <c r="P101" s="91"/>
      <c r="Q101" s="123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4" t="str">
        <f aca="false">IF(ISBLANK($C101),"",IF(J101=Constants!$B$2, TRUE(), IF(J101=Constants!$B$3,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Constants!B104) * IF(X101, 1, Constants!B105),"")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IF($AE101=Constants!$B$7,IF(AND(T101,U101,W101),Constants!$B$9*AH101/$AH$6, 0),"")</f>
        <v/>
      </c>
      <c r="AK101" s="94" t="str">
        <f aca="false">IF(AJ101&lt;&gt;"", AJ101*AG101,"")</f>
        <v/>
      </c>
      <c r="AL101" s="94" t="str">
        <f aca="false">IF(AND($AE101=Constants!$B$7, T101, U101) ,IF($Z101="", "", 1-ABS($AA101-$Z101)/$AA101),"")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,IF(AND(T101,U101,W101,ISNUMBER(Z101)),Constants!$B$10*AL101/$AL$6, 0),"")</f>
        <v/>
      </c>
      <c r="AO101" s="94" t="str">
        <f aca="false">IF(AN101&lt;&gt;"", AN101*AG101,"")</f>
        <v/>
      </c>
      <c r="AP101" s="94" t="str">
        <f aca="false">IF($AE101=Constants!$B$7,Constants!$B$8*AB101/$AP$6,"")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IF(ISBLANK(C101),"",IFERROR(_xlfn.SWITCH(BE101, Constants!$B$4, COUNTA($C$8:$C600)+2, Constants!$B$5, COUNTA($C$8:$C600)+1, Constants!$B$6, COUNTA($C$8:$C600)),BE101))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0"/>
      <c r="C102" s="121"/>
      <c r="D102" s="110"/>
      <c r="E102" s="114"/>
      <c r="F102" s="114"/>
      <c r="G102" s="86"/>
      <c r="H102" s="87"/>
      <c r="I102" s="123"/>
      <c r="J102" s="123"/>
      <c r="K102" s="123"/>
      <c r="L102" s="89"/>
      <c r="M102" s="89"/>
      <c r="N102" s="89"/>
      <c r="O102" s="90"/>
      <c r="P102" s="91"/>
      <c r="Q102" s="123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4" t="str">
        <f aca="false">IF(ISBLANK($C102),"",IF(J102=Constants!$B$2, TRUE(), IF(J102=Constants!$B$3,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Constants!B105) * IF(X102, 1, Constants!B106),"")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IF($AE102=Constants!$B$7,IF(AND(T102,U102,W102),Constants!$B$9*AH102/$AH$6, 0),"")</f>
        <v/>
      </c>
      <c r="AK102" s="94" t="str">
        <f aca="false">IF(AJ102&lt;&gt;"", AJ102*AG102,"")</f>
        <v/>
      </c>
      <c r="AL102" s="94" t="str">
        <f aca="false">IF(AND($AE102=Constants!$B$7, T102, U102) ,IF($Z102="", "", 1-ABS($AA102-$Z102)/$AA102),"")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,IF(AND(T102,U102,W102,ISNUMBER(Z102)),Constants!$B$10*AL102/$AL$6, 0),"")</f>
        <v/>
      </c>
      <c r="AO102" s="94" t="str">
        <f aca="false">IF(AN102&lt;&gt;"", AN102*AG102,"")</f>
        <v/>
      </c>
      <c r="AP102" s="94" t="str">
        <f aca="false">IF($AE102=Constants!$B$7,Constants!$B$8*AB102/$AP$6,"")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IF(ISBLANK(C102),"",IFERROR(_xlfn.SWITCH(BE102, Constants!$B$4, COUNTA($C$8:$C601)+2, Constants!$B$5, COUNTA($C$8:$C601)+1, Constants!$B$6, COUNTA($C$8:$C601)),BE102))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0"/>
      <c r="C103" s="121"/>
      <c r="D103" s="110"/>
      <c r="E103" s="114"/>
      <c r="F103" s="114"/>
      <c r="G103" s="86"/>
      <c r="H103" s="87"/>
      <c r="I103" s="123"/>
      <c r="J103" s="123"/>
      <c r="K103" s="123"/>
      <c r="L103" s="89"/>
      <c r="M103" s="89"/>
      <c r="N103" s="89"/>
      <c r="O103" s="90"/>
      <c r="P103" s="91"/>
      <c r="Q103" s="123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4" t="str">
        <f aca="false">IF(ISBLANK($C103),"",IF(J103=Constants!$B$2, TRUE(), IF(J103=Constants!$B$3,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Constants!B106) * IF(X103, 1, Constants!B107),"")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IF($AE103=Constants!$B$7,IF(AND(T103,U103,W103),Constants!$B$9*AH103/$AH$6, 0),"")</f>
        <v/>
      </c>
      <c r="AK103" s="94" t="str">
        <f aca="false">IF(AJ103&lt;&gt;"", AJ103*AG103,"")</f>
        <v/>
      </c>
      <c r="AL103" s="94" t="str">
        <f aca="false">IF(AND($AE103=Constants!$B$7, T103, U103) ,IF($Z103="", "", 1-ABS($AA103-$Z103)/$AA103),"")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,IF(AND(T103,U103,W103,ISNUMBER(Z103)),Constants!$B$10*AL103/$AL$6, 0),"")</f>
        <v/>
      </c>
      <c r="AO103" s="94" t="str">
        <f aca="false">IF(AN103&lt;&gt;"", AN103*AG103,"")</f>
        <v/>
      </c>
      <c r="AP103" s="94" t="str">
        <f aca="false">IF($AE103=Constants!$B$7,Constants!$B$8*AB103/$AP$6,"")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IF(ISBLANK(C103),"",IFERROR(_xlfn.SWITCH(BE103, Constants!$B$4, COUNTA($C$8:$C602)+2, Constants!$B$5, COUNTA($C$8:$C602)+1, Constants!$B$6, COUNTA($C$8:$C602)),BE103))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4"/>
      <c r="C104" s="51"/>
      <c r="D104" s="52"/>
      <c r="E104" s="118"/>
      <c r="F104" s="118"/>
      <c r="G104" s="54"/>
      <c r="H104" s="55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IF(ISBLANK($C104),"",IF(J104=Constants!$B$2, TRUE(), IF(J104=Constants!$B$3,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Constants!B107) * IF(X104, 1, Constants!B108),"")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IF($AE104=Constants!$B$7,IF(AND(T104,U104,W104),Constants!$B$9*AH104/$AH$6, 0),"")</f>
        <v/>
      </c>
      <c r="AK104" s="62" t="str">
        <f aca="false">IF(AJ104&lt;&gt;"", AJ104*AG104,"")</f>
        <v/>
      </c>
      <c r="AL104" s="62" t="str">
        <f aca="false">IF(AND($AE104=Constants!$B$7, T104, U104) ,IF($Z104="", "", 1-ABS($AA104-$Z104)/$AA104),"")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IF($AE104=Constants!$B$7,Constants!$B$8*AB104/$AP$6,"")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IF(ISBLANK(C104),"",IFERROR(_xlfn.SWITCH(BE104, Constants!$B$4, COUNTA($C$8:$C603)+2, Constants!$B$5, COUNTA($C$8:$C603)+1, Constants!$B$6, COUNTA($C$8:$C603)),BE104))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4"/>
      <c r="C105" s="51"/>
      <c r="D105" s="52"/>
      <c r="E105" s="118"/>
      <c r="F105" s="118"/>
      <c r="G105" s="54"/>
      <c r="H105" s="55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IF(ISBLANK($C105),"",IF(J105=Constants!$B$2, TRUE(), IF(J105=Constants!$B$3,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Constants!B108) * IF(X105, 1, Constants!B109),"")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IF($AE105=Constants!$B$7,IF(AND(T105,U105,W105),Constants!$B$9*AH105/$AH$6, 0),"")</f>
        <v/>
      </c>
      <c r="AK105" s="62" t="str">
        <f aca="false">IF(AJ105&lt;&gt;"", AJ105*AG105,"")</f>
        <v/>
      </c>
      <c r="AL105" s="62" t="str">
        <f aca="false">IF(AND($AE105=Constants!$B$7, T105, U105) ,IF($Z105="", "", 1-ABS($AA105-$Z105)/$AA105),"")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IF($AE105=Constants!$B$7,Constants!$B$8*AB105/$AP$6,"")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IF(ISBLANK(C105),"",IFERROR(_xlfn.SWITCH(BE105, Constants!$B$4, COUNTA($C$8:$C604)+2, Constants!$B$5, COUNTA($C$8:$C604)+1, Constants!$B$6, COUNTA($C$8:$C604)),BE105))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4"/>
      <c r="C106" s="51"/>
      <c r="D106" s="52"/>
      <c r="E106" s="118"/>
      <c r="F106" s="118"/>
      <c r="G106" s="54"/>
      <c r="H106" s="55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IF(ISBLANK($C106),"",IF(J106=Constants!$B$2, TRUE(), IF(J106=Constants!$B$3,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Constants!B109) * IF(X106, 1, Constants!B110),"")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IF($AE106=Constants!$B$7,IF(AND(T106,U106,W106),Constants!$B$9*AH106/$AH$6, 0),"")</f>
        <v/>
      </c>
      <c r="AK106" s="62" t="str">
        <f aca="false">IF(AJ106&lt;&gt;"", AJ106*AG106,"")</f>
        <v/>
      </c>
      <c r="AL106" s="62" t="str">
        <f aca="false">IF(AND($AE106=Constants!$B$7, T106, U106) ,IF($Z106="", "", 1-ABS($AA106-$Z106)/$AA106),"")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IF($AE106=Constants!$B$7,Constants!$B$8*AB106/$AP$6,"")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IF(ISBLANK(C106),"",IFERROR(_xlfn.SWITCH(BE106, Constants!$B$4, COUNTA($C$8:$C605)+2, Constants!$B$5, COUNTA($C$8:$C605)+1, Constants!$B$6, COUNTA($C$8:$C605)),BE106))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0"/>
      <c r="C107" s="121"/>
      <c r="D107" s="110"/>
      <c r="E107" s="114"/>
      <c r="F107" s="114"/>
      <c r="G107" s="86"/>
      <c r="H107" s="87"/>
      <c r="I107" s="123"/>
      <c r="J107" s="123"/>
      <c r="K107" s="123"/>
      <c r="L107" s="89"/>
      <c r="M107" s="89"/>
      <c r="N107" s="89"/>
      <c r="O107" s="90"/>
      <c r="P107" s="91"/>
      <c r="Q107" s="123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4" t="str">
        <f aca="false">IF(ISBLANK($C107),"",IF(J107=Constants!$B$2, TRUE(), IF(J107=Constants!$B$3,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Constants!B110) * IF(X107, 1, Constants!B111),"")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IF($AE107=Constants!$B$7,IF(AND(T107,U107,W107),Constants!$B$9*AH107/$AH$6, 0),"")</f>
        <v/>
      </c>
      <c r="AK107" s="94" t="str">
        <f aca="false">IF(AJ107&lt;&gt;"", AJ107*AG107,"")</f>
        <v/>
      </c>
      <c r="AL107" s="94" t="str">
        <f aca="false">IF(AND($AE107=Constants!$B$7, T107, U107) ,IF($Z107="", "", 1-ABS($AA107-$Z107)/$AA107),"")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,IF(AND(T107,U107,W107,ISNUMBER(Z107)),Constants!$B$10*AL107/$AL$6, 0),"")</f>
        <v/>
      </c>
      <c r="AO107" s="94" t="str">
        <f aca="false">IF(AN107&lt;&gt;"", AN107*AG107,"")</f>
        <v/>
      </c>
      <c r="AP107" s="94" t="str">
        <f aca="false">IF($AE107=Constants!$B$7,Constants!$B$8*AB107/$AP$6,"")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IF(ISBLANK(C107),"",IFERROR(_xlfn.SWITCH(BE107, Constants!$B$4, COUNTA($C$8:$C606)+2, Constants!$B$5, COUNTA($C$8:$C606)+1, Constants!$B$6, COUNTA($C$8:$C606)),BE107))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0"/>
      <c r="C108" s="121"/>
      <c r="D108" s="110"/>
      <c r="E108" s="114"/>
      <c r="F108" s="114"/>
      <c r="G108" s="86"/>
      <c r="H108" s="87"/>
      <c r="I108" s="123"/>
      <c r="J108" s="123"/>
      <c r="K108" s="123"/>
      <c r="L108" s="89"/>
      <c r="M108" s="89"/>
      <c r="N108" s="89"/>
      <c r="O108" s="90"/>
      <c r="P108" s="91"/>
      <c r="Q108" s="123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4" t="str">
        <f aca="false">IF(ISBLANK($C108),"",IF(J108=Constants!$B$2, TRUE(), IF(J108=Constants!$B$3,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Constants!B111) * IF(X108, 1, Constants!B112),"")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IF($AE108=Constants!$B$7,IF(AND(T108,U108,W108),Constants!$B$9*AH108/$AH$6, 0),"")</f>
        <v/>
      </c>
      <c r="AK108" s="94" t="str">
        <f aca="false">IF(AJ108&lt;&gt;"", AJ108*AG108,"")</f>
        <v/>
      </c>
      <c r="AL108" s="94" t="str">
        <f aca="false">IF(AND($AE108=Constants!$B$7, T108, U108) ,IF($Z108="", "", 1-ABS($AA108-$Z108)/$AA108),"")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,IF(AND(T108,U108,W108,ISNUMBER(Z108)),Constants!$B$10*AL108/$AL$6, 0),"")</f>
        <v/>
      </c>
      <c r="AO108" s="94" t="str">
        <f aca="false">IF(AN108&lt;&gt;"", AN108*AG108,"")</f>
        <v/>
      </c>
      <c r="AP108" s="94" t="str">
        <f aca="false">IF($AE108=Constants!$B$7,Constants!$B$8*AB108/$AP$6,"")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IF(ISBLANK(C108),"",IFERROR(_xlfn.SWITCH(BE108, Constants!$B$4, COUNTA($C$8:$C607)+2, Constants!$B$5, COUNTA($C$8:$C607)+1, Constants!$B$6, COUNTA($C$8:$C607)),BE108))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0"/>
      <c r="C109" s="121"/>
      <c r="D109" s="110"/>
      <c r="E109" s="114"/>
      <c r="F109" s="114"/>
      <c r="G109" s="86"/>
      <c r="H109" s="87"/>
      <c r="I109" s="123"/>
      <c r="J109" s="123"/>
      <c r="K109" s="123"/>
      <c r="L109" s="89"/>
      <c r="M109" s="89"/>
      <c r="N109" s="89"/>
      <c r="O109" s="90"/>
      <c r="P109" s="91"/>
      <c r="Q109" s="123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4" t="str">
        <f aca="false">IF(ISBLANK($C109),"",IF(J109=Constants!$B$2, TRUE(), IF(J109=Constants!$B$3,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Constants!B112) * IF(X109, 1, Constants!B113),"")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IF($AE109=Constants!$B$7,IF(AND(T109,U109,W109),Constants!$B$9*AH109/$AH$6, 0),"")</f>
        <v/>
      </c>
      <c r="AK109" s="94" t="str">
        <f aca="false">IF(AJ109&lt;&gt;"", AJ109*AG109,"")</f>
        <v/>
      </c>
      <c r="AL109" s="94" t="str">
        <f aca="false">IF(AND($AE109=Constants!$B$7, T109, U109) ,IF($Z109="", "", 1-ABS($AA109-$Z109)/$AA109),"")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,IF(AND(T109,U109,W109,ISNUMBER(Z109)),Constants!$B$10*AL109/$AL$6, 0),"")</f>
        <v/>
      </c>
      <c r="AO109" s="94" t="str">
        <f aca="false">IF(AN109&lt;&gt;"", AN109*AG109,"")</f>
        <v/>
      </c>
      <c r="AP109" s="94" t="str">
        <f aca="false">IF($AE109=Constants!$B$7,Constants!$B$8*AB109/$AP$6,"")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IF(ISBLANK(C109),"",IFERROR(_xlfn.SWITCH(BE109, Constants!$B$4, COUNTA($C$8:$C608)+2, Constants!$B$5, COUNTA($C$8:$C608)+1, Constants!$B$6, COUNTA($C$8:$C608)),BE109))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4"/>
      <c r="C110" s="51"/>
      <c r="D110" s="52"/>
      <c r="E110" s="118"/>
      <c r="F110" s="118"/>
      <c r="G110" s="54"/>
      <c r="H110" s="55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IF(ISBLANK($C110),"",IF(J110=Constants!$B$2, TRUE(), IF(J110=Constants!$B$3,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Constants!B113) * IF(X110, 1, Constants!B114),"")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IF($AE110=Constants!$B$7,IF(AND(T110,U110,W110),Constants!$B$9*AH110/$AH$6, 0),"")</f>
        <v/>
      </c>
      <c r="AK110" s="62" t="str">
        <f aca="false">IF(AJ110&lt;&gt;"", AJ110*AG110,"")</f>
        <v/>
      </c>
      <c r="AL110" s="62" t="str">
        <f aca="false">IF(AND($AE110=Constants!$B$7, T110, U110) ,IF($Z110="", "", 1-ABS($AA110-$Z110)/$AA110),"")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IF($AE110=Constants!$B$7,Constants!$B$8*AB110/$AP$6,"")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IF(ISBLANK(C110),"",IFERROR(_xlfn.SWITCH(BE110, Constants!$B$4, COUNTA($C$8:$C609)+2, Constants!$B$5, COUNTA($C$8:$C609)+1, Constants!$B$6, COUNTA($C$8:$C609)),BE110))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4"/>
      <c r="C111" s="51"/>
      <c r="D111" s="52"/>
      <c r="E111" s="118"/>
      <c r="F111" s="118"/>
      <c r="G111" s="54"/>
      <c r="H111" s="55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IF(ISBLANK($C111),"",IF(J111=Constants!$B$2, TRUE(), IF(J111=Constants!$B$3,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Constants!B114) * IF(X111, 1, Constants!B115),"")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IF($AE111=Constants!$B$7,IF(AND(T111,U111,W111),Constants!$B$9*AH111/$AH$6, 0),"")</f>
        <v/>
      </c>
      <c r="AK111" s="62" t="str">
        <f aca="false">IF(AJ111&lt;&gt;"", AJ111*AG111,"")</f>
        <v/>
      </c>
      <c r="AL111" s="62" t="str">
        <f aca="false">IF(AND($AE111=Constants!$B$7, T111, U111) ,IF($Z111="", "", 1-ABS($AA111-$Z111)/$AA111),"")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IF($AE111=Constants!$B$7,Constants!$B$8*AB111/$AP$6,"")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IF(ISBLANK(C111),"",IFERROR(_xlfn.SWITCH(BE111, Constants!$B$4, COUNTA($C$8:$C610)+2, Constants!$B$5, COUNTA($C$8:$C610)+1, Constants!$B$6, COUNTA($C$8:$C610)),BE111))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4"/>
      <c r="C112" s="51"/>
      <c r="D112" s="52"/>
      <c r="E112" s="118"/>
      <c r="F112" s="118"/>
      <c r="G112" s="54"/>
      <c r="H112" s="55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IF(ISBLANK($C112),"",IF(J112=Constants!$B$2, TRUE(), IF(J112=Constants!$B$3,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Constants!B115) * IF(X112, 1, Constants!B116),"")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IF($AE112=Constants!$B$7,IF(AND(T112,U112,W112),Constants!$B$9*AH112/$AH$6, 0),"")</f>
        <v/>
      </c>
      <c r="AK112" s="62" t="str">
        <f aca="false">IF(AJ112&lt;&gt;"", AJ112*AG112,"")</f>
        <v/>
      </c>
      <c r="AL112" s="62" t="str">
        <f aca="false">IF(AND($AE112=Constants!$B$7, T112, U112) ,IF($Z112="", "", 1-ABS($AA112-$Z112)/$AA112),"")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IF($AE112=Constants!$B$7,Constants!$B$8*AB112/$AP$6,"")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IF(ISBLANK(C112),"",IFERROR(_xlfn.SWITCH(BE112, Constants!$B$4, COUNTA($C$8:$C611)+2, Constants!$B$5, COUNTA($C$8:$C611)+1, Constants!$B$6, COUNTA($C$8:$C611)),BE112))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0"/>
      <c r="C113" s="121"/>
      <c r="D113" s="110"/>
      <c r="E113" s="114"/>
      <c r="F113" s="114"/>
      <c r="G113" s="86"/>
      <c r="H113" s="87"/>
      <c r="I113" s="123"/>
      <c r="J113" s="123"/>
      <c r="K113" s="123"/>
      <c r="L113" s="89"/>
      <c r="M113" s="89"/>
      <c r="N113" s="89"/>
      <c r="O113" s="90"/>
      <c r="P113" s="91"/>
      <c r="Q113" s="123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4" t="str">
        <f aca="false">IF(ISBLANK($C113),"",IF(J113=Constants!$B$2, TRUE(), IF(J113=Constants!$B$3,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Constants!B116) * IF(X113, 1, Constants!B117),"")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IF($AE113=Constants!$B$7,IF(AND(T113,U113,W113),Constants!$B$9*AH113/$AH$6, 0),"")</f>
        <v/>
      </c>
      <c r="AK113" s="94" t="str">
        <f aca="false">IF(AJ113&lt;&gt;"", AJ113*AG113,"")</f>
        <v/>
      </c>
      <c r="AL113" s="94" t="str">
        <f aca="false">IF(AND($AE113=Constants!$B$7, T113, U113) ,IF($Z113="", "", 1-ABS($AA113-$Z113)/$AA113),"")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,IF(AND(T113,U113,W113,ISNUMBER(Z113)),Constants!$B$10*AL113/$AL$6, 0),"")</f>
        <v/>
      </c>
      <c r="AO113" s="94" t="str">
        <f aca="false">IF(AN113&lt;&gt;"", AN113*AG113,"")</f>
        <v/>
      </c>
      <c r="AP113" s="94" t="str">
        <f aca="false">IF($AE113=Constants!$B$7,Constants!$B$8*AB113/$AP$6,"")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IF(ISBLANK(C113),"",IFERROR(_xlfn.SWITCH(BE113, Constants!$B$4, COUNTA($C$8:$C612)+2, Constants!$B$5, COUNTA($C$8:$C612)+1, Constants!$B$6, COUNTA($C$8:$C612)),BE113))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0"/>
      <c r="C114" s="121"/>
      <c r="D114" s="110"/>
      <c r="E114" s="114"/>
      <c r="F114" s="114"/>
      <c r="G114" s="86"/>
      <c r="H114" s="87"/>
      <c r="I114" s="123"/>
      <c r="J114" s="123"/>
      <c r="K114" s="123"/>
      <c r="L114" s="89"/>
      <c r="M114" s="89"/>
      <c r="N114" s="89"/>
      <c r="O114" s="90"/>
      <c r="P114" s="91"/>
      <c r="Q114" s="123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4" t="str">
        <f aca="false">IF(ISBLANK($C114),"",IF(J114=Constants!$B$2, TRUE(), IF(J114=Constants!$B$3,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Constants!B117) * IF(X114, 1, Constants!B118),"")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IF($AE114=Constants!$B$7,IF(AND(T114,U114,W114),Constants!$B$9*AH114/$AH$6, 0),"")</f>
        <v/>
      </c>
      <c r="AK114" s="94" t="str">
        <f aca="false">IF(AJ114&lt;&gt;"", AJ114*AG114,"")</f>
        <v/>
      </c>
      <c r="AL114" s="94" t="str">
        <f aca="false">IF(AND($AE114=Constants!$B$7, T114, U114) ,IF($Z114="", "", 1-ABS($AA114-$Z114)/$AA114),"")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,IF(AND(T114,U114,W114,ISNUMBER(Z114)),Constants!$B$10*AL114/$AL$6, 0),"")</f>
        <v/>
      </c>
      <c r="AO114" s="94" t="str">
        <f aca="false">IF(AN114&lt;&gt;"", AN114*AG114,"")</f>
        <v/>
      </c>
      <c r="AP114" s="94" t="str">
        <f aca="false">IF($AE114=Constants!$B$7,Constants!$B$8*AB114/$AP$6,"")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IF(ISBLANK(C114),"",IFERROR(_xlfn.SWITCH(BE114, Constants!$B$4, COUNTA($C$8:$C613)+2, Constants!$B$5, COUNTA($C$8:$C613)+1, Constants!$B$6, COUNTA($C$8:$C613)),BE114))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0"/>
      <c r="C115" s="121"/>
      <c r="D115" s="110"/>
      <c r="E115" s="114"/>
      <c r="F115" s="114"/>
      <c r="G115" s="86"/>
      <c r="H115" s="87"/>
      <c r="I115" s="123"/>
      <c r="J115" s="123"/>
      <c r="K115" s="123"/>
      <c r="L115" s="89"/>
      <c r="M115" s="89"/>
      <c r="N115" s="89"/>
      <c r="O115" s="90"/>
      <c r="P115" s="91"/>
      <c r="Q115" s="123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4" t="str">
        <f aca="false">IF(ISBLANK($C115),"",IF(J115=Constants!$B$2, TRUE(), IF(J115=Constants!$B$3,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Constants!B118) * IF(X115, 1, Constants!B119),"")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IF($AE115=Constants!$B$7,IF(AND(T115,U115,W115),Constants!$B$9*AH115/$AH$6, 0),"")</f>
        <v/>
      </c>
      <c r="AK115" s="94" t="str">
        <f aca="false">IF(AJ115&lt;&gt;"", AJ115*AG115,"")</f>
        <v/>
      </c>
      <c r="AL115" s="94" t="str">
        <f aca="false">IF(AND($AE115=Constants!$B$7, T115, U115) ,IF($Z115="", "", 1-ABS($AA115-$Z115)/$AA115),"")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,IF(AND(T115,U115,W115,ISNUMBER(Z115)),Constants!$B$10*AL115/$AL$6, 0),"")</f>
        <v/>
      </c>
      <c r="AO115" s="94" t="str">
        <f aca="false">IF(AN115&lt;&gt;"", AN115*AG115,"")</f>
        <v/>
      </c>
      <c r="AP115" s="94" t="str">
        <f aca="false">IF($AE115=Constants!$B$7,Constants!$B$8*AB115/$AP$6,"")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IF(ISBLANK(C115),"",IFERROR(_xlfn.SWITCH(BE115, Constants!$B$4, COUNTA($C$8:$C614)+2, Constants!$B$5, COUNTA($C$8:$C614)+1, Constants!$B$6, COUNTA($C$8:$C614)),BE115))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4"/>
      <c r="C116" s="51"/>
      <c r="D116" s="52"/>
      <c r="E116" s="118"/>
      <c r="F116" s="118"/>
      <c r="G116" s="54"/>
      <c r="H116" s="55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IF(ISBLANK($C116),"",IF(J116=Constants!$B$2, TRUE(), IF(J116=Constants!$B$3,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Constants!B119) * IF(X116, 1, Constants!B120),"")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IF($AE116=Constants!$B$7,IF(AND(T116,U116,W116),Constants!$B$9*AH116/$AH$6, 0),"")</f>
        <v/>
      </c>
      <c r="AK116" s="62" t="str">
        <f aca="false">IF(AJ116&lt;&gt;"", AJ116*AG116,"")</f>
        <v/>
      </c>
      <c r="AL116" s="62" t="str">
        <f aca="false">IF(AND($AE116=Constants!$B$7, T116, U116) ,IF($Z116="", "", 1-ABS($AA116-$Z116)/$AA116),"")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IF($AE116=Constants!$B$7,Constants!$B$8*AB116/$AP$6,"")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IF(ISBLANK(C116),"",IFERROR(_xlfn.SWITCH(BE116, Constants!$B$4, COUNTA($C$8:$C615)+2, Constants!$B$5, COUNTA($C$8:$C615)+1, Constants!$B$6, COUNTA($C$8:$C615)),BE116))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4"/>
      <c r="C117" s="51"/>
      <c r="D117" s="52"/>
      <c r="E117" s="118"/>
      <c r="F117" s="118"/>
      <c r="G117" s="54"/>
      <c r="H117" s="55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IF(ISBLANK($C117),"",IF(J117=Constants!$B$2, TRUE(), IF(J117=Constants!$B$3,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Constants!B120) * IF(X117, 1, Constants!B121),"")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IF($AE117=Constants!$B$7,IF(AND(T117,U117,W117),Constants!$B$9*AH117/$AH$6, 0),"")</f>
        <v/>
      </c>
      <c r="AK117" s="62" t="str">
        <f aca="false">IF(AJ117&lt;&gt;"", AJ117*AG117,"")</f>
        <v/>
      </c>
      <c r="AL117" s="62" t="str">
        <f aca="false">IF(AND($AE117=Constants!$B$7, T117, U117) ,IF($Z117="", "", 1-ABS($AA117-$Z117)/$AA117),"")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IF($AE117=Constants!$B$7,Constants!$B$8*AB117/$AP$6,"")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IF(ISBLANK(C117),"",IFERROR(_xlfn.SWITCH(BE117, Constants!$B$4, COUNTA($C$8:$C616)+2, Constants!$B$5, COUNTA($C$8:$C616)+1, Constants!$B$6, COUNTA($C$8:$C616)),BE117))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4"/>
      <c r="C118" s="51"/>
      <c r="D118" s="52"/>
      <c r="E118" s="118"/>
      <c r="F118" s="118"/>
      <c r="G118" s="54"/>
      <c r="H118" s="55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IF(ISBLANK($C118),"",IF(J118=Constants!$B$2, TRUE(), IF(J118=Constants!$B$3,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Constants!B121) * IF(X118, 1, Constants!B122),"")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IF($AE118=Constants!$B$7,IF(AND(T118,U118,W118),Constants!$B$9*AH118/$AH$6, 0),"")</f>
        <v/>
      </c>
      <c r="AK118" s="62" t="str">
        <f aca="false">IF(AJ118&lt;&gt;"", AJ118*AG118,"")</f>
        <v/>
      </c>
      <c r="AL118" s="62" t="str">
        <f aca="false">IF(AND($AE118=Constants!$B$7, T118, U118) ,IF($Z118="", "", 1-ABS($AA118-$Z118)/$AA118),"")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IF($AE118=Constants!$B$7,Constants!$B$8*AB118/$AP$6,"")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IF(ISBLANK(C118),"",IFERROR(_xlfn.SWITCH(BE118, Constants!$B$4, COUNTA($C$8:$C617)+2, Constants!$B$5, COUNTA($C$8:$C617)+1, Constants!$B$6, COUNTA($C$8:$C617)),BE118))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0"/>
      <c r="C119" s="121"/>
      <c r="D119" s="110"/>
      <c r="E119" s="114"/>
      <c r="F119" s="114"/>
      <c r="G119" s="86"/>
      <c r="H119" s="87"/>
      <c r="I119" s="123"/>
      <c r="J119" s="123"/>
      <c r="K119" s="123"/>
      <c r="L119" s="89"/>
      <c r="M119" s="89"/>
      <c r="N119" s="89"/>
      <c r="O119" s="90"/>
      <c r="P119" s="91"/>
      <c r="Q119" s="123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4" t="str">
        <f aca="false">IF(ISBLANK($C119),"",IF(J119=Constants!$B$2, TRUE(), IF(J119=Constants!$B$3,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Constants!B122) * IF(X119, 1, Constants!B123),"")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IF($AE119=Constants!$B$7,IF(AND(T119,U119,W119),Constants!$B$9*AH119/$AH$6, 0),"")</f>
        <v/>
      </c>
      <c r="AK119" s="94" t="str">
        <f aca="false">IF(AJ119&lt;&gt;"", AJ119*AG119,"")</f>
        <v/>
      </c>
      <c r="AL119" s="94" t="str">
        <f aca="false">IF(AND($AE119=Constants!$B$7, T119, U119) ,IF($Z119="", "", 1-ABS($AA119-$Z119)/$AA119),"")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,IF(AND(T119,U119,W119,ISNUMBER(Z119)),Constants!$B$10*AL119/$AL$6, 0),"")</f>
        <v/>
      </c>
      <c r="AO119" s="94" t="str">
        <f aca="false">IF(AN119&lt;&gt;"", AN119*AG119,"")</f>
        <v/>
      </c>
      <c r="AP119" s="94" t="str">
        <f aca="false">IF($AE119=Constants!$B$7,Constants!$B$8*AB119/$AP$6,"")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IF(ISBLANK(C119),"",IFERROR(_xlfn.SWITCH(BE119, Constants!$B$4, COUNTA($C$8:$C618)+2, Constants!$B$5, COUNTA($C$8:$C618)+1, Constants!$B$6, COUNTA($C$8:$C618)),BE119))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0"/>
      <c r="C120" s="121"/>
      <c r="D120" s="110"/>
      <c r="E120" s="114"/>
      <c r="F120" s="114"/>
      <c r="G120" s="86"/>
      <c r="H120" s="87"/>
      <c r="I120" s="123"/>
      <c r="J120" s="123"/>
      <c r="K120" s="123"/>
      <c r="L120" s="89"/>
      <c r="M120" s="89"/>
      <c r="N120" s="89"/>
      <c r="O120" s="90"/>
      <c r="P120" s="91"/>
      <c r="Q120" s="123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4" t="str">
        <f aca="false">IF(ISBLANK($C120),"",IF(J120=Constants!$B$2, TRUE(), IF(J120=Constants!$B$3,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Constants!B123) * IF(X120, 1, Constants!B124),"")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IF($AE120=Constants!$B$7,IF(AND(T120,U120,W120),Constants!$B$9*AH120/$AH$6, 0),"")</f>
        <v/>
      </c>
      <c r="AK120" s="94" t="str">
        <f aca="false">IF(AJ120&lt;&gt;"", AJ120*AG120,"")</f>
        <v/>
      </c>
      <c r="AL120" s="94" t="str">
        <f aca="false">IF(AND($AE120=Constants!$B$7, T120, U120) ,IF($Z120="", "", 1-ABS($AA120-$Z120)/$AA120),"")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,IF(AND(T120,U120,W120,ISNUMBER(Z120)),Constants!$B$10*AL120/$AL$6, 0),"")</f>
        <v/>
      </c>
      <c r="AO120" s="94" t="str">
        <f aca="false">IF(AN120&lt;&gt;"", AN120*AG120,"")</f>
        <v/>
      </c>
      <c r="AP120" s="94" t="str">
        <f aca="false">IF($AE120=Constants!$B$7,Constants!$B$8*AB120/$AP$6,"")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IF(ISBLANK(C120),"",IFERROR(_xlfn.SWITCH(BE120, Constants!$B$4, COUNTA($C$8:$C619)+2, Constants!$B$5, COUNTA($C$8:$C619)+1, Constants!$B$6, COUNTA($C$8:$C619)),BE120))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0"/>
      <c r="C121" s="121"/>
      <c r="D121" s="110"/>
      <c r="E121" s="114"/>
      <c r="F121" s="114"/>
      <c r="G121" s="86"/>
      <c r="H121" s="87"/>
      <c r="I121" s="123"/>
      <c r="J121" s="123"/>
      <c r="K121" s="123"/>
      <c r="L121" s="89"/>
      <c r="M121" s="89"/>
      <c r="N121" s="89"/>
      <c r="O121" s="90"/>
      <c r="P121" s="91"/>
      <c r="Q121" s="123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4" t="str">
        <f aca="false">IF(ISBLANK($C121),"",IF(J121=Constants!$B$2, TRUE(), IF(J121=Constants!$B$3,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Constants!B124) * IF(X121, 1, Constants!B125),"")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IF($AE121=Constants!$B$7,IF(AND(T121,U121,W121),Constants!$B$9*AH121/$AH$6, 0),"")</f>
        <v/>
      </c>
      <c r="AK121" s="94" t="str">
        <f aca="false">IF(AJ121&lt;&gt;"", AJ121*AG121,"")</f>
        <v/>
      </c>
      <c r="AL121" s="94" t="str">
        <f aca="false">IF(AND($AE121=Constants!$B$7, T121, U121) ,IF($Z121="", "", 1-ABS($AA121-$Z121)/$AA121),"")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,IF(AND(T121,U121,W121,ISNUMBER(Z121)),Constants!$B$10*AL121/$AL$6, 0),"")</f>
        <v/>
      </c>
      <c r="AO121" s="94" t="str">
        <f aca="false">IF(AN121&lt;&gt;"", AN121*AG121,"")</f>
        <v/>
      </c>
      <c r="AP121" s="94" t="str">
        <f aca="false">IF($AE121=Constants!$B$7,Constants!$B$8*AB121/$AP$6,"")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IF(ISBLANK(C121),"",IFERROR(_xlfn.SWITCH(BE121, Constants!$B$4, COUNTA($C$8:$C620)+2, Constants!$B$5, COUNTA($C$8:$C620)+1, Constants!$B$6, COUNTA($C$8:$C620)),BE121))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4"/>
      <c r="C122" s="51"/>
      <c r="D122" s="52"/>
      <c r="E122" s="118"/>
      <c r="F122" s="118"/>
      <c r="G122" s="54"/>
      <c r="H122" s="55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IF(ISBLANK($C122),"",IF(J122=Constants!$B$2, TRUE(), IF(J122=Constants!$B$3,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Constants!B125) * IF(X122, 1, Constants!B126),"")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IF($AE122=Constants!$B$7,IF(AND(T122,U122,W122),Constants!$B$9*AH122/$AH$6, 0),"")</f>
        <v/>
      </c>
      <c r="AK122" s="62" t="str">
        <f aca="false">IF(AJ122&lt;&gt;"", AJ122*AG122,"")</f>
        <v/>
      </c>
      <c r="AL122" s="62" t="str">
        <f aca="false">IF(AND($AE122=Constants!$B$7, T122, U122) ,IF($Z122="", "", 1-ABS($AA122-$Z122)/$AA122),"")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IF($AE122=Constants!$B$7,Constants!$B$8*AB122/$AP$6,"")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IF(ISBLANK(C122),"",IFERROR(_xlfn.SWITCH(BE122, Constants!$B$4, COUNTA($C$8:$C621)+2, Constants!$B$5, COUNTA($C$8:$C621)+1, Constants!$B$6, COUNTA($C$8:$C621)),BE122))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4"/>
      <c r="C123" s="51"/>
      <c r="D123" s="52"/>
      <c r="E123" s="118"/>
      <c r="F123" s="118"/>
      <c r="G123" s="54"/>
      <c r="H123" s="55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IF(ISBLANK($C123),"",IF(J123=Constants!$B$2, TRUE(), IF(J123=Constants!$B$3,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Constants!B126) * IF(X123, 1, Constants!B127),"")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IF($AE123=Constants!$B$7,IF(AND(T123,U123,W123),Constants!$B$9*AH123/$AH$6, 0),"")</f>
        <v/>
      </c>
      <c r="AK123" s="62" t="str">
        <f aca="false">IF(AJ123&lt;&gt;"", AJ123*AG123,"")</f>
        <v/>
      </c>
      <c r="AL123" s="62" t="str">
        <f aca="false">IF(AND($AE123=Constants!$B$7, T123, U123) ,IF($Z123="", "", 1-ABS($AA123-$Z123)/$AA123),"")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IF($AE123=Constants!$B$7,Constants!$B$8*AB123/$AP$6,"")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IF(ISBLANK(C123),"",IFERROR(_xlfn.SWITCH(BE123, Constants!$B$4, COUNTA($C$8:$C622)+2, Constants!$B$5, COUNTA($C$8:$C622)+1, Constants!$B$6, COUNTA($C$8:$C622)),BE123))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4"/>
      <c r="C124" s="51"/>
      <c r="D124" s="52"/>
      <c r="E124" s="118"/>
      <c r="F124" s="118"/>
      <c r="G124" s="54"/>
      <c r="H124" s="55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IF(ISBLANK($C124),"",IF(J124=Constants!$B$2, TRUE(), IF(J124=Constants!$B$3,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Constants!B127) * IF(X124, 1, Constants!B128),"")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IF($AE124=Constants!$B$7,IF(AND(T124,U124,W124),Constants!$B$9*AH124/$AH$6, 0),"")</f>
        <v/>
      </c>
      <c r="AK124" s="62" t="str">
        <f aca="false">IF(AJ124&lt;&gt;"", AJ124*AG124,"")</f>
        <v/>
      </c>
      <c r="AL124" s="62" t="str">
        <f aca="false">IF(AND($AE124=Constants!$B$7, T124, U124) ,IF($Z124="", "", 1-ABS($AA124-$Z124)/$AA124),"")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IF($AE124=Constants!$B$7,Constants!$B$8*AB124/$AP$6,"")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IF(ISBLANK(C124),"",IFERROR(_xlfn.SWITCH(BE124, Constants!$B$4, COUNTA($C$8:$C623)+2, Constants!$B$5, COUNTA($C$8:$C623)+1, Constants!$B$6, COUNTA($C$8:$C623)),BE124))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0"/>
      <c r="C125" s="121"/>
      <c r="D125" s="110"/>
      <c r="E125" s="114"/>
      <c r="F125" s="114"/>
      <c r="G125" s="86"/>
      <c r="H125" s="87"/>
      <c r="I125" s="123"/>
      <c r="J125" s="123"/>
      <c r="K125" s="123"/>
      <c r="L125" s="89"/>
      <c r="M125" s="89"/>
      <c r="N125" s="89"/>
      <c r="O125" s="90"/>
      <c r="P125" s="91"/>
      <c r="Q125" s="123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4" t="str">
        <f aca="false">IF(ISBLANK($C125),"",IF(J125=Constants!$B$2, TRUE(), IF(J125=Constants!$B$3,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Constants!B128) * IF(X125, 1, Constants!B129),"")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IF($AE125=Constants!$B$7,IF(AND(T125,U125,W125),Constants!$B$9*AH125/$AH$6, 0),"")</f>
        <v/>
      </c>
      <c r="AK125" s="94" t="str">
        <f aca="false">IF(AJ125&lt;&gt;"", AJ125*AG125,"")</f>
        <v/>
      </c>
      <c r="AL125" s="94" t="str">
        <f aca="false">IF(AND($AE125=Constants!$B$7, T125, U125) ,IF($Z125="", "", 1-ABS($AA125-$Z125)/$AA125),"")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,IF(AND(T125,U125,W125,ISNUMBER(Z125)),Constants!$B$10*AL125/$AL$6, 0),"")</f>
        <v/>
      </c>
      <c r="AO125" s="94" t="str">
        <f aca="false">IF(AN125&lt;&gt;"", AN125*AG125,"")</f>
        <v/>
      </c>
      <c r="AP125" s="94" t="str">
        <f aca="false">IF($AE125=Constants!$B$7,Constants!$B$8*AB125/$AP$6,"")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IF(ISBLANK(C125),"",IFERROR(_xlfn.SWITCH(BE125, Constants!$B$4, COUNTA($C$8:$C624)+2, Constants!$B$5, COUNTA($C$8:$C624)+1, Constants!$B$6, COUNTA($C$8:$C624)),BE125))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0"/>
      <c r="C126" s="121"/>
      <c r="D126" s="110"/>
      <c r="E126" s="114"/>
      <c r="F126" s="114"/>
      <c r="G126" s="86"/>
      <c r="H126" s="87"/>
      <c r="I126" s="123"/>
      <c r="J126" s="123"/>
      <c r="K126" s="123"/>
      <c r="L126" s="89"/>
      <c r="M126" s="89"/>
      <c r="N126" s="89"/>
      <c r="O126" s="90"/>
      <c r="P126" s="91"/>
      <c r="Q126" s="123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4" t="str">
        <f aca="false">IF(ISBLANK($C126),"",IF(J126=Constants!$B$2, TRUE(), IF(J126=Constants!$B$3,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Constants!B129) * IF(X126, 1, Constants!B130),"")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IF($AE126=Constants!$B$7,IF(AND(T126,U126,W126),Constants!$B$9*AH126/$AH$6, 0),"")</f>
        <v/>
      </c>
      <c r="AK126" s="94" t="str">
        <f aca="false">IF(AJ126&lt;&gt;"", AJ126*AG126,"")</f>
        <v/>
      </c>
      <c r="AL126" s="94" t="str">
        <f aca="false">IF(AND($AE126=Constants!$B$7, T126, U126) ,IF($Z126="", "", 1-ABS($AA126-$Z126)/$AA126),"")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,IF(AND(T126,U126,W126,ISNUMBER(Z126)),Constants!$B$10*AL126/$AL$6, 0),"")</f>
        <v/>
      </c>
      <c r="AO126" s="94" t="str">
        <f aca="false">IF(AN126&lt;&gt;"", AN126*AG126,"")</f>
        <v/>
      </c>
      <c r="AP126" s="94" t="str">
        <f aca="false">IF($AE126=Constants!$B$7,Constants!$B$8*AB126/$AP$6,"")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IF(ISBLANK(C126),"",IFERROR(_xlfn.SWITCH(BE126, Constants!$B$4, COUNTA($C$8:$C625)+2, Constants!$B$5, COUNTA($C$8:$C625)+1, Constants!$B$6, COUNTA($C$8:$C625)),BE126))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0"/>
      <c r="C127" s="121"/>
      <c r="D127" s="110"/>
      <c r="E127" s="114"/>
      <c r="F127" s="114"/>
      <c r="G127" s="86"/>
      <c r="H127" s="87"/>
      <c r="I127" s="123"/>
      <c r="J127" s="123"/>
      <c r="K127" s="123"/>
      <c r="L127" s="89"/>
      <c r="M127" s="89"/>
      <c r="N127" s="89"/>
      <c r="O127" s="90"/>
      <c r="P127" s="91"/>
      <c r="Q127" s="123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4" t="str">
        <f aca="false">IF(ISBLANK($C127),"",IF(J127=Constants!$B$2, TRUE(), IF(J127=Constants!$B$3,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Constants!B130) * IF(X127, 1, Constants!B131),"")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IF($AE127=Constants!$B$7,IF(AND(T127,U127,W127),Constants!$B$9*AH127/$AH$6, 0),"")</f>
        <v/>
      </c>
      <c r="AK127" s="94" t="str">
        <f aca="false">IF(AJ127&lt;&gt;"", AJ127*AG127,"")</f>
        <v/>
      </c>
      <c r="AL127" s="94" t="str">
        <f aca="false">IF(AND($AE127=Constants!$B$7, T127, U127) ,IF($Z127="", "", 1-ABS($AA127-$Z127)/$AA127),"")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,IF(AND(T127,U127,W127,ISNUMBER(Z127)),Constants!$B$10*AL127/$AL$6, 0),"")</f>
        <v/>
      </c>
      <c r="AO127" s="94" t="str">
        <f aca="false">IF(AN127&lt;&gt;"", AN127*AG127,"")</f>
        <v/>
      </c>
      <c r="AP127" s="94" t="str">
        <f aca="false">IF($AE127=Constants!$B$7,Constants!$B$8*AB127/$AP$6,"")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IF(ISBLANK(C127),"",IFERROR(_xlfn.SWITCH(BE127, Constants!$B$4, COUNTA($C$8:$C626)+2, Constants!$B$5, COUNTA($C$8:$C626)+1, Constants!$B$6, COUNTA($C$8:$C626)),BE127))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4"/>
      <c r="C128" s="51"/>
      <c r="D128" s="52"/>
      <c r="E128" s="118"/>
      <c r="F128" s="118"/>
      <c r="G128" s="54"/>
      <c r="H128" s="55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IF(ISBLANK($C128),"",IF(J128=Constants!$B$2, TRUE(), IF(J128=Constants!$B$3,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Constants!B131) * IF(X128, 1, Constants!B132),"")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IF($AE128=Constants!$B$7,IF(AND(T128,U128,W128),Constants!$B$9*AH128/$AH$6, 0),"")</f>
        <v/>
      </c>
      <c r="AK128" s="62" t="str">
        <f aca="false">IF(AJ128&lt;&gt;"", AJ128*AG128,"")</f>
        <v/>
      </c>
      <c r="AL128" s="62" t="str">
        <f aca="false">IF(AND($AE128=Constants!$B$7, T128, U128) ,IF($Z128="", "", 1-ABS($AA128-$Z128)/$AA128),"")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IF($AE128=Constants!$B$7,Constants!$B$8*AB128/$AP$6,"")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IF(ISBLANK(C128),"",IFERROR(_xlfn.SWITCH(BE128, Constants!$B$4, COUNTA($C$8:$C627)+2, Constants!$B$5, COUNTA($C$8:$C627)+1, Constants!$B$6, COUNTA($C$8:$C627)),BE128))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4"/>
      <c r="C129" s="51"/>
      <c r="D129" s="52"/>
      <c r="E129" s="118"/>
      <c r="F129" s="118"/>
      <c r="G129" s="54"/>
      <c r="H129" s="55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IF(ISBLANK($C129),"",IF(J129=Constants!$B$2, TRUE(), IF(J129=Constants!$B$3,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Constants!B132) * IF(X129, 1, Constants!B133),"")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IF($AE129=Constants!$B$7,IF(AND(T129,U129,W129),Constants!$B$9*AH129/$AH$6, 0),"")</f>
        <v/>
      </c>
      <c r="AK129" s="62" t="str">
        <f aca="false">IF(AJ129&lt;&gt;"", AJ129*AG129,"")</f>
        <v/>
      </c>
      <c r="AL129" s="62" t="str">
        <f aca="false">IF(AND($AE129=Constants!$B$7, T129, U129) ,IF($Z129="", "", 1-ABS($AA129-$Z129)/$AA129),"")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IF($AE129=Constants!$B$7,Constants!$B$8*AB129/$AP$6,"")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IF(ISBLANK(C129),"",IFERROR(_xlfn.SWITCH(BE129, Constants!$B$4, COUNTA($C$8:$C628)+2, Constants!$B$5, COUNTA($C$8:$C628)+1, Constants!$B$6, COUNTA($C$8:$C628)),BE129))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4"/>
      <c r="C130" s="51"/>
      <c r="D130" s="52"/>
      <c r="E130" s="118"/>
      <c r="F130" s="118"/>
      <c r="G130" s="54"/>
      <c r="H130" s="55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IF(ISBLANK($C130),"",IF(J130=Constants!$B$2, TRUE(), IF(J130=Constants!$B$3,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Constants!B133) * IF(X130, 1, Constants!B134),"")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IF($AE130=Constants!$B$7,IF(AND(T130,U130,W130),Constants!$B$9*AH130/$AH$6, 0),"")</f>
        <v/>
      </c>
      <c r="AK130" s="62" t="str">
        <f aca="false">IF(AJ130&lt;&gt;"", AJ130*AG130,"")</f>
        <v/>
      </c>
      <c r="AL130" s="62" t="str">
        <f aca="false">IF(AND($AE130=Constants!$B$7, T130, U130) ,IF($Z130="", "", 1-ABS($AA130-$Z130)/$AA130),"")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IF($AE130=Constants!$B$7,Constants!$B$8*AB130/$AP$6,"")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IF(ISBLANK(C130),"",IFERROR(_xlfn.SWITCH(BE130, Constants!$B$4, COUNTA($C$8:$C629)+2, Constants!$B$5, COUNTA($C$8:$C629)+1, Constants!$B$6, COUNTA($C$8:$C629)),BE130))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0"/>
      <c r="C131" s="121"/>
      <c r="D131" s="110"/>
      <c r="E131" s="114"/>
      <c r="F131" s="114"/>
      <c r="G131" s="86"/>
      <c r="H131" s="87"/>
      <c r="I131" s="123"/>
      <c r="J131" s="123"/>
      <c r="K131" s="123"/>
      <c r="L131" s="89"/>
      <c r="M131" s="89"/>
      <c r="N131" s="89"/>
      <c r="O131" s="90"/>
      <c r="P131" s="91"/>
      <c r="Q131" s="123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4" t="str">
        <f aca="false">IF(ISBLANK($C131),"",IF(J131=Constants!$B$2, TRUE(), IF(J131=Constants!$B$3,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Constants!B134) * IF(X131, 1, Constants!B135),"")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IF($AE131=Constants!$B$7,IF(AND(T131,U131,W131),Constants!$B$9*AH131/$AH$6, 0),"")</f>
        <v/>
      </c>
      <c r="AK131" s="94" t="str">
        <f aca="false">IF(AJ131&lt;&gt;"", AJ131*AG131,"")</f>
        <v/>
      </c>
      <c r="AL131" s="94" t="str">
        <f aca="false">IF(AND($AE131=Constants!$B$7, T131, U131) ,IF($Z131="", "", 1-ABS($AA131-$Z131)/$AA131),"")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,IF(AND(T131,U131,W131,ISNUMBER(Z131)),Constants!$B$10*AL131/$AL$6, 0),"")</f>
        <v/>
      </c>
      <c r="AO131" s="94" t="str">
        <f aca="false">IF(AN131&lt;&gt;"", AN131*AG131,"")</f>
        <v/>
      </c>
      <c r="AP131" s="94" t="str">
        <f aca="false">IF($AE131=Constants!$B$7,Constants!$B$8*AB131/$AP$6,"")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IF(ISBLANK(C131),"",IFERROR(_xlfn.SWITCH(BE131, Constants!$B$4, COUNTA($C$8:$C630)+2, Constants!$B$5, COUNTA($C$8:$C630)+1, Constants!$B$6, COUNTA($C$8:$C630)),BE131))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0"/>
      <c r="C132" s="121"/>
      <c r="D132" s="110"/>
      <c r="E132" s="114"/>
      <c r="F132" s="114"/>
      <c r="G132" s="86"/>
      <c r="H132" s="87"/>
      <c r="I132" s="123"/>
      <c r="J132" s="123"/>
      <c r="K132" s="123"/>
      <c r="L132" s="89"/>
      <c r="M132" s="89"/>
      <c r="N132" s="89"/>
      <c r="O132" s="90"/>
      <c r="P132" s="91"/>
      <c r="Q132" s="123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4" t="str">
        <f aca="false">IF(ISBLANK($C132),"",IF(J132=Constants!$B$2, TRUE(), IF(J132=Constants!$B$3,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Constants!B135) * IF(X132, 1, Constants!B136),"")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IF($AE132=Constants!$B$7,IF(AND(T132,U132,W132),Constants!$B$9*AH132/$AH$6, 0),"")</f>
        <v/>
      </c>
      <c r="AK132" s="94" t="str">
        <f aca="false">IF(AJ132&lt;&gt;"", AJ132*AG132,"")</f>
        <v/>
      </c>
      <c r="AL132" s="94" t="str">
        <f aca="false">IF(AND($AE132=Constants!$B$7, T132, U132) ,IF($Z132="", "", 1-ABS($AA132-$Z132)/$AA132),"")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,IF(AND(T132,U132,W132,ISNUMBER(Z132)),Constants!$B$10*AL132/$AL$6, 0),"")</f>
        <v/>
      </c>
      <c r="AO132" s="94" t="str">
        <f aca="false">IF(AN132&lt;&gt;"", AN132*AG132,"")</f>
        <v/>
      </c>
      <c r="AP132" s="94" t="str">
        <f aca="false">IF($AE132=Constants!$B$7,Constants!$B$8*AB132/$AP$6,"")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IF(ISBLANK(C132),"",IFERROR(_xlfn.SWITCH(BE132, Constants!$B$4, COUNTA($C$8:$C631)+2, Constants!$B$5, COUNTA($C$8:$C631)+1, Constants!$B$6, COUNTA($C$8:$C631)),BE132))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0"/>
      <c r="C133" s="121"/>
      <c r="D133" s="110"/>
      <c r="E133" s="114"/>
      <c r="F133" s="114"/>
      <c r="G133" s="86"/>
      <c r="H133" s="87"/>
      <c r="I133" s="123"/>
      <c r="J133" s="123"/>
      <c r="K133" s="123"/>
      <c r="L133" s="89"/>
      <c r="M133" s="89"/>
      <c r="N133" s="89"/>
      <c r="O133" s="90"/>
      <c r="P133" s="91"/>
      <c r="Q133" s="123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4" t="str">
        <f aca="false">IF(ISBLANK($C133),"",IF(J133=Constants!$B$2, TRUE(), IF(J133=Constants!$B$3,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Constants!B136) * IF(X133, 1, Constants!B137),"")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IF($AE133=Constants!$B$7,IF(AND(T133,U133,W133),Constants!$B$9*AH133/$AH$6, 0),"")</f>
        <v/>
      </c>
      <c r="AK133" s="94" t="str">
        <f aca="false">IF(AJ133&lt;&gt;"", AJ133*AG133,"")</f>
        <v/>
      </c>
      <c r="AL133" s="94" t="str">
        <f aca="false">IF(AND($AE133=Constants!$B$7, T133, U133) ,IF($Z133="", "", 1-ABS($AA133-$Z133)/$AA133),"")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,IF(AND(T133,U133,W133,ISNUMBER(Z133)),Constants!$B$10*AL133/$AL$6, 0),"")</f>
        <v/>
      </c>
      <c r="AO133" s="94" t="str">
        <f aca="false">IF(AN133&lt;&gt;"", AN133*AG133,"")</f>
        <v/>
      </c>
      <c r="AP133" s="94" t="str">
        <f aca="false">IF($AE133=Constants!$B$7,Constants!$B$8*AB133/$AP$6,"")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IF(ISBLANK(C133),"",IFERROR(_xlfn.SWITCH(BE133, Constants!$B$4, COUNTA($C$8:$C632)+2, Constants!$B$5, COUNTA($C$8:$C632)+1, Constants!$B$6, COUNTA($C$8:$C632)),BE133))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4"/>
      <c r="C134" s="51"/>
      <c r="D134" s="52"/>
      <c r="E134" s="118"/>
      <c r="F134" s="118"/>
      <c r="G134" s="54"/>
      <c r="H134" s="55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IF(ISBLANK($C134),"",IF(J134=Constants!$B$2, TRUE(), IF(J134=Constants!$B$3,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Constants!B137) * IF(X134, 1, Constants!B138),"")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IF($AE134=Constants!$B$7,IF(AND(T134,U134,W134),Constants!$B$9*AH134/$AH$6, 0),"")</f>
        <v/>
      </c>
      <c r="AK134" s="62" t="str">
        <f aca="false">IF(AJ134&lt;&gt;"", AJ134*AG134,"")</f>
        <v/>
      </c>
      <c r="AL134" s="62" t="str">
        <f aca="false">IF(AND($AE134=Constants!$B$7, T134, U134) ,IF($Z134="", "", 1-ABS($AA134-$Z134)/$AA134),"")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IF($AE134=Constants!$B$7,Constants!$B$8*AB134/$AP$6,"")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IF(ISBLANK(C134),"",IFERROR(_xlfn.SWITCH(BE134, Constants!$B$4, COUNTA($C$8:$C633)+2, Constants!$B$5, COUNTA($C$8:$C633)+1, Constants!$B$6, COUNTA($C$8:$C633)),BE134))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4"/>
      <c r="C135" s="51"/>
      <c r="D135" s="52"/>
      <c r="E135" s="118"/>
      <c r="F135" s="118"/>
      <c r="G135" s="54"/>
      <c r="H135" s="55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IF(ISBLANK($C135),"",IF(J135=Constants!$B$2, TRUE(), IF(J135=Constants!$B$3,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Constants!B138) * IF(X135, 1, Constants!B139),"")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IF($AE135=Constants!$B$7,IF(AND(T135,U135,W135),Constants!$B$9*AH135/$AH$6, 0),"")</f>
        <v/>
      </c>
      <c r="AK135" s="62" t="str">
        <f aca="false">IF(AJ135&lt;&gt;"", AJ135*AG135,"")</f>
        <v/>
      </c>
      <c r="AL135" s="62" t="str">
        <f aca="false">IF(AND($AE135=Constants!$B$7, T135, U135) ,IF($Z135="", "", 1-ABS($AA135-$Z135)/$AA135),"")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IF($AE135=Constants!$B$7,Constants!$B$8*AB135/$AP$6,"")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IF(ISBLANK(C135),"",IFERROR(_xlfn.SWITCH(BE135, Constants!$B$4, COUNTA($C$8:$C634)+2, Constants!$B$5, COUNTA($C$8:$C634)+1, Constants!$B$6, COUNTA($C$8:$C634)),BE135))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4"/>
      <c r="C136" s="51"/>
      <c r="D136" s="52"/>
      <c r="E136" s="118"/>
      <c r="F136" s="118"/>
      <c r="G136" s="54"/>
      <c r="H136" s="55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IF(ISBLANK($C136),"",IF(J136=Constants!$B$2, TRUE(), IF(J136=Constants!$B$3,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Constants!B139) * IF(X136, 1, Constants!B140),"")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IF($AE136=Constants!$B$7,IF(AND(T136,U136,W136),Constants!$B$9*AH136/$AH$6, 0),"")</f>
        <v/>
      </c>
      <c r="AK136" s="62" t="str">
        <f aca="false">IF(AJ136&lt;&gt;"", AJ136*AG136,"")</f>
        <v/>
      </c>
      <c r="AL136" s="62" t="str">
        <f aca="false">IF(AND($AE136=Constants!$B$7, T136, U136) ,IF($Z136="", "", 1-ABS($AA136-$Z136)/$AA136),"")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IF($AE136=Constants!$B$7,Constants!$B$8*AB136/$AP$6,"")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IF(ISBLANK(C136),"",IFERROR(_xlfn.SWITCH(BE136, Constants!$B$4, COUNTA($C$8:$C635)+2, Constants!$B$5, COUNTA($C$8:$C635)+1, Constants!$B$6, COUNTA($C$8:$C635)),BE136))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0"/>
      <c r="C137" s="121"/>
      <c r="D137" s="110"/>
      <c r="E137" s="114"/>
      <c r="F137" s="114"/>
      <c r="G137" s="86"/>
      <c r="H137" s="87"/>
      <c r="I137" s="123"/>
      <c r="J137" s="123"/>
      <c r="K137" s="123"/>
      <c r="L137" s="89"/>
      <c r="M137" s="89"/>
      <c r="N137" s="89"/>
      <c r="O137" s="90"/>
      <c r="P137" s="91"/>
      <c r="Q137" s="123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4" t="str">
        <f aca="false">IF(ISBLANK($C137),"",IF(J137=Constants!$B$2, TRUE(), IF(J137=Constants!$B$3,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Constants!B140) * IF(X137, 1, Constants!B141),"")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IF($AE137=Constants!$B$7,IF(AND(T137,U137,W137),Constants!$B$9*AH137/$AH$6, 0),"")</f>
        <v/>
      </c>
      <c r="AK137" s="94" t="str">
        <f aca="false">IF(AJ137&lt;&gt;"", AJ137*AG137,"")</f>
        <v/>
      </c>
      <c r="AL137" s="94" t="str">
        <f aca="false">IF(AND($AE137=Constants!$B$7, T137, U137) ,IF($Z137="", "", 1-ABS($AA137-$Z137)/$AA137),"")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,IF(AND(T137,U137,W137,ISNUMBER(Z137)),Constants!$B$10*AL137/$AL$6, 0),"")</f>
        <v/>
      </c>
      <c r="AO137" s="94" t="str">
        <f aca="false">IF(AN137&lt;&gt;"", AN137*AG137,"")</f>
        <v/>
      </c>
      <c r="AP137" s="94" t="str">
        <f aca="false">IF($AE137=Constants!$B$7,Constants!$B$8*AB137/$AP$6,"")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IF(ISBLANK(C137),"",IFERROR(_xlfn.SWITCH(BE137, Constants!$B$4, COUNTA($C$8:$C636)+2, Constants!$B$5, COUNTA($C$8:$C636)+1, Constants!$B$6, COUNTA($C$8:$C636)),BE137))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0"/>
      <c r="C138" s="121"/>
      <c r="D138" s="110"/>
      <c r="E138" s="114"/>
      <c r="F138" s="114"/>
      <c r="G138" s="86"/>
      <c r="H138" s="87"/>
      <c r="I138" s="123"/>
      <c r="J138" s="123"/>
      <c r="K138" s="123"/>
      <c r="L138" s="89"/>
      <c r="M138" s="89"/>
      <c r="N138" s="89"/>
      <c r="O138" s="90"/>
      <c r="P138" s="91"/>
      <c r="Q138" s="123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4" t="str">
        <f aca="false">IF(ISBLANK($C138),"",IF(J138=Constants!$B$2, TRUE(), IF(J138=Constants!$B$3,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Constants!B141) * IF(X138, 1, Constants!B142),"")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IF($AE138=Constants!$B$7,IF(AND(T138,U138,W138),Constants!$B$9*AH138/$AH$6, 0),"")</f>
        <v/>
      </c>
      <c r="AK138" s="94" t="str">
        <f aca="false">IF(AJ138&lt;&gt;"", AJ138*AG138,"")</f>
        <v/>
      </c>
      <c r="AL138" s="94" t="str">
        <f aca="false">IF(AND($AE138=Constants!$B$7, T138, U138) ,IF($Z138="", "", 1-ABS($AA138-$Z138)/$AA138),"")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,IF(AND(T138,U138,W138,ISNUMBER(Z138)),Constants!$B$10*AL138/$AL$6, 0),"")</f>
        <v/>
      </c>
      <c r="AO138" s="94" t="str">
        <f aca="false">IF(AN138&lt;&gt;"", AN138*AG138,"")</f>
        <v/>
      </c>
      <c r="AP138" s="94" t="str">
        <f aca="false">IF($AE138=Constants!$B$7,Constants!$B$8*AB138/$AP$6,"")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IF(ISBLANK(C138),"",IFERROR(_xlfn.SWITCH(BE138, Constants!$B$4, COUNTA($C$8:$C637)+2, Constants!$B$5, COUNTA($C$8:$C637)+1, Constants!$B$6, COUNTA($C$8:$C637)),BE138))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0"/>
      <c r="C139" s="121"/>
      <c r="D139" s="110"/>
      <c r="E139" s="114"/>
      <c r="F139" s="114"/>
      <c r="G139" s="86"/>
      <c r="H139" s="87"/>
      <c r="I139" s="123"/>
      <c r="J139" s="123"/>
      <c r="K139" s="123"/>
      <c r="L139" s="89"/>
      <c r="M139" s="89"/>
      <c r="N139" s="89"/>
      <c r="O139" s="90"/>
      <c r="P139" s="91"/>
      <c r="Q139" s="123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4" t="str">
        <f aca="false">IF(ISBLANK($C139),"",IF(J139=Constants!$B$2, TRUE(), IF(J139=Constants!$B$3,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Constants!B142) * IF(X139, 1, Constants!B143),"")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IF($AE139=Constants!$B$7,IF(AND(T139,U139,W139),Constants!$B$9*AH139/$AH$6, 0),"")</f>
        <v/>
      </c>
      <c r="AK139" s="94" t="str">
        <f aca="false">IF(AJ139&lt;&gt;"", AJ139*AG139,"")</f>
        <v/>
      </c>
      <c r="AL139" s="94" t="str">
        <f aca="false">IF(AND($AE139=Constants!$B$7, T139, U139) ,IF($Z139="", "", 1-ABS($AA139-$Z139)/$AA139),"")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,IF(AND(T139,U139,W139,ISNUMBER(Z139)),Constants!$B$10*AL139/$AL$6, 0),"")</f>
        <v/>
      </c>
      <c r="AO139" s="94" t="str">
        <f aca="false">IF(AN139&lt;&gt;"", AN139*AG139,"")</f>
        <v/>
      </c>
      <c r="AP139" s="94" t="str">
        <f aca="false">IF($AE139=Constants!$B$7,Constants!$B$8*AB139/$AP$6,"")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IF(ISBLANK(C139),"",IFERROR(_xlfn.SWITCH(BE139, Constants!$B$4, COUNTA($C$8:$C638)+2, Constants!$B$5, COUNTA($C$8:$C638)+1, Constants!$B$6, COUNTA($C$8:$C638)),BE139))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4"/>
      <c r="C140" s="51"/>
      <c r="D140" s="52"/>
      <c r="E140" s="118"/>
      <c r="F140" s="118"/>
      <c r="G140" s="54"/>
      <c r="H140" s="55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IF(ISBLANK($C140),"",IF(J140=Constants!$B$2, TRUE(), IF(J140=Constants!$B$3,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Constants!B143) * IF(X140, 1, Constants!B144),"")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IF($AE140=Constants!$B$7,IF(AND(T140,U140,W140),Constants!$B$9*AH140/$AH$6, 0),"")</f>
        <v/>
      </c>
      <c r="AK140" s="62" t="str">
        <f aca="false">IF(AJ140&lt;&gt;"", AJ140*AG140,"")</f>
        <v/>
      </c>
      <c r="AL140" s="62" t="str">
        <f aca="false">IF(AND($AE140=Constants!$B$7, T140, U140) ,IF($Z140="", "", 1-ABS($AA140-$Z140)/$AA140),"")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IF($AE140=Constants!$B$7,Constants!$B$8*AB140/$AP$6,"")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IF(ISBLANK(C140),"",IFERROR(_xlfn.SWITCH(BE140, Constants!$B$4, COUNTA($C$8:$C639)+2, Constants!$B$5, COUNTA($C$8:$C639)+1, Constants!$B$6, COUNTA($C$8:$C639)),BE140))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4"/>
      <c r="C141" s="51"/>
      <c r="D141" s="52"/>
      <c r="E141" s="118"/>
      <c r="F141" s="118"/>
      <c r="G141" s="54"/>
      <c r="H141" s="55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IF(ISBLANK($C141),"",IF(J141=Constants!$B$2, TRUE(), IF(J141=Constants!$B$3,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Constants!B144) * IF(X141, 1, Constants!B145),"")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IF($AE141=Constants!$B$7,IF(AND(T141,U141,W141),Constants!$B$9*AH141/$AH$6, 0),"")</f>
        <v/>
      </c>
      <c r="AK141" s="62" t="str">
        <f aca="false">IF(AJ141&lt;&gt;"", AJ141*AG141,"")</f>
        <v/>
      </c>
      <c r="AL141" s="62" t="str">
        <f aca="false">IF(AND($AE141=Constants!$B$7, T141, U141) ,IF($Z141="", "", 1-ABS($AA141-$Z141)/$AA141),"")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IF($AE141=Constants!$B$7,Constants!$B$8*AB141/$AP$6,"")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IF(ISBLANK(C141),"",IFERROR(_xlfn.SWITCH(BE141, Constants!$B$4, COUNTA($C$8:$C640)+2, Constants!$B$5, COUNTA($C$8:$C640)+1, Constants!$B$6, COUNTA($C$8:$C640)),BE141))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4"/>
      <c r="C142" s="51"/>
      <c r="D142" s="52"/>
      <c r="E142" s="118"/>
      <c r="F142" s="118"/>
      <c r="G142" s="54"/>
      <c r="H142" s="55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IF(ISBLANK($C142),"",IF(J142=Constants!$B$2, TRUE(), IF(J142=Constants!$B$3,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Constants!B145) * IF(X142, 1, Constants!B146),"")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IF($AE142=Constants!$B$7,IF(AND(T142,U142,W142),Constants!$B$9*AH142/$AH$6, 0),"")</f>
        <v/>
      </c>
      <c r="AK142" s="62" t="str">
        <f aca="false">IF(AJ142&lt;&gt;"", AJ142*AG142,"")</f>
        <v/>
      </c>
      <c r="AL142" s="62" t="str">
        <f aca="false">IF(AND($AE142=Constants!$B$7, T142, U142) ,IF($Z142="", "", 1-ABS($AA142-$Z142)/$AA142),"")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IF($AE142=Constants!$B$7,Constants!$B$8*AB142/$AP$6,"")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IF(ISBLANK(C142),"",IFERROR(_xlfn.SWITCH(BE142, Constants!$B$4, COUNTA($C$8:$C641)+2, Constants!$B$5, COUNTA($C$8:$C641)+1, Constants!$B$6, COUNTA($C$8:$C641)),BE142))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0"/>
      <c r="C143" s="121"/>
      <c r="D143" s="110"/>
      <c r="E143" s="114"/>
      <c r="F143" s="114"/>
      <c r="G143" s="86"/>
      <c r="H143" s="87"/>
      <c r="I143" s="123"/>
      <c r="J143" s="123"/>
      <c r="K143" s="123"/>
      <c r="L143" s="89"/>
      <c r="M143" s="89"/>
      <c r="N143" s="89"/>
      <c r="O143" s="90"/>
      <c r="P143" s="91"/>
      <c r="Q143" s="123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4" t="str">
        <f aca="false">IF(ISBLANK($C143),"",IF(J143=Constants!$B$2, TRUE(), IF(J143=Constants!$B$3,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Constants!B146) * IF(X143, 1, Constants!B147),"")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IF($AE143=Constants!$B$7,IF(AND(T143,U143,W143),Constants!$B$9*AH143/$AH$6, 0),"")</f>
        <v/>
      </c>
      <c r="AK143" s="94" t="str">
        <f aca="false">IF(AJ143&lt;&gt;"", AJ143*AG143,"")</f>
        <v/>
      </c>
      <c r="AL143" s="94" t="str">
        <f aca="false">IF(AND($AE143=Constants!$B$7, T143, U143) ,IF($Z143="", "", 1-ABS($AA143-$Z143)/$AA143),"")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,IF(AND(T143,U143,W143,ISNUMBER(Z143)),Constants!$B$10*AL143/$AL$6, 0),"")</f>
        <v/>
      </c>
      <c r="AO143" s="94" t="str">
        <f aca="false">IF(AN143&lt;&gt;"", AN143*AG143,"")</f>
        <v/>
      </c>
      <c r="AP143" s="94" t="str">
        <f aca="false">IF($AE143=Constants!$B$7,Constants!$B$8*AB143/$AP$6,"")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IF(ISBLANK(C143),"",IFERROR(_xlfn.SWITCH(BE143, Constants!$B$4, COUNTA($C$8:$C642)+2, Constants!$B$5, COUNTA($C$8:$C642)+1, Constants!$B$6, COUNTA($C$8:$C642)),BE143))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0"/>
      <c r="C144" s="121"/>
      <c r="D144" s="110"/>
      <c r="E144" s="114"/>
      <c r="F144" s="114"/>
      <c r="G144" s="86"/>
      <c r="H144" s="87"/>
      <c r="I144" s="123"/>
      <c r="J144" s="123"/>
      <c r="K144" s="123"/>
      <c r="L144" s="89"/>
      <c r="M144" s="89"/>
      <c r="N144" s="89"/>
      <c r="O144" s="90"/>
      <c r="P144" s="91"/>
      <c r="Q144" s="123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4" t="str">
        <f aca="false">IF(ISBLANK($C144),"",IF(J144=Constants!$B$2, TRUE(), IF(J144=Constants!$B$3,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Constants!B147) * IF(X144, 1, Constants!B148),"")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IF($AE144=Constants!$B$7,IF(AND(T144,U144,W144),Constants!$B$9*AH144/$AH$6, 0),"")</f>
        <v/>
      </c>
      <c r="AK144" s="94" t="str">
        <f aca="false">IF(AJ144&lt;&gt;"", AJ144*AG144,"")</f>
        <v/>
      </c>
      <c r="AL144" s="94" t="str">
        <f aca="false">IF(AND($AE144=Constants!$B$7, T144, U144) ,IF($Z144="", "", 1-ABS($AA144-$Z144)/$AA144),"")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,IF(AND(T144,U144,W144,ISNUMBER(Z144)),Constants!$B$10*AL144/$AL$6, 0),"")</f>
        <v/>
      </c>
      <c r="AO144" s="94" t="str">
        <f aca="false">IF(AN144&lt;&gt;"", AN144*AG144,"")</f>
        <v/>
      </c>
      <c r="AP144" s="94" t="str">
        <f aca="false">IF($AE144=Constants!$B$7,Constants!$B$8*AB144/$AP$6,"")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IF(ISBLANK(C144),"",IFERROR(_xlfn.SWITCH(BE144, Constants!$B$4, COUNTA($C$8:$C643)+2, Constants!$B$5, COUNTA($C$8:$C643)+1, Constants!$B$6, COUNTA($C$8:$C643)),BE144))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0"/>
      <c r="C145" s="121"/>
      <c r="D145" s="110"/>
      <c r="E145" s="114"/>
      <c r="F145" s="114"/>
      <c r="G145" s="86"/>
      <c r="H145" s="87"/>
      <c r="I145" s="123"/>
      <c r="J145" s="123"/>
      <c r="K145" s="123"/>
      <c r="L145" s="89"/>
      <c r="M145" s="89"/>
      <c r="N145" s="89"/>
      <c r="O145" s="90"/>
      <c r="P145" s="91"/>
      <c r="Q145" s="123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4" t="str">
        <f aca="false">IF(ISBLANK($C145),"",IF(J145=Constants!$B$2, TRUE(), IF(J145=Constants!$B$3,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Constants!B148) * IF(X145, 1, Constants!B149),"")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IF($AE145=Constants!$B$7,IF(AND(T145,U145,W145),Constants!$B$9*AH145/$AH$6, 0),"")</f>
        <v/>
      </c>
      <c r="AK145" s="94" t="str">
        <f aca="false">IF(AJ145&lt;&gt;"", AJ145*AG145,"")</f>
        <v/>
      </c>
      <c r="AL145" s="94" t="str">
        <f aca="false">IF(AND($AE145=Constants!$B$7, T145, U145) ,IF($Z145="", "", 1-ABS($AA145-$Z145)/$AA145),"")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,IF(AND(T145,U145,W145,ISNUMBER(Z145)),Constants!$B$10*AL145/$AL$6, 0),"")</f>
        <v/>
      </c>
      <c r="AO145" s="94" t="str">
        <f aca="false">IF(AN145&lt;&gt;"", AN145*AG145,"")</f>
        <v/>
      </c>
      <c r="AP145" s="94" t="str">
        <f aca="false">IF($AE145=Constants!$B$7,Constants!$B$8*AB145/$AP$6,"")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IF(ISBLANK(C145),"",IFERROR(_xlfn.SWITCH(BE145, Constants!$B$4, COUNTA($C$8:$C644)+2, Constants!$B$5, COUNTA($C$8:$C644)+1, Constants!$B$6, COUNTA($C$8:$C644)),BE145))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4"/>
      <c r="C146" s="51"/>
      <c r="D146" s="52"/>
      <c r="E146" s="118"/>
      <c r="F146" s="118"/>
      <c r="G146" s="54"/>
      <c r="H146" s="55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IF(ISBLANK($C146),"",IF(J146=Constants!$B$2, TRUE(), IF(J146=Constants!$B$3,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Constants!B149) * IF(X146, 1, Constants!B150),"")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IF($AE146=Constants!$B$7,IF(AND(T146,U146,W146),Constants!$B$9*AH146/$AH$6, 0),"")</f>
        <v/>
      </c>
      <c r="AK146" s="62" t="str">
        <f aca="false">IF(AJ146&lt;&gt;"", AJ146*AG146,"")</f>
        <v/>
      </c>
      <c r="AL146" s="62" t="str">
        <f aca="false">IF(AND($AE146=Constants!$B$7, T146, U146) ,IF($Z146="", "", 1-ABS($AA146-$Z146)/$AA146),"")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IF($AE146=Constants!$B$7,Constants!$B$8*AB146/$AP$6,"")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IF(ISBLANK(C146),"",IFERROR(_xlfn.SWITCH(BE146, Constants!$B$4, COUNTA($C$8:$C645)+2, Constants!$B$5, COUNTA($C$8:$C645)+1, Constants!$B$6, COUNTA($C$8:$C645)),BE146))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4"/>
      <c r="C147" s="51"/>
      <c r="D147" s="52"/>
      <c r="E147" s="118"/>
      <c r="F147" s="118"/>
      <c r="G147" s="54"/>
      <c r="H147" s="55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IF(ISBLANK($C147),"",IF(J147=Constants!$B$2, TRUE(), IF(J147=Constants!$B$3,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Constants!B150) * IF(X147, 1, Constants!B151),"")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IF($AE147=Constants!$B$7,IF(AND(T147,U147,W147),Constants!$B$9*AH147/$AH$6, 0),"")</f>
        <v/>
      </c>
      <c r="AK147" s="62" t="str">
        <f aca="false">IF(AJ147&lt;&gt;"", AJ147*AG147,"")</f>
        <v/>
      </c>
      <c r="AL147" s="62" t="str">
        <f aca="false">IF(AND($AE147=Constants!$B$7, T147, U147) ,IF($Z147="", "", 1-ABS($AA147-$Z147)/$AA147),"")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IF($AE147=Constants!$B$7,Constants!$B$8*AB147/$AP$6,"")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IF(ISBLANK(C147),"",IFERROR(_xlfn.SWITCH(BE147, Constants!$B$4, COUNTA($C$8:$C646)+2, Constants!$B$5, COUNTA($C$8:$C646)+1, Constants!$B$6, COUNTA($C$8:$C646)),BE147))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4"/>
      <c r="C148" s="51"/>
      <c r="D148" s="52"/>
      <c r="E148" s="118"/>
      <c r="F148" s="118"/>
      <c r="G148" s="54"/>
      <c r="H148" s="55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IF(ISBLANK($C148),"",IF(J148=Constants!$B$2, TRUE(), IF(J148=Constants!$B$3,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Constants!B151) * IF(X148, 1, Constants!B152),"")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IF($AE148=Constants!$B$7,IF(AND(T148,U148,W148),Constants!$B$9*AH148/$AH$6, 0),"")</f>
        <v/>
      </c>
      <c r="AK148" s="62" t="str">
        <f aca="false">IF(AJ148&lt;&gt;"", AJ148*AG148,"")</f>
        <v/>
      </c>
      <c r="AL148" s="62" t="str">
        <f aca="false">IF(AND($AE148=Constants!$B$7, T148, U148) ,IF($Z148="", "", 1-ABS($AA148-$Z148)/$AA148),"")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IF($AE148=Constants!$B$7,Constants!$B$8*AB148/$AP$6,"")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IF(ISBLANK(C148),"",IFERROR(_xlfn.SWITCH(BE148, Constants!$B$4, COUNTA($C$8:$C647)+2, Constants!$B$5, COUNTA($C$8:$C647)+1, Constants!$B$6, COUNTA($C$8:$C647)),BE148))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0"/>
      <c r="C149" s="121"/>
      <c r="D149" s="110"/>
      <c r="E149" s="114"/>
      <c r="F149" s="114"/>
      <c r="G149" s="86"/>
      <c r="H149" s="87"/>
      <c r="I149" s="123"/>
      <c r="J149" s="123"/>
      <c r="K149" s="123"/>
      <c r="L149" s="89"/>
      <c r="M149" s="89"/>
      <c r="N149" s="89"/>
      <c r="O149" s="90"/>
      <c r="P149" s="91"/>
      <c r="Q149" s="123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4" t="str">
        <f aca="false">IF(ISBLANK($C149),"",IF(J149=Constants!$B$2, TRUE(), IF(J149=Constants!$B$3,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Constants!B152) * IF(X149, 1, Constants!B153),"")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IF($AE149=Constants!$B$7,IF(AND(T149,U149,W149),Constants!$B$9*AH149/$AH$6, 0),"")</f>
        <v/>
      </c>
      <c r="AK149" s="94" t="str">
        <f aca="false">IF(AJ149&lt;&gt;"", AJ149*AG149,"")</f>
        <v/>
      </c>
      <c r="AL149" s="94" t="str">
        <f aca="false">IF(AND($AE149=Constants!$B$7, T149, U149) ,IF($Z149="", "", 1-ABS($AA149-$Z149)/$AA149),"")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,IF(AND(T149,U149,W149,ISNUMBER(Z149)),Constants!$B$10*AL149/$AL$6, 0),"")</f>
        <v/>
      </c>
      <c r="AO149" s="94" t="str">
        <f aca="false">IF(AN149&lt;&gt;"", AN149*AG149,"")</f>
        <v/>
      </c>
      <c r="AP149" s="94" t="str">
        <f aca="false">IF($AE149=Constants!$B$7,Constants!$B$8*AB149/$AP$6,"")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IF(ISBLANK(C149),"",IFERROR(_xlfn.SWITCH(BE149, Constants!$B$4, COUNTA($C$8:$C648)+2, Constants!$B$5, COUNTA($C$8:$C648)+1, Constants!$B$6, COUNTA($C$8:$C648)),BE149))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0"/>
      <c r="C150" s="121"/>
      <c r="D150" s="110"/>
      <c r="E150" s="114"/>
      <c r="F150" s="114"/>
      <c r="G150" s="86"/>
      <c r="H150" s="87"/>
      <c r="I150" s="123"/>
      <c r="J150" s="123"/>
      <c r="K150" s="123"/>
      <c r="L150" s="89"/>
      <c r="M150" s="89"/>
      <c r="N150" s="89"/>
      <c r="O150" s="90"/>
      <c r="P150" s="91"/>
      <c r="Q150" s="123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4" t="str">
        <f aca="false">IF(ISBLANK($C150),"",IF(J150=Constants!$B$2, TRUE(), IF(J150=Constants!$B$3,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Constants!B153) * IF(X150, 1, Constants!B154),"")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IF($AE150=Constants!$B$7,IF(AND(T150,U150,W150),Constants!$B$9*AH150/$AH$6, 0),"")</f>
        <v/>
      </c>
      <c r="AK150" s="94" t="str">
        <f aca="false">IF(AJ150&lt;&gt;"", AJ150*AG150,"")</f>
        <v/>
      </c>
      <c r="AL150" s="94" t="str">
        <f aca="false">IF(AND($AE150=Constants!$B$7, T150, U150) ,IF($Z150="", "", 1-ABS($AA150-$Z150)/$AA150),"")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,IF(AND(T150,U150,W150,ISNUMBER(Z150)),Constants!$B$10*AL150/$AL$6, 0),"")</f>
        <v/>
      </c>
      <c r="AO150" s="94" t="str">
        <f aca="false">IF(AN150&lt;&gt;"", AN150*AG150,"")</f>
        <v/>
      </c>
      <c r="AP150" s="94" t="str">
        <f aca="false">IF($AE150=Constants!$B$7,Constants!$B$8*AB150/$AP$6,"")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IF(ISBLANK(C150),"",IFERROR(_xlfn.SWITCH(BE150, Constants!$B$4, COUNTA($C$8:$C649)+2, Constants!$B$5, COUNTA($C$8:$C649)+1, Constants!$B$6, COUNTA($C$8:$C649)),BE150))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0"/>
      <c r="C151" s="121"/>
      <c r="D151" s="110"/>
      <c r="E151" s="114"/>
      <c r="F151" s="114"/>
      <c r="G151" s="86"/>
      <c r="H151" s="87"/>
      <c r="I151" s="123"/>
      <c r="J151" s="123"/>
      <c r="K151" s="123"/>
      <c r="L151" s="89"/>
      <c r="M151" s="89"/>
      <c r="N151" s="89"/>
      <c r="O151" s="90"/>
      <c r="P151" s="91"/>
      <c r="Q151" s="123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4" t="str">
        <f aca="false">IF(ISBLANK($C151),"",IF(J151=Constants!$B$2, TRUE(), IF(J151=Constants!$B$3,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Constants!B154) * IF(X151, 1, Constants!B155),"")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IF($AE151=Constants!$B$7,IF(AND(T151,U151,W151),Constants!$B$9*AH151/$AH$6, 0),"")</f>
        <v/>
      </c>
      <c r="AK151" s="94" t="str">
        <f aca="false">IF(AJ151&lt;&gt;"", AJ151*AG151,"")</f>
        <v/>
      </c>
      <c r="AL151" s="94" t="str">
        <f aca="false">IF(AND($AE151=Constants!$B$7, T151, U151) ,IF($Z151="", "", 1-ABS($AA151-$Z151)/$AA151),"")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,IF(AND(T151,U151,W151,ISNUMBER(Z151)),Constants!$B$10*AL151/$AL$6, 0),"")</f>
        <v/>
      </c>
      <c r="AO151" s="94" t="str">
        <f aca="false">IF(AN151&lt;&gt;"", AN151*AG151,"")</f>
        <v/>
      </c>
      <c r="AP151" s="94" t="str">
        <f aca="false">IF($AE151=Constants!$B$7,Constants!$B$8*AB151/$AP$6,"")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IF(ISBLANK(C151),"",IFERROR(_xlfn.SWITCH(BE151, Constants!$B$4, COUNTA($C$8:$C650)+2, Constants!$B$5, COUNTA($C$8:$C650)+1, Constants!$B$6, COUNTA($C$8:$C650)),BE151))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4"/>
      <c r="C152" s="51"/>
      <c r="D152" s="52"/>
      <c r="E152" s="118"/>
      <c r="F152" s="118"/>
      <c r="G152" s="54"/>
      <c r="H152" s="55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IF(ISBLANK($C152),"",IF(J152=Constants!$B$2, TRUE(), IF(J152=Constants!$B$3,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Constants!B155) * IF(X152, 1, Constants!B156),"")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IF($AE152=Constants!$B$7,IF(AND(T152,U152,W152),Constants!$B$9*AH152/$AH$6, 0),"")</f>
        <v/>
      </c>
      <c r="AK152" s="62" t="str">
        <f aca="false">IF(AJ152&lt;&gt;"", AJ152*AG152,"")</f>
        <v/>
      </c>
      <c r="AL152" s="62" t="str">
        <f aca="false">IF(AND($AE152=Constants!$B$7, T152, U152) ,IF($Z152="", "", 1-ABS($AA152-$Z152)/$AA152),"")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IF($AE152=Constants!$B$7,Constants!$B$8*AB152/$AP$6,"")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IF(ISBLANK(C152),"",IFERROR(_xlfn.SWITCH(BE152, Constants!$B$4, COUNTA($C$8:$C651)+2, Constants!$B$5, COUNTA($C$8:$C651)+1, Constants!$B$6, COUNTA($C$8:$C651)),BE152))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4"/>
      <c r="C153" s="51"/>
      <c r="D153" s="52"/>
      <c r="E153" s="118"/>
      <c r="F153" s="118"/>
      <c r="G153" s="54"/>
      <c r="H153" s="55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IF(ISBLANK($C153),"",IF(J153=Constants!$B$2, TRUE(), IF(J153=Constants!$B$3,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Constants!B156) * IF(X153, 1, Constants!B157),"")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IF($AE153=Constants!$B$7,IF(AND(T153,U153,W153),Constants!$B$9*AH153/$AH$6, 0),"")</f>
        <v/>
      </c>
      <c r="AK153" s="62" t="str">
        <f aca="false">IF(AJ153&lt;&gt;"", AJ153*AG153,"")</f>
        <v/>
      </c>
      <c r="AL153" s="62" t="str">
        <f aca="false">IF(AND($AE153=Constants!$B$7, T153, U153) ,IF($Z153="", "", 1-ABS($AA153-$Z153)/$AA153),"")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IF($AE153=Constants!$B$7,Constants!$B$8*AB153/$AP$6,"")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IF(ISBLANK(C153),"",IFERROR(_xlfn.SWITCH(BE153, Constants!$B$4, COUNTA($C$8:$C652)+2, Constants!$B$5, COUNTA($C$8:$C652)+1, Constants!$B$6, COUNTA($C$8:$C652)),BE153))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4"/>
      <c r="C154" s="51"/>
      <c r="D154" s="52"/>
      <c r="E154" s="118"/>
      <c r="F154" s="118"/>
      <c r="G154" s="54"/>
      <c r="H154" s="55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IF(ISBLANK($C154),"",IF(J154=Constants!$B$2, TRUE(), IF(J154=Constants!$B$3,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Constants!B157) * IF(X154, 1, Constants!B158),"")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IF($AE154=Constants!$B$7,IF(AND(T154,U154,W154),Constants!$B$9*AH154/$AH$6, 0),"")</f>
        <v/>
      </c>
      <c r="AK154" s="62" t="str">
        <f aca="false">IF(AJ154&lt;&gt;"", AJ154*AG154,"")</f>
        <v/>
      </c>
      <c r="AL154" s="62" t="str">
        <f aca="false">IF(AND($AE154=Constants!$B$7, T154, U154) ,IF($Z154="", "", 1-ABS($AA154-$Z154)/$AA154),"")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IF($AE154=Constants!$B$7,Constants!$B$8*AB154/$AP$6,"")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IF(ISBLANK(C154),"",IFERROR(_xlfn.SWITCH(BE154, Constants!$B$4, COUNTA($C$8:$C653)+2, Constants!$B$5, COUNTA($C$8:$C653)+1, Constants!$B$6, COUNTA($C$8:$C653)),BE154))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0"/>
      <c r="C155" s="121"/>
      <c r="D155" s="110"/>
      <c r="E155" s="114"/>
      <c r="F155" s="114"/>
      <c r="G155" s="86"/>
      <c r="H155" s="87"/>
      <c r="I155" s="123"/>
      <c r="J155" s="123"/>
      <c r="K155" s="123"/>
      <c r="L155" s="89"/>
      <c r="M155" s="89"/>
      <c r="N155" s="89"/>
      <c r="O155" s="90"/>
      <c r="P155" s="91"/>
      <c r="Q155" s="123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4" t="str">
        <f aca="false">IF(ISBLANK($C155),"",IF(J155=Constants!$B$2, TRUE(), IF(J155=Constants!$B$3,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Constants!B158) * IF(X155, 1, Constants!B159),"")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IF($AE155=Constants!$B$7,IF(AND(T155,U155,W155),Constants!$B$9*AH155/$AH$6, 0),"")</f>
        <v/>
      </c>
      <c r="AK155" s="94" t="str">
        <f aca="false">IF(AJ155&lt;&gt;"", AJ155*AG155,"")</f>
        <v/>
      </c>
      <c r="AL155" s="94" t="str">
        <f aca="false">IF(AND($AE155=Constants!$B$7, T155, U155) ,IF($Z155="", "", 1-ABS($AA155-$Z155)/$AA155),"")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,IF(AND(T155,U155,W155,ISNUMBER(Z155)),Constants!$B$10*AL155/$AL$6, 0),"")</f>
        <v/>
      </c>
      <c r="AO155" s="94" t="str">
        <f aca="false">IF(AN155&lt;&gt;"", AN155*AG155,"")</f>
        <v/>
      </c>
      <c r="AP155" s="94" t="str">
        <f aca="false">IF($AE155=Constants!$B$7,Constants!$B$8*AB155/$AP$6,"")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IF(ISBLANK(C155),"",IFERROR(_xlfn.SWITCH(BE155, Constants!$B$4, COUNTA($C$8:$C654)+2, Constants!$B$5, COUNTA($C$8:$C654)+1, Constants!$B$6, COUNTA($C$8:$C654)),BE155))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0"/>
      <c r="C156" s="121"/>
      <c r="D156" s="110"/>
      <c r="E156" s="114"/>
      <c r="F156" s="114"/>
      <c r="G156" s="86"/>
      <c r="H156" s="87"/>
      <c r="I156" s="123"/>
      <c r="J156" s="123"/>
      <c r="K156" s="123"/>
      <c r="L156" s="89"/>
      <c r="M156" s="89"/>
      <c r="N156" s="89"/>
      <c r="O156" s="90"/>
      <c r="P156" s="91"/>
      <c r="Q156" s="123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4" t="str">
        <f aca="false">IF(ISBLANK($C156),"",IF(J156=Constants!$B$2, TRUE(), IF(J156=Constants!$B$3,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Constants!B159) * IF(X156, 1, Constants!B160),"")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IF($AE156=Constants!$B$7,IF(AND(T156,U156,W156),Constants!$B$9*AH156/$AH$6, 0),"")</f>
        <v/>
      </c>
      <c r="AK156" s="94" t="str">
        <f aca="false">IF(AJ156&lt;&gt;"", AJ156*AG156,"")</f>
        <v/>
      </c>
      <c r="AL156" s="94" t="str">
        <f aca="false">IF(AND($AE156=Constants!$B$7, T156, U156) ,IF($Z156="", "", 1-ABS($AA156-$Z156)/$AA156),"")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,IF(AND(T156,U156,W156,ISNUMBER(Z156)),Constants!$B$10*AL156/$AL$6, 0),"")</f>
        <v/>
      </c>
      <c r="AO156" s="94" t="str">
        <f aca="false">IF(AN156&lt;&gt;"", AN156*AG156,"")</f>
        <v/>
      </c>
      <c r="AP156" s="94" t="str">
        <f aca="false">IF($AE156=Constants!$B$7,Constants!$B$8*AB156/$AP$6,"")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IF(ISBLANK(C156),"",IFERROR(_xlfn.SWITCH(BE156, Constants!$B$4, COUNTA($C$8:$C655)+2, Constants!$B$5, COUNTA($C$8:$C655)+1, Constants!$B$6, COUNTA($C$8:$C655)),BE156))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0"/>
      <c r="C157" s="121"/>
      <c r="D157" s="110"/>
      <c r="E157" s="114"/>
      <c r="F157" s="114"/>
      <c r="G157" s="86"/>
      <c r="H157" s="87"/>
      <c r="I157" s="123"/>
      <c r="J157" s="123"/>
      <c r="K157" s="123"/>
      <c r="L157" s="89"/>
      <c r="M157" s="89"/>
      <c r="N157" s="89"/>
      <c r="O157" s="90"/>
      <c r="P157" s="91"/>
      <c r="Q157" s="123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4" t="str">
        <f aca="false">IF(ISBLANK($C157),"",IF(J157=Constants!$B$2, TRUE(), IF(J157=Constants!$B$3,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Constants!B160) * IF(X157, 1, Constants!B161),"")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IF($AE157=Constants!$B$7,IF(AND(T157,U157,W157),Constants!$B$9*AH157/$AH$6, 0),"")</f>
        <v/>
      </c>
      <c r="AK157" s="94" t="str">
        <f aca="false">IF(AJ157&lt;&gt;"", AJ157*AG157,"")</f>
        <v/>
      </c>
      <c r="AL157" s="94" t="str">
        <f aca="false">IF(AND($AE157=Constants!$B$7, T157, U157) ,IF($Z157="", "", 1-ABS($AA157-$Z157)/$AA157),"")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,IF(AND(T157,U157,W157,ISNUMBER(Z157)),Constants!$B$10*AL157/$AL$6, 0),"")</f>
        <v/>
      </c>
      <c r="AO157" s="94" t="str">
        <f aca="false">IF(AN157&lt;&gt;"", AN157*AG157,"")</f>
        <v/>
      </c>
      <c r="AP157" s="94" t="str">
        <f aca="false">IF($AE157=Constants!$B$7,Constants!$B$8*AB157/$AP$6,"")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IF(ISBLANK(C157),"",IFERROR(_xlfn.SWITCH(BE157, Constants!$B$4, COUNTA($C$8:$C656)+2, Constants!$B$5, COUNTA($C$8:$C656)+1, Constants!$B$6, COUNTA($C$8:$C656)),BE157))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4"/>
      <c r="C158" s="51"/>
      <c r="D158" s="52"/>
      <c r="E158" s="118"/>
      <c r="F158" s="118"/>
      <c r="G158" s="54"/>
      <c r="H158" s="55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IF(ISBLANK($C158),"",IF(J158=Constants!$B$2, TRUE(), IF(J158=Constants!$B$3,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Constants!B161) * IF(X158, 1, Constants!B162),"")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IF($AE158=Constants!$B$7,IF(AND(T158,U158,W158),Constants!$B$9*AH158/$AH$6, 0),"")</f>
        <v/>
      </c>
      <c r="AK158" s="62" t="str">
        <f aca="false">IF(AJ158&lt;&gt;"", AJ158*AG158,"")</f>
        <v/>
      </c>
      <c r="AL158" s="62" t="str">
        <f aca="false">IF(AND($AE158=Constants!$B$7, T158, U158) ,IF($Z158="", "", 1-ABS($AA158-$Z158)/$AA158),"")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IF($AE158=Constants!$B$7,Constants!$B$8*AB158/$AP$6,"")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IF(ISBLANK(C158),"",IFERROR(_xlfn.SWITCH(BE158, Constants!$B$4, COUNTA($C$8:$C657)+2, Constants!$B$5, COUNTA($C$8:$C657)+1, Constants!$B$6, COUNTA($C$8:$C657)),BE158))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4"/>
      <c r="C159" s="51"/>
      <c r="D159" s="52"/>
      <c r="E159" s="118"/>
      <c r="F159" s="118"/>
      <c r="G159" s="54"/>
      <c r="H159" s="55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IF(ISBLANK($C159),"",IF(J159=Constants!$B$2, TRUE(), IF(J159=Constants!$B$3,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Constants!B162) * IF(X159, 1, Constants!B163),"")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IF($AE159=Constants!$B$7,IF(AND(T159,U159,W159),Constants!$B$9*AH159/$AH$6, 0),"")</f>
        <v/>
      </c>
      <c r="AK159" s="62" t="str">
        <f aca="false">IF(AJ159&lt;&gt;"", AJ159*AG159,"")</f>
        <v/>
      </c>
      <c r="AL159" s="62" t="str">
        <f aca="false">IF(AND($AE159=Constants!$B$7, T159, U159) ,IF($Z159="", "", 1-ABS($AA159-$Z159)/$AA159),"")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IF($AE159=Constants!$B$7,Constants!$B$8*AB159/$AP$6,"")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IF(ISBLANK(C159),"",IFERROR(_xlfn.SWITCH(BE159, Constants!$B$4, COUNTA($C$8:$C658)+2, Constants!$B$5, COUNTA($C$8:$C658)+1, Constants!$B$6, COUNTA($C$8:$C658)),BE159))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4"/>
      <c r="C160" s="51"/>
      <c r="D160" s="52"/>
      <c r="E160" s="118"/>
      <c r="F160" s="118"/>
      <c r="G160" s="54"/>
      <c r="H160" s="55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IF(ISBLANK($C160),"",IF(J160=Constants!$B$2, TRUE(), IF(J160=Constants!$B$3,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Constants!B163) * IF(X160, 1, Constants!B164),"")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IF($AE160=Constants!$B$7,IF(AND(T160,U160,W160),Constants!$B$9*AH160/$AH$6, 0),"")</f>
        <v/>
      </c>
      <c r="AK160" s="62" t="str">
        <f aca="false">IF(AJ160&lt;&gt;"", AJ160*AG160,"")</f>
        <v/>
      </c>
      <c r="AL160" s="62" t="str">
        <f aca="false">IF(AND($AE160=Constants!$B$7, T160, U160) ,IF($Z160="", "", 1-ABS($AA160-$Z160)/$AA160),"")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IF($AE160=Constants!$B$7,Constants!$B$8*AB160/$AP$6,"")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IF(ISBLANK(C160),"",IFERROR(_xlfn.SWITCH(BE160, Constants!$B$4, COUNTA($C$8:$C659)+2, Constants!$B$5, COUNTA($C$8:$C659)+1, Constants!$B$6, COUNTA($C$8:$C659)),BE160))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0"/>
      <c r="C161" s="121"/>
      <c r="D161" s="110"/>
      <c r="E161" s="114"/>
      <c r="F161" s="114"/>
      <c r="G161" s="86"/>
      <c r="H161" s="87"/>
      <c r="I161" s="123"/>
      <c r="J161" s="123"/>
      <c r="K161" s="123"/>
      <c r="L161" s="89"/>
      <c r="M161" s="89"/>
      <c r="N161" s="89"/>
      <c r="O161" s="90"/>
      <c r="P161" s="91"/>
      <c r="Q161" s="123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4" t="str">
        <f aca="false">IF(ISBLANK($C161),"",IF(J161=Constants!$B$2, TRUE(), IF(J161=Constants!$B$3,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Constants!B164) * IF(X161, 1, Constants!B165),"")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IF($AE161=Constants!$B$7,IF(AND(T161,U161,W161),Constants!$B$9*AH161/$AH$6, 0),"")</f>
        <v/>
      </c>
      <c r="AK161" s="94" t="str">
        <f aca="false">IF(AJ161&lt;&gt;"", AJ161*AG161,"")</f>
        <v/>
      </c>
      <c r="AL161" s="94" t="str">
        <f aca="false">IF(AND($AE161=Constants!$B$7, T161, U161) ,IF($Z161="", "", 1-ABS($AA161-$Z161)/$AA161),"")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,IF(AND(T161,U161,W161,ISNUMBER(Z161)),Constants!$B$10*AL161/$AL$6, 0),"")</f>
        <v/>
      </c>
      <c r="AO161" s="94" t="str">
        <f aca="false">IF(AN161&lt;&gt;"", AN161*AG161,"")</f>
        <v/>
      </c>
      <c r="AP161" s="94" t="str">
        <f aca="false">IF($AE161=Constants!$B$7,Constants!$B$8*AB161/$AP$6,"")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IF(ISBLANK(C161),"",IFERROR(_xlfn.SWITCH(BE161, Constants!$B$4, COUNTA($C$8:$C660)+2, Constants!$B$5, COUNTA($C$8:$C660)+1, Constants!$B$6, COUNTA($C$8:$C660)),BE161))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0"/>
      <c r="C162" s="121"/>
      <c r="D162" s="110"/>
      <c r="E162" s="114"/>
      <c r="F162" s="114"/>
      <c r="G162" s="86"/>
      <c r="H162" s="87"/>
      <c r="I162" s="123"/>
      <c r="J162" s="123"/>
      <c r="K162" s="123"/>
      <c r="L162" s="89"/>
      <c r="M162" s="89"/>
      <c r="N162" s="89"/>
      <c r="O162" s="90"/>
      <c r="P162" s="91"/>
      <c r="Q162" s="123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4" t="str">
        <f aca="false">IF(ISBLANK($C162),"",IF(J162=Constants!$B$2, TRUE(), IF(J162=Constants!$B$3,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Constants!B165) * IF(X162, 1, Constants!B166),"")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IF($AE162=Constants!$B$7,IF(AND(T162,U162,W162),Constants!$B$9*AH162/$AH$6, 0),"")</f>
        <v/>
      </c>
      <c r="AK162" s="94" t="str">
        <f aca="false">IF(AJ162&lt;&gt;"", AJ162*AG162,"")</f>
        <v/>
      </c>
      <c r="AL162" s="94" t="str">
        <f aca="false">IF(AND($AE162=Constants!$B$7, T162, U162) ,IF($Z162="", "", 1-ABS($AA162-$Z162)/$AA162),"")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,IF(AND(T162,U162,W162,ISNUMBER(Z162)),Constants!$B$10*AL162/$AL$6, 0),"")</f>
        <v/>
      </c>
      <c r="AO162" s="94" t="str">
        <f aca="false">IF(AN162&lt;&gt;"", AN162*AG162,"")</f>
        <v/>
      </c>
      <c r="AP162" s="94" t="str">
        <f aca="false">IF($AE162=Constants!$B$7,Constants!$B$8*AB162/$AP$6,"")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IF(ISBLANK(C162),"",IFERROR(_xlfn.SWITCH(BE162, Constants!$B$4, COUNTA($C$8:$C661)+2, Constants!$B$5, COUNTA($C$8:$C661)+1, Constants!$B$6, COUNTA($C$8:$C661)),BE162))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0"/>
      <c r="C163" s="121"/>
      <c r="D163" s="110"/>
      <c r="E163" s="114"/>
      <c r="F163" s="114"/>
      <c r="G163" s="86"/>
      <c r="H163" s="87"/>
      <c r="I163" s="123"/>
      <c r="J163" s="123"/>
      <c r="K163" s="123"/>
      <c r="L163" s="89"/>
      <c r="M163" s="89"/>
      <c r="N163" s="89"/>
      <c r="O163" s="90"/>
      <c r="P163" s="91"/>
      <c r="Q163" s="123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4" t="str">
        <f aca="false">IF(ISBLANK($C163),"",IF(J163=Constants!$B$2, TRUE(), IF(J163=Constants!$B$3,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Constants!B166) * IF(X163, 1, Constants!B167),"")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IF($AE163=Constants!$B$7,IF(AND(T163,U163,W163),Constants!$B$9*AH163/$AH$6, 0),"")</f>
        <v/>
      </c>
      <c r="AK163" s="94" t="str">
        <f aca="false">IF(AJ163&lt;&gt;"", AJ163*AG163,"")</f>
        <v/>
      </c>
      <c r="AL163" s="94" t="str">
        <f aca="false">IF(AND($AE163=Constants!$B$7, T163, U163) ,IF($Z163="", "", 1-ABS($AA163-$Z163)/$AA163),"")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,IF(AND(T163,U163,W163,ISNUMBER(Z163)),Constants!$B$10*AL163/$AL$6, 0),"")</f>
        <v/>
      </c>
      <c r="AO163" s="94" t="str">
        <f aca="false">IF(AN163&lt;&gt;"", AN163*AG163,"")</f>
        <v/>
      </c>
      <c r="AP163" s="94" t="str">
        <f aca="false">IF($AE163=Constants!$B$7,Constants!$B$8*AB163/$AP$6,"")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IF(ISBLANK(C163),"",IFERROR(_xlfn.SWITCH(BE163, Constants!$B$4, COUNTA($C$8:$C662)+2, Constants!$B$5, COUNTA($C$8:$C662)+1, Constants!$B$6, COUNTA($C$8:$C662)),BE163))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4"/>
      <c r="C164" s="51"/>
      <c r="D164" s="52"/>
      <c r="E164" s="118"/>
      <c r="F164" s="118"/>
      <c r="G164" s="54"/>
      <c r="H164" s="55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IF(ISBLANK($C164),"",IF(J164=Constants!$B$2, TRUE(), IF(J164=Constants!$B$3,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Constants!B167) * IF(X164, 1, Constants!B168),"")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IF($AE164=Constants!$B$7,IF(AND(T164,U164,W164),Constants!$B$9*AH164/$AH$6, 0),"")</f>
        <v/>
      </c>
      <c r="AK164" s="62" t="str">
        <f aca="false">IF(AJ164&lt;&gt;"", AJ164*AG164,"")</f>
        <v/>
      </c>
      <c r="AL164" s="62" t="str">
        <f aca="false">IF(AND($AE164=Constants!$B$7, T164, U164) ,IF($Z164="", "", 1-ABS($AA164-$Z164)/$AA164),"")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IF($AE164=Constants!$B$7,Constants!$B$8*AB164/$AP$6,"")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IF(ISBLANK(C164),"",IFERROR(_xlfn.SWITCH(BE164, Constants!$B$4, COUNTA($C$8:$C663)+2, Constants!$B$5, COUNTA($C$8:$C663)+1, Constants!$B$6, COUNTA($C$8:$C663)),BE164))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4"/>
      <c r="C165" s="51"/>
      <c r="D165" s="52"/>
      <c r="E165" s="118"/>
      <c r="F165" s="118"/>
      <c r="G165" s="54"/>
      <c r="H165" s="55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IF(ISBLANK($C165),"",IF(J165=Constants!$B$2, TRUE(), IF(J165=Constants!$B$3,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Constants!B168) * IF(X165, 1, Constants!B169),"")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IF($AE165=Constants!$B$7,IF(AND(T165,U165,W165),Constants!$B$9*AH165/$AH$6, 0),"")</f>
        <v/>
      </c>
      <c r="AK165" s="62" t="str">
        <f aca="false">IF(AJ165&lt;&gt;"", AJ165*AG165,"")</f>
        <v/>
      </c>
      <c r="AL165" s="62" t="str">
        <f aca="false">IF(AND($AE165=Constants!$B$7, T165, U165) ,IF($Z165="", "", 1-ABS($AA165-$Z165)/$AA165),"")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IF($AE165=Constants!$B$7,Constants!$B$8*AB165/$AP$6,"")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IF(ISBLANK(C165),"",IFERROR(_xlfn.SWITCH(BE165, Constants!$B$4, COUNTA($C$8:$C664)+2, Constants!$B$5, COUNTA($C$8:$C664)+1, Constants!$B$6, COUNTA($C$8:$C664)),BE165))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4"/>
      <c r="C166" s="51"/>
      <c r="D166" s="52"/>
      <c r="E166" s="118"/>
      <c r="F166" s="118"/>
      <c r="G166" s="54"/>
      <c r="H166" s="55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IF(ISBLANK($C166),"",IF(J166=Constants!$B$2, TRUE(), IF(J166=Constants!$B$3,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Constants!B169) * IF(X166, 1, Constants!B170),"")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IF($AE166=Constants!$B$7,IF(AND(T166,U166,W166),Constants!$B$9*AH166/$AH$6, 0),"")</f>
        <v/>
      </c>
      <c r="AK166" s="62" t="str">
        <f aca="false">IF(AJ166&lt;&gt;"", AJ166*AG166,"")</f>
        <v/>
      </c>
      <c r="AL166" s="62" t="str">
        <f aca="false">IF(AND($AE166=Constants!$B$7, T166, U166) ,IF($Z166="", "", 1-ABS($AA166-$Z166)/$AA166),"")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IF($AE166=Constants!$B$7,Constants!$B$8*AB166/$AP$6,"")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IF(ISBLANK(C166),"",IFERROR(_xlfn.SWITCH(BE166, Constants!$B$4, COUNTA($C$8:$C665)+2, Constants!$B$5, COUNTA($C$8:$C665)+1, Constants!$B$6, COUNTA($C$8:$C665)),BE166))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0"/>
      <c r="C167" s="121"/>
      <c r="D167" s="110"/>
      <c r="E167" s="114"/>
      <c r="F167" s="114"/>
      <c r="G167" s="86"/>
      <c r="H167" s="87"/>
      <c r="I167" s="123"/>
      <c r="J167" s="123"/>
      <c r="K167" s="123"/>
      <c r="L167" s="89"/>
      <c r="M167" s="89"/>
      <c r="N167" s="89"/>
      <c r="O167" s="90"/>
      <c r="P167" s="91"/>
      <c r="Q167" s="123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4" t="str">
        <f aca="false">IF(ISBLANK($C167),"",IF(J167=Constants!$B$2, TRUE(), IF(J167=Constants!$B$3,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Constants!B170) * IF(X167, 1, Constants!B171),"")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IF($AE167=Constants!$B$7,IF(AND(T167,U167,W167),Constants!$B$9*AH167/$AH$6, 0),"")</f>
        <v/>
      </c>
      <c r="AK167" s="94" t="str">
        <f aca="false">IF(AJ167&lt;&gt;"", AJ167*AG167,"")</f>
        <v/>
      </c>
      <c r="AL167" s="94" t="str">
        <f aca="false">IF(AND($AE167=Constants!$B$7, T167, U167) ,IF($Z167="", "", 1-ABS($AA167-$Z167)/$AA167),"")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,IF(AND(T167,U167,W167,ISNUMBER(Z167)),Constants!$B$10*AL167/$AL$6, 0),"")</f>
        <v/>
      </c>
      <c r="AO167" s="94" t="str">
        <f aca="false">IF(AN167&lt;&gt;"", AN167*AG167,"")</f>
        <v/>
      </c>
      <c r="AP167" s="94" t="str">
        <f aca="false">IF($AE167=Constants!$B$7,Constants!$B$8*AB167/$AP$6,"")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IF(ISBLANK(C167),"",IFERROR(_xlfn.SWITCH(BE167, Constants!$B$4, COUNTA($C$8:$C666)+2, Constants!$B$5, COUNTA($C$8:$C666)+1, Constants!$B$6, COUNTA($C$8:$C666)),BE167))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0"/>
      <c r="C168" s="121"/>
      <c r="D168" s="110"/>
      <c r="E168" s="114"/>
      <c r="F168" s="114"/>
      <c r="G168" s="86"/>
      <c r="H168" s="87"/>
      <c r="I168" s="123"/>
      <c r="J168" s="123"/>
      <c r="K168" s="123"/>
      <c r="L168" s="89"/>
      <c r="M168" s="89"/>
      <c r="N168" s="89"/>
      <c r="O168" s="90"/>
      <c r="P168" s="91"/>
      <c r="Q168" s="123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4" t="str">
        <f aca="false">IF(ISBLANK($C168),"",IF(J168=Constants!$B$2, TRUE(), IF(J168=Constants!$B$3,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Constants!B171) * IF(X168, 1, Constants!B172),"")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IF($AE168=Constants!$B$7,IF(AND(T168,U168,W168),Constants!$B$9*AH168/$AH$6, 0),"")</f>
        <v/>
      </c>
      <c r="AK168" s="94" t="str">
        <f aca="false">IF(AJ168&lt;&gt;"", AJ168*AG168,"")</f>
        <v/>
      </c>
      <c r="AL168" s="94" t="str">
        <f aca="false">IF(AND($AE168=Constants!$B$7, T168, U168) ,IF($Z168="", "", 1-ABS($AA168-$Z168)/$AA168),"")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,IF(AND(T168,U168,W168,ISNUMBER(Z168)),Constants!$B$10*AL168/$AL$6, 0),"")</f>
        <v/>
      </c>
      <c r="AO168" s="94" t="str">
        <f aca="false">IF(AN168&lt;&gt;"", AN168*AG168,"")</f>
        <v/>
      </c>
      <c r="AP168" s="94" t="str">
        <f aca="false">IF($AE168=Constants!$B$7,Constants!$B$8*AB168/$AP$6,"")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IF(ISBLANK(C168),"",IFERROR(_xlfn.SWITCH(BE168, Constants!$B$4, COUNTA($C$8:$C667)+2, Constants!$B$5, COUNTA($C$8:$C667)+1, Constants!$B$6, COUNTA($C$8:$C667)),BE168))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0"/>
      <c r="C169" s="121"/>
      <c r="D169" s="110"/>
      <c r="E169" s="114"/>
      <c r="F169" s="114"/>
      <c r="G169" s="86"/>
      <c r="H169" s="87"/>
      <c r="I169" s="123"/>
      <c r="J169" s="123"/>
      <c r="K169" s="123"/>
      <c r="L169" s="89"/>
      <c r="M169" s="89"/>
      <c r="N169" s="89"/>
      <c r="O169" s="90"/>
      <c r="P169" s="91"/>
      <c r="Q169" s="123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4" t="str">
        <f aca="false">IF(ISBLANK($C169),"",IF(J169=Constants!$B$2, TRUE(), IF(J169=Constants!$B$3,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Constants!B172) * IF(X169, 1, Constants!B173),"")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IF($AE169=Constants!$B$7,IF(AND(T169,U169,W169),Constants!$B$9*AH169/$AH$6, 0),"")</f>
        <v/>
      </c>
      <c r="AK169" s="94" t="str">
        <f aca="false">IF(AJ169&lt;&gt;"", AJ169*AG169,"")</f>
        <v/>
      </c>
      <c r="AL169" s="94" t="str">
        <f aca="false">IF(AND($AE169=Constants!$B$7, T169, U169) ,IF($Z169="", "", 1-ABS($AA169-$Z169)/$AA169),"")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,IF(AND(T169,U169,W169,ISNUMBER(Z169)),Constants!$B$10*AL169/$AL$6, 0),"")</f>
        <v/>
      </c>
      <c r="AO169" s="94" t="str">
        <f aca="false">IF(AN169&lt;&gt;"", AN169*AG169,"")</f>
        <v/>
      </c>
      <c r="AP169" s="94" t="str">
        <f aca="false">IF($AE169=Constants!$B$7,Constants!$B$8*AB169/$AP$6,"")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IF(ISBLANK(C169),"",IFERROR(_xlfn.SWITCH(BE169, Constants!$B$4, COUNTA($C$8:$C668)+2, Constants!$B$5, COUNTA($C$8:$C668)+1, Constants!$B$6, COUNTA($C$8:$C668)),BE169))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4"/>
      <c r="C170" s="51"/>
      <c r="D170" s="52"/>
      <c r="E170" s="118"/>
      <c r="F170" s="118"/>
      <c r="G170" s="54"/>
      <c r="H170" s="55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IF(ISBLANK($C170),"",IF(J170=Constants!$B$2, TRUE(), IF(J170=Constants!$B$3,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Constants!B173) * IF(X170, 1, Constants!B174),"")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IF($AE170=Constants!$B$7,IF(AND(T170,U170,W170),Constants!$B$9*AH170/$AH$6, 0),"")</f>
        <v/>
      </c>
      <c r="AK170" s="62" t="str">
        <f aca="false">IF(AJ170&lt;&gt;"", AJ170*AG170,"")</f>
        <v/>
      </c>
      <c r="AL170" s="62" t="str">
        <f aca="false">IF(AND($AE170=Constants!$B$7, T170, U170) ,IF($Z170="", "", 1-ABS($AA170-$Z170)/$AA170),"")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IF($AE170=Constants!$B$7,Constants!$B$8*AB170/$AP$6,"")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IF(ISBLANK(C170),"",IFERROR(_xlfn.SWITCH(BE170, Constants!$B$4, COUNTA($C$8:$C669)+2, Constants!$B$5, COUNTA($C$8:$C669)+1, Constants!$B$6, COUNTA($C$8:$C669)),BE170))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4"/>
      <c r="C171" s="51"/>
      <c r="D171" s="52"/>
      <c r="E171" s="118"/>
      <c r="F171" s="118"/>
      <c r="G171" s="54"/>
      <c r="H171" s="55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IF(ISBLANK($C171),"",IF(J171=Constants!$B$2, TRUE(), IF(J171=Constants!$B$3,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Constants!B174) * IF(X171, 1, Constants!B175),"")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IF($AE171=Constants!$B$7,IF(AND(T171,U171,W171),Constants!$B$9*AH171/$AH$6, 0),"")</f>
        <v/>
      </c>
      <c r="AK171" s="62" t="str">
        <f aca="false">IF(AJ171&lt;&gt;"", AJ171*AG171,"")</f>
        <v/>
      </c>
      <c r="AL171" s="62" t="str">
        <f aca="false">IF(AND($AE171=Constants!$B$7, T171, U171) ,IF($Z171="", "", 1-ABS($AA171-$Z171)/$AA171),"")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IF($AE171=Constants!$B$7,Constants!$B$8*AB171/$AP$6,"")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IF(ISBLANK(C171),"",IFERROR(_xlfn.SWITCH(BE171, Constants!$B$4, COUNTA($C$8:$C670)+2, Constants!$B$5, COUNTA($C$8:$C670)+1, Constants!$B$6, COUNTA($C$8:$C670)),BE171))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4"/>
      <c r="C172" s="51"/>
      <c r="D172" s="52"/>
      <c r="E172" s="118"/>
      <c r="F172" s="118"/>
      <c r="G172" s="54"/>
      <c r="H172" s="55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IF(ISBLANK($C172),"",IF(J172=Constants!$B$2, TRUE(), IF(J172=Constants!$B$3,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Constants!B175) * IF(X172, 1, Constants!B176),"")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IF($AE172=Constants!$B$7,IF(AND(T172,U172,W172),Constants!$B$9*AH172/$AH$6, 0),"")</f>
        <v/>
      </c>
      <c r="AK172" s="62" t="str">
        <f aca="false">IF(AJ172&lt;&gt;"", AJ172*AG172,"")</f>
        <v/>
      </c>
      <c r="AL172" s="62" t="str">
        <f aca="false">IF(AND($AE172=Constants!$B$7, T172, U172) ,IF($Z172="", "", 1-ABS($AA172-$Z172)/$AA172),"")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IF($AE172=Constants!$B$7,Constants!$B$8*AB172/$AP$6,"")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IF(ISBLANK(C172),"",IFERROR(_xlfn.SWITCH(BE172, Constants!$B$4, COUNTA($C$8:$C671)+2, Constants!$B$5, COUNTA($C$8:$C671)+1, Constants!$B$6, COUNTA($C$8:$C671)),BE172))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0"/>
      <c r="C173" s="121"/>
      <c r="D173" s="110"/>
      <c r="E173" s="114"/>
      <c r="F173" s="114"/>
      <c r="G173" s="86"/>
      <c r="H173" s="87"/>
      <c r="I173" s="123"/>
      <c r="J173" s="123"/>
      <c r="K173" s="123"/>
      <c r="L173" s="89"/>
      <c r="M173" s="89"/>
      <c r="N173" s="89"/>
      <c r="O173" s="90"/>
      <c r="P173" s="91"/>
      <c r="Q173" s="123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4" t="str">
        <f aca="false">IF(ISBLANK($C173),"",IF(J173=Constants!$B$2, TRUE(), IF(J173=Constants!$B$3,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Constants!B176) * IF(X173, 1, Constants!B177),"")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IF($AE173=Constants!$B$7,IF(AND(T173,U173,W173),Constants!$B$9*AH173/$AH$6, 0),"")</f>
        <v/>
      </c>
      <c r="AK173" s="94" t="str">
        <f aca="false">IF(AJ173&lt;&gt;"", AJ173*AG173,"")</f>
        <v/>
      </c>
      <c r="AL173" s="94" t="str">
        <f aca="false">IF(AND($AE173=Constants!$B$7, T173, U173) ,IF($Z173="", "", 1-ABS($AA173-$Z173)/$AA173),"")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,IF(AND(T173,U173,W173,ISNUMBER(Z173)),Constants!$B$10*AL173/$AL$6, 0),"")</f>
        <v/>
      </c>
      <c r="AO173" s="94" t="str">
        <f aca="false">IF(AN173&lt;&gt;"", AN173*AG173,"")</f>
        <v/>
      </c>
      <c r="AP173" s="94" t="str">
        <f aca="false">IF($AE173=Constants!$B$7,Constants!$B$8*AB173/$AP$6,"")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IF(ISBLANK(C173),"",IFERROR(_xlfn.SWITCH(BE173, Constants!$B$4, COUNTA($C$8:$C672)+2, Constants!$B$5, COUNTA($C$8:$C672)+1, Constants!$B$6, COUNTA($C$8:$C672)),BE173))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0"/>
      <c r="C174" s="121"/>
      <c r="D174" s="110"/>
      <c r="E174" s="114"/>
      <c r="F174" s="114"/>
      <c r="G174" s="86"/>
      <c r="H174" s="87"/>
      <c r="I174" s="123"/>
      <c r="J174" s="123"/>
      <c r="K174" s="123"/>
      <c r="L174" s="89"/>
      <c r="M174" s="89"/>
      <c r="N174" s="89"/>
      <c r="O174" s="90"/>
      <c r="P174" s="91"/>
      <c r="Q174" s="123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4" t="str">
        <f aca="false">IF(ISBLANK($C174),"",IF(J174=Constants!$B$2, TRUE(), IF(J174=Constants!$B$3,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Constants!B177) * IF(X174, 1, Constants!B178),"")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IF($AE174=Constants!$B$7,IF(AND(T174,U174,W174),Constants!$B$9*AH174/$AH$6, 0),"")</f>
        <v/>
      </c>
      <c r="AK174" s="94" t="str">
        <f aca="false">IF(AJ174&lt;&gt;"", AJ174*AG174,"")</f>
        <v/>
      </c>
      <c r="AL174" s="94" t="str">
        <f aca="false">IF(AND($AE174=Constants!$B$7, T174, U174) ,IF($Z174="", "", 1-ABS($AA174-$Z174)/$AA174),"")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,IF(AND(T174,U174,W174,ISNUMBER(Z174)),Constants!$B$10*AL174/$AL$6, 0),"")</f>
        <v/>
      </c>
      <c r="AO174" s="94" t="str">
        <f aca="false">IF(AN174&lt;&gt;"", AN174*AG174,"")</f>
        <v/>
      </c>
      <c r="AP174" s="94" t="str">
        <f aca="false">IF($AE174=Constants!$B$7,Constants!$B$8*AB174/$AP$6,"")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IF(ISBLANK(C174),"",IFERROR(_xlfn.SWITCH(BE174, Constants!$B$4, COUNTA($C$8:$C673)+2, Constants!$B$5, COUNTA($C$8:$C673)+1, Constants!$B$6, COUNTA($C$8:$C673)),BE174))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0"/>
      <c r="C175" s="121"/>
      <c r="D175" s="110"/>
      <c r="E175" s="114"/>
      <c r="F175" s="114"/>
      <c r="G175" s="86"/>
      <c r="H175" s="87"/>
      <c r="I175" s="123"/>
      <c r="J175" s="123"/>
      <c r="K175" s="123"/>
      <c r="L175" s="89"/>
      <c r="M175" s="89"/>
      <c r="N175" s="89"/>
      <c r="O175" s="90"/>
      <c r="P175" s="91"/>
      <c r="Q175" s="123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4" t="str">
        <f aca="false">IF(ISBLANK($C175),"",IF(J175=Constants!$B$2, TRUE(), IF(J175=Constants!$B$3,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Constants!B178) * IF(X175, 1, Constants!B179),"")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IF($AE175=Constants!$B$7,IF(AND(T175,U175,W175),Constants!$B$9*AH175/$AH$6, 0),"")</f>
        <v/>
      </c>
      <c r="AK175" s="94" t="str">
        <f aca="false">IF(AJ175&lt;&gt;"", AJ175*AG175,"")</f>
        <v/>
      </c>
      <c r="AL175" s="94" t="str">
        <f aca="false">IF(AND($AE175=Constants!$B$7, T175, U175) ,IF($Z175="", "", 1-ABS($AA175-$Z175)/$AA175),"")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,IF(AND(T175,U175,W175,ISNUMBER(Z175)),Constants!$B$10*AL175/$AL$6, 0),"")</f>
        <v/>
      </c>
      <c r="AO175" s="94" t="str">
        <f aca="false">IF(AN175&lt;&gt;"", AN175*AG175,"")</f>
        <v/>
      </c>
      <c r="AP175" s="94" t="str">
        <f aca="false">IF($AE175=Constants!$B$7,Constants!$B$8*AB175/$AP$6,"")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IF(ISBLANK(C175),"",IFERROR(_xlfn.SWITCH(BE175, Constants!$B$4, COUNTA($C$8:$C674)+2, Constants!$B$5, COUNTA($C$8:$C674)+1, Constants!$B$6, COUNTA($C$8:$C674)),BE175))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4"/>
      <c r="C176" s="51"/>
      <c r="D176" s="52"/>
      <c r="E176" s="118"/>
      <c r="F176" s="118"/>
      <c r="G176" s="54"/>
      <c r="H176" s="55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IF(ISBLANK($C176),"",IF(J176=Constants!$B$2, TRUE(), IF(J176=Constants!$B$3,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Constants!B179) * IF(X176, 1, Constants!B180),"")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IF($AE176=Constants!$B$7,IF(AND(T176,U176,W176),Constants!$B$9*AH176/$AH$6, 0),"")</f>
        <v/>
      </c>
      <c r="AK176" s="62" t="str">
        <f aca="false">IF(AJ176&lt;&gt;"", AJ176*AG176,"")</f>
        <v/>
      </c>
      <c r="AL176" s="62" t="str">
        <f aca="false">IF(AND($AE176=Constants!$B$7, T176, U176) ,IF($Z176="", "", 1-ABS($AA176-$Z176)/$AA176),"")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IF($AE176=Constants!$B$7,Constants!$B$8*AB176/$AP$6,"")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IF(ISBLANK(C176),"",IFERROR(_xlfn.SWITCH(BE176, Constants!$B$4, COUNTA($C$8:$C675)+2, Constants!$B$5, COUNTA($C$8:$C675)+1, Constants!$B$6, COUNTA($C$8:$C675)),BE176))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4"/>
      <c r="C177" s="51"/>
      <c r="D177" s="52"/>
      <c r="E177" s="118"/>
      <c r="F177" s="118"/>
      <c r="G177" s="54"/>
      <c r="H177" s="55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IF(ISBLANK($C177),"",IF(J177=Constants!$B$2, TRUE(), IF(J177=Constants!$B$3,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Constants!B180) * IF(X177, 1, Constants!B181),"")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IF($AE177=Constants!$B$7,IF(AND(T177,U177,W177),Constants!$B$9*AH177/$AH$6, 0),"")</f>
        <v/>
      </c>
      <c r="AK177" s="62" t="str">
        <f aca="false">IF(AJ177&lt;&gt;"", AJ177*AG177,"")</f>
        <v/>
      </c>
      <c r="AL177" s="62" t="str">
        <f aca="false">IF(AND($AE177=Constants!$B$7, T177, U177) ,IF($Z177="", "", 1-ABS($AA177-$Z177)/$AA177),"")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IF($AE177=Constants!$B$7,Constants!$B$8*AB177/$AP$6,"")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IF(ISBLANK(C177),"",IFERROR(_xlfn.SWITCH(BE177, Constants!$B$4, COUNTA($C$8:$C676)+2, Constants!$B$5, COUNTA($C$8:$C676)+1, Constants!$B$6, COUNTA($C$8:$C676)),BE177))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4"/>
      <c r="C178" s="51"/>
      <c r="D178" s="52"/>
      <c r="E178" s="118"/>
      <c r="F178" s="118"/>
      <c r="G178" s="54"/>
      <c r="H178" s="55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IF(ISBLANK($C178),"",IF(J178=Constants!$B$2, TRUE(), IF(J178=Constants!$B$3,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Constants!B181) * IF(X178, 1, Constants!B182),"")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IF($AE178=Constants!$B$7,IF(AND(T178,U178,W178),Constants!$B$9*AH178/$AH$6, 0),"")</f>
        <v/>
      </c>
      <c r="AK178" s="62" t="str">
        <f aca="false">IF(AJ178&lt;&gt;"", AJ178*AG178,"")</f>
        <v/>
      </c>
      <c r="AL178" s="62" t="str">
        <f aca="false">IF(AND($AE178=Constants!$B$7, T178, U178) ,IF($Z178="", "", 1-ABS($AA178-$Z178)/$AA178),"")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IF($AE178=Constants!$B$7,Constants!$B$8*AB178/$AP$6,"")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IF(ISBLANK(C178),"",IFERROR(_xlfn.SWITCH(BE178, Constants!$B$4, COUNTA($C$8:$C677)+2, Constants!$B$5, COUNTA($C$8:$C677)+1, Constants!$B$6, COUNTA($C$8:$C677)),BE178))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0"/>
      <c r="C179" s="121"/>
      <c r="D179" s="110"/>
      <c r="E179" s="114"/>
      <c r="F179" s="114"/>
      <c r="G179" s="86"/>
      <c r="H179" s="87"/>
      <c r="I179" s="123"/>
      <c r="J179" s="123"/>
      <c r="K179" s="123"/>
      <c r="L179" s="89"/>
      <c r="M179" s="89"/>
      <c r="N179" s="89"/>
      <c r="O179" s="90"/>
      <c r="P179" s="91"/>
      <c r="Q179" s="123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4" t="str">
        <f aca="false">IF(ISBLANK($C179),"",IF(J179=Constants!$B$2, TRUE(), IF(J179=Constants!$B$3,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Constants!B182) * IF(X179, 1, Constants!B183),"")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IF($AE179=Constants!$B$7,IF(AND(T179,U179,W179),Constants!$B$9*AH179/$AH$6, 0),"")</f>
        <v/>
      </c>
      <c r="AK179" s="94" t="str">
        <f aca="false">IF(AJ179&lt;&gt;"", AJ179*AG179,"")</f>
        <v/>
      </c>
      <c r="AL179" s="94" t="str">
        <f aca="false">IF(AND($AE179=Constants!$B$7, T179, U179) ,IF($Z179="", "", 1-ABS($AA179-$Z179)/$AA179),"")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,IF(AND(T179,U179,W179,ISNUMBER(Z179)),Constants!$B$10*AL179/$AL$6, 0),"")</f>
        <v/>
      </c>
      <c r="AO179" s="94" t="str">
        <f aca="false">IF(AN179&lt;&gt;"", AN179*AG179,"")</f>
        <v/>
      </c>
      <c r="AP179" s="94" t="str">
        <f aca="false">IF($AE179=Constants!$B$7,Constants!$B$8*AB179/$AP$6,"")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IF(ISBLANK(C179),"",IFERROR(_xlfn.SWITCH(BE179, Constants!$B$4, COUNTA($C$8:$C678)+2, Constants!$B$5, COUNTA($C$8:$C678)+1, Constants!$B$6, COUNTA($C$8:$C678)),BE179))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0"/>
      <c r="C180" s="121"/>
      <c r="D180" s="110"/>
      <c r="E180" s="114"/>
      <c r="F180" s="114"/>
      <c r="G180" s="86"/>
      <c r="H180" s="87"/>
      <c r="I180" s="123"/>
      <c r="J180" s="123"/>
      <c r="K180" s="123"/>
      <c r="L180" s="89"/>
      <c r="M180" s="89"/>
      <c r="N180" s="89"/>
      <c r="O180" s="90"/>
      <c r="P180" s="91"/>
      <c r="Q180" s="123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4" t="str">
        <f aca="false">IF(ISBLANK($C180),"",IF(J180=Constants!$B$2, TRUE(), IF(J180=Constants!$B$3,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Constants!B183) * IF(X180, 1, Constants!B184),"")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IF($AE180=Constants!$B$7,IF(AND(T180,U180,W180),Constants!$B$9*AH180/$AH$6, 0),"")</f>
        <v/>
      </c>
      <c r="AK180" s="94" t="str">
        <f aca="false">IF(AJ180&lt;&gt;"", AJ180*AG180,"")</f>
        <v/>
      </c>
      <c r="AL180" s="94" t="str">
        <f aca="false">IF(AND($AE180=Constants!$B$7, T180, U180) ,IF($Z180="", "", 1-ABS($AA180-$Z180)/$AA180),"")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,IF(AND(T180,U180,W180,ISNUMBER(Z180)),Constants!$B$10*AL180/$AL$6, 0),"")</f>
        <v/>
      </c>
      <c r="AO180" s="94" t="str">
        <f aca="false">IF(AN180&lt;&gt;"", AN180*AG180,"")</f>
        <v/>
      </c>
      <c r="AP180" s="94" t="str">
        <f aca="false">IF($AE180=Constants!$B$7,Constants!$B$8*AB180/$AP$6,"")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IF(ISBLANK(C180),"",IFERROR(_xlfn.SWITCH(BE180, Constants!$B$4, COUNTA($C$8:$C679)+2, Constants!$B$5, COUNTA($C$8:$C679)+1, Constants!$B$6, COUNTA($C$8:$C679)),BE180))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0"/>
      <c r="C181" s="121"/>
      <c r="D181" s="110"/>
      <c r="E181" s="114"/>
      <c r="F181" s="114"/>
      <c r="G181" s="86"/>
      <c r="H181" s="87"/>
      <c r="I181" s="123"/>
      <c r="J181" s="123"/>
      <c r="K181" s="123"/>
      <c r="L181" s="89"/>
      <c r="M181" s="89"/>
      <c r="N181" s="89"/>
      <c r="O181" s="90"/>
      <c r="P181" s="91"/>
      <c r="Q181" s="123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4" t="str">
        <f aca="false">IF(ISBLANK($C181),"",IF(J181=Constants!$B$2, TRUE(), IF(J181=Constants!$B$3,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Constants!B184) * IF(X181, 1, Constants!B185),"")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IF($AE181=Constants!$B$7,IF(AND(T181,U181,W181),Constants!$B$9*AH181/$AH$6, 0),"")</f>
        <v/>
      </c>
      <c r="AK181" s="94" t="str">
        <f aca="false">IF(AJ181&lt;&gt;"", AJ181*AG181,"")</f>
        <v/>
      </c>
      <c r="AL181" s="94" t="str">
        <f aca="false">IF(AND($AE181=Constants!$B$7, T181, U181) ,IF($Z181="", "", 1-ABS($AA181-$Z181)/$AA181),"")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,IF(AND(T181,U181,W181,ISNUMBER(Z181)),Constants!$B$10*AL181/$AL$6, 0),"")</f>
        <v/>
      </c>
      <c r="AO181" s="94" t="str">
        <f aca="false">IF(AN181&lt;&gt;"", AN181*AG181,"")</f>
        <v/>
      </c>
      <c r="AP181" s="94" t="str">
        <f aca="false">IF($AE181=Constants!$B$7,Constants!$B$8*AB181/$AP$6,"")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IF(ISBLANK(C181),"",IFERROR(_xlfn.SWITCH(BE181, Constants!$B$4, COUNTA($C$8:$C680)+2, Constants!$B$5, COUNTA($C$8:$C680)+1, Constants!$B$6, COUNTA($C$8:$C680)),BE181))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4"/>
      <c r="C182" s="51"/>
      <c r="D182" s="52"/>
      <c r="E182" s="118"/>
      <c r="F182" s="118"/>
      <c r="G182" s="54"/>
      <c r="H182" s="55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IF(ISBLANK($C182),"",IF(J182=Constants!$B$2, TRUE(), IF(J182=Constants!$B$3,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Constants!B185) * IF(X182, 1, Constants!B186),"")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IF($AE182=Constants!$B$7,IF(AND(T182,U182,W182),Constants!$B$9*AH182/$AH$6, 0),"")</f>
        <v/>
      </c>
      <c r="AK182" s="62" t="str">
        <f aca="false">IF(AJ182&lt;&gt;"", AJ182*AG182,"")</f>
        <v/>
      </c>
      <c r="AL182" s="62" t="str">
        <f aca="false">IF(AND($AE182=Constants!$B$7, T182, U182) ,IF($Z182="", "", 1-ABS($AA182-$Z182)/$AA182),"")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IF($AE182=Constants!$B$7,Constants!$B$8*AB182/$AP$6,"")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IF(ISBLANK(C182),"",IFERROR(_xlfn.SWITCH(BE182, Constants!$B$4, COUNTA($C$8:$C681)+2, Constants!$B$5, COUNTA($C$8:$C681)+1, Constants!$B$6, COUNTA($C$8:$C681)),BE182))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4"/>
      <c r="C183" s="51"/>
      <c r="D183" s="52"/>
      <c r="E183" s="118"/>
      <c r="F183" s="118"/>
      <c r="G183" s="54"/>
      <c r="H183" s="55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IF(ISBLANK($C183),"",IF(J183=Constants!$B$2, TRUE(), IF(J183=Constants!$B$3,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Constants!B186) * IF(X183, 1, Constants!B187),"")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IF($AE183=Constants!$B$7,IF(AND(T183,U183,W183),Constants!$B$9*AH183/$AH$6, 0),"")</f>
        <v/>
      </c>
      <c r="AK183" s="62" t="str">
        <f aca="false">IF(AJ183&lt;&gt;"", AJ183*AG183,"")</f>
        <v/>
      </c>
      <c r="AL183" s="62" t="str">
        <f aca="false">IF(AND($AE183=Constants!$B$7, T183, U183) ,IF($Z183="", "", 1-ABS($AA183-$Z183)/$AA183),"")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IF($AE183=Constants!$B$7,Constants!$B$8*AB183/$AP$6,"")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IF(ISBLANK(C183),"",IFERROR(_xlfn.SWITCH(BE183, Constants!$B$4, COUNTA($C$8:$C682)+2, Constants!$B$5, COUNTA($C$8:$C682)+1, Constants!$B$6, COUNTA($C$8:$C682)),BE183))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4"/>
      <c r="C184" s="51"/>
      <c r="D184" s="52"/>
      <c r="E184" s="118"/>
      <c r="F184" s="118"/>
      <c r="G184" s="54"/>
      <c r="H184" s="55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IF(ISBLANK($C184),"",IF(J184=Constants!$B$2, TRUE(), IF(J184=Constants!$B$3,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Constants!B187) * IF(X184, 1, Constants!B188),"")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IF($AE184=Constants!$B$7,IF(AND(T184,U184,W184),Constants!$B$9*AH184/$AH$6, 0),"")</f>
        <v/>
      </c>
      <c r="AK184" s="62" t="str">
        <f aca="false">IF(AJ184&lt;&gt;"", AJ184*AG184,"")</f>
        <v/>
      </c>
      <c r="AL184" s="62" t="str">
        <f aca="false">IF(AND($AE184=Constants!$B$7, T184, U184) ,IF($Z184="", "", 1-ABS($AA184-$Z184)/$AA184),"")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IF($AE184=Constants!$B$7,Constants!$B$8*AB184/$AP$6,"")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IF(ISBLANK(C184),"",IFERROR(_xlfn.SWITCH(BE184, Constants!$B$4, COUNTA($C$8:$C683)+2, Constants!$B$5, COUNTA($C$8:$C683)+1, Constants!$B$6, COUNTA($C$8:$C683)),BE184))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0"/>
      <c r="C185" s="121"/>
      <c r="D185" s="110"/>
      <c r="E185" s="114"/>
      <c r="F185" s="114"/>
      <c r="G185" s="86"/>
      <c r="H185" s="87"/>
      <c r="I185" s="123"/>
      <c r="J185" s="123"/>
      <c r="K185" s="123"/>
      <c r="L185" s="89"/>
      <c r="M185" s="89"/>
      <c r="N185" s="89"/>
      <c r="O185" s="90"/>
      <c r="P185" s="91"/>
      <c r="Q185" s="123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4" t="str">
        <f aca="false">IF(ISBLANK($C185),"",IF(J185=Constants!$B$2, TRUE(), IF(J185=Constants!$B$3,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Constants!B188) * IF(X185, 1, Constants!B189),"")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IF($AE185=Constants!$B$7,IF(AND(T185,U185,W185),Constants!$B$9*AH185/$AH$6, 0),"")</f>
        <v/>
      </c>
      <c r="AK185" s="94" t="str">
        <f aca="false">IF(AJ185&lt;&gt;"", AJ185*AG185,"")</f>
        <v/>
      </c>
      <c r="AL185" s="94" t="str">
        <f aca="false">IF(AND($AE185=Constants!$B$7, T185, U185) ,IF($Z185="", "", 1-ABS($AA185-$Z185)/$AA185),"")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,IF(AND(T185,U185,W185,ISNUMBER(Z185)),Constants!$B$10*AL185/$AL$6, 0),"")</f>
        <v/>
      </c>
      <c r="AO185" s="94" t="str">
        <f aca="false">IF(AN185&lt;&gt;"", AN185*AG185,"")</f>
        <v/>
      </c>
      <c r="AP185" s="94" t="str">
        <f aca="false">IF($AE185=Constants!$B$7,Constants!$B$8*AB185/$AP$6,"")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IF(ISBLANK(C185),"",IFERROR(_xlfn.SWITCH(BE185, Constants!$B$4, COUNTA($C$8:$C684)+2, Constants!$B$5, COUNTA($C$8:$C684)+1, Constants!$B$6, COUNTA($C$8:$C684)),BE185))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0"/>
      <c r="C186" s="121"/>
      <c r="D186" s="110"/>
      <c r="E186" s="114"/>
      <c r="F186" s="114"/>
      <c r="G186" s="86"/>
      <c r="H186" s="87"/>
      <c r="I186" s="123"/>
      <c r="J186" s="123"/>
      <c r="K186" s="123"/>
      <c r="L186" s="89"/>
      <c r="M186" s="89"/>
      <c r="N186" s="89"/>
      <c r="O186" s="90"/>
      <c r="P186" s="91"/>
      <c r="Q186" s="123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4" t="str">
        <f aca="false">IF(ISBLANK($C186),"",IF(J186=Constants!$B$2, TRUE(), IF(J186=Constants!$B$3,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Constants!B189) * IF(X186, 1, Constants!B190),"")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IF($AE186=Constants!$B$7,IF(AND(T186,U186,W186),Constants!$B$9*AH186/$AH$6, 0),"")</f>
        <v/>
      </c>
      <c r="AK186" s="94" t="str">
        <f aca="false">IF(AJ186&lt;&gt;"", AJ186*AG186,"")</f>
        <v/>
      </c>
      <c r="AL186" s="94" t="str">
        <f aca="false">IF(AND($AE186=Constants!$B$7, T186, U186) ,IF($Z186="", "", 1-ABS($AA186-$Z186)/$AA186),"")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,IF(AND(T186,U186,W186,ISNUMBER(Z186)),Constants!$B$10*AL186/$AL$6, 0),"")</f>
        <v/>
      </c>
      <c r="AO186" s="94" t="str">
        <f aca="false">IF(AN186&lt;&gt;"", AN186*AG186,"")</f>
        <v/>
      </c>
      <c r="AP186" s="94" t="str">
        <f aca="false">IF($AE186=Constants!$B$7,Constants!$B$8*AB186/$AP$6,"")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IF(ISBLANK(C186),"",IFERROR(_xlfn.SWITCH(BE186, Constants!$B$4, COUNTA($C$8:$C685)+2, Constants!$B$5, COUNTA($C$8:$C685)+1, Constants!$B$6, COUNTA($C$8:$C685)),BE186))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0"/>
      <c r="C187" s="121"/>
      <c r="D187" s="110"/>
      <c r="E187" s="114"/>
      <c r="F187" s="114"/>
      <c r="G187" s="86"/>
      <c r="H187" s="87"/>
      <c r="I187" s="123"/>
      <c r="J187" s="123"/>
      <c r="K187" s="123"/>
      <c r="L187" s="89"/>
      <c r="M187" s="89"/>
      <c r="N187" s="89"/>
      <c r="O187" s="90"/>
      <c r="P187" s="91"/>
      <c r="Q187" s="123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4" t="str">
        <f aca="false">IF(ISBLANK($C187),"",IF(J187=Constants!$B$2, TRUE(), IF(J187=Constants!$B$3,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Constants!B190) * IF(X187, 1, Constants!B191),"")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IF($AE187=Constants!$B$7,IF(AND(T187,U187,W187),Constants!$B$9*AH187/$AH$6, 0),"")</f>
        <v/>
      </c>
      <c r="AK187" s="94" t="str">
        <f aca="false">IF(AJ187&lt;&gt;"", AJ187*AG187,"")</f>
        <v/>
      </c>
      <c r="AL187" s="94" t="str">
        <f aca="false">IF(AND($AE187=Constants!$B$7, T187, U187) ,IF($Z187="", "", 1-ABS($AA187-$Z187)/$AA187),"")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,IF(AND(T187,U187,W187,ISNUMBER(Z187)),Constants!$B$10*AL187/$AL$6, 0),"")</f>
        <v/>
      </c>
      <c r="AO187" s="94" t="str">
        <f aca="false">IF(AN187&lt;&gt;"", AN187*AG187,"")</f>
        <v/>
      </c>
      <c r="AP187" s="94" t="str">
        <f aca="false">IF($AE187=Constants!$B$7,Constants!$B$8*AB187/$AP$6,"")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IF(ISBLANK(C187),"",IFERROR(_xlfn.SWITCH(BE187, Constants!$B$4, COUNTA($C$8:$C686)+2, Constants!$B$5, COUNTA($C$8:$C686)+1, Constants!$B$6, COUNTA($C$8:$C686)),BE187))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4"/>
      <c r="C188" s="51"/>
      <c r="D188" s="52"/>
      <c r="E188" s="118"/>
      <c r="F188" s="118"/>
      <c r="G188" s="54"/>
      <c r="H188" s="55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IF(ISBLANK($C188),"",IF(J188=Constants!$B$2, TRUE(), IF(J188=Constants!$B$3,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Constants!B191) * IF(X188, 1, Constants!B192),"")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IF($AE188=Constants!$B$7,IF(AND(T188,U188,W188),Constants!$B$9*AH188/$AH$6, 0),"")</f>
        <v/>
      </c>
      <c r="AK188" s="62" t="str">
        <f aca="false">IF(AJ188&lt;&gt;"", AJ188*AG188,"")</f>
        <v/>
      </c>
      <c r="AL188" s="62" t="str">
        <f aca="false">IF(AND($AE188=Constants!$B$7, T188, U188) ,IF($Z188="", "", 1-ABS($AA188-$Z188)/$AA188),"")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IF($AE188=Constants!$B$7,Constants!$B$8*AB188/$AP$6,"")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IF(ISBLANK(C188),"",IFERROR(_xlfn.SWITCH(BE188, Constants!$B$4, COUNTA($C$8:$C687)+2, Constants!$B$5, COUNTA($C$8:$C687)+1, Constants!$B$6, COUNTA($C$8:$C687)),BE188))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4"/>
      <c r="C189" s="51"/>
      <c r="D189" s="52"/>
      <c r="E189" s="118"/>
      <c r="F189" s="118"/>
      <c r="G189" s="54"/>
      <c r="H189" s="55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IF(ISBLANK($C189),"",IF(J189=Constants!$B$2, TRUE(), IF(J189=Constants!$B$3,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Constants!B192) * IF(X189, 1, Constants!B193),"")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IF($AE189=Constants!$B$7,IF(AND(T189,U189,W189),Constants!$B$9*AH189/$AH$6, 0),"")</f>
        <v/>
      </c>
      <c r="AK189" s="62" t="str">
        <f aca="false">IF(AJ189&lt;&gt;"", AJ189*AG189,"")</f>
        <v/>
      </c>
      <c r="AL189" s="62" t="str">
        <f aca="false">IF(AND($AE189=Constants!$B$7, T189, U189) ,IF($Z189="", "", 1-ABS($AA189-$Z189)/$AA189),"")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IF($AE189=Constants!$B$7,Constants!$B$8*AB189/$AP$6,"")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IF(ISBLANK(C189),"",IFERROR(_xlfn.SWITCH(BE189, Constants!$B$4, COUNTA($C$8:$C688)+2, Constants!$B$5, COUNTA($C$8:$C688)+1, Constants!$B$6, COUNTA($C$8:$C688)),BE189))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4"/>
      <c r="C190" s="51"/>
      <c r="D190" s="52"/>
      <c r="E190" s="118"/>
      <c r="F190" s="118"/>
      <c r="G190" s="54"/>
      <c r="H190" s="55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IF(ISBLANK($C190),"",IF(J190=Constants!$B$2, TRUE(), IF(J190=Constants!$B$3,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Constants!B193) * IF(X190, 1, Constants!B194),"")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IF($AE190=Constants!$B$7,IF(AND(T190,U190,W190),Constants!$B$9*AH190/$AH$6, 0),"")</f>
        <v/>
      </c>
      <c r="AK190" s="62" t="str">
        <f aca="false">IF(AJ190&lt;&gt;"", AJ190*AG190,"")</f>
        <v/>
      </c>
      <c r="AL190" s="62" t="str">
        <f aca="false">IF(AND($AE190=Constants!$B$7, T190, U190) ,IF($Z190="", "", 1-ABS($AA190-$Z190)/$AA190),"")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IF($AE190=Constants!$B$7,Constants!$B$8*AB190/$AP$6,"")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IF(ISBLANK(C190),"",IFERROR(_xlfn.SWITCH(BE190, Constants!$B$4, COUNTA($C$8:$C689)+2, Constants!$B$5, COUNTA($C$8:$C689)+1, Constants!$B$6, COUNTA($C$8:$C689)),BE190))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0"/>
      <c r="C191" s="121"/>
      <c r="D191" s="110"/>
      <c r="E191" s="114"/>
      <c r="F191" s="114"/>
      <c r="G191" s="86"/>
      <c r="H191" s="87"/>
      <c r="I191" s="123"/>
      <c r="J191" s="123"/>
      <c r="K191" s="123"/>
      <c r="L191" s="89"/>
      <c r="M191" s="89"/>
      <c r="N191" s="89"/>
      <c r="O191" s="90"/>
      <c r="P191" s="91"/>
      <c r="Q191" s="123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4" t="str">
        <f aca="false">IF(ISBLANK($C191),"",IF(J191=Constants!$B$2, TRUE(), IF(J191=Constants!$B$3,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Constants!B194) * IF(X191, 1, Constants!B195),"")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IF($AE191=Constants!$B$7,IF(AND(T191,U191,W191),Constants!$B$9*AH191/$AH$6, 0),"")</f>
        <v/>
      </c>
      <c r="AK191" s="94" t="str">
        <f aca="false">IF(AJ191&lt;&gt;"", AJ191*AG191,"")</f>
        <v/>
      </c>
      <c r="AL191" s="94" t="str">
        <f aca="false">IF(AND($AE191=Constants!$B$7, T191, U191) ,IF($Z191="", "", 1-ABS($AA191-$Z191)/$AA191),"")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,IF(AND(T191,U191,W191,ISNUMBER(Z191)),Constants!$B$10*AL191/$AL$6, 0),"")</f>
        <v/>
      </c>
      <c r="AO191" s="94" t="str">
        <f aca="false">IF(AN191&lt;&gt;"", AN191*AG191,"")</f>
        <v/>
      </c>
      <c r="AP191" s="94" t="str">
        <f aca="false">IF($AE191=Constants!$B$7,Constants!$B$8*AB191/$AP$6,"")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IF(ISBLANK(C191),"",IFERROR(_xlfn.SWITCH(BE191, Constants!$B$4, COUNTA($C$8:$C690)+2, Constants!$B$5, COUNTA($C$8:$C690)+1, Constants!$B$6, COUNTA($C$8:$C690)),BE191))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0"/>
      <c r="C192" s="121"/>
      <c r="D192" s="110"/>
      <c r="E192" s="114"/>
      <c r="F192" s="114"/>
      <c r="G192" s="86"/>
      <c r="H192" s="87"/>
      <c r="I192" s="123"/>
      <c r="J192" s="123"/>
      <c r="K192" s="123"/>
      <c r="L192" s="89"/>
      <c r="M192" s="89"/>
      <c r="N192" s="89"/>
      <c r="O192" s="90"/>
      <c r="P192" s="91"/>
      <c r="Q192" s="123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4" t="str">
        <f aca="false">IF(ISBLANK($C192),"",IF(J192=Constants!$B$2, TRUE(), IF(J192=Constants!$B$3,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Constants!B195) * IF(X192, 1, Constants!B196),"")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IF($AE192=Constants!$B$7,IF(AND(T192,U192,W192),Constants!$B$9*AH192/$AH$6, 0),"")</f>
        <v/>
      </c>
      <c r="AK192" s="94" t="str">
        <f aca="false">IF(AJ192&lt;&gt;"", AJ192*AG192,"")</f>
        <v/>
      </c>
      <c r="AL192" s="94" t="str">
        <f aca="false">IF(AND($AE192=Constants!$B$7, T192, U192) ,IF($Z192="", "", 1-ABS($AA192-$Z192)/$AA192),"")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,IF(AND(T192,U192,W192,ISNUMBER(Z192)),Constants!$B$10*AL192/$AL$6, 0),"")</f>
        <v/>
      </c>
      <c r="AO192" s="94" t="str">
        <f aca="false">IF(AN192&lt;&gt;"", AN192*AG192,"")</f>
        <v/>
      </c>
      <c r="AP192" s="94" t="str">
        <f aca="false">IF($AE192=Constants!$B$7,Constants!$B$8*AB192/$AP$6,"")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IF(ISBLANK(C192),"",IFERROR(_xlfn.SWITCH(BE192, Constants!$B$4, COUNTA($C$8:$C691)+2, Constants!$B$5, COUNTA($C$8:$C691)+1, Constants!$B$6, COUNTA($C$8:$C691)),BE192))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0"/>
      <c r="C193" s="121"/>
      <c r="D193" s="110"/>
      <c r="E193" s="114"/>
      <c r="F193" s="114"/>
      <c r="G193" s="86"/>
      <c r="H193" s="87"/>
      <c r="I193" s="123"/>
      <c r="J193" s="123"/>
      <c r="K193" s="123"/>
      <c r="L193" s="89"/>
      <c r="M193" s="89"/>
      <c r="N193" s="89"/>
      <c r="O193" s="90"/>
      <c r="P193" s="91"/>
      <c r="Q193" s="123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4" t="str">
        <f aca="false">IF(ISBLANK($C193),"",IF(J193=Constants!$B$2, TRUE(), IF(J193=Constants!$B$3,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Constants!B196) * IF(X193, 1, Constants!B197),"")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IF($AE193=Constants!$B$7,IF(AND(T193,U193,W193),Constants!$B$9*AH193/$AH$6, 0),"")</f>
        <v/>
      </c>
      <c r="AK193" s="94" t="str">
        <f aca="false">IF(AJ193&lt;&gt;"", AJ193*AG193,"")</f>
        <v/>
      </c>
      <c r="AL193" s="94" t="str">
        <f aca="false">IF(AND($AE193=Constants!$B$7, T193, U193) ,IF($Z193="", "", 1-ABS($AA193-$Z193)/$AA193),"")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,IF(AND(T193,U193,W193,ISNUMBER(Z193)),Constants!$B$10*AL193/$AL$6, 0),"")</f>
        <v/>
      </c>
      <c r="AO193" s="94" t="str">
        <f aca="false">IF(AN193&lt;&gt;"", AN193*AG193,"")</f>
        <v/>
      </c>
      <c r="AP193" s="94" t="str">
        <f aca="false">IF($AE193=Constants!$B$7,Constants!$B$8*AB193/$AP$6,"")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IF(ISBLANK(C193),"",IFERROR(_xlfn.SWITCH(BE193, Constants!$B$4, COUNTA($C$8:$C692)+2, Constants!$B$5, COUNTA($C$8:$C692)+1, Constants!$B$6, COUNTA($C$8:$C692)),BE193))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4"/>
      <c r="C194" s="51"/>
      <c r="D194" s="52"/>
      <c r="E194" s="118"/>
      <c r="F194" s="118"/>
      <c r="G194" s="54"/>
      <c r="H194" s="55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IF(ISBLANK($C194),"",IF(J194=Constants!$B$2, TRUE(), IF(J194=Constants!$B$3,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Constants!B197) * IF(X194, 1, Constants!B198),"")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IF($AE194=Constants!$B$7,IF(AND(T194,U194,W194),Constants!$B$9*AH194/$AH$6, 0),"")</f>
        <v/>
      </c>
      <c r="AK194" s="62" t="str">
        <f aca="false">IF(AJ194&lt;&gt;"", AJ194*AG194,"")</f>
        <v/>
      </c>
      <c r="AL194" s="62" t="str">
        <f aca="false">IF(AND($AE194=Constants!$B$7, T194, U194) ,IF($Z194="", "", 1-ABS($AA194-$Z194)/$AA194),"")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IF($AE194=Constants!$B$7,Constants!$B$8*AB194/$AP$6,"")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IF(ISBLANK(C194),"",IFERROR(_xlfn.SWITCH(BE194, Constants!$B$4, COUNTA($C$8:$C693)+2, Constants!$B$5, COUNTA($C$8:$C693)+1, Constants!$B$6, COUNTA($C$8:$C693)),BE194))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4"/>
      <c r="C195" s="51"/>
      <c r="D195" s="52"/>
      <c r="E195" s="118"/>
      <c r="F195" s="118"/>
      <c r="G195" s="54"/>
      <c r="H195" s="55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IF(ISBLANK($C195),"",IF(J195=Constants!$B$2, TRUE(), IF(J195=Constants!$B$3,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Constants!B198) * IF(X195, 1, Constants!B199),"")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IF($AE195=Constants!$B$7,IF(AND(T195,U195,W195),Constants!$B$9*AH195/$AH$6, 0),"")</f>
        <v/>
      </c>
      <c r="AK195" s="62" t="str">
        <f aca="false">IF(AJ195&lt;&gt;"", AJ195*AG195,"")</f>
        <v/>
      </c>
      <c r="AL195" s="62" t="str">
        <f aca="false">IF(AND($AE195=Constants!$B$7, T195, U195) ,IF($Z195="", "", 1-ABS($AA195-$Z195)/$AA195),"")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IF($AE195=Constants!$B$7,Constants!$B$8*AB195/$AP$6,"")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IF(ISBLANK(C195),"",IFERROR(_xlfn.SWITCH(BE195, Constants!$B$4, COUNTA($C$8:$C694)+2, Constants!$B$5, COUNTA($C$8:$C694)+1, Constants!$B$6, COUNTA($C$8:$C694)),BE195))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4"/>
      <c r="C196" s="51"/>
      <c r="D196" s="52"/>
      <c r="E196" s="118"/>
      <c r="F196" s="118"/>
      <c r="G196" s="54"/>
      <c r="H196" s="55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IF(ISBLANK($C196),"",IF(J196=Constants!$B$2, TRUE(), IF(J196=Constants!$B$3,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Constants!B199) * IF(X196, 1, Constants!B200),"")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IF($AE196=Constants!$B$7,IF(AND(T196,U196,W196),Constants!$B$9*AH196/$AH$6, 0),"")</f>
        <v/>
      </c>
      <c r="AK196" s="62" t="str">
        <f aca="false">IF(AJ196&lt;&gt;"", AJ196*AG196,"")</f>
        <v/>
      </c>
      <c r="AL196" s="62" t="str">
        <f aca="false">IF(AND($AE196=Constants!$B$7, T196, U196) ,IF($Z196="", "", 1-ABS($AA196-$Z196)/$AA196),"")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IF($AE196=Constants!$B$7,Constants!$B$8*AB196/$AP$6,"")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IF(ISBLANK(C196),"",IFERROR(_xlfn.SWITCH(BE196, Constants!$B$4, COUNTA($C$8:$C695)+2, Constants!$B$5, COUNTA($C$8:$C695)+1, Constants!$B$6, COUNTA($C$8:$C695)),BE196))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0"/>
      <c r="C197" s="121"/>
      <c r="D197" s="110"/>
      <c r="E197" s="114"/>
      <c r="F197" s="114"/>
      <c r="G197" s="86"/>
      <c r="H197" s="87"/>
      <c r="I197" s="123"/>
      <c r="J197" s="123"/>
      <c r="K197" s="123"/>
      <c r="L197" s="89"/>
      <c r="M197" s="89"/>
      <c r="N197" s="89"/>
      <c r="O197" s="90"/>
      <c r="P197" s="91"/>
      <c r="Q197" s="123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4" t="str">
        <f aca="false">IF(ISBLANK($C197),"",IF(J197=Constants!$B$2, TRUE(), IF(J197=Constants!$B$3,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Constants!B200) * IF(X197, 1, Constants!B201),"")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IF($AE197=Constants!$B$7,IF(AND(T197,U197,W197),Constants!$B$9*AH197/$AH$6, 0),"")</f>
        <v/>
      </c>
      <c r="AK197" s="94" t="str">
        <f aca="false">IF(AJ197&lt;&gt;"", AJ197*AG197,"")</f>
        <v/>
      </c>
      <c r="AL197" s="94" t="str">
        <f aca="false">IF(AND($AE197=Constants!$B$7, T197, U197) ,IF($Z197="", "", 1-ABS($AA197-$Z197)/$AA197),"")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,IF(AND(T197,U197,W197,ISNUMBER(Z197)),Constants!$B$10*AL197/$AL$6, 0),"")</f>
        <v/>
      </c>
      <c r="AO197" s="94" t="str">
        <f aca="false">IF(AN197&lt;&gt;"", AN197*AG197,"")</f>
        <v/>
      </c>
      <c r="AP197" s="94" t="str">
        <f aca="false">IF($AE197=Constants!$B$7,Constants!$B$8*AB197/$AP$6,"")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IF(ISBLANK(C197),"",IFERROR(_xlfn.SWITCH(BE197, Constants!$B$4, COUNTA($C$8:$C696)+2, Constants!$B$5, COUNTA($C$8:$C696)+1, Constants!$B$6, COUNTA($C$8:$C696)),BE197))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0"/>
      <c r="C198" s="121"/>
      <c r="D198" s="110"/>
      <c r="E198" s="114"/>
      <c r="F198" s="114"/>
      <c r="G198" s="86"/>
      <c r="H198" s="87"/>
      <c r="I198" s="123"/>
      <c r="J198" s="123"/>
      <c r="K198" s="123"/>
      <c r="L198" s="89"/>
      <c r="M198" s="89"/>
      <c r="N198" s="89"/>
      <c r="O198" s="90"/>
      <c r="P198" s="91"/>
      <c r="Q198" s="123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4" t="str">
        <f aca="false">IF(ISBLANK($C198),"",IF(J198=Constants!$B$2, TRUE(), IF(J198=Constants!$B$3,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Constants!B201) * IF(X198, 1, Constants!B202),"")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IF($AE198=Constants!$B$7,IF(AND(T198,U198,W198),Constants!$B$9*AH198/$AH$6, 0),"")</f>
        <v/>
      </c>
      <c r="AK198" s="94" t="str">
        <f aca="false">IF(AJ198&lt;&gt;"", AJ198*AG198,"")</f>
        <v/>
      </c>
      <c r="AL198" s="94" t="str">
        <f aca="false">IF(AND($AE198=Constants!$B$7, T198, U198) ,IF($Z198="", "", 1-ABS($AA198-$Z198)/$AA198),"")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,IF(AND(T198,U198,W198,ISNUMBER(Z198)),Constants!$B$10*AL198/$AL$6, 0),"")</f>
        <v/>
      </c>
      <c r="AO198" s="94" t="str">
        <f aca="false">IF(AN198&lt;&gt;"", AN198*AG198,"")</f>
        <v/>
      </c>
      <c r="AP198" s="94" t="str">
        <f aca="false">IF($AE198=Constants!$B$7,Constants!$B$8*AB198/$AP$6,"")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IF(ISBLANK(C198),"",IFERROR(_xlfn.SWITCH(BE198, Constants!$B$4, COUNTA($C$8:$C697)+2, Constants!$B$5, COUNTA($C$8:$C697)+1, Constants!$B$6, COUNTA($C$8:$C697)),BE198))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0"/>
      <c r="C199" s="121"/>
      <c r="D199" s="110"/>
      <c r="E199" s="114"/>
      <c r="F199" s="114"/>
      <c r="G199" s="86"/>
      <c r="H199" s="87"/>
      <c r="I199" s="123"/>
      <c r="J199" s="123"/>
      <c r="K199" s="123"/>
      <c r="L199" s="89"/>
      <c r="M199" s="89"/>
      <c r="N199" s="89"/>
      <c r="O199" s="90"/>
      <c r="P199" s="91"/>
      <c r="Q199" s="123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4" t="str">
        <f aca="false">IF(ISBLANK($C199),"",IF(J199=Constants!$B$2, TRUE(), IF(J199=Constants!$B$3,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Constants!B202) * IF(X199, 1, Constants!B203),"")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IF($AE199=Constants!$B$7,IF(AND(T199,U199,W199),Constants!$B$9*AH199/$AH$6, 0),"")</f>
        <v/>
      </c>
      <c r="AK199" s="94" t="str">
        <f aca="false">IF(AJ199&lt;&gt;"", AJ199*AG199,"")</f>
        <v/>
      </c>
      <c r="AL199" s="94" t="str">
        <f aca="false">IF(AND($AE199=Constants!$B$7, T199, U199) ,IF($Z199="", "", 1-ABS($AA199-$Z199)/$AA199),"")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,IF(AND(T199,U199,W199,ISNUMBER(Z199)),Constants!$B$10*AL199/$AL$6, 0),"")</f>
        <v/>
      </c>
      <c r="AO199" s="94" t="str">
        <f aca="false">IF(AN199&lt;&gt;"", AN199*AG199,"")</f>
        <v/>
      </c>
      <c r="AP199" s="94" t="str">
        <f aca="false">IF($AE199=Constants!$B$7,Constants!$B$8*AB199/$AP$6,"")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IF(ISBLANK(C199),"",IFERROR(_xlfn.SWITCH(BE199, Constants!$B$4, COUNTA($C$8:$C698)+2, Constants!$B$5, COUNTA($C$8:$C698)+1, Constants!$B$6, COUNTA($C$8:$C698)),BE199))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4"/>
      <c r="C200" s="51"/>
      <c r="D200" s="52"/>
      <c r="E200" s="118"/>
      <c r="F200" s="118"/>
      <c r="G200" s="54"/>
      <c r="H200" s="55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IF(ISBLANK($C200),"",IF(J200=Constants!$B$2, TRUE(), IF(J200=Constants!$B$3,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Constants!B203) * IF(X200, 1, Constants!B204),"")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IF($AE200=Constants!$B$7,IF(AND(T200,U200,W200),Constants!$B$9*AH200/$AH$6, 0),"")</f>
        <v/>
      </c>
      <c r="AK200" s="62" t="str">
        <f aca="false">IF(AJ200&lt;&gt;"", AJ200*AG200,"")</f>
        <v/>
      </c>
      <c r="AL200" s="62" t="str">
        <f aca="false">IF(AND($AE200=Constants!$B$7, T200, U200) ,IF($Z200="", "", 1-ABS($AA200-$Z200)/$AA200),"")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IF($AE200=Constants!$B$7,Constants!$B$8*AB200/$AP$6,"")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IF(ISBLANK(C200),"",IFERROR(_xlfn.SWITCH(BE200, Constants!$B$4, COUNTA($C$8:$C699)+2, Constants!$B$5, COUNTA($C$8:$C699)+1, Constants!$B$6, COUNTA($C$8:$C699)),BE200))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4"/>
      <c r="C201" s="51"/>
      <c r="D201" s="52"/>
      <c r="E201" s="118"/>
      <c r="F201" s="118"/>
      <c r="G201" s="54"/>
      <c r="H201" s="55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IF(ISBLANK($C201),"",IF(J201=Constants!$B$2, TRUE(), IF(J201=Constants!$B$3,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Constants!B204) * IF(X201, 1, Constants!B205),"")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IF($AE201=Constants!$B$7,IF(AND(T201,U201,W201),Constants!$B$9*AH201/$AH$6, 0),"")</f>
        <v/>
      </c>
      <c r="AK201" s="62" t="str">
        <f aca="false">IF(AJ201&lt;&gt;"", AJ201*AG201,"")</f>
        <v/>
      </c>
      <c r="AL201" s="62" t="str">
        <f aca="false">IF(AND($AE201=Constants!$B$7, T201, U201) ,IF($Z201="", "", 1-ABS($AA201-$Z201)/$AA201),"")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IF($AE201=Constants!$B$7,Constants!$B$8*AB201/$AP$6,"")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IF(ISBLANK(C201),"",IFERROR(_xlfn.SWITCH(BE201, Constants!$B$4, COUNTA($C$8:$C700)+2, Constants!$B$5, COUNTA($C$8:$C700)+1, Constants!$B$6, COUNTA($C$8:$C700)),BE201))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4"/>
      <c r="C202" s="51"/>
      <c r="D202" s="52"/>
      <c r="E202" s="118"/>
      <c r="F202" s="118"/>
      <c r="G202" s="54"/>
      <c r="H202" s="55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IF(ISBLANK($C202),"",IF(J202=Constants!$B$2, TRUE(), IF(J202=Constants!$B$3,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Constants!B205) * IF(X202, 1, Constants!B206),"")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IF($AE202=Constants!$B$7,IF(AND(T202,U202,W202),Constants!$B$9*AH202/$AH$6, 0),"")</f>
        <v/>
      </c>
      <c r="AK202" s="62" t="str">
        <f aca="false">IF(AJ202&lt;&gt;"", AJ202*AG202,"")</f>
        <v/>
      </c>
      <c r="AL202" s="62" t="str">
        <f aca="false">IF(AND($AE202=Constants!$B$7, T202, U202) ,IF($Z202="", "", 1-ABS($AA202-$Z202)/$AA202),"")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IF($AE202=Constants!$B$7,Constants!$B$8*AB202/$AP$6,"")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IF(ISBLANK(C202),"",IFERROR(_xlfn.SWITCH(BE202, Constants!$B$4, COUNTA($C$8:$C701)+2, Constants!$B$5, COUNTA($C$8:$C701)+1, Constants!$B$6, COUNTA($C$8:$C701)),BE202))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0"/>
      <c r="C203" s="121"/>
      <c r="D203" s="110"/>
      <c r="E203" s="114"/>
      <c r="F203" s="114"/>
      <c r="G203" s="86"/>
      <c r="H203" s="87"/>
      <c r="I203" s="123"/>
      <c r="J203" s="123"/>
      <c r="K203" s="123"/>
      <c r="L203" s="89"/>
      <c r="M203" s="89"/>
      <c r="N203" s="89"/>
      <c r="O203" s="90"/>
      <c r="P203" s="91"/>
      <c r="Q203" s="123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4" t="str">
        <f aca="false">IF(ISBLANK($C203),"",IF(J203=Constants!$B$2, TRUE(), IF(J203=Constants!$B$3,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Constants!B206) * IF(X203, 1, Constants!B207),"")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IF($AE203=Constants!$B$7,IF(AND(T203,U203,W203),Constants!$B$9*AH203/$AH$6, 0),"")</f>
        <v/>
      </c>
      <c r="AK203" s="94" t="str">
        <f aca="false">IF(AJ203&lt;&gt;"", AJ203*AG203,"")</f>
        <v/>
      </c>
      <c r="AL203" s="94" t="str">
        <f aca="false">IF(AND($AE203=Constants!$B$7, T203, U203) ,IF($Z203="", "", 1-ABS($AA203-$Z203)/$AA203),"")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,IF(AND(T203,U203,W203,ISNUMBER(Z203)),Constants!$B$10*AL203/$AL$6, 0),"")</f>
        <v/>
      </c>
      <c r="AO203" s="94" t="str">
        <f aca="false">IF(AN203&lt;&gt;"", AN203*AG203,"")</f>
        <v/>
      </c>
      <c r="AP203" s="94" t="str">
        <f aca="false">IF($AE203=Constants!$B$7,Constants!$B$8*AB203/$AP$6,"")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IF(ISBLANK(C203),"",IFERROR(_xlfn.SWITCH(BE203, Constants!$B$4, COUNTA($C$8:$C702)+2, Constants!$B$5, COUNTA($C$8:$C702)+1, Constants!$B$6, COUNTA($C$8:$C702)),BE203))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0"/>
      <c r="C204" s="121"/>
      <c r="D204" s="110"/>
      <c r="E204" s="114"/>
      <c r="F204" s="114"/>
      <c r="G204" s="86"/>
      <c r="H204" s="87"/>
      <c r="I204" s="123"/>
      <c r="J204" s="123"/>
      <c r="K204" s="123"/>
      <c r="L204" s="89"/>
      <c r="M204" s="89"/>
      <c r="N204" s="89"/>
      <c r="O204" s="90"/>
      <c r="P204" s="91"/>
      <c r="Q204" s="123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4" t="str">
        <f aca="false">IF(ISBLANK($C204),"",IF(J204=Constants!$B$2, TRUE(), IF(J204=Constants!$B$3,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Constants!B207) * IF(X204, 1, Constants!B208),"")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IF($AE204=Constants!$B$7,IF(AND(T204,U204,W204),Constants!$B$9*AH204/$AH$6, 0),"")</f>
        <v/>
      </c>
      <c r="AK204" s="94" t="str">
        <f aca="false">IF(AJ204&lt;&gt;"", AJ204*AG204,"")</f>
        <v/>
      </c>
      <c r="AL204" s="94" t="str">
        <f aca="false">IF(AND($AE204=Constants!$B$7, T204, U204) ,IF($Z204="", "", 1-ABS($AA204-$Z204)/$AA204),"")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,IF(AND(T204,U204,W204,ISNUMBER(Z204)),Constants!$B$10*AL204/$AL$6, 0),"")</f>
        <v/>
      </c>
      <c r="AO204" s="94" t="str">
        <f aca="false">IF(AN204&lt;&gt;"", AN204*AG204,"")</f>
        <v/>
      </c>
      <c r="AP204" s="94" t="str">
        <f aca="false">IF($AE204=Constants!$B$7,Constants!$B$8*AB204/$AP$6,"")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IF(ISBLANK(C204),"",IFERROR(_xlfn.SWITCH(BE204, Constants!$B$4, COUNTA($C$8:$C703)+2, Constants!$B$5, COUNTA($C$8:$C703)+1, Constants!$B$6, COUNTA($C$8:$C703)),BE204))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0"/>
      <c r="C205" s="121"/>
      <c r="D205" s="110"/>
      <c r="E205" s="114"/>
      <c r="F205" s="114"/>
      <c r="G205" s="86"/>
      <c r="H205" s="87"/>
      <c r="I205" s="123"/>
      <c r="J205" s="123"/>
      <c r="K205" s="123"/>
      <c r="L205" s="89"/>
      <c r="M205" s="89"/>
      <c r="N205" s="89"/>
      <c r="O205" s="90"/>
      <c r="P205" s="91"/>
      <c r="Q205" s="123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4" t="str">
        <f aca="false">IF(ISBLANK($C205),"",IF(J205=Constants!$B$2, TRUE(), IF(J205=Constants!$B$3,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Constants!B208) * IF(X205, 1, Constants!B209),"")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IF($AE205=Constants!$B$7,IF(AND(T205,U205,W205),Constants!$B$9*AH205/$AH$6, 0),"")</f>
        <v/>
      </c>
      <c r="AK205" s="94" t="str">
        <f aca="false">IF(AJ205&lt;&gt;"", AJ205*AG205,"")</f>
        <v/>
      </c>
      <c r="AL205" s="94" t="str">
        <f aca="false">IF(AND($AE205=Constants!$B$7, T205, U205) ,IF($Z205="", "", 1-ABS($AA205-$Z205)/$AA205),"")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,IF(AND(T205,U205,W205,ISNUMBER(Z205)),Constants!$B$10*AL205/$AL$6, 0),"")</f>
        <v/>
      </c>
      <c r="AO205" s="94" t="str">
        <f aca="false">IF(AN205&lt;&gt;"", AN205*AG205,"")</f>
        <v/>
      </c>
      <c r="AP205" s="94" t="str">
        <f aca="false">IF($AE205=Constants!$B$7,Constants!$B$8*AB205/$AP$6,"")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IF(ISBLANK(C205),"",IFERROR(_xlfn.SWITCH(BE205, Constants!$B$4, COUNTA($C$8:$C704)+2, Constants!$B$5, COUNTA($C$8:$C704)+1, Constants!$B$6, COUNTA($C$8:$C704)),BE205))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4"/>
      <c r="C206" s="51"/>
      <c r="D206" s="52"/>
      <c r="E206" s="118"/>
      <c r="F206" s="118"/>
      <c r="G206" s="54"/>
      <c r="H206" s="55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IF(ISBLANK($C206),"",IF(J206=Constants!$B$2, TRUE(), IF(J206=Constants!$B$3,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Constants!B209) * IF(X206, 1, Constants!B210),"")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IF($AE206=Constants!$B$7,IF(AND(T206,U206,W206),Constants!$B$9*AH206/$AH$6, 0),"")</f>
        <v/>
      </c>
      <c r="AK206" s="62" t="str">
        <f aca="false">IF(AJ206&lt;&gt;"", AJ206*AG206,"")</f>
        <v/>
      </c>
      <c r="AL206" s="62" t="str">
        <f aca="false">IF(AND($AE206=Constants!$B$7, T206, U206) ,IF($Z206="", "", 1-ABS($AA206-$Z206)/$AA206),"")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IF($AE206=Constants!$B$7,Constants!$B$8*AB206/$AP$6,"")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IF(ISBLANK(C206),"",IFERROR(_xlfn.SWITCH(BE206, Constants!$B$4, COUNTA($C$8:$C705)+2, Constants!$B$5, COUNTA($C$8:$C705)+1, Constants!$B$6, COUNTA($C$8:$C705)),BE206))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4"/>
      <c r="C207" s="51"/>
      <c r="D207" s="52"/>
      <c r="E207" s="118"/>
      <c r="F207" s="118"/>
      <c r="G207" s="54"/>
      <c r="H207" s="55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IF(ISBLANK($C207),"",IF(J207=Constants!$B$2, TRUE(), IF(J207=Constants!$B$3,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Constants!B210) * IF(X207, 1, Constants!B211),"")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IF($AE207=Constants!$B$7,IF(AND(T207,U207,W207),Constants!$B$9*AH207/$AH$6, 0),"")</f>
        <v/>
      </c>
      <c r="AK207" s="62" t="str">
        <f aca="false">IF(AJ207&lt;&gt;"", AJ207*AG207,"")</f>
        <v/>
      </c>
      <c r="AL207" s="62" t="str">
        <f aca="false">IF(AND($AE207=Constants!$B$7, T207, U207) ,IF($Z207="", "", 1-ABS($AA207-$Z207)/$AA207),"")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IF($AE207=Constants!$B$7,Constants!$B$8*AB207/$AP$6,"")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IF(ISBLANK(C207),"",IFERROR(_xlfn.SWITCH(BE207, Constants!$B$4, COUNTA($C$8:$C706)+2, Constants!$B$5, COUNTA($C$8:$C706)+1, Constants!$B$6, COUNTA($C$8:$C706)),BE207))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4"/>
      <c r="C208" s="51"/>
      <c r="D208" s="52"/>
      <c r="E208" s="118"/>
      <c r="F208" s="118"/>
      <c r="G208" s="54"/>
      <c r="H208" s="55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IF(ISBLANK($C208),"",IF(J208=Constants!$B$2, TRUE(), IF(J208=Constants!$B$3,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Constants!B211) * IF(X208, 1, Constants!B212),"")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IF($AE208=Constants!$B$7,IF(AND(T208,U208,W208),Constants!$B$9*AH208/$AH$6, 0),"")</f>
        <v/>
      </c>
      <c r="AK208" s="62" t="str">
        <f aca="false">IF(AJ208&lt;&gt;"", AJ208*AG208,"")</f>
        <v/>
      </c>
      <c r="AL208" s="62" t="str">
        <f aca="false">IF(AND($AE208=Constants!$B$7, T208, U208) ,IF($Z208="", "", 1-ABS($AA208-$Z208)/$AA208),"")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IF($AE208=Constants!$B$7,Constants!$B$8*AB208/$AP$6,"")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IF(ISBLANK(C208),"",IFERROR(_xlfn.SWITCH(BE208, Constants!$B$4, COUNTA($C$8:$C707)+2, Constants!$B$5, COUNTA($C$8:$C707)+1, Constants!$B$6, COUNTA($C$8:$C707)),BE208))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0"/>
      <c r="C209" s="121"/>
      <c r="D209" s="110"/>
      <c r="E209" s="114"/>
      <c r="F209" s="114"/>
      <c r="G209" s="86"/>
      <c r="H209" s="87"/>
      <c r="I209" s="123"/>
      <c r="J209" s="123"/>
      <c r="K209" s="123"/>
      <c r="L209" s="89"/>
      <c r="M209" s="89"/>
      <c r="N209" s="89"/>
      <c r="O209" s="90"/>
      <c r="P209" s="91"/>
      <c r="Q209" s="123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4" t="str">
        <f aca="false">IF(ISBLANK($C209),"",IF(J209=Constants!$B$2, TRUE(), IF(J209=Constants!$B$3,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Constants!B212) * IF(X209, 1, Constants!B213),"")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IF($AE209=Constants!$B$7,IF(AND(T209,U209,W209),Constants!$B$9*AH209/$AH$6, 0),"")</f>
        <v/>
      </c>
      <c r="AK209" s="94" t="str">
        <f aca="false">IF(AJ209&lt;&gt;"", AJ209*AG209,"")</f>
        <v/>
      </c>
      <c r="AL209" s="94" t="str">
        <f aca="false">IF(AND($AE209=Constants!$B$7, T209, U209) ,IF($Z209="", "", 1-ABS($AA209-$Z209)/$AA209),"")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,IF(AND(T209,U209,W209,ISNUMBER(Z209)),Constants!$B$10*AL209/$AL$6, 0),"")</f>
        <v/>
      </c>
      <c r="AO209" s="94" t="str">
        <f aca="false">IF(AN209&lt;&gt;"", AN209*AG209,"")</f>
        <v/>
      </c>
      <c r="AP209" s="94" t="str">
        <f aca="false">IF($AE209=Constants!$B$7,Constants!$B$8*AB209/$AP$6,"")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IF(ISBLANK(C209),"",IFERROR(_xlfn.SWITCH(BE209, Constants!$B$4, COUNTA($C$8:$C708)+2, Constants!$B$5, COUNTA($C$8:$C708)+1, Constants!$B$6, COUNTA($C$8:$C708)),BE209))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0"/>
      <c r="C210" s="121"/>
      <c r="D210" s="110"/>
      <c r="E210" s="114"/>
      <c r="F210" s="114"/>
      <c r="G210" s="86"/>
      <c r="H210" s="87"/>
      <c r="I210" s="123"/>
      <c r="J210" s="123"/>
      <c r="K210" s="123"/>
      <c r="L210" s="89"/>
      <c r="M210" s="89"/>
      <c r="N210" s="89"/>
      <c r="O210" s="90"/>
      <c r="P210" s="91"/>
      <c r="Q210" s="123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4" t="str">
        <f aca="false">IF(ISBLANK($C210),"",IF(J210=Constants!$B$2, TRUE(), IF(J210=Constants!$B$3,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Constants!B213) * IF(X210, 1, Constants!B214),"")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IF($AE210=Constants!$B$7,IF(AND(T210,U210,W210),Constants!$B$9*AH210/$AH$6, 0),"")</f>
        <v/>
      </c>
      <c r="AK210" s="94" t="str">
        <f aca="false">IF(AJ210&lt;&gt;"", AJ210*AG210,"")</f>
        <v/>
      </c>
      <c r="AL210" s="94" t="str">
        <f aca="false">IF(AND($AE210=Constants!$B$7, T210, U210) ,IF($Z210="", "", 1-ABS($AA210-$Z210)/$AA210),"")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,IF(AND(T210,U210,W210,ISNUMBER(Z210)),Constants!$B$10*AL210/$AL$6, 0),"")</f>
        <v/>
      </c>
      <c r="AO210" s="94" t="str">
        <f aca="false">IF(AN210&lt;&gt;"", AN210*AG210,"")</f>
        <v/>
      </c>
      <c r="AP210" s="94" t="str">
        <f aca="false">IF($AE210=Constants!$B$7,Constants!$B$8*AB210/$AP$6,"")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IF(ISBLANK(C210),"",IFERROR(_xlfn.SWITCH(BE210, Constants!$B$4, COUNTA($C$8:$C709)+2, Constants!$B$5, COUNTA($C$8:$C709)+1, Constants!$B$6, COUNTA($C$8:$C709)),BE210))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0"/>
      <c r="C211" s="121"/>
      <c r="D211" s="110"/>
      <c r="E211" s="114"/>
      <c r="F211" s="114"/>
      <c r="G211" s="86"/>
      <c r="H211" s="87"/>
      <c r="I211" s="123"/>
      <c r="J211" s="123"/>
      <c r="K211" s="123"/>
      <c r="L211" s="89"/>
      <c r="M211" s="89"/>
      <c r="N211" s="89"/>
      <c r="O211" s="90"/>
      <c r="P211" s="91"/>
      <c r="Q211" s="123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4" t="str">
        <f aca="false">IF(ISBLANK($C211),"",IF(J211=Constants!$B$2, TRUE(), IF(J211=Constants!$B$3,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Constants!B214) * IF(X211, 1, Constants!B215),"")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IF($AE211=Constants!$B$7,IF(AND(T211,U211,W211),Constants!$B$9*AH211/$AH$6, 0),"")</f>
        <v/>
      </c>
      <c r="AK211" s="94" t="str">
        <f aca="false">IF(AJ211&lt;&gt;"", AJ211*AG211,"")</f>
        <v/>
      </c>
      <c r="AL211" s="94" t="str">
        <f aca="false">IF(AND($AE211=Constants!$B$7, T211, U211) ,IF($Z211="", "", 1-ABS($AA211-$Z211)/$AA211),"")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,IF(AND(T211,U211,W211,ISNUMBER(Z211)),Constants!$B$10*AL211/$AL$6, 0),"")</f>
        <v/>
      </c>
      <c r="AO211" s="94" t="str">
        <f aca="false">IF(AN211&lt;&gt;"", AN211*AG211,"")</f>
        <v/>
      </c>
      <c r="AP211" s="94" t="str">
        <f aca="false">IF($AE211=Constants!$B$7,Constants!$B$8*AB211/$AP$6,"")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IF(ISBLANK(C211),"",IFERROR(_xlfn.SWITCH(BE211, Constants!$B$4, COUNTA($C$8:$C710)+2, Constants!$B$5, COUNTA($C$8:$C710)+1, Constants!$B$6, COUNTA($C$8:$C710)),BE211))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4"/>
      <c r="C212" s="51"/>
      <c r="D212" s="52"/>
      <c r="E212" s="118"/>
      <c r="F212" s="118"/>
      <c r="G212" s="54"/>
      <c r="H212" s="55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IF(ISBLANK($C212),"",IF(J212=Constants!$B$2, TRUE(), IF(J212=Constants!$B$3,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Constants!B215) * IF(X212, 1, Constants!B216),"")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IF($AE212=Constants!$B$7,IF(AND(T212,U212,W212),Constants!$B$9*AH212/$AH$6, 0),"")</f>
        <v/>
      </c>
      <c r="AK212" s="62" t="str">
        <f aca="false">IF(AJ212&lt;&gt;"", AJ212*AG212,"")</f>
        <v/>
      </c>
      <c r="AL212" s="62" t="str">
        <f aca="false">IF(AND($AE212=Constants!$B$7, T212, U212) ,IF($Z212="", "", 1-ABS($AA212-$Z212)/$AA212),"")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IF($AE212=Constants!$B$7,Constants!$B$8*AB212/$AP$6,"")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IF(ISBLANK(C212),"",IFERROR(_xlfn.SWITCH(BE212, Constants!$B$4, COUNTA($C$8:$C711)+2, Constants!$B$5, COUNTA($C$8:$C711)+1, Constants!$B$6, COUNTA($C$8:$C711)),BE212))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4"/>
      <c r="C213" s="51"/>
      <c r="D213" s="52"/>
      <c r="E213" s="118"/>
      <c r="F213" s="118"/>
      <c r="G213" s="54"/>
      <c r="H213" s="55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IF(ISBLANK($C213),"",IF(J213=Constants!$B$2, TRUE(), IF(J213=Constants!$B$3,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Constants!B216) * IF(X213, 1, Constants!B217),"")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IF($AE213=Constants!$B$7,IF(AND(T213,U213,W213),Constants!$B$9*AH213/$AH$6, 0),"")</f>
        <v/>
      </c>
      <c r="AK213" s="62" t="str">
        <f aca="false">IF(AJ213&lt;&gt;"", AJ213*AG213,"")</f>
        <v/>
      </c>
      <c r="AL213" s="62" t="str">
        <f aca="false">IF(AND($AE213=Constants!$B$7, T213, U213) ,IF($Z213="", "", 1-ABS($AA213-$Z213)/$AA213),"")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IF($AE213=Constants!$B$7,Constants!$B$8*AB213/$AP$6,"")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IF(ISBLANK(C213),"",IFERROR(_xlfn.SWITCH(BE213, Constants!$B$4, COUNTA($C$8:$C712)+2, Constants!$B$5, COUNTA($C$8:$C712)+1, Constants!$B$6, COUNTA($C$8:$C712)),BE213))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4"/>
      <c r="C214" s="51"/>
      <c r="D214" s="52"/>
      <c r="E214" s="118"/>
      <c r="F214" s="118"/>
      <c r="G214" s="54"/>
      <c r="H214" s="55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IF(ISBLANK($C214),"",IF(J214=Constants!$B$2, TRUE(), IF(J214=Constants!$B$3,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Constants!B217) * IF(X214, 1, Constants!B218),"")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IF($AE214=Constants!$B$7,IF(AND(T214,U214,W214),Constants!$B$9*AH214/$AH$6, 0),"")</f>
        <v/>
      </c>
      <c r="AK214" s="62" t="str">
        <f aca="false">IF(AJ214&lt;&gt;"", AJ214*AG214,"")</f>
        <v/>
      </c>
      <c r="AL214" s="62" t="str">
        <f aca="false">IF(AND($AE214=Constants!$B$7, T214, U214) ,IF($Z214="", "", 1-ABS($AA214-$Z214)/$AA214),"")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IF($AE214=Constants!$B$7,Constants!$B$8*AB214/$AP$6,"")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IF(ISBLANK(C214),"",IFERROR(_xlfn.SWITCH(BE214, Constants!$B$4, COUNTA($C$8:$C713)+2, Constants!$B$5, COUNTA($C$8:$C713)+1, Constants!$B$6, COUNTA($C$8:$C713)),BE214))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0"/>
      <c r="C215" s="121"/>
      <c r="D215" s="110"/>
      <c r="E215" s="114"/>
      <c r="F215" s="114"/>
      <c r="G215" s="86"/>
      <c r="H215" s="87"/>
      <c r="I215" s="123"/>
      <c r="J215" s="123"/>
      <c r="K215" s="123"/>
      <c r="L215" s="89"/>
      <c r="M215" s="89"/>
      <c r="N215" s="89"/>
      <c r="O215" s="90"/>
      <c r="P215" s="91"/>
      <c r="Q215" s="123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4" t="str">
        <f aca="false">IF(ISBLANK($C215),"",IF(J215=Constants!$B$2, TRUE(), IF(J215=Constants!$B$3,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Constants!B218) * IF(X215, 1, Constants!B219),"")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IF($AE215=Constants!$B$7,IF(AND(T215,U215,W215),Constants!$B$9*AH215/$AH$6, 0),"")</f>
        <v/>
      </c>
      <c r="AK215" s="94" t="str">
        <f aca="false">IF(AJ215&lt;&gt;"", AJ215*AG215,"")</f>
        <v/>
      </c>
      <c r="AL215" s="94" t="str">
        <f aca="false">IF(AND($AE215=Constants!$B$7, T215, U215) ,IF($Z215="", "", 1-ABS($AA215-$Z215)/$AA215),"")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,IF(AND(T215,U215,W215,ISNUMBER(Z215)),Constants!$B$10*AL215/$AL$6, 0),"")</f>
        <v/>
      </c>
      <c r="AO215" s="94" t="str">
        <f aca="false">IF(AN215&lt;&gt;"", AN215*AG215,"")</f>
        <v/>
      </c>
      <c r="AP215" s="94" t="str">
        <f aca="false">IF($AE215=Constants!$B$7,Constants!$B$8*AB215/$AP$6,"")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IF(ISBLANK(C215),"",IFERROR(_xlfn.SWITCH(BE215, Constants!$B$4, COUNTA($C$8:$C714)+2, Constants!$B$5, COUNTA($C$8:$C714)+1, Constants!$B$6, COUNTA($C$8:$C714)),BE215))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0"/>
      <c r="C216" s="121"/>
      <c r="D216" s="110"/>
      <c r="E216" s="114"/>
      <c r="F216" s="114"/>
      <c r="G216" s="86"/>
      <c r="H216" s="87"/>
      <c r="I216" s="123"/>
      <c r="J216" s="123"/>
      <c r="K216" s="123"/>
      <c r="L216" s="89"/>
      <c r="M216" s="89"/>
      <c r="N216" s="89"/>
      <c r="O216" s="90"/>
      <c r="P216" s="91"/>
      <c r="Q216" s="123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4" t="str">
        <f aca="false">IF(ISBLANK($C216),"",IF(J216=Constants!$B$2, TRUE(), IF(J216=Constants!$B$3,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Constants!B219) * IF(X216, 1, Constants!B220),"")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IF($AE216=Constants!$B$7,IF(AND(T216,U216,W216),Constants!$B$9*AH216/$AH$6, 0),"")</f>
        <v/>
      </c>
      <c r="AK216" s="94" t="str">
        <f aca="false">IF(AJ216&lt;&gt;"", AJ216*AG216,"")</f>
        <v/>
      </c>
      <c r="AL216" s="94" t="str">
        <f aca="false">IF(AND($AE216=Constants!$B$7, T216, U216) ,IF($Z216="", "", 1-ABS($AA216-$Z216)/$AA216),"")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,IF(AND(T216,U216,W216,ISNUMBER(Z216)),Constants!$B$10*AL216/$AL$6, 0),"")</f>
        <v/>
      </c>
      <c r="AO216" s="94" t="str">
        <f aca="false">IF(AN216&lt;&gt;"", AN216*AG216,"")</f>
        <v/>
      </c>
      <c r="AP216" s="94" t="str">
        <f aca="false">IF($AE216=Constants!$B$7,Constants!$B$8*AB216/$AP$6,"")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IF(ISBLANK(C216),"",IFERROR(_xlfn.SWITCH(BE216, Constants!$B$4, COUNTA($C$8:$C715)+2, Constants!$B$5, COUNTA($C$8:$C715)+1, Constants!$B$6, COUNTA($C$8:$C715)),BE216))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0"/>
      <c r="C217" s="121"/>
      <c r="D217" s="110"/>
      <c r="E217" s="114"/>
      <c r="F217" s="114"/>
      <c r="G217" s="86"/>
      <c r="H217" s="87"/>
      <c r="I217" s="123"/>
      <c r="J217" s="123"/>
      <c r="K217" s="123"/>
      <c r="L217" s="89"/>
      <c r="M217" s="89"/>
      <c r="N217" s="89"/>
      <c r="O217" s="90"/>
      <c r="P217" s="91"/>
      <c r="Q217" s="123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4" t="str">
        <f aca="false">IF(ISBLANK($C217),"",IF(J217=Constants!$B$2, TRUE(), IF(J217=Constants!$B$3,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Constants!B220) * IF(X217, 1, Constants!B221),"")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IF($AE217=Constants!$B$7,IF(AND(T217,U217,W217),Constants!$B$9*AH217/$AH$6, 0),"")</f>
        <v/>
      </c>
      <c r="AK217" s="94" t="str">
        <f aca="false">IF(AJ217&lt;&gt;"", AJ217*AG217,"")</f>
        <v/>
      </c>
      <c r="AL217" s="94" t="str">
        <f aca="false">IF(AND($AE217=Constants!$B$7, T217, U217) ,IF($Z217="", "", 1-ABS($AA217-$Z217)/$AA217),"")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,IF(AND(T217,U217,W217,ISNUMBER(Z217)),Constants!$B$10*AL217/$AL$6, 0),"")</f>
        <v/>
      </c>
      <c r="AO217" s="94" t="str">
        <f aca="false">IF(AN217&lt;&gt;"", AN217*AG217,"")</f>
        <v/>
      </c>
      <c r="AP217" s="94" t="str">
        <f aca="false">IF($AE217=Constants!$B$7,Constants!$B$8*AB217/$AP$6,"")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IF(ISBLANK(C217),"",IFERROR(_xlfn.SWITCH(BE217, Constants!$B$4, COUNTA($C$8:$C716)+2, Constants!$B$5, COUNTA($C$8:$C716)+1, Constants!$B$6, COUNTA($C$8:$C716)),BE217))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4"/>
      <c r="C218" s="51"/>
      <c r="D218" s="52"/>
      <c r="E218" s="118"/>
      <c r="F218" s="118"/>
      <c r="G218" s="54"/>
      <c r="H218" s="55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IF(ISBLANK($C218),"",IF(J218=Constants!$B$2, TRUE(), IF(J218=Constants!$B$3,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Constants!B221) * IF(X218, 1, Constants!B222),"")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IF($AE218=Constants!$B$7,IF(AND(T218,U218,W218),Constants!$B$9*AH218/$AH$6, 0),"")</f>
        <v/>
      </c>
      <c r="AK218" s="62" t="str">
        <f aca="false">IF(AJ218&lt;&gt;"", AJ218*AG218,"")</f>
        <v/>
      </c>
      <c r="AL218" s="62" t="str">
        <f aca="false">IF(AND($AE218=Constants!$B$7, T218, U218) ,IF($Z218="", "", 1-ABS($AA218-$Z218)/$AA218),"")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IF($AE218=Constants!$B$7,Constants!$B$8*AB218/$AP$6,"")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IF(ISBLANK(C218),"",IFERROR(_xlfn.SWITCH(BE218, Constants!$B$4, COUNTA($C$8:$C717)+2, Constants!$B$5, COUNTA($C$8:$C717)+1, Constants!$B$6, COUNTA($C$8:$C717)),BE218))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4"/>
      <c r="C219" s="51"/>
      <c r="D219" s="52"/>
      <c r="E219" s="118"/>
      <c r="F219" s="118"/>
      <c r="G219" s="54"/>
      <c r="H219" s="55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IF(ISBLANK($C219),"",IF(J219=Constants!$B$2, TRUE(), IF(J219=Constants!$B$3,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Constants!B222) * IF(X219, 1, Constants!B223),"")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IF($AE219=Constants!$B$7,IF(AND(T219,U219,W219),Constants!$B$9*AH219/$AH$6, 0),"")</f>
        <v/>
      </c>
      <c r="AK219" s="62" t="str">
        <f aca="false">IF(AJ219&lt;&gt;"", AJ219*AG219,"")</f>
        <v/>
      </c>
      <c r="AL219" s="62" t="str">
        <f aca="false">IF(AND($AE219=Constants!$B$7, T219, U219) ,IF($Z219="", "", 1-ABS($AA219-$Z219)/$AA219),"")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IF($AE219=Constants!$B$7,Constants!$B$8*AB219/$AP$6,"")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IF(ISBLANK(C219),"",IFERROR(_xlfn.SWITCH(BE219, Constants!$B$4, COUNTA($C$8:$C718)+2, Constants!$B$5, COUNTA($C$8:$C718)+1, Constants!$B$6, COUNTA($C$8:$C718)),BE219))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4"/>
      <c r="C220" s="51"/>
      <c r="D220" s="52"/>
      <c r="E220" s="118"/>
      <c r="F220" s="118"/>
      <c r="G220" s="54"/>
      <c r="H220" s="55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IF(ISBLANK($C220),"",IF(J220=Constants!$B$2, TRUE(), IF(J220=Constants!$B$3,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Constants!B223) * IF(X220, 1, Constants!B224),"")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IF($AE220=Constants!$B$7,IF(AND(T220,U220,W220),Constants!$B$9*AH220/$AH$6, 0),"")</f>
        <v/>
      </c>
      <c r="AK220" s="62" t="str">
        <f aca="false">IF(AJ220&lt;&gt;"", AJ220*AG220,"")</f>
        <v/>
      </c>
      <c r="AL220" s="62" t="str">
        <f aca="false">IF(AND($AE220=Constants!$B$7, T220, U220) ,IF($Z220="", "", 1-ABS($AA220-$Z220)/$AA220),"")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IF($AE220=Constants!$B$7,Constants!$B$8*AB220/$AP$6,"")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IF(ISBLANK(C220),"",IFERROR(_xlfn.SWITCH(BE220, Constants!$B$4, COUNTA($C$8:$C719)+2, Constants!$B$5, COUNTA($C$8:$C719)+1, Constants!$B$6, COUNTA($C$8:$C719)),BE220))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0"/>
      <c r="C221" s="121"/>
      <c r="D221" s="110"/>
      <c r="E221" s="114"/>
      <c r="F221" s="114"/>
      <c r="G221" s="86"/>
      <c r="H221" s="87"/>
      <c r="I221" s="123"/>
      <c r="J221" s="123"/>
      <c r="K221" s="123"/>
      <c r="L221" s="89"/>
      <c r="M221" s="89"/>
      <c r="N221" s="89"/>
      <c r="O221" s="90"/>
      <c r="P221" s="91"/>
      <c r="Q221" s="123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4" t="str">
        <f aca="false">IF(ISBLANK($C221),"",IF(J221=Constants!$B$2, TRUE(), IF(J221=Constants!$B$3,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Constants!B224) * IF(X221, 1, Constants!B225),"")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IF($AE221=Constants!$B$7,IF(AND(T221,U221,W221),Constants!$B$9*AH221/$AH$6, 0),"")</f>
        <v/>
      </c>
      <c r="AK221" s="94" t="str">
        <f aca="false">IF(AJ221&lt;&gt;"", AJ221*AG221,"")</f>
        <v/>
      </c>
      <c r="AL221" s="94" t="str">
        <f aca="false">IF(AND($AE221=Constants!$B$7, T221, U221) ,IF($Z221="", "", 1-ABS($AA221-$Z221)/$AA221),"")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,IF(AND(T221,U221,W221,ISNUMBER(Z221)),Constants!$B$10*AL221/$AL$6, 0),"")</f>
        <v/>
      </c>
      <c r="AO221" s="94" t="str">
        <f aca="false">IF(AN221&lt;&gt;"", AN221*AG221,"")</f>
        <v/>
      </c>
      <c r="AP221" s="94" t="str">
        <f aca="false">IF($AE221=Constants!$B$7,Constants!$B$8*AB221/$AP$6,"")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IF(ISBLANK(C221),"",IFERROR(_xlfn.SWITCH(BE221, Constants!$B$4, COUNTA($C$8:$C720)+2, Constants!$B$5, COUNTA($C$8:$C720)+1, Constants!$B$6, COUNTA($C$8:$C720)),BE221))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0"/>
      <c r="C222" s="121"/>
      <c r="D222" s="110"/>
      <c r="E222" s="114"/>
      <c r="F222" s="114"/>
      <c r="G222" s="86"/>
      <c r="H222" s="87"/>
      <c r="I222" s="123"/>
      <c r="J222" s="123"/>
      <c r="K222" s="123"/>
      <c r="L222" s="89"/>
      <c r="M222" s="89"/>
      <c r="N222" s="89"/>
      <c r="O222" s="90"/>
      <c r="P222" s="91"/>
      <c r="Q222" s="123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4" t="str">
        <f aca="false">IF(ISBLANK($C222),"",IF(J222=Constants!$B$2, TRUE(), IF(J222=Constants!$B$3,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Constants!B225) * IF(X222, 1, Constants!B226),"")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IF($AE222=Constants!$B$7,IF(AND(T222,U222,W222),Constants!$B$9*AH222/$AH$6, 0),"")</f>
        <v/>
      </c>
      <c r="AK222" s="94" t="str">
        <f aca="false">IF(AJ222&lt;&gt;"", AJ222*AG222,"")</f>
        <v/>
      </c>
      <c r="AL222" s="94" t="str">
        <f aca="false">IF(AND($AE222=Constants!$B$7, T222, U222) ,IF($Z222="", "", 1-ABS($AA222-$Z222)/$AA222),"")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,IF(AND(T222,U222,W222,ISNUMBER(Z222)),Constants!$B$10*AL222/$AL$6, 0),"")</f>
        <v/>
      </c>
      <c r="AO222" s="94" t="str">
        <f aca="false">IF(AN222&lt;&gt;"", AN222*AG222,"")</f>
        <v/>
      </c>
      <c r="AP222" s="94" t="str">
        <f aca="false">IF($AE222=Constants!$B$7,Constants!$B$8*AB222/$AP$6,"")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IF(ISBLANK(C222),"",IFERROR(_xlfn.SWITCH(BE222, Constants!$B$4, COUNTA($C$8:$C721)+2, Constants!$B$5, COUNTA($C$8:$C721)+1, Constants!$B$6, COUNTA($C$8:$C721)),BE222))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0"/>
      <c r="C223" s="121"/>
      <c r="D223" s="110"/>
      <c r="E223" s="114"/>
      <c r="F223" s="114"/>
      <c r="G223" s="86"/>
      <c r="H223" s="87"/>
      <c r="I223" s="123"/>
      <c r="J223" s="123"/>
      <c r="K223" s="123"/>
      <c r="L223" s="89"/>
      <c r="M223" s="89"/>
      <c r="N223" s="89"/>
      <c r="O223" s="90"/>
      <c r="P223" s="91"/>
      <c r="Q223" s="123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4" t="str">
        <f aca="false">IF(ISBLANK($C223),"",IF(J223=Constants!$B$2, TRUE(), IF(J223=Constants!$B$3,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Constants!B226) * IF(X223, 1, Constants!B227),"")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IF($AE223=Constants!$B$7,IF(AND(T223,U223,W223),Constants!$B$9*AH223/$AH$6, 0),"")</f>
        <v/>
      </c>
      <c r="AK223" s="94" t="str">
        <f aca="false">IF(AJ223&lt;&gt;"", AJ223*AG223,"")</f>
        <v/>
      </c>
      <c r="AL223" s="94" t="str">
        <f aca="false">IF(AND($AE223=Constants!$B$7, T223, U223) ,IF($Z223="", "", 1-ABS($AA223-$Z223)/$AA223),"")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,IF(AND(T223,U223,W223,ISNUMBER(Z223)),Constants!$B$10*AL223/$AL$6, 0),"")</f>
        <v/>
      </c>
      <c r="AO223" s="94" t="str">
        <f aca="false">IF(AN223&lt;&gt;"", AN223*AG223,"")</f>
        <v/>
      </c>
      <c r="AP223" s="94" t="str">
        <f aca="false">IF($AE223=Constants!$B$7,Constants!$B$8*AB223/$AP$6,"")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IF(ISBLANK(C223),"",IFERROR(_xlfn.SWITCH(BE223, Constants!$B$4, COUNTA($C$8:$C722)+2, Constants!$B$5, COUNTA($C$8:$C722)+1, Constants!$B$6, COUNTA($C$8:$C722)),BE223))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4"/>
      <c r="C224" s="51"/>
      <c r="D224" s="52"/>
      <c r="E224" s="118"/>
      <c r="F224" s="118"/>
      <c r="G224" s="54"/>
      <c r="H224" s="55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IF(ISBLANK($C224),"",IF(J224=Constants!$B$2, TRUE(), IF(J224=Constants!$B$3,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Constants!B227) * IF(X224, 1, Constants!B228),"")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IF($AE224=Constants!$B$7,IF(AND(T224,U224,W224),Constants!$B$9*AH224/$AH$6, 0),"")</f>
        <v/>
      </c>
      <c r="AK224" s="62" t="str">
        <f aca="false">IF(AJ224&lt;&gt;"", AJ224*AG224,"")</f>
        <v/>
      </c>
      <c r="AL224" s="62" t="str">
        <f aca="false">IF(AND($AE224=Constants!$B$7, T224, U224) ,IF($Z224="", "", 1-ABS($AA224-$Z224)/$AA224),"")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IF($AE224=Constants!$B$7,Constants!$B$8*AB224/$AP$6,"")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IF(ISBLANK(C224),"",IFERROR(_xlfn.SWITCH(BE224, Constants!$B$4, COUNTA($C$8:$C723)+2, Constants!$B$5, COUNTA($C$8:$C723)+1, Constants!$B$6, COUNTA($C$8:$C723)),BE224))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4"/>
      <c r="C225" s="51"/>
      <c r="D225" s="52"/>
      <c r="E225" s="118"/>
      <c r="F225" s="118"/>
      <c r="G225" s="54"/>
      <c r="H225" s="55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IF(ISBLANK($C225),"",IF(J225=Constants!$B$2, TRUE(), IF(J225=Constants!$B$3,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Constants!B228) * IF(X225, 1, Constants!B229),"")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IF($AE225=Constants!$B$7,IF(AND(T225,U225,W225),Constants!$B$9*AH225/$AH$6, 0),"")</f>
        <v/>
      </c>
      <c r="AK225" s="62" t="str">
        <f aca="false">IF(AJ225&lt;&gt;"", AJ225*AG225,"")</f>
        <v/>
      </c>
      <c r="AL225" s="62" t="str">
        <f aca="false">IF(AND($AE225=Constants!$B$7, T225, U225) ,IF($Z225="", "", 1-ABS($AA225-$Z225)/$AA225),"")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IF($AE225=Constants!$B$7,Constants!$B$8*AB225/$AP$6,"")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IF(ISBLANK(C225),"",IFERROR(_xlfn.SWITCH(BE225, Constants!$B$4, COUNTA($C$8:$C724)+2, Constants!$B$5, COUNTA($C$8:$C724)+1, Constants!$B$6, COUNTA($C$8:$C724)),BE225))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4"/>
      <c r="C226" s="51"/>
      <c r="D226" s="52"/>
      <c r="E226" s="118"/>
      <c r="F226" s="118"/>
      <c r="G226" s="54"/>
      <c r="H226" s="55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IF(ISBLANK($C226),"",IF(J226=Constants!$B$2, TRUE(), IF(J226=Constants!$B$3,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Constants!B229) * IF(X226, 1, Constants!B230),"")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IF($AE226=Constants!$B$7,IF(AND(T226,U226,W226),Constants!$B$9*AH226/$AH$6, 0),"")</f>
        <v/>
      </c>
      <c r="AK226" s="62" t="str">
        <f aca="false">IF(AJ226&lt;&gt;"", AJ226*AG226,"")</f>
        <v/>
      </c>
      <c r="AL226" s="62" t="str">
        <f aca="false">IF(AND($AE226=Constants!$B$7, T226, U226) ,IF($Z226="", "", 1-ABS($AA226-$Z226)/$AA226),"")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IF($AE226=Constants!$B$7,Constants!$B$8*AB226/$AP$6,"")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IF(ISBLANK(C226),"",IFERROR(_xlfn.SWITCH(BE226, Constants!$B$4, COUNTA($C$8:$C725)+2, Constants!$B$5, COUNTA($C$8:$C725)+1, Constants!$B$6, COUNTA($C$8:$C725)),BE226))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0"/>
      <c r="C227" s="121"/>
      <c r="D227" s="110"/>
      <c r="E227" s="114"/>
      <c r="F227" s="114"/>
      <c r="G227" s="86"/>
      <c r="H227" s="87"/>
      <c r="I227" s="123"/>
      <c r="J227" s="123"/>
      <c r="K227" s="123"/>
      <c r="L227" s="89"/>
      <c r="M227" s="89"/>
      <c r="N227" s="89"/>
      <c r="O227" s="90"/>
      <c r="P227" s="91"/>
      <c r="Q227" s="123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4" t="str">
        <f aca="false">IF(ISBLANK($C227),"",IF(J227=Constants!$B$2, TRUE(), IF(J227=Constants!$B$3,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Constants!B230) * IF(X227, 1, Constants!B231),"")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IF($AE227=Constants!$B$7,IF(AND(T227,U227,W227),Constants!$B$9*AH227/$AH$6, 0),"")</f>
        <v/>
      </c>
      <c r="AK227" s="94" t="str">
        <f aca="false">IF(AJ227&lt;&gt;"", AJ227*AG227,"")</f>
        <v/>
      </c>
      <c r="AL227" s="94" t="str">
        <f aca="false">IF(AND($AE227=Constants!$B$7, T227, U227) ,IF($Z227="", "", 1-ABS($AA227-$Z227)/$AA227),"")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,IF(AND(T227,U227,W227,ISNUMBER(Z227)),Constants!$B$10*AL227/$AL$6, 0),"")</f>
        <v/>
      </c>
      <c r="AO227" s="94" t="str">
        <f aca="false">IF(AN227&lt;&gt;"", AN227*AG227,"")</f>
        <v/>
      </c>
      <c r="AP227" s="94" t="str">
        <f aca="false">IF($AE227=Constants!$B$7,Constants!$B$8*AB227/$AP$6,"")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IF(ISBLANK(C227),"",IFERROR(_xlfn.SWITCH(BE227, Constants!$B$4, COUNTA($C$8:$C726)+2, Constants!$B$5, COUNTA($C$8:$C726)+1, Constants!$B$6, COUNTA($C$8:$C726)),BE227))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0"/>
      <c r="C228" s="121"/>
      <c r="D228" s="110"/>
      <c r="E228" s="114"/>
      <c r="F228" s="114"/>
      <c r="G228" s="86"/>
      <c r="H228" s="87"/>
      <c r="I228" s="123"/>
      <c r="J228" s="123"/>
      <c r="K228" s="123"/>
      <c r="L228" s="89"/>
      <c r="M228" s="89"/>
      <c r="N228" s="89"/>
      <c r="O228" s="90"/>
      <c r="P228" s="91"/>
      <c r="Q228" s="123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4" t="str">
        <f aca="false">IF(ISBLANK($C228),"",IF(J228=Constants!$B$2, TRUE(), IF(J228=Constants!$B$3,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Constants!B231) * IF(X228, 1, Constants!B232),"")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IF($AE228=Constants!$B$7,IF(AND(T228,U228,W228),Constants!$B$9*AH228/$AH$6, 0),"")</f>
        <v/>
      </c>
      <c r="AK228" s="94" t="str">
        <f aca="false">IF(AJ228&lt;&gt;"", AJ228*AG228,"")</f>
        <v/>
      </c>
      <c r="AL228" s="94" t="str">
        <f aca="false">IF(AND($AE228=Constants!$B$7, T228, U228) ,IF($Z228="", "", 1-ABS($AA228-$Z228)/$AA228),"")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,IF(AND(T228,U228,W228,ISNUMBER(Z228)),Constants!$B$10*AL228/$AL$6, 0),"")</f>
        <v/>
      </c>
      <c r="AO228" s="94" t="str">
        <f aca="false">IF(AN228&lt;&gt;"", AN228*AG228,"")</f>
        <v/>
      </c>
      <c r="AP228" s="94" t="str">
        <f aca="false">IF($AE228=Constants!$B$7,Constants!$B$8*AB228/$AP$6,"")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IF(ISBLANK(C228),"",IFERROR(_xlfn.SWITCH(BE228, Constants!$B$4, COUNTA($C$8:$C727)+2, Constants!$B$5, COUNTA($C$8:$C727)+1, Constants!$B$6, COUNTA($C$8:$C727)),BE228))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0"/>
      <c r="C229" s="121"/>
      <c r="D229" s="110"/>
      <c r="E229" s="114"/>
      <c r="F229" s="114"/>
      <c r="G229" s="86"/>
      <c r="H229" s="87"/>
      <c r="I229" s="123"/>
      <c r="J229" s="123"/>
      <c r="K229" s="123"/>
      <c r="L229" s="89"/>
      <c r="M229" s="89"/>
      <c r="N229" s="89"/>
      <c r="O229" s="90"/>
      <c r="P229" s="91"/>
      <c r="Q229" s="123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4" t="str">
        <f aca="false">IF(ISBLANK($C229),"",IF(J229=Constants!$B$2, TRUE(), IF(J229=Constants!$B$3,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Constants!B232) * IF(X229, 1, Constants!B233),"")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IF($AE229=Constants!$B$7,IF(AND(T229,U229,W229),Constants!$B$9*AH229/$AH$6, 0),"")</f>
        <v/>
      </c>
      <c r="AK229" s="94" t="str">
        <f aca="false">IF(AJ229&lt;&gt;"", AJ229*AG229,"")</f>
        <v/>
      </c>
      <c r="AL229" s="94" t="str">
        <f aca="false">IF(AND($AE229=Constants!$B$7, T229, U229) ,IF($Z229="", "", 1-ABS($AA229-$Z229)/$AA229),"")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,IF(AND(T229,U229,W229,ISNUMBER(Z229)),Constants!$B$10*AL229/$AL$6, 0),"")</f>
        <v/>
      </c>
      <c r="AO229" s="94" t="str">
        <f aca="false">IF(AN229&lt;&gt;"", AN229*AG229,"")</f>
        <v/>
      </c>
      <c r="AP229" s="94" t="str">
        <f aca="false">IF($AE229=Constants!$B$7,Constants!$B$8*AB229/$AP$6,"")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IF(ISBLANK(C229),"",IFERROR(_xlfn.SWITCH(BE229, Constants!$B$4, COUNTA($C$8:$C728)+2, Constants!$B$5, COUNTA($C$8:$C728)+1, Constants!$B$6, COUNTA($C$8:$C728)),BE229))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4"/>
      <c r="C230" s="51"/>
      <c r="D230" s="52"/>
      <c r="E230" s="118"/>
      <c r="F230" s="118"/>
      <c r="G230" s="54"/>
      <c r="H230" s="55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IF(ISBLANK($C230),"",IF(J230=Constants!$B$2, TRUE(), IF(J230=Constants!$B$3,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Constants!B233) * IF(X230, 1, Constants!B234),"")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IF($AE230=Constants!$B$7,IF(AND(T230,U230,W230),Constants!$B$9*AH230/$AH$6, 0),"")</f>
        <v/>
      </c>
      <c r="AK230" s="62" t="str">
        <f aca="false">IF(AJ230&lt;&gt;"", AJ230*AG230,"")</f>
        <v/>
      </c>
      <c r="AL230" s="62" t="str">
        <f aca="false">IF(AND($AE230=Constants!$B$7, T230, U230) ,IF($Z230="", "", 1-ABS($AA230-$Z230)/$AA230),"")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IF($AE230=Constants!$B$7,Constants!$B$8*AB230/$AP$6,"")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IF(ISBLANK(C230),"",IFERROR(_xlfn.SWITCH(BE230, Constants!$B$4, COUNTA($C$8:$C729)+2, Constants!$B$5, COUNTA($C$8:$C729)+1, Constants!$B$6, COUNTA($C$8:$C729)),BE230))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4"/>
      <c r="C231" s="51"/>
      <c r="D231" s="52"/>
      <c r="E231" s="118"/>
      <c r="F231" s="118"/>
      <c r="G231" s="54"/>
      <c r="H231" s="55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IF(ISBLANK($C231),"",IF(J231=Constants!$B$2, TRUE(), IF(J231=Constants!$B$3,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Constants!B234) * IF(X231, 1, Constants!B235),"")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IF($AE231=Constants!$B$7,IF(AND(T231,U231,W231),Constants!$B$9*AH231/$AH$6, 0),"")</f>
        <v/>
      </c>
      <c r="AK231" s="62" t="str">
        <f aca="false">IF(AJ231&lt;&gt;"", AJ231*AG231,"")</f>
        <v/>
      </c>
      <c r="AL231" s="62" t="str">
        <f aca="false">IF(AND($AE231=Constants!$B$7, T231, U231) ,IF($Z231="", "", 1-ABS($AA231-$Z231)/$AA231),"")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IF($AE231=Constants!$B$7,Constants!$B$8*AB231/$AP$6,"")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IF(ISBLANK(C231),"",IFERROR(_xlfn.SWITCH(BE231, Constants!$B$4, COUNTA($C$8:$C730)+2, Constants!$B$5, COUNTA($C$8:$C730)+1, Constants!$B$6, COUNTA($C$8:$C730)),BE231))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4"/>
      <c r="C232" s="51"/>
      <c r="D232" s="52"/>
      <c r="E232" s="118"/>
      <c r="F232" s="118"/>
      <c r="G232" s="54"/>
      <c r="H232" s="55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IF(ISBLANK($C232),"",IF(J232=Constants!$B$2, TRUE(), IF(J232=Constants!$B$3,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Constants!B235) * IF(X232, 1, Constants!B236),"")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IF($AE232=Constants!$B$7,IF(AND(T232,U232,W232),Constants!$B$9*AH232/$AH$6, 0),"")</f>
        <v/>
      </c>
      <c r="AK232" s="62" t="str">
        <f aca="false">IF(AJ232&lt;&gt;"", AJ232*AG232,"")</f>
        <v/>
      </c>
      <c r="AL232" s="62" t="str">
        <f aca="false">IF(AND($AE232=Constants!$B$7, T232, U232) ,IF($Z232="", "", 1-ABS($AA232-$Z232)/$AA232),"")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IF($AE232=Constants!$B$7,Constants!$B$8*AB232/$AP$6,"")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IF(ISBLANK(C232),"",IFERROR(_xlfn.SWITCH(BE232, Constants!$B$4, COUNTA($C$8:$C731)+2, Constants!$B$5, COUNTA($C$8:$C731)+1, Constants!$B$6, COUNTA($C$8:$C731)),BE232))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0"/>
      <c r="C233" s="121"/>
      <c r="D233" s="110"/>
      <c r="E233" s="114"/>
      <c r="F233" s="114"/>
      <c r="G233" s="86"/>
      <c r="H233" s="87"/>
      <c r="I233" s="123"/>
      <c r="J233" s="123"/>
      <c r="K233" s="123"/>
      <c r="L233" s="89"/>
      <c r="M233" s="89"/>
      <c r="N233" s="89"/>
      <c r="O233" s="90"/>
      <c r="P233" s="91"/>
      <c r="Q233" s="123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4" t="str">
        <f aca="false">IF(ISBLANK($C233),"",IF(J233=Constants!$B$2, TRUE(), IF(J233=Constants!$B$3,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Constants!B236) * IF(X233, 1, Constants!B237),"")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IF($AE233=Constants!$B$7,IF(AND(T233,U233,W233),Constants!$B$9*AH233/$AH$6, 0),"")</f>
        <v/>
      </c>
      <c r="AK233" s="94" t="str">
        <f aca="false">IF(AJ233&lt;&gt;"", AJ233*AG233,"")</f>
        <v/>
      </c>
      <c r="AL233" s="94" t="str">
        <f aca="false">IF(AND($AE233=Constants!$B$7, T233, U233) ,IF($Z233="", "", 1-ABS($AA233-$Z233)/$AA233),"")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,IF(AND(T233,U233,W233,ISNUMBER(Z233)),Constants!$B$10*AL233/$AL$6, 0),"")</f>
        <v/>
      </c>
      <c r="AO233" s="94" t="str">
        <f aca="false">IF(AN233&lt;&gt;"", AN233*AG233,"")</f>
        <v/>
      </c>
      <c r="AP233" s="94" t="str">
        <f aca="false">IF($AE233=Constants!$B$7,Constants!$B$8*AB233/$AP$6,"")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IF(ISBLANK(C233),"",IFERROR(_xlfn.SWITCH(BE233, Constants!$B$4, COUNTA($C$8:$C732)+2, Constants!$B$5, COUNTA($C$8:$C732)+1, Constants!$B$6, COUNTA($C$8:$C732)),BE233))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0"/>
      <c r="C234" s="121"/>
      <c r="D234" s="110"/>
      <c r="E234" s="114"/>
      <c r="F234" s="114"/>
      <c r="G234" s="86"/>
      <c r="H234" s="87"/>
      <c r="I234" s="123"/>
      <c r="J234" s="123"/>
      <c r="K234" s="123"/>
      <c r="L234" s="89"/>
      <c r="M234" s="89"/>
      <c r="N234" s="89"/>
      <c r="O234" s="90"/>
      <c r="P234" s="91"/>
      <c r="Q234" s="123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4" t="str">
        <f aca="false">IF(ISBLANK($C234),"",IF(J234=Constants!$B$2, TRUE(), IF(J234=Constants!$B$3,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Constants!B237) * IF(X234, 1, Constants!B238),"")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IF($AE234=Constants!$B$7,IF(AND(T234,U234,W234),Constants!$B$9*AH234/$AH$6, 0),"")</f>
        <v/>
      </c>
      <c r="AK234" s="94" t="str">
        <f aca="false">IF(AJ234&lt;&gt;"", AJ234*AG234,"")</f>
        <v/>
      </c>
      <c r="AL234" s="94" t="str">
        <f aca="false">IF(AND($AE234=Constants!$B$7, T234, U234) ,IF($Z234="", "", 1-ABS($AA234-$Z234)/$AA234),"")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,IF(AND(T234,U234,W234,ISNUMBER(Z234)),Constants!$B$10*AL234/$AL$6, 0),"")</f>
        <v/>
      </c>
      <c r="AO234" s="94" t="str">
        <f aca="false">IF(AN234&lt;&gt;"", AN234*AG234,"")</f>
        <v/>
      </c>
      <c r="AP234" s="94" t="str">
        <f aca="false">IF($AE234=Constants!$B$7,Constants!$B$8*AB234/$AP$6,"")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IF(ISBLANK(C234),"",IFERROR(_xlfn.SWITCH(BE234, Constants!$B$4, COUNTA($C$8:$C733)+2, Constants!$B$5, COUNTA($C$8:$C733)+1, Constants!$B$6, COUNTA($C$8:$C733)),BE234))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0"/>
      <c r="C235" s="121"/>
      <c r="D235" s="110"/>
      <c r="E235" s="114"/>
      <c r="F235" s="114"/>
      <c r="G235" s="86"/>
      <c r="H235" s="87"/>
      <c r="I235" s="123"/>
      <c r="J235" s="123"/>
      <c r="K235" s="123"/>
      <c r="L235" s="89"/>
      <c r="M235" s="89"/>
      <c r="N235" s="89"/>
      <c r="O235" s="90"/>
      <c r="P235" s="91"/>
      <c r="Q235" s="123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4" t="str">
        <f aca="false">IF(ISBLANK($C235),"",IF(J235=Constants!$B$2, TRUE(), IF(J235=Constants!$B$3,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Constants!B238) * IF(X235, 1, Constants!B239),"")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IF($AE235=Constants!$B$7,IF(AND(T235,U235,W235),Constants!$B$9*AH235/$AH$6, 0),"")</f>
        <v/>
      </c>
      <c r="AK235" s="94" t="str">
        <f aca="false">IF(AJ235&lt;&gt;"", AJ235*AG235,"")</f>
        <v/>
      </c>
      <c r="AL235" s="94" t="str">
        <f aca="false">IF(AND($AE235=Constants!$B$7, T235, U235) ,IF($Z235="", "", 1-ABS($AA235-$Z235)/$AA235),"")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,IF(AND(T235,U235,W235,ISNUMBER(Z235)),Constants!$B$10*AL235/$AL$6, 0),"")</f>
        <v/>
      </c>
      <c r="AO235" s="94" t="str">
        <f aca="false">IF(AN235&lt;&gt;"", AN235*AG235,"")</f>
        <v/>
      </c>
      <c r="AP235" s="94" t="str">
        <f aca="false">IF($AE235=Constants!$B$7,Constants!$B$8*AB235/$AP$6,"")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IF(ISBLANK(C235),"",IFERROR(_xlfn.SWITCH(BE235, Constants!$B$4, COUNTA($C$8:$C734)+2, Constants!$B$5, COUNTA($C$8:$C734)+1, Constants!$B$6, COUNTA($C$8:$C734)),BE235))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4"/>
      <c r="C236" s="51"/>
      <c r="D236" s="52"/>
      <c r="E236" s="118"/>
      <c r="F236" s="118"/>
      <c r="G236" s="54"/>
      <c r="H236" s="55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IF(ISBLANK($C236),"",IF(J236=Constants!$B$2, TRUE(), IF(J236=Constants!$B$3,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Constants!B239) * IF(X236, 1, Constants!B240),"")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IF($AE236=Constants!$B$7,IF(AND(T236,U236,W236),Constants!$B$9*AH236/$AH$6, 0),"")</f>
        <v/>
      </c>
      <c r="AK236" s="62" t="str">
        <f aca="false">IF(AJ236&lt;&gt;"", AJ236*AG236,"")</f>
        <v/>
      </c>
      <c r="AL236" s="62" t="str">
        <f aca="false">IF(AND($AE236=Constants!$B$7, T236, U236) ,IF($Z236="", "", 1-ABS($AA236-$Z236)/$AA236),"")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IF($AE236=Constants!$B$7,Constants!$B$8*AB236/$AP$6,"")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IF(ISBLANK(C236),"",IFERROR(_xlfn.SWITCH(BE236, Constants!$B$4, COUNTA($C$8:$C735)+2, Constants!$B$5, COUNTA($C$8:$C735)+1, Constants!$B$6, COUNTA($C$8:$C735)),BE236))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4"/>
      <c r="C237" s="51"/>
      <c r="D237" s="52"/>
      <c r="E237" s="118"/>
      <c r="F237" s="118"/>
      <c r="G237" s="54"/>
      <c r="H237" s="55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IF(ISBLANK($C237),"",IF(J237=Constants!$B$2, TRUE(), IF(J237=Constants!$B$3,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Constants!B240) * IF(X237, 1, Constants!B241),"")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IF($AE237=Constants!$B$7,IF(AND(T237,U237,W237),Constants!$B$9*AH237/$AH$6, 0),"")</f>
        <v/>
      </c>
      <c r="AK237" s="62" t="str">
        <f aca="false">IF(AJ237&lt;&gt;"", AJ237*AG237,"")</f>
        <v/>
      </c>
      <c r="AL237" s="62" t="str">
        <f aca="false">IF(AND($AE237=Constants!$B$7, T237, U237) ,IF($Z237="", "", 1-ABS($AA237-$Z237)/$AA237),"")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IF($AE237=Constants!$B$7,Constants!$B$8*AB237/$AP$6,"")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IF(ISBLANK(C237),"",IFERROR(_xlfn.SWITCH(BE237, Constants!$B$4, COUNTA($C$8:$C736)+2, Constants!$B$5, COUNTA($C$8:$C736)+1, Constants!$B$6, COUNTA($C$8:$C736)),BE237))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4"/>
      <c r="C238" s="51"/>
      <c r="D238" s="52"/>
      <c r="E238" s="118"/>
      <c r="F238" s="118"/>
      <c r="G238" s="54"/>
      <c r="H238" s="55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IF(ISBLANK($C238),"",IF(J238=Constants!$B$2, TRUE(), IF(J238=Constants!$B$3,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Constants!B241) * IF(X238, 1, Constants!B242),"")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IF($AE238=Constants!$B$7,IF(AND(T238,U238,W238),Constants!$B$9*AH238/$AH$6, 0),"")</f>
        <v/>
      </c>
      <c r="AK238" s="62" t="str">
        <f aca="false">IF(AJ238&lt;&gt;"", AJ238*AG238,"")</f>
        <v/>
      </c>
      <c r="AL238" s="62" t="str">
        <f aca="false">IF(AND($AE238=Constants!$B$7, T238, U238) ,IF($Z238="", "", 1-ABS($AA238-$Z238)/$AA238),"")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IF($AE238=Constants!$B$7,Constants!$B$8*AB238/$AP$6,"")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IF(ISBLANK(C238),"",IFERROR(_xlfn.SWITCH(BE238, Constants!$B$4, COUNTA($C$8:$C737)+2, Constants!$B$5, COUNTA($C$8:$C737)+1, Constants!$B$6, COUNTA($C$8:$C737)),BE238))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0"/>
      <c r="C239" s="121"/>
      <c r="D239" s="110"/>
      <c r="E239" s="114"/>
      <c r="F239" s="114"/>
      <c r="G239" s="86"/>
      <c r="H239" s="87"/>
      <c r="I239" s="123"/>
      <c r="J239" s="123"/>
      <c r="K239" s="123"/>
      <c r="L239" s="89"/>
      <c r="M239" s="89"/>
      <c r="N239" s="89"/>
      <c r="O239" s="90"/>
      <c r="P239" s="91"/>
      <c r="Q239" s="123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4" t="str">
        <f aca="false">IF(ISBLANK($C239),"",IF(J239=Constants!$B$2, TRUE(), IF(J239=Constants!$B$3,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Constants!B242) * IF(X239, 1, Constants!B243),"")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IF($AE239=Constants!$B$7,IF(AND(T239,U239,W239),Constants!$B$9*AH239/$AH$6, 0),"")</f>
        <v/>
      </c>
      <c r="AK239" s="94" t="str">
        <f aca="false">IF(AJ239&lt;&gt;"", AJ239*AG239,"")</f>
        <v/>
      </c>
      <c r="AL239" s="94" t="str">
        <f aca="false">IF(AND($AE239=Constants!$B$7, T239, U239) ,IF($Z239="", "", 1-ABS($AA239-$Z239)/$AA239),"")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,IF(AND(T239,U239,W239,ISNUMBER(Z239)),Constants!$B$10*AL239/$AL$6, 0),"")</f>
        <v/>
      </c>
      <c r="AO239" s="94" t="str">
        <f aca="false">IF(AN239&lt;&gt;"", AN239*AG239,"")</f>
        <v/>
      </c>
      <c r="AP239" s="94" t="str">
        <f aca="false">IF($AE239=Constants!$B$7,Constants!$B$8*AB239/$AP$6,"")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IF(ISBLANK(C239),"",IFERROR(_xlfn.SWITCH(BE239, Constants!$B$4, COUNTA($C$8:$C738)+2, Constants!$B$5, COUNTA($C$8:$C738)+1, Constants!$B$6, COUNTA($C$8:$C738)),BE239))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0"/>
      <c r="C240" s="121"/>
      <c r="D240" s="110"/>
      <c r="E240" s="114"/>
      <c r="F240" s="114"/>
      <c r="G240" s="86"/>
      <c r="H240" s="87"/>
      <c r="I240" s="123"/>
      <c r="J240" s="123"/>
      <c r="K240" s="123"/>
      <c r="L240" s="89"/>
      <c r="M240" s="89"/>
      <c r="N240" s="89"/>
      <c r="O240" s="90"/>
      <c r="P240" s="91"/>
      <c r="Q240" s="123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4" t="str">
        <f aca="false">IF(ISBLANK($C240),"",IF(J240=Constants!$B$2, TRUE(), IF(J240=Constants!$B$3,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Constants!B243) * IF(X240, 1, Constants!B244),"")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IF($AE240=Constants!$B$7,IF(AND(T240,U240,W240),Constants!$B$9*AH240/$AH$6, 0),"")</f>
        <v/>
      </c>
      <c r="AK240" s="94" t="str">
        <f aca="false">IF(AJ240&lt;&gt;"", AJ240*AG240,"")</f>
        <v/>
      </c>
      <c r="AL240" s="94" t="str">
        <f aca="false">IF(AND($AE240=Constants!$B$7, T240, U240) ,IF($Z240="", "", 1-ABS($AA240-$Z240)/$AA240),"")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,IF(AND(T240,U240,W240,ISNUMBER(Z240)),Constants!$B$10*AL240/$AL$6, 0),"")</f>
        <v/>
      </c>
      <c r="AO240" s="94" t="str">
        <f aca="false">IF(AN240&lt;&gt;"", AN240*AG240,"")</f>
        <v/>
      </c>
      <c r="AP240" s="94" t="str">
        <f aca="false">IF($AE240=Constants!$B$7,Constants!$B$8*AB240/$AP$6,"")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IF(ISBLANK(C240),"",IFERROR(_xlfn.SWITCH(BE240, Constants!$B$4, COUNTA($C$8:$C739)+2, Constants!$B$5, COUNTA($C$8:$C739)+1, Constants!$B$6, COUNTA($C$8:$C739)),BE240))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0"/>
      <c r="C241" s="121"/>
      <c r="D241" s="110"/>
      <c r="E241" s="114"/>
      <c r="F241" s="114"/>
      <c r="G241" s="86"/>
      <c r="H241" s="87"/>
      <c r="I241" s="123"/>
      <c r="J241" s="123"/>
      <c r="K241" s="123"/>
      <c r="L241" s="89"/>
      <c r="M241" s="89"/>
      <c r="N241" s="89"/>
      <c r="O241" s="90"/>
      <c r="P241" s="91"/>
      <c r="Q241" s="123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4" t="str">
        <f aca="false">IF(ISBLANK($C241),"",IF(J241=Constants!$B$2, TRUE(), IF(J241=Constants!$B$3,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Constants!B244) * IF(X241, 1, Constants!B245),"")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IF($AE241=Constants!$B$7,IF(AND(T241,U241,W241),Constants!$B$9*AH241/$AH$6, 0),"")</f>
        <v/>
      </c>
      <c r="AK241" s="94" t="str">
        <f aca="false">IF(AJ241&lt;&gt;"", AJ241*AG241,"")</f>
        <v/>
      </c>
      <c r="AL241" s="94" t="str">
        <f aca="false">IF(AND($AE241=Constants!$B$7, T241, U241) ,IF($Z241="", "", 1-ABS($AA241-$Z241)/$AA241),"")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,IF(AND(T241,U241,W241,ISNUMBER(Z241)),Constants!$B$10*AL241/$AL$6, 0),"")</f>
        <v/>
      </c>
      <c r="AO241" s="94" t="str">
        <f aca="false">IF(AN241&lt;&gt;"", AN241*AG241,"")</f>
        <v/>
      </c>
      <c r="AP241" s="94" t="str">
        <f aca="false">IF($AE241=Constants!$B$7,Constants!$B$8*AB241/$AP$6,"")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IF(ISBLANK(C241),"",IFERROR(_xlfn.SWITCH(BE241, Constants!$B$4, COUNTA($C$8:$C740)+2, Constants!$B$5, COUNTA($C$8:$C740)+1, Constants!$B$6, COUNTA($C$8:$C740)),BE241))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4"/>
      <c r="C242" s="51"/>
      <c r="D242" s="52"/>
      <c r="E242" s="118"/>
      <c r="F242" s="118"/>
      <c r="G242" s="54"/>
      <c r="H242" s="55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IF(ISBLANK($C242),"",IF(J242=Constants!$B$2, TRUE(), IF(J242=Constants!$B$3,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Constants!B245) * IF(X242, 1, Constants!B246),"")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IF($AE242=Constants!$B$7,IF(AND(T242,U242,W242),Constants!$B$9*AH242/$AH$6, 0),"")</f>
        <v/>
      </c>
      <c r="AK242" s="62" t="str">
        <f aca="false">IF(AJ242&lt;&gt;"", AJ242*AG242,"")</f>
        <v/>
      </c>
      <c r="AL242" s="62" t="str">
        <f aca="false">IF(AND($AE242=Constants!$B$7, T242, U242) ,IF($Z242="", "", 1-ABS($AA242-$Z242)/$AA242),"")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IF($AE242=Constants!$B$7,Constants!$B$8*AB242/$AP$6,"")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IF(ISBLANK(C242),"",IFERROR(_xlfn.SWITCH(BE242, Constants!$B$4, COUNTA($C$8:$C741)+2, Constants!$B$5, COUNTA($C$8:$C741)+1, Constants!$B$6, COUNTA($C$8:$C741)),BE242))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4"/>
      <c r="C243" s="51"/>
      <c r="D243" s="52"/>
      <c r="E243" s="118"/>
      <c r="F243" s="118"/>
      <c r="G243" s="54"/>
      <c r="H243" s="55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IF(ISBLANK($C243),"",IF(J243=Constants!$B$2, TRUE(), IF(J243=Constants!$B$3,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Constants!B246) * IF(X243, 1, Constants!B247),"")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IF($AE243=Constants!$B$7,IF(AND(T243,U243,W243),Constants!$B$9*AH243/$AH$6, 0),"")</f>
        <v/>
      </c>
      <c r="AK243" s="62" t="str">
        <f aca="false">IF(AJ243&lt;&gt;"", AJ243*AG243,"")</f>
        <v/>
      </c>
      <c r="AL243" s="62" t="str">
        <f aca="false">IF(AND($AE243=Constants!$B$7, T243, U243) ,IF($Z243="", "", 1-ABS($AA243-$Z243)/$AA243),"")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IF($AE243=Constants!$B$7,Constants!$B$8*AB243/$AP$6,"")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IF(ISBLANK(C243),"",IFERROR(_xlfn.SWITCH(BE243, Constants!$B$4, COUNTA($C$8:$C742)+2, Constants!$B$5, COUNTA($C$8:$C742)+1, Constants!$B$6, COUNTA($C$8:$C742)),BE243))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4"/>
      <c r="C244" s="51"/>
      <c r="D244" s="52"/>
      <c r="E244" s="118"/>
      <c r="F244" s="118"/>
      <c r="G244" s="54"/>
      <c r="H244" s="55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IF(ISBLANK($C244),"",IF(J244=Constants!$B$2, TRUE(), IF(J244=Constants!$B$3,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Constants!B247) * IF(X244, 1, Constants!B248),"")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IF($AE244=Constants!$B$7,IF(AND(T244,U244,W244),Constants!$B$9*AH244/$AH$6, 0),"")</f>
        <v/>
      </c>
      <c r="AK244" s="62" t="str">
        <f aca="false">IF(AJ244&lt;&gt;"", AJ244*AG244,"")</f>
        <v/>
      </c>
      <c r="AL244" s="62" t="str">
        <f aca="false">IF(AND($AE244=Constants!$B$7, T244, U244) ,IF($Z244="", "", 1-ABS($AA244-$Z244)/$AA244),"")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IF($AE244=Constants!$B$7,Constants!$B$8*AB244/$AP$6,"")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IF(ISBLANK(C244),"",IFERROR(_xlfn.SWITCH(BE244, Constants!$B$4, COUNTA($C$8:$C743)+2, Constants!$B$5, COUNTA($C$8:$C743)+1, Constants!$B$6, COUNTA($C$8:$C743)),BE244))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0"/>
      <c r="C245" s="121"/>
      <c r="D245" s="110"/>
      <c r="E245" s="114"/>
      <c r="F245" s="114"/>
      <c r="G245" s="86"/>
      <c r="H245" s="87"/>
      <c r="I245" s="123"/>
      <c r="J245" s="123"/>
      <c r="K245" s="123"/>
      <c r="L245" s="89"/>
      <c r="M245" s="89"/>
      <c r="N245" s="89"/>
      <c r="O245" s="90"/>
      <c r="P245" s="91"/>
      <c r="Q245" s="123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4" t="str">
        <f aca="false">IF(ISBLANK($C245),"",IF(J245=Constants!$B$2, TRUE(), IF(J245=Constants!$B$3,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Constants!B248) * IF(X245, 1, Constants!B249),"")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IF($AE245=Constants!$B$7,IF(AND(T245,U245,W245),Constants!$B$9*AH245/$AH$6, 0),"")</f>
        <v/>
      </c>
      <c r="AK245" s="94" t="str">
        <f aca="false">IF(AJ245&lt;&gt;"", AJ245*AG245,"")</f>
        <v/>
      </c>
      <c r="AL245" s="94" t="str">
        <f aca="false">IF(AND($AE245=Constants!$B$7, T245, U245) ,IF($Z245="", "", 1-ABS($AA245-$Z245)/$AA245),"")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,IF(AND(T245,U245,W245,ISNUMBER(Z245)),Constants!$B$10*AL245/$AL$6, 0),"")</f>
        <v/>
      </c>
      <c r="AO245" s="94" t="str">
        <f aca="false">IF(AN245&lt;&gt;"", AN245*AG245,"")</f>
        <v/>
      </c>
      <c r="AP245" s="94" t="str">
        <f aca="false">IF($AE245=Constants!$B$7,Constants!$B$8*AB245/$AP$6,"")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IF(ISBLANK(C245),"",IFERROR(_xlfn.SWITCH(BE245, Constants!$B$4, COUNTA($C$8:$C744)+2, Constants!$B$5, COUNTA($C$8:$C744)+1, Constants!$B$6, COUNTA($C$8:$C744)),BE245))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0"/>
      <c r="C246" s="121"/>
      <c r="D246" s="110"/>
      <c r="E246" s="114"/>
      <c r="F246" s="114"/>
      <c r="G246" s="86"/>
      <c r="H246" s="87"/>
      <c r="I246" s="123"/>
      <c r="J246" s="123"/>
      <c r="K246" s="123"/>
      <c r="L246" s="89"/>
      <c r="M246" s="89"/>
      <c r="N246" s="89"/>
      <c r="O246" s="90"/>
      <c r="P246" s="91"/>
      <c r="Q246" s="123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4" t="str">
        <f aca="false">IF(ISBLANK($C246),"",IF(J246=Constants!$B$2, TRUE(), IF(J246=Constants!$B$3,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Constants!B249) * IF(X246, 1, Constants!B250),"")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IF($AE246=Constants!$B$7,IF(AND(T246,U246,W246),Constants!$B$9*AH246/$AH$6, 0),"")</f>
        <v/>
      </c>
      <c r="AK246" s="94" t="str">
        <f aca="false">IF(AJ246&lt;&gt;"", AJ246*AG246,"")</f>
        <v/>
      </c>
      <c r="AL246" s="94" t="str">
        <f aca="false">IF(AND($AE246=Constants!$B$7, T246, U246) ,IF($Z246="", "", 1-ABS($AA246-$Z246)/$AA246),"")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,IF(AND(T246,U246,W246,ISNUMBER(Z246)),Constants!$B$10*AL246/$AL$6, 0),"")</f>
        <v/>
      </c>
      <c r="AO246" s="94" t="str">
        <f aca="false">IF(AN246&lt;&gt;"", AN246*AG246,"")</f>
        <v/>
      </c>
      <c r="AP246" s="94" t="str">
        <f aca="false">IF($AE246=Constants!$B$7,Constants!$B$8*AB246/$AP$6,"")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IF(ISBLANK(C246),"",IFERROR(_xlfn.SWITCH(BE246, Constants!$B$4, COUNTA($C$8:$C745)+2, Constants!$B$5, COUNTA($C$8:$C745)+1, Constants!$B$6, COUNTA($C$8:$C745)),BE246))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0"/>
      <c r="C247" s="121"/>
      <c r="D247" s="110"/>
      <c r="E247" s="114"/>
      <c r="F247" s="114"/>
      <c r="G247" s="86"/>
      <c r="H247" s="87"/>
      <c r="I247" s="123"/>
      <c r="J247" s="123"/>
      <c r="K247" s="123"/>
      <c r="L247" s="89"/>
      <c r="M247" s="89"/>
      <c r="N247" s="89"/>
      <c r="O247" s="90"/>
      <c r="P247" s="91"/>
      <c r="Q247" s="123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4" t="str">
        <f aca="false">IF(ISBLANK($C247),"",IF(J247=Constants!$B$2, TRUE(), IF(J247=Constants!$B$3,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Constants!B250) * IF(X247, 1, Constants!B251),"")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IF($AE247=Constants!$B$7,IF(AND(T247,U247,W247),Constants!$B$9*AH247/$AH$6, 0),"")</f>
        <v/>
      </c>
      <c r="AK247" s="94" t="str">
        <f aca="false">IF(AJ247&lt;&gt;"", AJ247*AG247,"")</f>
        <v/>
      </c>
      <c r="AL247" s="94" t="str">
        <f aca="false">IF(AND($AE247=Constants!$B$7, T247, U247) ,IF($Z247="", "", 1-ABS($AA247-$Z247)/$AA247),"")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,IF(AND(T247,U247,W247,ISNUMBER(Z247)),Constants!$B$10*AL247/$AL$6, 0),"")</f>
        <v/>
      </c>
      <c r="AO247" s="94" t="str">
        <f aca="false">IF(AN247&lt;&gt;"", AN247*AG247,"")</f>
        <v/>
      </c>
      <c r="AP247" s="94" t="str">
        <f aca="false">IF($AE247=Constants!$B$7,Constants!$B$8*AB247/$AP$6,"")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IF(ISBLANK(C247),"",IFERROR(_xlfn.SWITCH(BE247, Constants!$B$4, COUNTA($C$8:$C746)+2, Constants!$B$5, COUNTA($C$8:$C746)+1, Constants!$B$6, COUNTA($C$8:$C746)),BE247))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4"/>
      <c r="C248" s="51"/>
      <c r="D248" s="52"/>
      <c r="E248" s="118"/>
      <c r="F248" s="118"/>
      <c r="G248" s="54"/>
      <c r="H248" s="55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IF(ISBLANK($C248),"",IF(J248=Constants!$B$2, TRUE(), IF(J248=Constants!$B$3,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Constants!B251) * IF(X248, 1, Constants!B252),"")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IF($AE248=Constants!$B$7,IF(AND(T248,U248,W248),Constants!$B$9*AH248/$AH$6, 0),"")</f>
        <v/>
      </c>
      <c r="AK248" s="62" t="str">
        <f aca="false">IF(AJ248&lt;&gt;"", AJ248*AG248,"")</f>
        <v/>
      </c>
      <c r="AL248" s="62" t="str">
        <f aca="false">IF(AND($AE248=Constants!$B$7, T248, U248) ,IF($Z248="", "", 1-ABS($AA248-$Z248)/$AA248),"")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IF($AE248=Constants!$B$7,Constants!$B$8*AB248/$AP$6,"")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IF(ISBLANK(C248),"",IFERROR(_xlfn.SWITCH(BE248, Constants!$B$4, COUNTA($C$8:$C747)+2, Constants!$B$5, COUNTA($C$8:$C747)+1, Constants!$B$6, COUNTA($C$8:$C747)),BE248))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4"/>
      <c r="C249" s="51"/>
      <c r="D249" s="52"/>
      <c r="E249" s="118"/>
      <c r="F249" s="118"/>
      <c r="G249" s="54"/>
      <c r="H249" s="55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IF(ISBLANK($C249),"",IF(J249=Constants!$B$2, TRUE(), IF(J249=Constants!$B$3,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Constants!B252) * IF(X249, 1, Constants!B253),"")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IF($AE249=Constants!$B$7,IF(AND(T249,U249,W249),Constants!$B$9*AH249/$AH$6, 0),"")</f>
        <v/>
      </c>
      <c r="AK249" s="62" t="str">
        <f aca="false">IF(AJ249&lt;&gt;"", AJ249*AG249,"")</f>
        <v/>
      </c>
      <c r="AL249" s="62" t="str">
        <f aca="false">IF(AND($AE249=Constants!$B$7, T249, U249) ,IF($Z249="", "", 1-ABS($AA249-$Z249)/$AA249),"")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IF($AE249=Constants!$B$7,Constants!$B$8*AB249/$AP$6,"")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IF(ISBLANK(C249),"",IFERROR(_xlfn.SWITCH(BE249, Constants!$B$4, COUNTA($C$8:$C748)+2, Constants!$B$5, COUNTA($C$8:$C748)+1, Constants!$B$6, COUNTA($C$8:$C748)),BE249))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4"/>
      <c r="C250" s="51"/>
      <c r="D250" s="52"/>
      <c r="E250" s="118"/>
      <c r="F250" s="118"/>
      <c r="G250" s="54"/>
      <c r="H250" s="55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IF(ISBLANK($C250),"",IF(J250=Constants!$B$2, TRUE(), IF(J250=Constants!$B$3,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Constants!B253) * IF(X250, 1, Constants!B254),"")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IF($AE250=Constants!$B$7,IF(AND(T250,U250,W250),Constants!$B$9*AH250/$AH$6, 0),"")</f>
        <v/>
      </c>
      <c r="AK250" s="62" t="str">
        <f aca="false">IF(AJ250&lt;&gt;"", AJ250*AG250,"")</f>
        <v/>
      </c>
      <c r="AL250" s="62" t="str">
        <f aca="false">IF(AND($AE250=Constants!$B$7, T250, U250) ,IF($Z250="", "", 1-ABS($AA250-$Z250)/$AA250),"")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IF($AE250=Constants!$B$7,Constants!$B$8*AB250/$AP$6,"")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IF(ISBLANK(C250),"",IFERROR(_xlfn.SWITCH(BE250, Constants!$B$4, COUNTA($C$8:$C749)+2, Constants!$B$5, COUNTA($C$8:$C749)+1, Constants!$B$6, COUNTA($C$8:$C749)),BE250))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0"/>
      <c r="C251" s="121"/>
      <c r="D251" s="110"/>
      <c r="E251" s="114"/>
      <c r="F251" s="114"/>
      <c r="G251" s="86"/>
      <c r="H251" s="87"/>
      <c r="I251" s="123"/>
      <c r="J251" s="123"/>
      <c r="K251" s="123"/>
      <c r="L251" s="89"/>
      <c r="M251" s="89"/>
      <c r="N251" s="89"/>
      <c r="O251" s="90"/>
      <c r="P251" s="91"/>
      <c r="Q251" s="123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4" t="str">
        <f aca="false">IF(ISBLANK($C251),"",IF(J251=Constants!$B$2, TRUE(), IF(J251=Constants!$B$3,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Constants!B254) * IF(X251, 1, Constants!B255),"")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IF($AE251=Constants!$B$7,IF(AND(T251,U251,W251),Constants!$B$9*AH251/$AH$6, 0),"")</f>
        <v/>
      </c>
      <c r="AK251" s="94" t="str">
        <f aca="false">IF(AJ251&lt;&gt;"", AJ251*AG251,"")</f>
        <v/>
      </c>
      <c r="AL251" s="94" t="str">
        <f aca="false">IF(AND($AE251=Constants!$B$7, T251, U251) ,IF($Z251="", "", 1-ABS($AA251-$Z251)/$AA251),"")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,IF(AND(T251,U251,W251,ISNUMBER(Z251)),Constants!$B$10*AL251/$AL$6, 0),"")</f>
        <v/>
      </c>
      <c r="AO251" s="94" t="str">
        <f aca="false">IF(AN251&lt;&gt;"", AN251*AG251,"")</f>
        <v/>
      </c>
      <c r="AP251" s="94" t="str">
        <f aca="false">IF($AE251=Constants!$B$7,Constants!$B$8*AB251/$AP$6,"")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IF(ISBLANK(C251),"",IFERROR(_xlfn.SWITCH(BE251, Constants!$B$4, COUNTA($C$8:$C750)+2, Constants!$B$5, COUNTA($C$8:$C750)+1, Constants!$B$6, COUNTA($C$8:$C750)),BE251))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0"/>
      <c r="C252" s="121"/>
      <c r="D252" s="110"/>
      <c r="E252" s="114"/>
      <c r="F252" s="114"/>
      <c r="G252" s="86"/>
      <c r="H252" s="87"/>
      <c r="I252" s="123"/>
      <c r="J252" s="123"/>
      <c r="K252" s="123"/>
      <c r="L252" s="89"/>
      <c r="M252" s="89"/>
      <c r="N252" s="89"/>
      <c r="O252" s="90"/>
      <c r="P252" s="91"/>
      <c r="Q252" s="123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4" t="str">
        <f aca="false">IF(ISBLANK($C252),"",IF(J252=Constants!$B$2, TRUE(), IF(J252=Constants!$B$3,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Constants!B255) * IF(X252, 1, Constants!B256),"")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IF($AE252=Constants!$B$7,IF(AND(T252,U252,W252),Constants!$B$9*AH252/$AH$6, 0),"")</f>
        <v/>
      </c>
      <c r="AK252" s="94" t="str">
        <f aca="false">IF(AJ252&lt;&gt;"", AJ252*AG252,"")</f>
        <v/>
      </c>
      <c r="AL252" s="94" t="str">
        <f aca="false">IF(AND($AE252=Constants!$B$7, T252, U252) ,IF($Z252="", "", 1-ABS($AA252-$Z252)/$AA252),"")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,IF(AND(T252,U252,W252,ISNUMBER(Z252)),Constants!$B$10*AL252/$AL$6, 0),"")</f>
        <v/>
      </c>
      <c r="AO252" s="94" t="str">
        <f aca="false">IF(AN252&lt;&gt;"", AN252*AG252,"")</f>
        <v/>
      </c>
      <c r="AP252" s="94" t="str">
        <f aca="false">IF($AE252=Constants!$B$7,Constants!$B$8*AB252/$AP$6,"")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IF(ISBLANK(C252),"",IFERROR(_xlfn.SWITCH(BE252, Constants!$B$4, COUNTA($C$8:$C751)+2, Constants!$B$5, COUNTA($C$8:$C751)+1, Constants!$B$6, COUNTA($C$8:$C751)),BE252))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0"/>
      <c r="C253" s="121"/>
      <c r="D253" s="110"/>
      <c r="E253" s="114"/>
      <c r="F253" s="114"/>
      <c r="G253" s="86"/>
      <c r="H253" s="87"/>
      <c r="I253" s="123"/>
      <c r="J253" s="123"/>
      <c r="K253" s="123"/>
      <c r="L253" s="89"/>
      <c r="M253" s="89"/>
      <c r="N253" s="89"/>
      <c r="O253" s="90"/>
      <c r="P253" s="91"/>
      <c r="Q253" s="123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4" t="str">
        <f aca="false">IF(ISBLANK($C253),"",IF(J253=Constants!$B$2, TRUE(), IF(J253=Constants!$B$3,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Constants!B256) * IF(X253, 1, Constants!B257),"")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IF($AE253=Constants!$B$7,IF(AND(T253,U253,W253),Constants!$B$9*AH253/$AH$6, 0),"")</f>
        <v/>
      </c>
      <c r="AK253" s="94" t="str">
        <f aca="false">IF(AJ253&lt;&gt;"", AJ253*AG253,"")</f>
        <v/>
      </c>
      <c r="AL253" s="94" t="str">
        <f aca="false">IF(AND($AE253=Constants!$B$7, T253, U253) ,IF($Z253="", "", 1-ABS($AA253-$Z253)/$AA253),"")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,IF(AND(T253,U253,W253,ISNUMBER(Z253)),Constants!$B$10*AL253/$AL$6, 0),"")</f>
        <v/>
      </c>
      <c r="AO253" s="94" t="str">
        <f aca="false">IF(AN253&lt;&gt;"", AN253*AG253,"")</f>
        <v/>
      </c>
      <c r="AP253" s="94" t="str">
        <f aca="false">IF($AE253=Constants!$B$7,Constants!$B$8*AB253/$AP$6,"")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IF(ISBLANK(C253),"",IFERROR(_xlfn.SWITCH(BE253, Constants!$B$4, COUNTA($C$8:$C752)+2, Constants!$B$5, COUNTA($C$8:$C752)+1, Constants!$B$6, COUNTA($C$8:$C752)),BE253))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4"/>
      <c r="C254" s="51"/>
      <c r="D254" s="52"/>
      <c r="E254" s="118"/>
      <c r="F254" s="118"/>
      <c r="G254" s="54"/>
      <c r="H254" s="55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IF(ISBLANK($C254),"",IF(J254=Constants!$B$2, TRUE(), IF(J254=Constants!$B$3,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Constants!B257) * IF(X254, 1, Constants!B258),"")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IF($AE254=Constants!$B$7,IF(AND(T254,U254,W254),Constants!$B$9*AH254/$AH$6, 0),"")</f>
        <v/>
      </c>
      <c r="AK254" s="62" t="str">
        <f aca="false">IF(AJ254&lt;&gt;"", AJ254*AG254,"")</f>
        <v/>
      </c>
      <c r="AL254" s="62" t="str">
        <f aca="false">IF(AND($AE254=Constants!$B$7, T254, U254) ,IF($Z254="", "", 1-ABS($AA254-$Z254)/$AA254),"")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IF($AE254=Constants!$B$7,Constants!$B$8*AB254/$AP$6,"")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IF(ISBLANK(C254),"",IFERROR(_xlfn.SWITCH(BE254, Constants!$B$4, COUNTA($C$8:$C753)+2, Constants!$B$5, COUNTA($C$8:$C753)+1, Constants!$B$6, COUNTA($C$8:$C753)),BE254))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4"/>
      <c r="C255" s="51"/>
      <c r="D255" s="52"/>
      <c r="E255" s="118"/>
      <c r="F255" s="118"/>
      <c r="G255" s="54"/>
      <c r="H255" s="55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IF(ISBLANK($C255),"",IF(J255=Constants!$B$2, TRUE(), IF(J255=Constants!$B$3,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Constants!B258) * IF(X255, 1, Constants!B259),"")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IF($AE255=Constants!$B$7,IF(AND(T255,U255,W255),Constants!$B$9*AH255/$AH$6, 0),"")</f>
        <v/>
      </c>
      <c r="AK255" s="62" t="str">
        <f aca="false">IF(AJ255&lt;&gt;"", AJ255*AG255,"")</f>
        <v/>
      </c>
      <c r="AL255" s="62" t="str">
        <f aca="false">IF(AND($AE255=Constants!$B$7, T255, U255) ,IF($Z255="", "", 1-ABS($AA255-$Z255)/$AA255),"")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IF($AE255=Constants!$B$7,Constants!$B$8*AB255/$AP$6,"")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IF(ISBLANK(C255),"",IFERROR(_xlfn.SWITCH(BE255, Constants!$B$4, COUNTA($C$8:$C754)+2, Constants!$B$5, COUNTA($C$8:$C754)+1, Constants!$B$6, COUNTA($C$8:$C754)),BE255))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4"/>
      <c r="C256" s="51"/>
      <c r="D256" s="52"/>
      <c r="E256" s="118"/>
      <c r="F256" s="118"/>
      <c r="G256" s="54"/>
      <c r="H256" s="55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IF(ISBLANK($C256),"",IF(J256=Constants!$B$2, TRUE(), IF(J256=Constants!$B$3,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Constants!B259) * IF(X256, 1, Constants!B260),"")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IF($AE256=Constants!$B$7,IF(AND(T256,U256,W256),Constants!$B$9*AH256/$AH$6, 0),"")</f>
        <v/>
      </c>
      <c r="AK256" s="62" t="str">
        <f aca="false">IF(AJ256&lt;&gt;"", AJ256*AG256,"")</f>
        <v/>
      </c>
      <c r="AL256" s="62" t="str">
        <f aca="false">IF(AND($AE256=Constants!$B$7, T256, U256) ,IF($Z256="", "", 1-ABS($AA256-$Z256)/$AA256),"")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IF($AE256=Constants!$B$7,Constants!$B$8*AB256/$AP$6,"")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IF(ISBLANK(C256),"",IFERROR(_xlfn.SWITCH(BE256, Constants!$B$4, COUNTA($C$8:$C755)+2, Constants!$B$5, COUNTA($C$8:$C755)+1, Constants!$B$6, COUNTA($C$8:$C755)),BE256))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0"/>
      <c r="C257" s="121"/>
      <c r="D257" s="110"/>
      <c r="E257" s="114"/>
      <c r="F257" s="114"/>
      <c r="G257" s="86"/>
      <c r="H257" s="87"/>
      <c r="I257" s="123"/>
      <c r="J257" s="123"/>
      <c r="K257" s="123"/>
      <c r="L257" s="89"/>
      <c r="M257" s="89"/>
      <c r="N257" s="89"/>
      <c r="O257" s="90"/>
      <c r="P257" s="91"/>
      <c r="Q257" s="123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4" t="str">
        <f aca="false">IF(ISBLANK($C257),"",IF(J257=Constants!$B$2, TRUE(), IF(J257=Constants!$B$3,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Constants!B260) * IF(X257, 1, Constants!B261),"")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IF($AE257=Constants!$B$7,IF(AND(T257,U257,W257),Constants!$B$9*AH257/$AH$6, 0),"")</f>
        <v/>
      </c>
      <c r="AK257" s="94" t="str">
        <f aca="false">IF(AJ257&lt;&gt;"", AJ257*AG257,"")</f>
        <v/>
      </c>
      <c r="AL257" s="94" t="str">
        <f aca="false">IF(AND($AE257=Constants!$B$7, T257, U257) ,IF($Z257="", "", 1-ABS($AA257-$Z257)/$AA257),"")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,IF(AND(T257,U257,W257,ISNUMBER(Z257)),Constants!$B$10*AL257/$AL$6, 0),"")</f>
        <v/>
      </c>
      <c r="AO257" s="94" t="str">
        <f aca="false">IF(AN257&lt;&gt;"", AN257*AG257,"")</f>
        <v/>
      </c>
      <c r="AP257" s="94" t="str">
        <f aca="false">IF($AE257=Constants!$B$7,Constants!$B$8*AB257/$AP$6,"")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IF(ISBLANK(C257),"",IFERROR(_xlfn.SWITCH(BE257, Constants!$B$4, COUNTA($C$8:$C756)+2, Constants!$B$5, COUNTA($C$8:$C756)+1, Constants!$B$6, COUNTA($C$8:$C756)),BE257))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0"/>
      <c r="C258" s="121"/>
      <c r="D258" s="110"/>
      <c r="E258" s="114"/>
      <c r="F258" s="114"/>
      <c r="G258" s="86"/>
      <c r="H258" s="87"/>
      <c r="I258" s="123"/>
      <c r="J258" s="123"/>
      <c r="K258" s="123"/>
      <c r="L258" s="89"/>
      <c r="M258" s="89"/>
      <c r="N258" s="89"/>
      <c r="O258" s="90"/>
      <c r="P258" s="91"/>
      <c r="Q258" s="123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4" t="str">
        <f aca="false">IF(ISBLANK($C258),"",IF(J258=Constants!$B$2, TRUE(), IF(J258=Constants!$B$3,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Constants!B261) * IF(X258, 1, Constants!B262),"")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IF($AE258=Constants!$B$7,IF(AND(T258,U258,W258),Constants!$B$9*AH258/$AH$6, 0),"")</f>
        <v/>
      </c>
      <c r="AK258" s="94" t="str">
        <f aca="false">IF(AJ258&lt;&gt;"", AJ258*AG258,"")</f>
        <v/>
      </c>
      <c r="AL258" s="94" t="str">
        <f aca="false">IF(AND($AE258=Constants!$B$7, T258, U258) ,IF($Z258="", "", 1-ABS($AA258-$Z258)/$AA258),"")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,IF(AND(T258,U258,W258,ISNUMBER(Z258)),Constants!$B$10*AL258/$AL$6, 0),"")</f>
        <v/>
      </c>
      <c r="AO258" s="94" t="str">
        <f aca="false">IF(AN258&lt;&gt;"", AN258*AG258,"")</f>
        <v/>
      </c>
      <c r="AP258" s="94" t="str">
        <f aca="false">IF($AE258=Constants!$B$7,Constants!$B$8*AB258/$AP$6,"")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IF(ISBLANK(C258),"",IFERROR(_xlfn.SWITCH(BE258, Constants!$B$4, COUNTA($C$8:$C757)+2, Constants!$B$5, COUNTA($C$8:$C757)+1, Constants!$B$6, COUNTA($C$8:$C757)),BE258))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0"/>
      <c r="C259" s="121"/>
      <c r="D259" s="110"/>
      <c r="E259" s="114"/>
      <c r="F259" s="114"/>
      <c r="G259" s="86"/>
      <c r="H259" s="87"/>
      <c r="I259" s="123"/>
      <c r="J259" s="123"/>
      <c r="K259" s="123"/>
      <c r="L259" s="89"/>
      <c r="M259" s="89"/>
      <c r="N259" s="89"/>
      <c r="O259" s="90"/>
      <c r="P259" s="91"/>
      <c r="Q259" s="123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4" t="str">
        <f aca="false">IF(ISBLANK($C259),"",IF(J259=Constants!$B$2, TRUE(), IF(J259=Constants!$B$3,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Constants!B262) * IF(X259, 1, Constants!B263),"")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IF($AE259=Constants!$B$7,IF(AND(T259,U259,W259),Constants!$B$9*AH259/$AH$6, 0),"")</f>
        <v/>
      </c>
      <c r="AK259" s="94" t="str">
        <f aca="false">IF(AJ259&lt;&gt;"", AJ259*AG259,"")</f>
        <v/>
      </c>
      <c r="AL259" s="94" t="str">
        <f aca="false">IF(AND($AE259=Constants!$B$7, T259, U259) ,IF($Z259="", "", 1-ABS($AA259-$Z259)/$AA259),"")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,IF(AND(T259,U259,W259,ISNUMBER(Z259)),Constants!$B$10*AL259/$AL$6, 0),"")</f>
        <v/>
      </c>
      <c r="AO259" s="94" t="str">
        <f aca="false">IF(AN259&lt;&gt;"", AN259*AG259,"")</f>
        <v/>
      </c>
      <c r="AP259" s="94" t="str">
        <f aca="false">IF($AE259=Constants!$B$7,Constants!$B$8*AB259/$AP$6,"")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IF(ISBLANK(C259),"",IFERROR(_xlfn.SWITCH(BE259, Constants!$B$4, COUNTA($C$8:$C758)+2, Constants!$B$5, COUNTA($C$8:$C758)+1, Constants!$B$6, COUNTA($C$8:$C758)),BE259))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4"/>
      <c r="C260" s="51"/>
      <c r="D260" s="52"/>
      <c r="E260" s="118"/>
      <c r="F260" s="118"/>
      <c r="G260" s="54"/>
      <c r="H260" s="55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IF(ISBLANK($C260),"",IF(J260=Constants!$B$2, TRUE(), IF(J260=Constants!$B$3,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Constants!B263) * IF(X260, 1, Constants!B264),"")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IF($AE260=Constants!$B$7,IF(AND(T260,U260,W260),Constants!$B$9*AH260/$AH$6, 0),"")</f>
        <v/>
      </c>
      <c r="AK260" s="62" t="str">
        <f aca="false">IF(AJ260&lt;&gt;"", AJ260*AG260,"")</f>
        <v/>
      </c>
      <c r="AL260" s="62" t="str">
        <f aca="false">IF(AND($AE260=Constants!$B$7, T260, U260) ,IF($Z260="", "", 1-ABS($AA260-$Z260)/$AA260),"")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IF($AE260=Constants!$B$7,Constants!$B$8*AB260/$AP$6,"")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IF(ISBLANK(C260),"",IFERROR(_xlfn.SWITCH(BE260, Constants!$B$4, COUNTA($C$8:$C759)+2, Constants!$B$5, COUNTA($C$8:$C759)+1, Constants!$B$6, COUNTA($C$8:$C759)),BE260))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4"/>
      <c r="C261" s="51"/>
      <c r="D261" s="52"/>
      <c r="E261" s="118"/>
      <c r="F261" s="118"/>
      <c r="G261" s="54"/>
      <c r="H261" s="55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IF(ISBLANK($C261),"",IF(J261=Constants!$B$2, TRUE(), IF(J261=Constants!$B$3,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Constants!B264) * IF(X261, 1, Constants!B265),"")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IF($AE261=Constants!$B$7,IF(AND(T261,U261,W261),Constants!$B$9*AH261/$AH$6, 0),"")</f>
        <v/>
      </c>
      <c r="AK261" s="62" t="str">
        <f aca="false">IF(AJ261&lt;&gt;"", AJ261*AG261,"")</f>
        <v/>
      </c>
      <c r="AL261" s="62" t="str">
        <f aca="false">IF(AND($AE261=Constants!$B$7, T261, U261) ,IF($Z261="", "", 1-ABS($AA261-$Z261)/$AA261),"")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IF($AE261=Constants!$B$7,Constants!$B$8*AB261/$AP$6,"")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IF(ISBLANK(C261),"",IFERROR(_xlfn.SWITCH(BE261, Constants!$B$4, COUNTA($C$8:$C760)+2, Constants!$B$5, COUNTA($C$8:$C760)+1, Constants!$B$6, COUNTA($C$8:$C760)),BE261))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4"/>
      <c r="C262" s="51"/>
      <c r="D262" s="52"/>
      <c r="E262" s="118"/>
      <c r="F262" s="118"/>
      <c r="G262" s="54"/>
      <c r="H262" s="55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IF(ISBLANK($C262),"",IF(J262=Constants!$B$2, TRUE(), IF(J262=Constants!$B$3,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Constants!B265) * IF(X262, 1, Constants!B266),"")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IF($AE262=Constants!$B$7,IF(AND(T262,U262,W262),Constants!$B$9*AH262/$AH$6, 0),"")</f>
        <v/>
      </c>
      <c r="AK262" s="62" t="str">
        <f aca="false">IF(AJ262&lt;&gt;"", AJ262*AG262,"")</f>
        <v/>
      </c>
      <c r="AL262" s="62" t="str">
        <f aca="false">IF(AND($AE262=Constants!$B$7, T262, U262) ,IF($Z262="", "", 1-ABS($AA262-$Z262)/$AA262),"")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IF($AE262=Constants!$B$7,Constants!$B$8*AB262/$AP$6,"")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IF(ISBLANK(C262),"",IFERROR(_xlfn.SWITCH(BE262, Constants!$B$4, COUNTA($C$8:$C761)+2, Constants!$B$5, COUNTA($C$8:$C761)+1, Constants!$B$6, COUNTA($C$8:$C761)),BE262))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0"/>
      <c r="C263" s="121"/>
      <c r="D263" s="110"/>
      <c r="E263" s="114"/>
      <c r="F263" s="114"/>
      <c r="G263" s="86"/>
      <c r="H263" s="87"/>
      <c r="I263" s="123"/>
      <c r="J263" s="123"/>
      <c r="K263" s="123"/>
      <c r="L263" s="89"/>
      <c r="M263" s="89"/>
      <c r="N263" s="89"/>
      <c r="O263" s="90"/>
      <c r="P263" s="91"/>
      <c r="Q263" s="123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4" t="str">
        <f aca="false">IF(ISBLANK($C263),"",IF(J263=Constants!$B$2, TRUE(), IF(J263=Constants!$B$3,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Constants!B266) * IF(X263, 1, Constants!B267),"")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IF($AE263=Constants!$B$7,IF(AND(T263,U263,W263),Constants!$B$9*AH263/$AH$6, 0),"")</f>
        <v/>
      </c>
      <c r="AK263" s="94" t="str">
        <f aca="false">IF(AJ263&lt;&gt;"", AJ263*AG263,"")</f>
        <v/>
      </c>
      <c r="AL263" s="94" t="str">
        <f aca="false">IF(AND($AE263=Constants!$B$7, T263, U263) ,IF($Z263="", "", 1-ABS($AA263-$Z263)/$AA263),"")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,IF(AND(T263,U263,W263,ISNUMBER(Z263)),Constants!$B$10*AL263/$AL$6, 0),"")</f>
        <v/>
      </c>
      <c r="AO263" s="94" t="str">
        <f aca="false">IF(AN263&lt;&gt;"", AN263*AG263,"")</f>
        <v/>
      </c>
      <c r="AP263" s="94" t="str">
        <f aca="false">IF($AE263=Constants!$B$7,Constants!$B$8*AB263/$AP$6,"")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IF(ISBLANK(C263),"",IFERROR(_xlfn.SWITCH(BE263, Constants!$B$4, COUNTA($C$8:$C762)+2, Constants!$B$5, COUNTA($C$8:$C762)+1, Constants!$B$6, COUNTA($C$8:$C762)),BE263))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0"/>
      <c r="C264" s="121"/>
      <c r="D264" s="110"/>
      <c r="E264" s="114"/>
      <c r="F264" s="114"/>
      <c r="G264" s="86"/>
      <c r="H264" s="87"/>
      <c r="I264" s="123"/>
      <c r="J264" s="123"/>
      <c r="K264" s="123"/>
      <c r="L264" s="89"/>
      <c r="M264" s="89"/>
      <c r="N264" s="89"/>
      <c r="O264" s="90"/>
      <c r="P264" s="91"/>
      <c r="Q264" s="123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4" t="str">
        <f aca="false">IF(ISBLANK($C264),"",IF(J264=Constants!$B$2, TRUE(), IF(J264=Constants!$B$3,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Constants!B267) * IF(X264, 1, Constants!B268),"")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IF($AE264=Constants!$B$7,IF(AND(T264,U264,W264),Constants!$B$9*AH264/$AH$6, 0),"")</f>
        <v/>
      </c>
      <c r="AK264" s="94" t="str">
        <f aca="false">IF(AJ264&lt;&gt;"", AJ264*AG264,"")</f>
        <v/>
      </c>
      <c r="AL264" s="94" t="str">
        <f aca="false">IF(AND($AE264=Constants!$B$7, T264, U264) ,IF($Z264="", "", 1-ABS($AA264-$Z264)/$AA264),"")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,IF(AND(T264,U264,W264,ISNUMBER(Z264)),Constants!$B$10*AL264/$AL$6, 0),"")</f>
        <v/>
      </c>
      <c r="AO264" s="94" t="str">
        <f aca="false">IF(AN264&lt;&gt;"", AN264*AG264,"")</f>
        <v/>
      </c>
      <c r="AP264" s="94" t="str">
        <f aca="false">IF($AE264=Constants!$B$7,Constants!$B$8*AB264/$AP$6,"")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IF(ISBLANK(C264),"",IFERROR(_xlfn.SWITCH(BE264, Constants!$B$4, COUNTA($C$8:$C763)+2, Constants!$B$5, COUNTA($C$8:$C763)+1, Constants!$B$6, COUNTA($C$8:$C763)),BE264))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0"/>
      <c r="C265" s="121"/>
      <c r="D265" s="110"/>
      <c r="E265" s="114"/>
      <c r="F265" s="114"/>
      <c r="G265" s="86"/>
      <c r="H265" s="87"/>
      <c r="I265" s="123"/>
      <c r="J265" s="123"/>
      <c r="K265" s="123"/>
      <c r="L265" s="89"/>
      <c r="M265" s="89"/>
      <c r="N265" s="89"/>
      <c r="O265" s="90"/>
      <c r="P265" s="91"/>
      <c r="Q265" s="123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4" t="str">
        <f aca="false">IF(ISBLANK($C265),"",IF(J265=Constants!$B$2, TRUE(), IF(J265=Constants!$B$3,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Constants!B268) * IF(X265, 1, Constants!B269),"")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IF($AE265=Constants!$B$7,IF(AND(T265,U265,W265),Constants!$B$9*AH265/$AH$6, 0),"")</f>
        <v/>
      </c>
      <c r="AK265" s="94" t="str">
        <f aca="false">IF(AJ265&lt;&gt;"", AJ265*AG265,"")</f>
        <v/>
      </c>
      <c r="AL265" s="94" t="str">
        <f aca="false">IF(AND($AE265=Constants!$B$7, T265, U265) ,IF($Z265="", "", 1-ABS($AA265-$Z265)/$AA265),"")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,IF(AND(T265,U265,W265,ISNUMBER(Z265)),Constants!$B$10*AL265/$AL$6, 0),"")</f>
        <v/>
      </c>
      <c r="AO265" s="94" t="str">
        <f aca="false">IF(AN265&lt;&gt;"", AN265*AG265,"")</f>
        <v/>
      </c>
      <c r="AP265" s="94" t="str">
        <f aca="false">IF($AE265=Constants!$B$7,Constants!$B$8*AB265/$AP$6,"")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IF(ISBLANK(C265),"",IFERROR(_xlfn.SWITCH(BE265, Constants!$B$4, COUNTA($C$8:$C764)+2, Constants!$B$5, COUNTA($C$8:$C764)+1, Constants!$B$6, COUNTA($C$8:$C764)),BE265))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4"/>
      <c r="C266" s="51"/>
      <c r="D266" s="52"/>
      <c r="E266" s="118"/>
      <c r="F266" s="118"/>
      <c r="G266" s="54"/>
      <c r="H266" s="55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IF(ISBLANK($C266),"",IF(J266=Constants!$B$2, TRUE(), IF(J266=Constants!$B$3,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Constants!B269) * IF(X266, 1, Constants!B270),"")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IF($AE266=Constants!$B$7,IF(AND(T266,U266,W266),Constants!$B$9*AH266/$AH$6, 0),"")</f>
        <v/>
      </c>
      <c r="AK266" s="62" t="str">
        <f aca="false">IF(AJ266&lt;&gt;"", AJ266*AG266,"")</f>
        <v/>
      </c>
      <c r="AL266" s="62" t="str">
        <f aca="false">IF(AND($AE266=Constants!$B$7, T266, U266) ,IF($Z266="", "", 1-ABS($AA266-$Z266)/$AA266),"")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IF($AE266=Constants!$B$7,Constants!$B$8*AB266/$AP$6,"")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IF(ISBLANK(C266),"",IFERROR(_xlfn.SWITCH(BE266, Constants!$B$4, COUNTA($C$8:$C765)+2, Constants!$B$5, COUNTA($C$8:$C765)+1, Constants!$B$6, COUNTA($C$8:$C765)),BE266))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4"/>
      <c r="C267" s="51"/>
      <c r="D267" s="52"/>
      <c r="E267" s="118"/>
      <c r="F267" s="118"/>
      <c r="G267" s="54"/>
      <c r="H267" s="55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IF(ISBLANK($C267),"",IF(J267=Constants!$B$2, TRUE(), IF(J267=Constants!$B$3,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Constants!B270) * IF(X267, 1, Constants!B271),"")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IF($AE267=Constants!$B$7,IF(AND(T267,U267,W267),Constants!$B$9*AH267/$AH$6, 0),"")</f>
        <v/>
      </c>
      <c r="AK267" s="62" t="str">
        <f aca="false">IF(AJ267&lt;&gt;"", AJ267*AG267,"")</f>
        <v/>
      </c>
      <c r="AL267" s="62" t="str">
        <f aca="false">IF(AND($AE267=Constants!$B$7, T267, U267) ,IF($Z267="", "", 1-ABS($AA267-$Z267)/$AA267),"")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IF($AE267=Constants!$B$7,Constants!$B$8*AB267/$AP$6,"")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IF(ISBLANK(C267),"",IFERROR(_xlfn.SWITCH(BE267, Constants!$B$4, COUNTA($C$8:$C766)+2, Constants!$B$5, COUNTA($C$8:$C766)+1, Constants!$B$6, COUNTA($C$8:$C766)),BE267))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4"/>
      <c r="C268" s="51"/>
      <c r="D268" s="52"/>
      <c r="E268" s="118"/>
      <c r="F268" s="118"/>
      <c r="G268" s="54"/>
      <c r="H268" s="55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IF(ISBLANK($C268),"",IF(J268=Constants!$B$2, TRUE(), IF(J268=Constants!$B$3,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Constants!B271) * IF(X268, 1, Constants!B272),"")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IF($AE268=Constants!$B$7,IF(AND(T268,U268,W268),Constants!$B$9*AH268/$AH$6, 0),"")</f>
        <v/>
      </c>
      <c r="AK268" s="62" t="str">
        <f aca="false">IF(AJ268&lt;&gt;"", AJ268*AG268,"")</f>
        <v/>
      </c>
      <c r="AL268" s="62" t="str">
        <f aca="false">IF(AND($AE268=Constants!$B$7, T268, U268) ,IF($Z268="", "", 1-ABS($AA268-$Z268)/$AA268),"")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IF($AE268=Constants!$B$7,Constants!$B$8*AB268/$AP$6,"")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IF(ISBLANK(C268),"",IFERROR(_xlfn.SWITCH(BE268, Constants!$B$4, COUNTA($C$8:$C767)+2, Constants!$B$5, COUNTA($C$8:$C767)+1, Constants!$B$6, COUNTA($C$8:$C767)),BE268))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0"/>
      <c r="C269" s="121"/>
      <c r="D269" s="110"/>
      <c r="E269" s="114"/>
      <c r="F269" s="114"/>
      <c r="G269" s="86"/>
      <c r="H269" s="87"/>
      <c r="I269" s="123"/>
      <c r="J269" s="123"/>
      <c r="K269" s="123"/>
      <c r="L269" s="89"/>
      <c r="M269" s="89"/>
      <c r="N269" s="89"/>
      <c r="O269" s="90"/>
      <c r="P269" s="91"/>
      <c r="Q269" s="123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4" t="str">
        <f aca="false">IF(ISBLANK($C269),"",IF(J269=Constants!$B$2, TRUE(), IF(J269=Constants!$B$3,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Constants!B272) * IF(X269, 1, Constants!B273),"")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IF($AE269=Constants!$B$7,IF(AND(T269,U269,W269),Constants!$B$9*AH269/$AH$6, 0),"")</f>
        <v/>
      </c>
      <c r="AK269" s="94" t="str">
        <f aca="false">IF(AJ269&lt;&gt;"", AJ269*AG269,"")</f>
        <v/>
      </c>
      <c r="AL269" s="94" t="str">
        <f aca="false">IF(AND($AE269=Constants!$B$7, T269, U269) ,IF($Z269="", "", 1-ABS($AA269-$Z269)/$AA269),"")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,IF(AND(T269,U269,W269,ISNUMBER(Z269)),Constants!$B$10*AL269/$AL$6, 0),"")</f>
        <v/>
      </c>
      <c r="AO269" s="94" t="str">
        <f aca="false">IF(AN269&lt;&gt;"", AN269*AG269,"")</f>
        <v/>
      </c>
      <c r="AP269" s="94" t="str">
        <f aca="false">IF($AE269=Constants!$B$7,Constants!$B$8*AB269/$AP$6,"")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IF(ISBLANK(C269),"",IFERROR(_xlfn.SWITCH(BE269, Constants!$B$4, COUNTA($C$8:$C768)+2, Constants!$B$5, COUNTA($C$8:$C768)+1, Constants!$B$6, COUNTA($C$8:$C768)),BE269))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0"/>
      <c r="C270" s="121"/>
      <c r="D270" s="110"/>
      <c r="E270" s="114"/>
      <c r="F270" s="114"/>
      <c r="G270" s="86"/>
      <c r="H270" s="87"/>
      <c r="I270" s="123"/>
      <c r="J270" s="123"/>
      <c r="K270" s="123"/>
      <c r="L270" s="89"/>
      <c r="M270" s="89"/>
      <c r="N270" s="89"/>
      <c r="O270" s="90"/>
      <c r="P270" s="91"/>
      <c r="Q270" s="123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4" t="str">
        <f aca="false">IF(ISBLANK($C270),"",IF(J270=Constants!$B$2, TRUE(), IF(J270=Constants!$B$3,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Constants!B273) * IF(X270, 1, Constants!B274),"")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IF($AE270=Constants!$B$7,IF(AND(T270,U270,W270),Constants!$B$9*AH270/$AH$6, 0),"")</f>
        <v/>
      </c>
      <c r="AK270" s="94" t="str">
        <f aca="false">IF(AJ270&lt;&gt;"", AJ270*AG270,"")</f>
        <v/>
      </c>
      <c r="AL270" s="94" t="str">
        <f aca="false">IF(AND($AE270=Constants!$B$7, T270, U270) ,IF($Z270="", "", 1-ABS($AA270-$Z270)/$AA270),"")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,IF(AND(T270,U270,W270,ISNUMBER(Z270)),Constants!$B$10*AL270/$AL$6, 0),"")</f>
        <v/>
      </c>
      <c r="AO270" s="94" t="str">
        <f aca="false">IF(AN270&lt;&gt;"", AN270*AG270,"")</f>
        <v/>
      </c>
      <c r="AP270" s="94" t="str">
        <f aca="false">IF($AE270=Constants!$B$7,Constants!$B$8*AB270/$AP$6,"")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IF(ISBLANK(C270),"",IFERROR(_xlfn.SWITCH(BE270, Constants!$B$4, COUNTA($C$8:$C769)+2, Constants!$B$5, COUNTA($C$8:$C769)+1, Constants!$B$6, COUNTA($C$8:$C769)),BE270))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0"/>
      <c r="C271" s="121"/>
      <c r="D271" s="110"/>
      <c r="E271" s="114"/>
      <c r="F271" s="114"/>
      <c r="G271" s="86"/>
      <c r="H271" s="87"/>
      <c r="I271" s="123"/>
      <c r="J271" s="123"/>
      <c r="K271" s="123"/>
      <c r="L271" s="89"/>
      <c r="M271" s="89"/>
      <c r="N271" s="89"/>
      <c r="O271" s="90"/>
      <c r="P271" s="91"/>
      <c r="Q271" s="123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4" t="str">
        <f aca="false">IF(ISBLANK($C271),"",IF(J271=Constants!$B$2, TRUE(), IF(J271=Constants!$B$3,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Constants!B274) * IF(X271, 1, Constants!B275),"")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IF($AE271=Constants!$B$7,IF(AND(T271,U271,W271),Constants!$B$9*AH271/$AH$6, 0),"")</f>
        <v/>
      </c>
      <c r="AK271" s="94" t="str">
        <f aca="false">IF(AJ271&lt;&gt;"", AJ271*AG271,"")</f>
        <v/>
      </c>
      <c r="AL271" s="94" t="str">
        <f aca="false">IF(AND($AE271=Constants!$B$7, T271, U271) ,IF($Z271="", "", 1-ABS($AA271-$Z271)/$AA271),"")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,IF(AND(T271,U271,W271,ISNUMBER(Z271)),Constants!$B$10*AL271/$AL$6, 0),"")</f>
        <v/>
      </c>
      <c r="AO271" s="94" t="str">
        <f aca="false">IF(AN271&lt;&gt;"", AN271*AG271,"")</f>
        <v/>
      </c>
      <c r="AP271" s="94" t="str">
        <f aca="false">IF($AE271=Constants!$B$7,Constants!$B$8*AB271/$AP$6,"")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IF(ISBLANK(C271),"",IFERROR(_xlfn.SWITCH(BE271, Constants!$B$4, COUNTA($C$8:$C770)+2, Constants!$B$5, COUNTA($C$8:$C770)+1, Constants!$B$6, COUNTA($C$8:$C770)),BE271))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4"/>
      <c r="C272" s="51"/>
      <c r="D272" s="52"/>
      <c r="E272" s="118"/>
      <c r="F272" s="118"/>
      <c r="G272" s="54"/>
      <c r="H272" s="55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IF(ISBLANK($C272),"",IF(J272=Constants!$B$2, TRUE(), IF(J272=Constants!$B$3,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Constants!B275) * IF(X272, 1, Constants!B276),"")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IF($AE272=Constants!$B$7,IF(AND(T272,U272,W272),Constants!$B$9*AH272/$AH$6, 0),"")</f>
        <v/>
      </c>
      <c r="AK272" s="62" t="str">
        <f aca="false">IF(AJ272&lt;&gt;"", AJ272*AG272,"")</f>
        <v/>
      </c>
      <c r="AL272" s="62" t="str">
        <f aca="false">IF(AND($AE272=Constants!$B$7, T272, U272) ,IF($Z272="", "", 1-ABS($AA272-$Z272)/$AA272),"")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IF($AE272=Constants!$B$7,Constants!$B$8*AB272/$AP$6,"")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IF(ISBLANK(C272),"",IFERROR(_xlfn.SWITCH(BE272, Constants!$B$4, COUNTA($C$8:$C771)+2, Constants!$B$5, COUNTA($C$8:$C771)+1, Constants!$B$6, COUNTA($C$8:$C771)),BE272))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4"/>
      <c r="C273" s="51"/>
      <c r="D273" s="52"/>
      <c r="E273" s="118"/>
      <c r="F273" s="118"/>
      <c r="G273" s="54"/>
      <c r="H273" s="55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IF(ISBLANK($C273),"",IF(J273=Constants!$B$2, TRUE(), IF(J273=Constants!$B$3,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Constants!B276) * IF(X273, 1, Constants!B277),"")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IF($AE273=Constants!$B$7,IF(AND(T273,U273,W273),Constants!$B$9*AH273/$AH$6, 0),"")</f>
        <v/>
      </c>
      <c r="AK273" s="62" t="str">
        <f aca="false">IF(AJ273&lt;&gt;"", AJ273*AG273,"")</f>
        <v/>
      </c>
      <c r="AL273" s="62" t="str">
        <f aca="false">IF(AND($AE273=Constants!$B$7, T273, U273) ,IF($Z273="", "", 1-ABS($AA273-$Z273)/$AA273),"")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IF($AE273=Constants!$B$7,Constants!$B$8*AB273/$AP$6,"")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IF(ISBLANK(C273),"",IFERROR(_xlfn.SWITCH(BE273, Constants!$B$4, COUNTA($C$8:$C772)+2, Constants!$B$5, COUNTA($C$8:$C772)+1, Constants!$B$6, COUNTA($C$8:$C772)),BE273))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4"/>
      <c r="C274" s="51"/>
      <c r="D274" s="52"/>
      <c r="E274" s="118"/>
      <c r="F274" s="118"/>
      <c r="G274" s="54"/>
      <c r="H274" s="55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IF(ISBLANK($C274),"",IF(J274=Constants!$B$2, TRUE(), IF(J274=Constants!$B$3,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Constants!B277) * IF(X274, 1, Constants!B278),"")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IF($AE274=Constants!$B$7,IF(AND(T274,U274,W274),Constants!$B$9*AH274/$AH$6, 0),"")</f>
        <v/>
      </c>
      <c r="AK274" s="62" t="str">
        <f aca="false">IF(AJ274&lt;&gt;"", AJ274*AG274,"")</f>
        <v/>
      </c>
      <c r="AL274" s="62" t="str">
        <f aca="false">IF(AND($AE274=Constants!$B$7, T274, U274) ,IF($Z274="", "", 1-ABS($AA274-$Z274)/$AA274),"")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IF($AE274=Constants!$B$7,Constants!$B$8*AB274/$AP$6,"")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IF(ISBLANK(C274),"",IFERROR(_xlfn.SWITCH(BE274, Constants!$B$4, COUNTA($C$8:$C773)+2, Constants!$B$5, COUNTA($C$8:$C773)+1, Constants!$B$6, COUNTA($C$8:$C773)),BE274))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0"/>
      <c r="C275" s="121"/>
      <c r="D275" s="110"/>
      <c r="E275" s="114"/>
      <c r="F275" s="114"/>
      <c r="G275" s="86"/>
      <c r="H275" s="87"/>
      <c r="I275" s="123"/>
      <c r="J275" s="123"/>
      <c r="K275" s="123"/>
      <c r="L275" s="89"/>
      <c r="M275" s="89"/>
      <c r="N275" s="89"/>
      <c r="O275" s="90"/>
      <c r="P275" s="91"/>
      <c r="Q275" s="123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4" t="str">
        <f aca="false">IF(ISBLANK($C275),"",IF(J275=Constants!$B$2, TRUE(), IF(J275=Constants!$B$3,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Constants!B278) * IF(X275, 1, Constants!B279),"")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IF($AE275=Constants!$B$7,IF(AND(T275,U275,W275),Constants!$B$9*AH275/$AH$6, 0),"")</f>
        <v/>
      </c>
      <c r="AK275" s="94" t="str">
        <f aca="false">IF(AJ275&lt;&gt;"", AJ275*AG275,"")</f>
        <v/>
      </c>
      <c r="AL275" s="94" t="str">
        <f aca="false">IF(AND($AE275=Constants!$B$7, T275, U275) ,IF($Z275="", "", 1-ABS($AA275-$Z275)/$AA275),"")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,IF(AND(T275,U275,W275,ISNUMBER(Z275)),Constants!$B$10*AL275/$AL$6, 0),"")</f>
        <v/>
      </c>
      <c r="AO275" s="94" t="str">
        <f aca="false">IF(AN275&lt;&gt;"", AN275*AG275,"")</f>
        <v/>
      </c>
      <c r="AP275" s="94" t="str">
        <f aca="false">IF($AE275=Constants!$B$7,Constants!$B$8*AB275/$AP$6,"")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IF(ISBLANK(C275),"",IFERROR(_xlfn.SWITCH(BE275, Constants!$B$4, COUNTA($C$8:$C774)+2, Constants!$B$5, COUNTA($C$8:$C774)+1, Constants!$B$6, COUNTA($C$8:$C774)),BE275))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0"/>
      <c r="C276" s="121"/>
      <c r="D276" s="110"/>
      <c r="E276" s="114"/>
      <c r="F276" s="114"/>
      <c r="G276" s="86"/>
      <c r="H276" s="87"/>
      <c r="I276" s="123"/>
      <c r="J276" s="123"/>
      <c r="K276" s="123"/>
      <c r="L276" s="89"/>
      <c r="M276" s="89"/>
      <c r="N276" s="89"/>
      <c r="O276" s="90"/>
      <c r="P276" s="91"/>
      <c r="Q276" s="123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4" t="str">
        <f aca="false">IF(ISBLANK($C276),"",IF(J276=Constants!$B$2, TRUE(), IF(J276=Constants!$B$3,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Constants!B279) * IF(X276, 1, Constants!B280),"")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IF($AE276=Constants!$B$7,IF(AND(T276,U276,W276),Constants!$B$9*AH276/$AH$6, 0),"")</f>
        <v/>
      </c>
      <c r="AK276" s="94" t="str">
        <f aca="false">IF(AJ276&lt;&gt;"", AJ276*AG276,"")</f>
        <v/>
      </c>
      <c r="AL276" s="94" t="str">
        <f aca="false">IF(AND($AE276=Constants!$B$7, T276, U276) ,IF($Z276="", "", 1-ABS($AA276-$Z276)/$AA276),"")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,IF(AND(T276,U276,W276,ISNUMBER(Z276)),Constants!$B$10*AL276/$AL$6, 0),"")</f>
        <v/>
      </c>
      <c r="AO276" s="94" t="str">
        <f aca="false">IF(AN276&lt;&gt;"", AN276*AG276,"")</f>
        <v/>
      </c>
      <c r="AP276" s="94" t="str">
        <f aca="false">IF($AE276=Constants!$B$7,Constants!$B$8*AB276/$AP$6,"")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IF(ISBLANK(C276),"",IFERROR(_xlfn.SWITCH(BE276, Constants!$B$4, COUNTA($C$8:$C775)+2, Constants!$B$5, COUNTA($C$8:$C775)+1, Constants!$B$6, COUNTA($C$8:$C775)),BE276))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0"/>
      <c r="C277" s="121"/>
      <c r="D277" s="110"/>
      <c r="E277" s="114"/>
      <c r="F277" s="114"/>
      <c r="G277" s="86"/>
      <c r="H277" s="87"/>
      <c r="I277" s="123"/>
      <c r="J277" s="123"/>
      <c r="K277" s="123"/>
      <c r="L277" s="89"/>
      <c r="M277" s="89"/>
      <c r="N277" s="89"/>
      <c r="O277" s="90"/>
      <c r="P277" s="91"/>
      <c r="Q277" s="123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4" t="str">
        <f aca="false">IF(ISBLANK($C277),"",IF(J277=Constants!$B$2, TRUE(), IF(J277=Constants!$B$3,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Constants!B280) * IF(X277, 1, Constants!B281),"")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IF($AE277=Constants!$B$7,IF(AND(T277,U277,W277),Constants!$B$9*AH277/$AH$6, 0),"")</f>
        <v/>
      </c>
      <c r="AK277" s="94" t="str">
        <f aca="false">IF(AJ277&lt;&gt;"", AJ277*AG277,"")</f>
        <v/>
      </c>
      <c r="AL277" s="94" t="str">
        <f aca="false">IF(AND($AE277=Constants!$B$7, T277, U277) ,IF($Z277="", "", 1-ABS($AA277-$Z277)/$AA277),"")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,IF(AND(T277,U277,W277,ISNUMBER(Z277)),Constants!$B$10*AL277/$AL$6, 0),"")</f>
        <v/>
      </c>
      <c r="AO277" s="94" t="str">
        <f aca="false">IF(AN277&lt;&gt;"", AN277*AG277,"")</f>
        <v/>
      </c>
      <c r="AP277" s="94" t="str">
        <f aca="false">IF($AE277=Constants!$B$7,Constants!$B$8*AB277/$AP$6,"")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IF(ISBLANK(C277),"",IFERROR(_xlfn.SWITCH(BE277, Constants!$B$4, COUNTA($C$8:$C776)+2, Constants!$B$5, COUNTA($C$8:$C776)+1, Constants!$B$6, COUNTA($C$8:$C776)),BE277))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4"/>
      <c r="C278" s="51"/>
      <c r="D278" s="52"/>
      <c r="E278" s="118"/>
      <c r="F278" s="118"/>
      <c r="G278" s="54"/>
      <c r="H278" s="55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IF(ISBLANK($C278),"",IF(J278=Constants!$B$2, TRUE(), IF(J278=Constants!$B$3,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Constants!B281) * IF(X278, 1, Constants!B282),"")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IF($AE278=Constants!$B$7,IF(AND(T278,U278,W278),Constants!$B$9*AH278/$AH$6, 0),"")</f>
        <v/>
      </c>
      <c r="AK278" s="62" t="str">
        <f aca="false">IF(AJ278&lt;&gt;"", AJ278*AG278,"")</f>
        <v/>
      </c>
      <c r="AL278" s="62" t="str">
        <f aca="false">IF(AND($AE278=Constants!$B$7, T278, U278) ,IF($Z278="", "", 1-ABS($AA278-$Z278)/$AA278),"")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IF($AE278=Constants!$B$7,Constants!$B$8*AB278/$AP$6,"")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IF(ISBLANK(C278),"",IFERROR(_xlfn.SWITCH(BE278, Constants!$B$4, COUNTA($C$8:$C777)+2, Constants!$B$5, COUNTA($C$8:$C777)+1, Constants!$B$6, COUNTA($C$8:$C777)),BE278))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4"/>
      <c r="C279" s="51"/>
      <c r="D279" s="52"/>
      <c r="E279" s="118"/>
      <c r="F279" s="118"/>
      <c r="G279" s="54"/>
      <c r="H279" s="55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IF(ISBLANK($C279),"",IF(J279=Constants!$B$2, TRUE(), IF(J279=Constants!$B$3,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Constants!B282) * IF(X279, 1, Constants!B283),"")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IF($AE279=Constants!$B$7,IF(AND(T279,U279,W279),Constants!$B$9*AH279/$AH$6, 0),"")</f>
        <v/>
      </c>
      <c r="AK279" s="62" t="str">
        <f aca="false">IF(AJ279&lt;&gt;"", AJ279*AG279,"")</f>
        <v/>
      </c>
      <c r="AL279" s="62" t="str">
        <f aca="false">IF(AND($AE279=Constants!$B$7, T279, U279) ,IF($Z279="", "", 1-ABS($AA279-$Z279)/$AA279),"")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IF($AE279=Constants!$B$7,Constants!$B$8*AB279/$AP$6,"")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IF(ISBLANK(C279),"",IFERROR(_xlfn.SWITCH(BE279, Constants!$B$4, COUNTA($C$8:$C778)+2, Constants!$B$5, COUNTA($C$8:$C778)+1, Constants!$B$6, COUNTA($C$8:$C778)),BE279))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4"/>
      <c r="C280" s="51"/>
      <c r="D280" s="52"/>
      <c r="E280" s="118"/>
      <c r="F280" s="118"/>
      <c r="G280" s="54"/>
      <c r="H280" s="55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IF(ISBLANK($C280),"",IF(J280=Constants!$B$2, TRUE(), IF(J280=Constants!$B$3,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Constants!B283) * IF(X280, 1, Constants!B284),"")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IF($AE280=Constants!$B$7,IF(AND(T280,U280,W280),Constants!$B$9*AH280/$AH$6, 0),"")</f>
        <v/>
      </c>
      <c r="AK280" s="62" t="str">
        <f aca="false">IF(AJ280&lt;&gt;"", AJ280*AG280,"")</f>
        <v/>
      </c>
      <c r="AL280" s="62" t="str">
        <f aca="false">IF(AND($AE280=Constants!$B$7, T280, U280) ,IF($Z280="", "", 1-ABS($AA280-$Z280)/$AA280),"")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IF($AE280=Constants!$B$7,Constants!$B$8*AB280/$AP$6,"")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IF(ISBLANK(C280),"",IFERROR(_xlfn.SWITCH(BE280, Constants!$B$4, COUNTA($C$8:$C779)+2, Constants!$B$5, COUNTA($C$8:$C779)+1, Constants!$B$6, COUNTA($C$8:$C779)),BE280))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0"/>
      <c r="C281" s="121"/>
      <c r="D281" s="110"/>
      <c r="E281" s="114"/>
      <c r="F281" s="114"/>
      <c r="G281" s="86"/>
      <c r="H281" s="87"/>
      <c r="I281" s="123"/>
      <c r="J281" s="123"/>
      <c r="K281" s="123"/>
      <c r="L281" s="89"/>
      <c r="M281" s="89"/>
      <c r="N281" s="89"/>
      <c r="O281" s="90"/>
      <c r="P281" s="91"/>
      <c r="Q281" s="123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4" t="str">
        <f aca="false">IF(ISBLANK($C281),"",IF(J281=Constants!$B$2, TRUE(), IF(J281=Constants!$B$3,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Constants!B284) * IF(X281, 1, Constants!B285),"")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IF($AE281=Constants!$B$7,IF(AND(T281,U281,W281),Constants!$B$9*AH281/$AH$6, 0),"")</f>
        <v/>
      </c>
      <c r="AK281" s="94" t="str">
        <f aca="false">IF(AJ281&lt;&gt;"", AJ281*AG281,"")</f>
        <v/>
      </c>
      <c r="AL281" s="94" t="str">
        <f aca="false">IF(AND($AE281=Constants!$B$7, T281, U281) ,IF($Z281="", "", 1-ABS($AA281-$Z281)/$AA281),"")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,IF(AND(T281,U281,W281,ISNUMBER(Z281)),Constants!$B$10*AL281/$AL$6, 0),"")</f>
        <v/>
      </c>
      <c r="AO281" s="94" t="str">
        <f aca="false">IF(AN281&lt;&gt;"", AN281*AG281,"")</f>
        <v/>
      </c>
      <c r="AP281" s="94" t="str">
        <f aca="false">IF($AE281=Constants!$B$7,Constants!$B$8*AB281/$AP$6,"")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IF(ISBLANK(C281),"",IFERROR(_xlfn.SWITCH(BE281, Constants!$B$4, COUNTA($C$8:$C780)+2, Constants!$B$5, COUNTA($C$8:$C780)+1, Constants!$B$6, COUNTA($C$8:$C780)),BE281))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0"/>
      <c r="C282" s="121"/>
      <c r="D282" s="110"/>
      <c r="E282" s="114"/>
      <c r="F282" s="114"/>
      <c r="G282" s="86"/>
      <c r="H282" s="87"/>
      <c r="I282" s="123"/>
      <c r="J282" s="123"/>
      <c r="K282" s="123"/>
      <c r="L282" s="89"/>
      <c r="M282" s="89"/>
      <c r="N282" s="89"/>
      <c r="O282" s="90"/>
      <c r="P282" s="91"/>
      <c r="Q282" s="123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4" t="str">
        <f aca="false">IF(ISBLANK($C282),"",IF(J282=Constants!$B$2, TRUE(), IF(J282=Constants!$B$3,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Constants!B285) * IF(X282, 1, Constants!B286),"")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IF($AE282=Constants!$B$7,IF(AND(T282,U282,W282),Constants!$B$9*AH282/$AH$6, 0),"")</f>
        <v/>
      </c>
      <c r="AK282" s="94" t="str">
        <f aca="false">IF(AJ282&lt;&gt;"", AJ282*AG282,"")</f>
        <v/>
      </c>
      <c r="AL282" s="94" t="str">
        <f aca="false">IF(AND($AE282=Constants!$B$7, T282, U282) ,IF($Z282="", "", 1-ABS($AA282-$Z282)/$AA282),"")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,IF(AND(T282,U282,W282,ISNUMBER(Z282)),Constants!$B$10*AL282/$AL$6, 0),"")</f>
        <v/>
      </c>
      <c r="AO282" s="94" t="str">
        <f aca="false">IF(AN282&lt;&gt;"", AN282*AG282,"")</f>
        <v/>
      </c>
      <c r="AP282" s="94" t="str">
        <f aca="false">IF($AE282=Constants!$B$7,Constants!$B$8*AB282/$AP$6,"")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IF(ISBLANK(C282),"",IFERROR(_xlfn.SWITCH(BE282, Constants!$B$4, COUNTA($C$8:$C781)+2, Constants!$B$5, COUNTA($C$8:$C781)+1, Constants!$B$6, COUNTA($C$8:$C781)),BE282))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0"/>
      <c r="C283" s="121"/>
      <c r="D283" s="110"/>
      <c r="E283" s="114"/>
      <c r="F283" s="114"/>
      <c r="G283" s="86"/>
      <c r="H283" s="87"/>
      <c r="I283" s="123"/>
      <c r="J283" s="123"/>
      <c r="K283" s="123"/>
      <c r="L283" s="89"/>
      <c r="M283" s="89"/>
      <c r="N283" s="89"/>
      <c r="O283" s="90"/>
      <c r="P283" s="91"/>
      <c r="Q283" s="123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4" t="str">
        <f aca="false">IF(ISBLANK($C283),"",IF(J283=Constants!$B$2, TRUE(), IF(J283=Constants!$B$3,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Constants!B286) * IF(X283, 1, Constants!B287),"")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IF($AE283=Constants!$B$7,IF(AND(T283,U283,W283),Constants!$B$9*AH283/$AH$6, 0),"")</f>
        <v/>
      </c>
      <c r="AK283" s="94" t="str">
        <f aca="false">IF(AJ283&lt;&gt;"", AJ283*AG283,"")</f>
        <v/>
      </c>
      <c r="AL283" s="94" t="str">
        <f aca="false">IF(AND($AE283=Constants!$B$7, T283, U283) ,IF($Z283="", "", 1-ABS($AA283-$Z283)/$AA283),"")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,IF(AND(T283,U283,W283,ISNUMBER(Z283)),Constants!$B$10*AL283/$AL$6, 0),"")</f>
        <v/>
      </c>
      <c r="AO283" s="94" t="str">
        <f aca="false">IF(AN283&lt;&gt;"", AN283*AG283,"")</f>
        <v/>
      </c>
      <c r="AP283" s="94" t="str">
        <f aca="false">IF($AE283=Constants!$B$7,Constants!$B$8*AB283/$AP$6,"")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IF(ISBLANK(C283),"",IFERROR(_xlfn.SWITCH(BE283, Constants!$B$4, COUNTA($C$8:$C782)+2, Constants!$B$5, COUNTA($C$8:$C782)+1, Constants!$B$6, COUNTA($C$8:$C782)),BE283))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4"/>
      <c r="C284" s="51"/>
      <c r="D284" s="52"/>
      <c r="E284" s="118"/>
      <c r="F284" s="118"/>
      <c r="G284" s="54"/>
      <c r="H284" s="55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IF(ISBLANK($C284),"",IF(J284=Constants!$B$2, TRUE(), IF(J284=Constants!$B$3,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Constants!B287) * IF(X284, 1, Constants!B288),"")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IF($AE284=Constants!$B$7,IF(AND(T284,U284,W284),Constants!$B$9*AH284/$AH$6, 0),"")</f>
        <v/>
      </c>
      <c r="AK284" s="62" t="str">
        <f aca="false">IF(AJ284&lt;&gt;"", AJ284*AG284,"")</f>
        <v/>
      </c>
      <c r="AL284" s="62" t="str">
        <f aca="false">IF(AND($AE284=Constants!$B$7, T284, U284) ,IF($Z284="", "", 1-ABS($AA284-$Z284)/$AA284),"")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IF($AE284=Constants!$B$7,Constants!$B$8*AB284/$AP$6,"")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IF(ISBLANK(C284),"",IFERROR(_xlfn.SWITCH(BE284, Constants!$B$4, COUNTA($C$8:$C783)+2, Constants!$B$5, COUNTA($C$8:$C783)+1, Constants!$B$6, COUNTA($C$8:$C783)),BE284))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4"/>
      <c r="C285" s="51"/>
      <c r="D285" s="52"/>
      <c r="E285" s="118"/>
      <c r="F285" s="118"/>
      <c r="G285" s="54"/>
      <c r="H285" s="55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IF(ISBLANK($C285),"",IF(J285=Constants!$B$2, TRUE(), IF(J285=Constants!$B$3,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Constants!B288) * IF(X285, 1, Constants!B289),"")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IF($AE285=Constants!$B$7,IF(AND(T285,U285,W285),Constants!$B$9*AH285/$AH$6, 0),"")</f>
        <v/>
      </c>
      <c r="AK285" s="62" t="str">
        <f aca="false">IF(AJ285&lt;&gt;"", AJ285*AG285,"")</f>
        <v/>
      </c>
      <c r="AL285" s="62" t="str">
        <f aca="false">IF(AND($AE285=Constants!$B$7, T285, U285) ,IF($Z285="", "", 1-ABS($AA285-$Z285)/$AA285),"")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IF($AE285=Constants!$B$7,Constants!$B$8*AB285/$AP$6,"")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IF(ISBLANK(C285),"",IFERROR(_xlfn.SWITCH(BE285, Constants!$B$4, COUNTA($C$8:$C784)+2, Constants!$B$5, COUNTA($C$8:$C784)+1, Constants!$B$6, COUNTA($C$8:$C784)),BE285))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4"/>
      <c r="C286" s="51"/>
      <c r="D286" s="52"/>
      <c r="E286" s="118"/>
      <c r="F286" s="118"/>
      <c r="G286" s="54"/>
      <c r="H286" s="55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IF(ISBLANK($C286),"",IF(J286=Constants!$B$2, TRUE(), IF(J286=Constants!$B$3,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Constants!B289) * IF(X286, 1, Constants!B290),"")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IF($AE286=Constants!$B$7,IF(AND(T286,U286,W286),Constants!$B$9*AH286/$AH$6, 0),"")</f>
        <v/>
      </c>
      <c r="AK286" s="62" t="str">
        <f aca="false">IF(AJ286&lt;&gt;"", AJ286*AG286,"")</f>
        <v/>
      </c>
      <c r="AL286" s="62" t="str">
        <f aca="false">IF(AND($AE286=Constants!$B$7, T286, U286) ,IF($Z286="", "", 1-ABS($AA286-$Z286)/$AA286),"")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IF($AE286=Constants!$B$7,Constants!$B$8*AB286/$AP$6,"")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IF(ISBLANK(C286),"",IFERROR(_xlfn.SWITCH(BE286, Constants!$B$4, COUNTA($C$8:$C785)+2, Constants!$B$5, COUNTA($C$8:$C785)+1, Constants!$B$6, COUNTA($C$8:$C785)),BE286))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0"/>
      <c r="C287" s="121"/>
      <c r="D287" s="110"/>
      <c r="E287" s="114"/>
      <c r="F287" s="114"/>
      <c r="G287" s="86"/>
      <c r="H287" s="87"/>
      <c r="I287" s="123"/>
      <c r="J287" s="123"/>
      <c r="K287" s="123"/>
      <c r="L287" s="89"/>
      <c r="M287" s="89"/>
      <c r="N287" s="89"/>
      <c r="O287" s="90"/>
      <c r="P287" s="91"/>
      <c r="Q287" s="123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4" t="str">
        <f aca="false">IF(ISBLANK($C287),"",IF(J287=Constants!$B$2, TRUE(), IF(J287=Constants!$B$3,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Constants!B290) * IF(X287, 1, Constants!B291),"")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IF($AE287=Constants!$B$7,IF(AND(T287,U287,W287),Constants!$B$9*AH287/$AH$6, 0),"")</f>
        <v/>
      </c>
      <c r="AK287" s="94" t="str">
        <f aca="false">IF(AJ287&lt;&gt;"", AJ287*AG287,"")</f>
        <v/>
      </c>
      <c r="AL287" s="94" t="str">
        <f aca="false">IF(AND($AE287=Constants!$B$7, T287, U287) ,IF($Z287="", "", 1-ABS($AA287-$Z287)/$AA287),"")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,IF(AND(T287,U287,W287,ISNUMBER(Z287)),Constants!$B$10*AL287/$AL$6, 0),"")</f>
        <v/>
      </c>
      <c r="AO287" s="94" t="str">
        <f aca="false">IF(AN287&lt;&gt;"", AN287*AG287,"")</f>
        <v/>
      </c>
      <c r="AP287" s="94" t="str">
        <f aca="false">IF($AE287=Constants!$B$7,Constants!$B$8*AB287/$AP$6,"")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IF(ISBLANK(C287),"",IFERROR(_xlfn.SWITCH(BE287, Constants!$B$4, COUNTA($C$8:$C786)+2, Constants!$B$5, COUNTA($C$8:$C786)+1, Constants!$B$6, COUNTA($C$8:$C786)),BE287))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0"/>
      <c r="C288" s="121"/>
      <c r="D288" s="110"/>
      <c r="E288" s="114"/>
      <c r="F288" s="114"/>
      <c r="G288" s="86"/>
      <c r="H288" s="87"/>
      <c r="I288" s="123"/>
      <c r="J288" s="123"/>
      <c r="K288" s="123"/>
      <c r="L288" s="89"/>
      <c r="M288" s="89"/>
      <c r="N288" s="89"/>
      <c r="O288" s="90"/>
      <c r="P288" s="91"/>
      <c r="Q288" s="123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4" t="str">
        <f aca="false">IF(ISBLANK($C288),"",IF(J288=Constants!$B$2, TRUE(), IF(J288=Constants!$B$3,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Constants!B291) * IF(X288, 1, Constants!B292),"")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IF($AE288=Constants!$B$7,IF(AND(T288,U288,W288),Constants!$B$9*AH288/$AH$6, 0),"")</f>
        <v/>
      </c>
      <c r="AK288" s="94" t="str">
        <f aca="false">IF(AJ288&lt;&gt;"", AJ288*AG288,"")</f>
        <v/>
      </c>
      <c r="AL288" s="94" t="str">
        <f aca="false">IF(AND($AE288=Constants!$B$7, T288, U288) ,IF($Z288="", "", 1-ABS($AA288-$Z288)/$AA288),"")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,IF(AND(T288,U288,W288,ISNUMBER(Z288)),Constants!$B$10*AL288/$AL$6, 0),"")</f>
        <v/>
      </c>
      <c r="AO288" s="94" t="str">
        <f aca="false">IF(AN288&lt;&gt;"", AN288*AG288,"")</f>
        <v/>
      </c>
      <c r="AP288" s="94" t="str">
        <f aca="false">IF($AE288=Constants!$B$7,Constants!$B$8*AB288/$AP$6,"")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IF(ISBLANK(C288),"",IFERROR(_xlfn.SWITCH(BE288, Constants!$B$4, COUNTA($C$8:$C787)+2, Constants!$B$5, COUNTA($C$8:$C787)+1, Constants!$B$6, COUNTA($C$8:$C787)),BE288))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0"/>
      <c r="C289" s="121"/>
      <c r="D289" s="110"/>
      <c r="E289" s="114"/>
      <c r="F289" s="114"/>
      <c r="G289" s="86"/>
      <c r="H289" s="87"/>
      <c r="I289" s="123"/>
      <c r="J289" s="123"/>
      <c r="K289" s="123"/>
      <c r="L289" s="89"/>
      <c r="M289" s="89"/>
      <c r="N289" s="89"/>
      <c r="O289" s="90"/>
      <c r="P289" s="91"/>
      <c r="Q289" s="123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4" t="str">
        <f aca="false">IF(ISBLANK($C289),"",IF(J289=Constants!$B$2, TRUE(), IF(J289=Constants!$B$3,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Constants!B292) * IF(X289, 1, Constants!B293),"")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IF($AE289=Constants!$B$7,IF(AND(T289,U289,W289),Constants!$B$9*AH289/$AH$6, 0),"")</f>
        <v/>
      </c>
      <c r="AK289" s="94" t="str">
        <f aca="false">IF(AJ289&lt;&gt;"", AJ289*AG289,"")</f>
        <v/>
      </c>
      <c r="AL289" s="94" t="str">
        <f aca="false">IF(AND($AE289=Constants!$B$7, T289, U289) ,IF($Z289="", "", 1-ABS($AA289-$Z289)/$AA289),"")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,IF(AND(T289,U289,W289,ISNUMBER(Z289)),Constants!$B$10*AL289/$AL$6, 0),"")</f>
        <v/>
      </c>
      <c r="AO289" s="94" t="str">
        <f aca="false">IF(AN289&lt;&gt;"", AN289*AG289,"")</f>
        <v/>
      </c>
      <c r="AP289" s="94" t="str">
        <f aca="false">IF($AE289=Constants!$B$7,Constants!$B$8*AB289/$AP$6,"")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IF(ISBLANK(C289),"",IFERROR(_xlfn.SWITCH(BE289, Constants!$B$4, COUNTA($C$8:$C788)+2, Constants!$B$5, COUNTA($C$8:$C788)+1, Constants!$B$6, COUNTA($C$8:$C788)),BE289))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4"/>
      <c r="C290" s="51"/>
      <c r="D290" s="52"/>
      <c r="E290" s="118"/>
      <c r="F290" s="118"/>
      <c r="G290" s="54"/>
      <c r="H290" s="55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IF(ISBLANK($C290),"",IF(J290=Constants!$B$2, TRUE(), IF(J290=Constants!$B$3,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Constants!B293) * IF(X290, 1, Constants!B294),"")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IF($AE290=Constants!$B$7,IF(AND(T290,U290,W290),Constants!$B$9*AH290/$AH$6, 0),"")</f>
        <v/>
      </c>
      <c r="AK290" s="62" t="str">
        <f aca="false">IF(AJ290&lt;&gt;"", AJ290*AG290,"")</f>
        <v/>
      </c>
      <c r="AL290" s="62" t="str">
        <f aca="false">IF(AND($AE290=Constants!$B$7, T290, U290) ,IF($Z290="", "", 1-ABS($AA290-$Z290)/$AA290),"")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IF($AE290=Constants!$B$7,Constants!$B$8*AB290/$AP$6,"")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IF(ISBLANK(C290),"",IFERROR(_xlfn.SWITCH(BE290, Constants!$B$4, COUNTA($C$8:$C789)+2, Constants!$B$5, COUNTA($C$8:$C789)+1, Constants!$B$6, COUNTA($C$8:$C789)),BE290))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4"/>
      <c r="C291" s="51"/>
      <c r="D291" s="52"/>
      <c r="E291" s="118"/>
      <c r="F291" s="118"/>
      <c r="G291" s="54"/>
      <c r="H291" s="55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IF(ISBLANK($C291),"",IF(J291=Constants!$B$2, TRUE(), IF(J291=Constants!$B$3,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Constants!B294) * IF(X291, 1, Constants!B295),"")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IF($AE291=Constants!$B$7,IF(AND(T291,U291,W291),Constants!$B$9*AH291/$AH$6, 0),"")</f>
        <v/>
      </c>
      <c r="AK291" s="62" t="str">
        <f aca="false">IF(AJ291&lt;&gt;"", AJ291*AG291,"")</f>
        <v/>
      </c>
      <c r="AL291" s="62" t="str">
        <f aca="false">IF(AND($AE291=Constants!$B$7, T291, U291) ,IF($Z291="", "", 1-ABS($AA291-$Z291)/$AA291),"")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IF($AE291=Constants!$B$7,Constants!$B$8*AB291/$AP$6,"")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IF(ISBLANK(C291),"",IFERROR(_xlfn.SWITCH(BE291, Constants!$B$4, COUNTA($C$8:$C790)+2, Constants!$B$5, COUNTA($C$8:$C790)+1, Constants!$B$6, COUNTA($C$8:$C790)),BE291))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4"/>
      <c r="C292" s="51"/>
      <c r="D292" s="52"/>
      <c r="E292" s="118"/>
      <c r="F292" s="118"/>
      <c r="G292" s="54"/>
      <c r="H292" s="55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IF(ISBLANK($C292),"",IF(J292=Constants!$B$2, TRUE(), IF(J292=Constants!$B$3,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Constants!B295) * IF(X292, 1, Constants!B296),"")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IF($AE292=Constants!$B$7,IF(AND(T292,U292,W292),Constants!$B$9*AH292/$AH$6, 0),"")</f>
        <v/>
      </c>
      <c r="AK292" s="62" t="str">
        <f aca="false">IF(AJ292&lt;&gt;"", AJ292*AG292,"")</f>
        <v/>
      </c>
      <c r="AL292" s="62" t="str">
        <f aca="false">IF(AND($AE292=Constants!$B$7, T292, U292) ,IF($Z292="", "", 1-ABS($AA292-$Z292)/$AA292),"")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IF($AE292=Constants!$B$7,Constants!$B$8*AB292/$AP$6,"")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IF(ISBLANK(C292),"",IFERROR(_xlfn.SWITCH(BE292, Constants!$B$4, COUNTA($C$8:$C791)+2, Constants!$B$5, COUNTA($C$8:$C791)+1, Constants!$B$6, COUNTA($C$8:$C791)),BE292))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0"/>
      <c r="C293" s="121"/>
      <c r="D293" s="110"/>
      <c r="E293" s="114"/>
      <c r="F293" s="114"/>
      <c r="G293" s="86"/>
      <c r="H293" s="87"/>
      <c r="I293" s="123"/>
      <c r="J293" s="123"/>
      <c r="K293" s="123"/>
      <c r="L293" s="89"/>
      <c r="M293" s="89"/>
      <c r="N293" s="89"/>
      <c r="O293" s="90"/>
      <c r="P293" s="91"/>
      <c r="Q293" s="123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4" t="str">
        <f aca="false">IF(ISBLANK($C293),"",IF(J293=Constants!$B$2, TRUE(), IF(J293=Constants!$B$3,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Constants!B296) * IF(X293, 1, Constants!B297),"")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IF($AE293=Constants!$B$7,IF(AND(T293,U293,W293),Constants!$B$9*AH293/$AH$6, 0),"")</f>
        <v/>
      </c>
      <c r="AK293" s="94" t="str">
        <f aca="false">IF(AJ293&lt;&gt;"", AJ293*AG293,"")</f>
        <v/>
      </c>
      <c r="AL293" s="94" t="str">
        <f aca="false">IF(AND($AE293=Constants!$B$7, T293, U293) ,IF($Z293="", "", 1-ABS($AA293-$Z293)/$AA293),"")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,IF(AND(T293,U293,W293,ISNUMBER(Z293)),Constants!$B$10*AL293/$AL$6, 0),"")</f>
        <v/>
      </c>
      <c r="AO293" s="94" t="str">
        <f aca="false">IF(AN293&lt;&gt;"", AN293*AG293,"")</f>
        <v/>
      </c>
      <c r="AP293" s="94" t="str">
        <f aca="false">IF($AE293=Constants!$B$7,Constants!$B$8*AB293/$AP$6,"")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IF(ISBLANK(C293),"",IFERROR(_xlfn.SWITCH(BE293, Constants!$B$4, COUNTA($C$8:$C792)+2, Constants!$B$5, COUNTA($C$8:$C792)+1, Constants!$B$6, COUNTA($C$8:$C792)),BE293))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0"/>
      <c r="C294" s="121"/>
      <c r="D294" s="110"/>
      <c r="E294" s="114"/>
      <c r="F294" s="114"/>
      <c r="G294" s="86"/>
      <c r="H294" s="87"/>
      <c r="I294" s="123"/>
      <c r="J294" s="123"/>
      <c r="K294" s="123"/>
      <c r="L294" s="89"/>
      <c r="M294" s="89"/>
      <c r="N294" s="89"/>
      <c r="O294" s="90"/>
      <c r="P294" s="91"/>
      <c r="Q294" s="123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4" t="str">
        <f aca="false">IF(ISBLANK($C294),"",IF(J294=Constants!$B$2, TRUE(), IF(J294=Constants!$B$3,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Constants!B297) * IF(X294, 1, Constants!B298),"")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IF($AE294=Constants!$B$7,IF(AND(T294,U294,W294),Constants!$B$9*AH294/$AH$6, 0),"")</f>
        <v/>
      </c>
      <c r="AK294" s="94" t="str">
        <f aca="false">IF(AJ294&lt;&gt;"", AJ294*AG294,"")</f>
        <v/>
      </c>
      <c r="AL294" s="94" t="str">
        <f aca="false">IF(AND($AE294=Constants!$B$7, T294, U294) ,IF($Z294="", "", 1-ABS($AA294-$Z294)/$AA294),"")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,IF(AND(T294,U294,W294,ISNUMBER(Z294)),Constants!$B$10*AL294/$AL$6, 0),"")</f>
        <v/>
      </c>
      <c r="AO294" s="94" t="str">
        <f aca="false">IF(AN294&lt;&gt;"", AN294*AG294,"")</f>
        <v/>
      </c>
      <c r="AP294" s="94" t="str">
        <f aca="false">IF($AE294=Constants!$B$7,Constants!$B$8*AB294/$AP$6,"")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IF(ISBLANK(C294),"",IFERROR(_xlfn.SWITCH(BE294, Constants!$B$4, COUNTA($C$8:$C793)+2, Constants!$B$5, COUNTA($C$8:$C793)+1, Constants!$B$6, COUNTA($C$8:$C793)),BE294))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0"/>
      <c r="C295" s="121"/>
      <c r="D295" s="110"/>
      <c r="E295" s="114"/>
      <c r="F295" s="114"/>
      <c r="G295" s="86"/>
      <c r="H295" s="87"/>
      <c r="I295" s="123"/>
      <c r="J295" s="123"/>
      <c r="K295" s="123"/>
      <c r="L295" s="89"/>
      <c r="M295" s="89"/>
      <c r="N295" s="89"/>
      <c r="O295" s="90"/>
      <c r="P295" s="91"/>
      <c r="Q295" s="123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4" t="str">
        <f aca="false">IF(ISBLANK($C295),"",IF(J295=Constants!$B$2, TRUE(), IF(J295=Constants!$B$3,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Constants!B298) * IF(X295, 1, Constants!B299),"")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IF($AE295=Constants!$B$7,IF(AND(T295,U295,W295),Constants!$B$9*AH295/$AH$6, 0),"")</f>
        <v/>
      </c>
      <c r="AK295" s="94" t="str">
        <f aca="false">IF(AJ295&lt;&gt;"", AJ295*AG295,"")</f>
        <v/>
      </c>
      <c r="AL295" s="94" t="str">
        <f aca="false">IF(AND($AE295=Constants!$B$7, T295, U295) ,IF($Z295="", "", 1-ABS($AA295-$Z295)/$AA295),"")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,IF(AND(T295,U295,W295,ISNUMBER(Z295)),Constants!$B$10*AL295/$AL$6, 0),"")</f>
        <v/>
      </c>
      <c r="AO295" s="94" t="str">
        <f aca="false">IF(AN295&lt;&gt;"", AN295*AG295,"")</f>
        <v/>
      </c>
      <c r="AP295" s="94" t="str">
        <f aca="false">IF($AE295=Constants!$B$7,Constants!$B$8*AB295/$AP$6,"")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IF(ISBLANK(C295),"",IFERROR(_xlfn.SWITCH(BE295, Constants!$B$4, COUNTA($C$8:$C794)+2, Constants!$B$5, COUNTA($C$8:$C794)+1, Constants!$B$6, COUNTA($C$8:$C794)),BE295))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4"/>
      <c r="C296" s="51"/>
      <c r="D296" s="52"/>
      <c r="E296" s="118"/>
      <c r="F296" s="118"/>
      <c r="G296" s="54"/>
      <c r="H296" s="55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IF(ISBLANK($C296),"",IF(J296=Constants!$B$2, TRUE(), IF(J296=Constants!$B$3,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Constants!B299) * IF(X296, 1, Constants!B300),"")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IF($AE296=Constants!$B$7,IF(AND(T296,U296,W296),Constants!$B$9*AH296/$AH$6, 0),"")</f>
        <v/>
      </c>
      <c r="AK296" s="62" t="str">
        <f aca="false">IF(AJ296&lt;&gt;"", AJ296*AG296,"")</f>
        <v/>
      </c>
      <c r="AL296" s="62" t="str">
        <f aca="false">IF(AND($AE296=Constants!$B$7, T296, U296) ,IF($Z296="", "", 1-ABS($AA296-$Z296)/$AA296),"")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IF($AE296=Constants!$B$7,Constants!$B$8*AB296/$AP$6,"")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IF(ISBLANK(C296),"",IFERROR(_xlfn.SWITCH(BE296, Constants!$B$4, COUNTA($C$8:$C795)+2, Constants!$B$5, COUNTA($C$8:$C795)+1, Constants!$B$6, COUNTA($C$8:$C795)),BE296))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4"/>
      <c r="C297" s="51"/>
      <c r="D297" s="52"/>
      <c r="E297" s="118"/>
      <c r="F297" s="118"/>
      <c r="G297" s="54"/>
      <c r="H297" s="55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IF(ISBLANK($C297),"",IF(J297=Constants!$B$2, TRUE(), IF(J297=Constants!$B$3,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Constants!B300) * IF(X297, 1, Constants!B301),"")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IF($AE297=Constants!$B$7,IF(AND(T297,U297,W297),Constants!$B$9*AH297/$AH$6, 0),"")</f>
        <v/>
      </c>
      <c r="AK297" s="62" t="str">
        <f aca="false">IF(AJ297&lt;&gt;"", AJ297*AG297,"")</f>
        <v/>
      </c>
      <c r="AL297" s="62" t="str">
        <f aca="false">IF(AND($AE297=Constants!$B$7, T297, U297) ,IF($Z297="", "", 1-ABS($AA297-$Z297)/$AA297),"")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IF($AE297=Constants!$B$7,Constants!$B$8*AB297/$AP$6,"")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IF(ISBLANK(C297),"",IFERROR(_xlfn.SWITCH(BE297, Constants!$B$4, COUNTA($C$8:$C796)+2, Constants!$B$5, COUNTA($C$8:$C796)+1, Constants!$B$6, COUNTA($C$8:$C796)),BE297))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4"/>
      <c r="C298" s="51"/>
      <c r="D298" s="52"/>
      <c r="E298" s="118"/>
      <c r="F298" s="118"/>
      <c r="G298" s="54"/>
      <c r="H298" s="55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IF(ISBLANK($C298),"",IF(J298=Constants!$B$2, TRUE(), IF(J298=Constants!$B$3,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Constants!B301) * IF(X298, 1, Constants!B302),"")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IF($AE298=Constants!$B$7,IF(AND(T298,U298,W298),Constants!$B$9*AH298/$AH$6, 0),"")</f>
        <v/>
      </c>
      <c r="AK298" s="62" t="str">
        <f aca="false">IF(AJ298&lt;&gt;"", AJ298*AG298,"")</f>
        <v/>
      </c>
      <c r="AL298" s="62" t="str">
        <f aca="false">IF(AND($AE298=Constants!$B$7, T298, U298) ,IF($Z298="", "", 1-ABS($AA298-$Z298)/$AA298),"")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IF($AE298=Constants!$B$7,Constants!$B$8*AB298/$AP$6,"")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IF(ISBLANK(C298),"",IFERROR(_xlfn.SWITCH(BE298, Constants!$B$4, COUNTA($C$8:$C797)+2, Constants!$B$5, COUNTA($C$8:$C797)+1, Constants!$B$6, COUNTA($C$8:$C797)),BE298))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0"/>
      <c r="C299" s="121"/>
      <c r="D299" s="110"/>
      <c r="E299" s="114"/>
      <c r="F299" s="114"/>
      <c r="G299" s="86"/>
      <c r="H299" s="87"/>
      <c r="I299" s="123"/>
      <c r="J299" s="123"/>
      <c r="K299" s="123"/>
      <c r="L299" s="89"/>
      <c r="M299" s="89"/>
      <c r="N299" s="89"/>
      <c r="O299" s="90"/>
      <c r="P299" s="91"/>
      <c r="Q299" s="123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4" t="str">
        <f aca="false">IF(ISBLANK($C299),"",IF(J299=Constants!$B$2, TRUE(), IF(J299=Constants!$B$3,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Constants!B302) * IF(X299, 1, Constants!B303),"")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IF($AE299=Constants!$B$7,IF(AND(T299,U299,W299),Constants!$B$9*AH299/$AH$6, 0),"")</f>
        <v/>
      </c>
      <c r="AK299" s="94" t="str">
        <f aca="false">IF(AJ299&lt;&gt;"", AJ299*AG299,"")</f>
        <v/>
      </c>
      <c r="AL299" s="94" t="str">
        <f aca="false">IF(AND($AE299=Constants!$B$7, T299, U299) ,IF($Z299="", "", 1-ABS($AA299-$Z299)/$AA299),"")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,IF(AND(T299,U299,W299,ISNUMBER(Z299)),Constants!$B$10*AL299/$AL$6, 0),"")</f>
        <v/>
      </c>
      <c r="AO299" s="94" t="str">
        <f aca="false">IF(AN299&lt;&gt;"", AN299*AG299,"")</f>
        <v/>
      </c>
      <c r="AP299" s="94" t="str">
        <f aca="false">IF($AE299=Constants!$B$7,Constants!$B$8*AB299/$AP$6,"")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IF(ISBLANK(C299),"",IFERROR(_xlfn.SWITCH(BE299, Constants!$B$4, COUNTA($C$8:$C798)+2, Constants!$B$5, COUNTA($C$8:$C798)+1, Constants!$B$6, COUNTA($C$8:$C798)),BE299))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0"/>
      <c r="C300" s="121"/>
      <c r="D300" s="110"/>
      <c r="E300" s="114"/>
      <c r="F300" s="114"/>
      <c r="G300" s="86"/>
      <c r="H300" s="87"/>
      <c r="I300" s="123"/>
      <c r="J300" s="123"/>
      <c r="K300" s="123"/>
      <c r="L300" s="89"/>
      <c r="M300" s="89"/>
      <c r="N300" s="89"/>
      <c r="O300" s="90"/>
      <c r="P300" s="91"/>
      <c r="Q300" s="123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4" t="str">
        <f aca="false">IF(ISBLANK($C300),"",IF(J300=Constants!$B$2, TRUE(), IF(J300=Constants!$B$3,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Constants!B303) * IF(X300, 1, Constants!B304),"")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IF($AE300=Constants!$B$7,IF(AND(T300,U300,W300),Constants!$B$9*AH300/$AH$6, 0),"")</f>
        <v/>
      </c>
      <c r="AK300" s="94" t="str">
        <f aca="false">IF(AJ300&lt;&gt;"", AJ300*AG300,"")</f>
        <v/>
      </c>
      <c r="AL300" s="94" t="str">
        <f aca="false">IF(AND($AE300=Constants!$B$7, T300, U300) ,IF($Z300="", "", 1-ABS($AA300-$Z300)/$AA300),"")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,IF(AND(T300,U300,W300,ISNUMBER(Z300)),Constants!$B$10*AL300/$AL$6, 0),"")</f>
        <v/>
      </c>
      <c r="AO300" s="94" t="str">
        <f aca="false">IF(AN300&lt;&gt;"", AN300*AG300,"")</f>
        <v/>
      </c>
      <c r="AP300" s="94" t="str">
        <f aca="false">IF($AE300=Constants!$B$7,Constants!$B$8*AB300/$AP$6,"")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IF(ISBLANK(C300),"",IFERROR(_xlfn.SWITCH(BE300, Constants!$B$4, COUNTA($C$8:$C799)+2, Constants!$B$5, COUNTA($C$8:$C799)+1, Constants!$B$6, COUNTA($C$8:$C799)),BE300))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0"/>
      <c r="C301" s="121"/>
      <c r="D301" s="110"/>
      <c r="E301" s="114"/>
      <c r="F301" s="114"/>
      <c r="G301" s="86"/>
      <c r="H301" s="87"/>
      <c r="I301" s="123"/>
      <c r="J301" s="123"/>
      <c r="K301" s="123"/>
      <c r="L301" s="89"/>
      <c r="M301" s="89"/>
      <c r="N301" s="89"/>
      <c r="O301" s="90"/>
      <c r="P301" s="91"/>
      <c r="Q301" s="123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4" t="str">
        <f aca="false">IF(ISBLANK($C301),"",IF(J301=Constants!$B$2, TRUE(), IF(J301=Constants!$B$3,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Constants!B304) * IF(X301, 1, Constants!B305),"")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IF($AE301=Constants!$B$7,IF(AND(T301,U301,W301),Constants!$B$9*AH301/$AH$6, 0),"")</f>
        <v/>
      </c>
      <c r="AK301" s="94" t="str">
        <f aca="false">IF(AJ301&lt;&gt;"", AJ301*AG301,"")</f>
        <v/>
      </c>
      <c r="AL301" s="94" t="str">
        <f aca="false">IF(AND($AE301=Constants!$B$7, T301, U301) ,IF($Z301="", "", 1-ABS($AA301-$Z301)/$AA301),"")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,IF(AND(T301,U301,W301,ISNUMBER(Z301)),Constants!$B$10*AL301/$AL$6, 0),"")</f>
        <v/>
      </c>
      <c r="AO301" s="94" t="str">
        <f aca="false">IF(AN301&lt;&gt;"", AN301*AG301,"")</f>
        <v/>
      </c>
      <c r="AP301" s="94" t="str">
        <f aca="false">IF($AE301=Constants!$B$7,Constants!$B$8*AB301/$AP$6,"")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IF(ISBLANK(C301),"",IFERROR(_xlfn.SWITCH(BE301, Constants!$B$4, COUNTA($C$8:$C800)+2, Constants!$B$5, COUNTA($C$8:$C800)+1, Constants!$B$6, COUNTA($C$8:$C800)),BE301))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4"/>
      <c r="C302" s="51"/>
      <c r="D302" s="52"/>
      <c r="E302" s="118"/>
      <c r="F302" s="118"/>
      <c r="G302" s="54"/>
      <c r="H302" s="55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IF(ISBLANK($C302),"",IF(J302=Constants!$B$2, TRUE(), IF(J302=Constants!$B$3,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Constants!B305) * IF(X302, 1, Constants!B306),"")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IF($AE302=Constants!$B$7,IF(AND(T302,U302,W302),Constants!$B$9*AH302/$AH$6, 0),"")</f>
        <v/>
      </c>
      <c r="AK302" s="62" t="str">
        <f aca="false">IF(AJ302&lt;&gt;"", AJ302*AG302,"")</f>
        <v/>
      </c>
      <c r="AL302" s="62" t="str">
        <f aca="false">IF(AND($AE302=Constants!$B$7, T302, U302) ,IF($Z302="", "", 1-ABS($AA302-$Z302)/$AA302),"")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IF($AE302=Constants!$B$7,Constants!$B$8*AB302/$AP$6,"")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IF(ISBLANK(C302),"",IFERROR(_xlfn.SWITCH(BE302, Constants!$B$4, COUNTA($C$8:$C801)+2, Constants!$B$5, COUNTA($C$8:$C801)+1, Constants!$B$6, COUNTA($C$8:$C801)),BE302))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4"/>
      <c r="C303" s="51"/>
      <c r="D303" s="52"/>
      <c r="E303" s="118"/>
      <c r="F303" s="118"/>
      <c r="G303" s="54"/>
      <c r="H303" s="55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IF(ISBLANK($C303),"",IF(J303=Constants!$B$2, TRUE(), IF(J303=Constants!$B$3,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Constants!B306) * IF(X303, 1, Constants!B307),"")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IF($AE303=Constants!$B$7,IF(AND(T303,U303,W303),Constants!$B$9*AH303/$AH$6, 0),"")</f>
        <v/>
      </c>
      <c r="AK303" s="62" t="str">
        <f aca="false">IF(AJ303&lt;&gt;"", AJ303*AG303,"")</f>
        <v/>
      </c>
      <c r="AL303" s="62" t="str">
        <f aca="false">IF(AND($AE303=Constants!$B$7, T303, U303) ,IF($Z303="", "", 1-ABS($AA303-$Z303)/$AA303),"")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IF($AE303=Constants!$B$7,Constants!$B$8*AB303/$AP$6,"")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IF(ISBLANK(C303),"",IFERROR(_xlfn.SWITCH(BE303, Constants!$B$4, COUNTA($C$8:$C802)+2, Constants!$B$5, COUNTA($C$8:$C802)+1, Constants!$B$6, COUNTA($C$8:$C802)),BE303))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4"/>
      <c r="C304" s="51"/>
      <c r="D304" s="52"/>
      <c r="E304" s="118"/>
      <c r="F304" s="118"/>
      <c r="G304" s="54"/>
      <c r="H304" s="55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IF(ISBLANK($C304),"",IF(J304=Constants!$B$2, TRUE(), IF(J304=Constants!$B$3,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Constants!B307) * IF(X304, 1, Constants!B308),"")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IF($AE304=Constants!$B$7,IF(AND(T304,U304,W304),Constants!$B$9*AH304/$AH$6, 0),"")</f>
        <v/>
      </c>
      <c r="AK304" s="62" t="str">
        <f aca="false">IF(AJ304&lt;&gt;"", AJ304*AG304,"")</f>
        <v/>
      </c>
      <c r="AL304" s="62" t="str">
        <f aca="false">IF(AND($AE304=Constants!$B$7, T304, U304) ,IF($Z304="", "", 1-ABS($AA304-$Z304)/$AA304),"")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IF($AE304=Constants!$B$7,Constants!$B$8*AB304/$AP$6,"")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IF(ISBLANK(C304),"",IFERROR(_xlfn.SWITCH(BE304, Constants!$B$4, COUNTA($C$8:$C803)+2, Constants!$B$5, COUNTA($C$8:$C803)+1, Constants!$B$6, COUNTA($C$8:$C803)),BE304))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0"/>
      <c r="C305" s="121"/>
      <c r="D305" s="110"/>
      <c r="E305" s="114"/>
      <c r="F305" s="114"/>
      <c r="G305" s="86"/>
      <c r="H305" s="87"/>
      <c r="I305" s="123"/>
      <c r="J305" s="123"/>
      <c r="K305" s="123"/>
      <c r="L305" s="89"/>
      <c r="M305" s="89"/>
      <c r="N305" s="89"/>
      <c r="O305" s="90"/>
      <c r="P305" s="91"/>
      <c r="Q305" s="123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4" t="str">
        <f aca="false">IF(ISBLANK($C305),"",IF(J305=Constants!$B$2, TRUE(), IF(J305=Constants!$B$3,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Constants!B308) * IF(X305, 1, Constants!B309),"")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IF($AE305=Constants!$B$7,IF(AND(T305,U305,W305),Constants!$B$9*AH305/$AH$6, 0),"")</f>
        <v/>
      </c>
      <c r="AK305" s="94" t="str">
        <f aca="false">IF(AJ305&lt;&gt;"", AJ305*AG305,"")</f>
        <v/>
      </c>
      <c r="AL305" s="94" t="str">
        <f aca="false">IF(AND($AE305=Constants!$B$7, T305, U305) ,IF($Z305="", "", 1-ABS($AA305-$Z305)/$AA305),"")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,IF(AND(T305,U305,W305,ISNUMBER(Z305)),Constants!$B$10*AL305/$AL$6, 0),"")</f>
        <v/>
      </c>
      <c r="AO305" s="94" t="str">
        <f aca="false">IF(AN305&lt;&gt;"", AN305*AG305,"")</f>
        <v/>
      </c>
      <c r="AP305" s="94" t="str">
        <f aca="false">IF($AE305=Constants!$B$7,Constants!$B$8*AB305/$AP$6,"")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IF(ISBLANK(C305),"",IFERROR(_xlfn.SWITCH(BE305, Constants!$B$4, COUNTA($C$8:$C804)+2, Constants!$B$5, COUNTA($C$8:$C804)+1, Constants!$B$6, COUNTA($C$8:$C804)),BE305))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0"/>
      <c r="C306" s="121"/>
      <c r="D306" s="110"/>
      <c r="E306" s="114"/>
      <c r="F306" s="114"/>
      <c r="G306" s="86"/>
      <c r="H306" s="87"/>
      <c r="I306" s="123"/>
      <c r="J306" s="123"/>
      <c r="K306" s="123"/>
      <c r="L306" s="89"/>
      <c r="M306" s="89"/>
      <c r="N306" s="89"/>
      <c r="O306" s="90"/>
      <c r="P306" s="91"/>
      <c r="Q306" s="123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4" t="str">
        <f aca="false">IF(ISBLANK($C306),"",IF(J306=Constants!$B$2, TRUE(), IF(J306=Constants!$B$3,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Constants!B309) * IF(X306, 1, Constants!B310),"")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IF($AE306=Constants!$B$7,IF(AND(T306,U306,W306),Constants!$B$9*AH306/$AH$6, 0),"")</f>
        <v/>
      </c>
      <c r="AK306" s="94" t="str">
        <f aca="false">IF(AJ306&lt;&gt;"", AJ306*AG306,"")</f>
        <v/>
      </c>
      <c r="AL306" s="94" t="str">
        <f aca="false">IF(AND($AE306=Constants!$B$7, T306, U306) ,IF($Z306="", "", 1-ABS($AA306-$Z306)/$AA306),"")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,IF(AND(T306,U306,W306,ISNUMBER(Z306)),Constants!$B$10*AL306/$AL$6, 0),"")</f>
        <v/>
      </c>
      <c r="AO306" s="94" t="str">
        <f aca="false">IF(AN306&lt;&gt;"", AN306*AG306,"")</f>
        <v/>
      </c>
      <c r="AP306" s="94" t="str">
        <f aca="false">IF($AE306=Constants!$B$7,Constants!$B$8*AB306/$AP$6,"")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IF(ISBLANK(C306),"",IFERROR(_xlfn.SWITCH(BE306, Constants!$B$4, COUNTA($C$8:$C805)+2, Constants!$B$5, COUNTA($C$8:$C805)+1, Constants!$B$6, COUNTA($C$8:$C805)),BE306))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0"/>
      <c r="C307" s="121"/>
      <c r="D307" s="110"/>
      <c r="E307" s="114"/>
      <c r="F307" s="114"/>
      <c r="G307" s="86"/>
      <c r="H307" s="87"/>
      <c r="I307" s="123"/>
      <c r="J307" s="123"/>
      <c r="K307" s="123"/>
      <c r="L307" s="89"/>
      <c r="M307" s="89"/>
      <c r="N307" s="89"/>
      <c r="O307" s="90"/>
      <c r="P307" s="91"/>
      <c r="Q307" s="123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4" t="str">
        <f aca="false">IF(ISBLANK($C307),"",IF(J307=Constants!$B$2, TRUE(), IF(J307=Constants!$B$3,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Constants!B310) * IF(X307, 1, Constants!B311),"")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IF($AE307=Constants!$B$7,IF(AND(T307,U307,W307),Constants!$B$9*AH307/$AH$6, 0),"")</f>
        <v/>
      </c>
      <c r="AK307" s="94" t="str">
        <f aca="false">IF(AJ307&lt;&gt;"", AJ307*AG307,"")</f>
        <v/>
      </c>
      <c r="AL307" s="94" t="str">
        <f aca="false">IF(AND($AE307=Constants!$B$7, T307, U307) ,IF($Z307="", "", 1-ABS($AA307-$Z307)/$AA307),"")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,IF(AND(T307,U307,W307,ISNUMBER(Z307)),Constants!$B$10*AL307/$AL$6, 0),"")</f>
        <v/>
      </c>
      <c r="AO307" s="94" t="str">
        <f aca="false">IF(AN307&lt;&gt;"", AN307*AG307,"")</f>
        <v/>
      </c>
      <c r="AP307" s="94" t="str">
        <f aca="false">IF($AE307=Constants!$B$7,Constants!$B$8*AB307/$AP$6,"")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IF(ISBLANK(C307),"",IFERROR(_xlfn.SWITCH(BE307, Constants!$B$4, COUNTA($C$8:$C806)+2, Constants!$B$5, COUNTA($C$8:$C806)+1, Constants!$B$6, COUNTA($C$8:$C806)),BE307))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4"/>
      <c r="C308" s="51"/>
      <c r="D308" s="52"/>
      <c r="E308" s="118"/>
      <c r="F308" s="118"/>
      <c r="G308" s="54"/>
      <c r="H308" s="55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IF(ISBLANK($C308),"",IF(J308=Constants!$B$2, TRUE(), IF(J308=Constants!$B$3,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Constants!B311) * IF(X308, 1, Constants!B312),"")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IF($AE308=Constants!$B$7,IF(AND(T308,U308,W308),Constants!$B$9*AH308/$AH$6, 0),"")</f>
        <v/>
      </c>
      <c r="AK308" s="62" t="str">
        <f aca="false">IF(AJ308&lt;&gt;"", AJ308*AG308,"")</f>
        <v/>
      </c>
      <c r="AL308" s="62" t="str">
        <f aca="false">IF(AND($AE308=Constants!$B$7, T308, U308) ,IF($Z308="", "", 1-ABS($AA308-$Z308)/$AA308),"")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IF($AE308=Constants!$B$7,Constants!$B$8*AB308/$AP$6,"")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IF(ISBLANK(C308),"",IFERROR(_xlfn.SWITCH(BE308, Constants!$B$4, COUNTA($C$8:$C807)+2, Constants!$B$5, COUNTA($C$8:$C807)+1, Constants!$B$6, COUNTA($C$8:$C807)),BE308))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4"/>
      <c r="C309" s="51"/>
      <c r="D309" s="52"/>
      <c r="E309" s="118"/>
      <c r="F309" s="118"/>
      <c r="G309" s="54"/>
      <c r="H309" s="55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IF(ISBLANK($C309),"",IF(J309=Constants!$B$2, TRUE(), IF(J309=Constants!$B$3,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Constants!B312) * IF(X309, 1, Constants!B313),"")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IF($AE309=Constants!$B$7,IF(AND(T309,U309,W309),Constants!$B$9*AH309/$AH$6, 0),"")</f>
        <v/>
      </c>
      <c r="AK309" s="62" t="str">
        <f aca="false">IF(AJ309&lt;&gt;"", AJ309*AG309,"")</f>
        <v/>
      </c>
      <c r="AL309" s="62" t="str">
        <f aca="false">IF(AND($AE309=Constants!$B$7, T309, U309) ,IF($Z309="", "", 1-ABS($AA309-$Z309)/$AA309),"")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IF($AE309=Constants!$B$7,Constants!$B$8*AB309/$AP$6,"")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IF(ISBLANK(C309),"",IFERROR(_xlfn.SWITCH(BE309, Constants!$B$4, COUNTA($C$8:$C808)+2, Constants!$B$5, COUNTA($C$8:$C808)+1, Constants!$B$6, COUNTA($C$8:$C808)),BE309))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4"/>
      <c r="C310" s="51"/>
      <c r="D310" s="52"/>
      <c r="E310" s="118"/>
      <c r="F310" s="118"/>
      <c r="G310" s="54"/>
      <c r="H310" s="55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IF(ISBLANK($C310),"",IF(J310=Constants!$B$2, TRUE(), IF(J310=Constants!$B$3,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Constants!B313) * IF(X310, 1, Constants!B314),"")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IF($AE310=Constants!$B$7,IF(AND(T310,U310,W310),Constants!$B$9*AH310/$AH$6, 0),"")</f>
        <v/>
      </c>
      <c r="AK310" s="62" t="str">
        <f aca="false">IF(AJ310&lt;&gt;"", AJ310*AG310,"")</f>
        <v/>
      </c>
      <c r="AL310" s="62" t="str">
        <f aca="false">IF(AND($AE310=Constants!$B$7, T310, U310) ,IF($Z310="", "", 1-ABS($AA310-$Z310)/$AA310),"")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IF($AE310=Constants!$B$7,Constants!$B$8*AB310/$AP$6,"")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IF(ISBLANK(C310),"",IFERROR(_xlfn.SWITCH(BE310, Constants!$B$4, COUNTA($C$8:$C809)+2, Constants!$B$5, COUNTA($C$8:$C809)+1, Constants!$B$6, COUNTA($C$8:$C809)),BE310))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0"/>
      <c r="C311" s="121"/>
      <c r="D311" s="110"/>
      <c r="E311" s="114"/>
      <c r="F311" s="114"/>
      <c r="G311" s="86"/>
      <c r="H311" s="87"/>
      <c r="I311" s="123"/>
      <c r="J311" s="123"/>
      <c r="K311" s="123"/>
      <c r="L311" s="89"/>
      <c r="M311" s="89"/>
      <c r="N311" s="89"/>
      <c r="O311" s="90"/>
      <c r="P311" s="91"/>
      <c r="Q311" s="123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4" t="str">
        <f aca="false">IF(ISBLANK($C311),"",IF(J311=Constants!$B$2, TRUE(), IF(J311=Constants!$B$3,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Constants!B314) * IF(X311, 1, Constants!B315),"")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IF($AE311=Constants!$B$7,IF(AND(T311,U311,W311),Constants!$B$9*AH311/$AH$6, 0),"")</f>
        <v/>
      </c>
      <c r="AK311" s="94" t="str">
        <f aca="false">IF(AJ311&lt;&gt;"", AJ311*AG311,"")</f>
        <v/>
      </c>
      <c r="AL311" s="94" t="str">
        <f aca="false">IF(AND($AE311=Constants!$B$7, T311, U311) ,IF($Z311="", "", 1-ABS($AA311-$Z311)/$AA311),"")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,IF(AND(T311,U311,W311,ISNUMBER(Z311)),Constants!$B$10*AL311/$AL$6, 0),"")</f>
        <v/>
      </c>
      <c r="AO311" s="94" t="str">
        <f aca="false">IF(AN311&lt;&gt;"", AN311*AG311,"")</f>
        <v/>
      </c>
      <c r="AP311" s="94" t="str">
        <f aca="false">IF($AE311=Constants!$B$7,Constants!$B$8*AB311/$AP$6,"")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IF(ISBLANK(C311),"",IFERROR(_xlfn.SWITCH(BE311, Constants!$B$4, COUNTA($C$8:$C810)+2, Constants!$B$5, COUNTA($C$8:$C810)+1, Constants!$B$6, COUNTA($C$8:$C810)),BE311))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0"/>
      <c r="C312" s="121"/>
      <c r="D312" s="110"/>
      <c r="E312" s="114"/>
      <c r="F312" s="114"/>
      <c r="G312" s="86"/>
      <c r="H312" s="87"/>
      <c r="I312" s="123"/>
      <c r="J312" s="123"/>
      <c r="K312" s="123"/>
      <c r="L312" s="89"/>
      <c r="M312" s="89"/>
      <c r="N312" s="89"/>
      <c r="O312" s="90"/>
      <c r="P312" s="91"/>
      <c r="Q312" s="123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4" t="str">
        <f aca="false">IF(ISBLANK($C312),"",IF(J312=Constants!$B$2, TRUE(), IF(J312=Constants!$B$3,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Constants!B315) * IF(X312, 1, Constants!B316),"")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IF($AE312=Constants!$B$7,IF(AND(T312,U312,W312),Constants!$B$9*AH312/$AH$6, 0),"")</f>
        <v/>
      </c>
      <c r="AK312" s="94" t="str">
        <f aca="false">IF(AJ312&lt;&gt;"", AJ312*AG312,"")</f>
        <v/>
      </c>
      <c r="AL312" s="94" t="str">
        <f aca="false">IF(AND($AE312=Constants!$B$7, T312, U312) ,IF($Z312="", "", 1-ABS($AA312-$Z312)/$AA312),"")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,IF(AND(T312,U312,W312,ISNUMBER(Z312)),Constants!$B$10*AL312/$AL$6, 0),"")</f>
        <v/>
      </c>
      <c r="AO312" s="94" t="str">
        <f aca="false">IF(AN312&lt;&gt;"", AN312*AG312,"")</f>
        <v/>
      </c>
      <c r="AP312" s="94" t="str">
        <f aca="false">IF($AE312=Constants!$B$7,Constants!$B$8*AB312/$AP$6,"")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IF(ISBLANK(C312),"",IFERROR(_xlfn.SWITCH(BE312, Constants!$B$4, COUNTA($C$8:$C811)+2, Constants!$B$5, COUNTA($C$8:$C811)+1, Constants!$B$6, COUNTA($C$8:$C811)),BE312))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0"/>
      <c r="C313" s="121"/>
      <c r="D313" s="110"/>
      <c r="E313" s="114"/>
      <c r="F313" s="114"/>
      <c r="G313" s="86"/>
      <c r="H313" s="87"/>
      <c r="I313" s="123"/>
      <c r="J313" s="123"/>
      <c r="K313" s="123"/>
      <c r="L313" s="89"/>
      <c r="M313" s="89"/>
      <c r="N313" s="89"/>
      <c r="O313" s="90"/>
      <c r="P313" s="91"/>
      <c r="Q313" s="123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4" t="str">
        <f aca="false">IF(ISBLANK($C313),"",IF(J313=Constants!$B$2, TRUE(), IF(J313=Constants!$B$3,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Constants!B316) * IF(X313, 1, Constants!B317),"")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IF($AE313=Constants!$B$7,IF(AND(T313,U313,W313),Constants!$B$9*AH313/$AH$6, 0),"")</f>
        <v/>
      </c>
      <c r="AK313" s="94" t="str">
        <f aca="false">IF(AJ313&lt;&gt;"", AJ313*AG313,"")</f>
        <v/>
      </c>
      <c r="AL313" s="94" t="str">
        <f aca="false">IF(AND($AE313=Constants!$B$7, T313, U313) ,IF($Z313="", "", 1-ABS($AA313-$Z313)/$AA313),"")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,IF(AND(T313,U313,W313,ISNUMBER(Z313)),Constants!$B$10*AL313/$AL$6, 0),"")</f>
        <v/>
      </c>
      <c r="AO313" s="94" t="str">
        <f aca="false">IF(AN313&lt;&gt;"", AN313*AG313,"")</f>
        <v/>
      </c>
      <c r="AP313" s="94" t="str">
        <f aca="false">IF($AE313=Constants!$B$7,Constants!$B$8*AB313/$AP$6,"")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IF(ISBLANK(C313),"",IFERROR(_xlfn.SWITCH(BE313, Constants!$B$4, COUNTA($C$8:$C812)+2, Constants!$B$5, COUNTA($C$8:$C812)+1, Constants!$B$6, COUNTA($C$8:$C812)),BE313))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4"/>
      <c r="C314" s="51"/>
      <c r="D314" s="52"/>
      <c r="E314" s="118"/>
      <c r="F314" s="118"/>
      <c r="G314" s="54"/>
      <c r="H314" s="55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IF(ISBLANK($C314),"",IF(J314=Constants!$B$2, TRUE(), IF(J314=Constants!$B$3,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Constants!B317) * IF(X314, 1, Constants!B318),"")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IF($AE314=Constants!$B$7,IF(AND(T314,U314,W314),Constants!$B$9*AH314/$AH$6, 0),"")</f>
        <v/>
      </c>
      <c r="AK314" s="62" t="str">
        <f aca="false">IF(AJ314&lt;&gt;"", AJ314*AG314,"")</f>
        <v/>
      </c>
      <c r="AL314" s="62" t="str">
        <f aca="false">IF(AND($AE314=Constants!$B$7, T314, U314) ,IF($Z314="", "", 1-ABS($AA314-$Z314)/$AA314),"")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IF($AE314=Constants!$B$7,Constants!$B$8*AB314/$AP$6,"")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IF(ISBLANK(C314),"",IFERROR(_xlfn.SWITCH(BE314, Constants!$B$4, COUNTA($C$8:$C813)+2, Constants!$B$5, COUNTA($C$8:$C813)+1, Constants!$B$6, COUNTA($C$8:$C813)),BE314))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4"/>
      <c r="C315" s="51"/>
      <c r="D315" s="52"/>
      <c r="E315" s="118"/>
      <c r="F315" s="118"/>
      <c r="G315" s="54"/>
      <c r="H315" s="55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IF(ISBLANK($C315),"",IF(J315=Constants!$B$2, TRUE(), IF(J315=Constants!$B$3,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Constants!B318) * IF(X315, 1, Constants!B319),"")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IF($AE315=Constants!$B$7,IF(AND(T315,U315,W315),Constants!$B$9*AH315/$AH$6, 0),"")</f>
        <v/>
      </c>
      <c r="AK315" s="62" t="str">
        <f aca="false">IF(AJ315&lt;&gt;"", AJ315*AG315,"")</f>
        <v/>
      </c>
      <c r="AL315" s="62" t="str">
        <f aca="false">IF(AND($AE315=Constants!$B$7, T315, U315) ,IF($Z315="", "", 1-ABS($AA315-$Z315)/$AA315),"")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IF($AE315=Constants!$B$7,Constants!$B$8*AB315/$AP$6,"")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IF(ISBLANK(C315),"",IFERROR(_xlfn.SWITCH(BE315, Constants!$B$4, COUNTA($C$8:$C814)+2, Constants!$B$5, COUNTA($C$8:$C814)+1, Constants!$B$6, COUNTA($C$8:$C814)),BE315))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4"/>
      <c r="C316" s="51"/>
      <c r="D316" s="52"/>
      <c r="E316" s="118"/>
      <c r="F316" s="118"/>
      <c r="G316" s="54"/>
      <c r="H316" s="55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IF(ISBLANK($C316),"",IF(J316=Constants!$B$2, TRUE(), IF(J316=Constants!$B$3,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Constants!B319) * IF(X316, 1, Constants!B320),"")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IF($AE316=Constants!$B$7,IF(AND(T316,U316,W316),Constants!$B$9*AH316/$AH$6, 0),"")</f>
        <v/>
      </c>
      <c r="AK316" s="62" t="str">
        <f aca="false">IF(AJ316&lt;&gt;"", AJ316*AG316,"")</f>
        <v/>
      </c>
      <c r="AL316" s="62" t="str">
        <f aca="false">IF(AND($AE316=Constants!$B$7, T316, U316) ,IF($Z316="", "", 1-ABS($AA316-$Z316)/$AA316),"")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IF($AE316=Constants!$B$7,Constants!$B$8*AB316/$AP$6,"")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IF(ISBLANK(C316),"",IFERROR(_xlfn.SWITCH(BE316, Constants!$B$4, COUNTA($C$8:$C815)+2, Constants!$B$5, COUNTA($C$8:$C815)+1, Constants!$B$6, COUNTA($C$8:$C815)),BE316))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0"/>
      <c r="C317" s="121"/>
      <c r="D317" s="110"/>
      <c r="E317" s="114"/>
      <c r="F317" s="114"/>
      <c r="G317" s="86"/>
      <c r="H317" s="87"/>
      <c r="I317" s="123"/>
      <c r="J317" s="123"/>
      <c r="K317" s="123"/>
      <c r="L317" s="89"/>
      <c r="M317" s="89"/>
      <c r="N317" s="89"/>
      <c r="O317" s="90"/>
      <c r="P317" s="91"/>
      <c r="Q317" s="123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4" t="str">
        <f aca="false">IF(ISBLANK($C317),"",IF(J317=Constants!$B$2, TRUE(), IF(J317=Constants!$B$3,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Constants!B320) * IF(X317, 1, Constants!B321),"")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IF($AE317=Constants!$B$7,IF(AND(T317,U317,W317),Constants!$B$9*AH317/$AH$6, 0),"")</f>
        <v/>
      </c>
      <c r="AK317" s="94" t="str">
        <f aca="false">IF(AJ317&lt;&gt;"", AJ317*AG317,"")</f>
        <v/>
      </c>
      <c r="AL317" s="94" t="str">
        <f aca="false">IF(AND($AE317=Constants!$B$7, T317, U317) ,IF($Z317="", "", 1-ABS($AA317-$Z317)/$AA317),"")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,IF(AND(T317,U317,W317,ISNUMBER(Z317)),Constants!$B$10*AL317/$AL$6, 0),"")</f>
        <v/>
      </c>
      <c r="AO317" s="94" t="str">
        <f aca="false">IF(AN317&lt;&gt;"", AN317*AG317,"")</f>
        <v/>
      </c>
      <c r="AP317" s="94" t="str">
        <f aca="false">IF($AE317=Constants!$B$7,Constants!$B$8*AB317/$AP$6,"")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IF(ISBLANK(C317),"",IFERROR(_xlfn.SWITCH(BE317, Constants!$B$4, COUNTA($C$8:$C816)+2, Constants!$B$5, COUNTA($C$8:$C816)+1, Constants!$B$6, COUNTA($C$8:$C816)),BE317))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0"/>
      <c r="C318" s="121"/>
      <c r="D318" s="110"/>
      <c r="E318" s="114"/>
      <c r="F318" s="114"/>
      <c r="G318" s="86"/>
      <c r="H318" s="87"/>
      <c r="I318" s="123"/>
      <c r="J318" s="123"/>
      <c r="K318" s="123"/>
      <c r="L318" s="89"/>
      <c r="M318" s="89"/>
      <c r="N318" s="89"/>
      <c r="O318" s="90"/>
      <c r="P318" s="91"/>
      <c r="Q318" s="123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4" t="str">
        <f aca="false">IF(ISBLANK($C318),"",IF(J318=Constants!$B$2, TRUE(), IF(J318=Constants!$B$3,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Constants!B321) * IF(X318, 1, Constants!B322),"")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IF($AE318=Constants!$B$7,IF(AND(T318,U318,W318),Constants!$B$9*AH318/$AH$6, 0),"")</f>
        <v/>
      </c>
      <c r="AK318" s="94" t="str">
        <f aca="false">IF(AJ318&lt;&gt;"", AJ318*AG318,"")</f>
        <v/>
      </c>
      <c r="AL318" s="94" t="str">
        <f aca="false">IF(AND($AE318=Constants!$B$7, T318, U318) ,IF($Z318="", "", 1-ABS($AA318-$Z318)/$AA318),"")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,IF(AND(T318,U318,W318,ISNUMBER(Z318)),Constants!$B$10*AL318/$AL$6, 0),"")</f>
        <v/>
      </c>
      <c r="AO318" s="94" t="str">
        <f aca="false">IF(AN318&lt;&gt;"", AN318*AG318,"")</f>
        <v/>
      </c>
      <c r="AP318" s="94" t="str">
        <f aca="false">IF($AE318=Constants!$B$7,Constants!$B$8*AB318/$AP$6,"")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IF(ISBLANK(C318),"",IFERROR(_xlfn.SWITCH(BE318, Constants!$B$4, COUNTA($C$8:$C817)+2, Constants!$B$5, COUNTA($C$8:$C817)+1, Constants!$B$6, COUNTA($C$8:$C817)),BE318))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0"/>
      <c r="C319" s="121"/>
      <c r="D319" s="110"/>
      <c r="E319" s="114"/>
      <c r="F319" s="114"/>
      <c r="G319" s="86"/>
      <c r="H319" s="87"/>
      <c r="I319" s="123"/>
      <c r="J319" s="123"/>
      <c r="K319" s="123"/>
      <c r="L319" s="89"/>
      <c r="M319" s="89"/>
      <c r="N319" s="89"/>
      <c r="O319" s="90"/>
      <c r="P319" s="91"/>
      <c r="Q319" s="123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4" t="str">
        <f aca="false">IF(ISBLANK($C319),"",IF(J319=Constants!$B$2, TRUE(), IF(J319=Constants!$B$3,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Constants!B322) * IF(X319, 1, Constants!B323),"")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IF($AE319=Constants!$B$7,IF(AND(T319,U319,W319),Constants!$B$9*AH319/$AH$6, 0),"")</f>
        <v/>
      </c>
      <c r="AK319" s="94" t="str">
        <f aca="false">IF(AJ319&lt;&gt;"", AJ319*AG319,"")</f>
        <v/>
      </c>
      <c r="AL319" s="94" t="str">
        <f aca="false">IF(AND($AE319=Constants!$B$7, T319, U319) ,IF($Z319="", "", 1-ABS($AA319-$Z319)/$AA319),"")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,IF(AND(T319,U319,W319,ISNUMBER(Z319)),Constants!$B$10*AL319/$AL$6, 0),"")</f>
        <v/>
      </c>
      <c r="AO319" s="94" t="str">
        <f aca="false">IF(AN319&lt;&gt;"", AN319*AG319,"")</f>
        <v/>
      </c>
      <c r="AP319" s="94" t="str">
        <f aca="false">IF($AE319=Constants!$B$7,Constants!$B$8*AB319/$AP$6,"")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IF(ISBLANK(C319),"",IFERROR(_xlfn.SWITCH(BE319, Constants!$B$4, COUNTA($C$8:$C818)+2, Constants!$B$5, COUNTA($C$8:$C818)+1, Constants!$B$6, COUNTA($C$8:$C818)),BE319))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4"/>
      <c r="C320" s="51"/>
      <c r="D320" s="52"/>
      <c r="E320" s="118"/>
      <c r="F320" s="118"/>
      <c r="G320" s="54"/>
      <c r="H320" s="55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IF(ISBLANK($C320),"",IF(J320=Constants!$B$2, TRUE(), IF(J320=Constants!$B$3,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Constants!B323) * IF(X320, 1, Constants!B324),"")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IF($AE320=Constants!$B$7,IF(AND(T320,U320,W320),Constants!$B$9*AH320/$AH$6, 0),"")</f>
        <v/>
      </c>
      <c r="AK320" s="62" t="str">
        <f aca="false">IF(AJ320&lt;&gt;"", AJ320*AG320,"")</f>
        <v/>
      </c>
      <c r="AL320" s="62" t="str">
        <f aca="false">IF(AND($AE320=Constants!$B$7, T320, U320) ,IF($Z320="", "", 1-ABS($AA320-$Z320)/$AA320),"")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IF($AE320=Constants!$B$7,Constants!$B$8*AB320/$AP$6,"")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IF(ISBLANK(C320),"",IFERROR(_xlfn.SWITCH(BE320, Constants!$B$4, COUNTA($C$8:$C819)+2, Constants!$B$5, COUNTA($C$8:$C819)+1, Constants!$B$6, COUNTA($C$8:$C819)),BE320))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4"/>
      <c r="C321" s="51"/>
      <c r="D321" s="52"/>
      <c r="E321" s="118"/>
      <c r="F321" s="118"/>
      <c r="G321" s="54"/>
      <c r="H321" s="55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IF(ISBLANK($C321),"",IF(J321=Constants!$B$2, TRUE(), IF(J321=Constants!$B$3,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Constants!B324) * IF(X321, 1, Constants!B325),"")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IF($AE321=Constants!$B$7,IF(AND(T321,U321,W321),Constants!$B$9*AH321/$AH$6, 0),"")</f>
        <v/>
      </c>
      <c r="AK321" s="62" t="str">
        <f aca="false">IF(AJ321&lt;&gt;"", AJ321*AG321,"")</f>
        <v/>
      </c>
      <c r="AL321" s="62" t="str">
        <f aca="false">IF(AND($AE321=Constants!$B$7, T321, U321) ,IF($Z321="", "", 1-ABS($AA321-$Z321)/$AA321),"")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IF($AE321=Constants!$B$7,Constants!$B$8*AB321/$AP$6,"")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IF(ISBLANK(C321),"",IFERROR(_xlfn.SWITCH(BE321, Constants!$B$4, COUNTA($C$8:$C820)+2, Constants!$B$5, COUNTA($C$8:$C820)+1, Constants!$B$6, COUNTA($C$8:$C820)),BE321))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4"/>
      <c r="C322" s="51"/>
      <c r="D322" s="52"/>
      <c r="E322" s="118"/>
      <c r="F322" s="118"/>
      <c r="G322" s="54"/>
      <c r="H322" s="55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IF(ISBLANK($C322),"",IF(J322=Constants!$B$2, TRUE(), IF(J322=Constants!$B$3,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Constants!B325) * IF(X322, 1, Constants!B326),"")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IF($AE322=Constants!$B$7,IF(AND(T322,U322,W322),Constants!$B$9*AH322/$AH$6, 0),"")</f>
        <v/>
      </c>
      <c r="AK322" s="62" t="str">
        <f aca="false">IF(AJ322&lt;&gt;"", AJ322*AG322,"")</f>
        <v/>
      </c>
      <c r="AL322" s="62" t="str">
        <f aca="false">IF(AND($AE322=Constants!$B$7, T322, U322) ,IF($Z322="", "", 1-ABS($AA322-$Z322)/$AA322),"")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IF($AE322=Constants!$B$7,Constants!$B$8*AB322/$AP$6,"")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IF(ISBLANK(C322),"",IFERROR(_xlfn.SWITCH(BE322, Constants!$B$4, COUNTA($C$8:$C821)+2, Constants!$B$5, COUNTA($C$8:$C821)+1, Constants!$B$6, COUNTA($C$8:$C821)),BE322))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0"/>
      <c r="C323" s="121"/>
      <c r="D323" s="110"/>
      <c r="E323" s="114"/>
      <c r="F323" s="114"/>
      <c r="G323" s="86"/>
      <c r="H323" s="87"/>
      <c r="I323" s="123"/>
      <c r="J323" s="123"/>
      <c r="K323" s="123"/>
      <c r="L323" s="89"/>
      <c r="M323" s="89"/>
      <c r="N323" s="89"/>
      <c r="O323" s="90"/>
      <c r="P323" s="91"/>
      <c r="Q323" s="123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4" t="str">
        <f aca="false">IF(ISBLANK($C323),"",IF(J323=Constants!$B$2, TRUE(), IF(J323=Constants!$B$3,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Constants!B326) * IF(X323, 1, Constants!B327),"")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IF($AE323=Constants!$B$7,IF(AND(T323,U323,W323),Constants!$B$9*AH323/$AH$6, 0),"")</f>
        <v/>
      </c>
      <c r="AK323" s="94" t="str">
        <f aca="false">IF(AJ323&lt;&gt;"", AJ323*AG323,"")</f>
        <v/>
      </c>
      <c r="AL323" s="94" t="str">
        <f aca="false">IF(AND($AE323=Constants!$B$7, T323, U323) ,IF($Z323="", "", 1-ABS($AA323-$Z323)/$AA323),"")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,IF(AND(T323,U323,W323,ISNUMBER(Z323)),Constants!$B$10*AL323/$AL$6, 0),"")</f>
        <v/>
      </c>
      <c r="AO323" s="94" t="str">
        <f aca="false">IF(AN323&lt;&gt;"", AN323*AG323,"")</f>
        <v/>
      </c>
      <c r="AP323" s="94" t="str">
        <f aca="false">IF($AE323=Constants!$B$7,Constants!$B$8*AB323/$AP$6,"")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IF(ISBLANK(C323),"",IFERROR(_xlfn.SWITCH(BE323, Constants!$B$4, COUNTA($C$8:$C822)+2, Constants!$B$5, COUNTA($C$8:$C822)+1, Constants!$B$6, COUNTA($C$8:$C822)),BE323))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0"/>
      <c r="C324" s="121"/>
      <c r="D324" s="110"/>
      <c r="E324" s="114"/>
      <c r="F324" s="114"/>
      <c r="G324" s="86"/>
      <c r="H324" s="87"/>
      <c r="I324" s="123"/>
      <c r="J324" s="123"/>
      <c r="K324" s="123"/>
      <c r="L324" s="89"/>
      <c r="M324" s="89"/>
      <c r="N324" s="89"/>
      <c r="O324" s="90"/>
      <c r="P324" s="91"/>
      <c r="Q324" s="123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4" t="str">
        <f aca="false">IF(ISBLANK($C324),"",IF(J324=Constants!$B$2, TRUE(), IF(J324=Constants!$B$3,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Constants!B327) * IF(X324, 1, Constants!B328),"")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IF($AE324=Constants!$B$7,IF(AND(T324,U324,W324),Constants!$B$9*AH324/$AH$6, 0),"")</f>
        <v/>
      </c>
      <c r="AK324" s="94" t="str">
        <f aca="false">IF(AJ324&lt;&gt;"", AJ324*AG324,"")</f>
        <v/>
      </c>
      <c r="AL324" s="94" t="str">
        <f aca="false">IF(AND($AE324=Constants!$B$7, T324, U324) ,IF($Z324="", "", 1-ABS($AA324-$Z324)/$AA324),"")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,IF(AND(T324,U324,W324,ISNUMBER(Z324)),Constants!$B$10*AL324/$AL$6, 0),"")</f>
        <v/>
      </c>
      <c r="AO324" s="94" t="str">
        <f aca="false">IF(AN324&lt;&gt;"", AN324*AG324,"")</f>
        <v/>
      </c>
      <c r="AP324" s="94" t="str">
        <f aca="false">IF($AE324=Constants!$B$7,Constants!$B$8*AB324/$AP$6,"")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IF(ISBLANK(C324),"",IFERROR(_xlfn.SWITCH(BE324, Constants!$B$4, COUNTA($C$8:$C823)+2, Constants!$B$5, COUNTA($C$8:$C823)+1, Constants!$B$6, COUNTA($C$8:$C823)),BE324))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0"/>
      <c r="C325" s="121"/>
      <c r="D325" s="110"/>
      <c r="E325" s="114"/>
      <c r="F325" s="114"/>
      <c r="G325" s="86"/>
      <c r="H325" s="87"/>
      <c r="I325" s="123"/>
      <c r="J325" s="123"/>
      <c r="K325" s="123"/>
      <c r="L325" s="89"/>
      <c r="M325" s="89"/>
      <c r="N325" s="89"/>
      <c r="O325" s="90"/>
      <c r="P325" s="91"/>
      <c r="Q325" s="123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4" t="str">
        <f aca="false">IF(ISBLANK($C325),"",IF(J325=Constants!$B$2, TRUE(), IF(J325=Constants!$B$3,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Constants!B328) * IF(X325, 1, Constants!B329),"")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IF($AE325=Constants!$B$7,IF(AND(T325,U325,W325),Constants!$B$9*AH325/$AH$6, 0),"")</f>
        <v/>
      </c>
      <c r="AK325" s="94" t="str">
        <f aca="false">IF(AJ325&lt;&gt;"", AJ325*AG325,"")</f>
        <v/>
      </c>
      <c r="AL325" s="94" t="str">
        <f aca="false">IF(AND($AE325=Constants!$B$7, T325, U325) ,IF($Z325="", "", 1-ABS($AA325-$Z325)/$AA325),"")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,IF(AND(T325,U325,W325,ISNUMBER(Z325)),Constants!$B$10*AL325/$AL$6, 0),"")</f>
        <v/>
      </c>
      <c r="AO325" s="94" t="str">
        <f aca="false">IF(AN325&lt;&gt;"", AN325*AG325,"")</f>
        <v/>
      </c>
      <c r="AP325" s="94" t="str">
        <f aca="false">IF($AE325=Constants!$B$7,Constants!$B$8*AB325/$AP$6,"")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IF(ISBLANK(C325),"",IFERROR(_xlfn.SWITCH(BE325, Constants!$B$4, COUNTA($C$8:$C824)+2, Constants!$B$5, COUNTA($C$8:$C824)+1, Constants!$B$6, COUNTA($C$8:$C824)),BE325))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4"/>
      <c r="C326" s="51"/>
      <c r="D326" s="52"/>
      <c r="E326" s="118"/>
      <c r="F326" s="118"/>
      <c r="G326" s="54"/>
      <c r="H326" s="55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IF(ISBLANK($C326),"",IF(J326=Constants!$B$2, TRUE(), IF(J326=Constants!$B$3,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Constants!B329) * IF(X326, 1, Constants!B330),"")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IF($AE326=Constants!$B$7,IF(AND(T326,U326,W326),Constants!$B$9*AH326/$AH$6, 0),"")</f>
        <v/>
      </c>
      <c r="AK326" s="62" t="str">
        <f aca="false">IF(AJ326&lt;&gt;"", AJ326*AG326,"")</f>
        <v/>
      </c>
      <c r="AL326" s="62" t="str">
        <f aca="false">IF(AND($AE326=Constants!$B$7, T326, U326) ,IF($Z326="", "", 1-ABS($AA326-$Z326)/$AA326),"")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IF($AE326=Constants!$B$7,Constants!$B$8*AB326/$AP$6,"")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IF(ISBLANK(C326),"",IFERROR(_xlfn.SWITCH(BE326, Constants!$B$4, COUNTA($C$8:$C825)+2, Constants!$B$5, COUNTA($C$8:$C825)+1, Constants!$B$6, COUNTA($C$8:$C825)),BE326))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4"/>
      <c r="C327" s="51"/>
      <c r="D327" s="52"/>
      <c r="E327" s="118"/>
      <c r="F327" s="118"/>
      <c r="G327" s="54"/>
      <c r="H327" s="55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IF(ISBLANK($C327),"",IF(J327=Constants!$B$2, TRUE(), IF(J327=Constants!$B$3,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Constants!B330) * IF(X327, 1, Constants!B331),"")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IF($AE327=Constants!$B$7,IF(AND(T327,U327,W327),Constants!$B$9*AH327/$AH$6, 0),"")</f>
        <v/>
      </c>
      <c r="AK327" s="62" t="str">
        <f aca="false">IF(AJ327&lt;&gt;"", AJ327*AG327,"")</f>
        <v/>
      </c>
      <c r="AL327" s="62" t="str">
        <f aca="false">IF(AND($AE327=Constants!$B$7, T327, U327) ,IF($Z327="", "", 1-ABS($AA327-$Z327)/$AA327),"")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IF($AE327=Constants!$B$7,Constants!$B$8*AB327/$AP$6,"")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IF(ISBLANK(C327),"",IFERROR(_xlfn.SWITCH(BE327, Constants!$B$4, COUNTA($C$8:$C826)+2, Constants!$B$5, COUNTA($C$8:$C826)+1, Constants!$B$6, COUNTA($C$8:$C826)),BE327))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4"/>
      <c r="C328" s="51"/>
      <c r="D328" s="52"/>
      <c r="E328" s="118"/>
      <c r="F328" s="118"/>
      <c r="G328" s="54"/>
      <c r="H328" s="55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IF(ISBLANK($C328),"",IF(J328=Constants!$B$2, TRUE(), IF(J328=Constants!$B$3,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Constants!B331) * IF(X328, 1, Constants!B332),"")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IF($AE328=Constants!$B$7,IF(AND(T328,U328,W328),Constants!$B$9*AH328/$AH$6, 0),"")</f>
        <v/>
      </c>
      <c r="AK328" s="62" t="str">
        <f aca="false">IF(AJ328&lt;&gt;"", AJ328*AG328,"")</f>
        <v/>
      </c>
      <c r="AL328" s="62" t="str">
        <f aca="false">IF(AND($AE328=Constants!$B$7, T328, U328) ,IF($Z328="", "", 1-ABS($AA328-$Z328)/$AA328),"")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IF($AE328=Constants!$B$7,Constants!$B$8*AB328/$AP$6,"")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IF(ISBLANK(C328),"",IFERROR(_xlfn.SWITCH(BE328, Constants!$B$4, COUNTA($C$8:$C827)+2, Constants!$B$5, COUNTA($C$8:$C827)+1, Constants!$B$6, COUNTA($C$8:$C827)),BE328))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0"/>
      <c r="C329" s="121"/>
      <c r="D329" s="110"/>
      <c r="E329" s="114"/>
      <c r="F329" s="114"/>
      <c r="G329" s="86"/>
      <c r="H329" s="87"/>
      <c r="I329" s="123"/>
      <c r="J329" s="123"/>
      <c r="K329" s="123"/>
      <c r="L329" s="89"/>
      <c r="M329" s="89"/>
      <c r="N329" s="89"/>
      <c r="O329" s="90"/>
      <c r="P329" s="91"/>
      <c r="Q329" s="123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4" t="str">
        <f aca="false">IF(ISBLANK($C329),"",IF(J329=Constants!$B$2, TRUE(), IF(J329=Constants!$B$3,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Constants!B332) * IF(X329, 1, Constants!B333),"")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IF($AE329=Constants!$B$7,IF(AND(T329,U329,W329),Constants!$B$9*AH329/$AH$6, 0),"")</f>
        <v/>
      </c>
      <c r="AK329" s="94" t="str">
        <f aca="false">IF(AJ329&lt;&gt;"", AJ329*AG329,"")</f>
        <v/>
      </c>
      <c r="AL329" s="94" t="str">
        <f aca="false">IF(AND($AE329=Constants!$B$7, T329, U329) ,IF($Z329="", "", 1-ABS($AA329-$Z329)/$AA329),"")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,IF(AND(T329,U329,W329,ISNUMBER(Z329)),Constants!$B$10*AL329/$AL$6, 0),"")</f>
        <v/>
      </c>
      <c r="AO329" s="94" t="str">
        <f aca="false">IF(AN329&lt;&gt;"", AN329*AG329,"")</f>
        <v/>
      </c>
      <c r="AP329" s="94" t="str">
        <f aca="false">IF($AE329=Constants!$B$7,Constants!$B$8*AB329/$AP$6,"")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IF(ISBLANK(C329),"",IFERROR(_xlfn.SWITCH(BE329, Constants!$B$4, COUNTA($C$8:$C828)+2, Constants!$B$5, COUNTA($C$8:$C828)+1, Constants!$B$6, COUNTA($C$8:$C828)),BE329))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0"/>
      <c r="C330" s="121"/>
      <c r="D330" s="110"/>
      <c r="E330" s="114"/>
      <c r="F330" s="114"/>
      <c r="G330" s="86"/>
      <c r="H330" s="87"/>
      <c r="I330" s="123"/>
      <c r="J330" s="123"/>
      <c r="K330" s="123"/>
      <c r="L330" s="89"/>
      <c r="M330" s="89"/>
      <c r="N330" s="89"/>
      <c r="O330" s="90"/>
      <c r="P330" s="91"/>
      <c r="Q330" s="123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4" t="str">
        <f aca="false">IF(ISBLANK($C330),"",IF(J330=Constants!$B$2, TRUE(), IF(J330=Constants!$B$3,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Constants!B333) * IF(X330, 1, Constants!B334),"")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IF($AE330=Constants!$B$7,IF(AND(T330,U330,W330),Constants!$B$9*AH330/$AH$6, 0),"")</f>
        <v/>
      </c>
      <c r="AK330" s="94" t="str">
        <f aca="false">IF(AJ330&lt;&gt;"", AJ330*AG330,"")</f>
        <v/>
      </c>
      <c r="AL330" s="94" t="str">
        <f aca="false">IF(AND($AE330=Constants!$B$7, T330, U330) ,IF($Z330="", "", 1-ABS($AA330-$Z330)/$AA330),"")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,IF(AND(T330,U330,W330,ISNUMBER(Z330)),Constants!$B$10*AL330/$AL$6, 0),"")</f>
        <v/>
      </c>
      <c r="AO330" s="94" t="str">
        <f aca="false">IF(AN330&lt;&gt;"", AN330*AG330,"")</f>
        <v/>
      </c>
      <c r="AP330" s="94" t="str">
        <f aca="false">IF($AE330=Constants!$B$7,Constants!$B$8*AB330/$AP$6,"")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IF(ISBLANK(C330),"",IFERROR(_xlfn.SWITCH(BE330, Constants!$B$4, COUNTA($C$8:$C829)+2, Constants!$B$5, COUNTA($C$8:$C829)+1, Constants!$B$6, COUNTA($C$8:$C829)),BE330))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0"/>
      <c r="C331" s="121"/>
      <c r="D331" s="110"/>
      <c r="E331" s="114"/>
      <c r="F331" s="114"/>
      <c r="G331" s="86"/>
      <c r="H331" s="87"/>
      <c r="I331" s="123"/>
      <c r="J331" s="123"/>
      <c r="K331" s="123"/>
      <c r="L331" s="89"/>
      <c r="M331" s="89"/>
      <c r="N331" s="89"/>
      <c r="O331" s="90"/>
      <c r="P331" s="91"/>
      <c r="Q331" s="123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4" t="str">
        <f aca="false">IF(ISBLANK($C331),"",IF(J331=Constants!$B$2, TRUE(), IF(J331=Constants!$B$3,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Constants!B334) * IF(X331, 1, Constants!B335),"")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IF($AE331=Constants!$B$7,IF(AND(T331,U331,W331),Constants!$B$9*AH331/$AH$6, 0),"")</f>
        <v/>
      </c>
      <c r="AK331" s="94" t="str">
        <f aca="false">IF(AJ331&lt;&gt;"", AJ331*AG331,"")</f>
        <v/>
      </c>
      <c r="AL331" s="94" t="str">
        <f aca="false">IF(AND($AE331=Constants!$B$7, T331, U331) ,IF($Z331="", "", 1-ABS($AA331-$Z331)/$AA331),"")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,IF(AND(T331,U331,W331,ISNUMBER(Z331)),Constants!$B$10*AL331/$AL$6, 0),"")</f>
        <v/>
      </c>
      <c r="AO331" s="94" t="str">
        <f aca="false">IF(AN331&lt;&gt;"", AN331*AG331,"")</f>
        <v/>
      </c>
      <c r="AP331" s="94" t="str">
        <f aca="false">IF($AE331=Constants!$B$7,Constants!$B$8*AB331/$AP$6,"")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IF(ISBLANK(C331),"",IFERROR(_xlfn.SWITCH(BE331, Constants!$B$4, COUNTA($C$8:$C830)+2, Constants!$B$5, COUNTA($C$8:$C830)+1, Constants!$B$6, COUNTA($C$8:$C830)),BE331))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4"/>
      <c r="C332" s="51"/>
      <c r="D332" s="52"/>
      <c r="E332" s="118"/>
      <c r="F332" s="118"/>
      <c r="G332" s="54"/>
      <c r="H332" s="55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IF(ISBLANK($C332),"",IF(J332=Constants!$B$2, TRUE(), IF(J332=Constants!$B$3,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Constants!B335) * IF(X332, 1, Constants!B336),"")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IF($AE332=Constants!$B$7,IF(AND(T332,U332,W332),Constants!$B$9*AH332/$AH$6, 0),"")</f>
        <v/>
      </c>
      <c r="AK332" s="62" t="str">
        <f aca="false">IF(AJ332&lt;&gt;"", AJ332*AG332,"")</f>
        <v/>
      </c>
      <c r="AL332" s="62" t="str">
        <f aca="false">IF(AND($AE332=Constants!$B$7, T332, U332) ,IF($Z332="", "", 1-ABS($AA332-$Z332)/$AA332),"")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IF($AE332=Constants!$B$7,Constants!$B$8*AB332/$AP$6,"")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IF(ISBLANK(C332),"",IFERROR(_xlfn.SWITCH(BE332, Constants!$B$4, COUNTA($C$8:$C831)+2, Constants!$B$5, COUNTA($C$8:$C831)+1, Constants!$B$6, COUNTA($C$8:$C831)),BE332))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4"/>
      <c r="C333" s="51"/>
      <c r="D333" s="52"/>
      <c r="E333" s="118"/>
      <c r="F333" s="118"/>
      <c r="G333" s="54"/>
      <c r="H333" s="55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IF(ISBLANK($C333),"",IF(J333=Constants!$B$2, TRUE(), IF(J333=Constants!$B$3,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Constants!B336) * IF(X333, 1, Constants!B337),"")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IF($AE333=Constants!$B$7,IF(AND(T333,U333,W333),Constants!$B$9*AH333/$AH$6, 0),"")</f>
        <v/>
      </c>
      <c r="AK333" s="62" t="str">
        <f aca="false">IF(AJ333&lt;&gt;"", AJ333*AG333,"")</f>
        <v/>
      </c>
      <c r="AL333" s="62" t="str">
        <f aca="false">IF(AND($AE333=Constants!$B$7, T333, U333) ,IF($Z333="", "", 1-ABS($AA333-$Z333)/$AA333),"")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IF($AE333=Constants!$B$7,Constants!$B$8*AB333/$AP$6,"")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IF(ISBLANK(C333),"",IFERROR(_xlfn.SWITCH(BE333, Constants!$B$4, COUNTA($C$8:$C832)+2, Constants!$B$5, COUNTA($C$8:$C832)+1, Constants!$B$6, COUNTA($C$8:$C832)),BE333))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4"/>
      <c r="C334" s="51"/>
      <c r="D334" s="52"/>
      <c r="E334" s="118"/>
      <c r="F334" s="118"/>
      <c r="G334" s="54"/>
      <c r="H334" s="55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IF(ISBLANK($C334),"",IF(J334=Constants!$B$2, TRUE(), IF(J334=Constants!$B$3,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Constants!B337) * IF(X334, 1, Constants!B338),"")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IF($AE334=Constants!$B$7,IF(AND(T334,U334,W334),Constants!$B$9*AH334/$AH$6, 0),"")</f>
        <v/>
      </c>
      <c r="AK334" s="62" t="str">
        <f aca="false">IF(AJ334&lt;&gt;"", AJ334*AG334,"")</f>
        <v/>
      </c>
      <c r="AL334" s="62" t="str">
        <f aca="false">IF(AND($AE334=Constants!$B$7, T334, U334) ,IF($Z334="", "", 1-ABS($AA334-$Z334)/$AA334),"")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IF($AE334=Constants!$B$7,Constants!$B$8*AB334/$AP$6,"")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IF(ISBLANK(C334),"",IFERROR(_xlfn.SWITCH(BE334, Constants!$B$4, COUNTA($C$8:$C833)+2, Constants!$B$5, COUNTA($C$8:$C833)+1, Constants!$B$6, COUNTA($C$8:$C833)),BE334))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0"/>
      <c r="C335" s="121"/>
      <c r="D335" s="110"/>
      <c r="E335" s="114"/>
      <c r="F335" s="114"/>
      <c r="G335" s="86"/>
      <c r="H335" s="87"/>
      <c r="I335" s="123"/>
      <c r="J335" s="123"/>
      <c r="K335" s="123"/>
      <c r="L335" s="89"/>
      <c r="M335" s="89"/>
      <c r="N335" s="89"/>
      <c r="O335" s="90"/>
      <c r="P335" s="91"/>
      <c r="Q335" s="123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4" t="str">
        <f aca="false">IF(ISBLANK($C335),"",IF(J335=Constants!$B$2, TRUE(), IF(J335=Constants!$B$3,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Constants!B338) * IF(X335, 1, Constants!B339),"")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IF($AE335=Constants!$B$7,IF(AND(T335,U335,W335),Constants!$B$9*AH335/$AH$6, 0),"")</f>
        <v/>
      </c>
      <c r="AK335" s="94" t="str">
        <f aca="false">IF(AJ335&lt;&gt;"", AJ335*AG335,"")</f>
        <v/>
      </c>
      <c r="AL335" s="94" t="str">
        <f aca="false">IF(AND($AE335=Constants!$B$7, T335, U335) ,IF($Z335="", "", 1-ABS($AA335-$Z335)/$AA335),"")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,IF(AND(T335,U335,W335,ISNUMBER(Z335)),Constants!$B$10*AL335/$AL$6, 0),"")</f>
        <v/>
      </c>
      <c r="AO335" s="94" t="str">
        <f aca="false">IF(AN335&lt;&gt;"", AN335*AG335,"")</f>
        <v/>
      </c>
      <c r="AP335" s="94" t="str">
        <f aca="false">IF($AE335=Constants!$B$7,Constants!$B$8*AB335/$AP$6,"")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IF(ISBLANK(C335),"",IFERROR(_xlfn.SWITCH(BE335, Constants!$B$4, COUNTA($C$8:$C834)+2, Constants!$B$5, COUNTA($C$8:$C834)+1, Constants!$B$6, COUNTA($C$8:$C834)),BE335))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0"/>
      <c r="C336" s="121"/>
      <c r="D336" s="110"/>
      <c r="E336" s="114"/>
      <c r="F336" s="114"/>
      <c r="G336" s="86"/>
      <c r="H336" s="87"/>
      <c r="I336" s="123"/>
      <c r="J336" s="123"/>
      <c r="K336" s="123"/>
      <c r="L336" s="89"/>
      <c r="M336" s="89"/>
      <c r="N336" s="89"/>
      <c r="O336" s="90"/>
      <c r="P336" s="91"/>
      <c r="Q336" s="123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4" t="str">
        <f aca="false">IF(ISBLANK($C336),"",IF(J336=Constants!$B$2, TRUE(), IF(J336=Constants!$B$3,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Constants!B339) * IF(X336, 1, Constants!B340),"")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IF($AE336=Constants!$B$7,IF(AND(T336,U336,W336),Constants!$B$9*AH336/$AH$6, 0),"")</f>
        <v/>
      </c>
      <c r="AK336" s="94" t="str">
        <f aca="false">IF(AJ336&lt;&gt;"", AJ336*AG336,"")</f>
        <v/>
      </c>
      <c r="AL336" s="94" t="str">
        <f aca="false">IF(AND($AE336=Constants!$B$7, T336, U336) ,IF($Z336="", "", 1-ABS($AA336-$Z336)/$AA336),"")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,IF(AND(T336,U336,W336,ISNUMBER(Z336)),Constants!$B$10*AL336/$AL$6, 0),"")</f>
        <v/>
      </c>
      <c r="AO336" s="94" t="str">
        <f aca="false">IF(AN336&lt;&gt;"", AN336*AG336,"")</f>
        <v/>
      </c>
      <c r="AP336" s="94" t="str">
        <f aca="false">IF($AE336=Constants!$B$7,Constants!$B$8*AB336/$AP$6,"")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IF(ISBLANK(C336),"",IFERROR(_xlfn.SWITCH(BE336, Constants!$B$4, COUNTA($C$8:$C835)+2, Constants!$B$5, COUNTA($C$8:$C835)+1, Constants!$B$6, COUNTA($C$8:$C835)),BE336))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0"/>
      <c r="C337" s="121"/>
      <c r="D337" s="110"/>
      <c r="E337" s="114"/>
      <c r="F337" s="114"/>
      <c r="G337" s="86"/>
      <c r="H337" s="87"/>
      <c r="I337" s="123"/>
      <c r="J337" s="123"/>
      <c r="K337" s="123"/>
      <c r="L337" s="89"/>
      <c r="M337" s="89"/>
      <c r="N337" s="89"/>
      <c r="O337" s="90"/>
      <c r="P337" s="91"/>
      <c r="Q337" s="123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4" t="str">
        <f aca="false">IF(ISBLANK($C337),"",IF(J337=Constants!$B$2, TRUE(), IF(J337=Constants!$B$3,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Constants!B340) * IF(X337, 1, Constants!B341),"")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IF($AE337=Constants!$B$7,IF(AND(T337,U337,W337),Constants!$B$9*AH337/$AH$6, 0),"")</f>
        <v/>
      </c>
      <c r="AK337" s="94" t="str">
        <f aca="false">IF(AJ337&lt;&gt;"", AJ337*AG337,"")</f>
        <v/>
      </c>
      <c r="AL337" s="94" t="str">
        <f aca="false">IF(AND($AE337=Constants!$B$7, T337, U337) ,IF($Z337="", "", 1-ABS($AA337-$Z337)/$AA337),"")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,IF(AND(T337,U337,W337,ISNUMBER(Z337)),Constants!$B$10*AL337/$AL$6, 0),"")</f>
        <v/>
      </c>
      <c r="AO337" s="94" t="str">
        <f aca="false">IF(AN337&lt;&gt;"", AN337*AG337,"")</f>
        <v/>
      </c>
      <c r="AP337" s="94" t="str">
        <f aca="false">IF($AE337=Constants!$B$7,Constants!$B$8*AB337/$AP$6,"")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IF(ISBLANK(C337),"",IFERROR(_xlfn.SWITCH(BE337, Constants!$B$4, COUNTA($C$8:$C836)+2, Constants!$B$5, COUNTA($C$8:$C836)+1, Constants!$B$6, COUNTA($C$8:$C836)),BE337))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4"/>
      <c r="C338" s="51"/>
      <c r="D338" s="52"/>
      <c r="E338" s="118"/>
      <c r="F338" s="118"/>
      <c r="G338" s="54"/>
      <c r="H338" s="55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IF(ISBLANK($C338),"",IF(J338=Constants!$B$2, TRUE(), IF(J338=Constants!$B$3,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Constants!B341) * IF(X338, 1, Constants!B342),"")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IF($AE338=Constants!$B$7,IF(AND(T338,U338,W338),Constants!$B$9*AH338/$AH$6, 0),"")</f>
        <v/>
      </c>
      <c r="AK338" s="62" t="str">
        <f aca="false">IF(AJ338&lt;&gt;"", AJ338*AG338,"")</f>
        <v/>
      </c>
      <c r="AL338" s="62" t="str">
        <f aca="false">IF(AND($AE338=Constants!$B$7, T338, U338) ,IF($Z338="", "", 1-ABS($AA338-$Z338)/$AA338),"")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IF($AE338=Constants!$B$7,Constants!$B$8*AB338/$AP$6,"")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IF(ISBLANK(C338),"",IFERROR(_xlfn.SWITCH(BE338, Constants!$B$4, COUNTA($C$8:$C837)+2, Constants!$B$5, COUNTA($C$8:$C837)+1, Constants!$B$6, COUNTA($C$8:$C837)),BE338))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4"/>
      <c r="C339" s="51"/>
      <c r="D339" s="52"/>
      <c r="E339" s="118"/>
      <c r="F339" s="118"/>
      <c r="G339" s="54"/>
      <c r="H339" s="55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IF(ISBLANK($C339),"",IF(J339=Constants!$B$2, TRUE(), IF(J339=Constants!$B$3,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Constants!B342) * IF(X339, 1, Constants!B343),"")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IF($AE339=Constants!$B$7,IF(AND(T339,U339,W339),Constants!$B$9*AH339/$AH$6, 0),"")</f>
        <v/>
      </c>
      <c r="AK339" s="62" t="str">
        <f aca="false">IF(AJ339&lt;&gt;"", AJ339*AG339,"")</f>
        <v/>
      </c>
      <c r="AL339" s="62" t="str">
        <f aca="false">IF(AND($AE339=Constants!$B$7, T339, U339) ,IF($Z339="", "", 1-ABS($AA339-$Z339)/$AA339),"")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IF($AE339=Constants!$B$7,Constants!$B$8*AB339/$AP$6,"")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IF(ISBLANK(C339),"",IFERROR(_xlfn.SWITCH(BE339, Constants!$B$4, COUNTA($C$8:$C838)+2, Constants!$B$5, COUNTA($C$8:$C838)+1, Constants!$B$6, COUNTA($C$8:$C838)),BE339))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4"/>
      <c r="C340" s="51"/>
      <c r="D340" s="52"/>
      <c r="E340" s="118"/>
      <c r="F340" s="118"/>
      <c r="G340" s="54"/>
      <c r="H340" s="55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IF(ISBLANK($C340),"",IF(J340=Constants!$B$2, TRUE(), IF(J340=Constants!$B$3,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Constants!B343) * IF(X340, 1, Constants!B344),"")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IF($AE340=Constants!$B$7,IF(AND(T340,U340,W340),Constants!$B$9*AH340/$AH$6, 0),"")</f>
        <v/>
      </c>
      <c r="AK340" s="62" t="str">
        <f aca="false">IF(AJ340&lt;&gt;"", AJ340*AG340,"")</f>
        <v/>
      </c>
      <c r="AL340" s="62" t="str">
        <f aca="false">IF(AND($AE340=Constants!$B$7, T340, U340) ,IF($Z340="", "", 1-ABS($AA340-$Z340)/$AA340),"")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IF($AE340=Constants!$B$7,Constants!$B$8*AB340/$AP$6,"")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IF(ISBLANK(C340),"",IFERROR(_xlfn.SWITCH(BE340, Constants!$B$4, COUNTA($C$8:$C839)+2, Constants!$B$5, COUNTA($C$8:$C839)+1, Constants!$B$6, COUNTA($C$8:$C839)),BE340))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0"/>
      <c r="C341" s="121"/>
      <c r="D341" s="110"/>
      <c r="E341" s="114"/>
      <c r="F341" s="114"/>
      <c r="G341" s="86"/>
      <c r="H341" s="87"/>
      <c r="I341" s="123"/>
      <c r="J341" s="123"/>
      <c r="K341" s="123"/>
      <c r="L341" s="89"/>
      <c r="M341" s="89"/>
      <c r="N341" s="89"/>
      <c r="O341" s="90"/>
      <c r="P341" s="91"/>
      <c r="Q341" s="123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4" t="str">
        <f aca="false">IF(ISBLANK($C341),"",IF(J341=Constants!$B$2, TRUE(), IF(J341=Constants!$B$3,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Constants!B344) * IF(X341, 1, Constants!B345),"")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IF($AE341=Constants!$B$7,IF(AND(T341,U341,W341),Constants!$B$9*AH341/$AH$6, 0),"")</f>
        <v/>
      </c>
      <c r="AK341" s="94" t="str">
        <f aca="false">IF(AJ341&lt;&gt;"", AJ341*AG341,"")</f>
        <v/>
      </c>
      <c r="AL341" s="94" t="str">
        <f aca="false">IF(AND($AE341=Constants!$B$7, T341, U341) ,IF($Z341="", "", 1-ABS($AA341-$Z341)/$AA341),"")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,IF(AND(T341,U341,W341,ISNUMBER(Z341)),Constants!$B$10*AL341/$AL$6, 0),"")</f>
        <v/>
      </c>
      <c r="AO341" s="94" t="str">
        <f aca="false">IF(AN341&lt;&gt;"", AN341*AG341,"")</f>
        <v/>
      </c>
      <c r="AP341" s="94" t="str">
        <f aca="false">IF($AE341=Constants!$B$7,Constants!$B$8*AB341/$AP$6,"")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IF(ISBLANK(C341),"",IFERROR(_xlfn.SWITCH(BE341, Constants!$B$4, COUNTA($C$8:$C840)+2, Constants!$B$5, COUNTA($C$8:$C840)+1, Constants!$B$6, COUNTA($C$8:$C840)),BE341))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0"/>
      <c r="C342" s="121"/>
      <c r="D342" s="110"/>
      <c r="E342" s="114"/>
      <c r="F342" s="114"/>
      <c r="G342" s="86"/>
      <c r="H342" s="87"/>
      <c r="I342" s="123"/>
      <c r="J342" s="123"/>
      <c r="K342" s="123"/>
      <c r="L342" s="89"/>
      <c r="M342" s="89"/>
      <c r="N342" s="89"/>
      <c r="O342" s="90"/>
      <c r="P342" s="91"/>
      <c r="Q342" s="123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4" t="str">
        <f aca="false">IF(ISBLANK($C342),"",IF(J342=Constants!$B$2, TRUE(), IF(J342=Constants!$B$3,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Constants!B345) * IF(X342, 1, Constants!B346),"")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IF($AE342=Constants!$B$7,IF(AND(T342,U342,W342),Constants!$B$9*AH342/$AH$6, 0),"")</f>
        <v/>
      </c>
      <c r="AK342" s="94" t="str">
        <f aca="false">IF(AJ342&lt;&gt;"", AJ342*AG342,"")</f>
        <v/>
      </c>
      <c r="AL342" s="94" t="str">
        <f aca="false">IF(AND($AE342=Constants!$B$7, T342, U342) ,IF($Z342="", "", 1-ABS($AA342-$Z342)/$AA342),"")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,IF(AND(T342,U342,W342,ISNUMBER(Z342)),Constants!$B$10*AL342/$AL$6, 0),"")</f>
        <v/>
      </c>
      <c r="AO342" s="94" t="str">
        <f aca="false">IF(AN342&lt;&gt;"", AN342*AG342,"")</f>
        <v/>
      </c>
      <c r="AP342" s="94" t="str">
        <f aca="false">IF($AE342=Constants!$B$7,Constants!$B$8*AB342/$AP$6,"")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IF(ISBLANK(C342),"",IFERROR(_xlfn.SWITCH(BE342, Constants!$B$4, COUNTA($C$8:$C841)+2, Constants!$B$5, COUNTA($C$8:$C841)+1, Constants!$B$6, COUNTA($C$8:$C841)),BE342))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0"/>
      <c r="C343" s="121"/>
      <c r="D343" s="110"/>
      <c r="E343" s="114"/>
      <c r="F343" s="114"/>
      <c r="G343" s="86"/>
      <c r="H343" s="87"/>
      <c r="I343" s="123"/>
      <c r="J343" s="123"/>
      <c r="K343" s="123"/>
      <c r="L343" s="89"/>
      <c r="M343" s="89"/>
      <c r="N343" s="89"/>
      <c r="O343" s="90"/>
      <c r="P343" s="91"/>
      <c r="Q343" s="123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4" t="str">
        <f aca="false">IF(ISBLANK($C343),"",IF(J343=Constants!$B$2, TRUE(), IF(J343=Constants!$B$3,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Constants!B346) * IF(X343, 1, Constants!B347),"")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IF($AE343=Constants!$B$7,IF(AND(T343,U343,W343),Constants!$B$9*AH343/$AH$6, 0),"")</f>
        <v/>
      </c>
      <c r="AK343" s="94" t="str">
        <f aca="false">IF(AJ343&lt;&gt;"", AJ343*AG343,"")</f>
        <v/>
      </c>
      <c r="AL343" s="94" t="str">
        <f aca="false">IF(AND($AE343=Constants!$B$7, T343, U343) ,IF($Z343="", "", 1-ABS($AA343-$Z343)/$AA343),"")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,IF(AND(T343,U343,W343,ISNUMBER(Z343)),Constants!$B$10*AL343/$AL$6, 0),"")</f>
        <v/>
      </c>
      <c r="AO343" s="94" t="str">
        <f aca="false">IF(AN343&lt;&gt;"", AN343*AG343,"")</f>
        <v/>
      </c>
      <c r="AP343" s="94" t="str">
        <f aca="false">IF($AE343=Constants!$B$7,Constants!$B$8*AB343/$AP$6,"")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IF(ISBLANK(C343),"",IFERROR(_xlfn.SWITCH(BE343, Constants!$B$4, COUNTA($C$8:$C842)+2, Constants!$B$5, COUNTA($C$8:$C842)+1, Constants!$B$6, COUNTA($C$8:$C842)),BE343))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4"/>
      <c r="C344" s="51"/>
      <c r="D344" s="52"/>
      <c r="E344" s="118"/>
      <c r="F344" s="118"/>
      <c r="G344" s="54"/>
      <c r="H344" s="55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IF(ISBLANK($C344),"",IF(J344=Constants!$B$2, TRUE(), IF(J344=Constants!$B$3,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Constants!B347) * IF(X344, 1, Constants!B348),"")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IF($AE344=Constants!$B$7,IF(AND(T344,U344,W344),Constants!$B$9*AH344/$AH$6, 0),"")</f>
        <v/>
      </c>
      <c r="AK344" s="62" t="str">
        <f aca="false">IF(AJ344&lt;&gt;"", AJ344*AG344,"")</f>
        <v/>
      </c>
      <c r="AL344" s="62" t="str">
        <f aca="false">IF(AND($AE344=Constants!$B$7, T344, U344) ,IF($Z344="", "", 1-ABS($AA344-$Z344)/$AA344),"")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IF($AE344=Constants!$B$7,Constants!$B$8*AB344/$AP$6,"")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IF(ISBLANK(C344),"",IFERROR(_xlfn.SWITCH(BE344, Constants!$B$4, COUNTA($C$8:$C843)+2, Constants!$B$5, COUNTA($C$8:$C843)+1, Constants!$B$6, COUNTA($C$8:$C843)),BE344))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4"/>
      <c r="C345" s="51"/>
      <c r="D345" s="52"/>
      <c r="E345" s="118"/>
      <c r="F345" s="118"/>
      <c r="G345" s="54"/>
      <c r="H345" s="55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IF(ISBLANK($C345),"",IF(J345=Constants!$B$2, TRUE(), IF(J345=Constants!$B$3,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Constants!B348) * IF(X345, 1, Constants!B349),"")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IF($AE345=Constants!$B$7,IF(AND(T345,U345,W345),Constants!$B$9*AH345/$AH$6, 0),"")</f>
        <v/>
      </c>
      <c r="AK345" s="62" t="str">
        <f aca="false">IF(AJ345&lt;&gt;"", AJ345*AG345,"")</f>
        <v/>
      </c>
      <c r="AL345" s="62" t="str">
        <f aca="false">IF(AND($AE345=Constants!$B$7, T345, U345) ,IF($Z345="", "", 1-ABS($AA345-$Z345)/$AA345),"")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IF($AE345=Constants!$B$7,Constants!$B$8*AB345/$AP$6,"")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IF(ISBLANK(C345),"",IFERROR(_xlfn.SWITCH(BE345, Constants!$B$4, COUNTA($C$8:$C844)+2, Constants!$B$5, COUNTA($C$8:$C844)+1, Constants!$B$6, COUNTA($C$8:$C844)),BE345))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4"/>
      <c r="C346" s="51"/>
      <c r="D346" s="52"/>
      <c r="E346" s="118"/>
      <c r="F346" s="118"/>
      <c r="G346" s="54"/>
      <c r="H346" s="55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IF(ISBLANK($C346),"",IF(J346=Constants!$B$2, TRUE(), IF(J346=Constants!$B$3,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Constants!B349) * IF(X346, 1, Constants!B350),"")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IF($AE346=Constants!$B$7,IF(AND(T346,U346,W346),Constants!$B$9*AH346/$AH$6, 0),"")</f>
        <v/>
      </c>
      <c r="AK346" s="62" t="str">
        <f aca="false">IF(AJ346&lt;&gt;"", AJ346*AG346,"")</f>
        <v/>
      </c>
      <c r="AL346" s="62" t="str">
        <f aca="false">IF(AND($AE346=Constants!$B$7, T346, U346) ,IF($Z346="", "", 1-ABS($AA346-$Z346)/$AA346),"")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IF($AE346=Constants!$B$7,Constants!$B$8*AB346/$AP$6,"")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IF(ISBLANK(C346),"",IFERROR(_xlfn.SWITCH(BE346, Constants!$B$4, COUNTA($C$8:$C845)+2, Constants!$B$5, COUNTA($C$8:$C845)+1, Constants!$B$6, COUNTA($C$8:$C845)),BE346))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0"/>
      <c r="C347" s="121"/>
      <c r="D347" s="110"/>
      <c r="E347" s="114"/>
      <c r="F347" s="114"/>
      <c r="G347" s="86"/>
      <c r="H347" s="87"/>
      <c r="I347" s="123"/>
      <c r="J347" s="123"/>
      <c r="K347" s="123"/>
      <c r="L347" s="89"/>
      <c r="M347" s="89"/>
      <c r="N347" s="89"/>
      <c r="O347" s="90"/>
      <c r="P347" s="91"/>
      <c r="Q347" s="123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4" t="str">
        <f aca="false">IF(ISBLANK($C347),"",IF(J347=Constants!$B$2, TRUE(), IF(J347=Constants!$B$3,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Constants!B350) * IF(X347, 1, Constants!B351),"")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IF($AE347=Constants!$B$7,IF(AND(T347,U347,W347),Constants!$B$9*AH347/$AH$6, 0),"")</f>
        <v/>
      </c>
      <c r="AK347" s="94" t="str">
        <f aca="false">IF(AJ347&lt;&gt;"", AJ347*AG347,"")</f>
        <v/>
      </c>
      <c r="AL347" s="94" t="str">
        <f aca="false">IF(AND($AE347=Constants!$B$7, T347, U347) ,IF($Z347="", "", 1-ABS($AA347-$Z347)/$AA347),"")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,IF(AND(T347,U347,W347,ISNUMBER(Z347)),Constants!$B$10*AL347/$AL$6, 0),"")</f>
        <v/>
      </c>
      <c r="AO347" s="94" t="str">
        <f aca="false">IF(AN347&lt;&gt;"", AN347*AG347,"")</f>
        <v/>
      </c>
      <c r="AP347" s="94" t="str">
        <f aca="false">IF($AE347=Constants!$B$7,Constants!$B$8*AB347/$AP$6,"")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IF(ISBLANK(C347),"",IFERROR(_xlfn.SWITCH(BE347, Constants!$B$4, COUNTA($C$8:$C846)+2, Constants!$B$5, COUNTA($C$8:$C846)+1, Constants!$B$6, COUNTA($C$8:$C846)),BE347))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0"/>
      <c r="C348" s="121"/>
      <c r="D348" s="110"/>
      <c r="E348" s="114"/>
      <c r="F348" s="114"/>
      <c r="G348" s="86"/>
      <c r="H348" s="87"/>
      <c r="I348" s="123"/>
      <c r="J348" s="123"/>
      <c r="K348" s="123"/>
      <c r="L348" s="89"/>
      <c r="M348" s="89"/>
      <c r="N348" s="89"/>
      <c r="O348" s="90"/>
      <c r="P348" s="91"/>
      <c r="Q348" s="123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4" t="str">
        <f aca="false">IF(ISBLANK($C348),"",IF(J348=Constants!$B$2, TRUE(), IF(J348=Constants!$B$3,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Constants!B351) * IF(X348, 1, Constants!B352),"")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IF($AE348=Constants!$B$7,IF(AND(T348,U348,W348),Constants!$B$9*AH348/$AH$6, 0),"")</f>
        <v/>
      </c>
      <c r="AK348" s="94" t="str">
        <f aca="false">IF(AJ348&lt;&gt;"", AJ348*AG348,"")</f>
        <v/>
      </c>
      <c r="AL348" s="94" t="str">
        <f aca="false">IF(AND($AE348=Constants!$B$7, T348, U348) ,IF($Z348="", "", 1-ABS($AA348-$Z348)/$AA348),"")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,IF(AND(T348,U348,W348,ISNUMBER(Z348)),Constants!$B$10*AL348/$AL$6, 0),"")</f>
        <v/>
      </c>
      <c r="AO348" s="94" t="str">
        <f aca="false">IF(AN348&lt;&gt;"", AN348*AG348,"")</f>
        <v/>
      </c>
      <c r="AP348" s="94" t="str">
        <f aca="false">IF($AE348=Constants!$B$7,Constants!$B$8*AB348/$AP$6,"")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IF(ISBLANK(C348),"",IFERROR(_xlfn.SWITCH(BE348, Constants!$B$4, COUNTA($C$8:$C847)+2, Constants!$B$5, COUNTA($C$8:$C847)+1, Constants!$B$6, COUNTA($C$8:$C847)),BE348))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0"/>
      <c r="C349" s="121"/>
      <c r="D349" s="110"/>
      <c r="E349" s="114"/>
      <c r="F349" s="114"/>
      <c r="G349" s="86"/>
      <c r="H349" s="87"/>
      <c r="I349" s="123"/>
      <c r="J349" s="123"/>
      <c r="K349" s="123"/>
      <c r="L349" s="89"/>
      <c r="M349" s="89"/>
      <c r="N349" s="89"/>
      <c r="O349" s="90"/>
      <c r="P349" s="91"/>
      <c r="Q349" s="123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4" t="str">
        <f aca="false">IF(ISBLANK($C349),"",IF(J349=Constants!$B$2, TRUE(), IF(J349=Constants!$B$3,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Constants!B352) * IF(X349, 1, Constants!B353),"")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IF($AE349=Constants!$B$7,IF(AND(T349,U349,W349),Constants!$B$9*AH349/$AH$6, 0),"")</f>
        <v/>
      </c>
      <c r="AK349" s="94" t="str">
        <f aca="false">IF(AJ349&lt;&gt;"", AJ349*AG349,"")</f>
        <v/>
      </c>
      <c r="AL349" s="94" t="str">
        <f aca="false">IF(AND($AE349=Constants!$B$7, T349, U349) ,IF($Z349="", "", 1-ABS($AA349-$Z349)/$AA349),"")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,IF(AND(T349,U349,W349,ISNUMBER(Z349)),Constants!$B$10*AL349/$AL$6, 0),"")</f>
        <v/>
      </c>
      <c r="AO349" s="94" t="str">
        <f aca="false">IF(AN349&lt;&gt;"", AN349*AG349,"")</f>
        <v/>
      </c>
      <c r="AP349" s="94" t="str">
        <f aca="false">IF($AE349=Constants!$B$7,Constants!$B$8*AB349/$AP$6,"")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IF(ISBLANK(C349),"",IFERROR(_xlfn.SWITCH(BE349, Constants!$B$4, COUNTA($C$8:$C848)+2, Constants!$B$5, COUNTA($C$8:$C848)+1, Constants!$B$6, COUNTA($C$8:$C848)),BE349))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4"/>
      <c r="C350" s="51"/>
      <c r="D350" s="52"/>
      <c r="E350" s="118"/>
      <c r="F350" s="118"/>
      <c r="G350" s="54"/>
      <c r="H350" s="55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IF(ISBLANK($C350),"",IF(J350=Constants!$B$2, TRUE(), IF(J350=Constants!$B$3,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Constants!B353) * IF(X350, 1, Constants!B354),"")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IF($AE350=Constants!$B$7,IF(AND(T350,U350,W350),Constants!$B$9*AH350/$AH$6, 0),"")</f>
        <v/>
      </c>
      <c r="AK350" s="62" t="str">
        <f aca="false">IF(AJ350&lt;&gt;"", AJ350*AG350,"")</f>
        <v/>
      </c>
      <c r="AL350" s="62" t="str">
        <f aca="false">IF(AND($AE350=Constants!$B$7, T350, U350) ,IF($Z350="", "", 1-ABS($AA350-$Z350)/$AA350),"")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IF($AE350=Constants!$B$7,Constants!$B$8*AB350/$AP$6,"")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IF(ISBLANK(C350),"",IFERROR(_xlfn.SWITCH(BE350, Constants!$B$4, COUNTA($C$8:$C849)+2, Constants!$B$5, COUNTA($C$8:$C849)+1, Constants!$B$6, COUNTA($C$8:$C849)),BE350))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4"/>
      <c r="C351" s="51"/>
      <c r="D351" s="52"/>
      <c r="E351" s="118"/>
      <c r="F351" s="118"/>
      <c r="G351" s="54"/>
      <c r="H351" s="55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IF(ISBLANK($C351),"",IF(J351=Constants!$B$2, TRUE(), IF(J351=Constants!$B$3,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Constants!B354) * IF(X351, 1, Constants!B355),"")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IF($AE351=Constants!$B$7,IF(AND(T351,U351,W351),Constants!$B$9*AH351/$AH$6, 0),"")</f>
        <v/>
      </c>
      <c r="AK351" s="62" t="str">
        <f aca="false">IF(AJ351&lt;&gt;"", AJ351*AG351,"")</f>
        <v/>
      </c>
      <c r="AL351" s="62" t="str">
        <f aca="false">IF(AND($AE351=Constants!$B$7, T351, U351) ,IF($Z351="", "", 1-ABS($AA351-$Z351)/$AA351),"")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IF($AE351=Constants!$B$7,Constants!$B$8*AB351/$AP$6,"")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IF(ISBLANK(C351),"",IFERROR(_xlfn.SWITCH(BE351, Constants!$B$4, COUNTA($C$8:$C850)+2, Constants!$B$5, COUNTA($C$8:$C850)+1, Constants!$B$6, COUNTA($C$8:$C850)),BE351))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4"/>
      <c r="C352" s="51"/>
      <c r="D352" s="52"/>
      <c r="E352" s="118"/>
      <c r="F352" s="118"/>
      <c r="G352" s="54"/>
      <c r="H352" s="55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IF(ISBLANK($C352),"",IF(J352=Constants!$B$2, TRUE(), IF(J352=Constants!$B$3,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Constants!B355) * IF(X352, 1, Constants!B356),"")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IF($AE352=Constants!$B$7,IF(AND(T352,U352,W352),Constants!$B$9*AH352/$AH$6, 0),"")</f>
        <v/>
      </c>
      <c r="AK352" s="62" t="str">
        <f aca="false">IF(AJ352&lt;&gt;"", AJ352*AG352,"")</f>
        <v/>
      </c>
      <c r="AL352" s="62" t="str">
        <f aca="false">IF(AND($AE352=Constants!$B$7, T352, U352) ,IF($Z352="", "", 1-ABS($AA352-$Z352)/$AA352),"")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IF($AE352=Constants!$B$7,Constants!$B$8*AB352/$AP$6,"")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IF(ISBLANK(C352),"",IFERROR(_xlfn.SWITCH(BE352, Constants!$B$4, COUNTA($C$8:$C851)+2, Constants!$B$5, COUNTA($C$8:$C851)+1, Constants!$B$6, COUNTA($C$8:$C851)),BE352))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0"/>
      <c r="C353" s="121"/>
      <c r="D353" s="110"/>
      <c r="E353" s="114"/>
      <c r="F353" s="114"/>
      <c r="G353" s="86"/>
      <c r="H353" s="87"/>
      <c r="I353" s="123"/>
      <c r="J353" s="123"/>
      <c r="K353" s="123"/>
      <c r="L353" s="89"/>
      <c r="M353" s="89"/>
      <c r="N353" s="89"/>
      <c r="O353" s="90"/>
      <c r="P353" s="91"/>
      <c r="Q353" s="123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4" t="str">
        <f aca="false">IF(ISBLANK($C353),"",IF(J353=Constants!$B$2, TRUE(), IF(J353=Constants!$B$3,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Constants!B356) * IF(X353, 1, Constants!B357),"")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IF($AE353=Constants!$B$7,IF(AND(T353,U353,W353),Constants!$B$9*AH353/$AH$6, 0),"")</f>
        <v/>
      </c>
      <c r="AK353" s="94" t="str">
        <f aca="false">IF(AJ353&lt;&gt;"", AJ353*AG353,"")</f>
        <v/>
      </c>
      <c r="AL353" s="94" t="str">
        <f aca="false">IF(AND($AE353=Constants!$B$7, T353, U353) ,IF($Z353="", "", 1-ABS($AA353-$Z353)/$AA353),"")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,IF(AND(T353,U353,W353,ISNUMBER(Z353)),Constants!$B$10*AL353/$AL$6, 0),"")</f>
        <v/>
      </c>
      <c r="AO353" s="94" t="str">
        <f aca="false">IF(AN353&lt;&gt;"", AN353*AG353,"")</f>
        <v/>
      </c>
      <c r="AP353" s="94" t="str">
        <f aca="false">IF($AE353=Constants!$B$7,Constants!$B$8*AB353/$AP$6,"")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IF(ISBLANK(C353),"",IFERROR(_xlfn.SWITCH(BE353, Constants!$B$4, COUNTA($C$8:$C852)+2, Constants!$B$5, COUNTA($C$8:$C852)+1, Constants!$B$6, COUNTA($C$8:$C852)),BE353))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0"/>
      <c r="C354" s="121"/>
      <c r="D354" s="110"/>
      <c r="E354" s="114"/>
      <c r="F354" s="114"/>
      <c r="G354" s="86"/>
      <c r="H354" s="87"/>
      <c r="I354" s="123"/>
      <c r="J354" s="123"/>
      <c r="K354" s="123"/>
      <c r="L354" s="89"/>
      <c r="M354" s="89"/>
      <c r="N354" s="89"/>
      <c r="O354" s="90"/>
      <c r="P354" s="91"/>
      <c r="Q354" s="123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4" t="str">
        <f aca="false">IF(ISBLANK($C354),"",IF(J354=Constants!$B$2, TRUE(), IF(J354=Constants!$B$3,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Constants!B357) * IF(X354, 1, Constants!B358),"")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IF($AE354=Constants!$B$7,IF(AND(T354,U354,W354),Constants!$B$9*AH354/$AH$6, 0),"")</f>
        <v/>
      </c>
      <c r="AK354" s="94" t="str">
        <f aca="false">IF(AJ354&lt;&gt;"", AJ354*AG354,"")</f>
        <v/>
      </c>
      <c r="AL354" s="94" t="str">
        <f aca="false">IF(AND($AE354=Constants!$B$7, T354, U354) ,IF($Z354="", "", 1-ABS($AA354-$Z354)/$AA354),"")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,IF(AND(T354,U354,W354,ISNUMBER(Z354)),Constants!$B$10*AL354/$AL$6, 0),"")</f>
        <v/>
      </c>
      <c r="AO354" s="94" t="str">
        <f aca="false">IF(AN354&lt;&gt;"", AN354*AG354,"")</f>
        <v/>
      </c>
      <c r="AP354" s="94" t="str">
        <f aca="false">IF($AE354=Constants!$B$7,Constants!$B$8*AB354/$AP$6,"")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IF(ISBLANK(C354),"",IFERROR(_xlfn.SWITCH(BE354, Constants!$B$4, COUNTA($C$8:$C853)+2, Constants!$B$5, COUNTA($C$8:$C853)+1, Constants!$B$6, COUNTA($C$8:$C853)),BE354))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0"/>
      <c r="C355" s="121"/>
      <c r="D355" s="110"/>
      <c r="E355" s="114"/>
      <c r="F355" s="114"/>
      <c r="G355" s="86"/>
      <c r="H355" s="87"/>
      <c r="I355" s="123"/>
      <c r="J355" s="123"/>
      <c r="K355" s="123"/>
      <c r="L355" s="89"/>
      <c r="M355" s="89"/>
      <c r="N355" s="89"/>
      <c r="O355" s="90"/>
      <c r="P355" s="91"/>
      <c r="Q355" s="123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4" t="str">
        <f aca="false">IF(ISBLANK($C355),"",IF(J355=Constants!$B$2, TRUE(), IF(J355=Constants!$B$3,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Constants!B358) * IF(X355, 1, Constants!B359),"")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IF($AE355=Constants!$B$7,IF(AND(T355,U355,W355),Constants!$B$9*AH355/$AH$6, 0),"")</f>
        <v/>
      </c>
      <c r="AK355" s="94" t="str">
        <f aca="false">IF(AJ355&lt;&gt;"", AJ355*AG355,"")</f>
        <v/>
      </c>
      <c r="AL355" s="94" t="str">
        <f aca="false">IF(AND($AE355=Constants!$B$7, T355, U355) ,IF($Z355="", "", 1-ABS($AA355-$Z355)/$AA355),"")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,IF(AND(T355,U355,W355,ISNUMBER(Z355)),Constants!$B$10*AL355/$AL$6, 0),"")</f>
        <v/>
      </c>
      <c r="AO355" s="94" t="str">
        <f aca="false">IF(AN355&lt;&gt;"", AN355*AG355,"")</f>
        <v/>
      </c>
      <c r="AP355" s="94" t="str">
        <f aca="false">IF($AE355=Constants!$B$7,Constants!$B$8*AB355/$AP$6,"")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IF(ISBLANK(C355),"",IFERROR(_xlfn.SWITCH(BE355, Constants!$B$4, COUNTA($C$8:$C854)+2, Constants!$B$5, COUNTA($C$8:$C854)+1, Constants!$B$6, COUNTA($C$8:$C854)),BE355))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4"/>
      <c r="C356" s="51"/>
      <c r="D356" s="52"/>
      <c r="E356" s="118"/>
      <c r="F356" s="118"/>
      <c r="G356" s="54"/>
      <c r="H356" s="55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IF(ISBLANK($C356),"",IF(J356=Constants!$B$2, TRUE(), IF(J356=Constants!$B$3,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Constants!B359) * IF(X356, 1, Constants!B360),"")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IF($AE356=Constants!$B$7,IF(AND(T356,U356,W356),Constants!$B$9*AH356/$AH$6, 0),"")</f>
        <v/>
      </c>
      <c r="AK356" s="62" t="str">
        <f aca="false">IF(AJ356&lt;&gt;"", AJ356*AG356,"")</f>
        <v/>
      </c>
      <c r="AL356" s="62" t="str">
        <f aca="false">IF(AND($AE356=Constants!$B$7, T356, U356) ,IF($Z356="", "", 1-ABS($AA356-$Z356)/$AA356),"")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IF($AE356=Constants!$B$7,Constants!$B$8*AB356/$AP$6,"")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IF(ISBLANK(C356),"",IFERROR(_xlfn.SWITCH(BE356, Constants!$B$4, COUNTA($C$8:$C855)+2, Constants!$B$5, COUNTA($C$8:$C855)+1, Constants!$B$6, COUNTA($C$8:$C855)),BE356))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4"/>
      <c r="C357" s="51"/>
      <c r="D357" s="52"/>
      <c r="E357" s="118"/>
      <c r="F357" s="118"/>
      <c r="G357" s="54"/>
      <c r="H357" s="55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IF(ISBLANK($C357),"",IF(J357=Constants!$B$2, TRUE(), IF(J357=Constants!$B$3,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Constants!B360) * IF(X357, 1, Constants!B361),"")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IF($AE357=Constants!$B$7,IF(AND(T357,U357,W357),Constants!$B$9*AH357/$AH$6, 0),"")</f>
        <v/>
      </c>
      <c r="AK357" s="62" t="str">
        <f aca="false">IF(AJ357&lt;&gt;"", AJ357*AG357,"")</f>
        <v/>
      </c>
      <c r="AL357" s="62" t="str">
        <f aca="false">IF(AND($AE357=Constants!$B$7, T357, U357) ,IF($Z357="", "", 1-ABS($AA357-$Z357)/$AA357),"")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IF($AE357=Constants!$B$7,Constants!$B$8*AB357/$AP$6,"")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IF(ISBLANK(C357),"",IFERROR(_xlfn.SWITCH(BE357, Constants!$B$4, COUNTA($C$8:$C856)+2, Constants!$B$5, COUNTA($C$8:$C856)+1, Constants!$B$6, COUNTA($C$8:$C856)),BE357))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4"/>
      <c r="C358" s="51"/>
      <c r="D358" s="52"/>
      <c r="E358" s="118"/>
      <c r="F358" s="118"/>
      <c r="G358" s="54"/>
      <c r="H358" s="55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IF(ISBLANK($C358),"",IF(J358=Constants!$B$2, TRUE(), IF(J358=Constants!$B$3,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Constants!B361) * IF(X358, 1, Constants!B362),"")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IF($AE358=Constants!$B$7,IF(AND(T358,U358,W358),Constants!$B$9*AH358/$AH$6, 0),"")</f>
        <v/>
      </c>
      <c r="AK358" s="62" t="str">
        <f aca="false">IF(AJ358&lt;&gt;"", AJ358*AG358,"")</f>
        <v/>
      </c>
      <c r="AL358" s="62" t="str">
        <f aca="false">IF(AND($AE358=Constants!$B$7, T358, U358) ,IF($Z358="", "", 1-ABS($AA358-$Z358)/$AA358),"")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IF($AE358=Constants!$B$7,Constants!$B$8*AB358/$AP$6,"")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IF(ISBLANK(C358),"",IFERROR(_xlfn.SWITCH(BE358, Constants!$B$4, COUNTA($C$8:$C857)+2, Constants!$B$5, COUNTA($C$8:$C857)+1, Constants!$B$6, COUNTA($C$8:$C857)),BE358))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0"/>
      <c r="C359" s="121"/>
      <c r="D359" s="110"/>
      <c r="E359" s="114"/>
      <c r="F359" s="114"/>
      <c r="G359" s="86"/>
      <c r="H359" s="87"/>
      <c r="I359" s="123"/>
      <c r="J359" s="123"/>
      <c r="K359" s="123"/>
      <c r="L359" s="89"/>
      <c r="M359" s="89"/>
      <c r="N359" s="89"/>
      <c r="O359" s="90"/>
      <c r="P359" s="91"/>
      <c r="Q359" s="123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4" t="str">
        <f aca="false">IF(ISBLANK($C359),"",IF(J359=Constants!$B$2, TRUE(), IF(J359=Constants!$B$3,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Constants!B362) * IF(X359, 1, Constants!B363),"")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IF($AE359=Constants!$B$7,IF(AND(T359,U359,W359),Constants!$B$9*AH359/$AH$6, 0),"")</f>
        <v/>
      </c>
      <c r="AK359" s="94" t="str">
        <f aca="false">IF(AJ359&lt;&gt;"", AJ359*AG359,"")</f>
        <v/>
      </c>
      <c r="AL359" s="94" t="str">
        <f aca="false">IF(AND($AE359=Constants!$B$7, T359, U359) ,IF($Z359="", "", 1-ABS($AA359-$Z359)/$AA359),"")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,IF(AND(T359,U359,W359,ISNUMBER(Z359)),Constants!$B$10*AL359/$AL$6, 0),"")</f>
        <v/>
      </c>
      <c r="AO359" s="94" t="str">
        <f aca="false">IF(AN359&lt;&gt;"", AN359*AG359,"")</f>
        <v/>
      </c>
      <c r="AP359" s="94" t="str">
        <f aca="false">IF($AE359=Constants!$B$7,Constants!$B$8*AB359/$AP$6,"")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IF(ISBLANK(C359),"",IFERROR(_xlfn.SWITCH(BE359, Constants!$B$4, COUNTA($C$8:$C858)+2, Constants!$B$5, COUNTA($C$8:$C858)+1, Constants!$B$6, COUNTA($C$8:$C858)),BE359))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0"/>
      <c r="C360" s="121"/>
      <c r="D360" s="110"/>
      <c r="E360" s="114"/>
      <c r="F360" s="114"/>
      <c r="G360" s="86"/>
      <c r="H360" s="87"/>
      <c r="I360" s="123"/>
      <c r="J360" s="123"/>
      <c r="K360" s="123"/>
      <c r="L360" s="89"/>
      <c r="M360" s="89"/>
      <c r="N360" s="89"/>
      <c r="O360" s="90"/>
      <c r="P360" s="91"/>
      <c r="Q360" s="123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4" t="str">
        <f aca="false">IF(ISBLANK($C360),"",IF(J360=Constants!$B$2, TRUE(), IF(J360=Constants!$B$3,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Constants!B363) * IF(X360, 1, Constants!B364),"")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IF($AE360=Constants!$B$7,IF(AND(T360,U360,W360),Constants!$B$9*AH360/$AH$6, 0),"")</f>
        <v/>
      </c>
      <c r="AK360" s="94" t="str">
        <f aca="false">IF(AJ360&lt;&gt;"", AJ360*AG360,"")</f>
        <v/>
      </c>
      <c r="AL360" s="94" t="str">
        <f aca="false">IF(AND($AE360=Constants!$B$7, T360, U360) ,IF($Z360="", "", 1-ABS($AA360-$Z360)/$AA360),"")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,IF(AND(T360,U360,W360,ISNUMBER(Z360)),Constants!$B$10*AL360/$AL$6, 0),"")</f>
        <v/>
      </c>
      <c r="AO360" s="94" t="str">
        <f aca="false">IF(AN360&lt;&gt;"", AN360*AG360,"")</f>
        <v/>
      </c>
      <c r="AP360" s="94" t="str">
        <f aca="false">IF($AE360=Constants!$B$7,Constants!$B$8*AB360/$AP$6,"")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IF(ISBLANK(C360),"",IFERROR(_xlfn.SWITCH(BE360, Constants!$B$4, COUNTA($C$8:$C859)+2, Constants!$B$5, COUNTA($C$8:$C859)+1, Constants!$B$6, COUNTA($C$8:$C859)),BE360))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0"/>
      <c r="C361" s="121"/>
      <c r="D361" s="110"/>
      <c r="E361" s="114"/>
      <c r="F361" s="114"/>
      <c r="G361" s="86"/>
      <c r="H361" s="87"/>
      <c r="I361" s="123"/>
      <c r="J361" s="123"/>
      <c r="K361" s="123"/>
      <c r="L361" s="89"/>
      <c r="M361" s="89"/>
      <c r="N361" s="89"/>
      <c r="O361" s="90"/>
      <c r="P361" s="91"/>
      <c r="Q361" s="123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4" t="str">
        <f aca="false">IF(ISBLANK($C361),"",IF(J361=Constants!$B$2, TRUE(), IF(J361=Constants!$B$3,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Constants!B364) * IF(X361, 1, Constants!B365),"")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IF($AE361=Constants!$B$7,IF(AND(T361,U361,W361),Constants!$B$9*AH361/$AH$6, 0),"")</f>
        <v/>
      </c>
      <c r="AK361" s="94" t="str">
        <f aca="false">IF(AJ361&lt;&gt;"", AJ361*AG361,"")</f>
        <v/>
      </c>
      <c r="AL361" s="94" t="str">
        <f aca="false">IF(AND($AE361=Constants!$B$7, T361, U361) ,IF($Z361="", "", 1-ABS($AA361-$Z361)/$AA361),"")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,IF(AND(T361,U361,W361,ISNUMBER(Z361)),Constants!$B$10*AL361/$AL$6, 0),"")</f>
        <v/>
      </c>
      <c r="AO361" s="94" t="str">
        <f aca="false">IF(AN361&lt;&gt;"", AN361*AG361,"")</f>
        <v/>
      </c>
      <c r="AP361" s="94" t="str">
        <f aca="false">IF($AE361=Constants!$B$7,Constants!$B$8*AB361/$AP$6,"")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IF(ISBLANK(C361),"",IFERROR(_xlfn.SWITCH(BE361, Constants!$B$4, COUNTA($C$8:$C860)+2, Constants!$B$5, COUNTA($C$8:$C860)+1, Constants!$B$6, COUNTA($C$8:$C860)),BE361))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4"/>
      <c r="C362" s="51"/>
      <c r="D362" s="52"/>
      <c r="E362" s="118"/>
      <c r="F362" s="118"/>
      <c r="G362" s="54"/>
      <c r="H362" s="55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IF(ISBLANK($C362),"",IF(J362=Constants!$B$2, TRUE(), IF(J362=Constants!$B$3,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Constants!B365) * IF(X362, 1, Constants!B366),"")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IF($AE362=Constants!$B$7,IF(AND(T362,U362,W362),Constants!$B$9*AH362/$AH$6, 0),"")</f>
        <v/>
      </c>
      <c r="AK362" s="62" t="str">
        <f aca="false">IF(AJ362&lt;&gt;"", AJ362*AG362,"")</f>
        <v/>
      </c>
      <c r="AL362" s="62" t="str">
        <f aca="false">IF(AND($AE362=Constants!$B$7, T362, U362) ,IF($Z362="", "", 1-ABS($AA362-$Z362)/$AA362),"")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IF($AE362=Constants!$B$7,Constants!$B$8*AB362/$AP$6,"")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IF(ISBLANK(C362),"",IFERROR(_xlfn.SWITCH(BE362, Constants!$B$4, COUNTA($C$8:$C861)+2, Constants!$B$5, COUNTA($C$8:$C861)+1, Constants!$B$6, COUNTA($C$8:$C861)),BE362))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4"/>
      <c r="C363" s="51"/>
      <c r="D363" s="52"/>
      <c r="E363" s="118"/>
      <c r="F363" s="118"/>
      <c r="G363" s="54"/>
      <c r="H363" s="55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IF(ISBLANK($C363),"",IF(J363=Constants!$B$2, TRUE(), IF(J363=Constants!$B$3,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Constants!B366) * IF(X363, 1, Constants!B367),"")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IF($AE363=Constants!$B$7,IF(AND(T363,U363,W363),Constants!$B$9*AH363/$AH$6, 0),"")</f>
        <v/>
      </c>
      <c r="AK363" s="62" t="str">
        <f aca="false">IF(AJ363&lt;&gt;"", AJ363*AG363,"")</f>
        <v/>
      </c>
      <c r="AL363" s="62" t="str">
        <f aca="false">IF(AND($AE363=Constants!$B$7, T363, U363) ,IF($Z363="", "", 1-ABS($AA363-$Z363)/$AA363),"")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IF($AE363=Constants!$B$7,Constants!$B$8*AB363/$AP$6,"")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IF(ISBLANK(C363),"",IFERROR(_xlfn.SWITCH(BE363, Constants!$B$4, COUNTA($C$8:$C862)+2, Constants!$B$5, COUNTA($C$8:$C862)+1, Constants!$B$6, COUNTA($C$8:$C862)),BE363))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4"/>
      <c r="C364" s="51"/>
      <c r="D364" s="52"/>
      <c r="E364" s="118"/>
      <c r="F364" s="118"/>
      <c r="G364" s="54"/>
      <c r="H364" s="55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IF(ISBLANK($C364),"",IF(J364=Constants!$B$2, TRUE(), IF(J364=Constants!$B$3,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Constants!B367) * IF(X364, 1, Constants!B368),"")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IF($AE364=Constants!$B$7,IF(AND(T364,U364,W364),Constants!$B$9*AH364/$AH$6, 0),"")</f>
        <v/>
      </c>
      <c r="AK364" s="62" t="str">
        <f aca="false">IF(AJ364&lt;&gt;"", AJ364*AG364,"")</f>
        <v/>
      </c>
      <c r="AL364" s="62" t="str">
        <f aca="false">IF(AND($AE364=Constants!$B$7, T364, U364) ,IF($Z364="", "", 1-ABS($AA364-$Z364)/$AA364),"")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IF($AE364=Constants!$B$7,Constants!$B$8*AB364/$AP$6,"")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IF(ISBLANK(C364),"",IFERROR(_xlfn.SWITCH(BE364, Constants!$B$4, COUNTA($C$8:$C863)+2, Constants!$B$5, COUNTA($C$8:$C863)+1, Constants!$B$6, COUNTA($C$8:$C863)),BE364))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0"/>
      <c r="C365" s="121"/>
      <c r="D365" s="110"/>
      <c r="E365" s="114"/>
      <c r="F365" s="114"/>
      <c r="G365" s="86"/>
      <c r="H365" s="87"/>
      <c r="I365" s="123"/>
      <c r="J365" s="123"/>
      <c r="K365" s="123"/>
      <c r="L365" s="89"/>
      <c r="M365" s="89"/>
      <c r="N365" s="89"/>
      <c r="O365" s="90"/>
      <c r="P365" s="91"/>
      <c r="Q365" s="123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4" t="str">
        <f aca="false">IF(ISBLANK($C365),"",IF(J365=Constants!$B$2, TRUE(), IF(J365=Constants!$B$3,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Constants!B368) * IF(X365, 1, Constants!B369),"")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IF($AE365=Constants!$B$7,IF(AND(T365,U365,W365),Constants!$B$9*AH365/$AH$6, 0),"")</f>
        <v/>
      </c>
      <c r="AK365" s="94" t="str">
        <f aca="false">IF(AJ365&lt;&gt;"", AJ365*AG365,"")</f>
        <v/>
      </c>
      <c r="AL365" s="94" t="str">
        <f aca="false">IF(AND($AE365=Constants!$B$7, T365, U365) ,IF($Z365="", "", 1-ABS($AA365-$Z365)/$AA365),"")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,IF(AND(T365,U365,W365,ISNUMBER(Z365)),Constants!$B$10*AL365/$AL$6, 0),"")</f>
        <v/>
      </c>
      <c r="AO365" s="94" t="str">
        <f aca="false">IF(AN365&lt;&gt;"", AN365*AG365,"")</f>
        <v/>
      </c>
      <c r="AP365" s="94" t="str">
        <f aca="false">IF($AE365=Constants!$B$7,Constants!$B$8*AB365/$AP$6,"")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IF(ISBLANK(C365),"",IFERROR(_xlfn.SWITCH(BE365, Constants!$B$4, COUNTA($C$8:$C864)+2, Constants!$B$5, COUNTA($C$8:$C864)+1, Constants!$B$6, COUNTA($C$8:$C864)),BE365))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0"/>
      <c r="C366" s="121"/>
      <c r="D366" s="110"/>
      <c r="E366" s="114"/>
      <c r="F366" s="114"/>
      <c r="G366" s="86"/>
      <c r="H366" s="87"/>
      <c r="I366" s="123"/>
      <c r="J366" s="123"/>
      <c r="K366" s="123"/>
      <c r="L366" s="89"/>
      <c r="M366" s="89"/>
      <c r="N366" s="89"/>
      <c r="O366" s="90"/>
      <c r="P366" s="91"/>
      <c r="Q366" s="123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4" t="str">
        <f aca="false">IF(ISBLANK($C366),"",IF(J366=Constants!$B$2, TRUE(), IF(J366=Constants!$B$3,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Constants!B369) * IF(X366, 1, Constants!B370),"")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IF($AE366=Constants!$B$7,IF(AND(T366,U366,W366),Constants!$B$9*AH366/$AH$6, 0),"")</f>
        <v/>
      </c>
      <c r="AK366" s="94" t="str">
        <f aca="false">IF(AJ366&lt;&gt;"", AJ366*AG366,"")</f>
        <v/>
      </c>
      <c r="AL366" s="94" t="str">
        <f aca="false">IF(AND($AE366=Constants!$B$7, T366, U366) ,IF($Z366="", "", 1-ABS($AA366-$Z366)/$AA366),"")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,IF(AND(T366,U366,W366,ISNUMBER(Z366)),Constants!$B$10*AL366/$AL$6, 0),"")</f>
        <v/>
      </c>
      <c r="AO366" s="94" t="str">
        <f aca="false">IF(AN366&lt;&gt;"", AN366*AG366,"")</f>
        <v/>
      </c>
      <c r="AP366" s="94" t="str">
        <f aca="false">IF($AE366=Constants!$B$7,Constants!$B$8*AB366/$AP$6,"")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IF(ISBLANK(C366),"",IFERROR(_xlfn.SWITCH(BE366, Constants!$B$4, COUNTA($C$8:$C865)+2, Constants!$B$5, COUNTA($C$8:$C865)+1, Constants!$B$6, COUNTA($C$8:$C865)),BE366))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0"/>
      <c r="C367" s="121"/>
      <c r="D367" s="110"/>
      <c r="E367" s="114"/>
      <c r="F367" s="114"/>
      <c r="G367" s="86"/>
      <c r="H367" s="87"/>
      <c r="I367" s="123"/>
      <c r="J367" s="123"/>
      <c r="K367" s="123"/>
      <c r="L367" s="89"/>
      <c r="M367" s="89"/>
      <c r="N367" s="89"/>
      <c r="O367" s="90"/>
      <c r="P367" s="91"/>
      <c r="Q367" s="123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4" t="str">
        <f aca="false">IF(ISBLANK($C367),"",IF(J367=Constants!$B$2, TRUE(), IF(J367=Constants!$B$3,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Constants!B370) * IF(X367, 1, Constants!B371),"")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IF($AE367=Constants!$B$7,IF(AND(T367,U367,W367),Constants!$B$9*AH367/$AH$6, 0),"")</f>
        <v/>
      </c>
      <c r="AK367" s="94" t="str">
        <f aca="false">IF(AJ367&lt;&gt;"", AJ367*AG367,"")</f>
        <v/>
      </c>
      <c r="AL367" s="94" t="str">
        <f aca="false">IF(AND($AE367=Constants!$B$7, T367, U367) ,IF($Z367="", "", 1-ABS($AA367-$Z367)/$AA367),"")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,IF(AND(T367,U367,W367,ISNUMBER(Z367)),Constants!$B$10*AL367/$AL$6, 0),"")</f>
        <v/>
      </c>
      <c r="AO367" s="94" t="str">
        <f aca="false">IF(AN367&lt;&gt;"", AN367*AG367,"")</f>
        <v/>
      </c>
      <c r="AP367" s="94" t="str">
        <f aca="false">IF($AE367=Constants!$B$7,Constants!$B$8*AB367/$AP$6,"")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IF(ISBLANK(C367),"",IFERROR(_xlfn.SWITCH(BE367, Constants!$B$4, COUNTA($C$8:$C866)+2, Constants!$B$5, COUNTA($C$8:$C866)+1, Constants!$B$6, COUNTA($C$8:$C866)),BE367))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4"/>
      <c r="C368" s="51"/>
      <c r="D368" s="52"/>
      <c r="E368" s="118"/>
      <c r="F368" s="118"/>
      <c r="G368" s="54"/>
      <c r="H368" s="55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IF(ISBLANK($C368),"",IF(J368=Constants!$B$2, TRUE(), IF(J368=Constants!$B$3,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Constants!B371) * IF(X368, 1, Constants!B372),"")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IF($AE368=Constants!$B$7,IF(AND(T368,U368,W368),Constants!$B$9*AH368/$AH$6, 0),"")</f>
        <v/>
      </c>
      <c r="AK368" s="62" t="str">
        <f aca="false">IF(AJ368&lt;&gt;"", AJ368*AG368,"")</f>
        <v/>
      </c>
      <c r="AL368" s="62" t="str">
        <f aca="false">IF(AND($AE368=Constants!$B$7, T368, U368) ,IF($Z368="", "", 1-ABS($AA368-$Z368)/$AA368),"")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IF($AE368=Constants!$B$7,Constants!$B$8*AB368/$AP$6,"")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IF(ISBLANK(C368),"",IFERROR(_xlfn.SWITCH(BE368, Constants!$B$4, COUNTA($C$8:$C867)+2, Constants!$B$5, COUNTA($C$8:$C867)+1, Constants!$B$6, COUNTA($C$8:$C867)),BE368))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4"/>
      <c r="C369" s="51"/>
      <c r="D369" s="52"/>
      <c r="E369" s="118"/>
      <c r="F369" s="118"/>
      <c r="G369" s="54"/>
      <c r="H369" s="55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IF(ISBLANK($C369),"",IF(J369=Constants!$B$2, TRUE(), IF(J369=Constants!$B$3,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Constants!B372) * IF(X369, 1, Constants!B373),"")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IF($AE369=Constants!$B$7,IF(AND(T369,U369,W369),Constants!$B$9*AH369/$AH$6, 0),"")</f>
        <v/>
      </c>
      <c r="AK369" s="62" t="str">
        <f aca="false">IF(AJ369&lt;&gt;"", AJ369*AG369,"")</f>
        <v/>
      </c>
      <c r="AL369" s="62" t="str">
        <f aca="false">IF(AND($AE369=Constants!$B$7, T369, U369) ,IF($Z369="", "", 1-ABS($AA369-$Z369)/$AA369),"")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IF($AE369=Constants!$B$7,Constants!$B$8*AB369/$AP$6,"")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IF(ISBLANK(C369),"",IFERROR(_xlfn.SWITCH(BE369, Constants!$B$4, COUNTA($C$8:$C868)+2, Constants!$B$5, COUNTA($C$8:$C868)+1, Constants!$B$6, COUNTA($C$8:$C868)),BE369))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4"/>
      <c r="C370" s="51"/>
      <c r="D370" s="52"/>
      <c r="E370" s="118"/>
      <c r="F370" s="118"/>
      <c r="G370" s="54"/>
      <c r="H370" s="55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IF(ISBLANK($C370),"",IF(J370=Constants!$B$2, TRUE(), IF(J370=Constants!$B$3,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Constants!B373) * IF(X370, 1, Constants!B374),"")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IF($AE370=Constants!$B$7,IF(AND(T370,U370,W370),Constants!$B$9*AH370/$AH$6, 0),"")</f>
        <v/>
      </c>
      <c r="AK370" s="62" t="str">
        <f aca="false">IF(AJ370&lt;&gt;"", AJ370*AG370,"")</f>
        <v/>
      </c>
      <c r="AL370" s="62" t="str">
        <f aca="false">IF(AND($AE370=Constants!$B$7, T370, U370) ,IF($Z370="", "", 1-ABS($AA370-$Z370)/$AA370),"")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IF($AE370=Constants!$B$7,Constants!$B$8*AB370/$AP$6,"")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IF(ISBLANK(C370),"",IFERROR(_xlfn.SWITCH(BE370, Constants!$B$4, COUNTA($C$8:$C869)+2, Constants!$B$5, COUNTA($C$8:$C869)+1, Constants!$B$6, COUNTA($C$8:$C869)),BE370))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0"/>
      <c r="C371" s="121"/>
      <c r="D371" s="110"/>
      <c r="E371" s="114"/>
      <c r="F371" s="114"/>
      <c r="G371" s="86"/>
      <c r="H371" s="87"/>
      <c r="I371" s="123"/>
      <c r="J371" s="123"/>
      <c r="K371" s="123"/>
      <c r="L371" s="89"/>
      <c r="M371" s="89"/>
      <c r="N371" s="89"/>
      <c r="O371" s="90"/>
      <c r="P371" s="91"/>
      <c r="Q371" s="123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4" t="str">
        <f aca="false">IF(ISBLANK($C371),"",IF(J371=Constants!$B$2, TRUE(), IF(J371=Constants!$B$3,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Constants!B374) * IF(X371, 1, Constants!B375),"")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IF($AE371=Constants!$B$7,IF(AND(T371,U371,W371),Constants!$B$9*AH371/$AH$6, 0),"")</f>
        <v/>
      </c>
      <c r="AK371" s="94" t="str">
        <f aca="false">IF(AJ371&lt;&gt;"", AJ371*AG371,"")</f>
        <v/>
      </c>
      <c r="AL371" s="94" t="str">
        <f aca="false">IF(AND($AE371=Constants!$B$7, T371, U371) ,IF($Z371="", "", 1-ABS($AA371-$Z371)/$AA371),"")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,IF(AND(T371,U371,W371,ISNUMBER(Z371)),Constants!$B$10*AL371/$AL$6, 0),"")</f>
        <v/>
      </c>
      <c r="AO371" s="94" t="str">
        <f aca="false">IF(AN371&lt;&gt;"", AN371*AG371,"")</f>
        <v/>
      </c>
      <c r="AP371" s="94" t="str">
        <f aca="false">IF($AE371=Constants!$B$7,Constants!$B$8*AB371/$AP$6,"")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IF(ISBLANK(C371),"",IFERROR(_xlfn.SWITCH(BE371, Constants!$B$4, COUNTA($C$8:$C870)+2, Constants!$B$5, COUNTA($C$8:$C870)+1, Constants!$B$6, COUNTA($C$8:$C870)),BE371))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0"/>
      <c r="C372" s="121"/>
      <c r="D372" s="110"/>
      <c r="E372" s="114"/>
      <c r="F372" s="114"/>
      <c r="G372" s="86"/>
      <c r="H372" s="87"/>
      <c r="I372" s="123"/>
      <c r="J372" s="123"/>
      <c r="K372" s="123"/>
      <c r="L372" s="89"/>
      <c r="M372" s="89"/>
      <c r="N372" s="89"/>
      <c r="O372" s="90"/>
      <c r="P372" s="91"/>
      <c r="Q372" s="123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4" t="str">
        <f aca="false">IF(ISBLANK($C372),"",IF(J372=Constants!$B$2, TRUE(), IF(J372=Constants!$B$3,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Constants!B375) * IF(X372, 1, Constants!B376),"")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IF($AE372=Constants!$B$7,IF(AND(T372,U372,W372),Constants!$B$9*AH372/$AH$6, 0),"")</f>
        <v/>
      </c>
      <c r="AK372" s="94" t="str">
        <f aca="false">IF(AJ372&lt;&gt;"", AJ372*AG372,"")</f>
        <v/>
      </c>
      <c r="AL372" s="94" t="str">
        <f aca="false">IF(AND($AE372=Constants!$B$7, T372, U372) ,IF($Z372="", "", 1-ABS($AA372-$Z372)/$AA372),"")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,IF(AND(T372,U372,W372,ISNUMBER(Z372)),Constants!$B$10*AL372/$AL$6, 0),"")</f>
        <v/>
      </c>
      <c r="AO372" s="94" t="str">
        <f aca="false">IF(AN372&lt;&gt;"", AN372*AG372,"")</f>
        <v/>
      </c>
      <c r="AP372" s="94" t="str">
        <f aca="false">IF($AE372=Constants!$B$7,Constants!$B$8*AB372/$AP$6,"")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IF(ISBLANK(C372),"",IFERROR(_xlfn.SWITCH(BE372, Constants!$B$4, COUNTA($C$8:$C871)+2, Constants!$B$5, COUNTA($C$8:$C871)+1, Constants!$B$6, COUNTA($C$8:$C871)),BE372))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0"/>
      <c r="C373" s="121"/>
      <c r="D373" s="110"/>
      <c r="E373" s="114"/>
      <c r="F373" s="114"/>
      <c r="G373" s="86"/>
      <c r="H373" s="87"/>
      <c r="I373" s="123"/>
      <c r="J373" s="123"/>
      <c r="K373" s="123"/>
      <c r="L373" s="89"/>
      <c r="M373" s="89"/>
      <c r="N373" s="89"/>
      <c r="O373" s="90"/>
      <c r="P373" s="91"/>
      <c r="Q373" s="123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4" t="str">
        <f aca="false">IF(ISBLANK($C373),"",IF(J373=Constants!$B$2, TRUE(), IF(J373=Constants!$B$3,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Constants!B376) * IF(X373, 1, Constants!B377),"")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IF($AE373=Constants!$B$7,IF(AND(T373,U373,W373),Constants!$B$9*AH373/$AH$6, 0),"")</f>
        <v/>
      </c>
      <c r="AK373" s="94" t="str">
        <f aca="false">IF(AJ373&lt;&gt;"", AJ373*AG373,"")</f>
        <v/>
      </c>
      <c r="AL373" s="94" t="str">
        <f aca="false">IF(AND($AE373=Constants!$B$7, T373, U373) ,IF($Z373="", "", 1-ABS($AA373-$Z373)/$AA373),"")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,IF(AND(T373,U373,W373,ISNUMBER(Z373)),Constants!$B$10*AL373/$AL$6, 0),"")</f>
        <v/>
      </c>
      <c r="AO373" s="94" t="str">
        <f aca="false">IF(AN373&lt;&gt;"", AN373*AG373,"")</f>
        <v/>
      </c>
      <c r="AP373" s="94" t="str">
        <f aca="false">IF($AE373=Constants!$B$7,Constants!$B$8*AB373/$AP$6,"")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IF(ISBLANK(C373),"",IFERROR(_xlfn.SWITCH(BE373, Constants!$B$4, COUNTA($C$8:$C872)+2, Constants!$B$5, COUNTA($C$8:$C872)+1, Constants!$B$6, COUNTA($C$8:$C872)),BE373))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4"/>
      <c r="C374" s="51"/>
      <c r="D374" s="52"/>
      <c r="E374" s="118"/>
      <c r="F374" s="118"/>
      <c r="G374" s="54"/>
      <c r="H374" s="55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IF(ISBLANK($C374),"",IF(J374=Constants!$B$2, TRUE(), IF(J374=Constants!$B$3,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Constants!B377) * IF(X374, 1, Constants!B378),"")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IF($AE374=Constants!$B$7,IF(AND(T374,U374,W374),Constants!$B$9*AH374/$AH$6, 0),"")</f>
        <v/>
      </c>
      <c r="AK374" s="62" t="str">
        <f aca="false">IF(AJ374&lt;&gt;"", AJ374*AG374,"")</f>
        <v/>
      </c>
      <c r="AL374" s="62" t="str">
        <f aca="false">IF(AND($AE374=Constants!$B$7, T374, U374) ,IF($Z374="", "", 1-ABS($AA374-$Z374)/$AA374),"")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IF($AE374=Constants!$B$7,Constants!$B$8*AB374/$AP$6,"")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IF(ISBLANK(C374),"",IFERROR(_xlfn.SWITCH(BE374, Constants!$B$4, COUNTA($C$8:$C873)+2, Constants!$B$5, COUNTA($C$8:$C873)+1, Constants!$B$6, COUNTA($C$8:$C873)),BE374))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4"/>
      <c r="C375" s="51"/>
      <c r="D375" s="52"/>
      <c r="E375" s="118"/>
      <c r="F375" s="118"/>
      <c r="G375" s="54"/>
      <c r="H375" s="55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IF(ISBLANK($C375),"",IF(J375=Constants!$B$2, TRUE(), IF(J375=Constants!$B$3,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Constants!B378) * IF(X375, 1, Constants!B379),"")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IF($AE375=Constants!$B$7,IF(AND(T375,U375,W375),Constants!$B$9*AH375/$AH$6, 0),"")</f>
        <v/>
      </c>
      <c r="AK375" s="62" t="str">
        <f aca="false">IF(AJ375&lt;&gt;"", AJ375*AG375,"")</f>
        <v/>
      </c>
      <c r="AL375" s="62" t="str">
        <f aca="false">IF(AND($AE375=Constants!$B$7, T375, U375) ,IF($Z375="", "", 1-ABS($AA375-$Z375)/$AA375),"")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IF($AE375=Constants!$B$7,Constants!$B$8*AB375/$AP$6,"")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IF(ISBLANK(C375),"",IFERROR(_xlfn.SWITCH(BE375, Constants!$B$4, COUNTA($C$8:$C874)+2, Constants!$B$5, COUNTA($C$8:$C874)+1, Constants!$B$6, COUNTA($C$8:$C874)),BE375))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4"/>
      <c r="C376" s="51"/>
      <c r="D376" s="52"/>
      <c r="E376" s="118"/>
      <c r="F376" s="118"/>
      <c r="G376" s="54"/>
      <c r="H376" s="55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IF(ISBLANK($C376),"",IF(J376=Constants!$B$2, TRUE(), IF(J376=Constants!$B$3,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Constants!B379) * IF(X376, 1, Constants!B380),"")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IF($AE376=Constants!$B$7,IF(AND(T376,U376,W376),Constants!$B$9*AH376/$AH$6, 0),"")</f>
        <v/>
      </c>
      <c r="AK376" s="62" t="str">
        <f aca="false">IF(AJ376&lt;&gt;"", AJ376*AG376,"")</f>
        <v/>
      </c>
      <c r="AL376" s="62" t="str">
        <f aca="false">IF(AND($AE376=Constants!$B$7, T376, U376) ,IF($Z376="", "", 1-ABS($AA376-$Z376)/$AA376),"")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IF($AE376=Constants!$B$7,Constants!$B$8*AB376/$AP$6,"")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IF(ISBLANK(C376),"",IFERROR(_xlfn.SWITCH(BE376, Constants!$B$4, COUNTA($C$8:$C875)+2, Constants!$B$5, COUNTA($C$8:$C875)+1, Constants!$B$6, COUNTA($C$8:$C875)),BE376))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0"/>
      <c r="C377" s="121"/>
      <c r="D377" s="110"/>
      <c r="E377" s="114"/>
      <c r="F377" s="114"/>
      <c r="G377" s="86"/>
      <c r="H377" s="87"/>
      <c r="I377" s="123"/>
      <c r="J377" s="123"/>
      <c r="K377" s="123"/>
      <c r="L377" s="89"/>
      <c r="M377" s="89"/>
      <c r="N377" s="89"/>
      <c r="O377" s="90"/>
      <c r="P377" s="91"/>
      <c r="Q377" s="123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4" t="str">
        <f aca="false">IF(ISBLANK($C377),"",IF(J377=Constants!$B$2, TRUE(), IF(J377=Constants!$B$3,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Constants!B380) * IF(X377, 1, Constants!B381),"")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IF($AE377=Constants!$B$7,IF(AND(T377,U377,W377),Constants!$B$9*AH377/$AH$6, 0),"")</f>
        <v/>
      </c>
      <c r="AK377" s="94" t="str">
        <f aca="false">IF(AJ377&lt;&gt;"", AJ377*AG377,"")</f>
        <v/>
      </c>
      <c r="AL377" s="94" t="str">
        <f aca="false">IF(AND($AE377=Constants!$B$7, T377, U377) ,IF($Z377="", "", 1-ABS($AA377-$Z377)/$AA377),"")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,IF(AND(T377,U377,W377,ISNUMBER(Z377)),Constants!$B$10*AL377/$AL$6, 0),"")</f>
        <v/>
      </c>
      <c r="AO377" s="94" t="str">
        <f aca="false">IF(AN377&lt;&gt;"", AN377*AG377,"")</f>
        <v/>
      </c>
      <c r="AP377" s="94" t="str">
        <f aca="false">IF($AE377=Constants!$B$7,Constants!$B$8*AB377/$AP$6,"")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IF(ISBLANK(C377),"",IFERROR(_xlfn.SWITCH(BE377, Constants!$B$4, COUNTA($C$8:$C876)+2, Constants!$B$5, COUNTA($C$8:$C876)+1, Constants!$B$6, COUNTA($C$8:$C876)),BE377))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0"/>
      <c r="C378" s="121"/>
      <c r="D378" s="110"/>
      <c r="E378" s="114"/>
      <c r="F378" s="114"/>
      <c r="G378" s="86"/>
      <c r="H378" s="87"/>
      <c r="I378" s="123"/>
      <c r="J378" s="123"/>
      <c r="K378" s="123"/>
      <c r="L378" s="89"/>
      <c r="M378" s="89"/>
      <c r="N378" s="89"/>
      <c r="O378" s="90"/>
      <c r="P378" s="91"/>
      <c r="Q378" s="123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4" t="str">
        <f aca="false">IF(ISBLANK($C378),"",IF(J378=Constants!$B$2, TRUE(), IF(J378=Constants!$B$3,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Constants!B381) * IF(X378, 1, Constants!B382),"")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IF($AE378=Constants!$B$7,IF(AND(T378,U378,W378),Constants!$B$9*AH378/$AH$6, 0),"")</f>
        <v/>
      </c>
      <c r="AK378" s="94" t="str">
        <f aca="false">IF(AJ378&lt;&gt;"", AJ378*AG378,"")</f>
        <v/>
      </c>
      <c r="AL378" s="94" t="str">
        <f aca="false">IF(AND($AE378=Constants!$B$7, T378, U378) ,IF($Z378="", "", 1-ABS($AA378-$Z378)/$AA378),"")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,IF(AND(T378,U378,W378,ISNUMBER(Z378)),Constants!$B$10*AL378/$AL$6, 0),"")</f>
        <v/>
      </c>
      <c r="AO378" s="94" t="str">
        <f aca="false">IF(AN378&lt;&gt;"", AN378*AG378,"")</f>
        <v/>
      </c>
      <c r="AP378" s="94" t="str">
        <f aca="false">IF($AE378=Constants!$B$7,Constants!$B$8*AB378/$AP$6,"")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IF(ISBLANK(C378),"",IFERROR(_xlfn.SWITCH(BE378, Constants!$B$4, COUNTA($C$8:$C877)+2, Constants!$B$5, COUNTA($C$8:$C877)+1, Constants!$B$6, COUNTA($C$8:$C877)),BE378))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0"/>
      <c r="C379" s="121"/>
      <c r="D379" s="110"/>
      <c r="E379" s="114"/>
      <c r="F379" s="114"/>
      <c r="G379" s="86"/>
      <c r="H379" s="87"/>
      <c r="I379" s="123"/>
      <c r="J379" s="123"/>
      <c r="K379" s="123"/>
      <c r="L379" s="89"/>
      <c r="M379" s="89"/>
      <c r="N379" s="89"/>
      <c r="O379" s="90"/>
      <c r="P379" s="91"/>
      <c r="Q379" s="123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4" t="str">
        <f aca="false">IF(ISBLANK($C379),"",IF(J379=Constants!$B$2, TRUE(), IF(J379=Constants!$B$3,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Constants!B382) * IF(X379, 1, Constants!B383),"")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IF($AE379=Constants!$B$7,IF(AND(T379,U379,W379),Constants!$B$9*AH379/$AH$6, 0),"")</f>
        <v/>
      </c>
      <c r="AK379" s="94" t="str">
        <f aca="false">IF(AJ379&lt;&gt;"", AJ379*AG379,"")</f>
        <v/>
      </c>
      <c r="AL379" s="94" t="str">
        <f aca="false">IF(AND($AE379=Constants!$B$7, T379, U379) ,IF($Z379="", "", 1-ABS($AA379-$Z379)/$AA379),"")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,IF(AND(T379,U379,W379,ISNUMBER(Z379)),Constants!$B$10*AL379/$AL$6, 0),"")</f>
        <v/>
      </c>
      <c r="AO379" s="94" t="str">
        <f aca="false">IF(AN379&lt;&gt;"", AN379*AG379,"")</f>
        <v/>
      </c>
      <c r="AP379" s="94" t="str">
        <f aca="false">IF($AE379=Constants!$B$7,Constants!$B$8*AB379/$AP$6,"")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IF(ISBLANK(C379),"",IFERROR(_xlfn.SWITCH(BE379, Constants!$B$4, COUNTA($C$8:$C878)+2, Constants!$B$5, COUNTA($C$8:$C878)+1, Constants!$B$6, COUNTA($C$8:$C878)),BE379))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4"/>
      <c r="C380" s="51"/>
      <c r="D380" s="52"/>
      <c r="E380" s="118"/>
      <c r="F380" s="118"/>
      <c r="G380" s="54"/>
      <c r="H380" s="55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IF(ISBLANK($C380),"",IF(J380=Constants!$B$2, TRUE(), IF(J380=Constants!$B$3,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Constants!B383) * IF(X380, 1, Constants!B384),"")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IF($AE380=Constants!$B$7,IF(AND(T380,U380,W380),Constants!$B$9*AH380/$AH$6, 0),"")</f>
        <v/>
      </c>
      <c r="AK380" s="62" t="str">
        <f aca="false">IF(AJ380&lt;&gt;"", AJ380*AG380,"")</f>
        <v/>
      </c>
      <c r="AL380" s="62" t="str">
        <f aca="false">IF(AND($AE380=Constants!$B$7, T380, U380) ,IF($Z380="", "", 1-ABS($AA380-$Z380)/$AA380),"")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IF($AE380=Constants!$B$7,Constants!$B$8*AB380/$AP$6,"")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IF(ISBLANK(C380),"",IFERROR(_xlfn.SWITCH(BE380, Constants!$B$4, COUNTA($C$8:$C879)+2, Constants!$B$5, COUNTA($C$8:$C879)+1, Constants!$B$6, COUNTA($C$8:$C879)),BE380))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4"/>
      <c r="C381" s="51"/>
      <c r="D381" s="52"/>
      <c r="E381" s="118"/>
      <c r="F381" s="118"/>
      <c r="G381" s="54"/>
      <c r="H381" s="55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IF(ISBLANK($C381),"",IF(J381=Constants!$B$2, TRUE(), IF(J381=Constants!$B$3,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Constants!B384) * IF(X381, 1, Constants!B385),"")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IF($AE381=Constants!$B$7,IF(AND(T381,U381,W381),Constants!$B$9*AH381/$AH$6, 0),"")</f>
        <v/>
      </c>
      <c r="AK381" s="62" t="str">
        <f aca="false">IF(AJ381&lt;&gt;"", AJ381*AG381,"")</f>
        <v/>
      </c>
      <c r="AL381" s="62" t="str">
        <f aca="false">IF(AND($AE381=Constants!$B$7, T381, U381) ,IF($Z381="", "", 1-ABS($AA381-$Z381)/$AA381),"")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IF($AE381=Constants!$B$7,Constants!$B$8*AB381/$AP$6,"")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IF(ISBLANK(C381),"",IFERROR(_xlfn.SWITCH(BE381, Constants!$B$4, COUNTA($C$8:$C880)+2, Constants!$B$5, COUNTA($C$8:$C880)+1, Constants!$B$6, COUNTA($C$8:$C880)),BE381))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4"/>
      <c r="C382" s="51"/>
      <c r="D382" s="52"/>
      <c r="E382" s="118"/>
      <c r="F382" s="118"/>
      <c r="G382" s="54"/>
      <c r="H382" s="55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IF(ISBLANK($C382),"",IF(J382=Constants!$B$2, TRUE(), IF(J382=Constants!$B$3,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Constants!B385) * IF(X382, 1, Constants!B386),"")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IF($AE382=Constants!$B$7,IF(AND(T382,U382,W382),Constants!$B$9*AH382/$AH$6, 0),"")</f>
        <v/>
      </c>
      <c r="AK382" s="62" t="str">
        <f aca="false">IF(AJ382&lt;&gt;"", AJ382*AG382,"")</f>
        <v/>
      </c>
      <c r="AL382" s="62" t="str">
        <f aca="false">IF(AND($AE382=Constants!$B$7, T382, U382) ,IF($Z382="", "", 1-ABS($AA382-$Z382)/$AA382),"")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IF($AE382=Constants!$B$7,Constants!$B$8*AB382/$AP$6,"")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IF(ISBLANK(C382),"",IFERROR(_xlfn.SWITCH(BE382, Constants!$B$4, COUNTA($C$8:$C881)+2, Constants!$B$5, COUNTA($C$8:$C881)+1, Constants!$B$6, COUNTA($C$8:$C881)),BE382))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0"/>
      <c r="C383" s="121"/>
      <c r="D383" s="110"/>
      <c r="E383" s="114"/>
      <c r="F383" s="114"/>
      <c r="G383" s="86"/>
      <c r="H383" s="87"/>
      <c r="I383" s="123"/>
      <c r="J383" s="123"/>
      <c r="K383" s="123"/>
      <c r="L383" s="89"/>
      <c r="M383" s="89"/>
      <c r="N383" s="89"/>
      <c r="O383" s="90"/>
      <c r="P383" s="91"/>
      <c r="Q383" s="123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4" t="str">
        <f aca="false">IF(ISBLANK($C383),"",IF(J383=Constants!$B$2, TRUE(), IF(J383=Constants!$B$3,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Constants!B386) * IF(X383, 1, Constants!B387),"")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IF($AE383=Constants!$B$7,IF(AND(T383,U383,W383),Constants!$B$9*AH383/$AH$6, 0),"")</f>
        <v/>
      </c>
      <c r="AK383" s="94" t="str">
        <f aca="false">IF(AJ383&lt;&gt;"", AJ383*AG383,"")</f>
        <v/>
      </c>
      <c r="AL383" s="94" t="str">
        <f aca="false">IF(AND($AE383=Constants!$B$7, T383, U383) ,IF($Z383="", "", 1-ABS($AA383-$Z383)/$AA383),"")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,IF(AND(T383,U383,W383,ISNUMBER(Z383)),Constants!$B$10*AL383/$AL$6, 0),"")</f>
        <v/>
      </c>
      <c r="AO383" s="94" t="str">
        <f aca="false">IF(AN383&lt;&gt;"", AN383*AG383,"")</f>
        <v/>
      </c>
      <c r="AP383" s="94" t="str">
        <f aca="false">IF($AE383=Constants!$B$7,Constants!$B$8*AB383/$AP$6,"")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IF(ISBLANK(C383),"",IFERROR(_xlfn.SWITCH(BE383, Constants!$B$4, COUNTA($C$8:$C882)+2, Constants!$B$5, COUNTA($C$8:$C882)+1, Constants!$B$6, COUNTA($C$8:$C882)),BE383))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0"/>
      <c r="C384" s="121"/>
      <c r="D384" s="110"/>
      <c r="E384" s="114"/>
      <c r="F384" s="114"/>
      <c r="G384" s="86"/>
      <c r="H384" s="87"/>
      <c r="I384" s="123"/>
      <c r="J384" s="123"/>
      <c r="K384" s="123"/>
      <c r="L384" s="89"/>
      <c r="M384" s="89"/>
      <c r="N384" s="89"/>
      <c r="O384" s="90"/>
      <c r="P384" s="91"/>
      <c r="Q384" s="123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4" t="str">
        <f aca="false">IF(ISBLANK($C384),"",IF(J384=Constants!$B$2, TRUE(), IF(J384=Constants!$B$3,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Constants!B387) * IF(X384, 1, Constants!B388),"")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IF($AE384=Constants!$B$7,IF(AND(T384,U384,W384),Constants!$B$9*AH384/$AH$6, 0),"")</f>
        <v/>
      </c>
      <c r="AK384" s="94" t="str">
        <f aca="false">IF(AJ384&lt;&gt;"", AJ384*AG384,"")</f>
        <v/>
      </c>
      <c r="AL384" s="94" t="str">
        <f aca="false">IF(AND($AE384=Constants!$B$7, T384, U384) ,IF($Z384="", "", 1-ABS($AA384-$Z384)/$AA384),"")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,IF(AND(T384,U384,W384,ISNUMBER(Z384)),Constants!$B$10*AL384/$AL$6, 0),"")</f>
        <v/>
      </c>
      <c r="AO384" s="94" t="str">
        <f aca="false">IF(AN384&lt;&gt;"", AN384*AG384,"")</f>
        <v/>
      </c>
      <c r="AP384" s="94" t="str">
        <f aca="false">IF($AE384=Constants!$B$7,Constants!$B$8*AB384/$AP$6,"")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IF(ISBLANK(C384),"",IFERROR(_xlfn.SWITCH(BE384, Constants!$B$4, COUNTA($C$8:$C883)+2, Constants!$B$5, COUNTA($C$8:$C883)+1, Constants!$B$6, COUNTA($C$8:$C883)),BE384))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0"/>
      <c r="C385" s="121"/>
      <c r="D385" s="110"/>
      <c r="E385" s="114"/>
      <c r="F385" s="114"/>
      <c r="G385" s="86"/>
      <c r="H385" s="87"/>
      <c r="I385" s="123"/>
      <c r="J385" s="123"/>
      <c r="K385" s="123"/>
      <c r="L385" s="89"/>
      <c r="M385" s="89"/>
      <c r="N385" s="89"/>
      <c r="O385" s="90"/>
      <c r="P385" s="91"/>
      <c r="Q385" s="123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4" t="str">
        <f aca="false">IF(ISBLANK($C385),"",IF(J385=Constants!$B$2, TRUE(), IF(J385=Constants!$B$3,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Constants!B388) * IF(X385, 1, Constants!B389),"")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IF($AE385=Constants!$B$7,IF(AND(T385,U385,W385),Constants!$B$9*AH385/$AH$6, 0),"")</f>
        <v/>
      </c>
      <c r="AK385" s="94" t="str">
        <f aca="false">IF(AJ385&lt;&gt;"", AJ385*AG385,"")</f>
        <v/>
      </c>
      <c r="AL385" s="94" t="str">
        <f aca="false">IF(AND($AE385=Constants!$B$7, T385, U385) ,IF($Z385="", "", 1-ABS($AA385-$Z385)/$AA385),"")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,IF(AND(T385,U385,W385,ISNUMBER(Z385)),Constants!$B$10*AL385/$AL$6, 0),"")</f>
        <v/>
      </c>
      <c r="AO385" s="94" t="str">
        <f aca="false">IF(AN385&lt;&gt;"", AN385*AG385,"")</f>
        <v/>
      </c>
      <c r="AP385" s="94" t="str">
        <f aca="false">IF($AE385=Constants!$B$7,Constants!$B$8*AB385/$AP$6,"")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IF(ISBLANK(C385),"",IFERROR(_xlfn.SWITCH(BE385, Constants!$B$4, COUNTA($C$8:$C884)+2, Constants!$B$5, COUNTA($C$8:$C884)+1, Constants!$B$6, COUNTA($C$8:$C884)),BE385))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4"/>
      <c r="C386" s="51"/>
      <c r="D386" s="52"/>
      <c r="E386" s="118"/>
      <c r="F386" s="118"/>
      <c r="G386" s="54"/>
      <c r="H386" s="55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IF(ISBLANK($C386),"",IF(J386=Constants!$B$2, TRUE(), IF(J386=Constants!$B$3,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Constants!B389) * IF(X386, 1, Constants!B390),"")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IF($AE386=Constants!$B$7,IF(AND(T386,U386,W386),Constants!$B$9*AH386/$AH$6, 0),"")</f>
        <v/>
      </c>
      <c r="AK386" s="62" t="str">
        <f aca="false">IF(AJ386&lt;&gt;"", AJ386*AG386,"")</f>
        <v/>
      </c>
      <c r="AL386" s="62" t="str">
        <f aca="false">IF(AND($AE386=Constants!$B$7, T386, U386) ,IF($Z386="", "", 1-ABS($AA386-$Z386)/$AA386),"")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IF($AE386=Constants!$B$7,Constants!$B$8*AB386/$AP$6,"")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IF(ISBLANK(C386),"",IFERROR(_xlfn.SWITCH(BE386, Constants!$B$4, COUNTA($C$8:$C885)+2, Constants!$B$5, COUNTA($C$8:$C885)+1, Constants!$B$6, COUNTA($C$8:$C885)),BE386))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4"/>
      <c r="C387" s="51"/>
      <c r="D387" s="52"/>
      <c r="E387" s="118"/>
      <c r="F387" s="118"/>
      <c r="G387" s="54"/>
      <c r="H387" s="55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IF(ISBLANK($C387),"",IF(J387=Constants!$B$2, TRUE(), IF(J387=Constants!$B$3,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Constants!B390) * IF(X387, 1, Constants!B391),"")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IF($AE387=Constants!$B$7,IF(AND(T387,U387,W387),Constants!$B$9*AH387/$AH$6, 0),"")</f>
        <v/>
      </c>
      <c r="AK387" s="62" t="str">
        <f aca="false">IF(AJ387&lt;&gt;"", AJ387*AG387,"")</f>
        <v/>
      </c>
      <c r="AL387" s="62" t="str">
        <f aca="false">IF(AND($AE387=Constants!$B$7, T387, U387) ,IF($Z387="", "", 1-ABS($AA387-$Z387)/$AA387),"")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IF($AE387=Constants!$B$7,Constants!$B$8*AB387/$AP$6,"")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IF(ISBLANK(C387),"",IFERROR(_xlfn.SWITCH(BE387, Constants!$B$4, COUNTA($C$8:$C886)+2, Constants!$B$5, COUNTA($C$8:$C886)+1, Constants!$B$6, COUNTA($C$8:$C886)),BE387))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4"/>
      <c r="C388" s="51"/>
      <c r="D388" s="52"/>
      <c r="E388" s="118"/>
      <c r="F388" s="118"/>
      <c r="G388" s="54"/>
      <c r="H388" s="55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IF(ISBLANK($C388),"",IF(J388=Constants!$B$2, TRUE(), IF(J388=Constants!$B$3,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Constants!B391) * IF(X388, 1, Constants!B392),"")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IF($AE388=Constants!$B$7,IF(AND(T388,U388,W388),Constants!$B$9*AH388/$AH$6, 0),"")</f>
        <v/>
      </c>
      <c r="AK388" s="62" t="str">
        <f aca="false">IF(AJ388&lt;&gt;"", AJ388*AG388,"")</f>
        <v/>
      </c>
      <c r="AL388" s="62" t="str">
        <f aca="false">IF(AND($AE388=Constants!$B$7, T388, U388) ,IF($Z388="", "", 1-ABS($AA388-$Z388)/$AA388),"")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IF($AE388=Constants!$B$7,Constants!$B$8*AB388/$AP$6,"")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IF(ISBLANK(C388),"",IFERROR(_xlfn.SWITCH(BE388, Constants!$B$4, COUNTA($C$8:$C887)+2, Constants!$B$5, COUNTA($C$8:$C887)+1, Constants!$B$6, COUNTA($C$8:$C887)),BE388))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0"/>
      <c r="C389" s="121"/>
      <c r="D389" s="110"/>
      <c r="E389" s="114"/>
      <c r="F389" s="114"/>
      <c r="G389" s="86"/>
      <c r="H389" s="87"/>
      <c r="I389" s="123"/>
      <c r="J389" s="123"/>
      <c r="K389" s="123"/>
      <c r="L389" s="89"/>
      <c r="M389" s="89"/>
      <c r="N389" s="89"/>
      <c r="O389" s="90"/>
      <c r="P389" s="91"/>
      <c r="Q389" s="123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4" t="str">
        <f aca="false">IF(ISBLANK($C389),"",IF(J389=Constants!$B$2, TRUE(), IF(J389=Constants!$B$3,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Constants!B392) * IF(X389, 1, Constants!B393),"")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IF($AE389=Constants!$B$7,IF(AND(T389,U389,W389),Constants!$B$9*AH389/$AH$6, 0),"")</f>
        <v/>
      </c>
      <c r="AK389" s="94" t="str">
        <f aca="false">IF(AJ389&lt;&gt;"", AJ389*AG389,"")</f>
        <v/>
      </c>
      <c r="AL389" s="94" t="str">
        <f aca="false">IF(AND($AE389=Constants!$B$7, T389, U389) ,IF($Z389="", "", 1-ABS($AA389-$Z389)/$AA389),"")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,IF(AND(T389,U389,W389,ISNUMBER(Z389)),Constants!$B$10*AL389/$AL$6, 0),"")</f>
        <v/>
      </c>
      <c r="AO389" s="94" t="str">
        <f aca="false">IF(AN389&lt;&gt;"", AN389*AG389,"")</f>
        <v/>
      </c>
      <c r="AP389" s="94" t="str">
        <f aca="false">IF($AE389=Constants!$B$7,Constants!$B$8*AB389/$AP$6,"")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IF(ISBLANK(C389),"",IFERROR(_xlfn.SWITCH(BE389, Constants!$B$4, COUNTA($C$8:$C888)+2, Constants!$B$5, COUNTA($C$8:$C888)+1, Constants!$B$6, COUNTA($C$8:$C888)),BE389))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0"/>
      <c r="C390" s="121"/>
      <c r="D390" s="110"/>
      <c r="E390" s="114"/>
      <c r="F390" s="114"/>
      <c r="G390" s="86"/>
      <c r="H390" s="87"/>
      <c r="I390" s="123"/>
      <c r="J390" s="123"/>
      <c r="K390" s="123"/>
      <c r="L390" s="89"/>
      <c r="M390" s="89"/>
      <c r="N390" s="89"/>
      <c r="O390" s="90"/>
      <c r="P390" s="91"/>
      <c r="Q390" s="123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4" t="str">
        <f aca="false">IF(ISBLANK($C390),"",IF(J390=Constants!$B$2, TRUE(), IF(J390=Constants!$B$3,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Constants!B393) * IF(X390, 1, Constants!B394),"")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IF($AE390=Constants!$B$7,IF(AND(T390,U390,W390),Constants!$B$9*AH390/$AH$6, 0),"")</f>
        <v/>
      </c>
      <c r="AK390" s="94" t="str">
        <f aca="false">IF(AJ390&lt;&gt;"", AJ390*AG390,"")</f>
        <v/>
      </c>
      <c r="AL390" s="94" t="str">
        <f aca="false">IF(AND($AE390=Constants!$B$7, T390, U390) ,IF($Z390="", "", 1-ABS($AA390-$Z390)/$AA390),"")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,IF(AND(T390,U390,W390,ISNUMBER(Z390)),Constants!$B$10*AL390/$AL$6, 0),"")</f>
        <v/>
      </c>
      <c r="AO390" s="94" t="str">
        <f aca="false">IF(AN390&lt;&gt;"", AN390*AG390,"")</f>
        <v/>
      </c>
      <c r="AP390" s="94" t="str">
        <f aca="false">IF($AE390=Constants!$B$7,Constants!$B$8*AB390/$AP$6,"")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IF(ISBLANK(C390),"",IFERROR(_xlfn.SWITCH(BE390, Constants!$B$4, COUNTA($C$8:$C889)+2, Constants!$B$5, COUNTA($C$8:$C889)+1, Constants!$B$6, COUNTA($C$8:$C889)),BE390))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0"/>
      <c r="C391" s="121"/>
      <c r="D391" s="110"/>
      <c r="E391" s="114"/>
      <c r="F391" s="114"/>
      <c r="G391" s="86"/>
      <c r="H391" s="87"/>
      <c r="I391" s="123"/>
      <c r="J391" s="123"/>
      <c r="K391" s="123"/>
      <c r="L391" s="89"/>
      <c r="M391" s="89"/>
      <c r="N391" s="89"/>
      <c r="O391" s="90"/>
      <c r="P391" s="91"/>
      <c r="Q391" s="123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4" t="str">
        <f aca="false">IF(ISBLANK($C391),"",IF(J391=Constants!$B$2, TRUE(), IF(J391=Constants!$B$3,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Constants!B394) * IF(X391, 1, Constants!B395),"")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IF($AE391=Constants!$B$7,IF(AND(T391,U391,W391),Constants!$B$9*AH391/$AH$6, 0),"")</f>
        <v/>
      </c>
      <c r="AK391" s="94" t="str">
        <f aca="false">IF(AJ391&lt;&gt;"", AJ391*AG391,"")</f>
        <v/>
      </c>
      <c r="AL391" s="94" t="str">
        <f aca="false">IF(AND($AE391=Constants!$B$7, T391, U391) ,IF($Z391="", "", 1-ABS($AA391-$Z391)/$AA391),"")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,IF(AND(T391,U391,W391,ISNUMBER(Z391)),Constants!$B$10*AL391/$AL$6, 0),"")</f>
        <v/>
      </c>
      <c r="AO391" s="94" t="str">
        <f aca="false">IF(AN391&lt;&gt;"", AN391*AG391,"")</f>
        <v/>
      </c>
      <c r="AP391" s="94" t="str">
        <f aca="false">IF($AE391=Constants!$B$7,Constants!$B$8*AB391/$AP$6,"")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IF(ISBLANK(C391),"",IFERROR(_xlfn.SWITCH(BE391, Constants!$B$4, COUNTA($C$8:$C890)+2, Constants!$B$5, COUNTA($C$8:$C890)+1, Constants!$B$6, COUNTA($C$8:$C890)),BE391))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4"/>
      <c r="C392" s="51"/>
      <c r="D392" s="52"/>
      <c r="E392" s="118"/>
      <c r="F392" s="118"/>
      <c r="G392" s="54"/>
      <c r="H392" s="55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IF(ISBLANK($C392),"",IF(J392=Constants!$B$2, TRUE(), IF(J392=Constants!$B$3,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Constants!B395) * IF(X392, 1, Constants!B396),"")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IF($AE392=Constants!$B$7,IF(AND(T392,U392,W392),Constants!$B$9*AH392/$AH$6, 0),"")</f>
        <v/>
      </c>
      <c r="AK392" s="62" t="str">
        <f aca="false">IF(AJ392&lt;&gt;"", AJ392*AG392,"")</f>
        <v/>
      </c>
      <c r="AL392" s="62" t="str">
        <f aca="false">IF(AND($AE392=Constants!$B$7, T392, U392) ,IF($Z392="", "", 1-ABS($AA392-$Z392)/$AA392),"")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IF($AE392=Constants!$B$7,Constants!$B$8*AB392/$AP$6,"")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IF(ISBLANK(C392),"",IFERROR(_xlfn.SWITCH(BE392, Constants!$B$4, COUNTA($C$8:$C891)+2, Constants!$B$5, COUNTA($C$8:$C891)+1, Constants!$B$6, COUNTA($C$8:$C891)),BE392))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4"/>
      <c r="C393" s="51"/>
      <c r="D393" s="52"/>
      <c r="E393" s="118"/>
      <c r="F393" s="118"/>
      <c r="G393" s="54"/>
      <c r="H393" s="55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IF(ISBLANK($C393),"",IF(J393=Constants!$B$2, TRUE(), IF(J393=Constants!$B$3,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Constants!B396) * IF(X393, 1, Constants!B397),"")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IF($AE393=Constants!$B$7,IF(AND(T393,U393,W393),Constants!$B$9*AH393/$AH$6, 0),"")</f>
        <v/>
      </c>
      <c r="AK393" s="62" t="str">
        <f aca="false">IF(AJ393&lt;&gt;"", AJ393*AG393,"")</f>
        <v/>
      </c>
      <c r="AL393" s="62" t="str">
        <f aca="false">IF(AND($AE393=Constants!$B$7, T393, U393) ,IF($Z393="", "", 1-ABS($AA393-$Z393)/$AA393),"")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IF($AE393=Constants!$B$7,Constants!$B$8*AB393/$AP$6,"")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IF(ISBLANK(C393),"",IFERROR(_xlfn.SWITCH(BE393, Constants!$B$4, COUNTA($C$8:$C892)+2, Constants!$B$5, COUNTA($C$8:$C892)+1, Constants!$B$6, COUNTA($C$8:$C892)),BE393))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4"/>
      <c r="C394" s="51"/>
      <c r="D394" s="52"/>
      <c r="E394" s="118"/>
      <c r="F394" s="118"/>
      <c r="G394" s="54"/>
      <c r="H394" s="55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IF(ISBLANK($C394),"",IF(J394=Constants!$B$2, TRUE(), IF(J394=Constants!$B$3,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Constants!B397) * IF(X394, 1, Constants!B398),"")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IF($AE394=Constants!$B$7,IF(AND(T394,U394,W394),Constants!$B$9*AH394/$AH$6, 0),"")</f>
        <v/>
      </c>
      <c r="AK394" s="62" t="str">
        <f aca="false">IF(AJ394&lt;&gt;"", AJ394*AG394,"")</f>
        <v/>
      </c>
      <c r="AL394" s="62" t="str">
        <f aca="false">IF(AND($AE394=Constants!$B$7, T394, U394) ,IF($Z394="", "", 1-ABS($AA394-$Z394)/$AA394),"")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IF($AE394=Constants!$B$7,Constants!$B$8*AB394/$AP$6,"")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IF(ISBLANK(C394),"",IFERROR(_xlfn.SWITCH(BE394, Constants!$B$4, COUNTA($C$8:$C893)+2, Constants!$B$5, COUNTA($C$8:$C893)+1, Constants!$B$6, COUNTA($C$8:$C893)),BE394))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0"/>
      <c r="C395" s="121"/>
      <c r="D395" s="110"/>
      <c r="E395" s="114"/>
      <c r="F395" s="114"/>
      <c r="G395" s="86"/>
      <c r="H395" s="87"/>
      <c r="I395" s="123"/>
      <c r="J395" s="123"/>
      <c r="K395" s="123"/>
      <c r="L395" s="89"/>
      <c r="M395" s="89"/>
      <c r="N395" s="89"/>
      <c r="O395" s="90"/>
      <c r="P395" s="91"/>
      <c r="Q395" s="123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4" t="str">
        <f aca="false">IF(ISBLANK($C395),"",IF(J395=Constants!$B$2, TRUE(), IF(J395=Constants!$B$3,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Constants!B398) * IF(X395, 1, Constants!B399),"")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IF($AE395=Constants!$B$7,IF(AND(T395,U395,W395),Constants!$B$9*AH395/$AH$6, 0),"")</f>
        <v/>
      </c>
      <c r="AK395" s="94" t="str">
        <f aca="false">IF(AJ395&lt;&gt;"", AJ395*AG395,"")</f>
        <v/>
      </c>
      <c r="AL395" s="94" t="str">
        <f aca="false">IF(AND($AE395=Constants!$B$7, T395, U395) ,IF($Z395="", "", 1-ABS($AA395-$Z395)/$AA395),"")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,IF(AND(T395,U395,W395,ISNUMBER(Z395)),Constants!$B$10*AL395/$AL$6, 0),"")</f>
        <v/>
      </c>
      <c r="AO395" s="94" t="str">
        <f aca="false">IF(AN395&lt;&gt;"", AN395*AG395,"")</f>
        <v/>
      </c>
      <c r="AP395" s="94" t="str">
        <f aca="false">IF($AE395=Constants!$B$7,Constants!$B$8*AB395/$AP$6,"")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IF(ISBLANK(C395),"",IFERROR(_xlfn.SWITCH(BE395, Constants!$B$4, COUNTA($C$8:$C894)+2, Constants!$B$5, COUNTA($C$8:$C894)+1, Constants!$B$6, COUNTA($C$8:$C894)),BE395))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0"/>
      <c r="C396" s="121"/>
      <c r="D396" s="110"/>
      <c r="E396" s="114"/>
      <c r="F396" s="114"/>
      <c r="G396" s="86"/>
      <c r="H396" s="87"/>
      <c r="I396" s="123"/>
      <c r="J396" s="123"/>
      <c r="K396" s="123"/>
      <c r="L396" s="89"/>
      <c r="M396" s="89"/>
      <c r="N396" s="89"/>
      <c r="O396" s="90"/>
      <c r="P396" s="91"/>
      <c r="Q396" s="123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4" t="str">
        <f aca="false">IF(ISBLANK($C396),"",IF(J396=Constants!$B$2, TRUE(), IF(J396=Constants!$B$3,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Constants!B399) * IF(X396, 1, Constants!B400),"")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IF($AE396=Constants!$B$7,IF(AND(T396,U396,W396),Constants!$B$9*AH396/$AH$6, 0),"")</f>
        <v/>
      </c>
      <c r="AK396" s="94" t="str">
        <f aca="false">IF(AJ396&lt;&gt;"", AJ396*AG396,"")</f>
        <v/>
      </c>
      <c r="AL396" s="94" t="str">
        <f aca="false">IF(AND($AE396=Constants!$B$7, T396, U396) ,IF($Z396="", "", 1-ABS($AA396-$Z396)/$AA396),"")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,IF(AND(T396,U396,W396,ISNUMBER(Z396)),Constants!$B$10*AL396/$AL$6, 0),"")</f>
        <v/>
      </c>
      <c r="AO396" s="94" t="str">
        <f aca="false">IF(AN396&lt;&gt;"", AN396*AG396,"")</f>
        <v/>
      </c>
      <c r="AP396" s="94" t="str">
        <f aca="false">IF($AE396=Constants!$B$7,Constants!$B$8*AB396/$AP$6,"")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IF(ISBLANK(C396),"",IFERROR(_xlfn.SWITCH(BE396, Constants!$B$4, COUNTA($C$8:$C895)+2, Constants!$B$5, COUNTA($C$8:$C895)+1, Constants!$B$6, COUNTA($C$8:$C895)),BE396))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0"/>
      <c r="C397" s="121"/>
      <c r="D397" s="110"/>
      <c r="E397" s="114"/>
      <c r="F397" s="114"/>
      <c r="G397" s="86"/>
      <c r="H397" s="87"/>
      <c r="I397" s="123"/>
      <c r="J397" s="123"/>
      <c r="K397" s="123"/>
      <c r="L397" s="89"/>
      <c r="M397" s="89"/>
      <c r="N397" s="89"/>
      <c r="O397" s="90"/>
      <c r="P397" s="91"/>
      <c r="Q397" s="123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4" t="str">
        <f aca="false">IF(ISBLANK($C397),"",IF(J397=Constants!$B$2, TRUE(), IF(J397=Constants!$B$3,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Constants!B400) * IF(X397, 1, Constants!B401),"")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IF($AE397=Constants!$B$7,IF(AND(T397,U397,W397),Constants!$B$9*AH397/$AH$6, 0),"")</f>
        <v/>
      </c>
      <c r="AK397" s="94" t="str">
        <f aca="false">IF(AJ397&lt;&gt;"", AJ397*AG397,"")</f>
        <v/>
      </c>
      <c r="AL397" s="94" t="str">
        <f aca="false">IF(AND($AE397=Constants!$B$7, T397, U397) ,IF($Z397="", "", 1-ABS($AA397-$Z397)/$AA397),"")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,IF(AND(T397,U397,W397,ISNUMBER(Z397)),Constants!$B$10*AL397/$AL$6, 0),"")</f>
        <v/>
      </c>
      <c r="AO397" s="94" t="str">
        <f aca="false">IF(AN397&lt;&gt;"", AN397*AG397,"")</f>
        <v/>
      </c>
      <c r="AP397" s="94" t="str">
        <f aca="false">IF($AE397=Constants!$B$7,Constants!$B$8*AB397/$AP$6,"")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IF(ISBLANK(C397),"",IFERROR(_xlfn.SWITCH(BE397, Constants!$B$4, COUNTA($C$8:$C896)+2, Constants!$B$5, COUNTA($C$8:$C896)+1, Constants!$B$6, COUNTA($C$8:$C896)),BE397))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4"/>
      <c r="C398" s="51"/>
      <c r="D398" s="52"/>
      <c r="E398" s="118"/>
      <c r="F398" s="118"/>
      <c r="G398" s="54"/>
      <c r="H398" s="55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IF(ISBLANK($C398),"",IF(J398=Constants!$B$2, TRUE(), IF(J398=Constants!$B$3,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Constants!B401) * IF(X398, 1, Constants!B402),"")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IF($AE398=Constants!$B$7,IF(AND(T398,U398,W398),Constants!$B$9*AH398/$AH$6, 0),"")</f>
        <v/>
      </c>
      <c r="AK398" s="62" t="str">
        <f aca="false">IF(AJ398&lt;&gt;"", AJ398*AG398,"")</f>
        <v/>
      </c>
      <c r="AL398" s="62" t="str">
        <f aca="false">IF(AND($AE398=Constants!$B$7, T398, U398) ,IF($Z398="", "", 1-ABS($AA398-$Z398)/$AA398),"")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IF($AE398=Constants!$B$7,Constants!$B$8*AB398/$AP$6,"")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IF(ISBLANK(C398),"",IFERROR(_xlfn.SWITCH(BE398, Constants!$B$4, COUNTA($C$8:$C897)+2, Constants!$B$5, COUNTA($C$8:$C897)+1, Constants!$B$6, COUNTA($C$8:$C897)),BE398))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4"/>
      <c r="C399" s="51"/>
      <c r="D399" s="52"/>
      <c r="E399" s="118"/>
      <c r="F399" s="118"/>
      <c r="G399" s="54"/>
      <c r="H399" s="55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IF(ISBLANK($C399),"",IF(J399=Constants!$B$2, TRUE(), IF(J399=Constants!$B$3,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Constants!B402) * IF(X399, 1, Constants!B403),"")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IF($AE399=Constants!$B$7,IF(AND(T399,U399,W399),Constants!$B$9*AH399/$AH$6, 0),"")</f>
        <v/>
      </c>
      <c r="AK399" s="62" t="str">
        <f aca="false">IF(AJ399&lt;&gt;"", AJ399*AG399,"")</f>
        <v/>
      </c>
      <c r="AL399" s="62" t="str">
        <f aca="false">IF(AND($AE399=Constants!$B$7, T399, U399) ,IF($Z399="", "", 1-ABS($AA399-$Z399)/$AA399),"")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IF($AE399=Constants!$B$7,Constants!$B$8*AB399/$AP$6,"")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IF(ISBLANK(C399),"",IFERROR(_xlfn.SWITCH(BE399, Constants!$B$4, COUNTA($C$8:$C898)+2, Constants!$B$5, COUNTA($C$8:$C898)+1, Constants!$B$6, COUNTA($C$8:$C898)),BE399))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4"/>
      <c r="C400" s="51"/>
      <c r="D400" s="52"/>
      <c r="E400" s="118"/>
      <c r="F400" s="118"/>
      <c r="G400" s="54"/>
      <c r="H400" s="55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IF(ISBLANK($C400),"",IF(J400=Constants!$B$2, TRUE(), IF(J400=Constants!$B$3,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Constants!B403) * IF(X400, 1, Constants!B404),"")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IF($AE400=Constants!$B$7,IF(AND(T400,U400,W400),Constants!$B$9*AH400/$AH$6, 0),"")</f>
        <v/>
      </c>
      <c r="AK400" s="62" t="str">
        <f aca="false">IF(AJ400&lt;&gt;"", AJ400*AG400,"")</f>
        <v/>
      </c>
      <c r="AL400" s="62" t="str">
        <f aca="false">IF(AND($AE400=Constants!$B$7, T400, U400) ,IF($Z400="", "", 1-ABS($AA400-$Z400)/$AA400),"")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IF($AE400=Constants!$B$7,Constants!$B$8*AB400/$AP$6,"")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IF(ISBLANK(C400),"",IFERROR(_xlfn.SWITCH(BE400, Constants!$B$4, COUNTA($C$8:$C899)+2, Constants!$B$5, COUNTA($C$8:$C899)+1, Constants!$B$6, COUNTA($C$8:$C899)),BE400))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0"/>
      <c r="C401" s="121"/>
      <c r="D401" s="110"/>
      <c r="E401" s="114"/>
      <c r="F401" s="114"/>
      <c r="G401" s="86"/>
      <c r="H401" s="87"/>
      <c r="I401" s="123"/>
      <c r="J401" s="123"/>
      <c r="K401" s="123"/>
      <c r="L401" s="89"/>
      <c r="M401" s="89"/>
      <c r="N401" s="89"/>
      <c r="O401" s="90"/>
      <c r="P401" s="91"/>
      <c r="Q401" s="123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4" t="str">
        <f aca="false">IF(ISBLANK($C401),"",IF(J401=Constants!$B$2, TRUE(), IF(J401=Constants!$B$3,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Constants!B404) * IF(X401, 1, Constants!B405),"")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IF($AE401=Constants!$B$7,IF(AND(T401,U401,W401),Constants!$B$9*AH401/$AH$6, 0),"")</f>
        <v/>
      </c>
      <c r="AK401" s="94" t="str">
        <f aca="false">IF(AJ401&lt;&gt;"", AJ401*AG401,"")</f>
        <v/>
      </c>
      <c r="AL401" s="94" t="str">
        <f aca="false">IF(AND($AE401=Constants!$B$7, T401, U401) ,IF($Z401="", "", 1-ABS($AA401-$Z401)/$AA401),"")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,IF(AND(T401,U401,W401,ISNUMBER(Z401)),Constants!$B$10*AL401/$AL$6, 0),"")</f>
        <v/>
      </c>
      <c r="AO401" s="94" t="str">
        <f aca="false">IF(AN401&lt;&gt;"", AN401*AG401,"")</f>
        <v/>
      </c>
      <c r="AP401" s="94" t="str">
        <f aca="false">IF($AE401=Constants!$B$7,Constants!$B$8*AB401/$AP$6,"")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IF(ISBLANK(C401),"",IFERROR(_xlfn.SWITCH(BE401, Constants!$B$4, COUNTA($C$8:$C900)+2, Constants!$B$5, COUNTA($C$8:$C900)+1, Constants!$B$6, COUNTA($C$8:$C900)),BE401))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0"/>
      <c r="C402" s="121"/>
      <c r="D402" s="110"/>
      <c r="E402" s="114"/>
      <c r="F402" s="114"/>
      <c r="G402" s="86"/>
      <c r="H402" s="87"/>
      <c r="I402" s="123"/>
      <c r="J402" s="123"/>
      <c r="K402" s="123"/>
      <c r="L402" s="89"/>
      <c r="M402" s="89"/>
      <c r="N402" s="89"/>
      <c r="O402" s="90"/>
      <c r="P402" s="91"/>
      <c r="Q402" s="123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4" t="str">
        <f aca="false">IF(ISBLANK($C402),"",IF(J402=Constants!$B$2, TRUE(), IF(J402=Constants!$B$3,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Constants!B405) * IF(X402, 1, Constants!B406),"")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IF($AE402=Constants!$B$7,IF(AND(T402,U402,W402),Constants!$B$9*AH402/$AH$6, 0),"")</f>
        <v/>
      </c>
      <c r="AK402" s="94" t="str">
        <f aca="false">IF(AJ402&lt;&gt;"", AJ402*AG402,"")</f>
        <v/>
      </c>
      <c r="AL402" s="94" t="str">
        <f aca="false">IF(AND($AE402=Constants!$B$7, T402, U402) ,IF($Z402="", "", 1-ABS($AA402-$Z402)/$AA402),"")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,IF(AND(T402,U402,W402,ISNUMBER(Z402)),Constants!$B$10*AL402/$AL$6, 0),"")</f>
        <v/>
      </c>
      <c r="AO402" s="94" t="str">
        <f aca="false">IF(AN402&lt;&gt;"", AN402*AG402,"")</f>
        <v/>
      </c>
      <c r="AP402" s="94" t="str">
        <f aca="false">IF($AE402=Constants!$B$7,Constants!$B$8*AB402/$AP$6,"")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IF(ISBLANK(C402),"",IFERROR(_xlfn.SWITCH(BE402, Constants!$B$4, COUNTA($C$8:$C901)+2, Constants!$B$5, COUNTA($C$8:$C901)+1, Constants!$B$6, COUNTA($C$8:$C901)),BE402))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0"/>
      <c r="C403" s="121"/>
      <c r="D403" s="110"/>
      <c r="E403" s="114"/>
      <c r="F403" s="114"/>
      <c r="G403" s="86"/>
      <c r="H403" s="87"/>
      <c r="I403" s="123"/>
      <c r="J403" s="123"/>
      <c r="K403" s="123"/>
      <c r="L403" s="89"/>
      <c r="M403" s="89"/>
      <c r="N403" s="89"/>
      <c r="O403" s="90"/>
      <c r="P403" s="91"/>
      <c r="Q403" s="123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4" t="str">
        <f aca="false">IF(ISBLANK($C403),"",IF(J403=Constants!$B$2, TRUE(), IF(J403=Constants!$B$3,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Constants!B406) * IF(X403, 1, Constants!B407),"")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IF($AE403=Constants!$B$7,IF(AND(T403,U403,W403),Constants!$B$9*AH403/$AH$6, 0),"")</f>
        <v/>
      </c>
      <c r="AK403" s="94" t="str">
        <f aca="false">IF(AJ403&lt;&gt;"", AJ403*AG403,"")</f>
        <v/>
      </c>
      <c r="AL403" s="94" t="str">
        <f aca="false">IF(AND($AE403=Constants!$B$7, T403, U403) ,IF($Z403="", "", 1-ABS($AA403-$Z403)/$AA403),"")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,IF(AND(T403,U403,W403,ISNUMBER(Z403)),Constants!$B$10*AL403/$AL$6, 0),"")</f>
        <v/>
      </c>
      <c r="AO403" s="94" t="str">
        <f aca="false">IF(AN403&lt;&gt;"", AN403*AG403,"")</f>
        <v/>
      </c>
      <c r="AP403" s="94" t="str">
        <f aca="false">IF($AE403=Constants!$B$7,Constants!$B$8*AB403/$AP$6,"")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IF(ISBLANK(C403),"",IFERROR(_xlfn.SWITCH(BE403, Constants!$B$4, COUNTA($C$8:$C902)+2, Constants!$B$5, COUNTA($C$8:$C902)+1, Constants!$B$6, COUNTA($C$8:$C902)),BE403))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4"/>
      <c r="C404" s="51"/>
      <c r="D404" s="52"/>
      <c r="E404" s="118"/>
      <c r="F404" s="118"/>
      <c r="G404" s="54"/>
      <c r="H404" s="55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IF(ISBLANK($C404),"",IF(J404=Constants!$B$2, TRUE(), IF(J404=Constants!$B$3,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Constants!B407) * IF(X404, 1, Constants!B408),"")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IF($AE404=Constants!$B$7,IF(AND(T404,U404,W404),Constants!$B$9*AH404/$AH$6, 0),"")</f>
        <v/>
      </c>
      <c r="AK404" s="62" t="str">
        <f aca="false">IF(AJ404&lt;&gt;"", AJ404*AG404,"")</f>
        <v/>
      </c>
      <c r="AL404" s="62" t="str">
        <f aca="false">IF(AND($AE404=Constants!$B$7, T404, U404) ,IF($Z404="", "", 1-ABS($AA404-$Z404)/$AA404),"")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IF($AE404=Constants!$B$7,Constants!$B$8*AB404/$AP$6,"")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IF(ISBLANK(C404),"",IFERROR(_xlfn.SWITCH(BE404, Constants!$B$4, COUNTA($C$8:$C903)+2, Constants!$B$5, COUNTA($C$8:$C903)+1, Constants!$B$6, COUNTA($C$8:$C903)),BE404))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4"/>
      <c r="C405" s="51"/>
      <c r="D405" s="52"/>
      <c r="E405" s="118"/>
      <c r="F405" s="118"/>
      <c r="G405" s="54"/>
      <c r="H405" s="55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IF(ISBLANK($C405),"",IF(J405=Constants!$B$2, TRUE(), IF(J405=Constants!$B$3,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Constants!B408) * IF(X405, 1, Constants!B409),"")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IF($AE405=Constants!$B$7,IF(AND(T405,U405,W405),Constants!$B$9*AH405/$AH$6, 0),"")</f>
        <v/>
      </c>
      <c r="AK405" s="62" t="str">
        <f aca="false">IF(AJ405&lt;&gt;"", AJ405*AG405,"")</f>
        <v/>
      </c>
      <c r="AL405" s="62" t="str">
        <f aca="false">IF(AND($AE405=Constants!$B$7, T405, U405) ,IF($Z405="", "", 1-ABS($AA405-$Z405)/$AA405),"")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IF($AE405=Constants!$B$7,Constants!$B$8*AB405/$AP$6,"")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IF(ISBLANK(C405),"",IFERROR(_xlfn.SWITCH(BE405, Constants!$B$4, COUNTA($C$8:$C904)+2, Constants!$B$5, COUNTA($C$8:$C904)+1, Constants!$B$6, COUNTA($C$8:$C904)),BE405))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4"/>
      <c r="C406" s="51"/>
      <c r="D406" s="52"/>
      <c r="E406" s="118"/>
      <c r="F406" s="118"/>
      <c r="G406" s="54"/>
      <c r="H406" s="55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IF(ISBLANK($C406),"",IF(J406=Constants!$B$2, TRUE(), IF(J406=Constants!$B$3,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Constants!B409) * IF(X406, 1, Constants!B410),"")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IF($AE406=Constants!$B$7,IF(AND(T406,U406,W406),Constants!$B$9*AH406/$AH$6, 0),"")</f>
        <v/>
      </c>
      <c r="AK406" s="62" t="str">
        <f aca="false">IF(AJ406&lt;&gt;"", AJ406*AG406,"")</f>
        <v/>
      </c>
      <c r="AL406" s="62" t="str">
        <f aca="false">IF(AND($AE406=Constants!$B$7, T406, U406) ,IF($Z406="", "", 1-ABS($AA406-$Z406)/$AA406),"")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IF($AE406=Constants!$B$7,Constants!$B$8*AB406/$AP$6,"")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IF(ISBLANK(C406),"",IFERROR(_xlfn.SWITCH(BE406, Constants!$B$4, COUNTA($C$8:$C905)+2, Constants!$B$5, COUNTA($C$8:$C905)+1, Constants!$B$6, COUNTA($C$8:$C905)),BE406))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0"/>
      <c r="C407" s="121"/>
      <c r="D407" s="110"/>
      <c r="E407" s="114"/>
      <c r="F407" s="114"/>
      <c r="G407" s="86"/>
      <c r="H407" s="87"/>
      <c r="I407" s="123"/>
      <c r="J407" s="123"/>
      <c r="K407" s="123"/>
      <c r="L407" s="89"/>
      <c r="M407" s="89"/>
      <c r="N407" s="89"/>
      <c r="O407" s="90"/>
      <c r="P407" s="91"/>
      <c r="Q407" s="123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4" t="str">
        <f aca="false">IF(ISBLANK($C407),"",IF(J407=Constants!$B$2, TRUE(), IF(J407=Constants!$B$3,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Constants!B410) * IF(X407, 1, Constants!B411),"")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IF($AE407=Constants!$B$7,IF(AND(T407,U407,W407),Constants!$B$9*AH407/$AH$6, 0),"")</f>
        <v/>
      </c>
      <c r="AK407" s="94" t="str">
        <f aca="false">IF(AJ407&lt;&gt;"", AJ407*AG407,"")</f>
        <v/>
      </c>
      <c r="AL407" s="94" t="str">
        <f aca="false">IF(AND($AE407=Constants!$B$7, T407, U407) ,IF($Z407="", "", 1-ABS($AA407-$Z407)/$AA407),"")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,IF(AND(T407,U407,W407,ISNUMBER(Z407)),Constants!$B$10*AL407/$AL$6, 0),"")</f>
        <v/>
      </c>
      <c r="AO407" s="94" t="str">
        <f aca="false">IF(AN407&lt;&gt;"", AN407*AG407,"")</f>
        <v/>
      </c>
      <c r="AP407" s="94" t="str">
        <f aca="false">IF($AE407=Constants!$B$7,Constants!$B$8*AB407/$AP$6,"")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IF(ISBLANK(C407),"",IFERROR(_xlfn.SWITCH(BE407, Constants!$B$4, COUNTA($C$8:$C906)+2, Constants!$B$5, COUNTA($C$8:$C906)+1, Constants!$B$6, COUNTA($C$8:$C906)),BE407))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0"/>
      <c r="C408" s="121"/>
      <c r="D408" s="110"/>
      <c r="E408" s="114"/>
      <c r="F408" s="114"/>
      <c r="G408" s="86"/>
      <c r="H408" s="87"/>
      <c r="I408" s="123"/>
      <c r="J408" s="123"/>
      <c r="K408" s="123"/>
      <c r="L408" s="89"/>
      <c r="M408" s="89"/>
      <c r="N408" s="89"/>
      <c r="O408" s="90"/>
      <c r="P408" s="91"/>
      <c r="Q408" s="123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4" t="str">
        <f aca="false">IF(ISBLANK($C408),"",IF(J408=Constants!$B$2, TRUE(), IF(J408=Constants!$B$3,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Constants!B411) * IF(X408, 1, Constants!B412),"")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IF($AE408=Constants!$B$7,IF(AND(T408,U408,W408),Constants!$B$9*AH408/$AH$6, 0),"")</f>
        <v/>
      </c>
      <c r="AK408" s="94" t="str">
        <f aca="false">IF(AJ408&lt;&gt;"", AJ408*AG408,"")</f>
        <v/>
      </c>
      <c r="AL408" s="94" t="str">
        <f aca="false">IF(AND($AE408=Constants!$B$7, T408, U408) ,IF($Z408="", "", 1-ABS($AA408-$Z408)/$AA408),"")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,IF(AND(T408,U408,W408,ISNUMBER(Z408)),Constants!$B$10*AL408/$AL$6, 0),"")</f>
        <v/>
      </c>
      <c r="AO408" s="94" t="str">
        <f aca="false">IF(AN408&lt;&gt;"", AN408*AG408,"")</f>
        <v/>
      </c>
      <c r="AP408" s="94" t="str">
        <f aca="false">IF($AE408=Constants!$B$7,Constants!$B$8*AB408/$AP$6,"")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IF(ISBLANK(C408),"",IFERROR(_xlfn.SWITCH(BE408, Constants!$B$4, COUNTA($C$8:$C907)+2, Constants!$B$5, COUNTA($C$8:$C907)+1, Constants!$B$6, COUNTA($C$8:$C907)),BE408))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0"/>
      <c r="C409" s="121"/>
      <c r="D409" s="110"/>
      <c r="E409" s="114"/>
      <c r="F409" s="114"/>
      <c r="G409" s="86"/>
      <c r="H409" s="87"/>
      <c r="I409" s="123"/>
      <c r="J409" s="123"/>
      <c r="K409" s="123"/>
      <c r="L409" s="89"/>
      <c r="M409" s="89"/>
      <c r="N409" s="89"/>
      <c r="O409" s="90"/>
      <c r="P409" s="91"/>
      <c r="Q409" s="123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4" t="str">
        <f aca="false">IF(ISBLANK($C409),"",IF(J409=Constants!$B$2, TRUE(), IF(J409=Constants!$B$3,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Constants!B412) * IF(X409, 1, Constants!B413),"")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IF($AE409=Constants!$B$7,IF(AND(T409,U409,W409),Constants!$B$9*AH409/$AH$6, 0),"")</f>
        <v/>
      </c>
      <c r="AK409" s="94" t="str">
        <f aca="false">IF(AJ409&lt;&gt;"", AJ409*AG409,"")</f>
        <v/>
      </c>
      <c r="AL409" s="94" t="str">
        <f aca="false">IF(AND($AE409=Constants!$B$7, T409, U409) ,IF($Z409="", "", 1-ABS($AA409-$Z409)/$AA409),"")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,IF(AND(T409,U409,W409,ISNUMBER(Z409)),Constants!$B$10*AL409/$AL$6, 0),"")</f>
        <v/>
      </c>
      <c r="AO409" s="94" t="str">
        <f aca="false">IF(AN409&lt;&gt;"", AN409*AG409,"")</f>
        <v/>
      </c>
      <c r="AP409" s="94" t="str">
        <f aca="false">IF($AE409=Constants!$B$7,Constants!$B$8*AB409/$AP$6,"")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IF(ISBLANK(C409),"",IFERROR(_xlfn.SWITCH(BE409, Constants!$B$4, COUNTA($C$8:$C908)+2, Constants!$B$5, COUNTA($C$8:$C908)+1, Constants!$B$6, COUNTA($C$8:$C908)),BE409))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4"/>
      <c r="C410" s="51"/>
      <c r="D410" s="52"/>
      <c r="E410" s="118"/>
      <c r="F410" s="118"/>
      <c r="G410" s="54"/>
      <c r="H410" s="55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IF(ISBLANK($C410),"",IF(J410=Constants!$B$2, TRUE(), IF(J410=Constants!$B$3,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Constants!B413) * IF(X410, 1, Constants!B414),"")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IF($AE410=Constants!$B$7,IF(AND(T410,U410,W410),Constants!$B$9*AH410/$AH$6, 0),"")</f>
        <v/>
      </c>
      <c r="AK410" s="62" t="str">
        <f aca="false">IF(AJ410&lt;&gt;"", AJ410*AG410,"")</f>
        <v/>
      </c>
      <c r="AL410" s="62" t="str">
        <f aca="false">IF(AND($AE410=Constants!$B$7, T410, U410) ,IF($Z410="", "", 1-ABS($AA410-$Z410)/$AA410),"")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IF($AE410=Constants!$B$7,Constants!$B$8*AB410/$AP$6,"")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IF(ISBLANK(C410),"",IFERROR(_xlfn.SWITCH(BE410, Constants!$B$4, COUNTA($C$8:$C909)+2, Constants!$B$5, COUNTA($C$8:$C909)+1, Constants!$B$6, COUNTA($C$8:$C909)),BE410))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4"/>
      <c r="C411" s="51"/>
      <c r="D411" s="52"/>
      <c r="E411" s="118"/>
      <c r="F411" s="118"/>
      <c r="G411" s="54"/>
      <c r="H411" s="55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IF(ISBLANK($C411),"",IF(J411=Constants!$B$2, TRUE(), IF(J411=Constants!$B$3,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Constants!B414) * IF(X411, 1, Constants!B415),"")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IF($AE411=Constants!$B$7,IF(AND(T411,U411,W411),Constants!$B$9*AH411/$AH$6, 0),"")</f>
        <v/>
      </c>
      <c r="AK411" s="62" t="str">
        <f aca="false">IF(AJ411&lt;&gt;"", AJ411*AG411,"")</f>
        <v/>
      </c>
      <c r="AL411" s="62" t="str">
        <f aca="false">IF(AND($AE411=Constants!$B$7, T411, U411) ,IF($Z411="", "", 1-ABS($AA411-$Z411)/$AA411),"")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IF($AE411=Constants!$B$7,Constants!$B$8*AB411/$AP$6,"")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IF(ISBLANK(C411),"",IFERROR(_xlfn.SWITCH(BE411, Constants!$B$4, COUNTA($C$8:$C910)+2, Constants!$B$5, COUNTA($C$8:$C910)+1, Constants!$B$6, COUNTA($C$8:$C910)),BE411))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4"/>
      <c r="C412" s="51"/>
      <c r="D412" s="52"/>
      <c r="E412" s="118"/>
      <c r="F412" s="118"/>
      <c r="G412" s="54"/>
      <c r="H412" s="55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IF(ISBLANK($C412),"",IF(J412=Constants!$B$2, TRUE(), IF(J412=Constants!$B$3,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Constants!B415) * IF(X412, 1, Constants!B416),"")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IF($AE412=Constants!$B$7,IF(AND(T412,U412,W412),Constants!$B$9*AH412/$AH$6, 0),"")</f>
        <v/>
      </c>
      <c r="AK412" s="62" t="str">
        <f aca="false">IF(AJ412&lt;&gt;"", AJ412*AG412,"")</f>
        <v/>
      </c>
      <c r="AL412" s="62" t="str">
        <f aca="false">IF(AND($AE412=Constants!$B$7, T412, U412) ,IF($Z412="", "", 1-ABS($AA412-$Z412)/$AA412),"")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IF($AE412=Constants!$B$7,Constants!$B$8*AB412/$AP$6,"")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IF(ISBLANK(C412),"",IFERROR(_xlfn.SWITCH(BE412, Constants!$B$4, COUNTA($C$8:$C911)+2, Constants!$B$5, COUNTA($C$8:$C911)+1, Constants!$B$6, COUNTA($C$8:$C911)),BE412))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0"/>
      <c r="C413" s="121"/>
      <c r="D413" s="110"/>
      <c r="E413" s="114"/>
      <c r="F413" s="114"/>
      <c r="G413" s="86"/>
      <c r="H413" s="87"/>
      <c r="I413" s="123"/>
      <c r="J413" s="123"/>
      <c r="K413" s="123"/>
      <c r="L413" s="89"/>
      <c r="M413" s="89"/>
      <c r="N413" s="89"/>
      <c r="O413" s="90"/>
      <c r="P413" s="91"/>
      <c r="Q413" s="123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4" t="str">
        <f aca="false">IF(ISBLANK($C413),"",IF(J413=Constants!$B$2, TRUE(), IF(J413=Constants!$B$3,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Constants!B416) * IF(X413, 1, Constants!B417),"")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IF($AE413=Constants!$B$7,IF(AND(T413,U413,W413),Constants!$B$9*AH413/$AH$6, 0),"")</f>
        <v/>
      </c>
      <c r="AK413" s="94" t="str">
        <f aca="false">IF(AJ413&lt;&gt;"", AJ413*AG413,"")</f>
        <v/>
      </c>
      <c r="AL413" s="94" t="str">
        <f aca="false">IF(AND($AE413=Constants!$B$7, T413, U413) ,IF($Z413="", "", 1-ABS($AA413-$Z413)/$AA413),"")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,IF(AND(T413,U413,W413,ISNUMBER(Z413)),Constants!$B$10*AL413/$AL$6, 0),"")</f>
        <v/>
      </c>
      <c r="AO413" s="94" t="str">
        <f aca="false">IF(AN413&lt;&gt;"", AN413*AG413,"")</f>
        <v/>
      </c>
      <c r="AP413" s="94" t="str">
        <f aca="false">IF($AE413=Constants!$B$7,Constants!$B$8*AB413/$AP$6,"")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IF(ISBLANK(C413),"",IFERROR(_xlfn.SWITCH(BE413, Constants!$B$4, COUNTA($C$8:$C912)+2, Constants!$B$5, COUNTA($C$8:$C912)+1, Constants!$B$6, COUNTA($C$8:$C912)),BE413))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0"/>
      <c r="C414" s="121"/>
      <c r="D414" s="110"/>
      <c r="E414" s="114"/>
      <c r="F414" s="114"/>
      <c r="G414" s="86"/>
      <c r="H414" s="87"/>
      <c r="I414" s="123"/>
      <c r="J414" s="123"/>
      <c r="K414" s="123"/>
      <c r="L414" s="89"/>
      <c r="M414" s="89"/>
      <c r="N414" s="89"/>
      <c r="O414" s="90"/>
      <c r="P414" s="91"/>
      <c r="Q414" s="123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4" t="str">
        <f aca="false">IF(ISBLANK($C414),"",IF(J414=Constants!$B$2, TRUE(), IF(J414=Constants!$B$3,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Constants!B417) * IF(X414, 1, Constants!B418),"")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IF($AE414=Constants!$B$7,IF(AND(T414,U414,W414),Constants!$B$9*AH414/$AH$6, 0),"")</f>
        <v/>
      </c>
      <c r="AK414" s="94" t="str">
        <f aca="false">IF(AJ414&lt;&gt;"", AJ414*AG414,"")</f>
        <v/>
      </c>
      <c r="AL414" s="94" t="str">
        <f aca="false">IF(AND($AE414=Constants!$B$7, T414, U414) ,IF($Z414="", "", 1-ABS($AA414-$Z414)/$AA414),"")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,IF(AND(T414,U414,W414,ISNUMBER(Z414)),Constants!$B$10*AL414/$AL$6, 0),"")</f>
        <v/>
      </c>
      <c r="AO414" s="94" t="str">
        <f aca="false">IF(AN414&lt;&gt;"", AN414*AG414,"")</f>
        <v/>
      </c>
      <c r="AP414" s="94" t="str">
        <f aca="false">IF($AE414=Constants!$B$7,Constants!$B$8*AB414/$AP$6,"")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IF(ISBLANK(C414),"",IFERROR(_xlfn.SWITCH(BE414, Constants!$B$4, COUNTA($C$8:$C913)+2, Constants!$B$5, COUNTA($C$8:$C913)+1, Constants!$B$6, COUNTA($C$8:$C913)),BE414))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0"/>
      <c r="C415" s="121"/>
      <c r="D415" s="110"/>
      <c r="E415" s="114"/>
      <c r="F415" s="114"/>
      <c r="G415" s="86"/>
      <c r="H415" s="87"/>
      <c r="I415" s="123"/>
      <c r="J415" s="123"/>
      <c r="K415" s="123"/>
      <c r="L415" s="89"/>
      <c r="M415" s="89"/>
      <c r="N415" s="89"/>
      <c r="O415" s="90"/>
      <c r="P415" s="91"/>
      <c r="Q415" s="123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4" t="str">
        <f aca="false">IF(ISBLANK($C415),"",IF(J415=Constants!$B$2, TRUE(), IF(J415=Constants!$B$3,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Constants!B418) * IF(X415, 1, Constants!B419),"")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IF($AE415=Constants!$B$7,IF(AND(T415,U415,W415),Constants!$B$9*AH415/$AH$6, 0),"")</f>
        <v/>
      </c>
      <c r="AK415" s="94" t="str">
        <f aca="false">IF(AJ415&lt;&gt;"", AJ415*AG415,"")</f>
        <v/>
      </c>
      <c r="AL415" s="94" t="str">
        <f aca="false">IF(AND($AE415=Constants!$B$7, T415, U415) ,IF($Z415="", "", 1-ABS($AA415-$Z415)/$AA415),"")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,IF(AND(T415,U415,W415,ISNUMBER(Z415)),Constants!$B$10*AL415/$AL$6, 0),"")</f>
        <v/>
      </c>
      <c r="AO415" s="94" t="str">
        <f aca="false">IF(AN415&lt;&gt;"", AN415*AG415,"")</f>
        <v/>
      </c>
      <c r="AP415" s="94" t="str">
        <f aca="false">IF($AE415=Constants!$B$7,Constants!$B$8*AB415/$AP$6,"")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IF(ISBLANK(C415),"",IFERROR(_xlfn.SWITCH(BE415, Constants!$B$4, COUNTA($C$8:$C914)+2, Constants!$B$5, COUNTA($C$8:$C914)+1, Constants!$B$6, COUNTA($C$8:$C914)),BE415))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4"/>
      <c r="C416" s="51"/>
      <c r="D416" s="52"/>
      <c r="E416" s="118"/>
      <c r="F416" s="118"/>
      <c r="G416" s="54"/>
      <c r="H416" s="55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IF(ISBLANK($C416),"",IF(J416=Constants!$B$2, TRUE(), IF(J416=Constants!$B$3,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Constants!B419) * IF(X416, 1, Constants!B420),"")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IF($AE416=Constants!$B$7,IF(AND(T416,U416,W416),Constants!$B$9*AH416/$AH$6, 0),"")</f>
        <v/>
      </c>
      <c r="AK416" s="62" t="str">
        <f aca="false">IF(AJ416&lt;&gt;"", AJ416*AG416,"")</f>
        <v/>
      </c>
      <c r="AL416" s="62" t="str">
        <f aca="false">IF(AND($AE416=Constants!$B$7, T416, U416) ,IF($Z416="", "", 1-ABS($AA416-$Z416)/$AA416),"")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IF($AE416=Constants!$B$7,Constants!$B$8*AB416/$AP$6,"")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IF(ISBLANK(C416),"",IFERROR(_xlfn.SWITCH(BE416, Constants!$B$4, COUNTA($C$8:$C915)+2, Constants!$B$5, COUNTA($C$8:$C915)+1, Constants!$B$6, COUNTA($C$8:$C915)),BE416))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4"/>
      <c r="C417" s="51"/>
      <c r="D417" s="52"/>
      <c r="E417" s="118"/>
      <c r="F417" s="118"/>
      <c r="G417" s="54"/>
      <c r="H417" s="55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IF(ISBLANK($C417),"",IF(J417=Constants!$B$2, TRUE(), IF(J417=Constants!$B$3,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Constants!B420) * IF(X417, 1, Constants!B421),"")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IF($AE417=Constants!$B$7,IF(AND(T417,U417,W417),Constants!$B$9*AH417/$AH$6, 0),"")</f>
        <v/>
      </c>
      <c r="AK417" s="62" t="str">
        <f aca="false">IF(AJ417&lt;&gt;"", AJ417*AG417,"")</f>
        <v/>
      </c>
      <c r="AL417" s="62" t="str">
        <f aca="false">IF(AND($AE417=Constants!$B$7, T417, U417) ,IF($Z417="", "", 1-ABS($AA417-$Z417)/$AA417),"")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IF($AE417=Constants!$B$7,Constants!$B$8*AB417/$AP$6,"")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IF(ISBLANK(C417),"",IFERROR(_xlfn.SWITCH(BE417, Constants!$B$4, COUNTA($C$8:$C916)+2, Constants!$B$5, COUNTA($C$8:$C916)+1, Constants!$B$6, COUNTA($C$8:$C916)),BE417))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4"/>
      <c r="C418" s="51"/>
      <c r="D418" s="52"/>
      <c r="E418" s="118"/>
      <c r="F418" s="118"/>
      <c r="G418" s="54"/>
      <c r="H418" s="55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IF(ISBLANK($C418),"",IF(J418=Constants!$B$2, TRUE(), IF(J418=Constants!$B$3,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Constants!B421) * IF(X418, 1, Constants!B422),"")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IF($AE418=Constants!$B$7,IF(AND(T418,U418,W418),Constants!$B$9*AH418/$AH$6, 0),"")</f>
        <v/>
      </c>
      <c r="AK418" s="62" t="str">
        <f aca="false">IF(AJ418&lt;&gt;"", AJ418*AG418,"")</f>
        <v/>
      </c>
      <c r="AL418" s="62" t="str">
        <f aca="false">IF(AND($AE418=Constants!$B$7, T418, U418) ,IF($Z418="", "", 1-ABS($AA418-$Z418)/$AA418),"")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IF($AE418=Constants!$B$7,Constants!$B$8*AB418/$AP$6,"")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IF(ISBLANK(C418),"",IFERROR(_xlfn.SWITCH(BE418, Constants!$B$4, COUNTA($C$8:$C917)+2, Constants!$B$5, COUNTA($C$8:$C917)+1, Constants!$B$6, COUNTA($C$8:$C917)),BE418))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0"/>
      <c r="C419" s="121"/>
      <c r="D419" s="110"/>
      <c r="E419" s="114"/>
      <c r="F419" s="114"/>
      <c r="G419" s="86"/>
      <c r="H419" s="87"/>
      <c r="I419" s="123"/>
      <c r="J419" s="123"/>
      <c r="K419" s="123"/>
      <c r="L419" s="89"/>
      <c r="M419" s="89"/>
      <c r="N419" s="89"/>
      <c r="O419" s="90"/>
      <c r="P419" s="91"/>
      <c r="Q419" s="123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4" t="str">
        <f aca="false">IF(ISBLANK($C419),"",IF(J419=Constants!$B$2, TRUE(), IF(J419=Constants!$B$3,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Constants!B422) * IF(X419, 1, Constants!B423),"")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IF($AE419=Constants!$B$7,IF(AND(T419,U419,W419),Constants!$B$9*AH419/$AH$6, 0),"")</f>
        <v/>
      </c>
      <c r="AK419" s="94" t="str">
        <f aca="false">IF(AJ419&lt;&gt;"", AJ419*AG419,"")</f>
        <v/>
      </c>
      <c r="AL419" s="94" t="str">
        <f aca="false">IF(AND($AE419=Constants!$B$7, T419, U419) ,IF($Z419="", "", 1-ABS($AA419-$Z419)/$AA419),"")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,IF(AND(T419,U419,W419,ISNUMBER(Z419)),Constants!$B$10*AL419/$AL$6, 0),"")</f>
        <v/>
      </c>
      <c r="AO419" s="94" t="str">
        <f aca="false">IF(AN419&lt;&gt;"", AN419*AG419,"")</f>
        <v/>
      </c>
      <c r="AP419" s="94" t="str">
        <f aca="false">IF($AE419=Constants!$B$7,Constants!$B$8*AB419/$AP$6,"")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IF(ISBLANK(C419),"",IFERROR(_xlfn.SWITCH(BE419, Constants!$B$4, COUNTA($C$8:$C918)+2, Constants!$B$5, COUNTA($C$8:$C918)+1, Constants!$B$6, COUNTA($C$8:$C918)),BE419))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0"/>
      <c r="C420" s="121"/>
      <c r="D420" s="110"/>
      <c r="E420" s="114"/>
      <c r="F420" s="114"/>
      <c r="G420" s="86"/>
      <c r="H420" s="87"/>
      <c r="I420" s="123"/>
      <c r="J420" s="123"/>
      <c r="K420" s="123"/>
      <c r="L420" s="89"/>
      <c r="M420" s="89"/>
      <c r="N420" s="89"/>
      <c r="O420" s="90"/>
      <c r="P420" s="91"/>
      <c r="Q420" s="123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4" t="str">
        <f aca="false">IF(ISBLANK($C420),"",IF(J420=Constants!$B$2, TRUE(), IF(J420=Constants!$B$3,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Constants!B423) * IF(X420, 1, Constants!B424),"")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IF($AE420=Constants!$B$7,IF(AND(T420,U420,W420),Constants!$B$9*AH420/$AH$6, 0),"")</f>
        <v/>
      </c>
      <c r="AK420" s="94" t="str">
        <f aca="false">IF(AJ420&lt;&gt;"", AJ420*AG420,"")</f>
        <v/>
      </c>
      <c r="AL420" s="94" t="str">
        <f aca="false">IF(AND($AE420=Constants!$B$7, T420, U420) ,IF($Z420="", "", 1-ABS($AA420-$Z420)/$AA420),"")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,IF(AND(T420,U420,W420,ISNUMBER(Z420)),Constants!$B$10*AL420/$AL$6, 0),"")</f>
        <v/>
      </c>
      <c r="AO420" s="94" t="str">
        <f aca="false">IF(AN420&lt;&gt;"", AN420*AG420,"")</f>
        <v/>
      </c>
      <c r="AP420" s="94" t="str">
        <f aca="false">IF($AE420=Constants!$B$7,Constants!$B$8*AB420/$AP$6,"")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IF(ISBLANK(C420),"",IFERROR(_xlfn.SWITCH(BE420, Constants!$B$4, COUNTA($C$8:$C919)+2, Constants!$B$5, COUNTA($C$8:$C919)+1, Constants!$B$6, COUNTA($C$8:$C919)),BE420))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0"/>
      <c r="C421" s="121"/>
      <c r="D421" s="110"/>
      <c r="E421" s="114"/>
      <c r="F421" s="114"/>
      <c r="G421" s="86"/>
      <c r="H421" s="87"/>
      <c r="I421" s="123"/>
      <c r="J421" s="123"/>
      <c r="K421" s="123"/>
      <c r="L421" s="89"/>
      <c r="M421" s="89"/>
      <c r="N421" s="89"/>
      <c r="O421" s="90"/>
      <c r="P421" s="91"/>
      <c r="Q421" s="123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4" t="str">
        <f aca="false">IF(ISBLANK($C421),"",IF(J421=Constants!$B$2, TRUE(), IF(J421=Constants!$B$3,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Constants!B424) * IF(X421, 1, Constants!B425),"")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IF($AE421=Constants!$B$7,IF(AND(T421,U421,W421),Constants!$B$9*AH421/$AH$6, 0),"")</f>
        <v/>
      </c>
      <c r="AK421" s="94" t="str">
        <f aca="false">IF(AJ421&lt;&gt;"", AJ421*AG421,"")</f>
        <v/>
      </c>
      <c r="AL421" s="94" t="str">
        <f aca="false">IF(AND($AE421=Constants!$B$7, T421, U421) ,IF($Z421="", "", 1-ABS($AA421-$Z421)/$AA421),"")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,IF(AND(T421,U421,W421,ISNUMBER(Z421)),Constants!$B$10*AL421/$AL$6, 0),"")</f>
        <v/>
      </c>
      <c r="AO421" s="94" t="str">
        <f aca="false">IF(AN421&lt;&gt;"", AN421*AG421,"")</f>
        <v/>
      </c>
      <c r="AP421" s="94" t="str">
        <f aca="false">IF($AE421=Constants!$B$7,Constants!$B$8*AB421/$AP$6,"")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IF(ISBLANK(C421),"",IFERROR(_xlfn.SWITCH(BE421, Constants!$B$4, COUNTA($C$8:$C920)+2, Constants!$B$5, COUNTA($C$8:$C920)+1, Constants!$B$6, COUNTA($C$8:$C920)),BE421))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4"/>
      <c r="C422" s="51"/>
      <c r="D422" s="52"/>
      <c r="E422" s="118"/>
      <c r="F422" s="118"/>
      <c r="G422" s="54"/>
      <c r="H422" s="55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IF(ISBLANK($C422),"",IF(J422=Constants!$B$2, TRUE(), IF(J422=Constants!$B$3,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Constants!B425) * IF(X422, 1, Constants!B426),"")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IF($AE422=Constants!$B$7,IF(AND(T422,U422,W422),Constants!$B$9*AH422/$AH$6, 0),"")</f>
        <v/>
      </c>
      <c r="AK422" s="62" t="str">
        <f aca="false">IF(AJ422&lt;&gt;"", AJ422*AG422,"")</f>
        <v/>
      </c>
      <c r="AL422" s="62" t="str">
        <f aca="false">IF(AND($AE422=Constants!$B$7, T422, U422) ,IF($Z422="", "", 1-ABS($AA422-$Z422)/$AA422),"")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IF($AE422=Constants!$B$7,Constants!$B$8*AB422/$AP$6,"")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IF(ISBLANK(C422),"",IFERROR(_xlfn.SWITCH(BE422, Constants!$B$4, COUNTA($C$8:$C921)+2, Constants!$B$5, COUNTA($C$8:$C921)+1, Constants!$B$6, COUNTA($C$8:$C921)),BE422))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4"/>
      <c r="C423" s="51"/>
      <c r="D423" s="52"/>
      <c r="E423" s="118"/>
      <c r="F423" s="118"/>
      <c r="G423" s="54"/>
      <c r="H423" s="55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IF(ISBLANK($C423),"",IF(J423=Constants!$B$2, TRUE(), IF(J423=Constants!$B$3,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Constants!B426) * IF(X423, 1, Constants!B427),"")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IF($AE423=Constants!$B$7,IF(AND(T423,U423,W423),Constants!$B$9*AH423/$AH$6, 0),"")</f>
        <v/>
      </c>
      <c r="AK423" s="62" t="str">
        <f aca="false">IF(AJ423&lt;&gt;"", AJ423*AG423,"")</f>
        <v/>
      </c>
      <c r="AL423" s="62" t="str">
        <f aca="false">IF(AND($AE423=Constants!$B$7, T423, U423) ,IF($Z423="", "", 1-ABS($AA423-$Z423)/$AA423),"")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IF($AE423=Constants!$B$7,Constants!$B$8*AB423/$AP$6,"")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IF(ISBLANK(C423),"",IFERROR(_xlfn.SWITCH(BE423, Constants!$B$4, COUNTA($C$8:$C922)+2, Constants!$B$5, COUNTA($C$8:$C922)+1, Constants!$B$6, COUNTA($C$8:$C922)),BE423))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4"/>
      <c r="C424" s="51"/>
      <c r="D424" s="52"/>
      <c r="E424" s="118"/>
      <c r="F424" s="118"/>
      <c r="G424" s="54"/>
      <c r="H424" s="55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IF(ISBLANK($C424),"",IF(J424=Constants!$B$2, TRUE(), IF(J424=Constants!$B$3,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Constants!B427) * IF(X424, 1, Constants!B428),"")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IF($AE424=Constants!$B$7,IF(AND(T424,U424,W424),Constants!$B$9*AH424/$AH$6, 0),"")</f>
        <v/>
      </c>
      <c r="AK424" s="62" t="str">
        <f aca="false">IF(AJ424&lt;&gt;"", AJ424*AG424,"")</f>
        <v/>
      </c>
      <c r="AL424" s="62" t="str">
        <f aca="false">IF(AND($AE424=Constants!$B$7, T424, U424) ,IF($Z424="", "", 1-ABS($AA424-$Z424)/$AA424),"")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IF($AE424=Constants!$B$7,Constants!$B$8*AB424/$AP$6,"")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IF(ISBLANK(C424),"",IFERROR(_xlfn.SWITCH(BE424, Constants!$B$4, COUNTA($C$8:$C923)+2, Constants!$B$5, COUNTA($C$8:$C923)+1, Constants!$B$6, COUNTA($C$8:$C923)),BE424))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0"/>
      <c r="C425" s="121"/>
      <c r="D425" s="110"/>
      <c r="E425" s="114"/>
      <c r="F425" s="114"/>
      <c r="G425" s="86"/>
      <c r="H425" s="87"/>
      <c r="I425" s="123"/>
      <c r="J425" s="123"/>
      <c r="K425" s="123"/>
      <c r="L425" s="89"/>
      <c r="M425" s="89"/>
      <c r="N425" s="89"/>
      <c r="O425" s="90"/>
      <c r="P425" s="91"/>
      <c r="Q425" s="123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4" t="str">
        <f aca="false">IF(ISBLANK($C425),"",IF(J425=Constants!$B$2, TRUE(), IF(J425=Constants!$B$3,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Constants!B428) * IF(X425, 1, Constants!B429),"")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IF($AE425=Constants!$B$7,IF(AND(T425,U425,W425),Constants!$B$9*AH425/$AH$6, 0),"")</f>
        <v/>
      </c>
      <c r="AK425" s="94" t="str">
        <f aca="false">IF(AJ425&lt;&gt;"", AJ425*AG425,"")</f>
        <v/>
      </c>
      <c r="AL425" s="94" t="str">
        <f aca="false">IF(AND($AE425=Constants!$B$7, T425, U425) ,IF($Z425="", "", 1-ABS($AA425-$Z425)/$AA425),"")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,IF(AND(T425,U425,W425,ISNUMBER(Z425)),Constants!$B$10*AL425/$AL$6, 0),"")</f>
        <v/>
      </c>
      <c r="AO425" s="94" t="str">
        <f aca="false">IF(AN425&lt;&gt;"", AN425*AG425,"")</f>
        <v/>
      </c>
      <c r="AP425" s="94" t="str">
        <f aca="false">IF($AE425=Constants!$B$7,Constants!$B$8*AB425/$AP$6,"")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IF(ISBLANK(C425),"",IFERROR(_xlfn.SWITCH(BE425, Constants!$B$4, COUNTA($C$8:$C924)+2, Constants!$B$5, COUNTA($C$8:$C924)+1, Constants!$B$6, COUNTA($C$8:$C924)),BE425))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0"/>
      <c r="C426" s="121"/>
      <c r="D426" s="110"/>
      <c r="E426" s="114"/>
      <c r="F426" s="114"/>
      <c r="G426" s="86"/>
      <c r="H426" s="87"/>
      <c r="I426" s="123"/>
      <c r="J426" s="123"/>
      <c r="K426" s="123"/>
      <c r="L426" s="89"/>
      <c r="M426" s="89"/>
      <c r="N426" s="89"/>
      <c r="O426" s="90"/>
      <c r="P426" s="91"/>
      <c r="Q426" s="123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4" t="str">
        <f aca="false">IF(ISBLANK($C426),"",IF(J426=Constants!$B$2, TRUE(), IF(J426=Constants!$B$3,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Constants!B429) * IF(X426, 1, Constants!B430),"")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IF($AE426=Constants!$B$7,IF(AND(T426,U426,W426),Constants!$B$9*AH426/$AH$6, 0),"")</f>
        <v/>
      </c>
      <c r="AK426" s="94" t="str">
        <f aca="false">IF(AJ426&lt;&gt;"", AJ426*AG426,"")</f>
        <v/>
      </c>
      <c r="AL426" s="94" t="str">
        <f aca="false">IF(AND($AE426=Constants!$B$7, T426, U426) ,IF($Z426="", "", 1-ABS($AA426-$Z426)/$AA426),"")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,IF(AND(T426,U426,W426,ISNUMBER(Z426)),Constants!$B$10*AL426/$AL$6, 0),"")</f>
        <v/>
      </c>
      <c r="AO426" s="94" t="str">
        <f aca="false">IF(AN426&lt;&gt;"", AN426*AG426,"")</f>
        <v/>
      </c>
      <c r="AP426" s="94" t="str">
        <f aca="false">IF($AE426=Constants!$B$7,Constants!$B$8*AB426/$AP$6,"")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IF(ISBLANK(C426),"",IFERROR(_xlfn.SWITCH(BE426, Constants!$B$4, COUNTA($C$8:$C925)+2, Constants!$B$5, COUNTA($C$8:$C925)+1, Constants!$B$6, COUNTA($C$8:$C925)),BE426))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0"/>
      <c r="C427" s="121"/>
      <c r="D427" s="110"/>
      <c r="E427" s="114"/>
      <c r="F427" s="114"/>
      <c r="G427" s="86"/>
      <c r="H427" s="87"/>
      <c r="I427" s="123"/>
      <c r="J427" s="123"/>
      <c r="K427" s="123"/>
      <c r="L427" s="89"/>
      <c r="M427" s="89"/>
      <c r="N427" s="89"/>
      <c r="O427" s="90"/>
      <c r="P427" s="91"/>
      <c r="Q427" s="123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4" t="str">
        <f aca="false">IF(ISBLANK($C427),"",IF(J427=Constants!$B$2, TRUE(), IF(J427=Constants!$B$3,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Constants!B430) * IF(X427, 1, Constants!B431),"")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IF($AE427=Constants!$B$7,IF(AND(T427,U427,W427),Constants!$B$9*AH427/$AH$6, 0),"")</f>
        <v/>
      </c>
      <c r="AK427" s="94" t="str">
        <f aca="false">IF(AJ427&lt;&gt;"", AJ427*AG427,"")</f>
        <v/>
      </c>
      <c r="AL427" s="94" t="str">
        <f aca="false">IF(AND($AE427=Constants!$B$7, T427, U427) ,IF($Z427="", "", 1-ABS($AA427-$Z427)/$AA427),"")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,IF(AND(T427,U427,W427,ISNUMBER(Z427)),Constants!$B$10*AL427/$AL$6, 0),"")</f>
        <v/>
      </c>
      <c r="AO427" s="94" t="str">
        <f aca="false">IF(AN427&lt;&gt;"", AN427*AG427,"")</f>
        <v/>
      </c>
      <c r="AP427" s="94" t="str">
        <f aca="false">IF($AE427=Constants!$B$7,Constants!$B$8*AB427/$AP$6,"")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IF(ISBLANK(C427),"",IFERROR(_xlfn.SWITCH(BE427, Constants!$B$4, COUNTA($C$8:$C926)+2, Constants!$B$5, COUNTA($C$8:$C926)+1, Constants!$B$6, COUNTA($C$8:$C926)),BE427))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4"/>
      <c r="C428" s="51"/>
      <c r="D428" s="52"/>
      <c r="E428" s="118"/>
      <c r="F428" s="118"/>
      <c r="G428" s="54"/>
      <c r="H428" s="55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IF(ISBLANK($C428),"",IF(J428=Constants!$B$2, TRUE(), IF(J428=Constants!$B$3,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Constants!B431) * IF(X428, 1, Constants!B432),"")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IF($AE428=Constants!$B$7,IF(AND(T428,U428,W428),Constants!$B$9*AH428/$AH$6, 0),"")</f>
        <v/>
      </c>
      <c r="AK428" s="62" t="str">
        <f aca="false">IF(AJ428&lt;&gt;"", AJ428*AG428,"")</f>
        <v/>
      </c>
      <c r="AL428" s="62" t="str">
        <f aca="false">IF(AND($AE428=Constants!$B$7, T428, U428) ,IF($Z428="", "", 1-ABS($AA428-$Z428)/$AA428),"")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IF($AE428=Constants!$B$7,Constants!$B$8*AB428/$AP$6,"")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IF(ISBLANK(C428),"",IFERROR(_xlfn.SWITCH(BE428, Constants!$B$4, COUNTA($C$8:$C927)+2, Constants!$B$5, COUNTA($C$8:$C927)+1, Constants!$B$6, COUNTA($C$8:$C927)),BE428))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4"/>
      <c r="C429" s="51"/>
      <c r="D429" s="52"/>
      <c r="E429" s="118"/>
      <c r="F429" s="118"/>
      <c r="G429" s="54"/>
      <c r="H429" s="55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IF(ISBLANK($C429),"",IF(J429=Constants!$B$2, TRUE(), IF(J429=Constants!$B$3,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Constants!B432) * IF(X429, 1, Constants!B433),"")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IF($AE429=Constants!$B$7,IF(AND(T429,U429,W429),Constants!$B$9*AH429/$AH$6, 0),"")</f>
        <v/>
      </c>
      <c r="AK429" s="62" t="str">
        <f aca="false">IF(AJ429&lt;&gt;"", AJ429*AG429,"")</f>
        <v/>
      </c>
      <c r="AL429" s="62" t="str">
        <f aca="false">IF(AND($AE429=Constants!$B$7, T429, U429) ,IF($Z429="", "", 1-ABS($AA429-$Z429)/$AA429),"")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IF($AE429=Constants!$B$7,Constants!$B$8*AB429/$AP$6,"")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IF(ISBLANK(C429),"",IFERROR(_xlfn.SWITCH(BE429, Constants!$B$4, COUNTA($C$8:$C928)+2, Constants!$B$5, COUNTA($C$8:$C928)+1, Constants!$B$6, COUNTA($C$8:$C928)),BE429))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4"/>
      <c r="C430" s="51"/>
      <c r="D430" s="52"/>
      <c r="E430" s="118"/>
      <c r="F430" s="118"/>
      <c r="G430" s="54"/>
      <c r="H430" s="55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IF(ISBLANK($C430),"",IF(J430=Constants!$B$2, TRUE(), IF(J430=Constants!$B$3,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Constants!B433) * IF(X430, 1, Constants!B434),"")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IF($AE430=Constants!$B$7,IF(AND(T430,U430,W430),Constants!$B$9*AH430/$AH$6, 0),"")</f>
        <v/>
      </c>
      <c r="AK430" s="62" t="str">
        <f aca="false">IF(AJ430&lt;&gt;"", AJ430*AG430,"")</f>
        <v/>
      </c>
      <c r="AL430" s="62" t="str">
        <f aca="false">IF(AND($AE430=Constants!$B$7, T430, U430) ,IF($Z430="", "", 1-ABS($AA430-$Z430)/$AA430),"")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IF($AE430=Constants!$B$7,Constants!$B$8*AB430/$AP$6,"")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IF(ISBLANK(C430),"",IFERROR(_xlfn.SWITCH(BE430, Constants!$B$4, COUNTA($C$8:$C929)+2, Constants!$B$5, COUNTA($C$8:$C929)+1, Constants!$B$6, COUNTA($C$8:$C929)),BE430))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0"/>
      <c r="C431" s="121"/>
      <c r="D431" s="110"/>
      <c r="E431" s="114"/>
      <c r="F431" s="114"/>
      <c r="G431" s="86"/>
      <c r="H431" s="87"/>
      <c r="I431" s="123"/>
      <c r="J431" s="123"/>
      <c r="K431" s="123"/>
      <c r="L431" s="89"/>
      <c r="M431" s="89"/>
      <c r="N431" s="89"/>
      <c r="O431" s="90"/>
      <c r="P431" s="91"/>
      <c r="Q431" s="123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4" t="str">
        <f aca="false">IF(ISBLANK($C431),"",IF(J431=Constants!$B$2, TRUE(), IF(J431=Constants!$B$3,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Constants!B434) * IF(X431, 1, Constants!B435),"")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IF($AE431=Constants!$B$7,IF(AND(T431,U431,W431),Constants!$B$9*AH431/$AH$6, 0),"")</f>
        <v/>
      </c>
      <c r="AK431" s="94" t="str">
        <f aca="false">IF(AJ431&lt;&gt;"", AJ431*AG431,"")</f>
        <v/>
      </c>
      <c r="AL431" s="94" t="str">
        <f aca="false">IF(AND($AE431=Constants!$B$7, T431, U431) ,IF($Z431="", "", 1-ABS($AA431-$Z431)/$AA431),"")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,IF(AND(T431,U431,W431,ISNUMBER(Z431)),Constants!$B$10*AL431/$AL$6, 0),"")</f>
        <v/>
      </c>
      <c r="AO431" s="94" t="str">
        <f aca="false">IF(AN431&lt;&gt;"", AN431*AG431,"")</f>
        <v/>
      </c>
      <c r="AP431" s="94" t="str">
        <f aca="false">IF($AE431=Constants!$B$7,Constants!$B$8*AB431/$AP$6,"")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IF(ISBLANK(C431),"",IFERROR(_xlfn.SWITCH(BE431, Constants!$B$4, COUNTA($C$8:$C930)+2, Constants!$B$5, COUNTA($C$8:$C930)+1, Constants!$B$6, COUNTA($C$8:$C930)),BE431))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0"/>
      <c r="C432" s="121"/>
      <c r="D432" s="110"/>
      <c r="E432" s="114"/>
      <c r="F432" s="114"/>
      <c r="G432" s="86"/>
      <c r="H432" s="87"/>
      <c r="I432" s="123"/>
      <c r="J432" s="123"/>
      <c r="K432" s="123"/>
      <c r="L432" s="89"/>
      <c r="M432" s="89"/>
      <c r="N432" s="89"/>
      <c r="O432" s="90"/>
      <c r="P432" s="91"/>
      <c r="Q432" s="123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4" t="str">
        <f aca="false">IF(ISBLANK($C432),"",IF(J432=Constants!$B$2, TRUE(), IF(J432=Constants!$B$3,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Constants!B435) * IF(X432, 1, Constants!B436),"")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IF($AE432=Constants!$B$7,IF(AND(T432,U432,W432),Constants!$B$9*AH432/$AH$6, 0),"")</f>
        <v/>
      </c>
      <c r="AK432" s="94" t="str">
        <f aca="false">IF(AJ432&lt;&gt;"", AJ432*AG432,"")</f>
        <v/>
      </c>
      <c r="AL432" s="94" t="str">
        <f aca="false">IF(AND($AE432=Constants!$B$7, T432, U432) ,IF($Z432="", "", 1-ABS($AA432-$Z432)/$AA432),"")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,IF(AND(T432,U432,W432,ISNUMBER(Z432)),Constants!$B$10*AL432/$AL$6, 0),"")</f>
        <v/>
      </c>
      <c r="AO432" s="94" t="str">
        <f aca="false">IF(AN432&lt;&gt;"", AN432*AG432,"")</f>
        <v/>
      </c>
      <c r="AP432" s="94" t="str">
        <f aca="false">IF($AE432=Constants!$B$7,Constants!$B$8*AB432/$AP$6,"")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IF(ISBLANK(C432),"",IFERROR(_xlfn.SWITCH(BE432, Constants!$B$4, COUNTA($C$8:$C931)+2, Constants!$B$5, COUNTA($C$8:$C931)+1, Constants!$B$6, COUNTA($C$8:$C931)),BE432))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0"/>
      <c r="C433" s="121"/>
      <c r="D433" s="110"/>
      <c r="E433" s="114"/>
      <c r="F433" s="114"/>
      <c r="G433" s="86"/>
      <c r="H433" s="87"/>
      <c r="I433" s="123"/>
      <c r="J433" s="123"/>
      <c r="K433" s="123"/>
      <c r="L433" s="89"/>
      <c r="M433" s="89"/>
      <c r="N433" s="89"/>
      <c r="O433" s="90"/>
      <c r="P433" s="91"/>
      <c r="Q433" s="123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4" t="str">
        <f aca="false">IF(ISBLANK($C433),"",IF(J433=Constants!$B$2, TRUE(), IF(J433=Constants!$B$3,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Constants!B436) * IF(X433, 1, Constants!B437),"")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IF($AE433=Constants!$B$7,IF(AND(T433,U433,W433),Constants!$B$9*AH433/$AH$6, 0),"")</f>
        <v/>
      </c>
      <c r="AK433" s="94" t="str">
        <f aca="false">IF(AJ433&lt;&gt;"", AJ433*AG433,"")</f>
        <v/>
      </c>
      <c r="AL433" s="94" t="str">
        <f aca="false">IF(AND($AE433=Constants!$B$7, T433, U433) ,IF($Z433="", "", 1-ABS($AA433-$Z433)/$AA433),"")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,IF(AND(T433,U433,W433,ISNUMBER(Z433)),Constants!$B$10*AL433/$AL$6, 0),"")</f>
        <v/>
      </c>
      <c r="AO433" s="94" t="str">
        <f aca="false">IF(AN433&lt;&gt;"", AN433*AG433,"")</f>
        <v/>
      </c>
      <c r="AP433" s="94" t="str">
        <f aca="false">IF($AE433=Constants!$B$7,Constants!$B$8*AB433/$AP$6,"")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IF(ISBLANK(C433),"",IFERROR(_xlfn.SWITCH(BE433, Constants!$B$4, COUNTA($C$8:$C932)+2, Constants!$B$5, COUNTA($C$8:$C932)+1, Constants!$B$6, COUNTA($C$8:$C932)),BE433))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4"/>
      <c r="C434" s="51"/>
      <c r="D434" s="52"/>
      <c r="E434" s="118"/>
      <c r="F434" s="118"/>
      <c r="G434" s="54"/>
      <c r="H434" s="55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IF(ISBLANK($C434),"",IF(J434=Constants!$B$2, TRUE(), IF(J434=Constants!$B$3,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Constants!B437) * IF(X434, 1, Constants!B438),"")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IF($AE434=Constants!$B$7,IF(AND(T434,U434,W434),Constants!$B$9*AH434/$AH$6, 0),"")</f>
        <v/>
      </c>
      <c r="AK434" s="62" t="str">
        <f aca="false">IF(AJ434&lt;&gt;"", AJ434*AG434,"")</f>
        <v/>
      </c>
      <c r="AL434" s="62" t="str">
        <f aca="false">IF(AND($AE434=Constants!$B$7, T434, U434) ,IF($Z434="", "", 1-ABS($AA434-$Z434)/$AA434),"")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IF($AE434=Constants!$B$7,Constants!$B$8*AB434/$AP$6,"")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IF(ISBLANK(C434),"",IFERROR(_xlfn.SWITCH(BE434, Constants!$B$4, COUNTA($C$8:$C933)+2, Constants!$B$5, COUNTA($C$8:$C933)+1, Constants!$B$6, COUNTA($C$8:$C933)),BE434))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4"/>
      <c r="C435" s="51"/>
      <c r="D435" s="52"/>
      <c r="E435" s="118"/>
      <c r="F435" s="118"/>
      <c r="G435" s="54"/>
      <c r="H435" s="55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IF(ISBLANK($C435),"",IF(J435=Constants!$B$2, TRUE(), IF(J435=Constants!$B$3,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Constants!B438) * IF(X435, 1, Constants!B439),"")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IF($AE435=Constants!$B$7,IF(AND(T435,U435,W435),Constants!$B$9*AH435/$AH$6, 0),"")</f>
        <v/>
      </c>
      <c r="AK435" s="62" t="str">
        <f aca="false">IF(AJ435&lt;&gt;"", AJ435*AG435,"")</f>
        <v/>
      </c>
      <c r="AL435" s="62" t="str">
        <f aca="false">IF(AND($AE435=Constants!$B$7, T435, U435) ,IF($Z435="", "", 1-ABS($AA435-$Z435)/$AA435),"")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IF($AE435=Constants!$B$7,Constants!$B$8*AB435/$AP$6,"")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IF(ISBLANK(C435),"",IFERROR(_xlfn.SWITCH(BE435, Constants!$B$4, COUNTA($C$8:$C934)+2, Constants!$B$5, COUNTA($C$8:$C934)+1, Constants!$B$6, COUNTA($C$8:$C934)),BE435))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4"/>
      <c r="C436" s="51"/>
      <c r="D436" s="52"/>
      <c r="E436" s="118"/>
      <c r="F436" s="118"/>
      <c r="G436" s="54"/>
      <c r="H436" s="55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IF(ISBLANK($C436),"",IF(J436=Constants!$B$2, TRUE(), IF(J436=Constants!$B$3,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Constants!B439) * IF(X436, 1, Constants!B440),"")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IF($AE436=Constants!$B$7,IF(AND(T436,U436,W436),Constants!$B$9*AH436/$AH$6, 0),"")</f>
        <v/>
      </c>
      <c r="AK436" s="62" t="str">
        <f aca="false">IF(AJ436&lt;&gt;"", AJ436*AG436,"")</f>
        <v/>
      </c>
      <c r="AL436" s="62" t="str">
        <f aca="false">IF(AND($AE436=Constants!$B$7, T436, U436) ,IF($Z436="", "", 1-ABS($AA436-$Z436)/$AA436),"")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IF($AE436=Constants!$B$7,Constants!$B$8*AB436/$AP$6,"")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IF(ISBLANK(C436),"",IFERROR(_xlfn.SWITCH(BE436, Constants!$B$4, COUNTA($C$8:$C935)+2, Constants!$B$5, COUNTA($C$8:$C935)+1, Constants!$B$6, COUNTA($C$8:$C935)),BE436))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0"/>
      <c r="C437" s="121"/>
      <c r="D437" s="110"/>
      <c r="E437" s="114"/>
      <c r="F437" s="114"/>
      <c r="G437" s="86"/>
      <c r="H437" s="87"/>
      <c r="I437" s="123"/>
      <c r="J437" s="123"/>
      <c r="K437" s="123"/>
      <c r="L437" s="89"/>
      <c r="M437" s="89"/>
      <c r="N437" s="89"/>
      <c r="O437" s="90"/>
      <c r="P437" s="91"/>
      <c r="Q437" s="123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4" t="str">
        <f aca="false">IF(ISBLANK($C437),"",IF(J437=Constants!$B$2, TRUE(), IF(J437=Constants!$B$3,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Constants!B440) * IF(X437, 1, Constants!B441),"")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IF($AE437=Constants!$B$7,IF(AND(T437,U437,W437),Constants!$B$9*AH437/$AH$6, 0),"")</f>
        <v/>
      </c>
      <c r="AK437" s="94" t="str">
        <f aca="false">IF(AJ437&lt;&gt;"", AJ437*AG437,"")</f>
        <v/>
      </c>
      <c r="AL437" s="94" t="str">
        <f aca="false">IF(AND($AE437=Constants!$B$7, T437, U437) ,IF($Z437="", "", 1-ABS($AA437-$Z437)/$AA437),"")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,IF(AND(T437,U437,W437,ISNUMBER(Z437)),Constants!$B$10*AL437/$AL$6, 0),"")</f>
        <v/>
      </c>
      <c r="AO437" s="94" t="str">
        <f aca="false">IF(AN437&lt;&gt;"", AN437*AG437,"")</f>
        <v/>
      </c>
      <c r="AP437" s="94" t="str">
        <f aca="false">IF($AE437=Constants!$B$7,Constants!$B$8*AB437/$AP$6,"")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IF(ISBLANK(C437),"",IFERROR(_xlfn.SWITCH(BE437, Constants!$B$4, COUNTA($C$8:$C936)+2, Constants!$B$5, COUNTA($C$8:$C936)+1, Constants!$B$6, COUNTA($C$8:$C936)),BE437))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0"/>
      <c r="C438" s="121"/>
      <c r="D438" s="110"/>
      <c r="E438" s="114"/>
      <c r="F438" s="114"/>
      <c r="G438" s="86"/>
      <c r="H438" s="87"/>
      <c r="I438" s="123"/>
      <c r="J438" s="123"/>
      <c r="K438" s="123"/>
      <c r="L438" s="89"/>
      <c r="M438" s="89"/>
      <c r="N438" s="89"/>
      <c r="O438" s="90"/>
      <c r="P438" s="91"/>
      <c r="Q438" s="123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4" t="str">
        <f aca="false">IF(ISBLANK($C438),"",IF(J438=Constants!$B$2, TRUE(), IF(J438=Constants!$B$3,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Constants!B441) * IF(X438, 1, Constants!B442),"")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IF($AE438=Constants!$B$7,IF(AND(T438,U438,W438),Constants!$B$9*AH438/$AH$6, 0),"")</f>
        <v/>
      </c>
      <c r="AK438" s="94" t="str">
        <f aca="false">IF(AJ438&lt;&gt;"", AJ438*AG438,"")</f>
        <v/>
      </c>
      <c r="AL438" s="94" t="str">
        <f aca="false">IF(AND($AE438=Constants!$B$7, T438, U438) ,IF($Z438="", "", 1-ABS($AA438-$Z438)/$AA438),"")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,IF(AND(T438,U438,W438,ISNUMBER(Z438)),Constants!$B$10*AL438/$AL$6, 0),"")</f>
        <v/>
      </c>
      <c r="AO438" s="94" t="str">
        <f aca="false">IF(AN438&lt;&gt;"", AN438*AG438,"")</f>
        <v/>
      </c>
      <c r="AP438" s="94" t="str">
        <f aca="false">IF($AE438=Constants!$B$7,Constants!$B$8*AB438/$AP$6,"")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IF(ISBLANK(C438),"",IFERROR(_xlfn.SWITCH(BE438, Constants!$B$4, COUNTA($C$8:$C937)+2, Constants!$B$5, COUNTA($C$8:$C937)+1, Constants!$B$6, COUNTA($C$8:$C937)),BE438))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0"/>
      <c r="C439" s="121"/>
      <c r="D439" s="110"/>
      <c r="E439" s="114"/>
      <c r="F439" s="114"/>
      <c r="G439" s="86"/>
      <c r="H439" s="87"/>
      <c r="I439" s="123"/>
      <c r="J439" s="123"/>
      <c r="K439" s="123"/>
      <c r="L439" s="89"/>
      <c r="M439" s="89"/>
      <c r="N439" s="89"/>
      <c r="O439" s="90"/>
      <c r="P439" s="91"/>
      <c r="Q439" s="123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4" t="str">
        <f aca="false">IF(ISBLANK($C439),"",IF(J439=Constants!$B$2, TRUE(), IF(J439=Constants!$B$3,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Constants!B442) * IF(X439, 1, Constants!B443),"")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IF($AE439=Constants!$B$7,IF(AND(T439,U439,W439),Constants!$B$9*AH439/$AH$6, 0),"")</f>
        <v/>
      </c>
      <c r="AK439" s="94" t="str">
        <f aca="false">IF(AJ439&lt;&gt;"", AJ439*AG439,"")</f>
        <v/>
      </c>
      <c r="AL439" s="94" t="str">
        <f aca="false">IF(AND($AE439=Constants!$B$7, T439, U439) ,IF($Z439="", "", 1-ABS($AA439-$Z439)/$AA439),"")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,IF(AND(T439,U439,W439,ISNUMBER(Z439)),Constants!$B$10*AL439/$AL$6, 0),"")</f>
        <v/>
      </c>
      <c r="AO439" s="94" t="str">
        <f aca="false">IF(AN439&lt;&gt;"", AN439*AG439,"")</f>
        <v/>
      </c>
      <c r="AP439" s="94" t="str">
        <f aca="false">IF($AE439=Constants!$B$7,Constants!$B$8*AB439/$AP$6,"")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IF(ISBLANK(C439),"",IFERROR(_xlfn.SWITCH(BE439, Constants!$B$4, COUNTA($C$8:$C938)+2, Constants!$B$5, COUNTA($C$8:$C938)+1, Constants!$B$6, COUNTA($C$8:$C938)),BE439))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4"/>
      <c r="C440" s="51"/>
      <c r="D440" s="52"/>
      <c r="E440" s="118"/>
      <c r="F440" s="118"/>
      <c r="G440" s="54"/>
      <c r="H440" s="55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IF(ISBLANK($C440),"",IF(J440=Constants!$B$2, TRUE(), IF(J440=Constants!$B$3,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Constants!B443) * IF(X440, 1, Constants!B444),"")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IF($AE440=Constants!$B$7,IF(AND(T440,U440,W440),Constants!$B$9*AH440/$AH$6, 0),"")</f>
        <v/>
      </c>
      <c r="AK440" s="62" t="str">
        <f aca="false">IF(AJ440&lt;&gt;"", AJ440*AG440,"")</f>
        <v/>
      </c>
      <c r="AL440" s="62" t="str">
        <f aca="false">IF(AND($AE440=Constants!$B$7, T440, U440) ,IF($Z440="", "", 1-ABS($AA440-$Z440)/$AA440),"")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IF($AE440=Constants!$B$7,Constants!$B$8*AB440/$AP$6,"")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IF(ISBLANK(C440),"",IFERROR(_xlfn.SWITCH(BE440, Constants!$B$4, COUNTA($C$8:$C939)+2, Constants!$B$5, COUNTA($C$8:$C939)+1, Constants!$B$6, COUNTA($C$8:$C939)),BE440))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4"/>
      <c r="C441" s="51"/>
      <c r="D441" s="52"/>
      <c r="E441" s="118"/>
      <c r="F441" s="118"/>
      <c r="G441" s="54"/>
      <c r="H441" s="55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IF(ISBLANK($C441),"",IF(J441=Constants!$B$2, TRUE(), IF(J441=Constants!$B$3,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Constants!B444) * IF(X441, 1, Constants!B445),"")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IF($AE441=Constants!$B$7,IF(AND(T441,U441,W441),Constants!$B$9*AH441/$AH$6, 0),"")</f>
        <v/>
      </c>
      <c r="AK441" s="62" t="str">
        <f aca="false">IF(AJ441&lt;&gt;"", AJ441*AG441,"")</f>
        <v/>
      </c>
      <c r="AL441" s="62" t="str">
        <f aca="false">IF(AND($AE441=Constants!$B$7, T441, U441) ,IF($Z441="", "", 1-ABS($AA441-$Z441)/$AA441),"")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IF($AE441=Constants!$B$7,Constants!$B$8*AB441/$AP$6,"")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IF(ISBLANK(C441),"",IFERROR(_xlfn.SWITCH(BE441, Constants!$B$4, COUNTA($C$8:$C940)+2, Constants!$B$5, COUNTA($C$8:$C940)+1, Constants!$B$6, COUNTA($C$8:$C940)),BE441))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4"/>
      <c r="C442" s="51"/>
      <c r="D442" s="52"/>
      <c r="E442" s="118"/>
      <c r="F442" s="118"/>
      <c r="G442" s="54"/>
      <c r="H442" s="55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IF(ISBLANK($C442),"",IF(J442=Constants!$B$2, TRUE(), IF(J442=Constants!$B$3,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Constants!B445) * IF(X442, 1, Constants!B446),"")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IF($AE442=Constants!$B$7,IF(AND(T442,U442,W442),Constants!$B$9*AH442/$AH$6, 0),"")</f>
        <v/>
      </c>
      <c r="AK442" s="62" t="str">
        <f aca="false">IF(AJ442&lt;&gt;"", AJ442*AG442,"")</f>
        <v/>
      </c>
      <c r="AL442" s="62" t="str">
        <f aca="false">IF(AND($AE442=Constants!$B$7, T442, U442) ,IF($Z442="", "", 1-ABS($AA442-$Z442)/$AA442),"")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IF($AE442=Constants!$B$7,Constants!$B$8*AB442/$AP$6,"")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IF(ISBLANK(C442),"",IFERROR(_xlfn.SWITCH(BE442, Constants!$B$4, COUNTA($C$8:$C941)+2, Constants!$B$5, COUNTA($C$8:$C941)+1, Constants!$B$6, COUNTA($C$8:$C941)),BE442))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0"/>
      <c r="C443" s="121"/>
      <c r="D443" s="110"/>
      <c r="E443" s="114"/>
      <c r="F443" s="114"/>
      <c r="G443" s="86"/>
      <c r="H443" s="87"/>
      <c r="I443" s="123"/>
      <c r="J443" s="123"/>
      <c r="K443" s="123"/>
      <c r="L443" s="89"/>
      <c r="M443" s="89"/>
      <c r="N443" s="89"/>
      <c r="O443" s="90"/>
      <c r="P443" s="91"/>
      <c r="Q443" s="123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4" t="str">
        <f aca="false">IF(ISBLANK($C443),"",IF(J443=Constants!$B$2, TRUE(), IF(J443=Constants!$B$3,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Constants!B446) * IF(X443, 1, Constants!B447),"")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IF($AE443=Constants!$B$7,IF(AND(T443,U443,W443),Constants!$B$9*AH443/$AH$6, 0),"")</f>
        <v/>
      </c>
      <c r="AK443" s="94" t="str">
        <f aca="false">IF(AJ443&lt;&gt;"", AJ443*AG443,"")</f>
        <v/>
      </c>
      <c r="AL443" s="94" t="str">
        <f aca="false">IF(AND($AE443=Constants!$B$7, T443, U443) ,IF($Z443="", "", 1-ABS($AA443-$Z443)/$AA443),"")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,IF(AND(T443,U443,W443,ISNUMBER(Z443)),Constants!$B$10*AL443/$AL$6, 0),"")</f>
        <v/>
      </c>
      <c r="AO443" s="94" t="str">
        <f aca="false">IF(AN443&lt;&gt;"", AN443*AG443,"")</f>
        <v/>
      </c>
      <c r="AP443" s="94" t="str">
        <f aca="false">IF($AE443=Constants!$B$7,Constants!$B$8*AB443/$AP$6,"")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IF(ISBLANK(C443),"",IFERROR(_xlfn.SWITCH(BE443, Constants!$B$4, COUNTA($C$8:$C942)+2, Constants!$B$5, COUNTA($C$8:$C942)+1, Constants!$B$6, COUNTA($C$8:$C942)),BE443))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0"/>
      <c r="C444" s="121"/>
      <c r="D444" s="110"/>
      <c r="E444" s="114"/>
      <c r="F444" s="114"/>
      <c r="G444" s="86"/>
      <c r="H444" s="87"/>
      <c r="I444" s="123"/>
      <c r="J444" s="123"/>
      <c r="K444" s="123"/>
      <c r="L444" s="89"/>
      <c r="M444" s="89"/>
      <c r="N444" s="89"/>
      <c r="O444" s="90"/>
      <c r="P444" s="91"/>
      <c r="Q444" s="123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4" t="str">
        <f aca="false">IF(ISBLANK($C444),"",IF(J444=Constants!$B$2, TRUE(), IF(J444=Constants!$B$3,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Constants!B447) * IF(X444, 1, Constants!B448),"")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IF($AE444=Constants!$B$7,IF(AND(T444,U444,W444),Constants!$B$9*AH444/$AH$6, 0),"")</f>
        <v/>
      </c>
      <c r="AK444" s="94" t="str">
        <f aca="false">IF(AJ444&lt;&gt;"", AJ444*AG444,"")</f>
        <v/>
      </c>
      <c r="AL444" s="94" t="str">
        <f aca="false">IF(AND($AE444=Constants!$B$7, T444, U444) ,IF($Z444="", "", 1-ABS($AA444-$Z444)/$AA444),"")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,IF(AND(T444,U444,W444,ISNUMBER(Z444)),Constants!$B$10*AL444/$AL$6, 0),"")</f>
        <v/>
      </c>
      <c r="AO444" s="94" t="str">
        <f aca="false">IF(AN444&lt;&gt;"", AN444*AG444,"")</f>
        <v/>
      </c>
      <c r="AP444" s="94" t="str">
        <f aca="false">IF($AE444=Constants!$B$7,Constants!$B$8*AB444/$AP$6,"")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IF(ISBLANK(C444),"",IFERROR(_xlfn.SWITCH(BE444, Constants!$B$4, COUNTA($C$8:$C943)+2, Constants!$B$5, COUNTA($C$8:$C943)+1, Constants!$B$6, COUNTA($C$8:$C943)),BE444))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0"/>
      <c r="C445" s="121"/>
      <c r="D445" s="110"/>
      <c r="E445" s="114"/>
      <c r="F445" s="114"/>
      <c r="G445" s="86"/>
      <c r="H445" s="87"/>
      <c r="I445" s="123"/>
      <c r="J445" s="123"/>
      <c r="K445" s="123"/>
      <c r="L445" s="89"/>
      <c r="M445" s="89"/>
      <c r="N445" s="89"/>
      <c r="O445" s="90"/>
      <c r="P445" s="91"/>
      <c r="Q445" s="123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4" t="str">
        <f aca="false">IF(ISBLANK($C445),"",IF(J445=Constants!$B$2, TRUE(), IF(J445=Constants!$B$3,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Constants!B448) * IF(X445, 1, Constants!B449),"")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IF($AE445=Constants!$B$7,IF(AND(T445,U445,W445),Constants!$B$9*AH445/$AH$6, 0),"")</f>
        <v/>
      </c>
      <c r="AK445" s="94" t="str">
        <f aca="false">IF(AJ445&lt;&gt;"", AJ445*AG445,"")</f>
        <v/>
      </c>
      <c r="AL445" s="94" t="str">
        <f aca="false">IF(AND($AE445=Constants!$B$7, T445, U445) ,IF($Z445="", "", 1-ABS($AA445-$Z445)/$AA445),"")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,IF(AND(T445,U445,W445,ISNUMBER(Z445)),Constants!$B$10*AL445/$AL$6, 0),"")</f>
        <v/>
      </c>
      <c r="AO445" s="94" t="str">
        <f aca="false">IF(AN445&lt;&gt;"", AN445*AG445,"")</f>
        <v/>
      </c>
      <c r="AP445" s="94" t="str">
        <f aca="false">IF($AE445=Constants!$B$7,Constants!$B$8*AB445/$AP$6,"")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IF(ISBLANK(C445),"",IFERROR(_xlfn.SWITCH(BE445, Constants!$B$4, COUNTA($C$8:$C944)+2, Constants!$B$5, COUNTA($C$8:$C944)+1, Constants!$B$6, COUNTA($C$8:$C944)),BE445))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4"/>
      <c r="C446" s="51"/>
      <c r="D446" s="52"/>
      <c r="E446" s="118"/>
      <c r="F446" s="118"/>
      <c r="G446" s="54"/>
      <c r="H446" s="55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IF(ISBLANK($C446),"",IF(J446=Constants!$B$2, TRUE(), IF(J446=Constants!$B$3,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Constants!B449) * IF(X446, 1, Constants!B450),"")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IF($AE446=Constants!$B$7,IF(AND(T446,U446,W446),Constants!$B$9*AH446/$AH$6, 0),"")</f>
        <v/>
      </c>
      <c r="AK446" s="62" t="str">
        <f aca="false">IF(AJ446&lt;&gt;"", AJ446*AG446,"")</f>
        <v/>
      </c>
      <c r="AL446" s="62" t="str">
        <f aca="false">IF(AND($AE446=Constants!$B$7, T446, U446) ,IF($Z446="", "", 1-ABS($AA446-$Z446)/$AA446),"")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IF($AE446=Constants!$B$7,Constants!$B$8*AB446/$AP$6,"")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IF(ISBLANK(C446),"",IFERROR(_xlfn.SWITCH(BE446, Constants!$B$4, COUNTA($C$8:$C945)+2, Constants!$B$5, COUNTA($C$8:$C945)+1, Constants!$B$6, COUNTA($C$8:$C945)),BE446))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4"/>
      <c r="C447" s="51"/>
      <c r="D447" s="52"/>
      <c r="E447" s="118"/>
      <c r="F447" s="118"/>
      <c r="G447" s="54"/>
      <c r="H447" s="55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IF(ISBLANK($C447),"",IF(J447=Constants!$B$2, TRUE(), IF(J447=Constants!$B$3,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Constants!B450) * IF(X447, 1, Constants!B451),"")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IF($AE447=Constants!$B$7,IF(AND(T447,U447,W447),Constants!$B$9*AH447/$AH$6, 0),"")</f>
        <v/>
      </c>
      <c r="AK447" s="62" t="str">
        <f aca="false">IF(AJ447&lt;&gt;"", AJ447*AG447,"")</f>
        <v/>
      </c>
      <c r="AL447" s="62" t="str">
        <f aca="false">IF(AND($AE447=Constants!$B$7, T447, U447) ,IF($Z447="", "", 1-ABS($AA447-$Z447)/$AA447),"")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IF($AE447=Constants!$B$7,Constants!$B$8*AB447/$AP$6,"")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IF(ISBLANK(C447),"",IFERROR(_xlfn.SWITCH(BE447, Constants!$B$4, COUNTA($C$8:$C946)+2, Constants!$B$5, COUNTA($C$8:$C946)+1, Constants!$B$6, COUNTA($C$8:$C946)),BE447))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4"/>
      <c r="C448" s="51"/>
      <c r="D448" s="52"/>
      <c r="E448" s="118"/>
      <c r="F448" s="118"/>
      <c r="G448" s="54"/>
      <c r="H448" s="55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IF(ISBLANK($C448),"",IF(J448=Constants!$B$2, TRUE(), IF(J448=Constants!$B$3,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Constants!B451) * IF(X448, 1, Constants!B452),"")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IF($AE448=Constants!$B$7,IF(AND(T448,U448,W448),Constants!$B$9*AH448/$AH$6, 0),"")</f>
        <v/>
      </c>
      <c r="AK448" s="62" t="str">
        <f aca="false">IF(AJ448&lt;&gt;"", AJ448*AG448,"")</f>
        <v/>
      </c>
      <c r="AL448" s="62" t="str">
        <f aca="false">IF(AND($AE448=Constants!$B$7, T448, U448) ,IF($Z448="", "", 1-ABS($AA448-$Z448)/$AA448),"")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IF($AE448=Constants!$B$7,Constants!$B$8*AB448/$AP$6,"")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IF(ISBLANK(C448),"",IFERROR(_xlfn.SWITCH(BE448, Constants!$B$4, COUNTA($C$8:$C947)+2, Constants!$B$5, COUNTA($C$8:$C947)+1, Constants!$B$6, COUNTA($C$8:$C947)),BE448))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0"/>
      <c r="C449" s="121"/>
      <c r="D449" s="110"/>
      <c r="E449" s="114"/>
      <c r="F449" s="114"/>
      <c r="G449" s="86"/>
      <c r="H449" s="87"/>
      <c r="I449" s="123"/>
      <c r="J449" s="123"/>
      <c r="K449" s="123"/>
      <c r="L449" s="89"/>
      <c r="M449" s="89"/>
      <c r="N449" s="89"/>
      <c r="O449" s="90"/>
      <c r="P449" s="91"/>
      <c r="Q449" s="123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4" t="str">
        <f aca="false">IF(ISBLANK($C449),"",IF(J449=Constants!$B$2, TRUE(), IF(J449=Constants!$B$3,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Constants!B452) * IF(X449, 1, Constants!B453),"")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IF($AE449=Constants!$B$7,IF(AND(T449,U449,W449),Constants!$B$9*AH449/$AH$6, 0),"")</f>
        <v/>
      </c>
      <c r="AK449" s="94" t="str">
        <f aca="false">IF(AJ449&lt;&gt;"", AJ449*AG449,"")</f>
        <v/>
      </c>
      <c r="AL449" s="94" t="str">
        <f aca="false">IF(AND($AE449=Constants!$B$7, T449, U449) ,IF($Z449="", "", 1-ABS($AA449-$Z449)/$AA449),"")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,IF(AND(T449,U449,W449,ISNUMBER(Z449)),Constants!$B$10*AL449/$AL$6, 0),"")</f>
        <v/>
      </c>
      <c r="AO449" s="94" t="str">
        <f aca="false">IF(AN449&lt;&gt;"", AN449*AG449,"")</f>
        <v/>
      </c>
      <c r="AP449" s="94" t="str">
        <f aca="false">IF($AE449=Constants!$B$7,Constants!$B$8*AB449/$AP$6,"")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IF(ISBLANK(C449),"",IFERROR(_xlfn.SWITCH(BE449, Constants!$B$4, COUNTA($C$8:$C948)+2, Constants!$B$5, COUNTA($C$8:$C948)+1, Constants!$B$6, COUNTA($C$8:$C948)),BE449))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0"/>
      <c r="C450" s="121"/>
      <c r="D450" s="110"/>
      <c r="E450" s="114"/>
      <c r="F450" s="114"/>
      <c r="G450" s="86"/>
      <c r="H450" s="87"/>
      <c r="I450" s="123"/>
      <c r="J450" s="123"/>
      <c r="K450" s="123"/>
      <c r="L450" s="89"/>
      <c r="M450" s="89"/>
      <c r="N450" s="89"/>
      <c r="O450" s="90"/>
      <c r="P450" s="91"/>
      <c r="Q450" s="123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4" t="str">
        <f aca="false">IF(ISBLANK($C450),"",IF(J450=Constants!$B$2, TRUE(), IF(J450=Constants!$B$3,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Constants!B453) * IF(X450, 1, Constants!B454),"")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IF($AE450=Constants!$B$7,IF(AND(T450,U450,W450),Constants!$B$9*AH450/$AH$6, 0),"")</f>
        <v/>
      </c>
      <c r="AK450" s="94" t="str">
        <f aca="false">IF(AJ450&lt;&gt;"", AJ450*AG450,"")</f>
        <v/>
      </c>
      <c r="AL450" s="94" t="str">
        <f aca="false">IF(AND($AE450=Constants!$B$7, T450, U450) ,IF($Z450="", "", 1-ABS($AA450-$Z450)/$AA450),"")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,IF(AND(T450,U450,W450,ISNUMBER(Z450)),Constants!$B$10*AL450/$AL$6, 0),"")</f>
        <v/>
      </c>
      <c r="AO450" s="94" t="str">
        <f aca="false">IF(AN450&lt;&gt;"", AN450*AG450,"")</f>
        <v/>
      </c>
      <c r="AP450" s="94" t="str">
        <f aca="false">IF($AE450=Constants!$B$7,Constants!$B$8*AB450/$AP$6,"")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IF(ISBLANK(C450),"",IFERROR(_xlfn.SWITCH(BE450, Constants!$B$4, COUNTA($C$8:$C949)+2, Constants!$B$5, COUNTA($C$8:$C949)+1, Constants!$B$6, COUNTA($C$8:$C949)),BE450))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0"/>
      <c r="C451" s="121"/>
      <c r="D451" s="110"/>
      <c r="E451" s="114"/>
      <c r="F451" s="114"/>
      <c r="G451" s="86"/>
      <c r="H451" s="87"/>
      <c r="I451" s="123"/>
      <c r="J451" s="123"/>
      <c r="K451" s="123"/>
      <c r="L451" s="89"/>
      <c r="M451" s="89"/>
      <c r="N451" s="89"/>
      <c r="O451" s="90"/>
      <c r="P451" s="91"/>
      <c r="Q451" s="123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4" t="str">
        <f aca="false">IF(ISBLANK($C451),"",IF(J451=Constants!$B$2, TRUE(), IF(J451=Constants!$B$3,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Constants!B454) * IF(X451, 1, Constants!B455),"")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IF($AE451=Constants!$B$7,IF(AND(T451,U451,W451),Constants!$B$9*AH451/$AH$6, 0),"")</f>
        <v/>
      </c>
      <c r="AK451" s="94" t="str">
        <f aca="false">IF(AJ451&lt;&gt;"", AJ451*AG451,"")</f>
        <v/>
      </c>
      <c r="AL451" s="94" t="str">
        <f aca="false">IF(AND($AE451=Constants!$B$7, T451, U451) ,IF($Z451="", "", 1-ABS($AA451-$Z451)/$AA451),"")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,IF(AND(T451,U451,W451,ISNUMBER(Z451)),Constants!$B$10*AL451/$AL$6, 0),"")</f>
        <v/>
      </c>
      <c r="AO451" s="94" t="str">
        <f aca="false">IF(AN451&lt;&gt;"", AN451*AG451,"")</f>
        <v/>
      </c>
      <c r="AP451" s="94" t="str">
        <f aca="false">IF($AE451=Constants!$B$7,Constants!$B$8*AB451/$AP$6,"")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IF(ISBLANK(C451),"",IFERROR(_xlfn.SWITCH(BE451, Constants!$B$4, COUNTA($C$8:$C950)+2, Constants!$B$5, COUNTA($C$8:$C950)+1, Constants!$B$6, COUNTA($C$8:$C950)),BE451))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4"/>
      <c r="C452" s="51"/>
      <c r="D452" s="52"/>
      <c r="E452" s="118"/>
      <c r="F452" s="118"/>
      <c r="G452" s="54"/>
      <c r="H452" s="55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IF(ISBLANK($C452),"",IF(J452=Constants!$B$2, TRUE(), IF(J452=Constants!$B$3,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Constants!B455) * IF(X452, 1, Constants!B456),"")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IF($AE452=Constants!$B$7,IF(AND(T452,U452,W452),Constants!$B$9*AH452/$AH$6, 0),"")</f>
        <v/>
      </c>
      <c r="AK452" s="62" t="str">
        <f aca="false">IF(AJ452&lt;&gt;"", AJ452*AG452,"")</f>
        <v/>
      </c>
      <c r="AL452" s="62" t="str">
        <f aca="false">IF(AND($AE452=Constants!$B$7, T452, U452) ,IF($Z452="", "", 1-ABS($AA452-$Z452)/$AA452),"")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IF($AE452=Constants!$B$7,Constants!$B$8*AB452/$AP$6,"")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IF(ISBLANK(C452),"",IFERROR(_xlfn.SWITCH(BE452, Constants!$B$4, COUNTA($C$8:$C951)+2, Constants!$B$5, COUNTA($C$8:$C951)+1, Constants!$B$6, COUNTA($C$8:$C951)),BE452))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4"/>
      <c r="C453" s="51"/>
      <c r="D453" s="52"/>
      <c r="E453" s="118"/>
      <c r="F453" s="118"/>
      <c r="G453" s="54"/>
      <c r="H453" s="55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IF(ISBLANK($C453),"",IF(J453=Constants!$B$2, TRUE(), IF(J453=Constants!$B$3,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Constants!B456) * IF(X453, 1, Constants!B457),"")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IF($AE453=Constants!$B$7,IF(AND(T453,U453,W453),Constants!$B$9*AH453/$AH$6, 0),"")</f>
        <v/>
      </c>
      <c r="AK453" s="62" t="str">
        <f aca="false">IF(AJ453&lt;&gt;"", AJ453*AG453,"")</f>
        <v/>
      </c>
      <c r="AL453" s="62" t="str">
        <f aca="false">IF(AND($AE453=Constants!$B$7, T453, U453) ,IF($Z453="", "", 1-ABS($AA453-$Z453)/$AA453),"")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IF($AE453=Constants!$B$7,Constants!$B$8*AB453/$AP$6,"")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IF(ISBLANK(C453),"",IFERROR(_xlfn.SWITCH(BE453, Constants!$B$4, COUNTA($C$8:$C952)+2, Constants!$B$5, COUNTA($C$8:$C952)+1, Constants!$B$6, COUNTA($C$8:$C952)),BE453))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4"/>
      <c r="C454" s="51"/>
      <c r="D454" s="52"/>
      <c r="E454" s="118"/>
      <c r="F454" s="118"/>
      <c r="G454" s="54"/>
      <c r="H454" s="55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IF(ISBLANK($C454),"",IF(J454=Constants!$B$2, TRUE(), IF(J454=Constants!$B$3,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Constants!B457) * IF(X454, 1, Constants!B458),"")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IF($AE454=Constants!$B$7,IF(AND(T454,U454,W454),Constants!$B$9*AH454/$AH$6, 0),"")</f>
        <v/>
      </c>
      <c r="AK454" s="62" t="str">
        <f aca="false">IF(AJ454&lt;&gt;"", AJ454*AG454,"")</f>
        <v/>
      </c>
      <c r="AL454" s="62" t="str">
        <f aca="false">IF(AND($AE454=Constants!$B$7, T454, U454) ,IF($Z454="", "", 1-ABS($AA454-$Z454)/$AA454),"")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IF($AE454=Constants!$B$7,Constants!$B$8*AB454/$AP$6,"")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IF(ISBLANK(C454),"",IFERROR(_xlfn.SWITCH(BE454, Constants!$B$4, COUNTA($C$8:$C953)+2, Constants!$B$5, COUNTA($C$8:$C953)+1, Constants!$B$6, COUNTA($C$8:$C953)),BE454))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0"/>
      <c r="C455" s="121"/>
      <c r="D455" s="110"/>
      <c r="E455" s="114"/>
      <c r="F455" s="114"/>
      <c r="G455" s="86"/>
      <c r="H455" s="87"/>
      <c r="I455" s="123"/>
      <c r="J455" s="123"/>
      <c r="K455" s="123"/>
      <c r="L455" s="89"/>
      <c r="M455" s="89"/>
      <c r="N455" s="89"/>
      <c r="O455" s="90"/>
      <c r="P455" s="91"/>
      <c r="Q455" s="123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4" t="str">
        <f aca="false">IF(ISBLANK($C455),"",IF(J455=Constants!$B$2, TRUE(), IF(J455=Constants!$B$3,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Constants!B458) * IF(X455, 1, Constants!B459),"")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IF($AE455=Constants!$B$7,IF(AND(T455,U455,W455),Constants!$B$9*AH455/$AH$6, 0),"")</f>
        <v/>
      </c>
      <c r="AK455" s="94" t="str">
        <f aca="false">IF(AJ455&lt;&gt;"", AJ455*AG455,"")</f>
        <v/>
      </c>
      <c r="AL455" s="94" t="str">
        <f aca="false">IF(AND($AE455=Constants!$B$7, T455, U455) ,IF($Z455="", "", 1-ABS($AA455-$Z455)/$AA455),"")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,IF(AND(T455,U455,W455,ISNUMBER(Z455)),Constants!$B$10*AL455/$AL$6, 0),"")</f>
        <v/>
      </c>
      <c r="AO455" s="94" t="str">
        <f aca="false">IF(AN455&lt;&gt;"", AN455*AG455,"")</f>
        <v/>
      </c>
      <c r="AP455" s="94" t="str">
        <f aca="false">IF($AE455=Constants!$B$7,Constants!$B$8*AB455/$AP$6,"")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IF(ISBLANK(C455),"",IFERROR(_xlfn.SWITCH(BE455, Constants!$B$4, COUNTA($C$8:$C954)+2, Constants!$B$5, COUNTA($C$8:$C954)+1, Constants!$B$6, COUNTA($C$8:$C954)),BE455))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0"/>
      <c r="C456" s="121"/>
      <c r="D456" s="110"/>
      <c r="E456" s="114"/>
      <c r="F456" s="114"/>
      <c r="G456" s="86"/>
      <c r="H456" s="87"/>
      <c r="I456" s="123"/>
      <c r="J456" s="123"/>
      <c r="K456" s="123"/>
      <c r="L456" s="89"/>
      <c r="M456" s="89"/>
      <c r="N456" s="89"/>
      <c r="O456" s="90"/>
      <c r="P456" s="91"/>
      <c r="Q456" s="123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4" t="str">
        <f aca="false">IF(ISBLANK($C456),"",IF(J456=Constants!$B$2, TRUE(), IF(J456=Constants!$B$3,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Constants!B459) * IF(X456, 1, Constants!B460),"")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IF($AE456=Constants!$B$7,IF(AND(T456,U456,W456),Constants!$B$9*AH456/$AH$6, 0),"")</f>
        <v/>
      </c>
      <c r="AK456" s="94" t="str">
        <f aca="false">IF(AJ456&lt;&gt;"", AJ456*AG456,"")</f>
        <v/>
      </c>
      <c r="AL456" s="94" t="str">
        <f aca="false">IF(AND($AE456=Constants!$B$7, T456, U456) ,IF($Z456="", "", 1-ABS($AA456-$Z456)/$AA456),"")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,IF(AND(T456,U456,W456,ISNUMBER(Z456)),Constants!$B$10*AL456/$AL$6, 0),"")</f>
        <v/>
      </c>
      <c r="AO456" s="94" t="str">
        <f aca="false">IF(AN456&lt;&gt;"", AN456*AG456,"")</f>
        <v/>
      </c>
      <c r="AP456" s="94" t="str">
        <f aca="false">IF($AE456=Constants!$B$7,Constants!$B$8*AB456/$AP$6,"")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IF(ISBLANK(C456),"",IFERROR(_xlfn.SWITCH(BE456, Constants!$B$4, COUNTA($C$8:$C955)+2, Constants!$B$5, COUNTA($C$8:$C955)+1, Constants!$B$6, COUNTA($C$8:$C955)),BE456))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0"/>
      <c r="C457" s="121"/>
      <c r="D457" s="110"/>
      <c r="E457" s="114"/>
      <c r="F457" s="114"/>
      <c r="G457" s="86"/>
      <c r="H457" s="87"/>
      <c r="I457" s="123"/>
      <c r="J457" s="123"/>
      <c r="K457" s="123"/>
      <c r="L457" s="89"/>
      <c r="M457" s="89"/>
      <c r="N457" s="89"/>
      <c r="O457" s="90"/>
      <c r="P457" s="91"/>
      <c r="Q457" s="123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4" t="str">
        <f aca="false">IF(ISBLANK($C457),"",IF(J457=Constants!$B$2, TRUE(), IF(J457=Constants!$B$3,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Constants!B460) * IF(X457, 1, Constants!B461),"")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IF($AE457=Constants!$B$7,IF(AND(T457,U457,W457),Constants!$B$9*AH457/$AH$6, 0),"")</f>
        <v/>
      </c>
      <c r="AK457" s="94" t="str">
        <f aca="false">IF(AJ457&lt;&gt;"", AJ457*AG457,"")</f>
        <v/>
      </c>
      <c r="AL457" s="94" t="str">
        <f aca="false">IF(AND($AE457=Constants!$B$7, T457, U457) ,IF($Z457="", "", 1-ABS($AA457-$Z457)/$AA457),"")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,IF(AND(T457,U457,W457,ISNUMBER(Z457)),Constants!$B$10*AL457/$AL$6, 0),"")</f>
        <v/>
      </c>
      <c r="AO457" s="94" t="str">
        <f aca="false">IF(AN457&lt;&gt;"", AN457*AG457,"")</f>
        <v/>
      </c>
      <c r="AP457" s="94" t="str">
        <f aca="false">IF($AE457=Constants!$B$7,Constants!$B$8*AB457/$AP$6,"")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IF(ISBLANK(C457),"",IFERROR(_xlfn.SWITCH(BE457, Constants!$B$4, COUNTA($C$8:$C956)+2, Constants!$B$5, COUNTA($C$8:$C956)+1, Constants!$B$6, COUNTA($C$8:$C956)),BE457))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4"/>
      <c r="C458" s="51"/>
      <c r="D458" s="52"/>
      <c r="E458" s="118"/>
      <c r="F458" s="118"/>
      <c r="G458" s="54"/>
      <c r="H458" s="55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IF(ISBLANK($C458),"",IF(J458=Constants!$B$2, TRUE(), IF(J458=Constants!$B$3,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Constants!B461) * IF(X458, 1, Constants!B462),"")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IF($AE458=Constants!$B$7,IF(AND(T458,U458,W458),Constants!$B$9*AH458/$AH$6, 0),"")</f>
        <v/>
      </c>
      <c r="AK458" s="62" t="str">
        <f aca="false">IF(AJ458&lt;&gt;"", AJ458*AG458,"")</f>
        <v/>
      </c>
      <c r="AL458" s="62" t="str">
        <f aca="false">IF(AND($AE458=Constants!$B$7, T458, U458) ,IF($Z458="", "", 1-ABS($AA458-$Z458)/$AA458),"")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IF($AE458=Constants!$B$7,Constants!$B$8*AB458/$AP$6,"")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IF(ISBLANK(C458),"",IFERROR(_xlfn.SWITCH(BE458, Constants!$B$4, COUNTA($C$8:$C957)+2, Constants!$B$5, COUNTA($C$8:$C957)+1, Constants!$B$6, COUNTA($C$8:$C957)),BE458))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4"/>
      <c r="C459" s="51"/>
      <c r="D459" s="52"/>
      <c r="E459" s="118"/>
      <c r="F459" s="118"/>
      <c r="G459" s="54"/>
      <c r="H459" s="55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IF(ISBLANK($C459),"",IF(J459=Constants!$B$2, TRUE(), IF(J459=Constants!$B$3,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Constants!B462) * IF(X459, 1, Constants!B463),"")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IF($AE459=Constants!$B$7,IF(AND(T459,U459,W459),Constants!$B$9*AH459/$AH$6, 0),"")</f>
        <v/>
      </c>
      <c r="AK459" s="62" t="str">
        <f aca="false">IF(AJ459&lt;&gt;"", AJ459*AG459,"")</f>
        <v/>
      </c>
      <c r="AL459" s="62" t="str">
        <f aca="false">IF(AND($AE459=Constants!$B$7, T459, U459) ,IF($Z459="", "", 1-ABS($AA459-$Z459)/$AA459),"")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IF($AE459=Constants!$B$7,Constants!$B$8*AB459/$AP$6,"")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IF(ISBLANK(C459),"",IFERROR(_xlfn.SWITCH(BE459, Constants!$B$4, COUNTA($C$8:$C958)+2, Constants!$B$5, COUNTA($C$8:$C958)+1, Constants!$B$6, COUNTA($C$8:$C958)),BE459))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4"/>
      <c r="C460" s="51"/>
      <c r="D460" s="52"/>
      <c r="E460" s="118"/>
      <c r="F460" s="118"/>
      <c r="G460" s="54"/>
      <c r="H460" s="55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IF(ISBLANK($C460),"",IF(J460=Constants!$B$2, TRUE(), IF(J460=Constants!$B$3,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Constants!B463) * IF(X460, 1, Constants!B464),"")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IF($AE460=Constants!$B$7,IF(AND(T460,U460,W460),Constants!$B$9*AH460/$AH$6, 0),"")</f>
        <v/>
      </c>
      <c r="AK460" s="62" t="str">
        <f aca="false">IF(AJ460&lt;&gt;"", AJ460*AG460,"")</f>
        <v/>
      </c>
      <c r="AL460" s="62" t="str">
        <f aca="false">IF(AND($AE460=Constants!$B$7, T460, U460) ,IF($Z460="", "", 1-ABS($AA460-$Z460)/$AA460),"")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IF($AE460=Constants!$B$7,Constants!$B$8*AB460/$AP$6,"")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IF(ISBLANK(C460),"",IFERROR(_xlfn.SWITCH(BE460, Constants!$B$4, COUNTA($C$8:$C959)+2, Constants!$B$5, COUNTA($C$8:$C959)+1, Constants!$B$6, COUNTA($C$8:$C959)),BE460))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0"/>
      <c r="C461" s="121"/>
      <c r="D461" s="110"/>
      <c r="E461" s="114"/>
      <c r="F461" s="114"/>
      <c r="G461" s="86"/>
      <c r="H461" s="87"/>
      <c r="I461" s="123"/>
      <c r="J461" s="123"/>
      <c r="K461" s="123"/>
      <c r="L461" s="89"/>
      <c r="M461" s="89"/>
      <c r="N461" s="89"/>
      <c r="O461" s="90"/>
      <c r="P461" s="91"/>
      <c r="Q461" s="123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4" t="str">
        <f aca="false">IF(ISBLANK($C461),"",IF(J461=Constants!$B$2, TRUE(), IF(J461=Constants!$B$3,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Constants!B464) * IF(X461, 1, Constants!B465),"")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IF($AE461=Constants!$B$7,IF(AND(T461,U461,W461),Constants!$B$9*AH461/$AH$6, 0),"")</f>
        <v/>
      </c>
      <c r="AK461" s="94" t="str">
        <f aca="false">IF(AJ461&lt;&gt;"", AJ461*AG461,"")</f>
        <v/>
      </c>
      <c r="AL461" s="94" t="str">
        <f aca="false">IF(AND($AE461=Constants!$B$7, T461, U461) ,IF($Z461="", "", 1-ABS($AA461-$Z461)/$AA461),"")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,IF(AND(T461,U461,W461,ISNUMBER(Z461)),Constants!$B$10*AL461/$AL$6, 0),"")</f>
        <v/>
      </c>
      <c r="AO461" s="94" t="str">
        <f aca="false">IF(AN461&lt;&gt;"", AN461*AG461,"")</f>
        <v/>
      </c>
      <c r="AP461" s="94" t="str">
        <f aca="false">IF($AE461=Constants!$B$7,Constants!$B$8*AB461/$AP$6,"")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IF(ISBLANK(C461),"",IFERROR(_xlfn.SWITCH(BE461, Constants!$B$4, COUNTA($C$8:$C960)+2, Constants!$B$5, COUNTA($C$8:$C960)+1, Constants!$B$6, COUNTA($C$8:$C960)),BE461))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0"/>
      <c r="C462" s="121"/>
      <c r="D462" s="110"/>
      <c r="E462" s="114"/>
      <c r="F462" s="114"/>
      <c r="G462" s="86"/>
      <c r="H462" s="87"/>
      <c r="I462" s="123"/>
      <c r="J462" s="123"/>
      <c r="K462" s="123"/>
      <c r="L462" s="89"/>
      <c r="M462" s="89"/>
      <c r="N462" s="89"/>
      <c r="O462" s="90"/>
      <c r="P462" s="91"/>
      <c r="Q462" s="123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4" t="str">
        <f aca="false">IF(ISBLANK($C462),"",IF(J462=Constants!$B$2, TRUE(), IF(J462=Constants!$B$3,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Constants!B465) * IF(X462, 1, Constants!B466),"")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IF($AE462=Constants!$B$7,IF(AND(T462,U462,W462),Constants!$B$9*AH462/$AH$6, 0),"")</f>
        <v/>
      </c>
      <c r="AK462" s="94" t="str">
        <f aca="false">IF(AJ462&lt;&gt;"", AJ462*AG462,"")</f>
        <v/>
      </c>
      <c r="AL462" s="94" t="str">
        <f aca="false">IF(AND($AE462=Constants!$B$7, T462, U462) ,IF($Z462="", "", 1-ABS($AA462-$Z462)/$AA462),"")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,IF(AND(T462,U462,W462,ISNUMBER(Z462)),Constants!$B$10*AL462/$AL$6, 0),"")</f>
        <v/>
      </c>
      <c r="AO462" s="94" t="str">
        <f aca="false">IF(AN462&lt;&gt;"", AN462*AG462,"")</f>
        <v/>
      </c>
      <c r="AP462" s="94" t="str">
        <f aca="false">IF($AE462=Constants!$B$7,Constants!$B$8*AB462/$AP$6,"")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IF(ISBLANK(C462),"",IFERROR(_xlfn.SWITCH(BE462, Constants!$B$4, COUNTA($C$8:$C961)+2, Constants!$B$5, COUNTA($C$8:$C961)+1, Constants!$B$6, COUNTA($C$8:$C961)),BE462))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0"/>
      <c r="C463" s="121"/>
      <c r="D463" s="110"/>
      <c r="E463" s="114"/>
      <c r="F463" s="114"/>
      <c r="G463" s="86"/>
      <c r="H463" s="87"/>
      <c r="I463" s="123"/>
      <c r="J463" s="123"/>
      <c r="K463" s="123"/>
      <c r="L463" s="89"/>
      <c r="M463" s="89"/>
      <c r="N463" s="89"/>
      <c r="O463" s="90"/>
      <c r="P463" s="91"/>
      <c r="Q463" s="123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4" t="str">
        <f aca="false">IF(ISBLANK($C463),"",IF(J463=Constants!$B$2, TRUE(), IF(J463=Constants!$B$3,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Constants!B466) * IF(X463, 1, Constants!B467),"")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IF($AE463=Constants!$B$7,IF(AND(T463,U463,W463),Constants!$B$9*AH463/$AH$6, 0),"")</f>
        <v/>
      </c>
      <c r="AK463" s="94" t="str">
        <f aca="false">IF(AJ463&lt;&gt;"", AJ463*AG463,"")</f>
        <v/>
      </c>
      <c r="AL463" s="94" t="str">
        <f aca="false">IF(AND($AE463=Constants!$B$7, T463, U463) ,IF($Z463="", "", 1-ABS($AA463-$Z463)/$AA463),"")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,IF(AND(T463,U463,W463,ISNUMBER(Z463)),Constants!$B$10*AL463/$AL$6, 0),"")</f>
        <v/>
      </c>
      <c r="AO463" s="94" t="str">
        <f aca="false">IF(AN463&lt;&gt;"", AN463*AG463,"")</f>
        <v/>
      </c>
      <c r="AP463" s="94" t="str">
        <f aca="false">IF($AE463=Constants!$B$7,Constants!$B$8*AB463/$AP$6,"")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IF(ISBLANK(C463),"",IFERROR(_xlfn.SWITCH(BE463, Constants!$B$4, COUNTA($C$8:$C962)+2, Constants!$B$5, COUNTA($C$8:$C962)+1, Constants!$B$6, COUNTA($C$8:$C962)),BE463))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4"/>
      <c r="C464" s="51"/>
      <c r="D464" s="52"/>
      <c r="E464" s="118"/>
      <c r="F464" s="118"/>
      <c r="G464" s="54"/>
      <c r="H464" s="55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IF(ISBLANK($C464),"",IF(J464=Constants!$B$2, TRUE(), IF(J464=Constants!$B$3,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Constants!B467) * IF(X464, 1, Constants!B468),"")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IF($AE464=Constants!$B$7,IF(AND(T464,U464,W464),Constants!$B$9*AH464/$AH$6, 0),"")</f>
        <v/>
      </c>
      <c r="AK464" s="62" t="str">
        <f aca="false">IF(AJ464&lt;&gt;"", AJ464*AG464,"")</f>
        <v/>
      </c>
      <c r="AL464" s="62" t="str">
        <f aca="false">IF(AND($AE464=Constants!$B$7, T464, U464) ,IF($Z464="", "", 1-ABS($AA464-$Z464)/$AA464),"")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IF($AE464=Constants!$B$7,Constants!$B$8*AB464/$AP$6,"")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IF(ISBLANK(C464),"",IFERROR(_xlfn.SWITCH(BE464, Constants!$B$4, COUNTA($C$8:$C963)+2, Constants!$B$5, COUNTA($C$8:$C963)+1, Constants!$B$6, COUNTA($C$8:$C963)),BE464))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4"/>
      <c r="C465" s="51"/>
      <c r="D465" s="52"/>
      <c r="E465" s="118"/>
      <c r="F465" s="118"/>
      <c r="G465" s="54"/>
      <c r="H465" s="55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IF(ISBLANK($C465),"",IF(J465=Constants!$B$2, TRUE(), IF(J465=Constants!$B$3,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Constants!B468) * IF(X465, 1, Constants!B469),"")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IF($AE465=Constants!$B$7,IF(AND(T465,U465,W465),Constants!$B$9*AH465/$AH$6, 0),"")</f>
        <v/>
      </c>
      <c r="AK465" s="62" t="str">
        <f aca="false">IF(AJ465&lt;&gt;"", AJ465*AG465,"")</f>
        <v/>
      </c>
      <c r="AL465" s="62" t="str">
        <f aca="false">IF(AND($AE465=Constants!$B$7, T465, U465) ,IF($Z465="", "", 1-ABS($AA465-$Z465)/$AA465),"")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IF($AE465=Constants!$B$7,Constants!$B$8*AB465/$AP$6,"")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IF(ISBLANK(C465),"",IFERROR(_xlfn.SWITCH(BE465, Constants!$B$4, COUNTA($C$8:$C964)+2, Constants!$B$5, COUNTA($C$8:$C964)+1, Constants!$B$6, COUNTA($C$8:$C964)),BE465))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4"/>
      <c r="C466" s="51"/>
      <c r="D466" s="52"/>
      <c r="E466" s="118"/>
      <c r="F466" s="118"/>
      <c r="G466" s="54"/>
      <c r="H466" s="55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IF(ISBLANK($C466),"",IF(J466=Constants!$B$2, TRUE(), IF(J466=Constants!$B$3,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Constants!B469) * IF(X466, 1, Constants!B470),"")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IF($AE466=Constants!$B$7,IF(AND(T466,U466,W466),Constants!$B$9*AH466/$AH$6, 0),"")</f>
        <v/>
      </c>
      <c r="AK466" s="62" t="str">
        <f aca="false">IF(AJ466&lt;&gt;"", AJ466*AG466,"")</f>
        <v/>
      </c>
      <c r="AL466" s="62" t="str">
        <f aca="false">IF(AND($AE466=Constants!$B$7, T466, U466) ,IF($Z466="", "", 1-ABS($AA466-$Z466)/$AA466),"")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IF($AE466=Constants!$B$7,Constants!$B$8*AB466/$AP$6,"")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IF(ISBLANK(C466),"",IFERROR(_xlfn.SWITCH(BE466, Constants!$B$4, COUNTA($C$8:$C965)+2, Constants!$B$5, COUNTA($C$8:$C965)+1, Constants!$B$6, COUNTA($C$8:$C965)),BE466))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0"/>
      <c r="C467" s="121"/>
      <c r="D467" s="110"/>
      <c r="E467" s="114"/>
      <c r="F467" s="114"/>
      <c r="G467" s="86"/>
      <c r="H467" s="87"/>
      <c r="I467" s="123"/>
      <c r="J467" s="123"/>
      <c r="K467" s="123"/>
      <c r="L467" s="89"/>
      <c r="M467" s="89"/>
      <c r="N467" s="89"/>
      <c r="O467" s="90"/>
      <c r="P467" s="91"/>
      <c r="Q467" s="123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4" t="str">
        <f aca="false">IF(ISBLANK($C467),"",IF(J467=Constants!$B$2, TRUE(), IF(J467=Constants!$B$3,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Constants!B470) * IF(X467, 1, Constants!B471),"")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IF($AE467=Constants!$B$7,IF(AND(T467,U467,W467),Constants!$B$9*AH467/$AH$6, 0),"")</f>
        <v/>
      </c>
      <c r="AK467" s="94" t="str">
        <f aca="false">IF(AJ467&lt;&gt;"", AJ467*AG467,"")</f>
        <v/>
      </c>
      <c r="AL467" s="94" t="str">
        <f aca="false">IF(AND($AE467=Constants!$B$7, T467, U467) ,IF($Z467="", "", 1-ABS($AA467-$Z467)/$AA467),"")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,IF(AND(T467,U467,W467,ISNUMBER(Z467)),Constants!$B$10*AL467/$AL$6, 0),"")</f>
        <v/>
      </c>
      <c r="AO467" s="94" t="str">
        <f aca="false">IF(AN467&lt;&gt;"", AN467*AG467,"")</f>
        <v/>
      </c>
      <c r="AP467" s="94" t="str">
        <f aca="false">IF($AE467=Constants!$B$7,Constants!$B$8*AB467/$AP$6,"")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IF(ISBLANK(C467),"",IFERROR(_xlfn.SWITCH(BE467, Constants!$B$4, COUNTA($C$8:$C966)+2, Constants!$B$5, COUNTA($C$8:$C966)+1, Constants!$B$6, COUNTA($C$8:$C966)),BE467))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0"/>
      <c r="C468" s="121"/>
      <c r="D468" s="110"/>
      <c r="E468" s="114"/>
      <c r="F468" s="114"/>
      <c r="G468" s="86"/>
      <c r="H468" s="87"/>
      <c r="I468" s="123"/>
      <c r="J468" s="123"/>
      <c r="K468" s="123"/>
      <c r="L468" s="89"/>
      <c r="M468" s="89"/>
      <c r="N468" s="89"/>
      <c r="O468" s="90"/>
      <c r="P468" s="91"/>
      <c r="Q468" s="123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4" t="str">
        <f aca="false">IF(ISBLANK($C468),"",IF(J468=Constants!$B$2, TRUE(), IF(J468=Constants!$B$3,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Constants!B471) * IF(X468, 1, Constants!B472),"")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IF($AE468=Constants!$B$7,IF(AND(T468,U468,W468),Constants!$B$9*AH468/$AH$6, 0),"")</f>
        <v/>
      </c>
      <c r="AK468" s="94" t="str">
        <f aca="false">IF(AJ468&lt;&gt;"", AJ468*AG468,"")</f>
        <v/>
      </c>
      <c r="AL468" s="94" t="str">
        <f aca="false">IF(AND($AE468=Constants!$B$7, T468, U468) ,IF($Z468="", "", 1-ABS($AA468-$Z468)/$AA468),"")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,IF(AND(T468,U468,W468,ISNUMBER(Z468)),Constants!$B$10*AL468/$AL$6, 0),"")</f>
        <v/>
      </c>
      <c r="AO468" s="94" t="str">
        <f aca="false">IF(AN468&lt;&gt;"", AN468*AG468,"")</f>
        <v/>
      </c>
      <c r="AP468" s="94" t="str">
        <f aca="false">IF($AE468=Constants!$B$7,Constants!$B$8*AB468/$AP$6,"")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IF(ISBLANK(C468),"",IFERROR(_xlfn.SWITCH(BE468, Constants!$B$4, COUNTA($C$8:$C967)+2, Constants!$B$5, COUNTA($C$8:$C967)+1, Constants!$B$6, COUNTA($C$8:$C967)),BE468))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0"/>
      <c r="C469" s="121"/>
      <c r="D469" s="110"/>
      <c r="E469" s="114"/>
      <c r="F469" s="114"/>
      <c r="G469" s="86"/>
      <c r="H469" s="87"/>
      <c r="I469" s="123"/>
      <c r="J469" s="123"/>
      <c r="K469" s="123"/>
      <c r="L469" s="89"/>
      <c r="M469" s="89"/>
      <c r="N469" s="89"/>
      <c r="O469" s="90"/>
      <c r="P469" s="91"/>
      <c r="Q469" s="123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4" t="str">
        <f aca="false">IF(ISBLANK($C469),"",IF(J469=Constants!$B$2, TRUE(), IF(J469=Constants!$B$3,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Constants!B472) * IF(X469, 1, Constants!B473),"")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IF($AE469=Constants!$B$7,IF(AND(T469,U469,W469),Constants!$B$9*AH469/$AH$6, 0),"")</f>
        <v/>
      </c>
      <c r="AK469" s="94" t="str">
        <f aca="false">IF(AJ469&lt;&gt;"", AJ469*AG469,"")</f>
        <v/>
      </c>
      <c r="AL469" s="94" t="str">
        <f aca="false">IF(AND($AE469=Constants!$B$7, T469, U469) ,IF($Z469="", "", 1-ABS($AA469-$Z469)/$AA469),"")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,IF(AND(T469,U469,W469,ISNUMBER(Z469)),Constants!$B$10*AL469/$AL$6, 0),"")</f>
        <v/>
      </c>
      <c r="AO469" s="94" t="str">
        <f aca="false">IF(AN469&lt;&gt;"", AN469*AG469,"")</f>
        <v/>
      </c>
      <c r="AP469" s="94" t="str">
        <f aca="false">IF($AE469=Constants!$B$7,Constants!$B$8*AB469/$AP$6,"")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IF(ISBLANK(C469),"",IFERROR(_xlfn.SWITCH(BE469, Constants!$B$4, COUNTA($C$8:$C968)+2, Constants!$B$5, COUNTA($C$8:$C968)+1, Constants!$B$6, COUNTA($C$8:$C968)),BE469))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4"/>
      <c r="C470" s="51"/>
      <c r="D470" s="52"/>
      <c r="E470" s="118"/>
      <c r="F470" s="118"/>
      <c r="G470" s="54"/>
      <c r="H470" s="55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IF(ISBLANK($C470),"",IF(J470=Constants!$B$2, TRUE(), IF(J470=Constants!$B$3,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Constants!B473) * IF(X470, 1, Constants!B474),"")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IF($AE470=Constants!$B$7,IF(AND(T470,U470,W470),Constants!$B$9*AH470/$AH$6, 0),"")</f>
        <v/>
      </c>
      <c r="AK470" s="62" t="str">
        <f aca="false">IF(AJ470&lt;&gt;"", AJ470*AG470,"")</f>
        <v/>
      </c>
      <c r="AL470" s="62" t="str">
        <f aca="false">IF(AND($AE470=Constants!$B$7, T470, U470) ,IF($Z470="", "", 1-ABS($AA470-$Z470)/$AA470),"")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IF($AE470=Constants!$B$7,Constants!$B$8*AB470/$AP$6,"")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IF(ISBLANK(C470),"",IFERROR(_xlfn.SWITCH(BE470, Constants!$B$4, COUNTA($C$8:$C969)+2, Constants!$B$5, COUNTA($C$8:$C969)+1, Constants!$B$6, COUNTA($C$8:$C969)),BE470))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4"/>
      <c r="C471" s="51"/>
      <c r="D471" s="52"/>
      <c r="E471" s="118"/>
      <c r="F471" s="118"/>
      <c r="G471" s="54"/>
      <c r="H471" s="55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IF(ISBLANK($C471),"",IF(J471=Constants!$B$2, TRUE(), IF(J471=Constants!$B$3,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Constants!B474) * IF(X471, 1, Constants!B475),"")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IF($AE471=Constants!$B$7,IF(AND(T471,U471,W471),Constants!$B$9*AH471/$AH$6, 0),"")</f>
        <v/>
      </c>
      <c r="AK471" s="62" t="str">
        <f aca="false">IF(AJ471&lt;&gt;"", AJ471*AG471,"")</f>
        <v/>
      </c>
      <c r="AL471" s="62" t="str">
        <f aca="false">IF(AND($AE471=Constants!$B$7, T471, U471) ,IF($Z471="", "", 1-ABS($AA471-$Z471)/$AA471),"")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IF($AE471=Constants!$B$7,Constants!$B$8*AB471/$AP$6,"")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IF(ISBLANK(C471),"",IFERROR(_xlfn.SWITCH(BE471, Constants!$B$4, COUNTA($C$8:$C970)+2, Constants!$B$5, COUNTA($C$8:$C970)+1, Constants!$B$6, COUNTA($C$8:$C970)),BE471))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4"/>
      <c r="C472" s="51"/>
      <c r="D472" s="52"/>
      <c r="E472" s="118"/>
      <c r="F472" s="118"/>
      <c r="G472" s="54"/>
      <c r="H472" s="55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IF(ISBLANK($C472),"",IF(J472=Constants!$B$2, TRUE(), IF(J472=Constants!$B$3,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Constants!B475) * IF(X472, 1, Constants!B476),"")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IF($AE472=Constants!$B$7,IF(AND(T472,U472,W472),Constants!$B$9*AH472/$AH$6, 0),"")</f>
        <v/>
      </c>
      <c r="AK472" s="62" t="str">
        <f aca="false">IF(AJ472&lt;&gt;"", AJ472*AG472,"")</f>
        <v/>
      </c>
      <c r="AL472" s="62" t="str">
        <f aca="false">IF(AND($AE472=Constants!$B$7, T472, U472) ,IF($Z472="", "", 1-ABS($AA472-$Z472)/$AA472),"")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IF($AE472=Constants!$B$7,Constants!$B$8*AB472/$AP$6,"")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IF(ISBLANK(C472),"",IFERROR(_xlfn.SWITCH(BE472, Constants!$B$4, COUNTA($C$8:$C971)+2, Constants!$B$5, COUNTA($C$8:$C971)+1, Constants!$B$6, COUNTA($C$8:$C971)),BE472))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0"/>
      <c r="C473" s="121"/>
      <c r="D473" s="110"/>
      <c r="E473" s="114"/>
      <c r="F473" s="114"/>
      <c r="G473" s="86"/>
      <c r="H473" s="87"/>
      <c r="I473" s="123"/>
      <c r="J473" s="123"/>
      <c r="K473" s="123"/>
      <c r="L473" s="89"/>
      <c r="M473" s="89"/>
      <c r="N473" s="89"/>
      <c r="O473" s="90"/>
      <c r="P473" s="91"/>
      <c r="Q473" s="123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4" t="str">
        <f aca="false">IF(ISBLANK($C473),"",IF(J473=Constants!$B$2, TRUE(), IF(J473=Constants!$B$3,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Constants!B476) * IF(X473, 1, Constants!B477),"")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IF($AE473=Constants!$B$7,IF(AND(T473,U473,W473),Constants!$B$9*AH473/$AH$6, 0),"")</f>
        <v/>
      </c>
      <c r="AK473" s="94" t="str">
        <f aca="false">IF(AJ473&lt;&gt;"", AJ473*AG473,"")</f>
        <v/>
      </c>
      <c r="AL473" s="94" t="str">
        <f aca="false">IF(AND($AE473=Constants!$B$7, T473, U473) ,IF($Z473="", "", 1-ABS($AA473-$Z473)/$AA473),"")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,IF(AND(T473,U473,W473,ISNUMBER(Z473)),Constants!$B$10*AL473/$AL$6, 0),"")</f>
        <v/>
      </c>
      <c r="AO473" s="94" t="str">
        <f aca="false">IF(AN473&lt;&gt;"", AN473*AG473,"")</f>
        <v/>
      </c>
      <c r="AP473" s="94" t="str">
        <f aca="false">IF($AE473=Constants!$B$7,Constants!$B$8*AB473/$AP$6,"")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IF(ISBLANK(C473),"",IFERROR(_xlfn.SWITCH(BE473, Constants!$B$4, COUNTA($C$8:$C972)+2, Constants!$B$5, COUNTA($C$8:$C972)+1, Constants!$B$6, COUNTA($C$8:$C972)),BE473))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0"/>
      <c r="C474" s="121"/>
      <c r="D474" s="110"/>
      <c r="E474" s="114"/>
      <c r="F474" s="114"/>
      <c r="G474" s="86"/>
      <c r="H474" s="87"/>
      <c r="I474" s="123"/>
      <c r="J474" s="123"/>
      <c r="K474" s="123"/>
      <c r="L474" s="89"/>
      <c r="M474" s="89"/>
      <c r="N474" s="89"/>
      <c r="O474" s="90"/>
      <c r="P474" s="91"/>
      <c r="Q474" s="123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4" t="str">
        <f aca="false">IF(ISBLANK($C474),"",IF(J474=Constants!$B$2, TRUE(), IF(J474=Constants!$B$3,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Constants!B477) * IF(X474, 1, Constants!B478),"")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IF($AE474=Constants!$B$7,IF(AND(T474,U474,W474),Constants!$B$9*AH474/$AH$6, 0),"")</f>
        <v/>
      </c>
      <c r="AK474" s="94" t="str">
        <f aca="false">IF(AJ474&lt;&gt;"", AJ474*AG474,"")</f>
        <v/>
      </c>
      <c r="AL474" s="94" t="str">
        <f aca="false">IF(AND($AE474=Constants!$B$7, T474, U474) ,IF($Z474="", "", 1-ABS($AA474-$Z474)/$AA474),"")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,IF(AND(T474,U474,W474,ISNUMBER(Z474)),Constants!$B$10*AL474/$AL$6, 0),"")</f>
        <v/>
      </c>
      <c r="AO474" s="94" t="str">
        <f aca="false">IF(AN474&lt;&gt;"", AN474*AG474,"")</f>
        <v/>
      </c>
      <c r="AP474" s="94" t="str">
        <f aca="false">IF($AE474=Constants!$B$7,Constants!$B$8*AB474/$AP$6,"")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IF(ISBLANK(C474),"",IFERROR(_xlfn.SWITCH(BE474, Constants!$B$4, COUNTA($C$8:$C973)+2, Constants!$B$5, COUNTA($C$8:$C973)+1, Constants!$B$6, COUNTA($C$8:$C973)),BE474))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0"/>
      <c r="C475" s="121"/>
      <c r="D475" s="110"/>
      <c r="E475" s="114"/>
      <c r="F475" s="114"/>
      <c r="G475" s="86"/>
      <c r="H475" s="87"/>
      <c r="I475" s="123"/>
      <c r="J475" s="123"/>
      <c r="K475" s="123"/>
      <c r="L475" s="89"/>
      <c r="M475" s="89"/>
      <c r="N475" s="89"/>
      <c r="O475" s="90"/>
      <c r="P475" s="91"/>
      <c r="Q475" s="123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4" t="str">
        <f aca="false">IF(ISBLANK($C475),"",IF(J475=Constants!$B$2, TRUE(), IF(J475=Constants!$B$3,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Constants!B478) * IF(X475, 1, Constants!B479),"")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IF($AE475=Constants!$B$7,IF(AND(T475,U475,W475),Constants!$B$9*AH475/$AH$6, 0),"")</f>
        <v/>
      </c>
      <c r="AK475" s="94" t="str">
        <f aca="false">IF(AJ475&lt;&gt;"", AJ475*AG475,"")</f>
        <v/>
      </c>
      <c r="AL475" s="94" t="str">
        <f aca="false">IF(AND($AE475=Constants!$B$7, T475, U475) ,IF($Z475="", "", 1-ABS($AA475-$Z475)/$AA475),"")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,IF(AND(T475,U475,W475,ISNUMBER(Z475)),Constants!$B$10*AL475/$AL$6, 0),"")</f>
        <v/>
      </c>
      <c r="AO475" s="94" t="str">
        <f aca="false">IF(AN475&lt;&gt;"", AN475*AG475,"")</f>
        <v/>
      </c>
      <c r="AP475" s="94" t="str">
        <f aca="false">IF($AE475=Constants!$B$7,Constants!$B$8*AB475/$AP$6,"")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IF(ISBLANK(C475),"",IFERROR(_xlfn.SWITCH(BE475, Constants!$B$4, COUNTA($C$8:$C974)+2, Constants!$B$5, COUNTA($C$8:$C974)+1, Constants!$B$6, COUNTA($C$8:$C974)),BE475))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4"/>
      <c r="C476" s="51"/>
      <c r="D476" s="52"/>
      <c r="E476" s="118"/>
      <c r="F476" s="118"/>
      <c r="G476" s="54"/>
      <c r="H476" s="55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IF(ISBLANK($C476),"",IF(J476=Constants!$B$2, TRUE(), IF(J476=Constants!$B$3,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Constants!B479) * IF(X476, 1, Constants!B480),"")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IF($AE476=Constants!$B$7,IF(AND(T476,U476,W476),Constants!$B$9*AH476/$AH$6, 0),"")</f>
        <v/>
      </c>
      <c r="AK476" s="62" t="str">
        <f aca="false">IF(AJ476&lt;&gt;"", AJ476*AG476,"")</f>
        <v/>
      </c>
      <c r="AL476" s="62" t="str">
        <f aca="false">IF(AND($AE476=Constants!$B$7, T476, U476) ,IF($Z476="", "", 1-ABS($AA476-$Z476)/$AA476),"")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IF($AE476=Constants!$B$7,Constants!$B$8*AB476/$AP$6,"")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IF(ISBLANK(C476),"",IFERROR(_xlfn.SWITCH(BE476, Constants!$B$4, COUNTA($C$8:$C975)+2, Constants!$B$5, COUNTA($C$8:$C975)+1, Constants!$B$6, COUNTA($C$8:$C975)),BE476))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4"/>
      <c r="C477" s="51"/>
      <c r="D477" s="52"/>
      <c r="E477" s="118"/>
      <c r="F477" s="118"/>
      <c r="G477" s="54"/>
      <c r="H477" s="55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IF(ISBLANK($C477),"",IF(J477=Constants!$B$2, TRUE(), IF(J477=Constants!$B$3,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Constants!B480) * IF(X477, 1, Constants!B481),"")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IF($AE477=Constants!$B$7,IF(AND(T477,U477,W477),Constants!$B$9*AH477/$AH$6, 0),"")</f>
        <v/>
      </c>
      <c r="AK477" s="62" t="str">
        <f aca="false">IF(AJ477&lt;&gt;"", AJ477*AG477,"")</f>
        <v/>
      </c>
      <c r="AL477" s="62" t="str">
        <f aca="false">IF(AND($AE477=Constants!$B$7, T477, U477) ,IF($Z477="", "", 1-ABS($AA477-$Z477)/$AA477),"")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IF($AE477=Constants!$B$7,Constants!$B$8*AB477/$AP$6,"")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IF(ISBLANK(C477),"",IFERROR(_xlfn.SWITCH(BE477, Constants!$B$4, COUNTA($C$8:$C976)+2, Constants!$B$5, COUNTA($C$8:$C976)+1, Constants!$B$6, COUNTA($C$8:$C976)),BE477))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4"/>
      <c r="C478" s="51"/>
      <c r="D478" s="52"/>
      <c r="E478" s="118"/>
      <c r="F478" s="118"/>
      <c r="G478" s="54"/>
      <c r="H478" s="55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IF(ISBLANK($C478),"",IF(J478=Constants!$B$2, TRUE(), IF(J478=Constants!$B$3,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Constants!B481) * IF(X478, 1, Constants!B482),"")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IF($AE478=Constants!$B$7,IF(AND(T478,U478,W478),Constants!$B$9*AH478/$AH$6, 0),"")</f>
        <v/>
      </c>
      <c r="AK478" s="62" t="str">
        <f aca="false">IF(AJ478&lt;&gt;"", AJ478*AG478,"")</f>
        <v/>
      </c>
      <c r="AL478" s="62" t="str">
        <f aca="false">IF(AND($AE478=Constants!$B$7, T478, U478) ,IF($Z478="", "", 1-ABS($AA478-$Z478)/$AA478),"")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IF($AE478=Constants!$B$7,Constants!$B$8*AB478/$AP$6,"")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IF(ISBLANK(C478),"",IFERROR(_xlfn.SWITCH(BE478, Constants!$B$4, COUNTA($C$8:$C977)+2, Constants!$B$5, COUNTA($C$8:$C977)+1, Constants!$B$6, COUNTA($C$8:$C977)),BE478))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0"/>
      <c r="C479" s="121"/>
      <c r="D479" s="110"/>
      <c r="E479" s="114"/>
      <c r="F479" s="114"/>
      <c r="G479" s="86"/>
      <c r="H479" s="87"/>
      <c r="I479" s="123"/>
      <c r="J479" s="123"/>
      <c r="K479" s="123"/>
      <c r="L479" s="89"/>
      <c r="M479" s="89"/>
      <c r="N479" s="89"/>
      <c r="O479" s="90"/>
      <c r="P479" s="91"/>
      <c r="Q479" s="123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4" t="str">
        <f aca="false">IF(ISBLANK($C479),"",IF(J479=Constants!$B$2, TRUE(), IF(J479=Constants!$B$3,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Constants!B482) * IF(X479, 1, Constants!B483),"")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IF($AE479=Constants!$B$7,IF(AND(T479,U479,W479),Constants!$B$9*AH479/$AH$6, 0),"")</f>
        <v/>
      </c>
      <c r="AK479" s="94" t="str">
        <f aca="false">IF(AJ479&lt;&gt;"", AJ479*AG479,"")</f>
        <v/>
      </c>
      <c r="AL479" s="94" t="str">
        <f aca="false">IF(AND($AE479=Constants!$B$7, T479, U479) ,IF($Z479="", "", 1-ABS($AA479-$Z479)/$AA479),"")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,IF(AND(T479,U479,W479,ISNUMBER(Z479)),Constants!$B$10*AL479/$AL$6, 0),"")</f>
        <v/>
      </c>
      <c r="AO479" s="94" t="str">
        <f aca="false">IF(AN479&lt;&gt;"", AN479*AG479,"")</f>
        <v/>
      </c>
      <c r="AP479" s="94" t="str">
        <f aca="false">IF($AE479=Constants!$B$7,Constants!$B$8*AB479/$AP$6,"")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IF(ISBLANK(C479),"",IFERROR(_xlfn.SWITCH(BE479, Constants!$B$4, COUNTA($C$8:$C978)+2, Constants!$B$5, COUNTA($C$8:$C978)+1, Constants!$B$6, COUNTA($C$8:$C978)),BE479))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0"/>
      <c r="C480" s="121"/>
      <c r="D480" s="110"/>
      <c r="E480" s="114"/>
      <c r="F480" s="114"/>
      <c r="G480" s="86"/>
      <c r="H480" s="87"/>
      <c r="I480" s="123"/>
      <c r="J480" s="123"/>
      <c r="K480" s="123"/>
      <c r="L480" s="89"/>
      <c r="M480" s="89"/>
      <c r="N480" s="89"/>
      <c r="O480" s="90"/>
      <c r="P480" s="91"/>
      <c r="Q480" s="123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4" t="str">
        <f aca="false">IF(ISBLANK($C480),"",IF(J480=Constants!$B$2, TRUE(), IF(J480=Constants!$B$3,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Constants!B483) * IF(X480, 1, Constants!B484),"")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IF($AE480=Constants!$B$7,IF(AND(T480,U480,W480),Constants!$B$9*AH480/$AH$6, 0),"")</f>
        <v/>
      </c>
      <c r="AK480" s="94" t="str">
        <f aca="false">IF(AJ480&lt;&gt;"", AJ480*AG480,"")</f>
        <v/>
      </c>
      <c r="AL480" s="94" t="str">
        <f aca="false">IF(AND($AE480=Constants!$B$7, T480, U480) ,IF($Z480="", "", 1-ABS($AA480-$Z480)/$AA480),"")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,IF(AND(T480,U480,W480,ISNUMBER(Z480)),Constants!$B$10*AL480/$AL$6, 0),"")</f>
        <v/>
      </c>
      <c r="AO480" s="94" t="str">
        <f aca="false">IF(AN480&lt;&gt;"", AN480*AG480,"")</f>
        <v/>
      </c>
      <c r="AP480" s="94" t="str">
        <f aca="false">IF($AE480=Constants!$B$7,Constants!$B$8*AB480/$AP$6,"")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IF(ISBLANK(C480),"",IFERROR(_xlfn.SWITCH(BE480, Constants!$B$4, COUNTA($C$8:$C979)+2, Constants!$B$5, COUNTA($C$8:$C979)+1, Constants!$B$6, COUNTA($C$8:$C979)),BE480))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0"/>
      <c r="C481" s="121"/>
      <c r="D481" s="110"/>
      <c r="E481" s="114"/>
      <c r="F481" s="114"/>
      <c r="G481" s="86"/>
      <c r="H481" s="87"/>
      <c r="I481" s="123"/>
      <c r="J481" s="123"/>
      <c r="K481" s="123"/>
      <c r="L481" s="89"/>
      <c r="M481" s="89"/>
      <c r="N481" s="89"/>
      <c r="O481" s="90"/>
      <c r="P481" s="91"/>
      <c r="Q481" s="123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4" t="str">
        <f aca="false">IF(ISBLANK($C481),"",IF(J481=Constants!$B$2, TRUE(), IF(J481=Constants!$B$3,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Constants!B484) * IF(X481, 1, Constants!B485),"")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IF($AE481=Constants!$B$7,IF(AND(T481,U481,W481),Constants!$B$9*AH481/$AH$6, 0),"")</f>
        <v/>
      </c>
      <c r="AK481" s="94" t="str">
        <f aca="false">IF(AJ481&lt;&gt;"", AJ481*AG481,"")</f>
        <v/>
      </c>
      <c r="AL481" s="94" t="str">
        <f aca="false">IF(AND($AE481=Constants!$B$7, T481, U481) ,IF($Z481="", "", 1-ABS($AA481-$Z481)/$AA481),"")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,IF(AND(T481,U481,W481,ISNUMBER(Z481)),Constants!$B$10*AL481/$AL$6, 0),"")</f>
        <v/>
      </c>
      <c r="AO481" s="94" t="str">
        <f aca="false">IF(AN481&lt;&gt;"", AN481*AG481,"")</f>
        <v/>
      </c>
      <c r="AP481" s="94" t="str">
        <f aca="false">IF($AE481=Constants!$B$7,Constants!$B$8*AB481/$AP$6,"")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IF(ISBLANK(C481),"",IFERROR(_xlfn.SWITCH(BE481, Constants!$B$4, COUNTA($C$8:$C980)+2, Constants!$B$5, COUNTA($C$8:$C980)+1, Constants!$B$6, COUNTA($C$8:$C980)),BE481))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4"/>
      <c r="C482" s="51"/>
      <c r="D482" s="52"/>
      <c r="E482" s="118"/>
      <c r="F482" s="118"/>
      <c r="G482" s="54"/>
      <c r="H482" s="55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IF(ISBLANK($C482),"",IF(J482=Constants!$B$2, TRUE(), IF(J482=Constants!$B$3,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Constants!B485) * IF(X482, 1, Constants!B486),"")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IF($AE482=Constants!$B$7,IF(AND(T482,U482,W482),Constants!$B$9*AH482/$AH$6, 0),"")</f>
        <v/>
      </c>
      <c r="AK482" s="62" t="str">
        <f aca="false">IF(AJ482&lt;&gt;"", AJ482*AG482,"")</f>
        <v/>
      </c>
      <c r="AL482" s="62" t="str">
        <f aca="false">IF(AND($AE482=Constants!$B$7, T482, U482) ,IF($Z482="", "", 1-ABS($AA482-$Z482)/$AA482),"")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IF($AE482=Constants!$B$7,Constants!$B$8*AB482/$AP$6,"")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IF(ISBLANK(C482),"",IFERROR(_xlfn.SWITCH(BE482, Constants!$B$4, COUNTA($C$8:$C981)+2, Constants!$B$5, COUNTA($C$8:$C981)+1, Constants!$B$6, COUNTA($C$8:$C981)),BE482))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4"/>
      <c r="C483" s="51"/>
      <c r="D483" s="52"/>
      <c r="E483" s="118"/>
      <c r="F483" s="118"/>
      <c r="G483" s="54"/>
      <c r="H483" s="55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IF(ISBLANK($C483),"",IF(J483=Constants!$B$2, TRUE(), IF(J483=Constants!$B$3,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Constants!B486) * IF(X483, 1, Constants!B487),"")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IF($AE483=Constants!$B$7,IF(AND(T483,U483,W483),Constants!$B$9*AH483/$AH$6, 0),"")</f>
        <v/>
      </c>
      <c r="AK483" s="62" t="str">
        <f aca="false">IF(AJ483&lt;&gt;"", AJ483*AG483,"")</f>
        <v/>
      </c>
      <c r="AL483" s="62" t="str">
        <f aca="false">IF(AND($AE483=Constants!$B$7, T483, U483) ,IF($Z483="", "", 1-ABS($AA483-$Z483)/$AA483),"")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IF($AE483=Constants!$B$7,Constants!$B$8*AB483/$AP$6,"")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IF(ISBLANK(C483),"",IFERROR(_xlfn.SWITCH(BE483, Constants!$B$4, COUNTA($C$8:$C982)+2, Constants!$B$5, COUNTA($C$8:$C982)+1, Constants!$B$6, COUNTA($C$8:$C982)),BE483))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4"/>
      <c r="C484" s="51"/>
      <c r="D484" s="52"/>
      <c r="E484" s="118"/>
      <c r="F484" s="118"/>
      <c r="G484" s="54"/>
      <c r="H484" s="55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IF(ISBLANK($C484),"",IF(J484=Constants!$B$2, TRUE(), IF(J484=Constants!$B$3,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Constants!B487) * IF(X484, 1, Constants!B488),"")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IF($AE484=Constants!$B$7,IF(AND(T484,U484,W484),Constants!$B$9*AH484/$AH$6, 0),"")</f>
        <v/>
      </c>
      <c r="AK484" s="62" t="str">
        <f aca="false">IF(AJ484&lt;&gt;"", AJ484*AG484,"")</f>
        <v/>
      </c>
      <c r="AL484" s="62" t="str">
        <f aca="false">IF(AND($AE484=Constants!$B$7, T484, U484) ,IF($Z484="", "", 1-ABS($AA484-$Z484)/$AA484),"")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IF($AE484=Constants!$B$7,Constants!$B$8*AB484/$AP$6,"")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IF(ISBLANK(C484),"",IFERROR(_xlfn.SWITCH(BE484, Constants!$B$4, COUNTA($C$8:$C983)+2, Constants!$B$5, COUNTA($C$8:$C983)+1, Constants!$B$6, COUNTA($C$8:$C983)),BE484))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0"/>
      <c r="C485" s="121"/>
      <c r="D485" s="110"/>
      <c r="E485" s="114"/>
      <c r="F485" s="114"/>
      <c r="G485" s="86"/>
      <c r="H485" s="87"/>
      <c r="I485" s="123"/>
      <c r="J485" s="123"/>
      <c r="K485" s="123"/>
      <c r="L485" s="89"/>
      <c r="M485" s="89"/>
      <c r="N485" s="89"/>
      <c r="O485" s="90"/>
      <c r="P485" s="91"/>
      <c r="Q485" s="123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4" t="str">
        <f aca="false">IF(ISBLANK($C485),"",IF(J485=Constants!$B$2, TRUE(), IF(J485=Constants!$B$3,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Constants!B488) * IF(X485, 1, Constants!B489),"")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IF($AE485=Constants!$B$7,IF(AND(T485,U485,W485),Constants!$B$9*AH485/$AH$6, 0),"")</f>
        <v/>
      </c>
      <c r="AK485" s="94" t="str">
        <f aca="false">IF(AJ485&lt;&gt;"", AJ485*AG485,"")</f>
        <v/>
      </c>
      <c r="AL485" s="94" t="str">
        <f aca="false">IF(AND($AE485=Constants!$B$7, T485, U485) ,IF($Z485="", "", 1-ABS($AA485-$Z485)/$AA485),"")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,IF(AND(T485,U485,W485,ISNUMBER(Z485)),Constants!$B$10*AL485/$AL$6, 0),"")</f>
        <v/>
      </c>
      <c r="AO485" s="94" t="str">
        <f aca="false">IF(AN485&lt;&gt;"", AN485*AG485,"")</f>
        <v/>
      </c>
      <c r="AP485" s="94" t="str">
        <f aca="false">IF($AE485=Constants!$B$7,Constants!$B$8*AB485/$AP$6,"")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IF(ISBLANK(C485),"",IFERROR(_xlfn.SWITCH(BE485, Constants!$B$4, COUNTA($C$8:$C984)+2, Constants!$B$5, COUNTA($C$8:$C984)+1, Constants!$B$6, COUNTA($C$8:$C984)),BE485))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0"/>
      <c r="C486" s="121"/>
      <c r="D486" s="110"/>
      <c r="E486" s="114"/>
      <c r="F486" s="114"/>
      <c r="G486" s="86"/>
      <c r="H486" s="87"/>
      <c r="I486" s="123"/>
      <c r="J486" s="123"/>
      <c r="K486" s="123"/>
      <c r="L486" s="89"/>
      <c r="M486" s="89"/>
      <c r="N486" s="89"/>
      <c r="O486" s="90"/>
      <c r="P486" s="91"/>
      <c r="Q486" s="123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4" t="str">
        <f aca="false">IF(ISBLANK($C486),"",IF(J486=Constants!$B$2, TRUE(), IF(J486=Constants!$B$3,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Constants!B489) * IF(X486, 1, Constants!B490),"")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IF($AE486=Constants!$B$7,IF(AND(T486,U486,W486),Constants!$B$9*AH486/$AH$6, 0),"")</f>
        <v/>
      </c>
      <c r="AK486" s="94" t="str">
        <f aca="false">IF(AJ486&lt;&gt;"", AJ486*AG486,"")</f>
        <v/>
      </c>
      <c r="AL486" s="94" t="str">
        <f aca="false">IF(AND($AE486=Constants!$B$7, T486, U486) ,IF($Z486="", "", 1-ABS($AA486-$Z486)/$AA486),"")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,IF(AND(T486,U486,W486,ISNUMBER(Z486)),Constants!$B$10*AL486/$AL$6, 0),"")</f>
        <v/>
      </c>
      <c r="AO486" s="94" t="str">
        <f aca="false">IF(AN486&lt;&gt;"", AN486*AG486,"")</f>
        <v/>
      </c>
      <c r="AP486" s="94" t="str">
        <f aca="false">IF($AE486=Constants!$B$7,Constants!$B$8*AB486/$AP$6,"")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IF(ISBLANK(C486),"",IFERROR(_xlfn.SWITCH(BE486, Constants!$B$4, COUNTA($C$8:$C985)+2, Constants!$B$5, COUNTA($C$8:$C985)+1, Constants!$B$6, COUNTA($C$8:$C985)),BE486))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0"/>
      <c r="C487" s="121"/>
      <c r="D487" s="110"/>
      <c r="E487" s="114"/>
      <c r="F487" s="114"/>
      <c r="G487" s="86"/>
      <c r="H487" s="87"/>
      <c r="I487" s="123"/>
      <c r="J487" s="123"/>
      <c r="K487" s="123"/>
      <c r="L487" s="89"/>
      <c r="M487" s="89"/>
      <c r="N487" s="89"/>
      <c r="O487" s="90"/>
      <c r="P487" s="91"/>
      <c r="Q487" s="123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4" t="str">
        <f aca="false">IF(ISBLANK($C487),"",IF(J487=Constants!$B$2, TRUE(), IF(J487=Constants!$B$3,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Constants!B490) * IF(X487, 1, Constants!B491),"")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IF($AE487=Constants!$B$7,IF(AND(T487,U487,W487),Constants!$B$9*AH487/$AH$6, 0),"")</f>
        <v/>
      </c>
      <c r="AK487" s="94" t="str">
        <f aca="false">IF(AJ487&lt;&gt;"", AJ487*AG487,"")</f>
        <v/>
      </c>
      <c r="AL487" s="94" t="str">
        <f aca="false">IF(AND($AE487=Constants!$B$7, T487, U487) ,IF($Z487="", "", 1-ABS($AA487-$Z487)/$AA487),"")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,IF(AND(T487,U487,W487,ISNUMBER(Z487)),Constants!$B$10*AL487/$AL$6, 0),"")</f>
        <v/>
      </c>
      <c r="AO487" s="94" t="str">
        <f aca="false">IF(AN487&lt;&gt;"", AN487*AG487,"")</f>
        <v/>
      </c>
      <c r="AP487" s="94" t="str">
        <f aca="false">IF($AE487=Constants!$B$7,Constants!$B$8*AB487/$AP$6,"")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IF(ISBLANK(C487),"",IFERROR(_xlfn.SWITCH(BE487, Constants!$B$4, COUNTA($C$8:$C986)+2, Constants!$B$5, COUNTA($C$8:$C986)+1, Constants!$B$6, COUNTA($C$8:$C986)),BE487))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4"/>
      <c r="C488" s="51"/>
      <c r="D488" s="52"/>
      <c r="E488" s="118"/>
      <c r="F488" s="118"/>
      <c r="G488" s="54"/>
      <c r="H488" s="55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IF(ISBLANK($C488),"",IF(J488=Constants!$B$2, TRUE(), IF(J488=Constants!$B$3,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Constants!B491) * IF(X488, 1, Constants!B492),"")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IF($AE488=Constants!$B$7,IF(AND(T488,U488,W488),Constants!$B$9*AH488/$AH$6, 0),"")</f>
        <v/>
      </c>
      <c r="AK488" s="62" t="str">
        <f aca="false">IF(AJ488&lt;&gt;"", AJ488*AG488,"")</f>
        <v/>
      </c>
      <c r="AL488" s="62" t="str">
        <f aca="false">IF(AND($AE488=Constants!$B$7, T488, U488) ,IF($Z488="", "", 1-ABS($AA488-$Z488)/$AA488),"")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IF($AE488=Constants!$B$7,Constants!$B$8*AB488/$AP$6,"")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IF(ISBLANK(C488),"",IFERROR(_xlfn.SWITCH(BE488, Constants!$B$4, COUNTA($C$8:$C987)+2, Constants!$B$5, COUNTA($C$8:$C987)+1, Constants!$B$6, COUNTA($C$8:$C987)),BE488))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4"/>
      <c r="C489" s="51"/>
      <c r="D489" s="52"/>
      <c r="E489" s="118"/>
      <c r="F489" s="118"/>
      <c r="G489" s="54"/>
      <c r="H489" s="55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IF(ISBLANK($C489),"",IF(J489=Constants!$B$2, TRUE(), IF(J489=Constants!$B$3,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Constants!B492) * IF(X489, 1, Constants!B493),"")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IF($AE489=Constants!$B$7,IF(AND(T489,U489,W489),Constants!$B$9*AH489/$AH$6, 0),"")</f>
        <v/>
      </c>
      <c r="AK489" s="62" t="str">
        <f aca="false">IF(AJ489&lt;&gt;"", AJ489*AG489,"")</f>
        <v/>
      </c>
      <c r="AL489" s="62" t="str">
        <f aca="false">IF(AND($AE489=Constants!$B$7, T489, U489) ,IF($Z489="", "", 1-ABS($AA489-$Z489)/$AA489),"")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IF($AE489=Constants!$B$7,Constants!$B$8*AB489/$AP$6,"")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IF(ISBLANK(C489),"",IFERROR(_xlfn.SWITCH(BE489, Constants!$B$4, COUNTA($C$8:$C988)+2, Constants!$B$5, COUNTA($C$8:$C988)+1, Constants!$B$6, COUNTA($C$8:$C988)),BE489))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4"/>
      <c r="C490" s="51"/>
      <c r="D490" s="52"/>
      <c r="E490" s="118"/>
      <c r="F490" s="118"/>
      <c r="G490" s="54"/>
      <c r="H490" s="55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IF(ISBLANK($C490),"",IF(J490=Constants!$B$2, TRUE(), IF(J490=Constants!$B$3,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Constants!B493) * IF(X490, 1, Constants!B494),"")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IF($AE490=Constants!$B$7,IF(AND(T490,U490,W490),Constants!$B$9*AH490/$AH$6, 0),"")</f>
        <v/>
      </c>
      <c r="AK490" s="62" t="str">
        <f aca="false">IF(AJ490&lt;&gt;"", AJ490*AG490,"")</f>
        <v/>
      </c>
      <c r="AL490" s="62" t="str">
        <f aca="false">IF(AND($AE490=Constants!$B$7, T490, U490) ,IF($Z490="", "", 1-ABS($AA490-$Z490)/$AA490),"")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IF($AE490=Constants!$B$7,Constants!$B$8*AB490/$AP$6,"")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IF(ISBLANK(C490),"",IFERROR(_xlfn.SWITCH(BE490, Constants!$B$4, COUNTA($C$8:$C989)+2, Constants!$B$5, COUNTA($C$8:$C989)+1, Constants!$B$6, COUNTA($C$8:$C989)),BE490))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0"/>
      <c r="C491" s="121"/>
      <c r="D491" s="110"/>
      <c r="E491" s="114"/>
      <c r="F491" s="114"/>
      <c r="G491" s="86"/>
      <c r="H491" s="87"/>
      <c r="I491" s="123"/>
      <c r="J491" s="123"/>
      <c r="K491" s="123"/>
      <c r="L491" s="89"/>
      <c r="M491" s="89"/>
      <c r="N491" s="89"/>
      <c r="O491" s="90"/>
      <c r="P491" s="91"/>
      <c r="Q491" s="123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4" t="str">
        <f aca="false">IF(ISBLANK($C491),"",IF(J491=Constants!$B$2, TRUE(), IF(J491=Constants!$B$3,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Constants!B494) * IF(X491, 1, Constants!B495),"")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IF($AE491=Constants!$B$7,IF(AND(T491,U491,W491),Constants!$B$9*AH491/$AH$6, 0),"")</f>
        <v/>
      </c>
      <c r="AK491" s="94" t="str">
        <f aca="false">IF(AJ491&lt;&gt;"", AJ491*AG491,"")</f>
        <v/>
      </c>
      <c r="AL491" s="94" t="str">
        <f aca="false">IF(AND($AE491=Constants!$B$7, T491, U491) ,IF($Z491="", "", 1-ABS($AA491-$Z491)/$AA491),"")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,IF(AND(T491,U491,W491,ISNUMBER(Z491)),Constants!$B$10*AL491/$AL$6, 0),"")</f>
        <v/>
      </c>
      <c r="AO491" s="94" t="str">
        <f aca="false">IF(AN491&lt;&gt;"", AN491*AG491,"")</f>
        <v/>
      </c>
      <c r="AP491" s="94" t="str">
        <f aca="false">IF($AE491=Constants!$B$7,Constants!$B$8*AB491/$AP$6,"")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IF(ISBLANK(C491),"",IFERROR(_xlfn.SWITCH(BE491, Constants!$B$4, COUNTA($C$8:$C990)+2, Constants!$B$5, COUNTA($C$8:$C990)+1, Constants!$B$6, COUNTA($C$8:$C990)),BE491))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0"/>
      <c r="C492" s="121"/>
      <c r="D492" s="110"/>
      <c r="E492" s="114"/>
      <c r="F492" s="114"/>
      <c r="G492" s="86"/>
      <c r="H492" s="87"/>
      <c r="I492" s="123"/>
      <c r="J492" s="123"/>
      <c r="K492" s="123"/>
      <c r="L492" s="89"/>
      <c r="M492" s="89"/>
      <c r="N492" s="89"/>
      <c r="O492" s="90"/>
      <c r="P492" s="91"/>
      <c r="Q492" s="123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4" t="str">
        <f aca="false">IF(ISBLANK($C492),"",IF(J492=Constants!$B$2, TRUE(), IF(J492=Constants!$B$3,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Constants!B495) * IF(X492, 1, Constants!B496),"")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IF($AE492=Constants!$B$7,IF(AND(T492,U492,W492),Constants!$B$9*AH492/$AH$6, 0),"")</f>
        <v/>
      </c>
      <c r="AK492" s="94" t="str">
        <f aca="false">IF(AJ492&lt;&gt;"", AJ492*AG492,"")</f>
        <v/>
      </c>
      <c r="AL492" s="94" t="str">
        <f aca="false">IF(AND($AE492=Constants!$B$7, T492, U492) ,IF($Z492="", "", 1-ABS($AA492-$Z492)/$AA492),"")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,IF(AND(T492,U492,W492,ISNUMBER(Z492)),Constants!$B$10*AL492/$AL$6, 0),"")</f>
        <v/>
      </c>
      <c r="AO492" s="94" t="str">
        <f aca="false">IF(AN492&lt;&gt;"", AN492*AG492,"")</f>
        <v/>
      </c>
      <c r="AP492" s="94" t="str">
        <f aca="false">IF($AE492=Constants!$B$7,Constants!$B$8*AB492/$AP$6,"")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IF(ISBLANK(C492),"",IFERROR(_xlfn.SWITCH(BE492, Constants!$B$4, COUNTA($C$8:$C991)+2, Constants!$B$5, COUNTA($C$8:$C991)+1, Constants!$B$6, COUNTA($C$8:$C991)),BE492))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0"/>
      <c r="C493" s="121"/>
      <c r="D493" s="110"/>
      <c r="E493" s="114"/>
      <c r="F493" s="114"/>
      <c r="G493" s="86"/>
      <c r="H493" s="87"/>
      <c r="I493" s="123"/>
      <c r="J493" s="123"/>
      <c r="K493" s="123"/>
      <c r="L493" s="89"/>
      <c r="M493" s="89"/>
      <c r="N493" s="89"/>
      <c r="O493" s="90"/>
      <c r="P493" s="91"/>
      <c r="Q493" s="123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4" t="str">
        <f aca="false">IF(ISBLANK($C493),"",IF(J493=Constants!$B$2, TRUE(), IF(J493=Constants!$B$3,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Constants!B496) * IF(X493, 1, Constants!B497),"")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IF($AE493=Constants!$B$7,IF(AND(T493,U493,W493),Constants!$B$9*AH493/$AH$6, 0),"")</f>
        <v/>
      </c>
      <c r="AK493" s="94" t="str">
        <f aca="false">IF(AJ493&lt;&gt;"", AJ493*AG493,"")</f>
        <v/>
      </c>
      <c r="AL493" s="94" t="str">
        <f aca="false">IF(AND($AE493=Constants!$B$7, T493, U493) ,IF($Z493="", "", 1-ABS($AA493-$Z493)/$AA493),"")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,IF(AND(T493,U493,W493,ISNUMBER(Z493)),Constants!$B$10*AL493/$AL$6, 0),"")</f>
        <v/>
      </c>
      <c r="AO493" s="94" t="str">
        <f aca="false">IF(AN493&lt;&gt;"", AN493*AG493,"")</f>
        <v/>
      </c>
      <c r="AP493" s="94" t="str">
        <f aca="false">IF($AE493=Constants!$B$7,Constants!$B$8*AB493/$AP$6,"")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IF(ISBLANK(C493),"",IFERROR(_xlfn.SWITCH(BE493, Constants!$B$4, COUNTA($C$8:$C992)+2, Constants!$B$5, COUNTA($C$8:$C992)+1, Constants!$B$6, COUNTA($C$8:$C992)),BE493))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4"/>
      <c r="C494" s="51"/>
      <c r="D494" s="52"/>
      <c r="E494" s="118"/>
      <c r="F494" s="118"/>
      <c r="G494" s="54"/>
      <c r="H494" s="55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IF(ISBLANK($C494),"",IF(J494=Constants!$B$2, TRUE(), IF(J494=Constants!$B$3,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Constants!B497) * IF(X494, 1, Constants!B498),"")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IF($AE494=Constants!$B$7,IF(AND(T494,U494,W494),Constants!$B$9*AH494/$AH$6, 0),"")</f>
        <v/>
      </c>
      <c r="AK494" s="62" t="str">
        <f aca="false">IF(AJ494&lt;&gt;"", AJ494*AG494,"")</f>
        <v/>
      </c>
      <c r="AL494" s="62" t="str">
        <f aca="false">IF(AND($AE494=Constants!$B$7, T494, U494) ,IF($Z494="", "", 1-ABS($AA494-$Z494)/$AA494),"")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IF($AE494=Constants!$B$7,Constants!$B$8*AB494/$AP$6,"")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IF(ISBLANK(C494),"",IFERROR(_xlfn.SWITCH(BE494, Constants!$B$4, COUNTA($C$8:$C993)+2, Constants!$B$5, COUNTA($C$8:$C993)+1, Constants!$B$6, COUNTA($C$8:$C993)),BE494))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4"/>
      <c r="C495" s="51"/>
      <c r="D495" s="52"/>
      <c r="E495" s="118"/>
      <c r="F495" s="118"/>
      <c r="G495" s="54"/>
      <c r="H495" s="55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IF(ISBLANK($C495),"",IF(J495=Constants!$B$2, TRUE(), IF(J495=Constants!$B$3,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Constants!B498) * IF(X495, 1, Constants!B499),"")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IF($AE495=Constants!$B$7,IF(AND(T495,U495,W495),Constants!$B$9*AH495/$AH$6, 0),"")</f>
        <v/>
      </c>
      <c r="AK495" s="62" t="str">
        <f aca="false">IF(AJ495&lt;&gt;"", AJ495*AG495,"")</f>
        <v/>
      </c>
      <c r="AL495" s="62" t="str">
        <f aca="false">IF(AND($AE495=Constants!$B$7, T495, U495) ,IF($Z495="", "", 1-ABS($AA495-$Z495)/$AA495),"")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IF($AE495=Constants!$B$7,Constants!$B$8*AB495/$AP$6,"")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IF(ISBLANK(C495),"",IFERROR(_xlfn.SWITCH(BE495, Constants!$B$4, COUNTA($C$8:$C994)+2, Constants!$B$5, COUNTA($C$8:$C994)+1, Constants!$B$6, COUNTA($C$8:$C994)),BE495))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4"/>
      <c r="C496" s="51"/>
      <c r="D496" s="52"/>
      <c r="E496" s="118"/>
      <c r="F496" s="118"/>
      <c r="G496" s="54"/>
      <c r="H496" s="55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IF(ISBLANK($C496),"",IF(J496=Constants!$B$2, TRUE(), IF(J496=Constants!$B$3,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Constants!B499) * IF(X496, 1, Constants!B500),"")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IF($AE496=Constants!$B$7,IF(AND(T496,U496,W496),Constants!$B$9*AH496/$AH$6, 0),"")</f>
        <v/>
      </c>
      <c r="AK496" s="62" t="str">
        <f aca="false">IF(AJ496&lt;&gt;"", AJ496*AG496,"")</f>
        <v/>
      </c>
      <c r="AL496" s="62" t="str">
        <f aca="false">IF(AND($AE496=Constants!$B$7, T496, U496) ,IF($Z496="", "", 1-ABS($AA496-$Z496)/$AA496),"")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IF($AE496=Constants!$B$7,Constants!$B$8*AB496/$AP$6,"")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IF(ISBLANK(C496),"",IFERROR(_xlfn.SWITCH(BE496, Constants!$B$4, COUNTA($C$8:$C995)+2, Constants!$B$5, COUNTA($C$8:$C995)+1, Constants!$B$6, COUNTA($C$8:$C995)),BE496))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0"/>
      <c r="C497" s="121"/>
      <c r="D497" s="110"/>
      <c r="E497" s="114"/>
      <c r="F497" s="114"/>
      <c r="G497" s="86"/>
      <c r="H497" s="87"/>
      <c r="I497" s="123"/>
      <c r="J497" s="123"/>
      <c r="K497" s="123"/>
      <c r="L497" s="89"/>
      <c r="M497" s="89"/>
      <c r="N497" s="89"/>
      <c r="O497" s="90"/>
      <c r="P497" s="91"/>
      <c r="Q497" s="123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4" t="str">
        <f aca="false">IF(ISBLANK($C497),"",IF(J497=Constants!$B$2, TRUE(), IF(J497=Constants!$B$3,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Constants!B500) * IF(X497, 1, Constants!B501),"")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IF($AE497=Constants!$B$7,IF(AND(T497,U497,W497),Constants!$B$9*AH497/$AH$6, 0),"")</f>
        <v/>
      </c>
      <c r="AK497" s="94" t="str">
        <f aca="false">IF(AJ497&lt;&gt;"", AJ497*AG497,"")</f>
        <v/>
      </c>
      <c r="AL497" s="94" t="str">
        <f aca="false">IF(AND($AE497=Constants!$B$7, T497, U497) ,IF($Z497="", "", 1-ABS($AA497-$Z497)/$AA497),"")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,IF(AND(T497,U497,W497,ISNUMBER(Z497)),Constants!$B$10*AL497/$AL$6, 0),"")</f>
        <v/>
      </c>
      <c r="AO497" s="94" t="str">
        <f aca="false">IF(AN497&lt;&gt;"", AN497*AG497,"")</f>
        <v/>
      </c>
      <c r="AP497" s="94" t="str">
        <f aca="false">IF($AE497=Constants!$B$7,Constants!$B$8*AB497/$AP$6,"")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IF(ISBLANK(C497),"",IFERROR(_xlfn.SWITCH(BE497, Constants!$B$4, COUNTA($C$8:$C996)+2, Constants!$B$5, COUNTA($C$8:$C996)+1, Constants!$B$6, COUNTA($C$8:$C996)),BE497))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0"/>
      <c r="C498" s="121"/>
      <c r="D498" s="110"/>
      <c r="E498" s="114"/>
      <c r="F498" s="114"/>
      <c r="G498" s="86"/>
      <c r="H498" s="87"/>
      <c r="I498" s="123"/>
      <c r="J498" s="123"/>
      <c r="K498" s="123"/>
      <c r="L498" s="89"/>
      <c r="M498" s="89"/>
      <c r="N498" s="89"/>
      <c r="O498" s="90"/>
      <c r="P498" s="91"/>
      <c r="Q498" s="123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4" t="str">
        <f aca="false">IF(ISBLANK($C498),"",IF(J498=Constants!$B$2, TRUE(), IF(J498=Constants!$B$3,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Constants!B501) * IF(X498, 1, Constants!B502),"")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IF($AE498=Constants!$B$7,IF(AND(T498,U498,W498),Constants!$B$9*AH498/$AH$6, 0),"")</f>
        <v/>
      </c>
      <c r="AK498" s="94" t="str">
        <f aca="false">IF(AJ498&lt;&gt;"", AJ498*AG498,"")</f>
        <v/>
      </c>
      <c r="AL498" s="94" t="str">
        <f aca="false">IF(AND($AE498=Constants!$B$7, T498, U498) ,IF($Z498="", "", 1-ABS($AA498-$Z498)/$AA498),"")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,IF(AND(T498,U498,W498,ISNUMBER(Z498)),Constants!$B$10*AL498/$AL$6, 0),"")</f>
        <v/>
      </c>
      <c r="AO498" s="94" t="str">
        <f aca="false">IF(AN498&lt;&gt;"", AN498*AG498,"")</f>
        <v/>
      </c>
      <c r="AP498" s="94" t="str">
        <f aca="false">IF($AE498=Constants!$B$7,Constants!$B$8*AB498/$AP$6,"")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IF(ISBLANK(C498),"",IFERROR(_xlfn.SWITCH(BE498, Constants!$B$4, COUNTA($C$8:$C997)+2, Constants!$B$5, COUNTA($C$8:$C997)+1, Constants!$B$6, COUNTA($C$8:$C997)),BE498))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0"/>
      <c r="C499" s="121"/>
      <c r="D499" s="110"/>
      <c r="E499" s="114"/>
      <c r="F499" s="114"/>
      <c r="G499" s="86"/>
      <c r="H499" s="87"/>
      <c r="I499" s="123"/>
      <c r="J499" s="123"/>
      <c r="K499" s="123"/>
      <c r="L499" s="89"/>
      <c r="M499" s="89"/>
      <c r="N499" s="89"/>
      <c r="O499" s="90"/>
      <c r="P499" s="91"/>
      <c r="Q499" s="123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4" t="str">
        <f aca="false">IF(ISBLANK($C499),"",IF(J499=Constants!$B$2, TRUE(), IF(J499=Constants!$B$3,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Constants!B502) * IF(X499, 1, Constants!B503),"")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IF($AE499=Constants!$B$7,IF(AND(T499,U499,W499),Constants!$B$9*AH499/$AH$6, 0),"")</f>
        <v/>
      </c>
      <c r="AK499" s="94" t="str">
        <f aca="false">IF(AJ499&lt;&gt;"", AJ499*AG499,"")</f>
        <v/>
      </c>
      <c r="AL499" s="94" t="str">
        <f aca="false">IF(AND($AE499=Constants!$B$7, T499, U499) ,IF($Z499="", "", 1-ABS($AA499-$Z499)/$AA499),"")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,IF(AND(T499,U499,W499,ISNUMBER(Z499)),Constants!$B$10*AL499/$AL$6, 0),"")</f>
        <v/>
      </c>
      <c r="AO499" s="94" t="str">
        <f aca="false">IF(AN499&lt;&gt;"", AN499*AG499,"")</f>
        <v/>
      </c>
      <c r="AP499" s="94" t="str">
        <f aca="false">IF($AE499=Constants!$B$7,Constants!$B$8*AB499/$AP$6,"")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IF(ISBLANK(C499),"",IFERROR(_xlfn.SWITCH(BE499, Constants!$B$4, COUNTA($C$8:$C998)+2, Constants!$B$5, COUNTA($C$8:$C998)+1, Constants!$B$6, COUNTA($C$8:$C998)),BE499))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4"/>
      <c r="C500" s="51"/>
      <c r="D500" s="52"/>
      <c r="E500" s="118"/>
      <c r="F500" s="118"/>
      <c r="G500" s="54"/>
      <c r="H500" s="55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IF(ISBLANK($C500),"",IF(J500=Constants!$B$2, TRUE(), IF(J500=Constants!$B$3,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Constants!B503) * IF(X500, 1, Constants!B504),"")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IF($AE500=Constants!$B$7,IF(AND(T500,U500,W500),Constants!$B$9*AH500/$AH$6, 0),"")</f>
        <v/>
      </c>
      <c r="AK500" s="62" t="str">
        <f aca="false">IF(AJ500&lt;&gt;"", AJ500*AG500,"")</f>
        <v/>
      </c>
      <c r="AL500" s="62" t="str">
        <f aca="false">IF(AND($AE500=Constants!$B$7, T500, U500) ,IF($Z500="", "", 1-ABS($AA500-$Z500)/$AA500),"")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IF($AE500=Constants!$B$7,Constants!$B$8*AB500/$AP$6,"")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IF(ISBLANK(C500),"",IFERROR(_xlfn.SWITCH(BE500, Constants!$B$4, COUNTA($C$8:$C999)+2, Constants!$B$5, COUNTA($C$8:$C999)+1, Constants!$B$6, COUNTA($C$8:$C999)),BE500))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4"/>
      <c r="C501" s="51"/>
      <c r="D501" s="52"/>
      <c r="E501" s="118"/>
      <c r="F501" s="118"/>
      <c r="G501" s="54"/>
      <c r="H501" s="55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IF(ISBLANK($C501),"",IF(J501=Constants!$B$2, TRUE(), IF(J501=Constants!$B$3,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Constants!B504) * IF(X501, 1, Constants!B505),"")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IF($AE501=Constants!$B$7,IF(AND(T501,U501,W501),Constants!$B$9*AH501/$AH$6, 0),"")</f>
        <v/>
      </c>
      <c r="AK501" s="62" t="str">
        <f aca="false">IF(AJ501&lt;&gt;"", AJ501*AG501,"")</f>
        <v/>
      </c>
      <c r="AL501" s="62" t="str">
        <f aca="false">IF(AND($AE501=Constants!$B$7, T501, U501) ,IF($Z501="", "", 1-ABS($AA501-$Z501)/$AA501),"")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IF($AE501=Constants!$B$7,Constants!$B$8*AB501/$AP$6,"")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IF(ISBLANK(C501),"",IFERROR(_xlfn.SWITCH(BE501, Constants!$B$4, COUNTA($C$8:$C1000)+2, Constants!$B$5, COUNTA($C$8:$C1000)+1, Constants!$B$6, COUNTA($C$8:$C1000)),BE501))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4"/>
      <c r="C502" s="51"/>
      <c r="D502" s="52"/>
      <c r="E502" s="118"/>
      <c r="F502" s="118"/>
      <c r="G502" s="54"/>
      <c r="H502" s="55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IF(ISBLANK($C502),"",IF(J502=Constants!$B$2, TRUE(), IF(J502=Constants!$B$3,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Constants!B505) * IF(X502, 1, Constants!B506),"")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IF($AE502=Constants!$B$7,IF(AND(T502,U502,W502),Constants!$B$9*AH502/$AH$6, 0),"")</f>
        <v/>
      </c>
      <c r="AK502" s="62" t="str">
        <f aca="false">IF(AJ502&lt;&gt;"", AJ502*AG502,"")</f>
        <v/>
      </c>
      <c r="AL502" s="62" t="str">
        <f aca="false">IF(AND($AE502=Constants!$B$7, T502, U502) ,IF($Z502="", "", 1-ABS($AA502-$Z502)/$AA502),"")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IF($AE502=Constants!$B$7,Constants!$B$8*AB502/$AP$6,"")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IF(ISBLANK(C502),"",IFERROR(_xlfn.SWITCH(BE502, Constants!$B$4, COUNTA($C$8:$C1001)+2, Constants!$B$5, COUNTA($C$8:$C1001)+1, Constants!$B$6, COUNTA($C$8:$C1001)),BE502))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0"/>
      <c r="C503" s="121"/>
      <c r="D503" s="110"/>
      <c r="E503" s="114"/>
      <c r="F503" s="114"/>
      <c r="G503" s="86"/>
      <c r="H503" s="87"/>
      <c r="I503" s="123"/>
      <c r="J503" s="123"/>
      <c r="K503" s="123"/>
      <c r="L503" s="89"/>
      <c r="M503" s="89"/>
      <c r="N503" s="89"/>
      <c r="O503" s="90"/>
      <c r="P503" s="91"/>
      <c r="Q503" s="123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4" t="str">
        <f aca="false">IF(ISBLANK($C503),"",IF(J503=Constants!$B$2, TRUE(), IF(J503=Constants!$B$3,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Constants!B506) * IF(X503, 1, Constants!B507),"")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IF($AE503=Constants!$B$7,IF(AND(T503,U503,W503),Constants!$B$9*AH503/$AH$6, 0),"")</f>
        <v/>
      </c>
      <c r="AK503" s="94" t="str">
        <f aca="false">IF(AJ503&lt;&gt;"", AJ503*AG503,"")</f>
        <v/>
      </c>
      <c r="AL503" s="94" t="str">
        <f aca="false">IF(AND($AE503=Constants!$B$7, T503, U503) ,IF($Z503="", "", 1-ABS($AA503-$Z503)/$AA503),"")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,IF(AND(T503,U503,W503,ISNUMBER(Z503)),Constants!$B$10*AL503/$AL$6, 0),"")</f>
        <v/>
      </c>
      <c r="AO503" s="94" t="str">
        <f aca="false">IF(AN503&lt;&gt;"", AN503*AG503,"")</f>
        <v/>
      </c>
      <c r="AP503" s="94" t="str">
        <f aca="false">IF($AE503=Constants!$B$7,Constants!$B$8*AB503/$AP$6,"")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IF(ISBLANK(C503),"",IFERROR(_xlfn.SWITCH(BE503, Constants!$B$4, COUNTA($C$8:$C1002)+2, Constants!$B$5, COUNTA($C$8:$C1002)+1, Constants!$B$6, COUNTA($C$8:$C1002)),BE503))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0"/>
      <c r="C504" s="121"/>
      <c r="D504" s="110"/>
      <c r="E504" s="114"/>
      <c r="F504" s="114"/>
      <c r="G504" s="86"/>
      <c r="H504" s="87"/>
      <c r="I504" s="123"/>
      <c r="J504" s="123"/>
      <c r="K504" s="123"/>
      <c r="L504" s="89"/>
      <c r="M504" s="89"/>
      <c r="N504" s="89"/>
      <c r="O504" s="90"/>
      <c r="P504" s="91"/>
      <c r="Q504" s="123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4" t="str">
        <f aca="false">IF(ISBLANK($C504),"",IF(J504=Constants!$B$2, TRUE(), IF(J504=Constants!$B$3,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Constants!B507) * IF(X504, 1, Constants!B508),"")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IF($AE504=Constants!$B$7,IF(AND(T504,U504,W504),Constants!$B$9*AH504/$AH$6, 0),"")</f>
        <v/>
      </c>
      <c r="AK504" s="94" t="str">
        <f aca="false">IF(AJ504&lt;&gt;"", AJ504*AG504,"")</f>
        <v/>
      </c>
      <c r="AL504" s="94" t="str">
        <f aca="false">IF(AND($AE504=Constants!$B$7, T504, U504) ,IF($Z504="", "", 1-ABS($AA504-$Z504)/$AA504),"")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,IF(AND(T504,U504,W504,ISNUMBER(Z504)),Constants!$B$10*AL504/$AL$6, 0),"")</f>
        <v/>
      </c>
      <c r="AO504" s="94" t="str">
        <f aca="false">IF(AN504&lt;&gt;"", AN504*AG504,"")</f>
        <v/>
      </c>
      <c r="AP504" s="94" t="str">
        <f aca="false">IF($AE504=Constants!$B$7,Constants!$B$8*AB504/$AP$6,"")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IF(ISBLANK(C504),"",IFERROR(_xlfn.SWITCH(BE504, Constants!$B$4, COUNTA($C$8:$C1003)+2, Constants!$B$5, COUNTA($C$8:$C1003)+1, Constants!$B$6, COUNTA($C$8:$C1003)),BE504))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0"/>
      <c r="C505" s="121"/>
      <c r="D505" s="110"/>
      <c r="E505" s="114"/>
      <c r="F505" s="114"/>
      <c r="G505" s="86"/>
      <c r="H505" s="87"/>
      <c r="I505" s="123"/>
      <c r="J505" s="123"/>
      <c r="K505" s="123"/>
      <c r="L505" s="89"/>
      <c r="M505" s="89"/>
      <c r="N505" s="89"/>
      <c r="O505" s="90"/>
      <c r="P505" s="91"/>
      <c r="Q505" s="123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4" t="str">
        <f aca="false">IF(ISBLANK($C505),"",IF(J505=Constants!$B$2, TRUE(), IF(J505=Constants!$B$3,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Constants!B508) * IF(X505, 1, Constants!B509),"")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IF($AE505=Constants!$B$7,IF(AND(T505,U505,W505),Constants!$B$9*AH505/$AH$6, 0),"")</f>
        <v/>
      </c>
      <c r="AK505" s="94" t="str">
        <f aca="false">IF(AJ505&lt;&gt;"", AJ505*AG505,"")</f>
        <v/>
      </c>
      <c r="AL505" s="94" t="str">
        <f aca="false">IF(AND($AE505=Constants!$B$7, T505, U505) ,IF($Z505="", "", 1-ABS($AA505-$Z505)/$AA505),"")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,IF(AND(T505,U505,W505,ISNUMBER(Z505)),Constants!$B$10*AL505/$AL$6, 0),"")</f>
        <v/>
      </c>
      <c r="AO505" s="94" t="str">
        <f aca="false">IF(AN505&lt;&gt;"", AN505*AG505,"")</f>
        <v/>
      </c>
      <c r="AP505" s="94" t="str">
        <f aca="false">IF($AE505=Constants!$B$7,Constants!$B$8*AB505/$AP$6,"")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IF(ISBLANK(C505),"",IFERROR(_xlfn.SWITCH(BE505, Constants!$B$4, COUNTA($C$8:$C1004)+2, Constants!$B$5, COUNTA($C$8:$C1004)+1, Constants!$B$6, COUNTA($C$8:$C1004)),BE505))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4"/>
      <c r="C506" s="51"/>
      <c r="D506" s="52"/>
      <c r="E506" s="118"/>
      <c r="F506" s="118"/>
      <c r="G506" s="54"/>
      <c r="H506" s="55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IF(ISBLANK($C506),"",IF(J506=Constants!$B$2, TRUE(), IF(J506=Constants!$B$3,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Constants!B509) * IF(X506, 1, Constants!B510),"")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IF($AE506=Constants!$B$7,IF(AND(T506,U506,W506),Constants!$B$9*AH506/$AH$6, 0),"")</f>
        <v/>
      </c>
      <c r="AK506" s="62" t="str">
        <f aca="false">IF(AJ506&lt;&gt;"", AJ506*AG506,"")</f>
        <v/>
      </c>
      <c r="AL506" s="62" t="str">
        <f aca="false">IF(AND($AE506=Constants!$B$7, T506, U506) ,IF($Z506="", "", 1-ABS($AA506-$Z506)/$AA506),"")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IF($AE506=Constants!$B$7,Constants!$B$8*AB506/$AP$6,"")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IF(ISBLANK(C506),"",IFERROR(_xlfn.SWITCH(BE506, Constants!$B$4, COUNTA($C$8:$C1005)+2, Constants!$B$5, COUNTA($C$8:$C1005)+1, Constants!$B$6, COUNTA($C$8:$C1005)),BE506))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4"/>
      <c r="C507" s="51"/>
      <c r="D507" s="52"/>
      <c r="E507" s="118"/>
      <c r="F507" s="118"/>
      <c r="G507" s="54"/>
      <c r="H507" s="55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IF(ISBLANK($C507),"",IF(J507=Constants!$B$2, TRUE(), IF(J507=Constants!$B$3,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Constants!B510) * IF(X507, 1, Constants!B511),"")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IF($AE507=Constants!$B$7,IF(AND(T507,U507,W507),Constants!$B$9*AH507/$AH$6, 0),"")</f>
        <v/>
      </c>
      <c r="AK507" s="62" t="str">
        <f aca="false">IF(AJ507&lt;&gt;"", AJ507*AG507,"")</f>
        <v/>
      </c>
      <c r="AL507" s="62" t="str">
        <f aca="false">IF(AND($AE507=Constants!$B$7, T507, U507) ,IF($Z507="", "", 1-ABS($AA507-$Z507)/$AA507),"")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IF($AE507=Constants!$B$7,Constants!$B$8*AB507/$AP$6,"")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IF(ISBLANK(C507),"",IFERROR(_xlfn.SWITCH(BE507, Constants!$B$4, COUNTA($C$8:$C1006)+2, Constants!$B$5, COUNTA($C$8:$C1006)+1, Constants!$B$6, COUNTA($C$8:$C1006)),BE507))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5" t="s">
        <v>63</v>
      </c>
      <c r="B1" s="125" t="s">
        <v>64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65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66</v>
      </c>
    </row>
    <row r="4" customFormat="false" ht="15.75" hidden="false" customHeight="false" outlineLevel="0" collapsed="false">
      <c r="A4" s="125" t="s">
        <v>67</v>
      </c>
      <c r="B4" s="125" t="s">
        <v>68</v>
      </c>
    </row>
    <row r="5" customFormat="false" ht="15.75" hidden="false" customHeight="false" outlineLevel="0" collapsed="false">
      <c r="A5" s="125" t="s">
        <v>69</v>
      </c>
      <c r="B5" s="125" t="s">
        <v>70</v>
      </c>
    </row>
    <row r="6" customFormat="false" ht="15.75" hidden="false" customHeight="false" outlineLevel="0" collapsed="false">
      <c r="A6" s="125" t="s">
        <v>71</v>
      </c>
      <c r="B6" s="125" t="s">
        <v>72</v>
      </c>
    </row>
    <row r="7" customFormat="false" ht="15.75" hidden="false" customHeight="false" outlineLevel="0" collapsed="false">
      <c r="A7" s="125" t="s">
        <v>73</v>
      </c>
      <c r="B7" s="125" t="s">
        <v>74</v>
      </c>
    </row>
    <row r="8" customFormat="false" ht="15.75" hidden="false" customHeight="false" outlineLevel="0" collapsed="false">
      <c r="A8" s="126" t="s">
        <v>75</v>
      </c>
      <c r="B8" s="125" t="n">
        <v>50</v>
      </c>
    </row>
    <row r="9" customFormat="false" ht="15.75" hidden="false" customHeight="true" outlineLevel="0" collapsed="false">
      <c r="A9" s="126" t="s">
        <v>76</v>
      </c>
      <c r="B9" s="126" t="n">
        <v>30</v>
      </c>
    </row>
    <row r="10" customFormat="false" ht="15.75" hidden="false" customHeight="true" outlineLevel="0" collapsed="false">
      <c r="A10" s="126" t="s">
        <v>77</v>
      </c>
      <c r="B10" s="126" t="n">
        <v>20</v>
      </c>
    </row>
    <row r="11" customFormat="false" ht="15.75" hidden="false" customHeight="true" outlineLevel="0" collapsed="false">
      <c r="A11" s="126" t="s">
        <v>78</v>
      </c>
      <c r="B11" s="126" t="n">
        <v>0.7</v>
      </c>
    </row>
    <row r="12" customFormat="false" ht="15.75" hidden="false" customHeight="true" outlineLevel="0" collapsed="false">
      <c r="A12" s="126" t="s">
        <v>79</v>
      </c>
      <c r="B12" s="126" t="n">
        <v>0.9</v>
      </c>
    </row>
    <row r="13" customFormat="false" ht="15.75" hidden="false" customHeight="true" outlineLevel="0" collapsed="false">
      <c r="A13" s="1" t="s">
        <v>80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7" t="s">
        <v>32</v>
      </c>
      <c r="B1" s="127" t="s">
        <v>33</v>
      </c>
      <c r="C1" s="127" t="s">
        <v>34</v>
      </c>
      <c r="D1" s="127" t="s">
        <v>40</v>
      </c>
      <c r="E1" s="127" t="s">
        <v>27</v>
      </c>
      <c r="F1" s="127" t="s">
        <v>29</v>
      </c>
      <c r="G1" s="127" t="s">
        <v>28</v>
      </c>
      <c r="H1" s="127" t="s">
        <v>31</v>
      </c>
      <c r="I1" s="127" t="s">
        <v>30</v>
      </c>
    </row>
    <row r="2" customFormat="false" ht="15.75" hidden="false" customHeight="false" outlineLevel="0" collapsed="false">
      <c r="A2" s="128" t="n">
        <f aca="false">ExportRaw!$F2</f>
        <v>0</v>
      </c>
      <c r="B2" s="128" t="str">
        <f aca="false">ExportRaw!$C2</f>
        <v>c</v>
      </c>
      <c r="C2" s="128" t="n">
        <f aca="false">ExportRaw!$G2</f>
        <v>0</v>
      </c>
      <c r="D2" s="128" t="str">
        <f aca="false">ExportRaw!$E2</f>
        <v>C</v>
      </c>
      <c r="E2" s="129" t="n">
        <f aca="false">ExportRaw!$D2</f>
        <v>50</v>
      </c>
      <c r="F2" s="128" t="n">
        <f aca="false">ExportRaw!$H2</f>
        <v>0</v>
      </c>
      <c r="G2" s="130" t="n">
        <f aca="false">ExportRaw!$I2</f>
        <v>1</v>
      </c>
      <c r="H2" s="128" t="n">
        <f aca="false">ExportRaw!$A2</f>
        <v>1</v>
      </c>
      <c r="I2" s="128" t="n">
        <f aca="false">ExportRaw!$B2</f>
        <v>1</v>
      </c>
    </row>
    <row r="3" customFormat="false" ht="15.75" hidden="false" customHeight="false" outlineLevel="0" collapsed="false">
      <c r="A3" s="128" t="n">
        <f aca="false">ExportRaw!$F3</f>
        <v>0</v>
      </c>
      <c r="B3" s="128" t="str">
        <f aca="false">ExportRaw!$C3</f>
        <v>b</v>
      </c>
      <c r="C3" s="128" t="n">
        <f aca="false">ExportRaw!$G3</f>
        <v>0</v>
      </c>
      <c r="D3" s="128" t="str">
        <f aca="false">ExportRaw!$E3</f>
        <v>C</v>
      </c>
      <c r="E3" s="129" t="n">
        <f aca="false">ExportRaw!$D3</f>
        <v>50</v>
      </c>
      <c r="F3" s="128" t="n">
        <f aca="false">ExportRaw!$H3</f>
        <v>0</v>
      </c>
      <c r="G3" s="130" t="n">
        <f aca="false">ExportRaw!$I3</f>
        <v>1</v>
      </c>
      <c r="H3" s="128" t="n">
        <f aca="false">ExportRaw!$A3</f>
        <v>1</v>
      </c>
      <c r="I3" s="128" t="n">
        <f aca="false">ExportRaw!$B3</f>
        <v>1</v>
      </c>
    </row>
    <row r="4" customFormat="false" ht="15.75" hidden="false" customHeight="false" outlineLevel="0" collapsed="false">
      <c r="A4" s="128" t="n">
        <f aca="false">ExportRaw!$F4</f>
        <v>0</v>
      </c>
      <c r="B4" s="128" t="str">
        <f aca="false">ExportRaw!$C4</f>
        <v>d</v>
      </c>
      <c r="C4" s="128" t="n">
        <f aca="false">ExportRaw!$G4</f>
        <v>0</v>
      </c>
      <c r="D4" s="128" t="str">
        <f aca="false">ExportRaw!$E4</f>
        <v>NS</v>
      </c>
      <c r="E4" s="129" t="str">
        <f aca="false">ExportRaw!$D4</f>
        <v>NS</v>
      </c>
      <c r="F4" s="128" t="str">
        <f aca="false">ExportRaw!$H4</f>
        <v>NS</v>
      </c>
      <c r="G4" s="130" t="str">
        <f aca="false">ExportRaw!$I4</f>
        <v>NS</v>
      </c>
      <c r="H4" s="128" t="n">
        <f aca="false">ExportRaw!$A4</f>
        <v>5</v>
      </c>
      <c r="I4" s="128" t="str">
        <f aca="false">ExportRaw!$B4</f>
        <v>NS</v>
      </c>
    </row>
    <row r="5" customFormat="false" ht="15.75" hidden="false" customHeight="false" outlineLevel="0" collapsed="false">
      <c r="A5" s="128" t="n">
        <f aca="false">ExportRaw!$F5</f>
        <v>0</v>
      </c>
      <c r="B5" s="128" t="str">
        <f aca="false">ExportRaw!$C5</f>
        <v>e</v>
      </c>
      <c r="C5" s="128" t="n">
        <f aca="false">ExportRaw!$G5</f>
        <v>0</v>
      </c>
      <c r="D5" s="128" t="str">
        <f aca="false">ExportRaw!$E5</f>
        <v>NS</v>
      </c>
      <c r="E5" s="129" t="str">
        <f aca="false">ExportRaw!$D5</f>
        <v>NS</v>
      </c>
      <c r="F5" s="128" t="str">
        <f aca="false">ExportRaw!$H5</f>
        <v>NS</v>
      </c>
      <c r="G5" s="130" t="str">
        <f aca="false">ExportRaw!$I5</f>
        <v>NS</v>
      </c>
      <c r="H5" s="128" t="n">
        <f aca="false">ExportRaw!$A5</f>
        <v>5</v>
      </c>
      <c r="I5" s="128" t="str">
        <f aca="false">ExportRaw!$B5</f>
        <v>NS</v>
      </c>
    </row>
    <row r="6" customFormat="false" ht="15.75" hidden="false" customHeight="false" outlineLevel="0" collapsed="false">
      <c r="A6" s="128" t="n">
        <f aca="false">ExportRaw!$F6</f>
        <v>0</v>
      </c>
      <c r="B6" s="128" t="n">
        <f aca="false">ExportRaw!$C6</f>
        <v>0</v>
      </c>
      <c r="C6" s="128" t="n">
        <f aca="false">ExportRaw!$G6</f>
        <v>0</v>
      </c>
      <c r="D6" s="128" t="str">
        <f aca="false">ExportRaw!$E6</f>
        <v/>
      </c>
      <c r="E6" s="129" t="str">
        <f aca="false">ExportRaw!$D6</f>
        <v/>
      </c>
      <c r="F6" s="128" t="str">
        <f aca="false">ExportRaw!$H6</f>
        <v/>
      </c>
      <c r="G6" s="130" t="str">
        <f aca="false">ExportRaw!$I6</f>
        <v/>
      </c>
      <c r="H6" s="128" t="str">
        <f aca="false">ExportRaw!$A6</f>
        <v/>
      </c>
      <c r="I6" s="128" t="str">
        <f aca="false">ExportRaw!$B6</f>
        <v/>
      </c>
    </row>
    <row r="7" customFormat="false" ht="15.75" hidden="false" customHeight="false" outlineLevel="0" collapsed="false">
      <c r="A7" s="128" t="n">
        <f aca="false">ExportRaw!$F7</f>
        <v>0</v>
      </c>
      <c r="B7" s="128" t="n">
        <f aca="false">ExportRaw!$C7</f>
        <v>0</v>
      </c>
      <c r="C7" s="128" t="n">
        <f aca="false">ExportRaw!$G7</f>
        <v>0</v>
      </c>
      <c r="D7" s="128" t="str">
        <f aca="false">ExportRaw!$E7</f>
        <v/>
      </c>
      <c r="E7" s="129" t="str">
        <f aca="false">ExportRaw!$D7</f>
        <v/>
      </c>
      <c r="F7" s="128" t="str">
        <f aca="false">ExportRaw!$H7</f>
        <v/>
      </c>
      <c r="G7" s="130" t="str">
        <f aca="false">ExportRaw!$I7</f>
        <v/>
      </c>
      <c r="H7" s="128" t="str">
        <f aca="false">ExportRaw!$A7</f>
        <v/>
      </c>
      <c r="I7" s="128" t="str">
        <f aca="false">ExportRaw!$B7</f>
        <v/>
      </c>
    </row>
    <row r="8" customFormat="false" ht="15.75" hidden="false" customHeight="false" outlineLevel="0" collapsed="false">
      <c r="A8" s="128" t="n">
        <f aca="false">ExportRaw!$F8</f>
        <v>0</v>
      </c>
      <c r="B8" s="128" t="n">
        <f aca="false">ExportRaw!$C8</f>
        <v>0</v>
      </c>
      <c r="C8" s="128" t="n">
        <f aca="false">ExportRaw!$G8</f>
        <v>0</v>
      </c>
      <c r="D8" s="128" t="str">
        <f aca="false">ExportRaw!$E8</f>
        <v/>
      </c>
      <c r="E8" s="129" t="str">
        <f aca="false">ExportRaw!$D8</f>
        <v/>
      </c>
      <c r="F8" s="128" t="str">
        <f aca="false">ExportRaw!$H8</f>
        <v/>
      </c>
      <c r="G8" s="130" t="str">
        <f aca="false">ExportRaw!$I8</f>
        <v/>
      </c>
      <c r="H8" s="128" t="str">
        <f aca="false">ExportRaw!$A8</f>
        <v/>
      </c>
      <c r="I8" s="128" t="str">
        <f aca="false">ExportRaw!$B8</f>
        <v/>
      </c>
    </row>
    <row r="9" customFormat="false" ht="15.75" hidden="false" customHeight="false" outlineLevel="0" collapsed="false">
      <c r="A9" s="128" t="n">
        <f aca="false">ExportRaw!$F9</f>
        <v>0</v>
      </c>
      <c r="B9" s="128" t="n">
        <f aca="false">ExportRaw!$C9</f>
        <v>0</v>
      </c>
      <c r="C9" s="128" t="n">
        <f aca="false">ExportRaw!$G9</f>
        <v>0</v>
      </c>
      <c r="D9" s="128" t="str">
        <f aca="false">ExportRaw!$E9</f>
        <v/>
      </c>
      <c r="E9" s="129" t="str">
        <f aca="false">ExportRaw!$D9</f>
        <v/>
      </c>
      <c r="F9" s="128" t="str">
        <f aca="false">ExportRaw!$H9</f>
        <v/>
      </c>
      <c r="G9" s="130" t="str">
        <f aca="false">ExportRaw!$I9</f>
        <v/>
      </c>
      <c r="H9" s="128" t="str">
        <f aca="false">ExportRaw!$A9</f>
        <v/>
      </c>
      <c r="I9" s="128" t="str">
        <f aca="false">ExportRaw!$B9</f>
        <v/>
      </c>
    </row>
    <row r="10" customFormat="false" ht="15.75" hidden="false" customHeight="false" outlineLevel="0" collapsed="false">
      <c r="A10" s="128" t="n">
        <f aca="false">ExportRaw!$F10</f>
        <v>0</v>
      </c>
      <c r="B10" s="128" t="n">
        <f aca="false">ExportRaw!$C10</f>
        <v>0</v>
      </c>
      <c r="C10" s="128" t="n">
        <f aca="false">ExportRaw!$G10</f>
        <v>0</v>
      </c>
      <c r="D10" s="128" t="str">
        <f aca="false">ExportRaw!$E10</f>
        <v/>
      </c>
      <c r="E10" s="129" t="str">
        <f aca="false">ExportRaw!$D10</f>
        <v/>
      </c>
      <c r="F10" s="128" t="str">
        <f aca="false">ExportRaw!$H10</f>
        <v/>
      </c>
      <c r="G10" s="130" t="str">
        <f aca="false">ExportRaw!$I10</f>
        <v/>
      </c>
      <c r="H10" s="128" t="str">
        <f aca="false">ExportRaw!$A10</f>
        <v/>
      </c>
      <c r="I10" s="128" t="str">
        <f aca="false">ExportRaw!$B10</f>
        <v/>
      </c>
    </row>
    <row r="11" customFormat="false" ht="15.75" hidden="false" customHeight="false" outlineLevel="0" collapsed="false">
      <c r="A11" s="128" t="n">
        <f aca="false">ExportRaw!$F11</f>
        <v>0</v>
      </c>
      <c r="B11" s="128" t="n">
        <f aca="false">ExportRaw!$C11</f>
        <v>0</v>
      </c>
      <c r="C11" s="128" t="n">
        <f aca="false">ExportRaw!$G11</f>
        <v>0</v>
      </c>
      <c r="D11" s="128" t="str">
        <f aca="false">ExportRaw!$E11</f>
        <v/>
      </c>
      <c r="E11" s="129" t="str">
        <f aca="false">ExportRaw!$D11</f>
        <v/>
      </c>
      <c r="F11" s="128" t="str">
        <f aca="false">ExportRaw!$H11</f>
        <v/>
      </c>
      <c r="G11" s="130" t="str">
        <f aca="false">ExportRaw!$I11</f>
        <v/>
      </c>
      <c r="H11" s="128" t="str">
        <f aca="false">ExportRaw!$A11</f>
        <v/>
      </c>
      <c r="I11" s="128" t="str">
        <f aca="false">ExportRaw!$B11</f>
        <v/>
      </c>
    </row>
    <row r="12" customFormat="false" ht="15.75" hidden="false" customHeight="false" outlineLevel="0" collapsed="false">
      <c r="A12" s="128" t="n">
        <f aca="false">ExportRaw!$F12</f>
        <v>0</v>
      </c>
      <c r="B12" s="128" t="n">
        <f aca="false">ExportRaw!$C12</f>
        <v>0</v>
      </c>
      <c r="C12" s="128" t="n">
        <f aca="false">ExportRaw!$G12</f>
        <v>0</v>
      </c>
      <c r="D12" s="128" t="str">
        <f aca="false">ExportRaw!$E12</f>
        <v/>
      </c>
      <c r="E12" s="129" t="str">
        <f aca="false">ExportRaw!$D12</f>
        <v/>
      </c>
      <c r="F12" s="128" t="str">
        <f aca="false">ExportRaw!$H12</f>
        <v/>
      </c>
      <c r="G12" s="130" t="str">
        <f aca="false">ExportRaw!$I12</f>
        <v/>
      </c>
      <c r="H12" s="128" t="str">
        <f aca="false">ExportRaw!$A12</f>
        <v/>
      </c>
      <c r="I12" s="128" t="str">
        <f aca="false">ExportRaw!$B12</f>
        <v/>
      </c>
    </row>
    <row r="13" customFormat="false" ht="15.75" hidden="false" customHeight="false" outlineLevel="0" collapsed="false">
      <c r="A13" s="128" t="n">
        <f aca="false">ExportRaw!$F13</f>
        <v>0</v>
      </c>
      <c r="B13" s="128" t="n">
        <f aca="false">ExportRaw!$C13</f>
        <v>0</v>
      </c>
      <c r="C13" s="128" t="n">
        <f aca="false">ExportRaw!$G13</f>
        <v>0</v>
      </c>
      <c r="D13" s="128" t="str">
        <f aca="false">ExportRaw!$E13</f>
        <v/>
      </c>
      <c r="E13" s="129" t="str">
        <f aca="false">ExportRaw!$D13</f>
        <v/>
      </c>
      <c r="F13" s="128" t="str">
        <f aca="false">ExportRaw!$H13</f>
        <v/>
      </c>
      <c r="G13" s="130" t="str">
        <f aca="false">ExportRaw!$I13</f>
        <v/>
      </c>
      <c r="H13" s="128" t="str">
        <f aca="false">ExportRaw!$A13</f>
        <v/>
      </c>
      <c r="I13" s="128" t="str">
        <f aca="false">ExportRaw!$B13</f>
        <v/>
      </c>
    </row>
    <row r="14" customFormat="false" ht="15.75" hidden="false" customHeight="false" outlineLevel="0" collapsed="false">
      <c r="A14" s="128" t="n">
        <f aca="false">ExportRaw!$F14</f>
        <v>0</v>
      </c>
      <c r="B14" s="128" t="n">
        <f aca="false">ExportRaw!$C14</f>
        <v>0</v>
      </c>
      <c r="C14" s="128" t="n">
        <f aca="false">ExportRaw!$G14</f>
        <v>0</v>
      </c>
      <c r="D14" s="128" t="str">
        <f aca="false">ExportRaw!$E14</f>
        <v/>
      </c>
      <c r="E14" s="129" t="str">
        <f aca="false">ExportRaw!$D14</f>
        <v/>
      </c>
      <c r="F14" s="128" t="str">
        <f aca="false">ExportRaw!$H14</f>
        <v/>
      </c>
      <c r="G14" s="130" t="str">
        <f aca="false">ExportRaw!$I14</f>
        <v/>
      </c>
      <c r="H14" s="128" t="str">
        <f aca="false">ExportRaw!$A14</f>
        <v/>
      </c>
      <c r="I14" s="128" t="str">
        <f aca="false">ExportRaw!$B14</f>
        <v/>
      </c>
    </row>
    <row r="15" customFormat="false" ht="15.75" hidden="false" customHeight="false" outlineLevel="0" collapsed="false">
      <c r="A15" s="128" t="n">
        <f aca="false">ExportRaw!$F15</f>
        <v>0</v>
      </c>
      <c r="B15" s="128" t="n">
        <f aca="false">ExportRaw!$C15</f>
        <v>0</v>
      </c>
      <c r="C15" s="128" t="n">
        <f aca="false">ExportRaw!$G15</f>
        <v>0</v>
      </c>
      <c r="D15" s="128" t="str">
        <f aca="false">ExportRaw!$E15</f>
        <v/>
      </c>
      <c r="E15" s="129" t="str">
        <f aca="false">ExportRaw!$D15</f>
        <v/>
      </c>
      <c r="F15" s="128" t="str">
        <f aca="false">ExportRaw!$H15</f>
        <v/>
      </c>
      <c r="G15" s="130" t="str">
        <f aca="false">ExportRaw!$I15</f>
        <v/>
      </c>
      <c r="H15" s="128" t="str">
        <f aca="false">ExportRaw!$A15</f>
        <v/>
      </c>
      <c r="I15" s="128" t="str">
        <f aca="false">ExportRaw!$B15</f>
        <v/>
      </c>
    </row>
    <row r="16" customFormat="false" ht="15.75" hidden="false" customHeight="false" outlineLevel="0" collapsed="false">
      <c r="A16" s="128" t="n">
        <f aca="false">ExportRaw!$F16</f>
        <v>0</v>
      </c>
      <c r="B16" s="128" t="n">
        <f aca="false">ExportRaw!$C16</f>
        <v>0</v>
      </c>
      <c r="C16" s="128" t="n">
        <f aca="false">ExportRaw!$G16</f>
        <v>0</v>
      </c>
      <c r="D16" s="128" t="str">
        <f aca="false">ExportRaw!$E16</f>
        <v/>
      </c>
      <c r="E16" s="129" t="str">
        <f aca="false">ExportRaw!$D16</f>
        <v/>
      </c>
      <c r="F16" s="128" t="str">
        <f aca="false">ExportRaw!$H16</f>
        <v/>
      </c>
      <c r="G16" s="130" t="str">
        <f aca="false">ExportRaw!$I16</f>
        <v/>
      </c>
      <c r="H16" s="128" t="str">
        <f aca="false">ExportRaw!$A16</f>
        <v/>
      </c>
      <c r="I16" s="128" t="str">
        <f aca="false">ExportRaw!$B16</f>
        <v/>
      </c>
    </row>
    <row r="17" customFormat="false" ht="15.75" hidden="false" customHeight="false" outlineLevel="0" collapsed="false">
      <c r="A17" s="128" t="n">
        <f aca="false">ExportRaw!$F17</f>
        <v>0</v>
      </c>
      <c r="B17" s="128" t="n">
        <f aca="false">ExportRaw!$C17</f>
        <v>0</v>
      </c>
      <c r="C17" s="128" t="n">
        <f aca="false">ExportRaw!$G17</f>
        <v>0</v>
      </c>
      <c r="D17" s="128" t="str">
        <f aca="false">ExportRaw!$E17</f>
        <v/>
      </c>
      <c r="E17" s="129" t="str">
        <f aca="false">ExportRaw!$D17</f>
        <v/>
      </c>
      <c r="F17" s="128" t="str">
        <f aca="false">ExportRaw!$H17</f>
        <v/>
      </c>
      <c r="G17" s="130" t="str">
        <f aca="false">ExportRaw!$I17</f>
        <v/>
      </c>
      <c r="H17" s="128" t="str">
        <f aca="false">ExportRaw!$A17</f>
        <v/>
      </c>
      <c r="I17" s="128" t="str">
        <f aca="false">ExportRaw!$B17</f>
        <v/>
      </c>
    </row>
    <row r="18" customFormat="false" ht="15.75" hidden="false" customHeight="false" outlineLevel="0" collapsed="false">
      <c r="A18" s="128" t="n">
        <f aca="false">ExportRaw!$F18</f>
        <v>0</v>
      </c>
      <c r="B18" s="128" t="n">
        <f aca="false">ExportRaw!$C18</f>
        <v>0</v>
      </c>
      <c r="C18" s="128" t="n">
        <f aca="false">ExportRaw!$G18</f>
        <v>0</v>
      </c>
      <c r="D18" s="128" t="str">
        <f aca="false">ExportRaw!$E18</f>
        <v/>
      </c>
      <c r="E18" s="129" t="str">
        <f aca="false">ExportRaw!$D18</f>
        <v/>
      </c>
      <c r="F18" s="128" t="str">
        <f aca="false">ExportRaw!$H18</f>
        <v/>
      </c>
      <c r="G18" s="130" t="str">
        <f aca="false">ExportRaw!$I18</f>
        <v/>
      </c>
      <c r="H18" s="128" t="str">
        <f aca="false">ExportRaw!$A18</f>
        <v/>
      </c>
      <c r="I18" s="128" t="str">
        <f aca="false">ExportRaw!$B18</f>
        <v/>
      </c>
    </row>
    <row r="19" customFormat="false" ht="15.75" hidden="false" customHeight="false" outlineLevel="0" collapsed="false">
      <c r="A19" s="128" t="n">
        <f aca="false">ExportRaw!$F19</f>
        <v>0</v>
      </c>
      <c r="B19" s="128" t="n">
        <f aca="false">ExportRaw!$C19</f>
        <v>0</v>
      </c>
      <c r="C19" s="128" t="n">
        <f aca="false">ExportRaw!$G19</f>
        <v>0</v>
      </c>
      <c r="D19" s="128" t="str">
        <f aca="false">ExportRaw!$E19</f>
        <v/>
      </c>
      <c r="E19" s="129" t="str">
        <f aca="false">ExportRaw!$D19</f>
        <v/>
      </c>
      <c r="F19" s="128" t="str">
        <f aca="false">ExportRaw!$H19</f>
        <v/>
      </c>
      <c r="G19" s="130" t="str">
        <f aca="false">ExportRaw!$I19</f>
        <v/>
      </c>
      <c r="H19" s="128" t="str">
        <f aca="false">ExportRaw!$A19</f>
        <v/>
      </c>
      <c r="I19" s="128" t="str">
        <f aca="false">ExportRaw!$B19</f>
        <v/>
      </c>
    </row>
    <row r="20" customFormat="false" ht="15.75" hidden="false" customHeight="false" outlineLevel="0" collapsed="false">
      <c r="A20" s="128" t="n">
        <f aca="false">ExportRaw!$F20</f>
        <v>0</v>
      </c>
      <c r="B20" s="128" t="n">
        <f aca="false">ExportRaw!$C20</f>
        <v>0</v>
      </c>
      <c r="C20" s="128" t="n">
        <f aca="false">ExportRaw!$G20</f>
        <v>0</v>
      </c>
      <c r="D20" s="128" t="str">
        <f aca="false">ExportRaw!$E20</f>
        <v/>
      </c>
      <c r="E20" s="129" t="str">
        <f aca="false">ExportRaw!$D20</f>
        <v/>
      </c>
      <c r="F20" s="128" t="str">
        <f aca="false">ExportRaw!$H20</f>
        <v/>
      </c>
      <c r="G20" s="130" t="str">
        <f aca="false">ExportRaw!$I20</f>
        <v/>
      </c>
      <c r="H20" s="128" t="str">
        <f aca="false">ExportRaw!$A20</f>
        <v/>
      </c>
      <c r="I20" s="128" t="str">
        <f aca="false">ExportRaw!$B20</f>
        <v/>
      </c>
    </row>
    <row r="21" customFormat="false" ht="15.75" hidden="false" customHeight="false" outlineLevel="0" collapsed="false">
      <c r="A21" s="128" t="n">
        <f aca="false">ExportRaw!$F21</f>
        <v>0</v>
      </c>
      <c r="B21" s="128" t="n">
        <f aca="false">ExportRaw!$C21</f>
        <v>0</v>
      </c>
      <c r="C21" s="128" t="n">
        <f aca="false">ExportRaw!$G21</f>
        <v>0</v>
      </c>
      <c r="D21" s="128" t="str">
        <f aca="false">ExportRaw!$E21</f>
        <v/>
      </c>
      <c r="E21" s="129" t="str">
        <f aca="false">ExportRaw!$D21</f>
        <v/>
      </c>
      <c r="F21" s="128" t="str">
        <f aca="false">ExportRaw!$H21</f>
        <v/>
      </c>
      <c r="G21" s="130" t="str">
        <f aca="false">ExportRaw!$I21</f>
        <v/>
      </c>
      <c r="H21" s="128" t="str">
        <f aca="false">ExportRaw!$A21</f>
        <v/>
      </c>
      <c r="I21" s="128" t="str">
        <f aca="false">ExportRaw!$B21</f>
        <v/>
      </c>
    </row>
    <row r="22" customFormat="false" ht="15.75" hidden="false" customHeight="false" outlineLevel="0" collapsed="false">
      <c r="A22" s="128" t="n">
        <f aca="false">ExportRaw!$F22</f>
        <v>0</v>
      </c>
      <c r="B22" s="128" t="n">
        <f aca="false">ExportRaw!$C22</f>
        <v>0</v>
      </c>
      <c r="C22" s="128" t="n">
        <f aca="false">ExportRaw!$G22</f>
        <v>0</v>
      </c>
      <c r="D22" s="128" t="str">
        <f aca="false">ExportRaw!$E22</f>
        <v/>
      </c>
      <c r="E22" s="129" t="str">
        <f aca="false">ExportRaw!$D22</f>
        <v/>
      </c>
      <c r="F22" s="128" t="str">
        <f aca="false">ExportRaw!$H22</f>
        <v/>
      </c>
      <c r="G22" s="130" t="str">
        <f aca="false">ExportRaw!$I22</f>
        <v/>
      </c>
      <c r="H22" s="128" t="str">
        <f aca="false">ExportRaw!$A22</f>
        <v/>
      </c>
      <c r="I22" s="128" t="str">
        <f aca="false">ExportRaw!$B22</f>
        <v/>
      </c>
    </row>
    <row r="23" customFormat="false" ht="15.75" hidden="false" customHeight="false" outlineLevel="0" collapsed="false">
      <c r="A23" s="128" t="n">
        <f aca="false">ExportRaw!$F23</f>
        <v>0</v>
      </c>
      <c r="B23" s="128" t="n">
        <f aca="false">ExportRaw!$C23</f>
        <v>0</v>
      </c>
      <c r="C23" s="128" t="n">
        <f aca="false">ExportRaw!$G23</f>
        <v>0</v>
      </c>
      <c r="D23" s="128" t="str">
        <f aca="false">ExportRaw!$E23</f>
        <v/>
      </c>
      <c r="E23" s="129" t="str">
        <f aca="false">ExportRaw!$D23</f>
        <v/>
      </c>
      <c r="F23" s="128" t="str">
        <f aca="false">ExportRaw!$H23</f>
        <v/>
      </c>
      <c r="G23" s="130" t="str">
        <f aca="false">ExportRaw!$I23</f>
        <v/>
      </c>
      <c r="H23" s="128" t="str">
        <f aca="false">ExportRaw!$A23</f>
        <v/>
      </c>
      <c r="I23" s="128" t="str">
        <f aca="false">ExportRaw!$B23</f>
        <v/>
      </c>
    </row>
    <row r="24" customFormat="false" ht="15.75" hidden="false" customHeight="false" outlineLevel="0" collapsed="false">
      <c r="A24" s="128" t="n">
        <f aca="false">ExportRaw!$F24</f>
        <v>0</v>
      </c>
      <c r="B24" s="128" t="n">
        <f aca="false">ExportRaw!$C24</f>
        <v>0</v>
      </c>
      <c r="C24" s="128" t="n">
        <f aca="false">ExportRaw!$G24</f>
        <v>0</v>
      </c>
      <c r="D24" s="128" t="str">
        <f aca="false">ExportRaw!$E24</f>
        <v/>
      </c>
      <c r="E24" s="129" t="str">
        <f aca="false">ExportRaw!$D24</f>
        <v/>
      </c>
      <c r="F24" s="128" t="str">
        <f aca="false">ExportRaw!$H24</f>
        <v/>
      </c>
      <c r="G24" s="130" t="str">
        <f aca="false">ExportRaw!$I24</f>
        <v/>
      </c>
      <c r="H24" s="128" t="str">
        <f aca="false">ExportRaw!$A24</f>
        <v/>
      </c>
      <c r="I24" s="128" t="str">
        <f aca="false">ExportRaw!$B24</f>
        <v/>
      </c>
    </row>
    <row r="25" customFormat="false" ht="15.75" hidden="false" customHeight="false" outlineLevel="0" collapsed="false">
      <c r="A25" s="128" t="n">
        <f aca="false">ExportRaw!$F25</f>
        <v>0</v>
      </c>
      <c r="B25" s="128" t="n">
        <f aca="false">ExportRaw!$C25</f>
        <v>0</v>
      </c>
      <c r="C25" s="128" t="n">
        <f aca="false">ExportRaw!$G25</f>
        <v>0</v>
      </c>
      <c r="D25" s="128" t="str">
        <f aca="false">ExportRaw!$E25</f>
        <v/>
      </c>
      <c r="E25" s="129" t="str">
        <f aca="false">ExportRaw!$D25</f>
        <v/>
      </c>
      <c r="F25" s="128" t="str">
        <f aca="false">ExportRaw!$H25</f>
        <v/>
      </c>
      <c r="G25" s="130" t="str">
        <f aca="false">ExportRaw!$I25</f>
        <v/>
      </c>
      <c r="H25" s="128" t="str">
        <f aca="false">ExportRaw!$A25</f>
        <v/>
      </c>
      <c r="I25" s="128" t="str">
        <f aca="false">ExportRaw!$B25</f>
        <v/>
      </c>
    </row>
    <row r="26" customFormat="false" ht="15.75" hidden="false" customHeight="false" outlineLevel="0" collapsed="false">
      <c r="A26" s="128" t="n">
        <f aca="false">ExportRaw!$F26</f>
        <v>0</v>
      </c>
      <c r="B26" s="128" t="n">
        <f aca="false">ExportRaw!$C26</f>
        <v>0</v>
      </c>
      <c r="C26" s="128" t="n">
        <f aca="false">ExportRaw!$G26</f>
        <v>0</v>
      </c>
      <c r="D26" s="128" t="str">
        <f aca="false">ExportRaw!$E26</f>
        <v/>
      </c>
      <c r="E26" s="129" t="str">
        <f aca="false">ExportRaw!$D26</f>
        <v/>
      </c>
      <c r="F26" s="128" t="str">
        <f aca="false">ExportRaw!$H26</f>
        <v/>
      </c>
      <c r="G26" s="130" t="str">
        <f aca="false">ExportRaw!$I26</f>
        <v/>
      </c>
      <c r="H26" s="128" t="str">
        <f aca="false">ExportRaw!$A26</f>
        <v/>
      </c>
      <c r="I26" s="128" t="str">
        <f aca="false">ExportRaw!$B26</f>
        <v/>
      </c>
    </row>
    <row r="27" customFormat="false" ht="15.75" hidden="false" customHeight="false" outlineLevel="0" collapsed="false">
      <c r="A27" s="128" t="n">
        <f aca="false">ExportRaw!$F27</f>
        <v>0</v>
      </c>
      <c r="B27" s="128" t="n">
        <f aca="false">ExportRaw!$C27</f>
        <v>0</v>
      </c>
      <c r="C27" s="128" t="n">
        <f aca="false">ExportRaw!$G27</f>
        <v>0</v>
      </c>
      <c r="D27" s="128" t="str">
        <f aca="false">ExportRaw!$E27</f>
        <v/>
      </c>
      <c r="E27" s="129" t="str">
        <f aca="false">ExportRaw!$D27</f>
        <v/>
      </c>
      <c r="F27" s="128" t="str">
        <f aca="false">ExportRaw!$H27</f>
        <v/>
      </c>
      <c r="G27" s="130" t="str">
        <f aca="false">ExportRaw!$I27</f>
        <v/>
      </c>
      <c r="H27" s="128" t="str">
        <f aca="false">ExportRaw!$A27</f>
        <v/>
      </c>
      <c r="I27" s="128" t="str">
        <f aca="false">ExportRaw!$B27</f>
        <v/>
      </c>
    </row>
    <row r="28" customFormat="false" ht="15.75" hidden="false" customHeight="false" outlineLevel="0" collapsed="false">
      <c r="A28" s="128" t="n">
        <f aca="false">ExportRaw!$F28</f>
        <v>0</v>
      </c>
      <c r="B28" s="128" t="n">
        <f aca="false">ExportRaw!$C28</f>
        <v>0</v>
      </c>
      <c r="C28" s="128" t="n">
        <f aca="false">ExportRaw!$G28</f>
        <v>0</v>
      </c>
      <c r="D28" s="128" t="str">
        <f aca="false">ExportRaw!$E28</f>
        <v/>
      </c>
      <c r="E28" s="129" t="str">
        <f aca="false">ExportRaw!$D28</f>
        <v/>
      </c>
      <c r="F28" s="128" t="str">
        <f aca="false">ExportRaw!$H28</f>
        <v/>
      </c>
      <c r="G28" s="130" t="str">
        <f aca="false">ExportRaw!$I28</f>
        <v/>
      </c>
      <c r="H28" s="128" t="str">
        <f aca="false">ExportRaw!$A28</f>
        <v/>
      </c>
      <c r="I28" s="128" t="str">
        <f aca="false">ExportRaw!$B28</f>
        <v/>
      </c>
    </row>
    <row r="29" customFormat="false" ht="15.75" hidden="false" customHeight="false" outlineLevel="0" collapsed="false">
      <c r="A29" s="128" t="n">
        <f aca="false">ExportRaw!$F29</f>
        <v>0</v>
      </c>
      <c r="B29" s="128" t="n">
        <f aca="false">ExportRaw!$C29</f>
        <v>0</v>
      </c>
      <c r="C29" s="128" t="n">
        <f aca="false">ExportRaw!$G29</f>
        <v>0</v>
      </c>
      <c r="D29" s="128" t="str">
        <f aca="false">ExportRaw!$E29</f>
        <v/>
      </c>
      <c r="E29" s="129" t="str">
        <f aca="false">ExportRaw!$D29</f>
        <v/>
      </c>
      <c r="F29" s="128" t="str">
        <f aca="false">ExportRaw!$H29</f>
        <v/>
      </c>
      <c r="G29" s="130" t="str">
        <f aca="false">ExportRaw!$I29</f>
        <v/>
      </c>
      <c r="H29" s="128" t="str">
        <f aca="false">ExportRaw!$A29</f>
        <v/>
      </c>
      <c r="I29" s="128" t="str">
        <f aca="false">ExportRaw!$B29</f>
        <v/>
      </c>
    </row>
    <row r="30" customFormat="false" ht="15.75" hidden="false" customHeight="false" outlineLevel="0" collapsed="false">
      <c r="A30" s="128" t="n">
        <f aca="false">ExportRaw!$F30</f>
        <v>0</v>
      </c>
      <c r="B30" s="128" t="n">
        <f aca="false">ExportRaw!$C30</f>
        <v>0</v>
      </c>
      <c r="C30" s="128" t="n">
        <f aca="false">ExportRaw!$G30</f>
        <v>0</v>
      </c>
      <c r="D30" s="128" t="str">
        <f aca="false">ExportRaw!$E30</f>
        <v/>
      </c>
      <c r="E30" s="129" t="str">
        <f aca="false">ExportRaw!$D30</f>
        <v/>
      </c>
      <c r="F30" s="128" t="str">
        <f aca="false">ExportRaw!$H30</f>
        <v/>
      </c>
      <c r="G30" s="130" t="str">
        <f aca="false">ExportRaw!$I30</f>
        <v/>
      </c>
      <c r="H30" s="128" t="str">
        <f aca="false">ExportRaw!$A30</f>
        <v/>
      </c>
      <c r="I30" s="128" t="str">
        <f aca="false">ExportRaw!$B30</f>
        <v/>
      </c>
    </row>
    <row r="31" customFormat="false" ht="15.75" hidden="false" customHeight="false" outlineLevel="0" collapsed="false">
      <c r="A31" s="128" t="n">
        <f aca="false">ExportRaw!$F31</f>
        <v>0</v>
      </c>
      <c r="B31" s="128" t="n">
        <f aca="false">ExportRaw!$C31</f>
        <v>0</v>
      </c>
      <c r="C31" s="128" t="n">
        <f aca="false">ExportRaw!$G31</f>
        <v>0</v>
      </c>
      <c r="D31" s="128" t="str">
        <f aca="false">ExportRaw!$E31</f>
        <v/>
      </c>
      <c r="E31" s="129" t="str">
        <f aca="false">ExportRaw!$D31</f>
        <v/>
      </c>
      <c r="F31" s="128" t="str">
        <f aca="false">ExportRaw!$H31</f>
        <v/>
      </c>
      <c r="G31" s="130" t="str">
        <f aca="false">ExportRaw!$I31</f>
        <v/>
      </c>
      <c r="H31" s="128" t="str">
        <f aca="false">ExportRaw!$A31</f>
        <v/>
      </c>
      <c r="I31" s="128" t="str">
        <f aca="false">ExportRaw!$B31</f>
        <v/>
      </c>
    </row>
    <row r="32" customFormat="false" ht="15.75" hidden="false" customHeight="false" outlineLevel="0" collapsed="false">
      <c r="A32" s="128" t="n">
        <f aca="false">ExportRaw!$F32</f>
        <v>0</v>
      </c>
      <c r="B32" s="128" t="n">
        <f aca="false">ExportRaw!$C32</f>
        <v>0</v>
      </c>
      <c r="C32" s="128" t="n">
        <f aca="false">ExportRaw!$G32</f>
        <v>0</v>
      </c>
      <c r="D32" s="128" t="str">
        <f aca="false">ExportRaw!$E32</f>
        <v/>
      </c>
      <c r="E32" s="129" t="str">
        <f aca="false">ExportRaw!$D32</f>
        <v/>
      </c>
      <c r="F32" s="128" t="str">
        <f aca="false">ExportRaw!$H32</f>
        <v/>
      </c>
      <c r="G32" s="130" t="str">
        <f aca="false">ExportRaw!$I32</f>
        <v/>
      </c>
      <c r="H32" s="128" t="str">
        <f aca="false">ExportRaw!$A32</f>
        <v/>
      </c>
      <c r="I32" s="128" t="str">
        <f aca="false">ExportRaw!$B32</f>
        <v/>
      </c>
    </row>
    <row r="33" customFormat="false" ht="15.75" hidden="false" customHeight="false" outlineLevel="0" collapsed="false">
      <c r="A33" s="128" t="n">
        <f aca="false">ExportRaw!$F33</f>
        <v>0</v>
      </c>
      <c r="B33" s="128" t="n">
        <f aca="false">ExportRaw!$C33</f>
        <v>0</v>
      </c>
      <c r="C33" s="128" t="n">
        <f aca="false">ExportRaw!$G33</f>
        <v>0</v>
      </c>
      <c r="D33" s="128" t="str">
        <f aca="false">ExportRaw!$E33</f>
        <v/>
      </c>
      <c r="E33" s="129" t="str">
        <f aca="false">ExportRaw!$D33</f>
        <v/>
      </c>
      <c r="F33" s="128" t="str">
        <f aca="false">ExportRaw!$H33</f>
        <v/>
      </c>
      <c r="G33" s="130" t="str">
        <f aca="false">ExportRaw!$I33</f>
        <v/>
      </c>
      <c r="H33" s="128" t="str">
        <f aca="false">ExportRaw!$A33</f>
        <v/>
      </c>
      <c r="I33" s="128" t="str">
        <f aca="false">ExportRaw!$B33</f>
        <v/>
      </c>
    </row>
    <row r="34" customFormat="false" ht="15.75" hidden="false" customHeight="false" outlineLevel="0" collapsed="false">
      <c r="A34" s="128" t="n">
        <f aca="false">ExportRaw!$F34</f>
        <v>0</v>
      </c>
      <c r="B34" s="128" t="n">
        <f aca="false">ExportRaw!$C34</f>
        <v>0</v>
      </c>
      <c r="C34" s="128" t="n">
        <f aca="false">ExportRaw!$G34</f>
        <v>0</v>
      </c>
      <c r="D34" s="128" t="str">
        <f aca="false">ExportRaw!$E34</f>
        <v/>
      </c>
      <c r="E34" s="129" t="str">
        <f aca="false">ExportRaw!$D34</f>
        <v/>
      </c>
      <c r="F34" s="128" t="str">
        <f aca="false">ExportRaw!$H34</f>
        <v/>
      </c>
      <c r="G34" s="130" t="str">
        <f aca="false">ExportRaw!$I34</f>
        <v/>
      </c>
      <c r="H34" s="128" t="str">
        <f aca="false">ExportRaw!$A34</f>
        <v/>
      </c>
      <c r="I34" s="128" t="str">
        <f aca="false">ExportRaw!$B34</f>
        <v/>
      </c>
    </row>
    <row r="35" customFormat="false" ht="15.75" hidden="false" customHeight="false" outlineLevel="0" collapsed="false">
      <c r="A35" s="128" t="n">
        <f aca="false">ExportRaw!$F35</f>
        <v>0</v>
      </c>
      <c r="B35" s="128" t="n">
        <f aca="false">ExportRaw!$C35</f>
        <v>0</v>
      </c>
      <c r="C35" s="128" t="n">
        <f aca="false">ExportRaw!$G35</f>
        <v>0</v>
      </c>
      <c r="D35" s="128" t="str">
        <f aca="false">ExportRaw!$E35</f>
        <v/>
      </c>
      <c r="E35" s="129" t="str">
        <f aca="false">ExportRaw!$D35</f>
        <v/>
      </c>
      <c r="F35" s="128" t="str">
        <f aca="false">ExportRaw!$H35</f>
        <v/>
      </c>
      <c r="G35" s="130" t="str">
        <f aca="false">ExportRaw!$I35</f>
        <v/>
      </c>
      <c r="H35" s="128" t="str">
        <f aca="false">ExportRaw!$A35</f>
        <v/>
      </c>
      <c r="I35" s="128" t="str">
        <f aca="false">ExportRaw!$B35</f>
        <v/>
      </c>
    </row>
    <row r="36" customFormat="false" ht="15.75" hidden="false" customHeight="false" outlineLevel="0" collapsed="false">
      <c r="A36" s="128" t="n">
        <f aca="false">ExportRaw!$F36</f>
        <v>0</v>
      </c>
      <c r="B36" s="128" t="n">
        <f aca="false">ExportRaw!$C36</f>
        <v>0</v>
      </c>
      <c r="C36" s="128" t="n">
        <f aca="false">ExportRaw!$G36</f>
        <v>0</v>
      </c>
      <c r="D36" s="128" t="str">
        <f aca="false">ExportRaw!$E36</f>
        <v/>
      </c>
      <c r="E36" s="129" t="str">
        <f aca="false">ExportRaw!$D36</f>
        <v/>
      </c>
      <c r="F36" s="128" t="str">
        <f aca="false">ExportRaw!$H36</f>
        <v/>
      </c>
      <c r="G36" s="130" t="str">
        <f aca="false">ExportRaw!$I36</f>
        <v/>
      </c>
      <c r="H36" s="128" t="str">
        <f aca="false">ExportRaw!$A36</f>
        <v/>
      </c>
      <c r="I36" s="128" t="str">
        <f aca="false">ExportRaw!$B36</f>
        <v/>
      </c>
    </row>
    <row r="37" customFormat="false" ht="15.75" hidden="false" customHeight="false" outlineLevel="0" collapsed="false">
      <c r="A37" s="128" t="n">
        <f aca="false">ExportRaw!$F37</f>
        <v>0</v>
      </c>
      <c r="B37" s="128" t="n">
        <f aca="false">ExportRaw!$C37</f>
        <v>0</v>
      </c>
      <c r="C37" s="128" t="n">
        <f aca="false">ExportRaw!$G37</f>
        <v>0</v>
      </c>
      <c r="D37" s="128" t="str">
        <f aca="false">ExportRaw!$E37</f>
        <v/>
      </c>
      <c r="E37" s="129" t="str">
        <f aca="false">ExportRaw!$D37</f>
        <v/>
      </c>
      <c r="F37" s="128" t="str">
        <f aca="false">ExportRaw!$H37</f>
        <v/>
      </c>
      <c r="G37" s="130" t="str">
        <f aca="false">ExportRaw!$I37</f>
        <v/>
      </c>
      <c r="H37" s="128" t="str">
        <f aca="false">ExportRaw!$A37</f>
        <v/>
      </c>
      <c r="I37" s="128" t="str">
        <f aca="false">ExportRaw!$B37</f>
        <v/>
      </c>
    </row>
    <row r="38" customFormat="false" ht="15.75" hidden="false" customHeight="false" outlineLevel="0" collapsed="false">
      <c r="A38" s="128" t="n">
        <f aca="false">ExportRaw!$F38</f>
        <v>0</v>
      </c>
      <c r="B38" s="128" t="n">
        <f aca="false">ExportRaw!$C38</f>
        <v>0</v>
      </c>
      <c r="C38" s="128" t="n">
        <f aca="false">ExportRaw!$G38</f>
        <v>0</v>
      </c>
      <c r="D38" s="128" t="str">
        <f aca="false">ExportRaw!$E38</f>
        <v/>
      </c>
      <c r="E38" s="129" t="str">
        <f aca="false">ExportRaw!$D38</f>
        <v/>
      </c>
      <c r="F38" s="128" t="str">
        <f aca="false">ExportRaw!$H38</f>
        <v/>
      </c>
      <c r="G38" s="130" t="str">
        <f aca="false">ExportRaw!$I38</f>
        <v/>
      </c>
      <c r="H38" s="128" t="str">
        <f aca="false">ExportRaw!$A38</f>
        <v/>
      </c>
      <c r="I38" s="128" t="str">
        <f aca="false">ExportRaw!$B38</f>
        <v/>
      </c>
    </row>
    <row r="39" customFormat="false" ht="15.75" hidden="false" customHeight="false" outlineLevel="0" collapsed="false">
      <c r="A39" s="128" t="n">
        <f aca="false">ExportRaw!$F39</f>
        <v>0</v>
      </c>
      <c r="B39" s="128" t="n">
        <f aca="false">ExportRaw!$C39</f>
        <v>0</v>
      </c>
      <c r="C39" s="128" t="n">
        <f aca="false">ExportRaw!$G39</f>
        <v>0</v>
      </c>
      <c r="D39" s="128" t="str">
        <f aca="false">ExportRaw!$E39</f>
        <v/>
      </c>
      <c r="E39" s="129" t="str">
        <f aca="false">ExportRaw!$D39</f>
        <v/>
      </c>
      <c r="F39" s="128" t="str">
        <f aca="false">ExportRaw!$H39</f>
        <v/>
      </c>
      <c r="G39" s="130" t="str">
        <f aca="false">ExportRaw!$I39</f>
        <v/>
      </c>
      <c r="H39" s="128" t="str">
        <f aca="false">ExportRaw!$A39</f>
        <v/>
      </c>
      <c r="I39" s="128" t="str">
        <f aca="false">ExportRaw!$B39</f>
        <v/>
      </c>
    </row>
    <row r="40" customFormat="false" ht="15.75" hidden="false" customHeight="false" outlineLevel="0" collapsed="false">
      <c r="A40" s="128" t="n">
        <f aca="false">ExportRaw!$F40</f>
        <v>0</v>
      </c>
      <c r="B40" s="128" t="n">
        <f aca="false">ExportRaw!$C40</f>
        <v>0</v>
      </c>
      <c r="C40" s="128" t="n">
        <f aca="false">ExportRaw!$G40</f>
        <v>0</v>
      </c>
      <c r="D40" s="128" t="str">
        <f aca="false">ExportRaw!$E40</f>
        <v/>
      </c>
      <c r="E40" s="129" t="str">
        <f aca="false">ExportRaw!$D40</f>
        <v/>
      </c>
      <c r="F40" s="128" t="str">
        <f aca="false">ExportRaw!$H40</f>
        <v/>
      </c>
      <c r="G40" s="130" t="str">
        <f aca="false">ExportRaw!$I40</f>
        <v/>
      </c>
      <c r="H40" s="128" t="str">
        <f aca="false">ExportRaw!$A40</f>
        <v/>
      </c>
      <c r="I40" s="128" t="str">
        <f aca="false">ExportRaw!$B40</f>
        <v/>
      </c>
    </row>
    <row r="41" customFormat="false" ht="15.75" hidden="false" customHeight="false" outlineLevel="0" collapsed="false">
      <c r="A41" s="128" t="n">
        <f aca="false">ExportRaw!$F41</f>
        <v>0</v>
      </c>
      <c r="B41" s="128" t="n">
        <f aca="false">ExportRaw!$C41</f>
        <v>0</v>
      </c>
      <c r="C41" s="128" t="n">
        <f aca="false">ExportRaw!$G41</f>
        <v>0</v>
      </c>
      <c r="D41" s="128" t="str">
        <f aca="false">ExportRaw!$E41</f>
        <v/>
      </c>
      <c r="E41" s="129" t="str">
        <f aca="false">ExportRaw!$D41</f>
        <v/>
      </c>
      <c r="F41" s="128" t="str">
        <f aca="false">ExportRaw!$H41</f>
        <v/>
      </c>
      <c r="G41" s="130" t="str">
        <f aca="false">ExportRaw!$I41</f>
        <v/>
      </c>
      <c r="H41" s="128" t="str">
        <f aca="false">ExportRaw!$A41</f>
        <v/>
      </c>
      <c r="I41" s="128" t="str">
        <f aca="false">ExportRaw!$B41</f>
        <v/>
      </c>
    </row>
    <row r="42" customFormat="false" ht="15.75" hidden="false" customHeight="false" outlineLevel="0" collapsed="false">
      <c r="A42" s="128" t="n">
        <f aca="false">ExportRaw!$F42</f>
        <v>0</v>
      </c>
      <c r="B42" s="128" t="n">
        <f aca="false">ExportRaw!$C42</f>
        <v>0</v>
      </c>
      <c r="C42" s="128" t="n">
        <f aca="false">ExportRaw!$G42</f>
        <v>0</v>
      </c>
      <c r="D42" s="128" t="str">
        <f aca="false">ExportRaw!$E42</f>
        <v/>
      </c>
      <c r="E42" s="129" t="str">
        <f aca="false">ExportRaw!$D42</f>
        <v/>
      </c>
      <c r="F42" s="128" t="str">
        <f aca="false">ExportRaw!$H42</f>
        <v/>
      </c>
      <c r="G42" s="130" t="str">
        <f aca="false">ExportRaw!$I42</f>
        <v/>
      </c>
      <c r="H42" s="128" t="str">
        <f aca="false">ExportRaw!$A42</f>
        <v/>
      </c>
      <c r="I42" s="128" t="str">
        <f aca="false">ExportRaw!$B42</f>
        <v/>
      </c>
    </row>
    <row r="43" customFormat="false" ht="15.75" hidden="false" customHeight="false" outlineLevel="0" collapsed="false">
      <c r="A43" s="128" t="n">
        <f aca="false">ExportRaw!$F43</f>
        <v>0</v>
      </c>
      <c r="B43" s="128" t="n">
        <f aca="false">ExportRaw!$C43</f>
        <v>0</v>
      </c>
      <c r="C43" s="128" t="n">
        <f aca="false">ExportRaw!$G43</f>
        <v>0</v>
      </c>
      <c r="D43" s="128" t="str">
        <f aca="false">ExportRaw!$E43</f>
        <v/>
      </c>
      <c r="E43" s="129" t="str">
        <f aca="false">ExportRaw!$D43</f>
        <v/>
      </c>
      <c r="F43" s="128" t="str">
        <f aca="false">ExportRaw!$H43</f>
        <v/>
      </c>
      <c r="G43" s="130" t="str">
        <f aca="false">ExportRaw!$I43</f>
        <v/>
      </c>
      <c r="H43" s="128" t="str">
        <f aca="false">ExportRaw!$A43</f>
        <v/>
      </c>
      <c r="I43" s="128" t="str">
        <f aca="false">ExportRaw!$B43</f>
        <v/>
      </c>
    </row>
    <row r="44" customFormat="false" ht="15.75" hidden="false" customHeight="false" outlineLevel="0" collapsed="false">
      <c r="A44" s="128" t="n">
        <f aca="false">ExportRaw!$F44</f>
        <v>0</v>
      </c>
      <c r="B44" s="128" t="n">
        <f aca="false">ExportRaw!$C44</f>
        <v>0</v>
      </c>
      <c r="C44" s="128" t="n">
        <f aca="false">ExportRaw!$G44</f>
        <v>0</v>
      </c>
      <c r="D44" s="128" t="str">
        <f aca="false">ExportRaw!$E44</f>
        <v/>
      </c>
      <c r="E44" s="129" t="str">
        <f aca="false">ExportRaw!$D44</f>
        <v/>
      </c>
      <c r="F44" s="128" t="str">
        <f aca="false">ExportRaw!$H44</f>
        <v/>
      </c>
      <c r="G44" s="130" t="str">
        <f aca="false">ExportRaw!$I44</f>
        <v/>
      </c>
      <c r="H44" s="128" t="str">
        <f aca="false">ExportRaw!$A44</f>
        <v/>
      </c>
      <c r="I44" s="128" t="str">
        <f aca="false">ExportRaw!$B44</f>
        <v/>
      </c>
    </row>
    <row r="45" customFormat="false" ht="15.75" hidden="false" customHeight="false" outlineLevel="0" collapsed="false">
      <c r="A45" s="128" t="n">
        <f aca="false">ExportRaw!$F45</f>
        <v>0</v>
      </c>
      <c r="B45" s="128" t="n">
        <f aca="false">ExportRaw!$C45</f>
        <v>0</v>
      </c>
      <c r="C45" s="128" t="n">
        <f aca="false">ExportRaw!$G45</f>
        <v>0</v>
      </c>
      <c r="D45" s="128" t="str">
        <f aca="false">ExportRaw!$E45</f>
        <v/>
      </c>
      <c r="E45" s="129" t="str">
        <f aca="false">ExportRaw!$D45</f>
        <v/>
      </c>
      <c r="F45" s="128" t="str">
        <f aca="false">ExportRaw!$H45</f>
        <v/>
      </c>
      <c r="G45" s="130" t="str">
        <f aca="false">ExportRaw!$I45</f>
        <v/>
      </c>
      <c r="H45" s="128" t="str">
        <f aca="false">ExportRaw!$A45</f>
        <v/>
      </c>
      <c r="I45" s="128" t="str">
        <f aca="false">ExportRaw!$B45</f>
        <v/>
      </c>
    </row>
    <row r="46" customFormat="false" ht="15.75" hidden="false" customHeight="false" outlineLevel="0" collapsed="false">
      <c r="A46" s="128" t="n">
        <f aca="false">ExportRaw!$F46</f>
        <v>0</v>
      </c>
      <c r="B46" s="128" t="n">
        <f aca="false">ExportRaw!$C46</f>
        <v>0</v>
      </c>
      <c r="C46" s="128" t="n">
        <f aca="false">ExportRaw!$G46</f>
        <v>0</v>
      </c>
      <c r="D46" s="128" t="str">
        <f aca="false">ExportRaw!$E46</f>
        <v/>
      </c>
      <c r="E46" s="129" t="str">
        <f aca="false">ExportRaw!$D46</f>
        <v/>
      </c>
      <c r="F46" s="128" t="str">
        <f aca="false">ExportRaw!$H46</f>
        <v/>
      </c>
      <c r="G46" s="130" t="str">
        <f aca="false">ExportRaw!$I46</f>
        <v/>
      </c>
      <c r="H46" s="128" t="str">
        <f aca="false">ExportRaw!$A46</f>
        <v/>
      </c>
      <c r="I46" s="128" t="str">
        <f aca="false">ExportRaw!$B46</f>
        <v/>
      </c>
    </row>
    <row r="47" customFormat="false" ht="15.75" hidden="false" customHeight="false" outlineLevel="0" collapsed="false">
      <c r="A47" s="128" t="n">
        <f aca="false">ExportRaw!$F47</f>
        <v>0</v>
      </c>
      <c r="B47" s="128" t="n">
        <f aca="false">ExportRaw!$C47</f>
        <v>0</v>
      </c>
      <c r="C47" s="128" t="n">
        <f aca="false">ExportRaw!$G47</f>
        <v>0</v>
      </c>
      <c r="D47" s="128" t="str">
        <f aca="false">ExportRaw!$E47</f>
        <v/>
      </c>
      <c r="E47" s="129" t="str">
        <f aca="false">ExportRaw!$D47</f>
        <v/>
      </c>
      <c r="F47" s="128" t="str">
        <f aca="false">ExportRaw!$H47</f>
        <v/>
      </c>
      <c r="G47" s="130" t="str">
        <f aca="false">ExportRaw!$I47</f>
        <v/>
      </c>
      <c r="H47" s="128" t="str">
        <f aca="false">ExportRaw!$A47</f>
        <v/>
      </c>
      <c r="I47" s="128" t="str">
        <f aca="false">ExportRaw!$B47</f>
        <v/>
      </c>
    </row>
    <row r="48" customFormat="false" ht="15.75" hidden="false" customHeight="false" outlineLevel="0" collapsed="false">
      <c r="A48" s="128" t="n">
        <f aca="false">ExportRaw!$F48</f>
        <v>0</v>
      </c>
      <c r="B48" s="128" t="n">
        <f aca="false">ExportRaw!$C48</f>
        <v>0</v>
      </c>
      <c r="C48" s="128" t="n">
        <f aca="false">ExportRaw!$G48</f>
        <v>0</v>
      </c>
      <c r="D48" s="128" t="str">
        <f aca="false">ExportRaw!$E48</f>
        <v/>
      </c>
      <c r="E48" s="129" t="str">
        <f aca="false">ExportRaw!$D48</f>
        <v/>
      </c>
      <c r="F48" s="128" t="str">
        <f aca="false">ExportRaw!$H48</f>
        <v/>
      </c>
      <c r="G48" s="130" t="str">
        <f aca="false">ExportRaw!$I48</f>
        <v/>
      </c>
      <c r="H48" s="128" t="str">
        <f aca="false">ExportRaw!$A48</f>
        <v/>
      </c>
      <c r="I48" s="128" t="str">
        <f aca="false">ExportRaw!$B48</f>
        <v/>
      </c>
    </row>
    <row r="49" customFormat="false" ht="15.75" hidden="false" customHeight="false" outlineLevel="0" collapsed="false">
      <c r="A49" s="128" t="n">
        <f aca="false">ExportRaw!$F49</f>
        <v>0</v>
      </c>
      <c r="B49" s="128" t="n">
        <f aca="false">ExportRaw!$C49</f>
        <v>0</v>
      </c>
      <c r="C49" s="128" t="n">
        <f aca="false">ExportRaw!$G49</f>
        <v>0</v>
      </c>
      <c r="D49" s="128" t="str">
        <f aca="false">ExportRaw!$E49</f>
        <v/>
      </c>
      <c r="E49" s="129" t="str">
        <f aca="false">ExportRaw!$D49</f>
        <v/>
      </c>
      <c r="F49" s="128" t="str">
        <f aca="false">ExportRaw!$H49</f>
        <v/>
      </c>
      <c r="G49" s="130" t="str">
        <f aca="false">ExportRaw!$I49</f>
        <v/>
      </c>
      <c r="H49" s="128" t="str">
        <f aca="false">ExportRaw!$A49</f>
        <v/>
      </c>
      <c r="I49" s="128" t="str">
        <f aca="false">ExportRaw!$B49</f>
        <v/>
      </c>
    </row>
    <row r="50" customFormat="false" ht="15.75" hidden="false" customHeight="false" outlineLevel="0" collapsed="false">
      <c r="A50" s="128" t="n">
        <f aca="false">ExportRaw!$F50</f>
        <v>0</v>
      </c>
      <c r="B50" s="128" t="n">
        <f aca="false">ExportRaw!$C50</f>
        <v>0</v>
      </c>
      <c r="C50" s="128" t="n">
        <f aca="false">ExportRaw!$G50</f>
        <v>0</v>
      </c>
      <c r="D50" s="128" t="str">
        <f aca="false">ExportRaw!$E50</f>
        <v/>
      </c>
      <c r="E50" s="129" t="str">
        <f aca="false">ExportRaw!$D50</f>
        <v/>
      </c>
      <c r="F50" s="128" t="str">
        <f aca="false">ExportRaw!$H50</f>
        <v/>
      </c>
      <c r="G50" s="130" t="str">
        <f aca="false">ExportRaw!$I50</f>
        <v/>
      </c>
      <c r="H50" s="128" t="str">
        <f aca="false">ExportRaw!$A50</f>
        <v/>
      </c>
      <c r="I50" s="128" t="str">
        <f aca="false">ExportRaw!$B50</f>
        <v/>
      </c>
    </row>
    <row r="51" customFormat="false" ht="15.75" hidden="false" customHeight="false" outlineLevel="0" collapsed="false">
      <c r="A51" s="128" t="n">
        <f aca="false">ExportRaw!$F51</f>
        <v>0</v>
      </c>
      <c r="B51" s="128" t="n">
        <f aca="false">ExportRaw!$C51</f>
        <v>0</v>
      </c>
      <c r="C51" s="128" t="n">
        <f aca="false">ExportRaw!$G51</f>
        <v>0</v>
      </c>
      <c r="D51" s="128" t="str">
        <f aca="false">ExportRaw!$E51</f>
        <v/>
      </c>
      <c r="E51" s="129" t="str">
        <f aca="false">ExportRaw!$D51</f>
        <v/>
      </c>
      <c r="F51" s="128" t="str">
        <f aca="false">ExportRaw!$H51</f>
        <v/>
      </c>
      <c r="G51" s="130" t="str">
        <f aca="false">ExportRaw!$I51</f>
        <v/>
      </c>
      <c r="H51" s="128" t="str">
        <f aca="false">ExportRaw!$A51</f>
        <v/>
      </c>
      <c r="I51" s="128" t="str">
        <f aca="false">ExportRaw!$B51</f>
        <v/>
      </c>
    </row>
    <row r="52" customFormat="false" ht="15.75" hidden="false" customHeight="false" outlineLevel="0" collapsed="false">
      <c r="A52" s="128" t="n">
        <f aca="false">ExportRaw!$F52</f>
        <v>0</v>
      </c>
      <c r="B52" s="128" t="n">
        <f aca="false">ExportRaw!$C52</f>
        <v>0</v>
      </c>
      <c r="C52" s="128" t="n">
        <f aca="false">ExportRaw!$G52</f>
        <v>0</v>
      </c>
      <c r="D52" s="128" t="str">
        <f aca="false">ExportRaw!$E52</f>
        <v/>
      </c>
      <c r="E52" s="129" t="str">
        <f aca="false">ExportRaw!$D52</f>
        <v/>
      </c>
      <c r="F52" s="128" t="str">
        <f aca="false">ExportRaw!$H52</f>
        <v/>
      </c>
      <c r="G52" s="130" t="str">
        <f aca="false">ExportRaw!$I52</f>
        <v/>
      </c>
      <c r="H52" s="128" t="str">
        <f aca="false">ExportRaw!$A52</f>
        <v/>
      </c>
      <c r="I52" s="128" t="str">
        <f aca="false">ExportRaw!$B52</f>
        <v/>
      </c>
    </row>
    <row r="53" customFormat="false" ht="15.75" hidden="false" customHeight="false" outlineLevel="0" collapsed="false">
      <c r="A53" s="128" t="n">
        <f aca="false">ExportRaw!$F53</f>
        <v>0</v>
      </c>
      <c r="B53" s="128" t="n">
        <f aca="false">ExportRaw!$C53</f>
        <v>0</v>
      </c>
      <c r="C53" s="128" t="n">
        <f aca="false">ExportRaw!$G53</f>
        <v>0</v>
      </c>
      <c r="D53" s="128" t="str">
        <f aca="false">ExportRaw!$E53</f>
        <v/>
      </c>
      <c r="E53" s="129" t="str">
        <f aca="false">ExportRaw!$D53</f>
        <v/>
      </c>
      <c r="F53" s="128" t="str">
        <f aca="false">ExportRaw!$H53</f>
        <v/>
      </c>
      <c r="G53" s="130" t="str">
        <f aca="false">ExportRaw!$I53</f>
        <v/>
      </c>
      <c r="H53" s="128" t="str">
        <f aca="false">ExportRaw!$A53</f>
        <v/>
      </c>
      <c r="I53" s="128" t="str">
        <f aca="false">ExportRaw!$B53</f>
        <v/>
      </c>
    </row>
    <row r="54" customFormat="false" ht="15.75" hidden="false" customHeight="false" outlineLevel="0" collapsed="false">
      <c r="A54" s="128" t="n">
        <f aca="false">ExportRaw!$F54</f>
        <v>0</v>
      </c>
      <c r="B54" s="128" t="n">
        <f aca="false">ExportRaw!$C54</f>
        <v>0</v>
      </c>
      <c r="C54" s="128" t="n">
        <f aca="false">ExportRaw!$G54</f>
        <v>0</v>
      </c>
      <c r="D54" s="128" t="str">
        <f aca="false">ExportRaw!$E54</f>
        <v/>
      </c>
      <c r="E54" s="129" t="str">
        <f aca="false">ExportRaw!$D54</f>
        <v/>
      </c>
      <c r="F54" s="128" t="str">
        <f aca="false">ExportRaw!$H54</f>
        <v/>
      </c>
      <c r="G54" s="130" t="str">
        <f aca="false">ExportRaw!$I54</f>
        <v/>
      </c>
      <c r="H54" s="128" t="str">
        <f aca="false">ExportRaw!$A54</f>
        <v/>
      </c>
      <c r="I54" s="128" t="str">
        <f aca="false">ExportRaw!$B54</f>
        <v/>
      </c>
    </row>
    <row r="55" customFormat="false" ht="15.75" hidden="false" customHeight="false" outlineLevel="0" collapsed="false">
      <c r="A55" s="128" t="n">
        <f aca="false">ExportRaw!$F55</f>
        <v>0</v>
      </c>
      <c r="B55" s="128" t="n">
        <f aca="false">ExportRaw!$C55</f>
        <v>0</v>
      </c>
      <c r="C55" s="128" t="n">
        <f aca="false">ExportRaw!$G55</f>
        <v>0</v>
      </c>
      <c r="D55" s="128" t="str">
        <f aca="false">ExportRaw!$E55</f>
        <v/>
      </c>
      <c r="E55" s="129" t="str">
        <f aca="false">ExportRaw!$D55</f>
        <v/>
      </c>
      <c r="F55" s="128" t="str">
        <f aca="false">ExportRaw!$H55</f>
        <v/>
      </c>
      <c r="G55" s="130" t="str">
        <f aca="false">ExportRaw!$I55</f>
        <v/>
      </c>
      <c r="H55" s="128" t="str">
        <f aca="false">ExportRaw!$A55</f>
        <v/>
      </c>
      <c r="I55" s="128" t="str">
        <f aca="false">ExportRaw!$B55</f>
        <v/>
      </c>
    </row>
    <row r="56" customFormat="false" ht="15.75" hidden="false" customHeight="false" outlineLevel="0" collapsed="false">
      <c r="A56" s="128" t="n">
        <f aca="false">ExportRaw!$F56</f>
        <v>0</v>
      </c>
      <c r="B56" s="128" t="n">
        <f aca="false">ExportRaw!$C56</f>
        <v>0</v>
      </c>
      <c r="C56" s="128" t="n">
        <f aca="false">ExportRaw!$G56</f>
        <v>0</v>
      </c>
      <c r="D56" s="128" t="str">
        <f aca="false">ExportRaw!$E56</f>
        <v/>
      </c>
      <c r="E56" s="129" t="str">
        <f aca="false">ExportRaw!$D56</f>
        <v/>
      </c>
      <c r="F56" s="128" t="str">
        <f aca="false">ExportRaw!$H56</f>
        <v/>
      </c>
      <c r="G56" s="130" t="str">
        <f aca="false">ExportRaw!$I56</f>
        <v/>
      </c>
      <c r="H56" s="128" t="str">
        <f aca="false">ExportRaw!$A56</f>
        <v/>
      </c>
      <c r="I56" s="128" t="str">
        <f aca="false">ExportRaw!$B56</f>
        <v/>
      </c>
    </row>
    <row r="57" customFormat="false" ht="15.75" hidden="false" customHeight="false" outlineLevel="0" collapsed="false">
      <c r="A57" s="128" t="n">
        <f aca="false">ExportRaw!$F57</f>
        <v>0</v>
      </c>
      <c r="B57" s="128" t="n">
        <f aca="false">ExportRaw!$C57</f>
        <v>0</v>
      </c>
      <c r="C57" s="128" t="n">
        <f aca="false">ExportRaw!$G57</f>
        <v>0</v>
      </c>
      <c r="D57" s="128" t="str">
        <f aca="false">ExportRaw!$E57</f>
        <v/>
      </c>
      <c r="E57" s="129" t="str">
        <f aca="false">ExportRaw!$D57</f>
        <v/>
      </c>
      <c r="F57" s="128" t="str">
        <f aca="false">ExportRaw!$H57</f>
        <v/>
      </c>
      <c r="G57" s="130" t="str">
        <f aca="false">ExportRaw!$I57</f>
        <v/>
      </c>
      <c r="H57" s="128" t="str">
        <f aca="false">ExportRaw!$A57</f>
        <v/>
      </c>
      <c r="I57" s="128" t="str">
        <f aca="false">ExportRaw!$B57</f>
        <v/>
      </c>
    </row>
    <row r="58" customFormat="false" ht="15.75" hidden="false" customHeight="false" outlineLevel="0" collapsed="false">
      <c r="A58" s="128" t="n">
        <f aca="false">ExportRaw!$F58</f>
        <v>0</v>
      </c>
      <c r="B58" s="128" t="n">
        <f aca="false">ExportRaw!$C58</f>
        <v>0</v>
      </c>
      <c r="C58" s="128" t="n">
        <f aca="false">ExportRaw!$G58</f>
        <v>0</v>
      </c>
      <c r="D58" s="128" t="str">
        <f aca="false">ExportRaw!$E58</f>
        <v/>
      </c>
      <c r="E58" s="129" t="str">
        <f aca="false">ExportRaw!$D58</f>
        <v/>
      </c>
      <c r="F58" s="128" t="str">
        <f aca="false">ExportRaw!$H58</f>
        <v/>
      </c>
      <c r="G58" s="130" t="str">
        <f aca="false">ExportRaw!$I58</f>
        <v/>
      </c>
      <c r="H58" s="128" t="str">
        <f aca="false">ExportRaw!$A58</f>
        <v/>
      </c>
      <c r="I58" s="128" t="str">
        <f aca="false">ExportRaw!$B58</f>
        <v/>
      </c>
    </row>
    <row r="59" customFormat="false" ht="15.75" hidden="false" customHeight="false" outlineLevel="0" collapsed="false">
      <c r="A59" s="128" t="n">
        <f aca="false">ExportRaw!$F59</f>
        <v>0</v>
      </c>
      <c r="B59" s="128" t="n">
        <f aca="false">ExportRaw!$C59</f>
        <v>0</v>
      </c>
      <c r="C59" s="128" t="n">
        <f aca="false">ExportRaw!$G59</f>
        <v>0</v>
      </c>
      <c r="D59" s="128" t="str">
        <f aca="false">ExportRaw!$E59</f>
        <v/>
      </c>
      <c r="E59" s="129" t="str">
        <f aca="false">ExportRaw!$D59</f>
        <v/>
      </c>
      <c r="F59" s="128" t="str">
        <f aca="false">ExportRaw!$H59</f>
        <v/>
      </c>
      <c r="G59" s="130" t="str">
        <f aca="false">ExportRaw!$I59</f>
        <v/>
      </c>
      <c r="H59" s="128" t="str">
        <f aca="false">ExportRaw!$A59</f>
        <v/>
      </c>
      <c r="I59" s="128" t="str">
        <f aca="false">ExportRaw!$B59</f>
        <v/>
      </c>
    </row>
    <row r="60" customFormat="false" ht="15.75" hidden="false" customHeight="false" outlineLevel="0" collapsed="false">
      <c r="A60" s="128" t="n">
        <f aca="false">ExportRaw!$F60</f>
        <v>0</v>
      </c>
      <c r="B60" s="128" t="n">
        <f aca="false">ExportRaw!$C60</f>
        <v>0</v>
      </c>
      <c r="C60" s="128" t="n">
        <f aca="false">ExportRaw!$G60</f>
        <v>0</v>
      </c>
      <c r="D60" s="128" t="str">
        <f aca="false">ExportRaw!$E60</f>
        <v/>
      </c>
      <c r="E60" s="129" t="str">
        <f aca="false">ExportRaw!$D60</f>
        <v/>
      </c>
      <c r="F60" s="128" t="str">
        <f aca="false">ExportRaw!$H60</f>
        <v/>
      </c>
      <c r="G60" s="130" t="str">
        <f aca="false">ExportRaw!$I60</f>
        <v/>
      </c>
      <c r="H60" s="128" t="str">
        <f aca="false">ExportRaw!$A60</f>
        <v/>
      </c>
      <c r="I60" s="128" t="str">
        <f aca="false">ExportRaw!$B60</f>
        <v/>
      </c>
    </row>
    <row r="61" customFormat="false" ht="15.75" hidden="false" customHeight="false" outlineLevel="0" collapsed="false">
      <c r="A61" s="128" t="n">
        <f aca="false">ExportRaw!$F61</f>
        <v>0</v>
      </c>
      <c r="B61" s="128" t="n">
        <f aca="false">ExportRaw!$C61</f>
        <v>0</v>
      </c>
      <c r="C61" s="128" t="n">
        <f aca="false">ExportRaw!$G61</f>
        <v>0</v>
      </c>
      <c r="D61" s="128" t="str">
        <f aca="false">ExportRaw!$E61</f>
        <v/>
      </c>
      <c r="E61" s="129" t="str">
        <f aca="false">ExportRaw!$D61</f>
        <v/>
      </c>
      <c r="F61" s="128" t="str">
        <f aca="false">ExportRaw!$H61</f>
        <v/>
      </c>
      <c r="G61" s="130" t="str">
        <f aca="false">ExportRaw!$I61</f>
        <v/>
      </c>
      <c r="H61" s="128" t="str">
        <f aca="false">ExportRaw!$A61</f>
        <v/>
      </c>
      <c r="I61" s="128" t="str">
        <f aca="false">ExportRaw!$B61</f>
        <v/>
      </c>
    </row>
    <row r="62" customFormat="false" ht="15.75" hidden="false" customHeight="false" outlineLevel="0" collapsed="false">
      <c r="A62" s="128" t="n">
        <f aca="false">ExportRaw!$F62</f>
        <v>0</v>
      </c>
      <c r="B62" s="128" t="n">
        <f aca="false">ExportRaw!$C62</f>
        <v>0</v>
      </c>
      <c r="C62" s="128" t="n">
        <f aca="false">ExportRaw!$G62</f>
        <v>0</v>
      </c>
      <c r="D62" s="128" t="str">
        <f aca="false">ExportRaw!$E62</f>
        <v/>
      </c>
      <c r="E62" s="129" t="str">
        <f aca="false">ExportRaw!$D62</f>
        <v/>
      </c>
      <c r="F62" s="128" t="str">
        <f aca="false">ExportRaw!$H62</f>
        <v/>
      </c>
      <c r="G62" s="130" t="str">
        <f aca="false">ExportRaw!$I62</f>
        <v/>
      </c>
      <c r="H62" s="128" t="str">
        <f aca="false">ExportRaw!$A62</f>
        <v/>
      </c>
      <c r="I62" s="128" t="str">
        <f aca="false">ExportRaw!$B62</f>
        <v/>
      </c>
    </row>
    <row r="63" customFormat="false" ht="15.75" hidden="false" customHeight="false" outlineLevel="0" collapsed="false">
      <c r="A63" s="128" t="n">
        <f aca="false">ExportRaw!$F63</f>
        <v>0</v>
      </c>
      <c r="B63" s="128" t="n">
        <f aca="false">ExportRaw!$C63</f>
        <v>0</v>
      </c>
      <c r="C63" s="128" t="n">
        <f aca="false">ExportRaw!$G63</f>
        <v>0</v>
      </c>
      <c r="D63" s="128" t="str">
        <f aca="false">ExportRaw!$E63</f>
        <v/>
      </c>
      <c r="E63" s="129" t="str">
        <f aca="false">ExportRaw!$D63</f>
        <v/>
      </c>
      <c r="F63" s="128" t="str">
        <f aca="false">ExportRaw!$H63</f>
        <v/>
      </c>
      <c r="G63" s="130" t="str">
        <f aca="false">ExportRaw!$I63</f>
        <v/>
      </c>
      <c r="H63" s="128" t="str">
        <f aca="false">ExportRaw!$A63</f>
        <v/>
      </c>
      <c r="I63" s="128" t="str">
        <f aca="false">ExportRaw!$B63</f>
        <v/>
      </c>
    </row>
    <row r="64" customFormat="false" ht="15.75" hidden="false" customHeight="false" outlineLevel="0" collapsed="false">
      <c r="A64" s="128" t="n">
        <f aca="false">ExportRaw!$F64</f>
        <v>0</v>
      </c>
      <c r="B64" s="128" t="n">
        <f aca="false">ExportRaw!$C64</f>
        <v>0</v>
      </c>
      <c r="C64" s="128" t="n">
        <f aca="false">ExportRaw!$G64</f>
        <v>0</v>
      </c>
      <c r="D64" s="128" t="str">
        <f aca="false">ExportRaw!$E64</f>
        <v/>
      </c>
      <c r="E64" s="129" t="str">
        <f aca="false">ExportRaw!$D64</f>
        <v/>
      </c>
      <c r="F64" s="128" t="str">
        <f aca="false">ExportRaw!$H64</f>
        <v/>
      </c>
      <c r="G64" s="130" t="str">
        <f aca="false">ExportRaw!$I64</f>
        <v/>
      </c>
      <c r="H64" s="128" t="str">
        <f aca="false">ExportRaw!$A64</f>
        <v/>
      </c>
      <c r="I64" s="128" t="str">
        <f aca="false">ExportRaw!$B64</f>
        <v/>
      </c>
    </row>
    <row r="65" customFormat="false" ht="15.75" hidden="false" customHeight="false" outlineLevel="0" collapsed="false">
      <c r="A65" s="128" t="n">
        <f aca="false">ExportRaw!$F65</f>
        <v>0</v>
      </c>
      <c r="B65" s="128" t="n">
        <f aca="false">ExportRaw!$C65</f>
        <v>0</v>
      </c>
      <c r="C65" s="128" t="n">
        <f aca="false">ExportRaw!$G65</f>
        <v>0</v>
      </c>
      <c r="D65" s="128" t="str">
        <f aca="false">ExportRaw!$E65</f>
        <v/>
      </c>
      <c r="E65" s="129" t="str">
        <f aca="false">ExportRaw!$D65</f>
        <v/>
      </c>
      <c r="F65" s="128" t="str">
        <f aca="false">ExportRaw!$H65</f>
        <v/>
      </c>
      <c r="G65" s="130" t="str">
        <f aca="false">ExportRaw!$I65</f>
        <v/>
      </c>
      <c r="H65" s="128" t="str">
        <f aca="false">ExportRaw!$A65</f>
        <v/>
      </c>
      <c r="I65" s="128" t="str">
        <f aca="false">ExportRaw!$B65</f>
        <v/>
      </c>
    </row>
    <row r="66" customFormat="false" ht="15.75" hidden="false" customHeight="false" outlineLevel="0" collapsed="false">
      <c r="A66" s="128" t="n">
        <f aca="false">ExportRaw!$F66</f>
        <v>0</v>
      </c>
      <c r="B66" s="128" t="n">
        <f aca="false">ExportRaw!$C66</f>
        <v>0</v>
      </c>
      <c r="C66" s="128" t="n">
        <f aca="false">ExportRaw!$G66</f>
        <v>0</v>
      </c>
      <c r="D66" s="128" t="str">
        <f aca="false">ExportRaw!$E66</f>
        <v/>
      </c>
      <c r="E66" s="129" t="str">
        <f aca="false">ExportRaw!$D66</f>
        <v/>
      </c>
      <c r="F66" s="128" t="str">
        <f aca="false">ExportRaw!$H66</f>
        <v/>
      </c>
      <c r="G66" s="130" t="str">
        <f aca="false">ExportRaw!$I66</f>
        <v/>
      </c>
      <c r="H66" s="128" t="str">
        <f aca="false">ExportRaw!$A66</f>
        <v/>
      </c>
      <c r="I66" s="128" t="str">
        <f aca="false">ExportRaw!$B66</f>
        <v/>
      </c>
    </row>
    <row r="67" customFormat="false" ht="15.75" hidden="false" customHeight="false" outlineLevel="0" collapsed="false">
      <c r="A67" s="128" t="n">
        <f aca="false">ExportRaw!$F67</f>
        <v>0</v>
      </c>
      <c r="B67" s="128" t="n">
        <f aca="false">ExportRaw!$C67</f>
        <v>0</v>
      </c>
      <c r="C67" s="128" t="n">
        <f aca="false">ExportRaw!$G67</f>
        <v>0</v>
      </c>
      <c r="D67" s="128" t="str">
        <f aca="false">ExportRaw!$E67</f>
        <v/>
      </c>
      <c r="E67" s="129" t="str">
        <f aca="false">ExportRaw!$D67</f>
        <v/>
      </c>
      <c r="F67" s="128" t="str">
        <f aca="false">ExportRaw!$H67</f>
        <v/>
      </c>
      <c r="G67" s="130" t="str">
        <f aca="false">ExportRaw!$I67</f>
        <v/>
      </c>
      <c r="H67" s="128" t="str">
        <f aca="false">ExportRaw!$A67</f>
        <v/>
      </c>
      <c r="I67" s="128" t="str">
        <f aca="false">ExportRaw!$B67</f>
        <v/>
      </c>
    </row>
    <row r="68" customFormat="false" ht="15.75" hidden="false" customHeight="false" outlineLevel="0" collapsed="false">
      <c r="A68" s="128" t="n">
        <f aca="false">ExportRaw!$F68</f>
        <v>0</v>
      </c>
      <c r="B68" s="128" t="n">
        <f aca="false">ExportRaw!$C68</f>
        <v>0</v>
      </c>
      <c r="C68" s="128" t="n">
        <f aca="false">ExportRaw!$G68</f>
        <v>0</v>
      </c>
      <c r="D68" s="128" t="str">
        <f aca="false">ExportRaw!$E68</f>
        <v/>
      </c>
      <c r="E68" s="129" t="str">
        <f aca="false">ExportRaw!$D68</f>
        <v/>
      </c>
      <c r="F68" s="128" t="str">
        <f aca="false">ExportRaw!$H68</f>
        <v/>
      </c>
      <c r="G68" s="130" t="str">
        <f aca="false">ExportRaw!$I68</f>
        <v/>
      </c>
      <c r="H68" s="128" t="str">
        <f aca="false">ExportRaw!$A68</f>
        <v/>
      </c>
      <c r="I68" s="128" t="str">
        <f aca="false">ExportRaw!$B68</f>
        <v/>
      </c>
    </row>
    <row r="69" customFormat="false" ht="15.75" hidden="false" customHeight="false" outlineLevel="0" collapsed="false">
      <c r="A69" s="128" t="n">
        <f aca="false">ExportRaw!$F69</f>
        <v>0</v>
      </c>
      <c r="B69" s="128" t="n">
        <f aca="false">ExportRaw!$C69</f>
        <v>0</v>
      </c>
      <c r="C69" s="128" t="n">
        <f aca="false">ExportRaw!$G69</f>
        <v>0</v>
      </c>
      <c r="D69" s="128" t="str">
        <f aca="false">ExportRaw!$E69</f>
        <v/>
      </c>
      <c r="E69" s="129" t="str">
        <f aca="false">ExportRaw!$D69</f>
        <v/>
      </c>
      <c r="F69" s="128" t="str">
        <f aca="false">ExportRaw!$H69</f>
        <v/>
      </c>
      <c r="G69" s="130" t="str">
        <f aca="false">ExportRaw!$I69</f>
        <v/>
      </c>
      <c r="H69" s="128" t="str">
        <f aca="false">ExportRaw!$A69</f>
        <v/>
      </c>
      <c r="I69" s="128" t="str">
        <f aca="false">ExportRaw!$B69</f>
        <v/>
      </c>
    </row>
    <row r="70" customFormat="false" ht="15.75" hidden="false" customHeight="false" outlineLevel="0" collapsed="false">
      <c r="A70" s="128" t="n">
        <f aca="false">ExportRaw!$F70</f>
        <v>0</v>
      </c>
      <c r="B70" s="128" t="n">
        <f aca="false">ExportRaw!$C70</f>
        <v>0</v>
      </c>
      <c r="C70" s="128" t="n">
        <f aca="false">ExportRaw!$G70</f>
        <v>0</v>
      </c>
      <c r="D70" s="128" t="str">
        <f aca="false">ExportRaw!$E70</f>
        <v/>
      </c>
      <c r="E70" s="129" t="str">
        <f aca="false">ExportRaw!$D70</f>
        <v/>
      </c>
      <c r="F70" s="128" t="str">
        <f aca="false">ExportRaw!$H70</f>
        <v/>
      </c>
      <c r="G70" s="130" t="str">
        <f aca="false">ExportRaw!$I70</f>
        <v/>
      </c>
      <c r="H70" s="128" t="str">
        <f aca="false">ExportRaw!$A70</f>
        <v/>
      </c>
      <c r="I70" s="128" t="str">
        <f aca="false">ExportRaw!$B70</f>
        <v/>
      </c>
    </row>
    <row r="71" customFormat="false" ht="15.75" hidden="false" customHeight="false" outlineLevel="0" collapsed="false">
      <c r="A71" s="128" t="n">
        <f aca="false">ExportRaw!$F71</f>
        <v>0</v>
      </c>
      <c r="B71" s="128" t="n">
        <f aca="false">ExportRaw!$C71</f>
        <v>0</v>
      </c>
      <c r="C71" s="128" t="n">
        <f aca="false">ExportRaw!$G71</f>
        <v>0</v>
      </c>
      <c r="D71" s="128" t="str">
        <f aca="false">ExportRaw!$E71</f>
        <v/>
      </c>
      <c r="E71" s="129" t="str">
        <f aca="false">ExportRaw!$D71</f>
        <v/>
      </c>
      <c r="F71" s="128" t="str">
        <f aca="false">ExportRaw!$H71</f>
        <v/>
      </c>
      <c r="G71" s="130" t="str">
        <f aca="false">ExportRaw!$I71</f>
        <v/>
      </c>
      <c r="H71" s="128" t="str">
        <f aca="false">ExportRaw!$A71</f>
        <v/>
      </c>
      <c r="I71" s="128" t="str">
        <f aca="false">ExportRaw!$B71</f>
        <v/>
      </c>
    </row>
    <row r="72" customFormat="false" ht="15.75" hidden="false" customHeight="false" outlineLevel="0" collapsed="false">
      <c r="A72" s="128" t="n">
        <f aca="false">ExportRaw!$F72</f>
        <v>0</v>
      </c>
      <c r="B72" s="128" t="n">
        <f aca="false">ExportRaw!$C72</f>
        <v>0</v>
      </c>
      <c r="C72" s="128" t="n">
        <f aca="false">ExportRaw!$G72</f>
        <v>0</v>
      </c>
      <c r="D72" s="128" t="str">
        <f aca="false">ExportRaw!$E72</f>
        <v/>
      </c>
      <c r="E72" s="129" t="str">
        <f aca="false">ExportRaw!$D72</f>
        <v/>
      </c>
      <c r="F72" s="128" t="str">
        <f aca="false">ExportRaw!$H72</f>
        <v/>
      </c>
      <c r="G72" s="130" t="str">
        <f aca="false">ExportRaw!$I72</f>
        <v/>
      </c>
      <c r="H72" s="128" t="str">
        <f aca="false">ExportRaw!$A72</f>
        <v/>
      </c>
      <c r="I72" s="128" t="str">
        <f aca="false">ExportRaw!$B72</f>
        <v/>
      </c>
    </row>
    <row r="73" customFormat="false" ht="15.75" hidden="false" customHeight="false" outlineLevel="0" collapsed="false">
      <c r="A73" s="128" t="n">
        <f aca="false">ExportRaw!$F73</f>
        <v>0</v>
      </c>
      <c r="B73" s="128" t="n">
        <f aca="false">ExportRaw!$C73</f>
        <v>0</v>
      </c>
      <c r="C73" s="128" t="n">
        <f aca="false">ExportRaw!$G73</f>
        <v>0</v>
      </c>
      <c r="D73" s="128" t="str">
        <f aca="false">ExportRaw!$E73</f>
        <v/>
      </c>
      <c r="E73" s="129" t="str">
        <f aca="false">ExportRaw!$D73</f>
        <v/>
      </c>
      <c r="F73" s="128" t="str">
        <f aca="false">ExportRaw!$H73</f>
        <v/>
      </c>
      <c r="G73" s="130" t="str">
        <f aca="false">ExportRaw!$I73</f>
        <v/>
      </c>
      <c r="H73" s="128" t="str">
        <f aca="false">ExportRaw!$A73</f>
        <v/>
      </c>
      <c r="I73" s="128" t="str">
        <f aca="false">ExportRaw!$B73</f>
        <v/>
      </c>
    </row>
    <row r="74" customFormat="false" ht="15.75" hidden="false" customHeight="false" outlineLevel="0" collapsed="false">
      <c r="A74" s="128" t="n">
        <f aca="false">ExportRaw!$F74</f>
        <v>0</v>
      </c>
      <c r="B74" s="128" t="n">
        <f aca="false">ExportRaw!$C74</f>
        <v>0</v>
      </c>
      <c r="C74" s="128" t="n">
        <f aca="false">ExportRaw!$G74</f>
        <v>0</v>
      </c>
      <c r="D74" s="128" t="str">
        <f aca="false">ExportRaw!$E74</f>
        <v/>
      </c>
      <c r="E74" s="129" t="str">
        <f aca="false">ExportRaw!$D74</f>
        <v/>
      </c>
      <c r="F74" s="128" t="str">
        <f aca="false">ExportRaw!$H74</f>
        <v/>
      </c>
      <c r="G74" s="130" t="str">
        <f aca="false">ExportRaw!$I74</f>
        <v/>
      </c>
      <c r="H74" s="128" t="str">
        <f aca="false">ExportRaw!$A74</f>
        <v/>
      </c>
      <c r="I74" s="128" t="str">
        <f aca="false">ExportRaw!$B74</f>
        <v/>
      </c>
    </row>
    <row r="75" customFormat="false" ht="15.75" hidden="false" customHeight="false" outlineLevel="0" collapsed="false">
      <c r="A75" s="128" t="n">
        <f aca="false">ExportRaw!$F75</f>
        <v>0</v>
      </c>
      <c r="B75" s="128" t="n">
        <f aca="false">ExportRaw!$C75</f>
        <v>0</v>
      </c>
      <c r="C75" s="128" t="n">
        <f aca="false">ExportRaw!$G75</f>
        <v>0</v>
      </c>
      <c r="D75" s="128" t="str">
        <f aca="false">ExportRaw!$E75</f>
        <v/>
      </c>
      <c r="E75" s="129" t="str">
        <f aca="false">ExportRaw!$D75</f>
        <v/>
      </c>
      <c r="F75" s="128" t="str">
        <f aca="false">ExportRaw!$H75</f>
        <v/>
      </c>
      <c r="G75" s="130" t="str">
        <f aca="false">ExportRaw!$I75</f>
        <v/>
      </c>
      <c r="H75" s="128" t="str">
        <f aca="false">ExportRaw!$A75</f>
        <v/>
      </c>
      <c r="I75" s="128" t="str">
        <f aca="false">ExportRaw!$B75</f>
        <v/>
      </c>
    </row>
    <row r="76" customFormat="false" ht="15.75" hidden="false" customHeight="false" outlineLevel="0" collapsed="false">
      <c r="A76" s="128" t="n">
        <f aca="false">ExportRaw!$F76</f>
        <v>0</v>
      </c>
      <c r="B76" s="128" t="n">
        <f aca="false">ExportRaw!$C76</f>
        <v>0</v>
      </c>
      <c r="C76" s="128" t="n">
        <f aca="false">ExportRaw!$G76</f>
        <v>0</v>
      </c>
      <c r="D76" s="128" t="str">
        <f aca="false">ExportRaw!$E76</f>
        <v/>
      </c>
      <c r="E76" s="129" t="str">
        <f aca="false">ExportRaw!$D76</f>
        <v/>
      </c>
      <c r="F76" s="128" t="str">
        <f aca="false">ExportRaw!$H76</f>
        <v/>
      </c>
      <c r="G76" s="130" t="str">
        <f aca="false">ExportRaw!$I76</f>
        <v/>
      </c>
      <c r="H76" s="128" t="str">
        <f aca="false">ExportRaw!$A76</f>
        <v/>
      </c>
      <c r="I76" s="128" t="str">
        <f aca="false">ExportRaw!$B76</f>
        <v/>
      </c>
    </row>
    <row r="77" customFormat="false" ht="15.75" hidden="false" customHeight="false" outlineLevel="0" collapsed="false">
      <c r="A77" s="128" t="n">
        <f aca="false">ExportRaw!$F77</f>
        <v>0</v>
      </c>
      <c r="B77" s="128" t="n">
        <f aca="false">ExportRaw!$C77</f>
        <v>0</v>
      </c>
      <c r="C77" s="128" t="n">
        <f aca="false">ExportRaw!$G77</f>
        <v>0</v>
      </c>
      <c r="D77" s="128" t="str">
        <f aca="false">ExportRaw!$E77</f>
        <v/>
      </c>
      <c r="E77" s="129" t="str">
        <f aca="false">ExportRaw!$D77</f>
        <v/>
      </c>
      <c r="F77" s="128" t="str">
        <f aca="false">ExportRaw!$H77</f>
        <v/>
      </c>
      <c r="G77" s="130" t="str">
        <f aca="false">ExportRaw!$I77</f>
        <v/>
      </c>
      <c r="H77" s="128" t="str">
        <f aca="false">ExportRaw!$A77</f>
        <v/>
      </c>
      <c r="I77" s="128" t="str">
        <f aca="false">ExportRaw!$B77</f>
        <v/>
      </c>
    </row>
    <row r="78" customFormat="false" ht="15.75" hidden="false" customHeight="false" outlineLevel="0" collapsed="false">
      <c r="A78" s="128" t="n">
        <f aca="false">ExportRaw!$F78</f>
        <v>0</v>
      </c>
      <c r="B78" s="128" t="n">
        <f aca="false">ExportRaw!$C78</f>
        <v>0</v>
      </c>
      <c r="C78" s="128" t="n">
        <f aca="false">ExportRaw!$G78</f>
        <v>0</v>
      </c>
      <c r="D78" s="128" t="str">
        <f aca="false">ExportRaw!$E78</f>
        <v/>
      </c>
      <c r="E78" s="129" t="str">
        <f aca="false">ExportRaw!$D78</f>
        <v/>
      </c>
      <c r="F78" s="128" t="str">
        <f aca="false">ExportRaw!$H78</f>
        <v/>
      </c>
      <c r="G78" s="130" t="str">
        <f aca="false">ExportRaw!$I78</f>
        <v/>
      </c>
      <c r="H78" s="128" t="str">
        <f aca="false">ExportRaw!$A78</f>
        <v/>
      </c>
      <c r="I78" s="128" t="str">
        <f aca="false">ExportRaw!$B78</f>
        <v/>
      </c>
    </row>
    <row r="79" customFormat="false" ht="15.75" hidden="false" customHeight="false" outlineLevel="0" collapsed="false">
      <c r="A79" s="128" t="n">
        <f aca="false">ExportRaw!$F79</f>
        <v>0</v>
      </c>
      <c r="B79" s="128" t="n">
        <f aca="false">ExportRaw!$C79</f>
        <v>0</v>
      </c>
      <c r="C79" s="128" t="n">
        <f aca="false">ExportRaw!$G79</f>
        <v>0</v>
      </c>
      <c r="D79" s="128" t="str">
        <f aca="false">ExportRaw!$E79</f>
        <v/>
      </c>
      <c r="E79" s="129" t="str">
        <f aca="false">ExportRaw!$D79</f>
        <v/>
      </c>
      <c r="F79" s="128" t="str">
        <f aca="false">ExportRaw!$H79</f>
        <v/>
      </c>
      <c r="G79" s="130" t="str">
        <f aca="false">ExportRaw!$I79</f>
        <v/>
      </c>
      <c r="H79" s="128" t="str">
        <f aca="false">ExportRaw!$A79</f>
        <v/>
      </c>
      <c r="I79" s="128" t="str">
        <f aca="false">ExportRaw!$B79</f>
        <v/>
      </c>
    </row>
    <row r="80" customFormat="false" ht="15.75" hidden="false" customHeight="false" outlineLevel="0" collapsed="false">
      <c r="A80" s="128" t="n">
        <f aca="false">ExportRaw!$F80</f>
        <v>0</v>
      </c>
      <c r="B80" s="128" t="n">
        <f aca="false">ExportRaw!$C80</f>
        <v>0</v>
      </c>
      <c r="C80" s="128" t="n">
        <f aca="false">ExportRaw!$G80</f>
        <v>0</v>
      </c>
      <c r="D80" s="128" t="str">
        <f aca="false">ExportRaw!$E80</f>
        <v/>
      </c>
      <c r="E80" s="129" t="str">
        <f aca="false">ExportRaw!$D80</f>
        <v/>
      </c>
      <c r="F80" s="128" t="str">
        <f aca="false">ExportRaw!$H80</f>
        <v/>
      </c>
      <c r="G80" s="130" t="str">
        <f aca="false">ExportRaw!$I80</f>
        <v/>
      </c>
      <c r="H80" s="128" t="str">
        <f aca="false">ExportRaw!$A80</f>
        <v/>
      </c>
      <c r="I80" s="128" t="str">
        <f aca="false">ExportRaw!$B80</f>
        <v/>
      </c>
    </row>
    <row r="81" customFormat="false" ht="15.75" hidden="false" customHeight="false" outlineLevel="0" collapsed="false">
      <c r="A81" s="128" t="n">
        <f aca="false">ExportRaw!$F81</f>
        <v>0</v>
      </c>
      <c r="B81" s="128" t="n">
        <f aca="false">ExportRaw!$C81</f>
        <v>0</v>
      </c>
      <c r="C81" s="128" t="n">
        <f aca="false">ExportRaw!$G81</f>
        <v>0</v>
      </c>
      <c r="D81" s="128" t="str">
        <f aca="false">ExportRaw!$E81</f>
        <v/>
      </c>
      <c r="E81" s="129" t="str">
        <f aca="false">ExportRaw!$D81</f>
        <v/>
      </c>
      <c r="F81" s="128" t="str">
        <f aca="false">ExportRaw!$H81</f>
        <v/>
      </c>
      <c r="G81" s="130" t="str">
        <f aca="false">ExportRaw!$I81</f>
        <v/>
      </c>
      <c r="H81" s="128" t="str">
        <f aca="false">ExportRaw!$A81</f>
        <v/>
      </c>
      <c r="I81" s="128" t="str">
        <f aca="false">ExportRaw!$B81</f>
        <v/>
      </c>
    </row>
    <row r="82" customFormat="false" ht="15.75" hidden="false" customHeight="false" outlineLevel="0" collapsed="false">
      <c r="A82" s="128" t="n">
        <f aca="false">ExportRaw!$F82</f>
        <v>0</v>
      </c>
      <c r="B82" s="128" t="n">
        <f aca="false">ExportRaw!$C82</f>
        <v>0</v>
      </c>
      <c r="C82" s="128" t="n">
        <f aca="false">ExportRaw!$G82</f>
        <v>0</v>
      </c>
      <c r="D82" s="128" t="str">
        <f aca="false">ExportRaw!$E82</f>
        <v/>
      </c>
      <c r="E82" s="129" t="str">
        <f aca="false">ExportRaw!$D82</f>
        <v/>
      </c>
      <c r="F82" s="128" t="str">
        <f aca="false">ExportRaw!$H82</f>
        <v/>
      </c>
      <c r="G82" s="130" t="str">
        <f aca="false">ExportRaw!$I82</f>
        <v/>
      </c>
      <c r="H82" s="128" t="str">
        <f aca="false">ExportRaw!$A82</f>
        <v/>
      </c>
      <c r="I82" s="128" t="str">
        <f aca="false">ExportRaw!$B82</f>
        <v/>
      </c>
    </row>
    <row r="83" customFormat="false" ht="15.75" hidden="false" customHeight="false" outlineLevel="0" collapsed="false">
      <c r="A83" s="128" t="n">
        <f aca="false">ExportRaw!$F83</f>
        <v>0</v>
      </c>
      <c r="B83" s="128" t="n">
        <f aca="false">ExportRaw!$C83</f>
        <v>0</v>
      </c>
      <c r="C83" s="128" t="n">
        <f aca="false">ExportRaw!$G83</f>
        <v>0</v>
      </c>
      <c r="D83" s="128" t="str">
        <f aca="false">ExportRaw!$E83</f>
        <v/>
      </c>
      <c r="E83" s="129" t="str">
        <f aca="false">ExportRaw!$D83</f>
        <v/>
      </c>
      <c r="F83" s="128" t="str">
        <f aca="false">ExportRaw!$H83</f>
        <v/>
      </c>
      <c r="G83" s="130" t="str">
        <f aca="false">ExportRaw!$I83</f>
        <v/>
      </c>
      <c r="H83" s="128" t="str">
        <f aca="false">ExportRaw!$A83</f>
        <v/>
      </c>
      <c r="I83" s="128" t="str">
        <f aca="false">ExportRaw!$B83</f>
        <v/>
      </c>
    </row>
    <row r="84" customFormat="false" ht="15.75" hidden="false" customHeight="false" outlineLevel="0" collapsed="false">
      <c r="A84" s="128" t="n">
        <f aca="false">ExportRaw!$F84</f>
        <v>0</v>
      </c>
      <c r="B84" s="128" t="n">
        <f aca="false">ExportRaw!$C84</f>
        <v>0</v>
      </c>
      <c r="C84" s="128" t="n">
        <f aca="false">ExportRaw!$G84</f>
        <v>0</v>
      </c>
      <c r="D84" s="128" t="str">
        <f aca="false">ExportRaw!$E84</f>
        <v/>
      </c>
      <c r="E84" s="129" t="str">
        <f aca="false">ExportRaw!$D84</f>
        <v/>
      </c>
      <c r="F84" s="128" t="str">
        <f aca="false">ExportRaw!$H84</f>
        <v/>
      </c>
      <c r="G84" s="130" t="str">
        <f aca="false">ExportRaw!$I84</f>
        <v/>
      </c>
      <c r="H84" s="128" t="str">
        <f aca="false">ExportRaw!$A84</f>
        <v/>
      </c>
      <c r="I84" s="128" t="str">
        <f aca="false">ExportRaw!$B84</f>
        <v/>
      </c>
    </row>
    <row r="85" customFormat="false" ht="15.75" hidden="false" customHeight="false" outlineLevel="0" collapsed="false">
      <c r="A85" s="128" t="n">
        <f aca="false">ExportRaw!$F85</f>
        <v>0</v>
      </c>
      <c r="B85" s="128" t="n">
        <f aca="false">ExportRaw!$C85</f>
        <v>0</v>
      </c>
      <c r="C85" s="128" t="n">
        <f aca="false">ExportRaw!$G85</f>
        <v>0</v>
      </c>
      <c r="D85" s="128" t="str">
        <f aca="false">ExportRaw!$E85</f>
        <v/>
      </c>
      <c r="E85" s="129" t="str">
        <f aca="false">ExportRaw!$D85</f>
        <v/>
      </c>
      <c r="F85" s="128" t="str">
        <f aca="false">ExportRaw!$H85</f>
        <v/>
      </c>
      <c r="G85" s="130" t="str">
        <f aca="false">ExportRaw!$I85</f>
        <v/>
      </c>
      <c r="H85" s="128" t="str">
        <f aca="false">ExportRaw!$A85</f>
        <v/>
      </c>
      <c r="I85" s="128" t="str">
        <f aca="false">ExportRaw!$B85</f>
        <v/>
      </c>
    </row>
    <row r="86" customFormat="false" ht="15.75" hidden="false" customHeight="false" outlineLevel="0" collapsed="false">
      <c r="A86" s="128" t="n">
        <f aca="false">ExportRaw!$F86</f>
        <v>0</v>
      </c>
      <c r="B86" s="128" t="n">
        <f aca="false">ExportRaw!$C86</f>
        <v>0</v>
      </c>
      <c r="C86" s="128" t="n">
        <f aca="false">ExportRaw!$G86</f>
        <v>0</v>
      </c>
      <c r="D86" s="128" t="str">
        <f aca="false">ExportRaw!$E86</f>
        <v/>
      </c>
      <c r="E86" s="129" t="str">
        <f aca="false">ExportRaw!$D86</f>
        <v/>
      </c>
      <c r="F86" s="128" t="str">
        <f aca="false">ExportRaw!$H86</f>
        <v/>
      </c>
      <c r="G86" s="130" t="str">
        <f aca="false">ExportRaw!$I86</f>
        <v/>
      </c>
      <c r="H86" s="128" t="str">
        <f aca="false">ExportRaw!$A86</f>
        <v/>
      </c>
      <c r="I86" s="128" t="str">
        <f aca="false">ExportRaw!$B86</f>
        <v/>
      </c>
    </row>
    <row r="87" customFormat="false" ht="15.75" hidden="false" customHeight="false" outlineLevel="0" collapsed="false">
      <c r="A87" s="128" t="n">
        <f aca="false">ExportRaw!$F87</f>
        <v>0</v>
      </c>
      <c r="B87" s="128" t="n">
        <f aca="false">ExportRaw!$C87</f>
        <v>0</v>
      </c>
      <c r="C87" s="128" t="n">
        <f aca="false">ExportRaw!$G87</f>
        <v>0</v>
      </c>
      <c r="D87" s="128" t="str">
        <f aca="false">ExportRaw!$E87</f>
        <v/>
      </c>
      <c r="E87" s="129" t="str">
        <f aca="false">ExportRaw!$D87</f>
        <v/>
      </c>
      <c r="F87" s="128" t="str">
        <f aca="false">ExportRaw!$H87</f>
        <v/>
      </c>
      <c r="G87" s="130" t="str">
        <f aca="false">ExportRaw!$I87</f>
        <v/>
      </c>
      <c r="H87" s="128" t="str">
        <f aca="false">ExportRaw!$A87</f>
        <v/>
      </c>
      <c r="I87" s="128" t="str">
        <f aca="false">ExportRaw!$B87</f>
        <v/>
      </c>
    </row>
    <row r="88" customFormat="false" ht="15.75" hidden="false" customHeight="false" outlineLevel="0" collapsed="false">
      <c r="A88" s="128" t="n">
        <f aca="false">ExportRaw!$F88</f>
        <v>0</v>
      </c>
      <c r="B88" s="128" t="n">
        <f aca="false">ExportRaw!$C88</f>
        <v>0</v>
      </c>
      <c r="C88" s="128" t="n">
        <f aca="false">ExportRaw!$G88</f>
        <v>0</v>
      </c>
      <c r="D88" s="128" t="str">
        <f aca="false">ExportRaw!$E88</f>
        <v/>
      </c>
      <c r="E88" s="129" t="str">
        <f aca="false">ExportRaw!$D88</f>
        <v/>
      </c>
      <c r="F88" s="128" t="str">
        <f aca="false">ExportRaw!$H88</f>
        <v/>
      </c>
      <c r="G88" s="130" t="str">
        <f aca="false">ExportRaw!$I88</f>
        <v/>
      </c>
      <c r="H88" s="128" t="str">
        <f aca="false">ExportRaw!$A88</f>
        <v/>
      </c>
      <c r="I88" s="128" t="str">
        <f aca="false">ExportRaw!$B88</f>
        <v/>
      </c>
    </row>
    <row r="89" customFormat="false" ht="15.75" hidden="false" customHeight="false" outlineLevel="0" collapsed="false">
      <c r="A89" s="128" t="n">
        <f aca="false">ExportRaw!$F89</f>
        <v>0</v>
      </c>
      <c r="B89" s="128" t="n">
        <f aca="false">ExportRaw!$C89</f>
        <v>0</v>
      </c>
      <c r="C89" s="128" t="n">
        <f aca="false">ExportRaw!$G89</f>
        <v>0</v>
      </c>
      <c r="D89" s="128" t="str">
        <f aca="false">ExportRaw!$E89</f>
        <v/>
      </c>
      <c r="E89" s="129" t="str">
        <f aca="false">ExportRaw!$D89</f>
        <v/>
      </c>
      <c r="F89" s="128" t="str">
        <f aca="false">ExportRaw!$H89</f>
        <v/>
      </c>
      <c r="G89" s="130" t="str">
        <f aca="false">ExportRaw!$I89</f>
        <v/>
      </c>
      <c r="H89" s="128" t="str">
        <f aca="false">ExportRaw!$A89</f>
        <v/>
      </c>
      <c r="I89" s="128" t="str">
        <f aca="false">ExportRaw!$B89</f>
        <v/>
      </c>
    </row>
    <row r="90" customFormat="false" ht="15.75" hidden="false" customHeight="false" outlineLevel="0" collapsed="false">
      <c r="A90" s="128" t="n">
        <f aca="false">ExportRaw!$F90</f>
        <v>0</v>
      </c>
      <c r="B90" s="128" t="n">
        <f aca="false">ExportRaw!$C90</f>
        <v>0</v>
      </c>
      <c r="C90" s="128" t="n">
        <f aca="false">ExportRaw!$G90</f>
        <v>0</v>
      </c>
      <c r="D90" s="128" t="str">
        <f aca="false">ExportRaw!$E90</f>
        <v/>
      </c>
      <c r="E90" s="129" t="str">
        <f aca="false">ExportRaw!$D90</f>
        <v/>
      </c>
      <c r="F90" s="128" t="str">
        <f aca="false">ExportRaw!$H90</f>
        <v/>
      </c>
      <c r="G90" s="130" t="str">
        <f aca="false">ExportRaw!$I90</f>
        <v/>
      </c>
      <c r="H90" s="128" t="str">
        <f aca="false">ExportRaw!$A90</f>
        <v/>
      </c>
      <c r="I90" s="128" t="str">
        <f aca="false">ExportRaw!$B90</f>
        <v/>
      </c>
    </row>
    <row r="91" customFormat="false" ht="15.75" hidden="false" customHeight="false" outlineLevel="0" collapsed="false">
      <c r="A91" s="128" t="n">
        <f aca="false">ExportRaw!$F91</f>
        <v>0</v>
      </c>
      <c r="B91" s="128" t="n">
        <f aca="false">ExportRaw!$C91</f>
        <v>0</v>
      </c>
      <c r="C91" s="128" t="n">
        <f aca="false">ExportRaw!$G91</f>
        <v>0</v>
      </c>
      <c r="D91" s="128" t="str">
        <f aca="false">ExportRaw!$E91</f>
        <v/>
      </c>
      <c r="E91" s="129" t="str">
        <f aca="false">ExportRaw!$D91</f>
        <v/>
      </c>
      <c r="F91" s="128" t="str">
        <f aca="false">ExportRaw!$H91</f>
        <v/>
      </c>
      <c r="G91" s="130" t="str">
        <f aca="false">ExportRaw!$I91</f>
        <v/>
      </c>
      <c r="H91" s="128" t="str">
        <f aca="false">ExportRaw!$A91</f>
        <v/>
      </c>
      <c r="I91" s="128" t="str">
        <f aca="false">ExportRaw!$B91</f>
        <v/>
      </c>
    </row>
    <row r="92" customFormat="false" ht="15.75" hidden="false" customHeight="false" outlineLevel="0" collapsed="false">
      <c r="A92" s="128" t="n">
        <f aca="false">ExportRaw!$F92</f>
        <v>0</v>
      </c>
      <c r="B92" s="128" t="n">
        <f aca="false">ExportRaw!$C92</f>
        <v>0</v>
      </c>
      <c r="C92" s="128" t="n">
        <f aca="false">ExportRaw!$G92</f>
        <v>0</v>
      </c>
      <c r="D92" s="128" t="str">
        <f aca="false">ExportRaw!$E92</f>
        <v/>
      </c>
      <c r="E92" s="129" t="str">
        <f aca="false">ExportRaw!$D92</f>
        <v/>
      </c>
      <c r="F92" s="128" t="str">
        <f aca="false">ExportRaw!$H92</f>
        <v/>
      </c>
      <c r="G92" s="130" t="str">
        <f aca="false">ExportRaw!$I92</f>
        <v/>
      </c>
      <c r="H92" s="128" t="str">
        <f aca="false">ExportRaw!$A92</f>
        <v/>
      </c>
      <c r="I92" s="128" t="str">
        <f aca="false">ExportRaw!$B92</f>
        <v/>
      </c>
    </row>
    <row r="93" customFormat="false" ht="15.75" hidden="false" customHeight="false" outlineLevel="0" collapsed="false">
      <c r="A93" s="128" t="n">
        <f aca="false">ExportRaw!$F93</f>
        <v>0</v>
      </c>
      <c r="B93" s="128" t="n">
        <f aca="false">ExportRaw!$C93</f>
        <v>0</v>
      </c>
      <c r="C93" s="128" t="n">
        <f aca="false">ExportRaw!$G93</f>
        <v>0</v>
      </c>
      <c r="D93" s="128" t="str">
        <f aca="false">ExportRaw!$E93</f>
        <v/>
      </c>
      <c r="E93" s="129" t="str">
        <f aca="false">ExportRaw!$D93</f>
        <v/>
      </c>
      <c r="F93" s="128" t="str">
        <f aca="false">ExportRaw!$H93</f>
        <v/>
      </c>
      <c r="G93" s="130" t="str">
        <f aca="false">ExportRaw!$I93</f>
        <v/>
      </c>
      <c r="H93" s="128" t="str">
        <f aca="false">ExportRaw!$A93</f>
        <v/>
      </c>
      <c r="I93" s="128" t="str">
        <f aca="false">ExportRaw!$B93</f>
        <v/>
      </c>
    </row>
    <row r="94" customFormat="false" ht="15.75" hidden="false" customHeight="false" outlineLevel="0" collapsed="false">
      <c r="A94" s="128" t="n">
        <f aca="false">ExportRaw!$F94</f>
        <v>0</v>
      </c>
      <c r="B94" s="128" t="n">
        <f aca="false">ExportRaw!$C94</f>
        <v>0</v>
      </c>
      <c r="C94" s="128" t="n">
        <f aca="false">ExportRaw!$G94</f>
        <v>0</v>
      </c>
      <c r="D94" s="128" t="str">
        <f aca="false">ExportRaw!$E94</f>
        <v/>
      </c>
      <c r="E94" s="129" t="str">
        <f aca="false">ExportRaw!$D94</f>
        <v/>
      </c>
      <c r="F94" s="128" t="str">
        <f aca="false">ExportRaw!$H94</f>
        <v/>
      </c>
      <c r="G94" s="130" t="str">
        <f aca="false">ExportRaw!$I94</f>
        <v/>
      </c>
      <c r="H94" s="128" t="str">
        <f aca="false">ExportRaw!$A94</f>
        <v/>
      </c>
      <c r="I94" s="128" t="str">
        <f aca="false">ExportRaw!$B94</f>
        <v/>
      </c>
    </row>
    <row r="95" customFormat="false" ht="15.75" hidden="false" customHeight="false" outlineLevel="0" collapsed="false">
      <c r="A95" s="128" t="n">
        <f aca="false">ExportRaw!$F95</f>
        <v>0</v>
      </c>
      <c r="B95" s="128" t="n">
        <f aca="false">ExportRaw!$C95</f>
        <v>0</v>
      </c>
      <c r="C95" s="128" t="n">
        <f aca="false">ExportRaw!$G95</f>
        <v>0</v>
      </c>
      <c r="D95" s="128" t="str">
        <f aca="false">ExportRaw!$E95</f>
        <v/>
      </c>
      <c r="E95" s="129" t="str">
        <f aca="false">ExportRaw!$D95</f>
        <v/>
      </c>
      <c r="F95" s="128" t="str">
        <f aca="false">ExportRaw!$H95</f>
        <v/>
      </c>
      <c r="G95" s="130" t="str">
        <f aca="false">ExportRaw!$I95</f>
        <v/>
      </c>
      <c r="H95" s="128" t="str">
        <f aca="false">ExportRaw!$A95</f>
        <v/>
      </c>
      <c r="I95" s="128" t="str">
        <f aca="false">ExportRaw!$B95</f>
        <v/>
      </c>
    </row>
    <row r="96" customFormat="false" ht="15.75" hidden="false" customHeight="false" outlineLevel="0" collapsed="false">
      <c r="A96" s="128" t="n">
        <f aca="false">ExportRaw!$F96</f>
        <v>0</v>
      </c>
      <c r="B96" s="128" t="n">
        <f aca="false">ExportRaw!$C96</f>
        <v>0</v>
      </c>
      <c r="C96" s="128" t="n">
        <f aca="false">ExportRaw!$G96</f>
        <v>0</v>
      </c>
      <c r="D96" s="128" t="str">
        <f aca="false">ExportRaw!$E96</f>
        <v/>
      </c>
      <c r="E96" s="129" t="str">
        <f aca="false">ExportRaw!$D96</f>
        <v/>
      </c>
      <c r="F96" s="128" t="str">
        <f aca="false">ExportRaw!$H96</f>
        <v/>
      </c>
      <c r="G96" s="130" t="str">
        <f aca="false">ExportRaw!$I96</f>
        <v/>
      </c>
      <c r="H96" s="128" t="str">
        <f aca="false">ExportRaw!$A96</f>
        <v/>
      </c>
      <c r="I96" s="128" t="str">
        <f aca="false">ExportRaw!$B96</f>
        <v/>
      </c>
    </row>
    <row r="97" customFormat="false" ht="15.75" hidden="false" customHeight="false" outlineLevel="0" collapsed="false">
      <c r="A97" s="128" t="n">
        <f aca="false">ExportRaw!$F97</f>
        <v>0</v>
      </c>
      <c r="B97" s="128" t="n">
        <f aca="false">ExportRaw!$C97</f>
        <v>0</v>
      </c>
      <c r="C97" s="128" t="n">
        <f aca="false">ExportRaw!$G97</f>
        <v>0</v>
      </c>
      <c r="D97" s="128" t="str">
        <f aca="false">ExportRaw!$E97</f>
        <v/>
      </c>
      <c r="E97" s="129" t="str">
        <f aca="false">ExportRaw!$D97</f>
        <v/>
      </c>
      <c r="F97" s="128" t="str">
        <f aca="false">ExportRaw!$H97</f>
        <v/>
      </c>
      <c r="G97" s="130" t="str">
        <f aca="false">ExportRaw!$I97</f>
        <v/>
      </c>
      <c r="H97" s="128" t="str">
        <f aca="false">ExportRaw!$A97</f>
        <v/>
      </c>
      <c r="I97" s="128" t="str">
        <f aca="false">ExportRaw!$B97</f>
        <v/>
      </c>
    </row>
    <row r="98" customFormat="false" ht="15.75" hidden="false" customHeight="false" outlineLevel="0" collapsed="false">
      <c r="A98" s="128" t="n">
        <f aca="false">ExportRaw!$F98</f>
        <v>0</v>
      </c>
      <c r="B98" s="128" t="n">
        <f aca="false">ExportRaw!$C98</f>
        <v>0</v>
      </c>
      <c r="C98" s="128" t="n">
        <f aca="false">ExportRaw!$G98</f>
        <v>0</v>
      </c>
      <c r="D98" s="128" t="str">
        <f aca="false">ExportRaw!$E98</f>
        <v/>
      </c>
      <c r="E98" s="129" t="str">
        <f aca="false">ExportRaw!$D98</f>
        <v/>
      </c>
      <c r="F98" s="128" t="str">
        <f aca="false">ExportRaw!$H98</f>
        <v/>
      </c>
      <c r="G98" s="130" t="str">
        <f aca="false">ExportRaw!$I98</f>
        <v/>
      </c>
      <c r="H98" s="128" t="str">
        <f aca="false">ExportRaw!$A98</f>
        <v/>
      </c>
      <c r="I98" s="128" t="str">
        <f aca="false">ExportRaw!$B98</f>
        <v/>
      </c>
    </row>
    <row r="99" customFormat="false" ht="15.75" hidden="false" customHeight="false" outlineLevel="0" collapsed="false">
      <c r="A99" s="128" t="n">
        <f aca="false">ExportRaw!$F99</f>
        <v>0</v>
      </c>
      <c r="B99" s="128" t="n">
        <f aca="false">ExportRaw!$C99</f>
        <v>0</v>
      </c>
      <c r="C99" s="128" t="n">
        <f aca="false">ExportRaw!$G99</f>
        <v>0</v>
      </c>
      <c r="D99" s="128" t="str">
        <f aca="false">ExportRaw!$E99</f>
        <v/>
      </c>
      <c r="E99" s="129" t="str">
        <f aca="false">ExportRaw!$D99</f>
        <v/>
      </c>
      <c r="F99" s="128" t="str">
        <f aca="false">ExportRaw!$H99</f>
        <v/>
      </c>
      <c r="G99" s="130" t="str">
        <f aca="false">ExportRaw!$I99</f>
        <v/>
      </c>
      <c r="H99" s="128" t="str">
        <f aca="false">ExportRaw!$A99</f>
        <v/>
      </c>
      <c r="I99" s="128" t="str">
        <f aca="false">ExportRaw!$B99</f>
        <v/>
      </c>
    </row>
    <row r="100" customFormat="false" ht="15.75" hidden="false" customHeight="false" outlineLevel="0" collapsed="false">
      <c r="A100" s="128" t="n">
        <f aca="false">ExportRaw!$F100</f>
        <v>0</v>
      </c>
      <c r="B100" s="128" t="n">
        <f aca="false">ExportRaw!$C100</f>
        <v>0</v>
      </c>
      <c r="C100" s="128" t="n">
        <f aca="false">ExportRaw!$G100</f>
        <v>0</v>
      </c>
      <c r="D100" s="128" t="str">
        <f aca="false">ExportRaw!$E100</f>
        <v/>
      </c>
      <c r="E100" s="129" t="str">
        <f aca="false">ExportRaw!$D100</f>
        <v/>
      </c>
      <c r="F100" s="128" t="str">
        <f aca="false">ExportRaw!$H100</f>
        <v/>
      </c>
      <c r="G100" s="130" t="str">
        <f aca="false">ExportRaw!$I100</f>
        <v/>
      </c>
      <c r="H100" s="128" t="str">
        <f aca="false">ExportRaw!$A100</f>
        <v/>
      </c>
      <c r="I100" s="128" t="str">
        <f aca="false">ExportRaw!$B100</f>
        <v/>
      </c>
    </row>
    <row r="101" customFormat="false" ht="15.75" hidden="false" customHeight="false" outlineLevel="0" collapsed="false">
      <c r="A101" s="128" t="n">
        <f aca="false">ExportRaw!$F101</f>
        <v>0</v>
      </c>
      <c r="B101" s="128" t="n">
        <f aca="false">ExportRaw!$C101</f>
        <v>0</v>
      </c>
      <c r="C101" s="128" t="n">
        <f aca="false">ExportRaw!$G101</f>
        <v>0</v>
      </c>
      <c r="D101" s="128" t="str">
        <f aca="false">ExportRaw!$E101</f>
        <v/>
      </c>
      <c r="E101" s="129" t="str">
        <f aca="false">ExportRaw!$D101</f>
        <v/>
      </c>
      <c r="F101" s="128" t="str">
        <f aca="false">ExportRaw!$H101</f>
        <v/>
      </c>
      <c r="G101" s="130" t="str">
        <f aca="false">ExportRaw!$I101</f>
        <v/>
      </c>
      <c r="H101" s="128" t="str">
        <f aca="false">ExportRaw!$A101</f>
        <v/>
      </c>
      <c r="I101" s="128" t="str">
        <f aca="false">ExportRaw!$B101</f>
        <v/>
      </c>
    </row>
    <row r="102" customFormat="false" ht="15.75" hidden="false" customHeight="false" outlineLevel="0" collapsed="false">
      <c r="A102" s="128" t="n">
        <f aca="false">ExportRaw!$F102</f>
        <v>0</v>
      </c>
      <c r="B102" s="128" t="n">
        <f aca="false">ExportRaw!$C102</f>
        <v>0</v>
      </c>
      <c r="C102" s="128" t="n">
        <f aca="false">ExportRaw!$G102</f>
        <v>0</v>
      </c>
      <c r="D102" s="128" t="str">
        <f aca="false">ExportRaw!$E102</f>
        <v/>
      </c>
      <c r="E102" s="129" t="str">
        <f aca="false">ExportRaw!$D102</f>
        <v/>
      </c>
      <c r="F102" s="128" t="str">
        <f aca="false">ExportRaw!$H102</f>
        <v/>
      </c>
      <c r="G102" s="130" t="str">
        <f aca="false">ExportRaw!$I102</f>
        <v/>
      </c>
      <c r="H102" s="128" t="str">
        <f aca="false">ExportRaw!$A102</f>
        <v/>
      </c>
      <c r="I102" s="128" t="str">
        <f aca="false">ExportRaw!$B102</f>
        <v/>
      </c>
    </row>
    <row r="103" customFormat="false" ht="15.75" hidden="false" customHeight="false" outlineLevel="0" collapsed="false">
      <c r="A103" s="128" t="n">
        <f aca="false">ExportRaw!$F103</f>
        <v>0</v>
      </c>
      <c r="B103" s="128" t="n">
        <f aca="false">ExportRaw!$C103</f>
        <v>0</v>
      </c>
      <c r="C103" s="128" t="n">
        <f aca="false">ExportRaw!$G103</f>
        <v>0</v>
      </c>
      <c r="D103" s="128" t="str">
        <f aca="false">ExportRaw!$E103</f>
        <v/>
      </c>
      <c r="E103" s="129" t="str">
        <f aca="false">ExportRaw!$D103</f>
        <v/>
      </c>
      <c r="F103" s="128" t="str">
        <f aca="false">ExportRaw!$H103</f>
        <v/>
      </c>
      <c r="G103" s="130" t="str">
        <f aca="false">ExportRaw!$I103</f>
        <v/>
      </c>
      <c r="H103" s="128" t="str">
        <f aca="false">ExportRaw!$A103</f>
        <v/>
      </c>
      <c r="I103" s="128" t="str">
        <f aca="false">ExportRaw!$B103</f>
        <v/>
      </c>
    </row>
    <row r="104" customFormat="false" ht="15.75" hidden="false" customHeight="false" outlineLevel="0" collapsed="false">
      <c r="A104" s="128" t="n">
        <f aca="false">ExportRaw!$F104</f>
        <v>0</v>
      </c>
      <c r="B104" s="128" t="n">
        <f aca="false">ExportRaw!$C104</f>
        <v>0</v>
      </c>
      <c r="C104" s="128" t="n">
        <f aca="false">ExportRaw!$G104</f>
        <v>0</v>
      </c>
      <c r="D104" s="128" t="str">
        <f aca="false">ExportRaw!$E104</f>
        <v/>
      </c>
      <c r="E104" s="129" t="str">
        <f aca="false">ExportRaw!$D104</f>
        <v/>
      </c>
      <c r="F104" s="128" t="str">
        <f aca="false">ExportRaw!$H104</f>
        <v/>
      </c>
      <c r="G104" s="130" t="str">
        <f aca="false">ExportRaw!$I104</f>
        <v/>
      </c>
      <c r="H104" s="128" t="str">
        <f aca="false">ExportRaw!$A104</f>
        <v/>
      </c>
      <c r="I104" s="128" t="str">
        <f aca="false">ExportRaw!$B104</f>
        <v/>
      </c>
    </row>
    <row r="105" customFormat="false" ht="15.75" hidden="false" customHeight="false" outlineLevel="0" collapsed="false">
      <c r="A105" s="128" t="n">
        <f aca="false">ExportRaw!$F105</f>
        <v>0</v>
      </c>
      <c r="B105" s="128" t="n">
        <f aca="false">ExportRaw!$C105</f>
        <v>0</v>
      </c>
      <c r="C105" s="128" t="n">
        <f aca="false">ExportRaw!$G105</f>
        <v>0</v>
      </c>
      <c r="D105" s="128" t="str">
        <f aca="false">ExportRaw!$E105</f>
        <v/>
      </c>
      <c r="E105" s="129" t="str">
        <f aca="false">ExportRaw!$D105</f>
        <v/>
      </c>
      <c r="F105" s="128" t="str">
        <f aca="false">ExportRaw!$H105</f>
        <v/>
      </c>
      <c r="G105" s="130" t="str">
        <f aca="false">ExportRaw!$I105</f>
        <v/>
      </c>
      <c r="H105" s="128" t="str">
        <f aca="false">ExportRaw!$A105</f>
        <v/>
      </c>
      <c r="I105" s="128" t="str">
        <f aca="false">ExportRaw!$B105</f>
        <v/>
      </c>
    </row>
    <row r="106" customFormat="false" ht="15.75" hidden="false" customHeight="false" outlineLevel="0" collapsed="false">
      <c r="A106" s="128" t="n">
        <f aca="false">ExportRaw!$F106</f>
        <v>0</v>
      </c>
      <c r="B106" s="128" t="n">
        <f aca="false">ExportRaw!$C106</f>
        <v>0</v>
      </c>
      <c r="C106" s="128" t="n">
        <f aca="false">ExportRaw!$G106</f>
        <v>0</v>
      </c>
      <c r="D106" s="128" t="str">
        <f aca="false">ExportRaw!$E106</f>
        <v/>
      </c>
      <c r="E106" s="129" t="str">
        <f aca="false">ExportRaw!$D106</f>
        <v/>
      </c>
      <c r="F106" s="128" t="str">
        <f aca="false">ExportRaw!$H106</f>
        <v/>
      </c>
      <c r="G106" s="130" t="str">
        <f aca="false">ExportRaw!$I106</f>
        <v/>
      </c>
      <c r="H106" s="128" t="str">
        <f aca="false">ExportRaw!$A106</f>
        <v/>
      </c>
      <c r="I106" s="128" t="str">
        <f aca="false">ExportRaw!$B106</f>
        <v/>
      </c>
    </row>
    <row r="107" customFormat="false" ht="15.75" hidden="false" customHeight="false" outlineLevel="0" collapsed="false">
      <c r="A107" s="128" t="n">
        <f aca="false">ExportRaw!$F107</f>
        <v>0</v>
      </c>
      <c r="B107" s="128" t="n">
        <f aca="false">ExportRaw!$C107</f>
        <v>0</v>
      </c>
      <c r="C107" s="128" t="n">
        <f aca="false">ExportRaw!$G107</f>
        <v>0</v>
      </c>
      <c r="D107" s="128" t="str">
        <f aca="false">ExportRaw!$E107</f>
        <v/>
      </c>
      <c r="E107" s="129" t="str">
        <f aca="false">ExportRaw!$D107</f>
        <v/>
      </c>
      <c r="F107" s="128" t="str">
        <f aca="false">ExportRaw!$H107</f>
        <v/>
      </c>
      <c r="G107" s="130" t="str">
        <f aca="false">ExportRaw!$I107</f>
        <v/>
      </c>
      <c r="H107" s="128" t="str">
        <f aca="false">ExportRaw!$A107</f>
        <v/>
      </c>
      <c r="I107" s="128" t="str">
        <f aca="false">ExportRaw!$B107</f>
        <v/>
      </c>
    </row>
    <row r="108" customFormat="false" ht="15.75" hidden="false" customHeight="false" outlineLevel="0" collapsed="false">
      <c r="A108" s="128" t="n">
        <f aca="false">ExportRaw!$F108</f>
        <v>0</v>
      </c>
      <c r="B108" s="128" t="n">
        <f aca="false">ExportRaw!$C108</f>
        <v>0</v>
      </c>
      <c r="C108" s="128" t="n">
        <f aca="false">ExportRaw!$G108</f>
        <v>0</v>
      </c>
      <c r="D108" s="128" t="str">
        <f aca="false">ExportRaw!$E108</f>
        <v/>
      </c>
      <c r="E108" s="129" t="str">
        <f aca="false">ExportRaw!$D108</f>
        <v/>
      </c>
      <c r="F108" s="128" t="str">
        <f aca="false">ExportRaw!$H108</f>
        <v/>
      </c>
      <c r="G108" s="130" t="str">
        <f aca="false">ExportRaw!$I108</f>
        <v/>
      </c>
      <c r="H108" s="128" t="str">
        <f aca="false">ExportRaw!$A108</f>
        <v/>
      </c>
      <c r="I108" s="128" t="str">
        <f aca="false">ExportRaw!$B108</f>
        <v/>
      </c>
    </row>
    <row r="109" customFormat="false" ht="15.75" hidden="false" customHeight="false" outlineLevel="0" collapsed="false">
      <c r="A109" s="128" t="n">
        <f aca="false">ExportRaw!$F109</f>
        <v>0</v>
      </c>
      <c r="B109" s="128" t="n">
        <f aca="false">ExportRaw!$C109</f>
        <v>0</v>
      </c>
      <c r="C109" s="128" t="n">
        <f aca="false">ExportRaw!$G109</f>
        <v>0</v>
      </c>
      <c r="D109" s="128" t="str">
        <f aca="false">ExportRaw!$E109</f>
        <v/>
      </c>
      <c r="E109" s="129" t="str">
        <f aca="false">ExportRaw!$D109</f>
        <v/>
      </c>
      <c r="F109" s="128" t="str">
        <f aca="false">ExportRaw!$H109</f>
        <v/>
      </c>
      <c r="G109" s="130" t="str">
        <f aca="false">ExportRaw!$I109</f>
        <v/>
      </c>
      <c r="H109" s="128" t="str">
        <f aca="false">ExportRaw!$A109</f>
        <v/>
      </c>
      <c r="I109" s="128" t="str">
        <f aca="false">ExportRaw!$B109</f>
        <v/>
      </c>
    </row>
    <row r="110" customFormat="false" ht="15.75" hidden="false" customHeight="false" outlineLevel="0" collapsed="false">
      <c r="A110" s="128" t="n">
        <f aca="false">ExportRaw!$F110</f>
        <v>0</v>
      </c>
      <c r="B110" s="128" t="n">
        <f aca="false">ExportRaw!$C110</f>
        <v>0</v>
      </c>
      <c r="C110" s="128" t="n">
        <f aca="false">ExportRaw!$G110</f>
        <v>0</v>
      </c>
      <c r="D110" s="128" t="str">
        <f aca="false">ExportRaw!$E110</f>
        <v/>
      </c>
      <c r="E110" s="129" t="str">
        <f aca="false">ExportRaw!$D110</f>
        <v/>
      </c>
      <c r="F110" s="128" t="str">
        <f aca="false">ExportRaw!$H110</f>
        <v/>
      </c>
      <c r="G110" s="130" t="str">
        <f aca="false">ExportRaw!$I110</f>
        <v/>
      </c>
      <c r="H110" s="128" t="str">
        <f aca="false">ExportRaw!$A110</f>
        <v/>
      </c>
      <c r="I110" s="128" t="str">
        <f aca="false">ExportRaw!$B110</f>
        <v/>
      </c>
    </row>
    <row r="111" customFormat="false" ht="15.75" hidden="false" customHeight="false" outlineLevel="0" collapsed="false">
      <c r="A111" s="128" t="n">
        <f aca="false">ExportRaw!$F111</f>
        <v>0</v>
      </c>
      <c r="B111" s="128" t="n">
        <f aca="false">ExportRaw!$C111</f>
        <v>0</v>
      </c>
      <c r="C111" s="128" t="n">
        <f aca="false">ExportRaw!$G111</f>
        <v>0</v>
      </c>
      <c r="D111" s="128" t="str">
        <f aca="false">ExportRaw!$E111</f>
        <v/>
      </c>
      <c r="E111" s="129" t="str">
        <f aca="false">ExportRaw!$D111</f>
        <v/>
      </c>
      <c r="F111" s="128" t="str">
        <f aca="false">ExportRaw!$H111</f>
        <v/>
      </c>
      <c r="G111" s="130" t="str">
        <f aca="false">ExportRaw!$I111</f>
        <v/>
      </c>
      <c r="H111" s="128" t="str">
        <f aca="false">ExportRaw!$A111</f>
        <v/>
      </c>
      <c r="I111" s="128" t="str">
        <f aca="false">ExportRaw!$B111</f>
        <v/>
      </c>
    </row>
    <row r="112" customFormat="false" ht="15.75" hidden="false" customHeight="false" outlineLevel="0" collapsed="false">
      <c r="A112" s="128" t="n">
        <f aca="false">ExportRaw!$F112</f>
        <v>0</v>
      </c>
      <c r="B112" s="128" t="n">
        <f aca="false">ExportRaw!$C112</f>
        <v>0</v>
      </c>
      <c r="C112" s="128" t="n">
        <f aca="false">ExportRaw!$G112</f>
        <v>0</v>
      </c>
      <c r="D112" s="128" t="str">
        <f aca="false">ExportRaw!$E112</f>
        <v/>
      </c>
      <c r="E112" s="129" t="str">
        <f aca="false">ExportRaw!$D112</f>
        <v/>
      </c>
      <c r="F112" s="128" t="str">
        <f aca="false">ExportRaw!$H112</f>
        <v/>
      </c>
      <c r="G112" s="130" t="str">
        <f aca="false">ExportRaw!$I112</f>
        <v/>
      </c>
      <c r="H112" s="128" t="str">
        <f aca="false">ExportRaw!$A112</f>
        <v/>
      </c>
      <c r="I112" s="128" t="str">
        <f aca="false">ExportRaw!$B112</f>
        <v/>
      </c>
    </row>
    <row r="113" customFormat="false" ht="15.75" hidden="false" customHeight="false" outlineLevel="0" collapsed="false">
      <c r="A113" s="128" t="n">
        <f aca="false">ExportRaw!$F113</f>
        <v>0</v>
      </c>
      <c r="B113" s="128" t="n">
        <f aca="false">ExportRaw!$C113</f>
        <v>0</v>
      </c>
      <c r="C113" s="128" t="n">
        <f aca="false">ExportRaw!$G113</f>
        <v>0</v>
      </c>
      <c r="D113" s="128" t="str">
        <f aca="false">ExportRaw!$E113</f>
        <v/>
      </c>
      <c r="E113" s="129" t="str">
        <f aca="false">ExportRaw!$D113</f>
        <v/>
      </c>
      <c r="F113" s="128" t="str">
        <f aca="false">ExportRaw!$H113</f>
        <v/>
      </c>
      <c r="G113" s="130" t="str">
        <f aca="false">ExportRaw!$I113</f>
        <v/>
      </c>
      <c r="H113" s="128" t="str">
        <f aca="false">ExportRaw!$A113</f>
        <v/>
      </c>
      <c r="I113" s="128" t="str">
        <f aca="false">ExportRaw!$B113</f>
        <v/>
      </c>
    </row>
    <row r="114" customFormat="false" ht="15.75" hidden="false" customHeight="false" outlineLevel="0" collapsed="false">
      <c r="A114" s="128" t="n">
        <f aca="false">ExportRaw!$F114</f>
        <v>0</v>
      </c>
      <c r="B114" s="128" t="n">
        <f aca="false">ExportRaw!$C114</f>
        <v>0</v>
      </c>
      <c r="C114" s="128" t="n">
        <f aca="false">ExportRaw!$G114</f>
        <v>0</v>
      </c>
      <c r="D114" s="128" t="str">
        <f aca="false">ExportRaw!$E114</f>
        <v/>
      </c>
      <c r="E114" s="129" t="str">
        <f aca="false">ExportRaw!$D114</f>
        <v/>
      </c>
      <c r="F114" s="128" t="str">
        <f aca="false">ExportRaw!$H114</f>
        <v/>
      </c>
      <c r="G114" s="130" t="str">
        <f aca="false">ExportRaw!$I114</f>
        <v/>
      </c>
      <c r="H114" s="128" t="str">
        <f aca="false">ExportRaw!$A114</f>
        <v/>
      </c>
      <c r="I114" s="128" t="str">
        <f aca="false">ExportRaw!$B114</f>
        <v/>
      </c>
    </row>
    <row r="115" customFormat="false" ht="15.75" hidden="false" customHeight="false" outlineLevel="0" collapsed="false">
      <c r="A115" s="128" t="n">
        <f aca="false">ExportRaw!$F115</f>
        <v>0</v>
      </c>
      <c r="B115" s="128" t="n">
        <f aca="false">ExportRaw!$C115</f>
        <v>0</v>
      </c>
      <c r="C115" s="128" t="n">
        <f aca="false">ExportRaw!$G115</f>
        <v>0</v>
      </c>
      <c r="D115" s="128" t="str">
        <f aca="false">ExportRaw!$E115</f>
        <v/>
      </c>
      <c r="E115" s="129" t="str">
        <f aca="false">ExportRaw!$D115</f>
        <v/>
      </c>
      <c r="F115" s="128" t="str">
        <f aca="false">ExportRaw!$H115</f>
        <v/>
      </c>
      <c r="G115" s="130" t="str">
        <f aca="false">ExportRaw!$I115</f>
        <v/>
      </c>
      <c r="H115" s="128" t="str">
        <f aca="false">ExportRaw!$A115</f>
        <v/>
      </c>
      <c r="I115" s="128" t="str">
        <f aca="false">ExportRaw!$B115</f>
        <v/>
      </c>
    </row>
    <row r="116" customFormat="false" ht="15.75" hidden="false" customHeight="false" outlineLevel="0" collapsed="false">
      <c r="A116" s="128" t="n">
        <f aca="false">ExportRaw!$F116</f>
        <v>0</v>
      </c>
      <c r="B116" s="128" t="n">
        <f aca="false">ExportRaw!$C116</f>
        <v>0</v>
      </c>
      <c r="C116" s="128" t="n">
        <f aca="false">ExportRaw!$G116</f>
        <v>0</v>
      </c>
      <c r="D116" s="128" t="str">
        <f aca="false">ExportRaw!$E116</f>
        <v/>
      </c>
      <c r="E116" s="129" t="str">
        <f aca="false">ExportRaw!$D116</f>
        <v/>
      </c>
      <c r="F116" s="128" t="str">
        <f aca="false">ExportRaw!$H116</f>
        <v/>
      </c>
      <c r="G116" s="130" t="str">
        <f aca="false">ExportRaw!$I116</f>
        <v/>
      </c>
      <c r="H116" s="128" t="str">
        <f aca="false">ExportRaw!$A116</f>
        <v/>
      </c>
      <c r="I116" s="128" t="str">
        <f aca="false">ExportRaw!$B116</f>
        <v/>
      </c>
    </row>
    <row r="117" customFormat="false" ht="15.75" hidden="false" customHeight="false" outlineLevel="0" collapsed="false">
      <c r="A117" s="128" t="n">
        <f aca="false">ExportRaw!$F117</f>
        <v>0</v>
      </c>
      <c r="B117" s="128" t="n">
        <f aca="false">ExportRaw!$C117</f>
        <v>0</v>
      </c>
      <c r="C117" s="128" t="n">
        <f aca="false">ExportRaw!$G117</f>
        <v>0</v>
      </c>
      <c r="D117" s="128" t="str">
        <f aca="false">ExportRaw!$E117</f>
        <v/>
      </c>
      <c r="E117" s="129" t="str">
        <f aca="false">ExportRaw!$D117</f>
        <v/>
      </c>
      <c r="F117" s="128" t="str">
        <f aca="false">ExportRaw!$H117</f>
        <v/>
      </c>
      <c r="G117" s="130" t="str">
        <f aca="false">ExportRaw!$I117</f>
        <v/>
      </c>
      <c r="H117" s="128" t="str">
        <f aca="false">ExportRaw!$A117</f>
        <v/>
      </c>
      <c r="I117" s="128" t="str">
        <f aca="false">ExportRaw!$B117</f>
        <v/>
      </c>
    </row>
    <row r="118" customFormat="false" ht="15.75" hidden="false" customHeight="false" outlineLevel="0" collapsed="false">
      <c r="A118" s="128" t="n">
        <f aca="false">ExportRaw!$F118</f>
        <v>0</v>
      </c>
      <c r="B118" s="128" t="n">
        <f aca="false">ExportRaw!$C118</f>
        <v>0</v>
      </c>
      <c r="C118" s="128" t="n">
        <f aca="false">ExportRaw!$G118</f>
        <v>0</v>
      </c>
      <c r="D118" s="128" t="str">
        <f aca="false">ExportRaw!$E118</f>
        <v/>
      </c>
      <c r="E118" s="129" t="str">
        <f aca="false">ExportRaw!$D118</f>
        <v/>
      </c>
      <c r="F118" s="128" t="str">
        <f aca="false">ExportRaw!$H118</f>
        <v/>
      </c>
      <c r="G118" s="130" t="str">
        <f aca="false">ExportRaw!$I118</f>
        <v/>
      </c>
      <c r="H118" s="128" t="str">
        <f aca="false">ExportRaw!$A118</f>
        <v/>
      </c>
      <c r="I118" s="128" t="str">
        <f aca="false">ExportRaw!$B118</f>
        <v/>
      </c>
    </row>
    <row r="119" customFormat="false" ht="15.75" hidden="false" customHeight="false" outlineLevel="0" collapsed="false">
      <c r="A119" s="128" t="n">
        <f aca="false">ExportRaw!$F119</f>
        <v>0</v>
      </c>
      <c r="B119" s="128" t="n">
        <f aca="false">ExportRaw!$C119</f>
        <v>0</v>
      </c>
      <c r="C119" s="128" t="n">
        <f aca="false">ExportRaw!$G119</f>
        <v>0</v>
      </c>
      <c r="D119" s="128" t="str">
        <f aca="false">ExportRaw!$E119</f>
        <v/>
      </c>
      <c r="E119" s="129" t="str">
        <f aca="false">ExportRaw!$D119</f>
        <v/>
      </c>
      <c r="F119" s="128" t="str">
        <f aca="false">ExportRaw!$H119</f>
        <v/>
      </c>
      <c r="G119" s="130" t="str">
        <f aca="false">ExportRaw!$I119</f>
        <v/>
      </c>
      <c r="H119" s="128" t="str">
        <f aca="false">ExportRaw!$A119</f>
        <v/>
      </c>
      <c r="I119" s="128" t="str">
        <f aca="false">ExportRaw!$B119</f>
        <v/>
      </c>
    </row>
    <row r="120" customFormat="false" ht="15.75" hidden="false" customHeight="false" outlineLevel="0" collapsed="false">
      <c r="A120" s="128" t="n">
        <f aca="false">ExportRaw!$F120</f>
        <v>0</v>
      </c>
      <c r="B120" s="128" t="n">
        <f aca="false">ExportRaw!$C120</f>
        <v>0</v>
      </c>
      <c r="C120" s="128" t="n">
        <f aca="false">ExportRaw!$G120</f>
        <v>0</v>
      </c>
      <c r="D120" s="128" t="str">
        <f aca="false">ExportRaw!$E120</f>
        <v/>
      </c>
      <c r="E120" s="129" t="str">
        <f aca="false">ExportRaw!$D120</f>
        <v/>
      </c>
      <c r="F120" s="128" t="str">
        <f aca="false">ExportRaw!$H120</f>
        <v/>
      </c>
      <c r="G120" s="130" t="str">
        <f aca="false">ExportRaw!$I120</f>
        <v/>
      </c>
      <c r="H120" s="128" t="str">
        <f aca="false">ExportRaw!$A120</f>
        <v/>
      </c>
      <c r="I120" s="128" t="str">
        <f aca="false">ExportRaw!$B120</f>
        <v/>
      </c>
    </row>
    <row r="121" customFormat="false" ht="15.75" hidden="false" customHeight="false" outlineLevel="0" collapsed="false">
      <c r="A121" s="128" t="n">
        <f aca="false">ExportRaw!$F121</f>
        <v>0</v>
      </c>
      <c r="B121" s="128" t="n">
        <f aca="false">ExportRaw!$C121</f>
        <v>0</v>
      </c>
      <c r="C121" s="128" t="n">
        <f aca="false">ExportRaw!$G121</f>
        <v>0</v>
      </c>
      <c r="D121" s="128" t="str">
        <f aca="false">ExportRaw!$E121</f>
        <v/>
      </c>
      <c r="E121" s="129" t="str">
        <f aca="false">ExportRaw!$D121</f>
        <v/>
      </c>
      <c r="F121" s="128" t="str">
        <f aca="false">ExportRaw!$H121</f>
        <v/>
      </c>
      <c r="G121" s="130" t="str">
        <f aca="false">ExportRaw!$I121</f>
        <v/>
      </c>
      <c r="H121" s="128" t="str">
        <f aca="false">ExportRaw!$A121</f>
        <v/>
      </c>
      <c r="I121" s="128" t="str">
        <f aca="false">ExportRaw!$B121</f>
        <v/>
      </c>
    </row>
    <row r="122" customFormat="false" ht="15.75" hidden="false" customHeight="false" outlineLevel="0" collapsed="false">
      <c r="A122" s="128" t="n">
        <f aca="false">ExportRaw!$F122</f>
        <v>0</v>
      </c>
      <c r="B122" s="128" t="n">
        <f aca="false">ExportRaw!$C122</f>
        <v>0</v>
      </c>
      <c r="C122" s="128" t="n">
        <f aca="false">ExportRaw!$G122</f>
        <v>0</v>
      </c>
      <c r="D122" s="128" t="str">
        <f aca="false">ExportRaw!$E122</f>
        <v/>
      </c>
      <c r="E122" s="129" t="str">
        <f aca="false">ExportRaw!$D122</f>
        <v/>
      </c>
      <c r="F122" s="128" t="str">
        <f aca="false">ExportRaw!$H122</f>
        <v/>
      </c>
      <c r="G122" s="130" t="str">
        <f aca="false">ExportRaw!$I122</f>
        <v/>
      </c>
      <c r="H122" s="128" t="str">
        <f aca="false">ExportRaw!$A122</f>
        <v/>
      </c>
      <c r="I122" s="128" t="str">
        <f aca="false">ExportRaw!$B122</f>
        <v/>
      </c>
    </row>
    <row r="123" customFormat="false" ht="15.75" hidden="false" customHeight="false" outlineLevel="0" collapsed="false">
      <c r="A123" s="128" t="n">
        <f aca="false">ExportRaw!$F123</f>
        <v>0</v>
      </c>
      <c r="B123" s="128" t="n">
        <f aca="false">ExportRaw!$C123</f>
        <v>0</v>
      </c>
      <c r="C123" s="128" t="n">
        <f aca="false">ExportRaw!$G123</f>
        <v>0</v>
      </c>
      <c r="D123" s="128" t="str">
        <f aca="false">ExportRaw!$E123</f>
        <v/>
      </c>
      <c r="E123" s="129" t="str">
        <f aca="false">ExportRaw!$D123</f>
        <v/>
      </c>
      <c r="F123" s="128" t="str">
        <f aca="false">ExportRaw!$H123</f>
        <v/>
      </c>
      <c r="G123" s="130" t="str">
        <f aca="false">ExportRaw!$I123</f>
        <v/>
      </c>
      <c r="H123" s="128" t="str">
        <f aca="false">ExportRaw!$A123</f>
        <v/>
      </c>
      <c r="I123" s="128" t="str">
        <f aca="false">ExportRaw!$B123</f>
        <v/>
      </c>
    </row>
    <row r="124" customFormat="false" ht="15.75" hidden="false" customHeight="false" outlineLevel="0" collapsed="false">
      <c r="A124" s="128" t="n">
        <f aca="false">ExportRaw!$F124</f>
        <v>0</v>
      </c>
      <c r="B124" s="128" t="n">
        <f aca="false">ExportRaw!$C124</f>
        <v>0</v>
      </c>
      <c r="C124" s="128" t="n">
        <f aca="false">ExportRaw!$G124</f>
        <v>0</v>
      </c>
      <c r="D124" s="128" t="str">
        <f aca="false">ExportRaw!$E124</f>
        <v/>
      </c>
      <c r="E124" s="129" t="str">
        <f aca="false">ExportRaw!$D124</f>
        <v/>
      </c>
      <c r="F124" s="128" t="str">
        <f aca="false">ExportRaw!$H124</f>
        <v/>
      </c>
      <c r="G124" s="130" t="str">
        <f aca="false">ExportRaw!$I124</f>
        <v/>
      </c>
      <c r="H124" s="128" t="str">
        <f aca="false">ExportRaw!$A124</f>
        <v/>
      </c>
      <c r="I124" s="128" t="str">
        <f aca="false">ExportRaw!$B124</f>
        <v/>
      </c>
    </row>
    <row r="125" customFormat="false" ht="15.75" hidden="false" customHeight="false" outlineLevel="0" collapsed="false">
      <c r="A125" s="128" t="n">
        <f aca="false">ExportRaw!$F125</f>
        <v>0</v>
      </c>
      <c r="B125" s="128" t="n">
        <f aca="false">ExportRaw!$C125</f>
        <v>0</v>
      </c>
      <c r="C125" s="128" t="n">
        <f aca="false">ExportRaw!$G125</f>
        <v>0</v>
      </c>
      <c r="D125" s="128" t="str">
        <f aca="false">ExportRaw!$E125</f>
        <v/>
      </c>
      <c r="E125" s="129" t="str">
        <f aca="false">ExportRaw!$D125</f>
        <v/>
      </c>
      <c r="F125" s="128" t="str">
        <f aca="false">ExportRaw!$H125</f>
        <v/>
      </c>
      <c r="G125" s="130" t="str">
        <f aca="false">ExportRaw!$I125</f>
        <v/>
      </c>
      <c r="H125" s="128" t="str">
        <f aca="false">ExportRaw!$A125</f>
        <v/>
      </c>
      <c r="I125" s="128" t="str">
        <f aca="false">ExportRaw!$B125</f>
        <v/>
      </c>
    </row>
    <row r="126" customFormat="false" ht="15.75" hidden="false" customHeight="false" outlineLevel="0" collapsed="false">
      <c r="A126" s="128" t="n">
        <f aca="false">ExportRaw!$F126</f>
        <v>0</v>
      </c>
      <c r="B126" s="128" t="n">
        <f aca="false">ExportRaw!$C126</f>
        <v>0</v>
      </c>
      <c r="C126" s="128" t="n">
        <f aca="false">ExportRaw!$G126</f>
        <v>0</v>
      </c>
      <c r="D126" s="128" t="str">
        <f aca="false">ExportRaw!$E126</f>
        <v/>
      </c>
      <c r="E126" s="129" t="str">
        <f aca="false">ExportRaw!$D126</f>
        <v/>
      </c>
      <c r="F126" s="128" t="str">
        <f aca="false">ExportRaw!$H126</f>
        <v/>
      </c>
      <c r="G126" s="130" t="str">
        <f aca="false">ExportRaw!$I126</f>
        <v/>
      </c>
      <c r="H126" s="128" t="str">
        <f aca="false">ExportRaw!$A126</f>
        <v/>
      </c>
      <c r="I126" s="128" t="str">
        <f aca="false">ExportRaw!$B126</f>
        <v/>
      </c>
    </row>
    <row r="127" customFormat="false" ht="15.75" hidden="false" customHeight="false" outlineLevel="0" collapsed="false">
      <c r="A127" s="128" t="n">
        <f aca="false">ExportRaw!$F127</f>
        <v>0</v>
      </c>
      <c r="B127" s="128" t="n">
        <f aca="false">ExportRaw!$C127</f>
        <v>0</v>
      </c>
      <c r="C127" s="128" t="n">
        <f aca="false">ExportRaw!$G127</f>
        <v>0</v>
      </c>
      <c r="D127" s="128" t="str">
        <f aca="false">ExportRaw!$E127</f>
        <v/>
      </c>
      <c r="E127" s="129" t="str">
        <f aca="false">ExportRaw!$D127</f>
        <v/>
      </c>
      <c r="F127" s="128" t="str">
        <f aca="false">ExportRaw!$H127</f>
        <v/>
      </c>
      <c r="G127" s="130" t="str">
        <f aca="false">ExportRaw!$I127</f>
        <v/>
      </c>
      <c r="H127" s="128" t="str">
        <f aca="false">ExportRaw!$A127</f>
        <v/>
      </c>
      <c r="I127" s="128" t="str">
        <f aca="false">ExportRaw!$B127</f>
        <v/>
      </c>
    </row>
    <row r="128" customFormat="false" ht="15.75" hidden="false" customHeight="false" outlineLevel="0" collapsed="false">
      <c r="A128" s="128" t="n">
        <f aca="false">ExportRaw!$F128</f>
        <v>0</v>
      </c>
      <c r="B128" s="128" t="n">
        <f aca="false">ExportRaw!$C128</f>
        <v>0</v>
      </c>
      <c r="C128" s="128" t="n">
        <f aca="false">ExportRaw!$G128</f>
        <v>0</v>
      </c>
      <c r="D128" s="128" t="str">
        <f aca="false">ExportRaw!$E128</f>
        <v/>
      </c>
      <c r="E128" s="129" t="str">
        <f aca="false">ExportRaw!$D128</f>
        <v/>
      </c>
      <c r="F128" s="128" t="str">
        <f aca="false">ExportRaw!$H128</f>
        <v/>
      </c>
      <c r="G128" s="130" t="str">
        <f aca="false">ExportRaw!$I128</f>
        <v/>
      </c>
      <c r="H128" s="128" t="str">
        <f aca="false">ExportRaw!$A128</f>
        <v/>
      </c>
      <c r="I128" s="128" t="str">
        <f aca="false">ExportRaw!$B128</f>
        <v/>
      </c>
    </row>
    <row r="129" customFormat="false" ht="15.75" hidden="false" customHeight="false" outlineLevel="0" collapsed="false">
      <c r="A129" s="128" t="n">
        <f aca="false">ExportRaw!$F129</f>
        <v>0</v>
      </c>
      <c r="B129" s="128" t="n">
        <f aca="false">ExportRaw!$C129</f>
        <v>0</v>
      </c>
      <c r="C129" s="128" t="n">
        <f aca="false">ExportRaw!$G129</f>
        <v>0</v>
      </c>
      <c r="D129" s="128" t="str">
        <f aca="false">ExportRaw!$E129</f>
        <v/>
      </c>
      <c r="E129" s="129" t="str">
        <f aca="false">ExportRaw!$D129</f>
        <v/>
      </c>
      <c r="F129" s="128" t="str">
        <f aca="false">ExportRaw!$H129</f>
        <v/>
      </c>
      <c r="G129" s="130" t="str">
        <f aca="false">ExportRaw!$I129</f>
        <v/>
      </c>
      <c r="H129" s="128" t="str">
        <f aca="false">ExportRaw!$A129</f>
        <v/>
      </c>
      <c r="I129" s="128" t="str">
        <f aca="false">ExportRaw!$B129</f>
        <v/>
      </c>
    </row>
    <row r="130" customFormat="false" ht="15.75" hidden="false" customHeight="false" outlineLevel="0" collapsed="false">
      <c r="A130" s="128" t="n">
        <f aca="false">ExportRaw!$F130</f>
        <v>0</v>
      </c>
      <c r="B130" s="128" t="n">
        <f aca="false">ExportRaw!$C130</f>
        <v>0</v>
      </c>
      <c r="C130" s="128" t="n">
        <f aca="false">ExportRaw!$G130</f>
        <v>0</v>
      </c>
      <c r="D130" s="128" t="str">
        <f aca="false">ExportRaw!$E130</f>
        <v/>
      </c>
      <c r="E130" s="129" t="str">
        <f aca="false">ExportRaw!$D130</f>
        <v/>
      </c>
      <c r="F130" s="128" t="str">
        <f aca="false">ExportRaw!$H130</f>
        <v/>
      </c>
      <c r="G130" s="130" t="str">
        <f aca="false">ExportRaw!$I130</f>
        <v/>
      </c>
      <c r="H130" s="128" t="str">
        <f aca="false">ExportRaw!$A130</f>
        <v/>
      </c>
      <c r="I130" s="128" t="str">
        <f aca="false">ExportRaw!$B130</f>
        <v/>
      </c>
    </row>
    <row r="131" customFormat="false" ht="15.75" hidden="false" customHeight="false" outlineLevel="0" collapsed="false">
      <c r="A131" s="128" t="n">
        <f aca="false">ExportRaw!$F131</f>
        <v>0</v>
      </c>
      <c r="B131" s="128" t="n">
        <f aca="false">ExportRaw!$C131</f>
        <v>0</v>
      </c>
      <c r="C131" s="128" t="n">
        <f aca="false">ExportRaw!$G131</f>
        <v>0</v>
      </c>
      <c r="D131" s="128" t="str">
        <f aca="false">ExportRaw!$E131</f>
        <v/>
      </c>
      <c r="E131" s="129" t="str">
        <f aca="false">ExportRaw!$D131</f>
        <v/>
      </c>
      <c r="F131" s="128" t="str">
        <f aca="false">ExportRaw!$H131</f>
        <v/>
      </c>
      <c r="G131" s="130" t="str">
        <f aca="false">ExportRaw!$I131</f>
        <v/>
      </c>
      <c r="H131" s="128" t="str">
        <f aca="false">ExportRaw!$A131</f>
        <v/>
      </c>
      <c r="I131" s="128" t="str">
        <f aca="false">ExportRaw!$B131</f>
        <v/>
      </c>
    </row>
    <row r="132" customFormat="false" ht="15.75" hidden="false" customHeight="false" outlineLevel="0" collapsed="false">
      <c r="A132" s="128" t="n">
        <f aca="false">ExportRaw!$F132</f>
        <v>0</v>
      </c>
      <c r="B132" s="128" t="n">
        <f aca="false">ExportRaw!$C132</f>
        <v>0</v>
      </c>
      <c r="C132" s="128" t="n">
        <f aca="false">ExportRaw!$G132</f>
        <v>0</v>
      </c>
      <c r="D132" s="128" t="str">
        <f aca="false">ExportRaw!$E132</f>
        <v/>
      </c>
      <c r="E132" s="129" t="str">
        <f aca="false">ExportRaw!$D132</f>
        <v/>
      </c>
      <c r="F132" s="128" t="str">
        <f aca="false">ExportRaw!$H132</f>
        <v/>
      </c>
      <c r="G132" s="130" t="str">
        <f aca="false">ExportRaw!$I132</f>
        <v/>
      </c>
      <c r="H132" s="128" t="str">
        <f aca="false">ExportRaw!$A132</f>
        <v/>
      </c>
      <c r="I132" s="128" t="str">
        <f aca="false">ExportRaw!$B132</f>
        <v/>
      </c>
    </row>
    <row r="133" customFormat="false" ht="15.75" hidden="false" customHeight="false" outlineLevel="0" collapsed="false">
      <c r="A133" s="128" t="n">
        <f aca="false">ExportRaw!$F133</f>
        <v>0</v>
      </c>
      <c r="B133" s="128" t="n">
        <f aca="false">ExportRaw!$C133</f>
        <v>0</v>
      </c>
      <c r="C133" s="128" t="n">
        <f aca="false">ExportRaw!$G133</f>
        <v>0</v>
      </c>
      <c r="D133" s="128" t="str">
        <f aca="false">ExportRaw!$E133</f>
        <v/>
      </c>
      <c r="E133" s="129" t="str">
        <f aca="false">ExportRaw!$D133</f>
        <v/>
      </c>
      <c r="F133" s="128" t="str">
        <f aca="false">ExportRaw!$H133</f>
        <v/>
      </c>
      <c r="G133" s="130" t="str">
        <f aca="false">ExportRaw!$I133</f>
        <v/>
      </c>
      <c r="H133" s="128" t="str">
        <f aca="false">ExportRaw!$A133</f>
        <v/>
      </c>
      <c r="I133" s="128" t="str">
        <f aca="false">ExportRaw!$B133</f>
        <v/>
      </c>
    </row>
    <row r="134" customFormat="false" ht="15.75" hidden="false" customHeight="false" outlineLevel="0" collapsed="false">
      <c r="A134" s="128" t="n">
        <f aca="false">ExportRaw!$F134</f>
        <v>0</v>
      </c>
      <c r="B134" s="128" t="n">
        <f aca="false">ExportRaw!$C134</f>
        <v>0</v>
      </c>
      <c r="C134" s="128" t="n">
        <f aca="false">ExportRaw!$G134</f>
        <v>0</v>
      </c>
      <c r="D134" s="128" t="str">
        <f aca="false">ExportRaw!$E134</f>
        <v/>
      </c>
      <c r="E134" s="129" t="str">
        <f aca="false">ExportRaw!$D134</f>
        <v/>
      </c>
      <c r="F134" s="128" t="str">
        <f aca="false">ExportRaw!$H134</f>
        <v/>
      </c>
      <c r="G134" s="130" t="str">
        <f aca="false">ExportRaw!$I134</f>
        <v/>
      </c>
      <c r="H134" s="128" t="str">
        <f aca="false">ExportRaw!$A134</f>
        <v/>
      </c>
      <c r="I134" s="128" t="str">
        <f aca="false">ExportRaw!$B134</f>
        <v/>
      </c>
    </row>
    <row r="135" customFormat="false" ht="15.75" hidden="false" customHeight="false" outlineLevel="0" collapsed="false">
      <c r="A135" s="128" t="n">
        <f aca="false">ExportRaw!$F135</f>
        <v>0</v>
      </c>
      <c r="B135" s="128" t="n">
        <f aca="false">ExportRaw!$C135</f>
        <v>0</v>
      </c>
      <c r="C135" s="128" t="n">
        <f aca="false">ExportRaw!$G135</f>
        <v>0</v>
      </c>
      <c r="D135" s="128" t="str">
        <f aca="false">ExportRaw!$E135</f>
        <v/>
      </c>
      <c r="E135" s="129" t="str">
        <f aca="false">ExportRaw!$D135</f>
        <v/>
      </c>
      <c r="F135" s="128" t="str">
        <f aca="false">ExportRaw!$H135</f>
        <v/>
      </c>
      <c r="G135" s="130" t="str">
        <f aca="false">ExportRaw!$I135</f>
        <v/>
      </c>
      <c r="H135" s="128" t="str">
        <f aca="false">ExportRaw!$A135</f>
        <v/>
      </c>
      <c r="I135" s="128" t="str">
        <f aca="false">ExportRaw!$B135</f>
        <v/>
      </c>
    </row>
    <row r="136" customFormat="false" ht="15.75" hidden="false" customHeight="false" outlineLevel="0" collapsed="false">
      <c r="A136" s="128" t="n">
        <f aca="false">ExportRaw!$F136</f>
        <v>0</v>
      </c>
      <c r="B136" s="128" t="n">
        <f aca="false">ExportRaw!$C136</f>
        <v>0</v>
      </c>
      <c r="C136" s="128" t="n">
        <f aca="false">ExportRaw!$G136</f>
        <v>0</v>
      </c>
      <c r="D136" s="128" t="str">
        <f aca="false">ExportRaw!$E136</f>
        <v/>
      </c>
      <c r="E136" s="129" t="str">
        <f aca="false">ExportRaw!$D136</f>
        <v/>
      </c>
      <c r="F136" s="128" t="str">
        <f aca="false">ExportRaw!$H136</f>
        <v/>
      </c>
      <c r="G136" s="130" t="str">
        <f aca="false">ExportRaw!$I136</f>
        <v/>
      </c>
      <c r="H136" s="128" t="str">
        <f aca="false">ExportRaw!$A136</f>
        <v/>
      </c>
      <c r="I136" s="128" t="str">
        <f aca="false">ExportRaw!$B136</f>
        <v/>
      </c>
    </row>
    <row r="137" customFormat="false" ht="15.75" hidden="false" customHeight="false" outlineLevel="0" collapsed="false">
      <c r="A137" s="128" t="n">
        <f aca="false">ExportRaw!$F137</f>
        <v>0</v>
      </c>
      <c r="B137" s="128" t="n">
        <f aca="false">ExportRaw!$C137</f>
        <v>0</v>
      </c>
      <c r="C137" s="128" t="n">
        <f aca="false">ExportRaw!$G137</f>
        <v>0</v>
      </c>
      <c r="D137" s="128" t="str">
        <f aca="false">ExportRaw!$E137</f>
        <v/>
      </c>
      <c r="E137" s="129" t="str">
        <f aca="false">ExportRaw!$D137</f>
        <v/>
      </c>
      <c r="F137" s="128" t="str">
        <f aca="false">ExportRaw!$H137</f>
        <v/>
      </c>
      <c r="G137" s="130" t="str">
        <f aca="false">ExportRaw!$I137</f>
        <v/>
      </c>
      <c r="H137" s="128" t="str">
        <f aca="false">ExportRaw!$A137</f>
        <v/>
      </c>
      <c r="I137" s="128" t="str">
        <f aca="false">ExportRaw!$B137</f>
        <v/>
      </c>
    </row>
    <row r="138" customFormat="false" ht="15.75" hidden="false" customHeight="false" outlineLevel="0" collapsed="false">
      <c r="A138" s="128" t="n">
        <f aca="false">ExportRaw!$F138</f>
        <v>0</v>
      </c>
      <c r="B138" s="128" t="n">
        <f aca="false">ExportRaw!$C138</f>
        <v>0</v>
      </c>
      <c r="C138" s="128" t="n">
        <f aca="false">ExportRaw!$G138</f>
        <v>0</v>
      </c>
      <c r="D138" s="128" t="str">
        <f aca="false">ExportRaw!$E138</f>
        <v/>
      </c>
      <c r="E138" s="129" t="str">
        <f aca="false">ExportRaw!$D138</f>
        <v/>
      </c>
      <c r="F138" s="128" t="str">
        <f aca="false">ExportRaw!$H138</f>
        <v/>
      </c>
      <c r="G138" s="130" t="str">
        <f aca="false">ExportRaw!$I138</f>
        <v/>
      </c>
      <c r="H138" s="128" t="str">
        <f aca="false">ExportRaw!$A138</f>
        <v/>
      </c>
      <c r="I138" s="128" t="str">
        <f aca="false">ExportRaw!$B138</f>
        <v/>
      </c>
    </row>
    <row r="139" customFormat="false" ht="15.75" hidden="false" customHeight="false" outlineLevel="0" collapsed="false">
      <c r="A139" s="128" t="n">
        <f aca="false">ExportRaw!$F139</f>
        <v>0</v>
      </c>
      <c r="B139" s="128" t="n">
        <f aca="false">ExportRaw!$C139</f>
        <v>0</v>
      </c>
      <c r="C139" s="128" t="n">
        <f aca="false">ExportRaw!$G139</f>
        <v>0</v>
      </c>
      <c r="D139" s="128" t="str">
        <f aca="false">ExportRaw!$E139</f>
        <v/>
      </c>
      <c r="E139" s="129" t="str">
        <f aca="false">ExportRaw!$D139</f>
        <v/>
      </c>
      <c r="F139" s="128" t="str">
        <f aca="false">ExportRaw!$H139</f>
        <v/>
      </c>
      <c r="G139" s="130" t="str">
        <f aca="false">ExportRaw!$I139</f>
        <v/>
      </c>
      <c r="H139" s="128" t="str">
        <f aca="false">ExportRaw!$A139</f>
        <v/>
      </c>
      <c r="I139" s="128" t="str">
        <f aca="false">ExportRaw!$B139</f>
        <v/>
      </c>
    </row>
    <row r="140" customFormat="false" ht="15.75" hidden="false" customHeight="false" outlineLevel="0" collapsed="false">
      <c r="A140" s="128" t="n">
        <f aca="false">ExportRaw!$F140</f>
        <v>0</v>
      </c>
      <c r="B140" s="128" t="n">
        <f aca="false">ExportRaw!$C140</f>
        <v>0</v>
      </c>
      <c r="C140" s="128" t="n">
        <f aca="false">ExportRaw!$G140</f>
        <v>0</v>
      </c>
      <c r="D140" s="128" t="str">
        <f aca="false">ExportRaw!$E140</f>
        <v/>
      </c>
      <c r="E140" s="129" t="str">
        <f aca="false">ExportRaw!$D140</f>
        <v/>
      </c>
      <c r="F140" s="128" t="str">
        <f aca="false">ExportRaw!$H140</f>
        <v/>
      </c>
      <c r="G140" s="130" t="str">
        <f aca="false">ExportRaw!$I140</f>
        <v/>
      </c>
      <c r="H140" s="128" t="str">
        <f aca="false">ExportRaw!$A140</f>
        <v/>
      </c>
      <c r="I140" s="128" t="str">
        <f aca="false">ExportRaw!$B140</f>
        <v/>
      </c>
    </row>
    <row r="141" customFormat="false" ht="15.75" hidden="false" customHeight="false" outlineLevel="0" collapsed="false">
      <c r="A141" s="128" t="n">
        <f aca="false">ExportRaw!$F141</f>
        <v>0</v>
      </c>
      <c r="B141" s="128" t="n">
        <f aca="false">ExportRaw!$C141</f>
        <v>0</v>
      </c>
      <c r="C141" s="128" t="n">
        <f aca="false">ExportRaw!$G141</f>
        <v>0</v>
      </c>
      <c r="D141" s="128" t="str">
        <f aca="false">ExportRaw!$E141</f>
        <v/>
      </c>
      <c r="E141" s="129" t="str">
        <f aca="false">ExportRaw!$D141</f>
        <v/>
      </c>
      <c r="F141" s="128" t="str">
        <f aca="false">ExportRaw!$H141</f>
        <v/>
      </c>
      <c r="G141" s="130" t="str">
        <f aca="false">ExportRaw!$I141</f>
        <v/>
      </c>
      <c r="H141" s="128" t="str">
        <f aca="false">ExportRaw!$A141</f>
        <v/>
      </c>
      <c r="I141" s="128" t="str">
        <f aca="false">ExportRaw!$B141</f>
        <v/>
      </c>
    </row>
    <row r="142" customFormat="false" ht="15.75" hidden="false" customHeight="false" outlineLevel="0" collapsed="false">
      <c r="A142" s="128" t="n">
        <f aca="false">ExportRaw!$F142</f>
        <v>0</v>
      </c>
      <c r="B142" s="128" t="n">
        <f aca="false">ExportRaw!$C142</f>
        <v>0</v>
      </c>
      <c r="C142" s="128" t="n">
        <f aca="false">ExportRaw!$G142</f>
        <v>0</v>
      </c>
      <c r="D142" s="128" t="str">
        <f aca="false">ExportRaw!$E142</f>
        <v/>
      </c>
      <c r="E142" s="129" t="str">
        <f aca="false">ExportRaw!$D142</f>
        <v/>
      </c>
      <c r="F142" s="128" t="str">
        <f aca="false">ExportRaw!$H142</f>
        <v/>
      </c>
      <c r="G142" s="130" t="str">
        <f aca="false">ExportRaw!$I142</f>
        <v/>
      </c>
      <c r="H142" s="128" t="str">
        <f aca="false">ExportRaw!$A142</f>
        <v/>
      </c>
      <c r="I142" s="128" t="str">
        <f aca="false">ExportRaw!$B142</f>
        <v/>
      </c>
    </row>
    <row r="143" customFormat="false" ht="15.75" hidden="false" customHeight="false" outlineLevel="0" collapsed="false">
      <c r="A143" s="128" t="n">
        <f aca="false">ExportRaw!$F143</f>
        <v>0</v>
      </c>
      <c r="B143" s="128" t="n">
        <f aca="false">ExportRaw!$C143</f>
        <v>0</v>
      </c>
      <c r="C143" s="128" t="n">
        <f aca="false">ExportRaw!$G143</f>
        <v>0</v>
      </c>
      <c r="D143" s="128" t="str">
        <f aca="false">ExportRaw!$E143</f>
        <v/>
      </c>
      <c r="E143" s="129" t="str">
        <f aca="false">ExportRaw!$D143</f>
        <v/>
      </c>
      <c r="F143" s="128" t="str">
        <f aca="false">ExportRaw!$H143</f>
        <v/>
      </c>
      <c r="G143" s="130" t="str">
        <f aca="false">ExportRaw!$I143</f>
        <v/>
      </c>
      <c r="H143" s="128" t="str">
        <f aca="false">ExportRaw!$A143</f>
        <v/>
      </c>
      <c r="I143" s="128" t="str">
        <f aca="false">ExportRaw!$B143</f>
        <v/>
      </c>
    </row>
    <row r="144" customFormat="false" ht="15.75" hidden="false" customHeight="false" outlineLevel="0" collapsed="false">
      <c r="A144" s="128" t="n">
        <f aca="false">ExportRaw!$F144</f>
        <v>0</v>
      </c>
      <c r="B144" s="128" t="n">
        <f aca="false">ExportRaw!$C144</f>
        <v>0</v>
      </c>
      <c r="C144" s="128" t="n">
        <f aca="false">ExportRaw!$G144</f>
        <v>0</v>
      </c>
      <c r="D144" s="128" t="str">
        <f aca="false">ExportRaw!$E144</f>
        <v/>
      </c>
      <c r="E144" s="129" t="str">
        <f aca="false">ExportRaw!$D144</f>
        <v/>
      </c>
      <c r="F144" s="128" t="str">
        <f aca="false">ExportRaw!$H144</f>
        <v/>
      </c>
      <c r="G144" s="130" t="str">
        <f aca="false">ExportRaw!$I144</f>
        <v/>
      </c>
      <c r="H144" s="128" t="str">
        <f aca="false">ExportRaw!$A144</f>
        <v/>
      </c>
      <c r="I144" s="128" t="str">
        <f aca="false">ExportRaw!$B144</f>
        <v/>
      </c>
    </row>
    <row r="145" customFormat="false" ht="15.75" hidden="false" customHeight="false" outlineLevel="0" collapsed="false">
      <c r="A145" s="128" t="n">
        <f aca="false">ExportRaw!$F145</f>
        <v>0</v>
      </c>
      <c r="B145" s="128" t="n">
        <f aca="false">ExportRaw!$C145</f>
        <v>0</v>
      </c>
      <c r="C145" s="128" t="n">
        <f aca="false">ExportRaw!$G145</f>
        <v>0</v>
      </c>
      <c r="D145" s="128" t="str">
        <f aca="false">ExportRaw!$E145</f>
        <v/>
      </c>
      <c r="E145" s="129" t="str">
        <f aca="false">ExportRaw!$D145</f>
        <v/>
      </c>
      <c r="F145" s="128" t="str">
        <f aca="false">ExportRaw!$H145</f>
        <v/>
      </c>
      <c r="G145" s="130" t="str">
        <f aca="false">ExportRaw!$I145</f>
        <v/>
      </c>
      <c r="H145" s="128" t="str">
        <f aca="false">ExportRaw!$A145</f>
        <v/>
      </c>
      <c r="I145" s="128" t="str">
        <f aca="false">ExportRaw!$B145</f>
        <v/>
      </c>
    </row>
    <row r="146" customFormat="false" ht="15.75" hidden="false" customHeight="false" outlineLevel="0" collapsed="false">
      <c r="A146" s="128" t="n">
        <f aca="false">ExportRaw!$F146</f>
        <v>0</v>
      </c>
      <c r="B146" s="128" t="n">
        <f aca="false">ExportRaw!$C146</f>
        <v>0</v>
      </c>
      <c r="C146" s="128" t="n">
        <f aca="false">ExportRaw!$G146</f>
        <v>0</v>
      </c>
      <c r="D146" s="128" t="str">
        <f aca="false">ExportRaw!$E146</f>
        <v/>
      </c>
      <c r="E146" s="129" t="str">
        <f aca="false">ExportRaw!$D146</f>
        <v/>
      </c>
      <c r="F146" s="128" t="str">
        <f aca="false">ExportRaw!$H146</f>
        <v/>
      </c>
      <c r="G146" s="130" t="str">
        <f aca="false">ExportRaw!$I146</f>
        <v/>
      </c>
      <c r="H146" s="128" t="str">
        <f aca="false">ExportRaw!$A146</f>
        <v/>
      </c>
      <c r="I146" s="128" t="str">
        <f aca="false">ExportRaw!$B146</f>
        <v/>
      </c>
    </row>
    <row r="147" customFormat="false" ht="15.75" hidden="false" customHeight="false" outlineLevel="0" collapsed="false">
      <c r="A147" s="128" t="n">
        <f aca="false">ExportRaw!$F147</f>
        <v>0</v>
      </c>
      <c r="B147" s="128" t="n">
        <f aca="false">ExportRaw!$C147</f>
        <v>0</v>
      </c>
      <c r="C147" s="128" t="n">
        <f aca="false">ExportRaw!$G147</f>
        <v>0</v>
      </c>
      <c r="D147" s="128" t="str">
        <f aca="false">ExportRaw!$E147</f>
        <v/>
      </c>
      <c r="E147" s="129" t="str">
        <f aca="false">ExportRaw!$D147</f>
        <v/>
      </c>
      <c r="F147" s="128" t="str">
        <f aca="false">ExportRaw!$H147</f>
        <v/>
      </c>
      <c r="G147" s="130" t="str">
        <f aca="false">ExportRaw!$I147</f>
        <v/>
      </c>
      <c r="H147" s="128" t="str">
        <f aca="false">ExportRaw!$A147</f>
        <v/>
      </c>
      <c r="I147" s="128" t="str">
        <f aca="false">ExportRaw!$B147</f>
        <v/>
      </c>
    </row>
    <row r="148" customFormat="false" ht="15.75" hidden="false" customHeight="false" outlineLevel="0" collapsed="false">
      <c r="A148" s="128" t="n">
        <f aca="false">ExportRaw!$F148</f>
        <v>0</v>
      </c>
      <c r="B148" s="128" t="n">
        <f aca="false">ExportRaw!$C148</f>
        <v>0</v>
      </c>
      <c r="C148" s="128" t="n">
        <f aca="false">ExportRaw!$G148</f>
        <v>0</v>
      </c>
      <c r="D148" s="128" t="str">
        <f aca="false">ExportRaw!$E148</f>
        <v/>
      </c>
      <c r="E148" s="129" t="str">
        <f aca="false">ExportRaw!$D148</f>
        <v/>
      </c>
      <c r="F148" s="128" t="str">
        <f aca="false">ExportRaw!$H148</f>
        <v/>
      </c>
      <c r="G148" s="130" t="str">
        <f aca="false">ExportRaw!$I148</f>
        <v/>
      </c>
      <c r="H148" s="128" t="str">
        <f aca="false">ExportRaw!$A148</f>
        <v/>
      </c>
      <c r="I148" s="128" t="str">
        <f aca="false">ExportRaw!$B148</f>
        <v/>
      </c>
    </row>
    <row r="149" customFormat="false" ht="15.75" hidden="false" customHeight="false" outlineLevel="0" collapsed="false">
      <c r="A149" s="128" t="n">
        <f aca="false">ExportRaw!$F149</f>
        <v>0</v>
      </c>
      <c r="B149" s="128" t="n">
        <f aca="false">ExportRaw!$C149</f>
        <v>0</v>
      </c>
      <c r="C149" s="128" t="n">
        <f aca="false">ExportRaw!$G149</f>
        <v>0</v>
      </c>
      <c r="D149" s="128" t="str">
        <f aca="false">ExportRaw!$E149</f>
        <v/>
      </c>
      <c r="E149" s="129" t="str">
        <f aca="false">ExportRaw!$D149</f>
        <v/>
      </c>
      <c r="F149" s="128" t="str">
        <f aca="false">ExportRaw!$H149</f>
        <v/>
      </c>
      <c r="G149" s="130" t="str">
        <f aca="false">ExportRaw!$I149</f>
        <v/>
      </c>
      <c r="H149" s="128" t="str">
        <f aca="false">ExportRaw!$A149</f>
        <v/>
      </c>
      <c r="I149" s="128" t="str">
        <f aca="false">ExportRaw!$B149</f>
        <v/>
      </c>
    </row>
    <row r="150" customFormat="false" ht="15.75" hidden="false" customHeight="false" outlineLevel="0" collapsed="false">
      <c r="A150" s="128" t="n">
        <f aca="false">ExportRaw!$F150</f>
        <v>0</v>
      </c>
      <c r="B150" s="128" t="n">
        <f aca="false">ExportRaw!$C150</f>
        <v>0</v>
      </c>
      <c r="C150" s="128" t="n">
        <f aca="false">ExportRaw!$G150</f>
        <v>0</v>
      </c>
      <c r="D150" s="128" t="str">
        <f aca="false">ExportRaw!$E150</f>
        <v/>
      </c>
      <c r="E150" s="129" t="str">
        <f aca="false">ExportRaw!$D150</f>
        <v/>
      </c>
      <c r="F150" s="128" t="str">
        <f aca="false">ExportRaw!$H150</f>
        <v/>
      </c>
      <c r="G150" s="130" t="str">
        <f aca="false">ExportRaw!$I150</f>
        <v/>
      </c>
      <c r="H150" s="128" t="str">
        <f aca="false">ExportRaw!$A150</f>
        <v/>
      </c>
      <c r="I150" s="128" t="str">
        <f aca="false">ExportRaw!$B150</f>
        <v/>
      </c>
    </row>
    <row r="151" customFormat="false" ht="15.75" hidden="false" customHeight="false" outlineLevel="0" collapsed="false">
      <c r="A151" s="128" t="n">
        <f aca="false">ExportRaw!$F151</f>
        <v>0</v>
      </c>
      <c r="B151" s="128" t="n">
        <f aca="false">ExportRaw!$C151</f>
        <v>0</v>
      </c>
      <c r="C151" s="128" t="n">
        <f aca="false">ExportRaw!$G151</f>
        <v>0</v>
      </c>
      <c r="D151" s="128" t="str">
        <f aca="false">ExportRaw!$E151</f>
        <v/>
      </c>
      <c r="E151" s="129" t="str">
        <f aca="false">ExportRaw!$D151</f>
        <v/>
      </c>
      <c r="F151" s="128" t="str">
        <f aca="false">ExportRaw!$H151</f>
        <v/>
      </c>
      <c r="G151" s="130" t="str">
        <f aca="false">ExportRaw!$I151</f>
        <v/>
      </c>
      <c r="H151" s="128" t="str">
        <f aca="false">ExportRaw!$A151</f>
        <v/>
      </c>
      <c r="I151" s="128" t="str">
        <f aca="false">ExportRaw!$B151</f>
        <v/>
      </c>
    </row>
    <row r="152" customFormat="false" ht="15.75" hidden="false" customHeight="false" outlineLevel="0" collapsed="false">
      <c r="A152" s="128" t="n">
        <f aca="false">ExportRaw!$F152</f>
        <v>0</v>
      </c>
      <c r="B152" s="128" t="n">
        <f aca="false">ExportRaw!$C152</f>
        <v>0</v>
      </c>
      <c r="C152" s="128" t="n">
        <f aca="false">ExportRaw!$G152</f>
        <v>0</v>
      </c>
      <c r="D152" s="128" t="str">
        <f aca="false">ExportRaw!$E152</f>
        <v/>
      </c>
      <c r="E152" s="129" t="str">
        <f aca="false">ExportRaw!$D152</f>
        <v/>
      </c>
      <c r="F152" s="128" t="str">
        <f aca="false">ExportRaw!$H152</f>
        <v/>
      </c>
      <c r="G152" s="130" t="str">
        <f aca="false">ExportRaw!$I152</f>
        <v/>
      </c>
      <c r="H152" s="128" t="str">
        <f aca="false">ExportRaw!$A152</f>
        <v/>
      </c>
      <c r="I152" s="128" t="str">
        <f aca="false">ExportRaw!$B152</f>
        <v/>
      </c>
    </row>
    <row r="153" customFormat="false" ht="15.75" hidden="false" customHeight="false" outlineLevel="0" collapsed="false">
      <c r="A153" s="128" t="n">
        <f aca="false">ExportRaw!$F153</f>
        <v>0</v>
      </c>
      <c r="B153" s="128" t="n">
        <f aca="false">ExportRaw!$C153</f>
        <v>0</v>
      </c>
      <c r="C153" s="128" t="n">
        <f aca="false">ExportRaw!$G153</f>
        <v>0</v>
      </c>
      <c r="D153" s="128" t="str">
        <f aca="false">ExportRaw!$E153</f>
        <v/>
      </c>
      <c r="E153" s="129" t="str">
        <f aca="false">ExportRaw!$D153</f>
        <v/>
      </c>
      <c r="F153" s="128" t="str">
        <f aca="false">ExportRaw!$H153</f>
        <v/>
      </c>
      <c r="G153" s="130" t="str">
        <f aca="false">ExportRaw!$I153</f>
        <v/>
      </c>
      <c r="H153" s="128" t="str">
        <f aca="false">ExportRaw!$A153</f>
        <v/>
      </c>
      <c r="I153" s="128" t="str">
        <f aca="false">ExportRaw!$B153</f>
        <v/>
      </c>
    </row>
    <row r="154" customFormat="false" ht="15.75" hidden="false" customHeight="false" outlineLevel="0" collapsed="false">
      <c r="A154" s="128" t="n">
        <f aca="false">ExportRaw!$F154</f>
        <v>0</v>
      </c>
      <c r="B154" s="128" t="n">
        <f aca="false">ExportRaw!$C154</f>
        <v>0</v>
      </c>
      <c r="C154" s="128" t="n">
        <f aca="false">ExportRaw!$G154</f>
        <v>0</v>
      </c>
      <c r="D154" s="128" t="str">
        <f aca="false">ExportRaw!$E154</f>
        <v/>
      </c>
      <c r="E154" s="129" t="str">
        <f aca="false">ExportRaw!$D154</f>
        <v/>
      </c>
      <c r="F154" s="128" t="str">
        <f aca="false">ExportRaw!$H154</f>
        <v/>
      </c>
      <c r="G154" s="130" t="str">
        <f aca="false">ExportRaw!$I154</f>
        <v/>
      </c>
      <c r="H154" s="128" t="str">
        <f aca="false">ExportRaw!$A154</f>
        <v/>
      </c>
      <c r="I154" s="128" t="str">
        <f aca="false">ExportRaw!$B154</f>
        <v/>
      </c>
    </row>
    <row r="155" customFormat="false" ht="15.75" hidden="false" customHeight="false" outlineLevel="0" collapsed="false">
      <c r="A155" s="128" t="n">
        <f aca="false">ExportRaw!$F155</f>
        <v>0</v>
      </c>
      <c r="B155" s="128" t="n">
        <f aca="false">ExportRaw!$C155</f>
        <v>0</v>
      </c>
      <c r="C155" s="128" t="n">
        <f aca="false">ExportRaw!$G155</f>
        <v>0</v>
      </c>
      <c r="D155" s="128" t="str">
        <f aca="false">ExportRaw!$E155</f>
        <v/>
      </c>
      <c r="E155" s="129" t="str">
        <f aca="false">ExportRaw!$D155</f>
        <v/>
      </c>
      <c r="F155" s="128" t="str">
        <f aca="false">ExportRaw!$H155</f>
        <v/>
      </c>
      <c r="G155" s="130" t="str">
        <f aca="false">ExportRaw!$I155</f>
        <v/>
      </c>
      <c r="H155" s="128" t="str">
        <f aca="false">ExportRaw!$A155</f>
        <v/>
      </c>
      <c r="I155" s="128" t="str">
        <f aca="false">ExportRaw!$B155</f>
        <v/>
      </c>
    </row>
    <row r="156" customFormat="false" ht="15.75" hidden="false" customHeight="false" outlineLevel="0" collapsed="false">
      <c r="A156" s="128" t="n">
        <f aca="false">ExportRaw!$F156</f>
        <v>0</v>
      </c>
      <c r="B156" s="128" t="n">
        <f aca="false">ExportRaw!$C156</f>
        <v>0</v>
      </c>
      <c r="C156" s="128" t="n">
        <f aca="false">ExportRaw!$G156</f>
        <v>0</v>
      </c>
      <c r="D156" s="128" t="str">
        <f aca="false">ExportRaw!$E156</f>
        <v/>
      </c>
      <c r="E156" s="129" t="str">
        <f aca="false">ExportRaw!$D156</f>
        <v/>
      </c>
      <c r="F156" s="128" t="str">
        <f aca="false">ExportRaw!$H156</f>
        <v/>
      </c>
      <c r="G156" s="130" t="str">
        <f aca="false">ExportRaw!$I156</f>
        <v/>
      </c>
      <c r="H156" s="128" t="str">
        <f aca="false">ExportRaw!$A156</f>
        <v/>
      </c>
      <c r="I156" s="128" t="str">
        <f aca="false">ExportRaw!$B156</f>
        <v/>
      </c>
    </row>
    <row r="157" customFormat="false" ht="15.75" hidden="false" customHeight="false" outlineLevel="0" collapsed="false">
      <c r="A157" s="128" t="n">
        <f aca="false">ExportRaw!$F157</f>
        <v>0</v>
      </c>
      <c r="B157" s="128" t="n">
        <f aca="false">ExportRaw!$C157</f>
        <v>0</v>
      </c>
      <c r="C157" s="128" t="n">
        <f aca="false">ExportRaw!$G157</f>
        <v>0</v>
      </c>
      <c r="D157" s="128" t="str">
        <f aca="false">ExportRaw!$E157</f>
        <v/>
      </c>
      <c r="E157" s="129" t="str">
        <f aca="false">ExportRaw!$D157</f>
        <v/>
      </c>
      <c r="F157" s="128" t="str">
        <f aca="false">ExportRaw!$H157</f>
        <v/>
      </c>
      <c r="G157" s="130" t="str">
        <f aca="false">ExportRaw!$I157</f>
        <v/>
      </c>
      <c r="H157" s="128" t="str">
        <f aca="false">ExportRaw!$A157</f>
        <v/>
      </c>
      <c r="I157" s="128" t="str">
        <f aca="false">ExportRaw!$B157</f>
        <v/>
      </c>
    </row>
    <row r="158" customFormat="false" ht="15.75" hidden="false" customHeight="false" outlineLevel="0" collapsed="false">
      <c r="A158" s="128" t="n">
        <f aca="false">ExportRaw!$F158</f>
        <v>0</v>
      </c>
      <c r="B158" s="128" t="n">
        <f aca="false">ExportRaw!$C158</f>
        <v>0</v>
      </c>
      <c r="C158" s="128" t="n">
        <f aca="false">ExportRaw!$G158</f>
        <v>0</v>
      </c>
      <c r="D158" s="128" t="str">
        <f aca="false">ExportRaw!$E158</f>
        <v/>
      </c>
      <c r="E158" s="129" t="str">
        <f aca="false">ExportRaw!$D158</f>
        <v/>
      </c>
      <c r="F158" s="128" t="str">
        <f aca="false">ExportRaw!$H158</f>
        <v/>
      </c>
      <c r="G158" s="130" t="str">
        <f aca="false">ExportRaw!$I158</f>
        <v/>
      </c>
      <c r="H158" s="128" t="str">
        <f aca="false">ExportRaw!$A158</f>
        <v/>
      </c>
      <c r="I158" s="128" t="str">
        <f aca="false">ExportRaw!$B158</f>
        <v/>
      </c>
    </row>
    <row r="159" customFormat="false" ht="15.75" hidden="false" customHeight="false" outlineLevel="0" collapsed="false">
      <c r="A159" s="128" t="n">
        <f aca="false">ExportRaw!$F159</f>
        <v>0</v>
      </c>
      <c r="B159" s="128" t="n">
        <f aca="false">ExportRaw!$C159</f>
        <v>0</v>
      </c>
      <c r="C159" s="128" t="n">
        <f aca="false">ExportRaw!$G159</f>
        <v>0</v>
      </c>
      <c r="D159" s="128" t="str">
        <f aca="false">ExportRaw!$E159</f>
        <v/>
      </c>
      <c r="E159" s="129" t="str">
        <f aca="false">ExportRaw!$D159</f>
        <v/>
      </c>
      <c r="F159" s="128" t="str">
        <f aca="false">ExportRaw!$H159</f>
        <v/>
      </c>
      <c r="G159" s="130" t="str">
        <f aca="false">ExportRaw!$I159</f>
        <v/>
      </c>
      <c r="H159" s="128" t="str">
        <f aca="false">ExportRaw!$A159</f>
        <v/>
      </c>
      <c r="I159" s="128" t="str">
        <f aca="false">ExportRaw!$B159</f>
        <v/>
      </c>
    </row>
    <row r="160" customFormat="false" ht="15.75" hidden="false" customHeight="false" outlineLevel="0" collapsed="false">
      <c r="A160" s="128" t="n">
        <f aca="false">ExportRaw!$F160</f>
        <v>0</v>
      </c>
      <c r="B160" s="128" t="n">
        <f aca="false">ExportRaw!$C160</f>
        <v>0</v>
      </c>
      <c r="C160" s="128" t="n">
        <f aca="false">ExportRaw!$G160</f>
        <v>0</v>
      </c>
      <c r="D160" s="128" t="str">
        <f aca="false">ExportRaw!$E160</f>
        <v/>
      </c>
      <c r="E160" s="129" t="str">
        <f aca="false">ExportRaw!$D160</f>
        <v/>
      </c>
      <c r="F160" s="128" t="str">
        <f aca="false">ExportRaw!$H160</f>
        <v/>
      </c>
      <c r="G160" s="130" t="str">
        <f aca="false">ExportRaw!$I160</f>
        <v/>
      </c>
      <c r="H160" s="128" t="str">
        <f aca="false">ExportRaw!$A160</f>
        <v/>
      </c>
      <c r="I160" s="128" t="str">
        <f aca="false">ExportRaw!$B160</f>
        <v/>
      </c>
    </row>
    <row r="161" customFormat="false" ht="15.75" hidden="false" customHeight="false" outlineLevel="0" collapsed="false">
      <c r="A161" s="128" t="n">
        <f aca="false">ExportRaw!$F161</f>
        <v>0</v>
      </c>
      <c r="B161" s="128" t="n">
        <f aca="false">ExportRaw!$C161</f>
        <v>0</v>
      </c>
      <c r="C161" s="128" t="n">
        <f aca="false">ExportRaw!$G161</f>
        <v>0</v>
      </c>
      <c r="D161" s="128" t="str">
        <f aca="false">ExportRaw!$E161</f>
        <v/>
      </c>
      <c r="E161" s="129" t="str">
        <f aca="false">ExportRaw!$D161</f>
        <v/>
      </c>
      <c r="F161" s="128" t="str">
        <f aca="false">ExportRaw!$H161</f>
        <v/>
      </c>
      <c r="G161" s="130" t="str">
        <f aca="false">ExportRaw!$I161</f>
        <v/>
      </c>
      <c r="H161" s="128" t="str">
        <f aca="false">ExportRaw!$A161</f>
        <v/>
      </c>
      <c r="I161" s="128" t="str">
        <f aca="false">ExportRaw!$B161</f>
        <v/>
      </c>
    </row>
    <row r="162" customFormat="false" ht="15.75" hidden="false" customHeight="false" outlineLevel="0" collapsed="false">
      <c r="A162" s="128" t="n">
        <f aca="false">ExportRaw!$F162</f>
        <v>0</v>
      </c>
      <c r="B162" s="128" t="n">
        <f aca="false">ExportRaw!$C162</f>
        <v>0</v>
      </c>
      <c r="C162" s="128" t="n">
        <f aca="false">ExportRaw!$G162</f>
        <v>0</v>
      </c>
      <c r="D162" s="128" t="str">
        <f aca="false">ExportRaw!$E162</f>
        <v/>
      </c>
      <c r="E162" s="129" t="str">
        <f aca="false">ExportRaw!$D162</f>
        <v/>
      </c>
      <c r="F162" s="128" t="str">
        <f aca="false">ExportRaw!$H162</f>
        <v/>
      </c>
      <c r="G162" s="130" t="str">
        <f aca="false">ExportRaw!$I162</f>
        <v/>
      </c>
      <c r="H162" s="128" t="str">
        <f aca="false">ExportRaw!$A162</f>
        <v/>
      </c>
      <c r="I162" s="128" t="str">
        <f aca="false">ExportRaw!$B162</f>
        <v/>
      </c>
    </row>
    <row r="163" customFormat="false" ht="15.75" hidden="false" customHeight="false" outlineLevel="0" collapsed="false">
      <c r="A163" s="128" t="n">
        <f aca="false">ExportRaw!$F163</f>
        <v>0</v>
      </c>
      <c r="B163" s="128" t="n">
        <f aca="false">ExportRaw!$C163</f>
        <v>0</v>
      </c>
      <c r="C163" s="128" t="n">
        <f aca="false">ExportRaw!$G163</f>
        <v>0</v>
      </c>
      <c r="D163" s="128" t="str">
        <f aca="false">ExportRaw!$E163</f>
        <v/>
      </c>
      <c r="E163" s="129" t="str">
        <f aca="false">ExportRaw!$D163</f>
        <v/>
      </c>
      <c r="F163" s="128" t="str">
        <f aca="false">ExportRaw!$H163</f>
        <v/>
      </c>
      <c r="G163" s="130" t="str">
        <f aca="false">ExportRaw!$I163</f>
        <v/>
      </c>
      <c r="H163" s="128" t="str">
        <f aca="false">ExportRaw!$A163</f>
        <v/>
      </c>
      <c r="I163" s="128" t="str">
        <f aca="false">ExportRaw!$B163</f>
        <v/>
      </c>
    </row>
    <row r="164" customFormat="false" ht="15.75" hidden="false" customHeight="false" outlineLevel="0" collapsed="false">
      <c r="A164" s="128" t="n">
        <f aca="false">ExportRaw!$F164</f>
        <v>0</v>
      </c>
      <c r="B164" s="128" t="n">
        <f aca="false">ExportRaw!$C164</f>
        <v>0</v>
      </c>
      <c r="C164" s="128" t="n">
        <f aca="false">ExportRaw!$G164</f>
        <v>0</v>
      </c>
      <c r="D164" s="128" t="str">
        <f aca="false">ExportRaw!$E164</f>
        <v/>
      </c>
      <c r="E164" s="129" t="str">
        <f aca="false">ExportRaw!$D164</f>
        <v/>
      </c>
      <c r="F164" s="128" t="str">
        <f aca="false">ExportRaw!$H164</f>
        <v/>
      </c>
      <c r="G164" s="130" t="str">
        <f aca="false">ExportRaw!$I164</f>
        <v/>
      </c>
      <c r="H164" s="128" t="str">
        <f aca="false">ExportRaw!$A164</f>
        <v/>
      </c>
      <c r="I164" s="128" t="str">
        <f aca="false">ExportRaw!$B164</f>
        <v/>
      </c>
    </row>
    <row r="165" customFormat="false" ht="15.75" hidden="false" customHeight="false" outlineLevel="0" collapsed="false">
      <c r="A165" s="128" t="n">
        <f aca="false">ExportRaw!$F165</f>
        <v>0</v>
      </c>
      <c r="B165" s="128" t="n">
        <f aca="false">ExportRaw!$C165</f>
        <v>0</v>
      </c>
      <c r="C165" s="128" t="n">
        <f aca="false">ExportRaw!$G165</f>
        <v>0</v>
      </c>
      <c r="D165" s="128" t="str">
        <f aca="false">ExportRaw!$E165</f>
        <v/>
      </c>
      <c r="E165" s="129" t="str">
        <f aca="false">ExportRaw!$D165</f>
        <v/>
      </c>
      <c r="F165" s="128" t="str">
        <f aca="false">ExportRaw!$H165</f>
        <v/>
      </c>
      <c r="G165" s="130" t="str">
        <f aca="false">ExportRaw!$I165</f>
        <v/>
      </c>
      <c r="H165" s="128" t="str">
        <f aca="false">ExportRaw!$A165</f>
        <v/>
      </c>
      <c r="I165" s="128" t="str">
        <f aca="false">ExportRaw!$B165</f>
        <v/>
      </c>
    </row>
    <row r="166" customFormat="false" ht="15.75" hidden="false" customHeight="false" outlineLevel="0" collapsed="false">
      <c r="A166" s="128" t="n">
        <f aca="false">ExportRaw!$F166</f>
        <v>0</v>
      </c>
      <c r="B166" s="128" t="n">
        <f aca="false">ExportRaw!$C166</f>
        <v>0</v>
      </c>
      <c r="C166" s="128" t="n">
        <f aca="false">ExportRaw!$G166</f>
        <v>0</v>
      </c>
      <c r="D166" s="128" t="str">
        <f aca="false">ExportRaw!$E166</f>
        <v/>
      </c>
      <c r="E166" s="129" t="str">
        <f aca="false">ExportRaw!$D166</f>
        <v/>
      </c>
      <c r="F166" s="128" t="str">
        <f aca="false">ExportRaw!$H166</f>
        <v/>
      </c>
      <c r="G166" s="130" t="str">
        <f aca="false">ExportRaw!$I166</f>
        <v/>
      </c>
      <c r="H166" s="128" t="str">
        <f aca="false">ExportRaw!$A166</f>
        <v/>
      </c>
      <c r="I166" s="128" t="str">
        <f aca="false">ExportRaw!$B166</f>
        <v/>
      </c>
    </row>
    <row r="167" customFormat="false" ht="15.75" hidden="false" customHeight="false" outlineLevel="0" collapsed="false">
      <c r="A167" s="128" t="n">
        <f aca="false">ExportRaw!$F167</f>
        <v>0</v>
      </c>
      <c r="B167" s="128" t="n">
        <f aca="false">ExportRaw!$C167</f>
        <v>0</v>
      </c>
      <c r="C167" s="128" t="n">
        <f aca="false">ExportRaw!$G167</f>
        <v>0</v>
      </c>
      <c r="D167" s="128" t="str">
        <f aca="false">ExportRaw!$E167</f>
        <v/>
      </c>
      <c r="E167" s="129" t="str">
        <f aca="false">ExportRaw!$D167</f>
        <v/>
      </c>
      <c r="F167" s="128" t="str">
        <f aca="false">ExportRaw!$H167</f>
        <v/>
      </c>
      <c r="G167" s="130" t="str">
        <f aca="false">ExportRaw!$I167</f>
        <v/>
      </c>
      <c r="H167" s="128" t="str">
        <f aca="false">ExportRaw!$A167</f>
        <v/>
      </c>
      <c r="I167" s="128" t="str">
        <f aca="false">ExportRaw!$B167</f>
        <v/>
      </c>
    </row>
    <row r="168" customFormat="false" ht="15.75" hidden="false" customHeight="false" outlineLevel="0" collapsed="false">
      <c r="A168" s="128" t="n">
        <f aca="false">ExportRaw!$F168</f>
        <v>0</v>
      </c>
      <c r="B168" s="128" t="n">
        <f aca="false">ExportRaw!$C168</f>
        <v>0</v>
      </c>
      <c r="C168" s="128" t="n">
        <f aca="false">ExportRaw!$G168</f>
        <v>0</v>
      </c>
      <c r="D168" s="128" t="str">
        <f aca="false">ExportRaw!$E168</f>
        <v/>
      </c>
      <c r="E168" s="129" t="str">
        <f aca="false">ExportRaw!$D168</f>
        <v/>
      </c>
      <c r="F168" s="128" t="str">
        <f aca="false">ExportRaw!$H168</f>
        <v/>
      </c>
      <c r="G168" s="130" t="str">
        <f aca="false">ExportRaw!$I168</f>
        <v/>
      </c>
      <c r="H168" s="128" t="str">
        <f aca="false">ExportRaw!$A168</f>
        <v/>
      </c>
      <c r="I168" s="128" t="str">
        <f aca="false">ExportRaw!$B168</f>
        <v/>
      </c>
    </row>
    <row r="169" customFormat="false" ht="15.75" hidden="false" customHeight="false" outlineLevel="0" collapsed="false">
      <c r="A169" s="128" t="n">
        <f aca="false">ExportRaw!$F169</f>
        <v>0</v>
      </c>
      <c r="B169" s="128" t="n">
        <f aca="false">ExportRaw!$C169</f>
        <v>0</v>
      </c>
      <c r="C169" s="128" t="n">
        <f aca="false">ExportRaw!$G169</f>
        <v>0</v>
      </c>
      <c r="D169" s="128" t="str">
        <f aca="false">ExportRaw!$E169</f>
        <v/>
      </c>
      <c r="E169" s="129" t="str">
        <f aca="false">ExportRaw!$D169</f>
        <v/>
      </c>
      <c r="F169" s="128" t="str">
        <f aca="false">ExportRaw!$H169</f>
        <v/>
      </c>
      <c r="G169" s="130" t="str">
        <f aca="false">ExportRaw!$I169</f>
        <v/>
      </c>
      <c r="H169" s="128" t="str">
        <f aca="false">ExportRaw!$A169</f>
        <v/>
      </c>
      <c r="I169" s="128" t="str">
        <f aca="false">ExportRaw!$B169</f>
        <v/>
      </c>
    </row>
    <row r="170" customFormat="false" ht="15.75" hidden="false" customHeight="false" outlineLevel="0" collapsed="false">
      <c r="A170" s="128" t="n">
        <f aca="false">ExportRaw!$F170</f>
        <v>0</v>
      </c>
      <c r="B170" s="128" t="n">
        <f aca="false">ExportRaw!$C170</f>
        <v>0</v>
      </c>
      <c r="C170" s="128" t="n">
        <f aca="false">ExportRaw!$G170</f>
        <v>0</v>
      </c>
      <c r="D170" s="128" t="str">
        <f aca="false">ExportRaw!$E170</f>
        <v/>
      </c>
      <c r="E170" s="129" t="str">
        <f aca="false">ExportRaw!$D170</f>
        <v/>
      </c>
      <c r="F170" s="128" t="str">
        <f aca="false">ExportRaw!$H170</f>
        <v/>
      </c>
      <c r="G170" s="130" t="str">
        <f aca="false">ExportRaw!$I170</f>
        <v/>
      </c>
      <c r="H170" s="128" t="str">
        <f aca="false">ExportRaw!$A170</f>
        <v/>
      </c>
      <c r="I170" s="128" t="str">
        <f aca="false">ExportRaw!$B170</f>
        <v/>
      </c>
    </row>
    <row r="171" customFormat="false" ht="15.75" hidden="false" customHeight="false" outlineLevel="0" collapsed="false">
      <c r="A171" s="128" t="n">
        <f aca="false">ExportRaw!$F171</f>
        <v>0</v>
      </c>
      <c r="B171" s="128" t="n">
        <f aca="false">ExportRaw!$C171</f>
        <v>0</v>
      </c>
      <c r="C171" s="128" t="n">
        <f aca="false">ExportRaw!$G171</f>
        <v>0</v>
      </c>
      <c r="D171" s="128" t="str">
        <f aca="false">ExportRaw!$E171</f>
        <v/>
      </c>
      <c r="E171" s="129" t="str">
        <f aca="false">ExportRaw!$D171</f>
        <v/>
      </c>
      <c r="F171" s="128" t="str">
        <f aca="false">ExportRaw!$H171</f>
        <v/>
      </c>
      <c r="G171" s="130" t="str">
        <f aca="false">ExportRaw!$I171</f>
        <v/>
      </c>
      <c r="H171" s="128" t="str">
        <f aca="false">ExportRaw!$A171</f>
        <v/>
      </c>
      <c r="I171" s="128" t="str">
        <f aca="false">ExportRaw!$B171</f>
        <v/>
      </c>
    </row>
    <row r="172" customFormat="false" ht="15.75" hidden="false" customHeight="false" outlineLevel="0" collapsed="false">
      <c r="A172" s="128" t="n">
        <f aca="false">ExportRaw!$F172</f>
        <v>0</v>
      </c>
      <c r="B172" s="128" t="n">
        <f aca="false">ExportRaw!$C172</f>
        <v>0</v>
      </c>
      <c r="C172" s="128" t="n">
        <f aca="false">ExportRaw!$G172</f>
        <v>0</v>
      </c>
      <c r="D172" s="128" t="str">
        <f aca="false">ExportRaw!$E172</f>
        <v/>
      </c>
      <c r="E172" s="129" t="str">
        <f aca="false">ExportRaw!$D172</f>
        <v/>
      </c>
      <c r="F172" s="128" t="str">
        <f aca="false">ExportRaw!$H172</f>
        <v/>
      </c>
      <c r="G172" s="130" t="str">
        <f aca="false">ExportRaw!$I172</f>
        <v/>
      </c>
      <c r="H172" s="128" t="str">
        <f aca="false">ExportRaw!$A172</f>
        <v/>
      </c>
      <c r="I172" s="128" t="str">
        <f aca="false">ExportRaw!$B172</f>
        <v/>
      </c>
    </row>
    <row r="173" customFormat="false" ht="15.75" hidden="false" customHeight="false" outlineLevel="0" collapsed="false">
      <c r="A173" s="128" t="n">
        <f aca="false">ExportRaw!$F173</f>
        <v>0</v>
      </c>
      <c r="B173" s="128" t="n">
        <f aca="false">ExportRaw!$C173</f>
        <v>0</v>
      </c>
      <c r="C173" s="128" t="n">
        <f aca="false">ExportRaw!$G173</f>
        <v>0</v>
      </c>
      <c r="D173" s="128" t="str">
        <f aca="false">ExportRaw!$E173</f>
        <v/>
      </c>
      <c r="E173" s="129" t="str">
        <f aca="false">ExportRaw!$D173</f>
        <v/>
      </c>
      <c r="F173" s="128" t="str">
        <f aca="false">ExportRaw!$H173</f>
        <v/>
      </c>
      <c r="G173" s="130" t="str">
        <f aca="false">ExportRaw!$I173</f>
        <v/>
      </c>
      <c r="H173" s="128" t="str">
        <f aca="false">ExportRaw!$A173</f>
        <v/>
      </c>
      <c r="I173" s="128" t="str">
        <f aca="false">ExportRaw!$B173</f>
        <v/>
      </c>
    </row>
    <row r="174" customFormat="false" ht="15.75" hidden="false" customHeight="false" outlineLevel="0" collapsed="false">
      <c r="A174" s="128" t="n">
        <f aca="false">ExportRaw!$F174</f>
        <v>0</v>
      </c>
      <c r="B174" s="128" t="n">
        <f aca="false">ExportRaw!$C174</f>
        <v>0</v>
      </c>
      <c r="C174" s="128" t="n">
        <f aca="false">ExportRaw!$G174</f>
        <v>0</v>
      </c>
      <c r="D174" s="128" t="str">
        <f aca="false">ExportRaw!$E174</f>
        <v/>
      </c>
      <c r="E174" s="129" t="str">
        <f aca="false">ExportRaw!$D174</f>
        <v/>
      </c>
      <c r="F174" s="128" t="str">
        <f aca="false">ExportRaw!$H174</f>
        <v/>
      </c>
      <c r="G174" s="130" t="str">
        <f aca="false">ExportRaw!$I174</f>
        <v/>
      </c>
      <c r="H174" s="128" t="str">
        <f aca="false">ExportRaw!$A174</f>
        <v/>
      </c>
      <c r="I174" s="128" t="str">
        <f aca="false">ExportRaw!$B174</f>
        <v/>
      </c>
    </row>
    <row r="175" customFormat="false" ht="15.75" hidden="false" customHeight="false" outlineLevel="0" collapsed="false">
      <c r="A175" s="128" t="n">
        <f aca="false">ExportRaw!$F175</f>
        <v>0</v>
      </c>
      <c r="B175" s="128" t="n">
        <f aca="false">ExportRaw!$C175</f>
        <v>0</v>
      </c>
      <c r="C175" s="128" t="n">
        <f aca="false">ExportRaw!$G175</f>
        <v>0</v>
      </c>
      <c r="D175" s="128" t="str">
        <f aca="false">ExportRaw!$E175</f>
        <v/>
      </c>
      <c r="E175" s="129" t="str">
        <f aca="false">ExportRaw!$D175</f>
        <v/>
      </c>
      <c r="F175" s="128" t="str">
        <f aca="false">ExportRaw!$H175</f>
        <v/>
      </c>
      <c r="G175" s="130" t="str">
        <f aca="false">ExportRaw!$I175</f>
        <v/>
      </c>
      <c r="H175" s="128" t="str">
        <f aca="false">ExportRaw!$A175</f>
        <v/>
      </c>
      <c r="I175" s="128" t="str">
        <f aca="false">ExportRaw!$B175</f>
        <v/>
      </c>
    </row>
    <row r="176" customFormat="false" ht="15.75" hidden="false" customHeight="false" outlineLevel="0" collapsed="false">
      <c r="A176" s="128" t="n">
        <f aca="false">ExportRaw!$F176</f>
        <v>0</v>
      </c>
      <c r="B176" s="128" t="n">
        <f aca="false">ExportRaw!$C176</f>
        <v>0</v>
      </c>
      <c r="C176" s="128" t="n">
        <f aca="false">ExportRaw!$G176</f>
        <v>0</v>
      </c>
      <c r="D176" s="128" t="str">
        <f aca="false">ExportRaw!$E176</f>
        <v/>
      </c>
      <c r="E176" s="129" t="str">
        <f aca="false">ExportRaw!$D176</f>
        <v/>
      </c>
      <c r="F176" s="128" t="str">
        <f aca="false">ExportRaw!$H176</f>
        <v/>
      </c>
      <c r="G176" s="130" t="str">
        <f aca="false">ExportRaw!$I176</f>
        <v/>
      </c>
      <c r="H176" s="128" t="str">
        <f aca="false">ExportRaw!$A176</f>
        <v/>
      </c>
      <c r="I176" s="128" t="str">
        <f aca="false">ExportRaw!$B176</f>
        <v/>
      </c>
    </row>
    <row r="177" customFormat="false" ht="15.75" hidden="false" customHeight="false" outlineLevel="0" collapsed="false">
      <c r="A177" s="128" t="n">
        <f aca="false">ExportRaw!$F177</f>
        <v>0</v>
      </c>
      <c r="B177" s="128" t="n">
        <f aca="false">ExportRaw!$C177</f>
        <v>0</v>
      </c>
      <c r="C177" s="128" t="n">
        <f aca="false">ExportRaw!$G177</f>
        <v>0</v>
      </c>
      <c r="D177" s="128" t="str">
        <f aca="false">ExportRaw!$E177</f>
        <v/>
      </c>
      <c r="E177" s="129" t="str">
        <f aca="false">ExportRaw!$D177</f>
        <v/>
      </c>
      <c r="F177" s="128" t="str">
        <f aca="false">ExportRaw!$H177</f>
        <v/>
      </c>
      <c r="G177" s="130" t="str">
        <f aca="false">ExportRaw!$I177</f>
        <v/>
      </c>
      <c r="H177" s="128" t="str">
        <f aca="false">ExportRaw!$A177</f>
        <v/>
      </c>
      <c r="I177" s="128" t="str">
        <f aca="false">ExportRaw!$B177</f>
        <v/>
      </c>
    </row>
    <row r="178" customFormat="false" ht="15.75" hidden="false" customHeight="false" outlineLevel="0" collapsed="false">
      <c r="A178" s="128" t="n">
        <f aca="false">ExportRaw!$F178</f>
        <v>0</v>
      </c>
      <c r="B178" s="128" t="n">
        <f aca="false">ExportRaw!$C178</f>
        <v>0</v>
      </c>
      <c r="C178" s="128" t="n">
        <f aca="false">ExportRaw!$G178</f>
        <v>0</v>
      </c>
      <c r="D178" s="128" t="str">
        <f aca="false">ExportRaw!$E178</f>
        <v/>
      </c>
      <c r="E178" s="129" t="str">
        <f aca="false">ExportRaw!$D178</f>
        <v/>
      </c>
      <c r="F178" s="128" t="str">
        <f aca="false">ExportRaw!$H178</f>
        <v/>
      </c>
      <c r="G178" s="130" t="str">
        <f aca="false">ExportRaw!$I178</f>
        <v/>
      </c>
      <c r="H178" s="128" t="str">
        <f aca="false">ExportRaw!$A178</f>
        <v/>
      </c>
      <c r="I178" s="128" t="str">
        <f aca="false">ExportRaw!$B178</f>
        <v/>
      </c>
    </row>
    <row r="179" customFormat="false" ht="15.75" hidden="false" customHeight="false" outlineLevel="0" collapsed="false">
      <c r="A179" s="128" t="n">
        <f aca="false">ExportRaw!$F179</f>
        <v>0</v>
      </c>
      <c r="B179" s="128" t="n">
        <f aca="false">ExportRaw!$C179</f>
        <v>0</v>
      </c>
      <c r="C179" s="128" t="n">
        <f aca="false">ExportRaw!$G179</f>
        <v>0</v>
      </c>
      <c r="D179" s="128" t="str">
        <f aca="false">ExportRaw!$E179</f>
        <v/>
      </c>
      <c r="E179" s="129" t="str">
        <f aca="false">ExportRaw!$D179</f>
        <v/>
      </c>
      <c r="F179" s="128" t="str">
        <f aca="false">ExportRaw!$H179</f>
        <v/>
      </c>
      <c r="G179" s="130" t="str">
        <f aca="false">ExportRaw!$I179</f>
        <v/>
      </c>
      <c r="H179" s="128" t="str">
        <f aca="false">ExportRaw!$A179</f>
        <v/>
      </c>
      <c r="I179" s="128" t="str">
        <f aca="false">ExportRaw!$B179</f>
        <v/>
      </c>
    </row>
    <row r="180" customFormat="false" ht="15.75" hidden="false" customHeight="false" outlineLevel="0" collapsed="false">
      <c r="A180" s="128" t="n">
        <f aca="false">ExportRaw!$F180</f>
        <v>0</v>
      </c>
      <c r="B180" s="128" t="n">
        <f aca="false">ExportRaw!$C180</f>
        <v>0</v>
      </c>
      <c r="C180" s="128" t="n">
        <f aca="false">ExportRaw!$G180</f>
        <v>0</v>
      </c>
      <c r="D180" s="128" t="str">
        <f aca="false">ExportRaw!$E180</f>
        <v/>
      </c>
      <c r="E180" s="129" t="str">
        <f aca="false">ExportRaw!$D180</f>
        <v/>
      </c>
      <c r="F180" s="128" t="str">
        <f aca="false">ExportRaw!$H180</f>
        <v/>
      </c>
      <c r="G180" s="130" t="str">
        <f aca="false">ExportRaw!$I180</f>
        <v/>
      </c>
      <c r="H180" s="128" t="str">
        <f aca="false">ExportRaw!$A180</f>
        <v/>
      </c>
      <c r="I180" s="128" t="str">
        <f aca="false">ExportRaw!$B180</f>
        <v/>
      </c>
    </row>
    <row r="181" customFormat="false" ht="15.75" hidden="false" customHeight="false" outlineLevel="0" collapsed="false">
      <c r="A181" s="128" t="n">
        <f aca="false">ExportRaw!$F181</f>
        <v>0</v>
      </c>
      <c r="B181" s="128" t="n">
        <f aca="false">ExportRaw!$C181</f>
        <v>0</v>
      </c>
      <c r="C181" s="128" t="n">
        <f aca="false">ExportRaw!$G181</f>
        <v>0</v>
      </c>
      <c r="D181" s="128" t="str">
        <f aca="false">ExportRaw!$E181</f>
        <v/>
      </c>
      <c r="E181" s="129" t="str">
        <f aca="false">ExportRaw!$D181</f>
        <v/>
      </c>
      <c r="F181" s="128" t="str">
        <f aca="false">ExportRaw!$H181</f>
        <v/>
      </c>
      <c r="G181" s="130" t="str">
        <f aca="false">ExportRaw!$I181</f>
        <v/>
      </c>
      <c r="H181" s="128" t="str">
        <f aca="false">ExportRaw!$A181</f>
        <v/>
      </c>
      <c r="I181" s="128" t="str">
        <f aca="false">ExportRaw!$B181</f>
        <v/>
      </c>
    </row>
    <row r="182" customFormat="false" ht="15.75" hidden="false" customHeight="false" outlineLevel="0" collapsed="false">
      <c r="A182" s="128" t="n">
        <f aca="false">ExportRaw!$F182</f>
        <v>0</v>
      </c>
      <c r="B182" s="128" t="n">
        <f aca="false">ExportRaw!$C182</f>
        <v>0</v>
      </c>
      <c r="C182" s="128" t="n">
        <f aca="false">ExportRaw!$G182</f>
        <v>0</v>
      </c>
      <c r="D182" s="128" t="str">
        <f aca="false">ExportRaw!$E182</f>
        <v/>
      </c>
      <c r="E182" s="129" t="str">
        <f aca="false">ExportRaw!$D182</f>
        <v/>
      </c>
      <c r="F182" s="128" t="str">
        <f aca="false">ExportRaw!$H182</f>
        <v/>
      </c>
      <c r="G182" s="130" t="str">
        <f aca="false">ExportRaw!$I182</f>
        <v/>
      </c>
      <c r="H182" s="128" t="str">
        <f aca="false">ExportRaw!$A182</f>
        <v/>
      </c>
      <c r="I182" s="128" t="str">
        <f aca="false">ExportRaw!$B182</f>
        <v/>
      </c>
    </row>
    <row r="183" customFormat="false" ht="15.75" hidden="false" customHeight="false" outlineLevel="0" collapsed="false">
      <c r="A183" s="128" t="n">
        <f aca="false">ExportRaw!$F183</f>
        <v>0</v>
      </c>
      <c r="B183" s="128" t="n">
        <f aca="false">ExportRaw!$C183</f>
        <v>0</v>
      </c>
      <c r="C183" s="128" t="n">
        <f aca="false">ExportRaw!$G183</f>
        <v>0</v>
      </c>
      <c r="D183" s="128" t="str">
        <f aca="false">ExportRaw!$E183</f>
        <v/>
      </c>
      <c r="E183" s="129" t="str">
        <f aca="false">ExportRaw!$D183</f>
        <v/>
      </c>
      <c r="F183" s="128" t="str">
        <f aca="false">ExportRaw!$H183</f>
        <v/>
      </c>
      <c r="G183" s="130" t="str">
        <f aca="false">ExportRaw!$I183</f>
        <v/>
      </c>
      <c r="H183" s="128" t="str">
        <f aca="false">ExportRaw!$A183</f>
        <v/>
      </c>
      <c r="I183" s="128" t="str">
        <f aca="false">ExportRaw!$B183</f>
        <v/>
      </c>
    </row>
    <row r="184" customFormat="false" ht="15.75" hidden="false" customHeight="false" outlineLevel="0" collapsed="false">
      <c r="A184" s="128" t="n">
        <f aca="false">ExportRaw!$F184</f>
        <v>0</v>
      </c>
      <c r="B184" s="128" t="n">
        <f aca="false">ExportRaw!$C184</f>
        <v>0</v>
      </c>
      <c r="C184" s="128" t="n">
        <f aca="false">ExportRaw!$G184</f>
        <v>0</v>
      </c>
      <c r="D184" s="128" t="str">
        <f aca="false">ExportRaw!$E184</f>
        <v/>
      </c>
      <c r="E184" s="129" t="str">
        <f aca="false">ExportRaw!$D184</f>
        <v/>
      </c>
      <c r="F184" s="128" t="str">
        <f aca="false">ExportRaw!$H184</f>
        <v/>
      </c>
      <c r="G184" s="130" t="str">
        <f aca="false">ExportRaw!$I184</f>
        <v/>
      </c>
      <c r="H184" s="128" t="str">
        <f aca="false">ExportRaw!$A184</f>
        <v/>
      </c>
      <c r="I184" s="128" t="str">
        <f aca="false">ExportRaw!$B184</f>
        <v/>
      </c>
    </row>
    <row r="185" customFormat="false" ht="15.75" hidden="false" customHeight="false" outlineLevel="0" collapsed="false">
      <c r="A185" s="128" t="n">
        <f aca="false">ExportRaw!$F185</f>
        <v>0</v>
      </c>
      <c r="B185" s="128" t="n">
        <f aca="false">ExportRaw!$C185</f>
        <v>0</v>
      </c>
      <c r="C185" s="128" t="n">
        <f aca="false">ExportRaw!$G185</f>
        <v>0</v>
      </c>
      <c r="D185" s="128" t="str">
        <f aca="false">ExportRaw!$E185</f>
        <v/>
      </c>
      <c r="E185" s="129" t="str">
        <f aca="false">ExportRaw!$D185</f>
        <v/>
      </c>
      <c r="F185" s="128" t="str">
        <f aca="false">ExportRaw!$H185</f>
        <v/>
      </c>
      <c r="G185" s="130" t="str">
        <f aca="false">ExportRaw!$I185</f>
        <v/>
      </c>
      <c r="H185" s="128" t="str">
        <f aca="false">ExportRaw!$A185</f>
        <v/>
      </c>
      <c r="I185" s="128" t="str">
        <f aca="false">ExportRaw!$B185</f>
        <v/>
      </c>
    </row>
    <row r="186" customFormat="false" ht="15.75" hidden="false" customHeight="false" outlineLevel="0" collapsed="false">
      <c r="A186" s="128" t="n">
        <f aca="false">ExportRaw!$F186</f>
        <v>0</v>
      </c>
      <c r="B186" s="128" t="n">
        <f aca="false">ExportRaw!$C186</f>
        <v>0</v>
      </c>
      <c r="C186" s="128" t="n">
        <f aca="false">ExportRaw!$G186</f>
        <v>0</v>
      </c>
      <c r="D186" s="128" t="str">
        <f aca="false">ExportRaw!$E186</f>
        <v/>
      </c>
      <c r="E186" s="129" t="str">
        <f aca="false">ExportRaw!$D186</f>
        <v/>
      </c>
      <c r="F186" s="128" t="str">
        <f aca="false">ExportRaw!$H186</f>
        <v/>
      </c>
      <c r="G186" s="130" t="str">
        <f aca="false">ExportRaw!$I186</f>
        <v/>
      </c>
      <c r="H186" s="128" t="str">
        <f aca="false">ExportRaw!$A186</f>
        <v/>
      </c>
      <c r="I186" s="128" t="str">
        <f aca="false">ExportRaw!$B186</f>
        <v/>
      </c>
    </row>
    <row r="187" customFormat="false" ht="15.75" hidden="false" customHeight="false" outlineLevel="0" collapsed="false">
      <c r="A187" s="128" t="n">
        <f aca="false">ExportRaw!$F187</f>
        <v>0</v>
      </c>
      <c r="B187" s="128" t="n">
        <f aca="false">ExportRaw!$C187</f>
        <v>0</v>
      </c>
      <c r="C187" s="128" t="n">
        <f aca="false">ExportRaw!$G187</f>
        <v>0</v>
      </c>
      <c r="D187" s="128" t="str">
        <f aca="false">ExportRaw!$E187</f>
        <v/>
      </c>
      <c r="E187" s="129" t="str">
        <f aca="false">ExportRaw!$D187</f>
        <v/>
      </c>
      <c r="F187" s="128" t="str">
        <f aca="false">ExportRaw!$H187</f>
        <v/>
      </c>
      <c r="G187" s="130" t="str">
        <f aca="false">ExportRaw!$I187</f>
        <v/>
      </c>
      <c r="H187" s="128" t="str">
        <f aca="false">ExportRaw!$A187</f>
        <v/>
      </c>
      <c r="I187" s="128" t="str">
        <f aca="false">ExportRaw!$B187</f>
        <v/>
      </c>
    </row>
    <row r="188" customFormat="false" ht="15.75" hidden="false" customHeight="false" outlineLevel="0" collapsed="false">
      <c r="A188" s="128" t="n">
        <f aca="false">ExportRaw!$F188</f>
        <v>0</v>
      </c>
      <c r="B188" s="128" t="n">
        <f aca="false">ExportRaw!$C188</f>
        <v>0</v>
      </c>
      <c r="C188" s="128" t="n">
        <f aca="false">ExportRaw!$G188</f>
        <v>0</v>
      </c>
      <c r="D188" s="128" t="str">
        <f aca="false">ExportRaw!$E188</f>
        <v/>
      </c>
      <c r="E188" s="129" t="str">
        <f aca="false">ExportRaw!$D188</f>
        <v/>
      </c>
      <c r="F188" s="128" t="str">
        <f aca="false">ExportRaw!$H188</f>
        <v/>
      </c>
      <c r="G188" s="130" t="str">
        <f aca="false">ExportRaw!$I188</f>
        <v/>
      </c>
      <c r="H188" s="128" t="str">
        <f aca="false">ExportRaw!$A188</f>
        <v/>
      </c>
      <c r="I188" s="128" t="str">
        <f aca="false">ExportRaw!$B188</f>
        <v/>
      </c>
    </row>
    <row r="189" customFormat="false" ht="15.75" hidden="false" customHeight="false" outlineLevel="0" collapsed="false">
      <c r="A189" s="128" t="n">
        <f aca="false">ExportRaw!$F189</f>
        <v>0</v>
      </c>
      <c r="B189" s="128" t="n">
        <f aca="false">ExportRaw!$C189</f>
        <v>0</v>
      </c>
      <c r="C189" s="128" t="n">
        <f aca="false">ExportRaw!$G189</f>
        <v>0</v>
      </c>
      <c r="D189" s="128" t="str">
        <f aca="false">ExportRaw!$E189</f>
        <v/>
      </c>
      <c r="E189" s="129" t="str">
        <f aca="false">ExportRaw!$D189</f>
        <v/>
      </c>
      <c r="F189" s="128" t="str">
        <f aca="false">ExportRaw!$H189</f>
        <v/>
      </c>
      <c r="G189" s="130" t="str">
        <f aca="false">ExportRaw!$I189</f>
        <v/>
      </c>
      <c r="H189" s="128" t="str">
        <f aca="false">ExportRaw!$A189</f>
        <v/>
      </c>
      <c r="I189" s="128" t="str">
        <f aca="false">ExportRaw!$B189</f>
        <v/>
      </c>
    </row>
    <row r="190" customFormat="false" ht="15.75" hidden="false" customHeight="false" outlineLevel="0" collapsed="false">
      <c r="A190" s="128" t="n">
        <f aca="false">ExportRaw!$F190</f>
        <v>0</v>
      </c>
      <c r="B190" s="128" t="n">
        <f aca="false">ExportRaw!$C190</f>
        <v>0</v>
      </c>
      <c r="C190" s="128" t="n">
        <f aca="false">ExportRaw!$G190</f>
        <v>0</v>
      </c>
      <c r="D190" s="128" t="str">
        <f aca="false">ExportRaw!$E190</f>
        <v/>
      </c>
      <c r="E190" s="129" t="str">
        <f aca="false">ExportRaw!$D190</f>
        <v/>
      </c>
      <c r="F190" s="128" t="str">
        <f aca="false">ExportRaw!$H190</f>
        <v/>
      </c>
      <c r="G190" s="130" t="str">
        <f aca="false">ExportRaw!$I190</f>
        <v/>
      </c>
      <c r="H190" s="128" t="str">
        <f aca="false">ExportRaw!$A190</f>
        <v/>
      </c>
      <c r="I190" s="128" t="str">
        <f aca="false">ExportRaw!$B190</f>
        <v/>
      </c>
    </row>
    <row r="191" customFormat="false" ht="15.75" hidden="false" customHeight="false" outlineLevel="0" collapsed="false">
      <c r="A191" s="128" t="n">
        <f aca="false">ExportRaw!$F191</f>
        <v>0</v>
      </c>
      <c r="B191" s="128" t="n">
        <f aca="false">ExportRaw!$C191</f>
        <v>0</v>
      </c>
      <c r="C191" s="128" t="n">
        <f aca="false">ExportRaw!$G191</f>
        <v>0</v>
      </c>
      <c r="D191" s="128" t="str">
        <f aca="false">ExportRaw!$E191</f>
        <v/>
      </c>
      <c r="E191" s="129" t="str">
        <f aca="false">ExportRaw!$D191</f>
        <v/>
      </c>
      <c r="F191" s="128" t="str">
        <f aca="false">ExportRaw!$H191</f>
        <v/>
      </c>
      <c r="G191" s="130" t="str">
        <f aca="false">ExportRaw!$I191</f>
        <v/>
      </c>
      <c r="H191" s="128" t="str">
        <f aca="false">ExportRaw!$A191</f>
        <v/>
      </c>
      <c r="I191" s="128" t="str">
        <f aca="false">ExportRaw!$B191</f>
        <v/>
      </c>
    </row>
    <row r="192" customFormat="false" ht="15.75" hidden="false" customHeight="false" outlineLevel="0" collapsed="false">
      <c r="A192" s="128" t="n">
        <f aca="false">ExportRaw!$F192</f>
        <v>0</v>
      </c>
      <c r="B192" s="128" t="n">
        <f aca="false">ExportRaw!$C192</f>
        <v>0</v>
      </c>
      <c r="C192" s="128" t="n">
        <f aca="false">ExportRaw!$G192</f>
        <v>0</v>
      </c>
      <c r="D192" s="128" t="str">
        <f aca="false">ExportRaw!$E192</f>
        <v/>
      </c>
      <c r="E192" s="129" t="str">
        <f aca="false">ExportRaw!$D192</f>
        <v/>
      </c>
      <c r="F192" s="128" t="str">
        <f aca="false">ExportRaw!$H192</f>
        <v/>
      </c>
      <c r="G192" s="130" t="str">
        <f aca="false">ExportRaw!$I192</f>
        <v/>
      </c>
      <c r="H192" s="128" t="str">
        <f aca="false">ExportRaw!$A192</f>
        <v/>
      </c>
      <c r="I192" s="128" t="str">
        <f aca="false">ExportRaw!$B192</f>
        <v/>
      </c>
    </row>
    <row r="193" customFormat="false" ht="15.75" hidden="false" customHeight="false" outlineLevel="0" collapsed="false">
      <c r="A193" s="128" t="n">
        <f aca="false">ExportRaw!$F193</f>
        <v>0</v>
      </c>
      <c r="B193" s="128" t="n">
        <f aca="false">ExportRaw!$C193</f>
        <v>0</v>
      </c>
      <c r="C193" s="128" t="n">
        <f aca="false">ExportRaw!$G193</f>
        <v>0</v>
      </c>
      <c r="D193" s="128" t="str">
        <f aca="false">ExportRaw!$E193</f>
        <v/>
      </c>
      <c r="E193" s="129" t="str">
        <f aca="false">ExportRaw!$D193</f>
        <v/>
      </c>
      <c r="F193" s="128" t="str">
        <f aca="false">ExportRaw!$H193</f>
        <v/>
      </c>
      <c r="G193" s="130" t="str">
        <f aca="false">ExportRaw!$I193</f>
        <v/>
      </c>
      <c r="H193" s="128" t="str">
        <f aca="false">ExportRaw!$A193</f>
        <v/>
      </c>
      <c r="I193" s="128" t="str">
        <f aca="false">ExportRaw!$B193</f>
        <v/>
      </c>
    </row>
    <row r="194" customFormat="false" ht="15.75" hidden="false" customHeight="false" outlineLevel="0" collapsed="false">
      <c r="A194" s="128" t="n">
        <f aca="false">ExportRaw!$F194</f>
        <v>0</v>
      </c>
      <c r="B194" s="128" t="n">
        <f aca="false">ExportRaw!$C194</f>
        <v>0</v>
      </c>
      <c r="C194" s="128" t="n">
        <f aca="false">ExportRaw!$G194</f>
        <v>0</v>
      </c>
      <c r="D194" s="128" t="str">
        <f aca="false">ExportRaw!$E194</f>
        <v/>
      </c>
      <c r="E194" s="129" t="str">
        <f aca="false">ExportRaw!$D194</f>
        <v/>
      </c>
      <c r="F194" s="128" t="str">
        <f aca="false">ExportRaw!$H194</f>
        <v/>
      </c>
      <c r="G194" s="130" t="str">
        <f aca="false">ExportRaw!$I194</f>
        <v/>
      </c>
      <c r="H194" s="128" t="str">
        <f aca="false">ExportRaw!$A194</f>
        <v/>
      </c>
      <c r="I194" s="128" t="str">
        <f aca="false">ExportRaw!$B194</f>
        <v/>
      </c>
    </row>
    <row r="195" customFormat="false" ht="15.75" hidden="false" customHeight="false" outlineLevel="0" collapsed="false">
      <c r="A195" s="128" t="n">
        <f aca="false">ExportRaw!$F195</f>
        <v>0</v>
      </c>
      <c r="B195" s="128" t="n">
        <f aca="false">ExportRaw!$C195</f>
        <v>0</v>
      </c>
      <c r="C195" s="128" t="n">
        <f aca="false">ExportRaw!$G195</f>
        <v>0</v>
      </c>
      <c r="D195" s="128" t="str">
        <f aca="false">ExportRaw!$E195</f>
        <v/>
      </c>
      <c r="E195" s="129" t="str">
        <f aca="false">ExportRaw!$D195</f>
        <v/>
      </c>
      <c r="F195" s="128" t="str">
        <f aca="false">ExportRaw!$H195</f>
        <v/>
      </c>
      <c r="G195" s="130" t="str">
        <f aca="false">ExportRaw!$I195</f>
        <v/>
      </c>
      <c r="H195" s="128" t="str">
        <f aca="false">ExportRaw!$A195</f>
        <v/>
      </c>
      <c r="I195" s="128" t="str">
        <f aca="false">ExportRaw!$B195</f>
        <v/>
      </c>
    </row>
    <row r="196" customFormat="false" ht="15.75" hidden="false" customHeight="false" outlineLevel="0" collapsed="false">
      <c r="A196" s="128" t="n">
        <f aca="false">ExportRaw!$F196</f>
        <v>0</v>
      </c>
      <c r="B196" s="128" t="n">
        <f aca="false">ExportRaw!$C196</f>
        <v>0</v>
      </c>
      <c r="C196" s="128" t="n">
        <f aca="false">ExportRaw!$G196</f>
        <v>0</v>
      </c>
      <c r="D196" s="128" t="str">
        <f aca="false">ExportRaw!$E196</f>
        <v/>
      </c>
      <c r="E196" s="129" t="str">
        <f aca="false">ExportRaw!$D196</f>
        <v/>
      </c>
      <c r="F196" s="128" t="str">
        <f aca="false">ExportRaw!$H196</f>
        <v/>
      </c>
      <c r="G196" s="130" t="str">
        <f aca="false">ExportRaw!$I196</f>
        <v/>
      </c>
      <c r="H196" s="128" t="str">
        <f aca="false">ExportRaw!$A196</f>
        <v/>
      </c>
      <c r="I196" s="128" t="str">
        <f aca="false">ExportRaw!$B196</f>
        <v/>
      </c>
    </row>
    <row r="197" customFormat="false" ht="15.75" hidden="false" customHeight="false" outlineLevel="0" collapsed="false">
      <c r="A197" s="128" t="n">
        <f aca="false">ExportRaw!$F197</f>
        <v>0</v>
      </c>
      <c r="B197" s="128" t="n">
        <f aca="false">ExportRaw!$C197</f>
        <v>0</v>
      </c>
      <c r="C197" s="128" t="n">
        <f aca="false">ExportRaw!$G197</f>
        <v>0</v>
      </c>
      <c r="D197" s="128" t="str">
        <f aca="false">ExportRaw!$E197</f>
        <v/>
      </c>
      <c r="E197" s="129" t="str">
        <f aca="false">ExportRaw!$D197</f>
        <v/>
      </c>
      <c r="F197" s="128" t="str">
        <f aca="false">ExportRaw!$H197</f>
        <v/>
      </c>
      <c r="G197" s="130" t="str">
        <f aca="false">ExportRaw!$I197</f>
        <v/>
      </c>
      <c r="H197" s="128" t="str">
        <f aca="false">ExportRaw!$A197</f>
        <v/>
      </c>
      <c r="I197" s="128" t="str">
        <f aca="false">ExportRaw!$B197</f>
        <v/>
      </c>
    </row>
    <row r="198" customFormat="false" ht="15.75" hidden="false" customHeight="false" outlineLevel="0" collapsed="false">
      <c r="A198" s="128" t="n">
        <f aca="false">ExportRaw!$F198</f>
        <v>0</v>
      </c>
      <c r="B198" s="128" t="n">
        <f aca="false">ExportRaw!$C198</f>
        <v>0</v>
      </c>
      <c r="C198" s="128" t="n">
        <f aca="false">ExportRaw!$G198</f>
        <v>0</v>
      </c>
      <c r="D198" s="128" t="str">
        <f aca="false">ExportRaw!$E198</f>
        <v/>
      </c>
      <c r="E198" s="129" t="str">
        <f aca="false">ExportRaw!$D198</f>
        <v/>
      </c>
      <c r="F198" s="128" t="str">
        <f aca="false">ExportRaw!$H198</f>
        <v/>
      </c>
      <c r="G198" s="130" t="str">
        <f aca="false">ExportRaw!$I198</f>
        <v/>
      </c>
      <c r="H198" s="128" t="str">
        <f aca="false">ExportRaw!$A198</f>
        <v/>
      </c>
      <c r="I198" s="128" t="str">
        <f aca="false">ExportRaw!$B198</f>
        <v/>
      </c>
    </row>
    <row r="199" customFormat="false" ht="15.75" hidden="false" customHeight="false" outlineLevel="0" collapsed="false">
      <c r="A199" s="128" t="n">
        <f aca="false">ExportRaw!$F199</f>
        <v>0</v>
      </c>
      <c r="B199" s="128" t="n">
        <f aca="false">ExportRaw!$C199</f>
        <v>0</v>
      </c>
      <c r="C199" s="128" t="n">
        <f aca="false">ExportRaw!$G199</f>
        <v>0</v>
      </c>
      <c r="D199" s="128" t="str">
        <f aca="false">ExportRaw!$E199</f>
        <v/>
      </c>
      <c r="E199" s="129" t="str">
        <f aca="false">ExportRaw!$D199</f>
        <v/>
      </c>
      <c r="F199" s="128" t="str">
        <f aca="false">ExportRaw!$H199</f>
        <v/>
      </c>
      <c r="G199" s="130" t="str">
        <f aca="false">ExportRaw!$I199</f>
        <v/>
      </c>
      <c r="H199" s="128" t="str">
        <f aca="false">ExportRaw!$A199</f>
        <v/>
      </c>
      <c r="I199" s="128" t="str">
        <f aca="false">ExportRaw!$B199</f>
        <v/>
      </c>
    </row>
    <row r="200" customFormat="false" ht="15.75" hidden="false" customHeight="false" outlineLevel="0" collapsed="false">
      <c r="A200" s="128" t="n">
        <f aca="false">ExportRaw!$F200</f>
        <v>0</v>
      </c>
      <c r="B200" s="128" t="n">
        <f aca="false">ExportRaw!$C200</f>
        <v>0</v>
      </c>
      <c r="C200" s="128" t="n">
        <f aca="false">ExportRaw!$G200</f>
        <v>0</v>
      </c>
      <c r="D200" s="128" t="str">
        <f aca="false">ExportRaw!$E200</f>
        <v/>
      </c>
      <c r="E200" s="129" t="str">
        <f aca="false">ExportRaw!$D200</f>
        <v/>
      </c>
      <c r="F200" s="128" t="str">
        <f aca="false">ExportRaw!$H200</f>
        <v/>
      </c>
      <c r="G200" s="130" t="str">
        <f aca="false">ExportRaw!$I200</f>
        <v/>
      </c>
      <c r="H200" s="128" t="str">
        <f aca="false">ExportRaw!$A200</f>
        <v/>
      </c>
      <c r="I200" s="128" t="str">
        <f aca="false">ExportRaw!$B200</f>
        <v/>
      </c>
    </row>
    <row r="201" customFormat="false" ht="15.75" hidden="false" customHeight="false" outlineLevel="0" collapsed="false">
      <c r="A201" s="128" t="n">
        <f aca="false">ExportRaw!$F201</f>
        <v>0</v>
      </c>
      <c r="B201" s="128" t="n">
        <f aca="false">ExportRaw!$C201</f>
        <v>0</v>
      </c>
      <c r="C201" s="128" t="n">
        <f aca="false">ExportRaw!$G201</f>
        <v>0</v>
      </c>
      <c r="D201" s="128" t="str">
        <f aca="false">ExportRaw!$E201</f>
        <v/>
      </c>
      <c r="E201" s="129" t="str">
        <f aca="false">ExportRaw!$D201</f>
        <v/>
      </c>
      <c r="F201" s="128" t="str">
        <f aca="false">ExportRaw!$H201</f>
        <v/>
      </c>
      <c r="G201" s="130" t="str">
        <f aca="false">ExportRaw!$I201</f>
        <v/>
      </c>
      <c r="H201" s="128" t="str">
        <f aca="false">ExportRaw!$A201</f>
        <v/>
      </c>
      <c r="I201" s="128" t="str">
        <f aca="false">ExportRaw!$B201</f>
        <v/>
      </c>
    </row>
    <row r="202" customFormat="false" ht="15.75" hidden="false" customHeight="false" outlineLevel="0" collapsed="false">
      <c r="A202" s="128" t="n">
        <f aca="false">ExportRaw!$F202</f>
        <v>0</v>
      </c>
      <c r="B202" s="128" t="n">
        <f aca="false">ExportRaw!$C202</f>
        <v>0</v>
      </c>
      <c r="C202" s="128" t="n">
        <f aca="false">ExportRaw!$G202</f>
        <v>0</v>
      </c>
      <c r="D202" s="128" t="str">
        <f aca="false">ExportRaw!$E202</f>
        <v/>
      </c>
      <c r="E202" s="129" t="str">
        <f aca="false">ExportRaw!$D202</f>
        <v/>
      </c>
      <c r="F202" s="128" t="str">
        <f aca="false">ExportRaw!$H202</f>
        <v/>
      </c>
      <c r="G202" s="130" t="str">
        <f aca="false">ExportRaw!$I202</f>
        <v/>
      </c>
      <c r="H202" s="128" t="str">
        <f aca="false">ExportRaw!$A202</f>
        <v/>
      </c>
      <c r="I202" s="128" t="str">
        <f aca="false">ExportRaw!$B202</f>
        <v/>
      </c>
    </row>
    <row r="203" customFormat="false" ht="15.75" hidden="false" customHeight="false" outlineLevel="0" collapsed="false">
      <c r="A203" s="128" t="n">
        <f aca="false">ExportRaw!$F203</f>
        <v>0</v>
      </c>
      <c r="B203" s="128" t="n">
        <f aca="false">ExportRaw!$C203</f>
        <v>0</v>
      </c>
      <c r="C203" s="128" t="n">
        <f aca="false">ExportRaw!$G203</f>
        <v>0</v>
      </c>
      <c r="D203" s="128" t="str">
        <f aca="false">ExportRaw!$E203</f>
        <v/>
      </c>
      <c r="E203" s="129" t="str">
        <f aca="false">ExportRaw!$D203</f>
        <v/>
      </c>
      <c r="F203" s="128" t="str">
        <f aca="false">ExportRaw!$H203</f>
        <v/>
      </c>
      <c r="G203" s="130" t="str">
        <f aca="false">ExportRaw!$I203</f>
        <v/>
      </c>
      <c r="H203" s="128" t="str">
        <f aca="false">ExportRaw!$A203</f>
        <v/>
      </c>
      <c r="I203" s="128" t="str">
        <f aca="false">ExportRaw!$B203</f>
        <v/>
      </c>
    </row>
    <row r="204" customFormat="false" ht="15.75" hidden="false" customHeight="false" outlineLevel="0" collapsed="false">
      <c r="A204" s="128" t="n">
        <f aca="false">ExportRaw!$F204</f>
        <v>0</v>
      </c>
      <c r="B204" s="128" t="n">
        <f aca="false">ExportRaw!$C204</f>
        <v>0</v>
      </c>
      <c r="C204" s="128" t="n">
        <f aca="false">ExportRaw!$G204</f>
        <v>0</v>
      </c>
      <c r="D204" s="128" t="str">
        <f aca="false">ExportRaw!$E204</f>
        <v/>
      </c>
      <c r="E204" s="129" t="str">
        <f aca="false">ExportRaw!$D204</f>
        <v/>
      </c>
      <c r="F204" s="128" t="str">
        <f aca="false">ExportRaw!$H204</f>
        <v/>
      </c>
      <c r="G204" s="130" t="str">
        <f aca="false">ExportRaw!$I204</f>
        <v/>
      </c>
      <c r="H204" s="128" t="str">
        <f aca="false">ExportRaw!$A204</f>
        <v/>
      </c>
      <c r="I204" s="128" t="str">
        <f aca="false">ExportRaw!$B204</f>
        <v/>
      </c>
    </row>
    <row r="205" customFormat="false" ht="15.75" hidden="false" customHeight="false" outlineLevel="0" collapsed="false">
      <c r="A205" s="128" t="n">
        <f aca="false">ExportRaw!$F205</f>
        <v>0</v>
      </c>
      <c r="B205" s="128" t="n">
        <f aca="false">ExportRaw!$C205</f>
        <v>0</v>
      </c>
      <c r="C205" s="128" t="n">
        <f aca="false">ExportRaw!$G205</f>
        <v>0</v>
      </c>
      <c r="D205" s="128" t="str">
        <f aca="false">ExportRaw!$E205</f>
        <v/>
      </c>
      <c r="E205" s="129" t="str">
        <f aca="false">ExportRaw!$D205</f>
        <v/>
      </c>
      <c r="F205" s="128" t="str">
        <f aca="false">ExportRaw!$H205</f>
        <v/>
      </c>
      <c r="G205" s="130" t="str">
        <f aca="false">ExportRaw!$I205</f>
        <v/>
      </c>
      <c r="H205" s="128" t="str">
        <f aca="false">ExportRaw!$A205</f>
        <v/>
      </c>
      <c r="I205" s="128" t="str">
        <f aca="false">ExportRaw!$B205</f>
        <v/>
      </c>
    </row>
    <row r="206" customFormat="false" ht="15.75" hidden="false" customHeight="false" outlineLevel="0" collapsed="false">
      <c r="A206" s="128" t="n">
        <f aca="false">ExportRaw!$F206</f>
        <v>0</v>
      </c>
      <c r="B206" s="128" t="n">
        <f aca="false">ExportRaw!$C206</f>
        <v>0</v>
      </c>
      <c r="C206" s="128" t="n">
        <f aca="false">ExportRaw!$G206</f>
        <v>0</v>
      </c>
      <c r="D206" s="128" t="str">
        <f aca="false">ExportRaw!$E206</f>
        <v/>
      </c>
      <c r="E206" s="129" t="str">
        <f aca="false">ExportRaw!$D206</f>
        <v/>
      </c>
      <c r="F206" s="128" t="str">
        <f aca="false">ExportRaw!$H206</f>
        <v/>
      </c>
      <c r="G206" s="130" t="str">
        <f aca="false">ExportRaw!$I206</f>
        <v/>
      </c>
      <c r="H206" s="128" t="str">
        <f aca="false">ExportRaw!$A206</f>
        <v/>
      </c>
      <c r="I206" s="128" t="str">
        <f aca="false">ExportRaw!$B206</f>
        <v/>
      </c>
    </row>
    <row r="207" customFormat="false" ht="15.75" hidden="false" customHeight="false" outlineLevel="0" collapsed="false">
      <c r="A207" s="128" t="n">
        <f aca="false">ExportRaw!$F207</f>
        <v>0</v>
      </c>
      <c r="B207" s="128" t="n">
        <f aca="false">ExportRaw!$C207</f>
        <v>0</v>
      </c>
      <c r="C207" s="128" t="n">
        <f aca="false">ExportRaw!$G207</f>
        <v>0</v>
      </c>
      <c r="D207" s="128" t="str">
        <f aca="false">ExportRaw!$E207</f>
        <v/>
      </c>
      <c r="E207" s="129" t="str">
        <f aca="false">ExportRaw!$D207</f>
        <v/>
      </c>
      <c r="F207" s="128" t="str">
        <f aca="false">ExportRaw!$H207</f>
        <v/>
      </c>
      <c r="G207" s="130" t="str">
        <f aca="false">ExportRaw!$I207</f>
        <v/>
      </c>
      <c r="H207" s="128" t="str">
        <f aca="false">ExportRaw!$A207</f>
        <v/>
      </c>
      <c r="I207" s="128" t="str">
        <f aca="false">ExportRaw!$B207</f>
        <v/>
      </c>
    </row>
    <row r="208" customFormat="false" ht="15.75" hidden="false" customHeight="false" outlineLevel="0" collapsed="false">
      <c r="A208" s="128" t="n">
        <f aca="false">ExportRaw!$F208</f>
        <v>0</v>
      </c>
      <c r="B208" s="128" t="n">
        <f aca="false">ExportRaw!$C208</f>
        <v>0</v>
      </c>
      <c r="C208" s="128" t="n">
        <f aca="false">ExportRaw!$G208</f>
        <v>0</v>
      </c>
      <c r="D208" s="128" t="str">
        <f aca="false">ExportRaw!$E208</f>
        <v/>
      </c>
      <c r="E208" s="129" t="str">
        <f aca="false">ExportRaw!$D208</f>
        <v/>
      </c>
      <c r="F208" s="128" t="str">
        <f aca="false">ExportRaw!$H208</f>
        <v/>
      </c>
      <c r="G208" s="130" t="str">
        <f aca="false">ExportRaw!$I208</f>
        <v/>
      </c>
      <c r="H208" s="128" t="str">
        <f aca="false">ExportRaw!$A208</f>
        <v/>
      </c>
      <c r="I208" s="128" t="str">
        <f aca="false">ExportRaw!$B208</f>
        <v/>
      </c>
    </row>
    <row r="209" customFormat="false" ht="15.75" hidden="false" customHeight="false" outlineLevel="0" collapsed="false">
      <c r="A209" s="128" t="n">
        <f aca="false">ExportRaw!$F209</f>
        <v>0</v>
      </c>
      <c r="B209" s="128" t="n">
        <f aca="false">ExportRaw!$C209</f>
        <v>0</v>
      </c>
      <c r="C209" s="128" t="n">
        <f aca="false">ExportRaw!$G209</f>
        <v>0</v>
      </c>
      <c r="D209" s="128" t="str">
        <f aca="false">ExportRaw!$E209</f>
        <v/>
      </c>
      <c r="E209" s="129" t="str">
        <f aca="false">ExportRaw!$D209</f>
        <v/>
      </c>
      <c r="F209" s="128" t="str">
        <f aca="false">ExportRaw!$H209</f>
        <v/>
      </c>
      <c r="G209" s="130" t="str">
        <f aca="false">ExportRaw!$I209</f>
        <v/>
      </c>
      <c r="H209" s="128" t="str">
        <f aca="false">ExportRaw!$A209</f>
        <v/>
      </c>
      <c r="I209" s="128" t="str">
        <f aca="false">ExportRaw!$B209</f>
        <v/>
      </c>
    </row>
    <row r="210" customFormat="false" ht="15.75" hidden="false" customHeight="false" outlineLevel="0" collapsed="false">
      <c r="A210" s="128" t="n">
        <f aca="false">ExportRaw!$F210</f>
        <v>0</v>
      </c>
      <c r="B210" s="128" t="n">
        <f aca="false">ExportRaw!$C210</f>
        <v>0</v>
      </c>
      <c r="C210" s="128" t="n">
        <f aca="false">ExportRaw!$G210</f>
        <v>0</v>
      </c>
      <c r="D210" s="128" t="str">
        <f aca="false">ExportRaw!$E210</f>
        <v/>
      </c>
      <c r="E210" s="129" t="str">
        <f aca="false">ExportRaw!$D210</f>
        <v/>
      </c>
      <c r="F210" s="128" t="str">
        <f aca="false">ExportRaw!$H210</f>
        <v/>
      </c>
      <c r="G210" s="130" t="str">
        <f aca="false">ExportRaw!$I210</f>
        <v/>
      </c>
      <c r="H210" s="128" t="str">
        <f aca="false">ExportRaw!$A210</f>
        <v/>
      </c>
      <c r="I210" s="128" t="str">
        <f aca="false">ExportRaw!$B210</f>
        <v/>
      </c>
    </row>
    <row r="211" customFormat="false" ht="15.75" hidden="false" customHeight="false" outlineLevel="0" collapsed="false">
      <c r="A211" s="128" t="n">
        <f aca="false">ExportRaw!$F211</f>
        <v>0</v>
      </c>
      <c r="B211" s="128" t="n">
        <f aca="false">ExportRaw!$C211</f>
        <v>0</v>
      </c>
      <c r="C211" s="128" t="n">
        <f aca="false">ExportRaw!$G211</f>
        <v>0</v>
      </c>
      <c r="D211" s="128" t="str">
        <f aca="false">ExportRaw!$E211</f>
        <v/>
      </c>
      <c r="E211" s="129" t="str">
        <f aca="false">ExportRaw!$D211</f>
        <v/>
      </c>
      <c r="F211" s="128" t="str">
        <f aca="false">ExportRaw!$H211</f>
        <v/>
      </c>
      <c r="G211" s="130" t="str">
        <f aca="false">ExportRaw!$I211</f>
        <v/>
      </c>
      <c r="H211" s="128" t="str">
        <f aca="false">ExportRaw!$A211</f>
        <v/>
      </c>
      <c r="I211" s="128" t="str">
        <f aca="false">ExportRaw!$B211</f>
        <v/>
      </c>
    </row>
    <row r="212" customFormat="false" ht="15.75" hidden="false" customHeight="false" outlineLevel="0" collapsed="false">
      <c r="A212" s="128" t="n">
        <f aca="false">ExportRaw!$F212</f>
        <v>0</v>
      </c>
      <c r="B212" s="128" t="n">
        <f aca="false">ExportRaw!$C212</f>
        <v>0</v>
      </c>
      <c r="C212" s="128" t="n">
        <f aca="false">ExportRaw!$G212</f>
        <v>0</v>
      </c>
      <c r="D212" s="128" t="str">
        <f aca="false">ExportRaw!$E212</f>
        <v/>
      </c>
      <c r="E212" s="129" t="str">
        <f aca="false">ExportRaw!$D212</f>
        <v/>
      </c>
      <c r="F212" s="128" t="str">
        <f aca="false">ExportRaw!$H212</f>
        <v/>
      </c>
      <c r="G212" s="130" t="str">
        <f aca="false">ExportRaw!$I212</f>
        <v/>
      </c>
      <c r="H212" s="128" t="str">
        <f aca="false">ExportRaw!$A212</f>
        <v/>
      </c>
      <c r="I212" s="128" t="str">
        <f aca="false">ExportRaw!$B212</f>
        <v/>
      </c>
    </row>
    <row r="213" customFormat="false" ht="15.75" hidden="false" customHeight="false" outlineLevel="0" collapsed="false">
      <c r="A213" s="128" t="n">
        <f aca="false">ExportRaw!$F213</f>
        <v>0</v>
      </c>
      <c r="B213" s="128" t="n">
        <f aca="false">ExportRaw!$C213</f>
        <v>0</v>
      </c>
      <c r="C213" s="128" t="n">
        <f aca="false">ExportRaw!$G213</f>
        <v>0</v>
      </c>
      <c r="D213" s="128" t="str">
        <f aca="false">ExportRaw!$E213</f>
        <v/>
      </c>
      <c r="E213" s="129" t="str">
        <f aca="false">ExportRaw!$D213</f>
        <v/>
      </c>
      <c r="F213" s="128" t="str">
        <f aca="false">ExportRaw!$H213</f>
        <v/>
      </c>
      <c r="G213" s="130" t="str">
        <f aca="false">ExportRaw!$I213</f>
        <v/>
      </c>
      <c r="H213" s="128" t="str">
        <f aca="false">ExportRaw!$A213</f>
        <v/>
      </c>
      <c r="I213" s="128" t="str">
        <f aca="false">ExportRaw!$B213</f>
        <v/>
      </c>
    </row>
    <row r="214" customFormat="false" ht="15.75" hidden="false" customHeight="false" outlineLevel="0" collapsed="false">
      <c r="A214" s="128" t="n">
        <f aca="false">ExportRaw!$F214</f>
        <v>0</v>
      </c>
      <c r="B214" s="128" t="n">
        <f aca="false">ExportRaw!$C214</f>
        <v>0</v>
      </c>
      <c r="C214" s="128" t="n">
        <f aca="false">ExportRaw!$G214</f>
        <v>0</v>
      </c>
      <c r="D214" s="128" t="str">
        <f aca="false">ExportRaw!$E214</f>
        <v/>
      </c>
      <c r="E214" s="129" t="str">
        <f aca="false">ExportRaw!$D214</f>
        <v/>
      </c>
      <c r="F214" s="128" t="str">
        <f aca="false">ExportRaw!$H214</f>
        <v/>
      </c>
      <c r="G214" s="130" t="str">
        <f aca="false">ExportRaw!$I214</f>
        <v/>
      </c>
      <c r="H214" s="128" t="str">
        <f aca="false">ExportRaw!$A214</f>
        <v/>
      </c>
      <c r="I214" s="128" t="str">
        <f aca="false">ExportRaw!$B214</f>
        <v/>
      </c>
    </row>
    <row r="215" customFormat="false" ht="15.75" hidden="false" customHeight="false" outlineLevel="0" collapsed="false">
      <c r="A215" s="128" t="n">
        <f aca="false">ExportRaw!$F215</f>
        <v>0</v>
      </c>
      <c r="B215" s="128" t="n">
        <f aca="false">ExportRaw!$C215</f>
        <v>0</v>
      </c>
      <c r="C215" s="128" t="n">
        <f aca="false">ExportRaw!$G215</f>
        <v>0</v>
      </c>
      <c r="D215" s="128" t="str">
        <f aca="false">ExportRaw!$E215</f>
        <v/>
      </c>
      <c r="E215" s="129" t="str">
        <f aca="false">ExportRaw!$D215</f>
        <v/>
      </c>
      <c r="F215" s="128" t="str">
        <f aca="false">ExportRaw!$H215</f>
        <v/>
      </c>
      <c r="G215" s="130" t="str">
        <f aca="false">ExportRaw!$I215</f>
        <v/>
      </c>
      <c r="H215" s="128" t="str">
        <f aca="false">ExportRaw!$A215</f>
        <v/>
      </c>
      <c r="I215" s="128" t="str">
        <f aca="false">ExportRaw!$B215</f>
        <v/>
      </c>
    </row>
    <row r="216" customFormat="false" ht="15.75" hidden="false" customHeight="false" outlineLevel="0" collapsed="false">
      <c r="A216" s="128" t="n">
        <f aca="false">ExportRaw!$F216</f>
        <v>0</v>
      </c>
      <c r="B216" s="128" t="n">
        <f aca="false">ExportRaw!$C216</f>
        <v>0</v>
      </c>
      <c r="C216" s="128" t="n">
        <f aca="false">ExportRaw!$G216</f>
        <v>0</v>
      </c>
      <c r="D216" s="128" t="str">
        <f aca="false">ExportRaw!$E216</f>
        <v/>
      </c>
      <c r="E216" s="129" t="str">
        <f aca="false">ExportRaw!$D216</f>
        <v/>
      </c>
      <c r="F216" s="128" t="str">
        <f aca="false">ExportRaw!$H216</f>
        <v/>
      </c>
      <c r="G216" s="130" t="str">
        <f aca="false">ExportRaw!$I216</f>
        <v/>
      </c>
      <c r="H216" s="128" t="str">
        <f aca="false">ExportRaw!$A216</f>
        <v/>
      </c>
      <c r="I216" s="128" t="str">
        <f aca="false">ExportRaw!$B216</f>
        <v/>
      </c>
    </row>
    <row r="217" customFormat="false" ht="15.75" hidden="false" customHeight="false" outlineLevel="0" collapsed="false">
      <c r="A217" s="128" t="n">
        <f aca="false">ExportRaw!$F217</f>
        <v>0</v>
      </c>
      <c r="B217" s="128" t="n">
        <f aca="false">ExportRaw!$C217</f>
        <v>0</v>
      </c>
      <c r="C217" s="128" t="n">
        <f aca="false">ExportRaw!$G217</f>
        <v>0</v>
      </c>
      <c r="D217" s="128" t="str">
        <f aca="false">ExportRaw!$E217</f>
        <v/>
      </c>
      <c r="E217" s="129" t="str">
        <f aca="false">ExportRaw!$D217</f>
        <v/>
      </c>
      <c r="F217" s="128" t="str">
        <f aca="false">ExportRaw!$H217</f>
        <v/>
      </c>
      <c r="G217" s="130" t="str">
        <f aca="false">ExportRaw!$I217</f>
        <v/>
      </c>
      <c r="H217" s="128" t="str">
        <f aca="false">ExportRaw!$A217</f>
        <v/>
      </c>
      <c r="I217" s="128" t="str">
        <f aca="false">ExportRaw!$B217</f>
        <v/>
      </c>
    </row>
    <row r="218" customFormat="false" ht="15.75" hidden="false" customHeight="false" outlineLevel="0" collapsed="false">
      <c r="A218" s="128" t="n">
        <f aca="false">ExportRaw!$F218</f>
        <v>0</v>
      </c>
      <c r="B218" s="128" t="n">
        <f aca="false">ExportRaw!$C218</f>
        <v>0</v>
      </c>
      <c r="C218" s="128" t="n">
        <f aca="false">ExportRaw!$G218</f>
        <v>0</v>
      </c>
      <c r="D218" s="128" t="str">
        <f aca="false">ExportRaw!$E218</f>
        <v/>
      </c>
      <c r="E218" s="129" t="str">
        <f aca="false">ExportRaw!$D218</f>
        <v/>
      </c>
      <c r="F218" s="128" t="str">
        <f aca="false">ExportRaw!$H218</f>
        <v/>
      </c>
      <c r="G218" s="130" t="str">
        <f aca="false">ExportRaw!$I218</f>
        <v/>
      </c>
      <c r="H218" s="128" t="str">
        <f aca="false">ExportRaw!$A218</f>
        <v/>
      </c>
      <c r="I218" s="128" t="str">
        <f aca="false">ExportRaw!$B218</f>
        <v/>
      </c>
    </row>
    <row r="219" customFormat="false" ht="15.75" hidden="false" customHeight="false" outlineLevel="0" collapsed="false">
      <c r="A219" s="128" t="n">
        <f aca="false">ExportRaw!$F219</f>
        <v>0</v>
      </c>
      <c r="B219" s="128" t="n">
        <f aca="false">ExportRaw!$C219</f>
        <v>0</v>
      </c>
      <c r="C219" s="128" t="n">
        <f aca="false">ExportRaw!$G219</f>
        <v>0</v>
      </c>
      <c r="D219" s="128" t="str">
        <f aca="false">ExportRaw!$E219</f>
        <v/>
      </c>
      <c r="E219" s="129" t="str">
        <f aca="false">ExportRaw!$D219</f>
        <v/>
      </c>
      <c r="F219" s="128" t="str">
        <f aca="false">ExportRaw!$H219</f>
        <v/>
      </c>
      <c r="G219" s="130" t="str">
        <f aca="false">ExportRaw!$I219</f>
        <v/>
      </c>
      <c r="H219" s="128" t="str">
        <f aca="false">ExportRaw!$A219</f>
        <v/>
      </c>
      <c r="I219" s="128" t="str">
        <f aca="false">ExportRaw!$B219</f>
        <v/>
      </c>
    </row>
    <row r="220" customFormat="false" ht="15.75" hidden="false" customHeight="false" outlineLevel="0" collapsed="false">
      <c r="A220" s="128" t="n">
        <f aca="false">ExportRaw!$F220</f>
        <v>0</v>
      </c>
      <c r="B220" s="128" t="n">
        <f aca="false">ExportRaw!$C220</f>
        <v>0</v>
      </c>
      <c r="C220" s="128" t="n">
        <f aca="false">ExportRaw!$G220</f>
        <v>0</v>
      </c>
      <c r="D220" s="128" t="str">
        <f aca="false">ExportRaw!$E220</f>
        <v/>
      </c>
      <c r="E220" s="129" t="str">
        <f aca="false">ExportRaw!$D220</f>
        <v/>
      </c>
      <c r="F220" s="128" t="str">
        <f aca="false">ExportRaw!$H220</f>
        <v/>
      </c>
      <c r="G220" s="130" t="str">
        <f aca="false">ExportRaw!$I220</f>
        <v/>
      </c>
      <c r="H220" s="128" t="str">
        <f aca="false">ExportRaw!$A220</f>
        <v/>
      </c>
      <c r="I220" s="128" t="str">
        <f aca="false">ExportRaw!$B220</f>
        <v/>
      </c>
    </row>
    <row r="221" customFormat="false" ht="15.75" hidden="false" customHeight="false" outlineLevel="0" collapsed="false">
      <c r="A221" s="128" t="n">
        <f aca="false">ExportRaw!$F221</f>
        <v>0</v>
      </c>
      <c r="B221" s="128" t="n">
        <f aca="false">ExportRaw!$C221</f>
        <v>0</v>
      </c>
      <c r="C221" s="128" t="n">
        <f aca="false">ExportRaw!$G221</f>
        <v>0</v>
      </c>
      <c r="D221" s="128" t="str">
        <f aca="false">ExportRaw!$E221</f>
        <v/>
      </c>
      <c r="E221" s="129" t="str">
        <f aca="false">ExportRaw!$D221</f>
        <v/>
      </c>
      <c r="F221" s="128" t="str">
        <f aca="false">ExportRaw!$H221</f>
        <v/>
      </c>
      <c r="G221" s="130" t="str">
        <f aca="false">ExportRaw!$I221</f>
        <v/>
      </c>
      <c r="H221" s="128" t="str">
        <f aca="false">ExportRaw!$A221</f>
        <v/>
      </c>
      <c r="I221" s="128" t="str">
        <f aca="false">ExportRaw!$B221</f>
        <v/>
      </c>
    </row>
    <row r="222" customFormat="false" ht="15.75" hidden="false" customHeight="false" outlineLevel="0" collapsed="false">
      <c r="A222" s="128" t="n">
        <f aca="false">ExportRaw!$F222</f>
        <v>0</v>
      </c>
      <c r="B222" s="128" t="n">
        <f aca="false">ExportRaw!$C222</f>
        <v>0</v>
      </c>
      <c r="C222" s="128" t="n">
        <f aca="false">ExportRaw!$G222</f>
        <v>0</v>
      </c>
      <c r="D222" s="128" t="str">
        <f aca="false">ExportRaw!$E222</f>
        <v/>
      </c>
      <c r="E222" s="129" t="str">
        <f aca="false">ExportRaw!$D222</f>
        <v/>
      </c>
      <c r="F222" s="128" t="str">
        <f aca="false">ExportRaw!$H222</f>
        <v/>
      </c>
      <c r="G222" s="130" t="str">
        <f aca="false">ExportRaw!$I222</f>
        <v/>
      </c>
      <c r="H222" s="128" t="str">
        <f aca="false">ExportRaw!$A222</f>
        <v/>
      </c>
      <c r="I222" s="128" t="str">
        <f aca="false">ExportRaw!$B222</f>
        <v/>
      </c>
    </row>
    <row r="223" customFormat="false" ht="15.75" hidden="false" customHeight="false" outlineLevel="0" collapsed="false">
      <c r="A223" s="128" t="n">
        <f aca="false">ExportRaw!$F223</f>
        <v>0</v>
      </c>
      <c r="B223" s="128" t="n">
        <f aca="false">ExportRaw!$C223</f>
        <v>0</v>
      </c>
      <c r="C223" s="128" t="n">
        <f aca="false">ExportRaw!$G223</f>
        <v>0</v>
      </c>
      <c r="D223" s="128" t="str">
        <f aca="false">ExportRaw!$E223</f>
        <v/>
      </c>
      <c r="E223" s="129" t="str">
        <f aca="false">ExportRaw!$D223</f>
        <v/>
      </c>
      <c r="F223" s="128" t="str">
        <f aca="false">ExportRaw!$H223</f>
        <v/>
      </c>
      <c r="G223" s="130" t="str">
        <f aca="false">ExportRaw!$I223</f>
        <v/>
      </c>
      <c r="H223" s="128" t="str">
        <f aca="false">ExportRaw!$A223</f>
        <v/>
      </c>
      <c r="I223" s="128" t="str">
        <f aca="false">ExportRaw!$B223</f>
        <v/>
      </c>
    </row>
    <row r="224" customFormat="false" ht="15.75" hidden="false" customHeight="false" outlineLevel="0" collapsed="false">
      <c r="A224" s="128" t="n">
        <f aca="false">ExportRaw!$F224</f>
        <v>0</v>
      </c>
      <c r="B224" s="128" t="n">
        <f aca="false">ExportRaw!$C224</f>
        <v>0</v>
      </c>
      <c r="C224" s="128" t="n">
        <f aca="false">ExportRaw!$G224</f>
        <v>0</v>
      </c>
      <c r="D224" s="128" t="str">
        <f aca="false">ExportRaw!$E224</f>
        <v/>
      </c>
      <c r="E224" s="129" t="str">
        <f aca="false">ExportRaw!$D224</f>
        <v/>
      </c>
      <c r="F224" s="128" t="str">
        <f aca="false">ExportRaw!$H224</f>
        <v/>
      </c>
      <c r="G224" s="130" t="str">
        <f aca="false">ExportRaw!$I224</f>
        <v/>
      </c>
      <c r="H224" s="128" t="str">
        <f aca="false">ExportRaw!$A224</f>
        <v/>
      </c>
      <c r="I224" s="128" t="str">
        <f aca="false">ExportRaw!$B224</f>
        <v/>
      </c>
    </row>
    <row r="225" customFormat="false" ht="15.75" hidden="false" customHeight="false" outlineLevel="0" collapsed="false">
      <c r="A225" s="128" t="n">
        <f aca="false">ExportRaw!$F225</f>
        <v>0</v>
      </c>
      <c r="B225" s="128" t="n">
        <f aca="false">ExportRaw!$C225</f>
        <v>0</v>
      </c>
      <c r="C225" s="128" t="n">
        <f aca="false">ExportRaw!$G225</f>
        <v>0</v>
      </c>
      <c r="D225" s="128" t="str">
        <f aca="false">ExportRaw!$E225</f>
        <v/>
      </c>
      <c r="E225" s="129" t="str">
        <f aca="false">ExportRaw!$D225</f>
        <v/>
      </c>
      <c r="F225" s="128" t="str">
        <f aca="false">ExportRaw!$H225</f>
        <v/>
      </c>
      <c r="G225" s="130" t="str">
        <f aca="false">ExportRaw!$I225</f>
        <v/>
      </c>
      <c r="H225" s="128" t="str">
        <f aca="false">ExportRaw!$A225</f>
        <v/>
      </c>
      <c r="I225" s="128" t="str">
        <f aca="false">ExportRaw!$B225</f>
        <v/>
      </c>
    </row>
    <row r="226" customFormat="false" ht="15.75" hidden="false" customHeight="false" outlineLevel="0" collapsed="false">
      <c r="A226" s="128" t="n">
        <f aca="false">ExportRaw!$F226</f>
        <v>0</v>
      </c>
      <c r="B226" s="128" t="n">
        <f aca="false">ExportRaw!$C226</f>
        <v>0</v>
      </c>
      <c r="C226" s="128" t="n">
        <f aca="false">ExportRaw!$G226</f>
        <v>0</v>
      </c>
      <c r="D226" s="128" t="str">
        <f aca="false">ExportRaw!$E226</f>
        <v/>
      </c>
      <c r="E226" s="129" t="str">
        <f aca="false">ExportRaw!$D226</f>
        <v/>
      </c>
      <c r="F226" s="128" t="str">
        <f aca="false">ExportRaw!$H226</f>
        <v/>
      </c>
      <c r="G226" s="130" t="str">
        <f aca="false">ExportRaw!$I226</f>
        <v/>
      </c>
      <c r="H226" s="128" t="str">
        <f aca="false">ExportRaw!$A226</f>
        <v/>
      </c>
      <c r="I226" s="128" t="str">
        <f aca="false">ExportRaw!$B226</f>
        <v/>
      </c>
    </row>
    <row r="227" customFormat="false" ht="15.75" hidden="false" customHeight="false" outlineLevel="0" collapsed="false">
      <c r="A227" s="128" t="n">
        <f aca="false">ExportRaw!$F227</f>
        <v>0</v>
      </c>
      <c r="B227" s="128" t="n">
        <f aca="false">ExportRaw!$C227</f>
        <v>0</v>
      </c>
      <c r="C227" s="128" t="n">
        <f aca="false">ExportRaw!$G227</f>
        <v>0</v>
      </c>
      <c r="D227" s="128" t="str">
        <f aca="false">ExportRaw!$E227</f>
        <v/>
      </c>
      <c r="E227" s="129" t="str">
        <f aca="false">ExportRaw!$D227</f>
        <v/>
      </c>
      <c r="F227" s="128" t="str">
        <f aca="false">ExportRaw!$H227</f>
        <v/>
      </c>
      <c r="G227" s="130" t="str">
        <f aca="false">ExportRaw!$I227</f>
        <v/>
      </c>
      <c r="H227" s="128" t="str">
        <f aca="false">ExportRaw!$A227</f>
        <v/>
      </c>
      <c r="I227" s="128" t="str">
        <f aca="false">ExportRaw!$B227</f>
        <v/>
      </c>
    </row>
    <row r="228" customFormat="false" ht="15.75" hidden="false" customHeight="false" outlineLevel="0" collapsed="false">
      <c r="A228" s="128" t="n">
        <f aca="false">ExportRaw!$F228</f>
        <v>0</v>
      </c>
      <c r="B228" s="128" t="n">
        <f aca="false">ExportRaw!$C228</f>
        <v>0</v>
      </c>
      <c r="C228" s="128" t="n">
        <f aca="false">ExportRaw!$G228</f>
        <v>0</v>
      </c>
      <c r="D228" s="128" t="str">
        <f aca="false">ExportRaw!$E228</f>
        <v/>
      </c>
      <c r="E228" s="129" t="str">
        <f aca="false">ExportRaw!$D228</f>
        <v/>
      </c>
      <c r="F228" s="128" t="str">
        <f aca="false">ExportRaw!$H228</f>
        <v/>
      </c>
      <c r="G228" s="130" t="str">
        <f aca="false">ExportRaw!$I228</f>
        <v/>
      </c>
      <c r="H228" s="128" t="str">
        <f aca="false">ExportRaw!$A228</f>
        <v/>
      </c>
      <c r="I228" s="128" t="str">
        <f aca="false">ExportRaw!$B228</f>
        <v/>
      </c>
    </row>
    <row r="229" customFormat="false" ht="15.75" hidden="false" customHeight="false" outlineLevel="0" collapsed="false">
      <c r="A229" s="128" t="n">
        <f aca="false">ExportRaw!$F229</f>
        <v>0</v>
      </c>
      <c r="B229" s="128" t="n">
        <f aca="false">ExportRaw!$C229</f>
        <v>0</v>
      </c>
      <c r="C229" s="128" t="n">
        <f aca="false">ExportRaw!$G229</f>
        <v>0</v>
      </c>
      <c r="D229" s="128" t="str">
        <f aca="false">ExportRaw!$E229</f>
        <v/>
      </c>
      <c r="E229" s="129" t="str">
        <f aca="false">ExportRaw!$D229</f>
        <v/>
      </c>
      <c r="F229" s="128" t="str">
        <f aca="false">ExportRaw!$H229</f>
        <v/>
      </c>
      <c r="G229" s="130" t="str">
        <f aca="false">ExportRaw!$I229</f>
        <v/>
      </c>
      <c r="H229" s="128" t="str">
        <f aca="false">ExportRaw!$A229</f>
        <v/>
      </c>
      <c r="I229" s="128" t="str">
        <f aca="false">ExportRaw!$B229</f>
        <v/>
      </c>
    </row>
    <row r="230" customFormat="false" ht="15.75" hidden="false" customHeight="false" outlineLevel="0" collapsed="false">
      <c r="A230" s="128" t="n">
        <f aca="false">ExportRaw!$F230</f>
        <v>0</v>
      </c>
      <c r="B230" s="128" t="n">
        <f aca="false">ExportRaw!$C230</f>
        <v>0</v>
      </c>
      <c r="C230" s="128" t="n">
        <f aca="false">ExportRaw!$G230</f>
        <v>0</v>
      </c>
      <c r="D230" s="128" t="str">
        <f aca="false">ExportRaw!$E230</f>
        <v/>
      </c>
      <c r="E230" s="129" t="str">
        <f aca="false">ExportRaw!$D230</f>
        <v/>
      </c>
      <c r="F230" s="128" t="str">
        <f aca="false">ExportRaw!$H230</f>
        <v/>
      </c>
      <c r="G230" s="130" t="str">
        <f aca="false">ExportRaw!$I230</f>
        <v/>
      </c>
      <c r="H230" s="128" t="str">
        <f aca="false">ExportRaw!$A230</f>
        <v/>
      </c>
      <c r="I230" s="128" t="str">
        <f aca="false">ExportRaw!$B230</f>
        <v/>
      </c>
    </row>
    <row r="231" customFormat="false" ht="15.75" hidden="false" customHeight="false" outlineLevel="0" collapsed="false">
      <c r="A231" s="128" t="n">
        <f aca="false">ExportRaw!$F231</f>
        <v>0</v>
      </c>
      <c r="B231" s="128" t="n">
        <f aca="false">ExportRaw!$C231</f>
        <v>0</v>
      </c>
      <c r="C231" s="128" t="n">
        <f aca="false">ExportRaw!$G231</f>
        <v>0</v>
      </c>
      <c r="D231" s="128" t="str">
        <f aca="false">ExportRaw!$E231</f>
        <v/>
      </c>
      <c r="E231" s="129" t="str">
        <f aca="false">ExportRaw!$D231</f>
        <v/>
      </c>
      <c r="F231" s="128" t="str">
        <f aca="false">ExportRaw!$H231</f>
        <v/>
      </c>
      <c r="G231" s="130" t="str">
        <f aca="false">ExportRaw!$I231</f>
        <v/>
      </c>
      <c r="H231" s="128" t="str">
        <f aca="false">ExportRaw!$A231</f>
        <v/>
      </c>
      <c r="I231" s="128" t="str">
        <f aca="false">ExportRaw!$B231</f>
        <v/>
      </c>
    </row>
    <row r="232" customFormat="false" ht="15.75" hidden="false" customHeight="false" outlineLevel="0" collapsed="false">
      <c r="A232" s="128" t="n">
        <f aca="false">ExportRaw!$F232</f>
        <v>0</v>
      </c>
      <c r="B232" s="128" t="n">
        <f aca="false">ExportRaw!$C232</f>
        <v>0</v>
      </c>
      <c r="C232" s="128" t="n">
        <f aca="false">ExportRaw!$G232</f>
        <v>0</v>
      </c>
      <c r="D232" s="128" t="str">
        <f aca="false">ExportRaw!$E232</f>
        <v/>
      </c>
      <c r="E232" s="129" t="str">
        <f aca="false">ExportRaw!$D232</f>
        <v/>
      </c>
      <c r="F232" s="128" t="str">
        <f aca="false">ExportRaw!$H232</f>
        <v/>
      </c>
      <c r="G232" s="130" t="str">
        <f aca="false">ExportRaw!$I232</f>
        <v/>
      </c>
      <c r="H232" s="128" t="str">
        <f aca="false">ExportRaw!$A232</f>
        <v/>
      </c>
      <c r="I232" s="128" t="str">
        <f aca="false">ExportRaw!$B232</f>
        <v/>
      </c>
    </row>
    <row r="233" customFormat="false" ht="15.75" hidden="false" customHeight="false" outlineLevel="0" collapsed="false">
      <c r="A233" s="128" t="n">
        <f aca="false">ExportRaw!$F233</f>
        <v>0</v>
      </c>
      <c r="B233" s="128" t="n">
        <f aca="false">ExportRaw!$C233</f>
        <v>0</v>
      </c>
      <c r="C233" s="128" t="n">
        <f aca="false">ExportRaw!$G233</f>
        <v>0</v>
      </c>
      <c r="D233" s="128" t="str">
        <f aca="false">ExportRaw!$E233</f>
        <v/>
      </c>
      <c r="E233" s="129" t="str">
        <f aca="false">ExportRaw!$D233</f>
        <v/>
      </c>
      <c r="F233" s="128" t="str">
        <f aca="false">ExportRaw!$H233</f>
        <v/>
      </c>
      <c r="G233" s="130" t="str">
        <f aca="false">ExportRaw!$I233</f>
        <v/>
      </c>
      <c r="H233" s="128" t="str">
        <f aca="false">ExportRaw!$A233</f>
        <v/>
      </c>
      <c r="I233" s="128" t="str">
        <f aca="false">ExportRaw!$B233</f>
        <v/>
      </c>
    </row>
    <row r="234" customFormat="false" ht="15.75" hidden="false" customHeight="false" outlineLevel="0" collapsed="false">
      <c r="A234" s="128" t="n">
        <f aca="false">ExportRaw!$F234</f>
        <v>0</v>
      </c>
      <c r="B234" s="128" t="n">
        <f aca="false">ExportRaw!$C234</f>
        <v>0</v>
      </c>
      <c r="C234" s="128" t="n">
        <f aca="false">ExportRaw!$G234</f>
        <v>0</v>
      </c>
      <c r="D234" s="128" t="str">
        <f aca="false">ExportRaw!$E234</f>
        <v/>
      </c>
      <c r="E234" s="129" t="str">
        <f aca="false">ExportRaw!$D234</f>
        <v/>
      </c>
      <c r="F234" s="128" t="str">
        <f aca="false">ExportRaw!$H234</f>
        <v/>
      </c>
      <c r="G234" s="130" t="str">
        <f aca="false">ExportRaw!$I234</f>
        <v/>
      </c>
      <c r="H234" s="128" t="str">
        <f aca="false">ExportRaw!$A234</f>
        <v/>
      </c>
      <c r="I234" s="128" t="str">
        <f aca="false">ExportRaw!$B234</f>
        <v/>
      </c>
    </row>
    <row r="235" customFormat="false" ht="15.75" hidden="false" customHeight="false" outlineLevel="0" collapsed="false">
      <c r="A235" s="128" t="n">
        <f aca="false">ExportRaw!$F235</f>
        <v>0</v>
      </c>
      <c r="B235" s="128" t="n">
        <f aca="false">ExportRaw!$C235</f>
        <v>0</v>
      </c>
      <c r="C235" s="128" t="n">
        <f aca="false">ExportRaw!$G235</f>
        <v>0</v>
      </c>
      <c r="D235" s="128" t="str">
        <f aca="false">ExportRaw!$E235</f>
        <v/>
      </c>
      <c r="E235" s="129" t="str">
        <f aca="false">ExportRaw!$D235</f>
        <v/>
      </c>
      <c r="F235" s="128" t="str">
        <f aca="false">ExportRaw!$H235</f>
        <v/>
      </c>
      <c r="G235" s="130" t="str">
        <f aca="false">ExportRaw!$I235</f>
        <v/>
      </c>
      <c r="H235" s="128" t="str">
        <f aca="false">ExportRaw!$A235</f>
        <v/>
      </c>
      <c r="I235" s="128" t="str">
        <f aca="false">ExportRaw!$B235</f>
        <v/>
      </c>
    </row>
    <row r="236" customFormat="false" ht="15.75" hidden="false" customHeight="false" outlineLevel="0" collapsed="false">
      <c r="A236" s="128" t="n">
        <f aca="false">ExportRaw!$F236</f>
        <v>0</v>
      </c>
      <c r="B236" s="128" t="n">
        <f aca="false">ExportRaw!$C236</f>
        <v>0</v>
      </c>
      <c r="C236" s="128" t="n">
        <f aca="false">ExportRaw!$G236</f>
        <v>0</v>
      </c>
      <c r="D236" s="128" t="str">
        <f aca="false">ExportRaw!$E236</f>
        <v/>
      </c>
      <c r="E236" s="129" t="str">
        <f aca="false">ExportRaw!$D236</f>
        <v/>
      </c>
      <c r="F236" s="128" t="str">
        <f aca="false">ExportRaw!$H236</f>
        <v/>
      </c>
      <c r="G236" s="130" t="str">
        <f aca="false">ExportRaw!$I236</f>
        <v/>
      </c>
      <c r="H236" s="128" t="str">
        <f aca="false">ExportRaw!$A236</f>
        <v/>
      </c>
      <c r="I236" s="128" t="str">
        <f aca="false">ExportRaw!$B236</f>
        <v/>
      </c>
    </row>
    <row r="237" customFormat="false" ht="15.75" hidden="false" customHeight="false" outlineLevel="0" collapsed="false">
      <c r="A237" s="128" t="n">
        <f aca="false">ExportRaw!$F237</f>
        <v>0</v>
      </c>
      <c r="B237" s="128" t="n">
        <f aca="false">ExportRaw!$C237</f>
        <v>0</v>
      </c>
      <c r="C237" s="128" t="n">
        <f aca="false">ExportRaw!$G237</f>
        <v>0</v>
      </c>
      <c r="D237" s="128" t="str">
        <f aca="false">ExportRaw!$E237</f>
        <v/>
      </c>
      <c r="E237" s="129" t="str">
        <f aca="false">ExportRaw!$D237</f>
        <v/>
      </c>
      <c r="F237" s="128" t="str">
        <f aca="false">ExportRaw!$H237</f>
        <v/>
      </c>
      <c r="G237" s="130" t="str">
        <f aca="false">ExportRaw!$I237</f>
        <v/>
      </c>
      <c r="H237" s="128" t="str">
        <f aca="false">ExportRaw!$A237</f>
        <v/>
      </c>
      <c r="I237" s="128" t="str">
        <f aca="false">ExportRaw!$B237</f>
        <v/>
      </c>
    </row>
    <row r="238" customFormat="false" ht="15.75" hidden="false" customHeight="false" outlineLevel="0" collapsed="false">
      <c r="A238" s="128" t="n">
        <f aca="false">ExportRaw!$F238</f>
        <v>0</v>
      </c>
      <c r="B238" s="128" t="n">
        <f aca="false">ExportRaw!$C238</f>
        <v>0</v>
      </c>
      <c r="C238" s="128" t="n">
        <f aca="false">ExportRaw!$G238</f>
        <v>0</v>
      </c>
      <c r="D238" s="128" t="str">
        <f aca="false">ExportRaw!$E238</f>
        <v/>
      </c>
      <c r="E238" s="129" t="str">
        <f aca="false">ExportRaw!$D238</f>
        <v/>
      </c>
      <c r="F238" s="128" t="str">
        <f aca="false">ExportRaw!$H238</f>
        <v/>
      </c>
      <c r="G238" s="130" t="str">
        <f aca="false">ExportRaw!$I238</f>
        <v/>
      </c>
      <c r="H238" s="128" t="str">
        <f aca="false">ExportRaw!$A238</f>
        <v/>
      </c>
      <c r="I238" s="128" t="str">
        <f aca="false">ExportRaw!$B238</f>
        <v/>
      </c>
    </row>
    <row r="239" customFormat="false" ht="15.75" hidden="false" customHeight="false" outlineLevel="0" collapsed="false">
      <c r="A239" s="128" t="n">
        <f aca="false">ExportRaw!$F239</f>
        <v>0</v>
      </c>
      <c r="B239" s="128" t="n">
        <f aca="false">ExportRaw!$C239</f>
        <v>0</v>
      </c>
      <c r="C239" s="128" t="n">
        <f aca="false">ExportRaw!$G239</f>
        <v>0</v>
      </c>
      <c r="D239" s="128" t="str">
        <f aca="false">ExportRaw!$E239</f>
        <v/>
      </c>
      <c r="E239" s="129" t="str">
        <f aca="false">ExportRaw!$D239</f>
        <v/>
      </c>
      <c r="F239" s="128" t="str">
        <f aca="false">ExportRaw!$H239</f>
        <v/>
      </c>
      <c r="G239" s="130" t="str">
        <f aca="false">ExportRaw!$I239</f>
        <v/>
      </c>
      <c r="H239" s="128" t="str">
        <f aca="false">ExportRaw!$A239</f>
        <v/>
      </c>
      <c r="I239" s="128" t="str">
        <f aca="false">ExportRaw!$B239</f>
        <v/>
      </c>
    </row>
    <row r="240" customFormat="false" ht="15.75" hidden="false" customHeight="false" outlineLevel="0" collapsed="false">
      <c r="A240" s="128" t="n">
        <f aca="false">ExportRaw!$F240</f>
        <v>0</v>
      </c>
      <c r="B240" s="128" t="n">
        <f aca="false">ExportRaw!$C240</f>
        <v>0</v>
      </c>
      <c r="C240" s="128" t="n">
        <f aca="false">ExportRaw!$G240</f>
        <v>0</v>
      </c>
      <c r="D240" s="128" t="str">
        <f aca="false">ExportRaw!$E240</f>
        <v/>
      </c>
      <c r="E240" s="129" t="str">
        <f aca="false">ExportRaw!$D240</f>
        <v/>
      </c>
      <c r="F240" s="128" t="str">
        <f aca="false">ExportRaw!$H240</f>
        <v/>
      </c>
      <c r="G240" s="130" t="str">
        <f aca="false">ExportRaw!$I240</f>
        <v/>
      </c>
      <c r="H240" s="128" t="str">
        <f aca="false">ExportRaw!$A240</f>
        <v/>
      </c>
      <c r="I240" s="128" t="str">
        <f aca="false">ExportRaw!$B240</f>
        <v/>
      </c>
    </row>
    <row r="241" customFormat="false" ht="15.75" hidden="false" customHeight="false" outlineLevel="0" collapsed="false">
      <c r="A241" s="128" t="n">
        <f aca="false">ExportRaw!$F241</f>
        <v>0</v>
      </c>
      <c r="B241" s="128" t="n">
        <f aca="false">ExportRaw!$C241</f>
        <v>0</v>
      </c>
      <c r="C241" s="128" t="n">
        <f aca="false">ExportRaw!$G241</f>
        <v>0</v>
      </c>
      <c r="D241" s="128" t="str">
        <f aca="false">ExportRaw!$E241</f>
        <v/>
      </c>
      <c r="E241" s="129" t="str">
        <f aca="false">ExportRaw!$D241</f>
        <v/>
      </c>
      <c r="F241" s="128" t="str">
        <f aca="false">ExportRaw!$H241</f>
        <v/>
      </c>
      <c r="G241" s="130" t="str">
        <f aca="false">ExportRaw!$I241</f>
        <v/>
      </c>
      <c r="H241" s="128" t="str">
        <f aca="false">ExportRaw!$A241</f>
        <v/>
      </c>
      <c r="I241" s="128" t="str">
        <f aca="false">ExportRaw!$B241</f>
        <v/>
      </c>
    </row>
    <row r="242" customFormat="false" ht="15.75" hidden="false" customHeight="false" outlineLevel="0" collapsed="false">
      <c r="A242" s="128" t="n">
        <f aca="false">ExportRaw!$F242</f>
        <v>0</v>
      </c>
      <c r="B242" s="128" t="n">
        <f aca="false">ExportRaw!$C242</f>
        <v>0</v>
      </c>
      <c r="C242" s="128" t="n">
        <f aca="false">ExportRaw!$G242</f>
        <v>0</v>
      </c>
      <c r="D242" s="128" t="str">
        <f aca="false">ExportRaw!$E242</f>
        <v/>
      </c>
      <c r="E242" s="129" t="str">
        <f aca="false">ExportRaw!$D242</f>
        <v/>
      </c>
      <c r="F242" s="128" t="str">
        <f aca="false">ExportRaw!$H242</f>
        <v/>
      </c>
      <c r="G242" s="130" t="str">
        <f aca="false">ExportRaw!$I242</f>
        <v/>
      </c>
      <c r="H242" s="128" t="str">
        <f aca="false">ExportRaw!$A242</f>
        <v/>
      </c>
      <c r="I242" s="128" t="str">
        <f aca="false">ExportRaw!$B242</f>
        <v/>
      </c>
    </row>
    <row r="243" customFormat="false" ht="15.75" hidden="false" customHeight="false" outlineLevel="0" collapsed="false">
      <c r="A243" s="128" t="n">
        <f aca="false">ExportRaw!$F243</f>
        <v>0</v>
      </c>
      <c r="B243" s="128" t="n">
        <f aca="false">ExportRaw!$C243</f>
        <v>0</v>
      </c>
      <c r="C243" s="128" t="n">
        <f aca="false">ExportRaw!$G243</f>
        <v>0</v>
      </c>
      <c r="D243" s="128" t="str">
        <f aca="false">ExportRaw!$E243</f>
        <v/>
      </c>
      <c r="E243" s="129" t="str">
        <f aca="false">ExportRaw!$D243</f>
        <v/>
      </c>
      <c r="F243" s="128" t="str">
        <f aca="false">ExportRaw!$H243</f>
        <v/>
      </c>
      <c r="G243" s="130" t="str">
        <f aca="false">ExportRaw!$I243</f>
        <v/>
      </c>
      <c r="H243" s="128" t="str">
        <f aca="false">ExportRaw!$A243</f>
        <v/>
      </c>
      <c r="I243" s="128" t="str">
        <f aca="false">ExportRaw!$B243</f>
        <v/>
      </c>
    </row>
    <row r="244" customFormat="false" ht="15.75" hidden="false" customHeight="false" outlineLevel="0" collapsed="false">
      <c r="A244" s="128" t="n">
        <f aca="false">ExportRaw!$F244</f>
        <v>0</v>
      </c>
      <c r="B244" s="128" t="n">
        <f aca="false">ExportRaw!$C244</f>
        <v>0</v>
      </c>
      <c r="C244" s="128" t="n">
        <f aca="false">ExportRaw!$G244</f>
        <v>0</v>
      </c>
      <c r="D244" s="128" t="str">
        <f aca="false">ExportRaw!$E244</f>
        <v/>
      </c>
      <c r="E244" s="129" t="str">
        <f aca="false">ExportRaw!$D244</f>
        <v/>
      </c>
      <c r="F244" s="128" t="str">
        <f aca="false">ExportRaw!$H244</f>
        <v/>
      </c>
      <c r="G244" s="130" t="str">
        <f aca="false">ExportRaw!$I244</f>
        <v/>
      </c>
      <c r="H244" s="128" t="str">
        <f aca="false">ExportRaw!$A244</f>
        <v/>
      </c>
      <c r="I244" s="128" t="str">
        <f aca="false">ExportRaw!$B244</f>
        <v/>
      </c>
    </row>
    <row r="245" customFormat="false" ht="15.75" hidden="false" customHeight="false" outlineLevel="0" collapsed="false">
      <c r="A245" s="128" t="n">
        <f aca="false">ExportRaw!$F245</f>
        <v>0</v>
      </c>
      <c r="B245" s="128" t="n">
        <f aca="false">ExportRaw!$C245</f>
        <v>0</v>
      </c>
      <c r="C245" s="128" t="n">
        <f aca="false">ExportRaw!$G245</f>
        <v>0</v>
      </c>
      <c r="D245" s="128" t="str">
        <f aca="false">ExportRaw!$E245</f>
        <v/>
      </c>
      <c r="E245" s="129" t="str">
        <f aca="false">ExportRaw!$D245</f>
        <v/>
      </c>
      <c r="F245" s="128" t="str">
        <f aca="false">ExportRaw!$H245</f>
        <v/>
      </c>
      <c r="G245" s="130" t="str">
        <f aca="false">ExportRaw!$I245</f>
        <v/>
      </c>
      <c r="H245" s="128" t="str">
        <f aca="false">ExportRaw!$A245</f>
        <v/>
      </c>
      <c r="I245" s="128" t="str">
        <f aca="false">ExportRaw!$B245</f>
        <v/>
      </c>
    </row>
    <row r="246" customFormat="false" ht="15.75" hidden="false" customHeight="false" outlineLevel="0" collapsed="false">
      <c r="A246" s="128" t="n">
        <f aca="false">ExportRaw!$F246</f>
        <v>0</v>
      </c>
      <c r="B246" s="128" t="n">
        <f aca="false">ExportRaw!$C246</f>
        <v>0</v>
      </c>
      <c r="C246" s="128" t="n">
        <f aca="false">ExportRaw!$G246</f>
        <v>0</v>
      </c>
      <c r="D246" s="128" t="str">
        <f aca="false">ExportRaw!$E246</f>
        <v/>
      </c>
      <c r="E246" s="129" t="str">
        <f aca="false">ExportRaw!$D246</f>
        <v/>
      </c>
      <c r="F246" s="128" t="str">
        <f aca="false">ExportRaw!$H246</f>
        <v/>
      </c>
      <c r="G246" s="130" t="str">
        <f aca="false">ExportRaw!$I246</f>
        <v/>
      </c>
      <c r="H246" s="128" t="str">
        <f aca="false">ExportRaw!$A246</f>
        <v/>
      </c>
      <c r="I246" s="128" t="str">
        <f aca="false">ExportRaw!$B246</f>
        <v/>
      </c>
    </row>
    <row r="247" customFormat="false" ht="15.75" hidden="false" customHeight="false" outlineLevel="0" collapsed="false">
      <c r="A247" s="128" t="n">
        <f aca="false">ExportRaw!$F247</f>
        <v>0</v>
      </c>
      <c r="B247" s="128" t="n">
        <f aca="false">ExportRaw!$C247</f>
        <v>0</v>
      </c>
      <c r="C247" s="128" t="n">
        <f aca="false">ExportRaw!$G247</f>
        <v>0</v>
      </c>
      <c r="D247" s="128" t="str">
        <f aca="false">ExportRaw!$E247</f>
        <v/>
      </c>
      <c r="E247" s="129" t="str">
        <f aca="false">ExportRaw!$D247</f>
        <v/>
      </c>
      <c r="F247" s="128" t="str">
        <f aca="false">ExportRaw!$H247</f>
        <v/>
      </c>
      <c r="G247" s="130" t="str">
        <f aca="false">ExportRaw!$I247</f>
        <v/>
      </c>
      <c r="H247" s="128" t="str">
        <f aca="false">ExportRaw!$A247</f>
        <v/>
      </c>
      <c r="I247" s="128" t="str">
        <f aca="false">ExportRaw!$B247</f>
        <v/>
      </c>
    </row>
    <row r="248" customFormat="false" ht="15.75" hidden="false" customHeight="false" outlineLevel="0" collapsed="false">
      <c r="A248" s="128" t="n">
        <f aca="false">ExportRaw!$F248</f>
        <v>0</v>
      </c>
      <c r="B248" s="128" t="n">
        <f aca="false">ExportRaw!$C248</f>
        <v>0</v>
      </c>
      <c r="C248" s="128" t="n">
        <f aca="false">ExportRaw!$G248</f>
        <v>0</v>
      </c>
      <c r="D248" s="128" t="str">
        <f aca="false">ExportRaw!$E248</f>
        <v/>
      </c>
      <c r="E248" s="129" t="str">
        <f aca="false">ExportRaw!$D248</f>
        <v/>
      </c>
      <c r="F248" s="128" t="str">
        <f aca="false">ExportRaw!$H248</f>
        <v/>
      </c>
      <c r="G248" s="130" t="str">
        <f aca="false">ExportRaw!$I248</f>
        <v/>
      </c>
      <c r="H248" s="128" t="str">
        <f aca="false">ExportRaw!$A248</f>
        <v/>
      </c>
      <c r="I248" s="128" t="str">
        <f aca="false">ExportRaw!$B248</f>
        <v/>
      </c>
    </row>
    <row r="249" customFormat="false" ht="15.75" hidden="false" customHeight="false" outlineLevel="0" collapsed="false">
      <c r="A249" s="128" t="n">
        <f aca="false">ExportRaw!$F249</f>
        <v>0</v>
      </c>
      <c r="B249" s="128" t="n">
        <f aca="false">ExportRaw!$C249</f>
        <v>0</v>
      </c>
      <c r="C249" s="128" t="n">
        <f aca="false">ExportRaw!$G249</f>
        <v>0</v>
      </c>
      <c r="D249" s="128" t="str">
        <f aca="false">ExportRaw!$E249</f>
        <v/>
      </c>
      <c r="E249" s="129" t="str">
        <f aca="false">ExportRaw!$D249</f>
        <v/>
      </c>
      <c r="F249" s="128" t="str">
        <f aca="false">ExportRaw!$H249</f>
        <v/>
      </c>
      <c r="G249" s="130" t="str">
        <f aca="false">ExportRaw!$I249</f>
        <v/>
      </c>
      <c r="H249" s="128" t="str">
        <f aca="false">ExportRaw!$A249</f>
        <v/>
      </c>
      <c r="I249" s="128" t="str">
        <f aca="false">ExportRaw!$B249</f>
        <v/>
      </c>
    </row>
    <row r="250" customFormat="false" ht="15.75" hidden="false" customHeight="false" outlineLevel="0" collapsed="false">
      <c r="A250" s="128" t="n">
        <f aca="false">ExportRaw!$F250</f>
        <v>0</v>
      </c>
      <c r="B250" s="128" t="n">
        <f aca="false">ExportRaw!$C250</f>
        <v>0</v>
      </c>
      <c r="C250" s="128" t="n">
        <f aca="false">ExportRaw!$G250</f>
        <v>0</v>
      </c>
      <c r="D250" s="128" t="str">
        <f aca="false">ExportRaw!$E250</f>
        <v/>
      </c>
      <c r="E250" s="129" t="str">
        <f aca="false">ExportRaw!$D250</f>
        <v/>
      </c>
      <c r="F250" s="128" t="str">
        <f aca="false">ExportRaw!$H250</f>
        <v/>
      </c>
      <c r="G250" s="130" t="str">
        <f aca="false">ExportRaw!$I250</f>
        <v/>
      </c>
      <c r="H250" s="128" t="str">
        <f aca="false">ExportRaw!$A250</f>
        <v/>
      </c>
      <c r="I250" s="128" t="str">
        <f aca="false">ExportRaw!$B250</f>
        <v/>
      </c>
    </row>
    <row r="251" customFormat="false" ht="15.75" hidden="false" customHeight="false" outlineLevel="0" collapsed="false">
      <c r="A251" s="128" t="n">
        <f aca="false">ExportRaw!$F251</f>
        <v>0</v>
      </c>
      <c r="B251" s="128" t="n">
        <f aca="false">ExportRaw!$C251</f>
        <v>0</v>
      </c>
      <c r="C251" s="128" t="n">
        <f aca="false">ExportRaw!$G251</f>
        <v>0</v>
      </c>
      <c r="D251" s="128" t="str">
        <f aca="false">ExportRaw!$E251</f>
        <v/>
      </c>
      <c r="E251" s="129" t="str">
        <f aca="false">ExportRaw!$D251</f>
        <v/>
      </c>
      <c r="F251" s="128" t="str">
        <f aca="false">ExportRaw!$H251</f>
        <v/>
      </c>
      <c r="G251" s="130" t="str">
        <f aca="false">ExportRaw!$I251</f>
        <v/>
      </c>
      <c r="H251" s="128" t="str">
        <f aca="false">ExportRaw!$A251</f>
        <v/>
      </c>
      <c r="I251" s="128" t="str">
        <f aca="false">ExportRaw!$B251</f>
        <v/>
      </c>
    </row>
    <row r="252" customFormat="false" ht="15.75" hidden="false" customHeight="false" outlineLevel="0" collapsed="false">
      <c r="A252" s="128" t="n">
        <f aca="false">ExportRaw!$F252</f>
        <v>0</v>
      </c>
      <c r="B252" s="128" t="n">
        <f aca="false">ExportRaw!$C252</f>
        <v>0</v>
      </c>
      <c r="C252" s="128" t="n">
        <f aca="false">ExportRaw!$G252</f>
        <v>0</v>
      </c>
      <c r="D252" s="128" t="str">
        <f aca="false">ExportRaw!$E252</f>
        <v/>
      </c>
      <c r="E252" s="129" t="str">
        <f aca="false">ExportRaw!$D252</f>
        <v/>
      </c>
      <c r="F252" s="128" t="str">
        <f aca="false">ExportRaw!$H252</f>
        <v/>
      </c>
      <c r="G252" s="130" t="str">
        <f aca="false">ExportRaw!$I252</f>
        <v/>
      </c>
      <c r="H252" s="128" t="str">
        <f aca="false">ExportRaw!$A252</f>
        <v/>
      </c>
      <c r="I252" s="128" t="str">
        <f aca="false">ExportRaw!$B252</f>
        <v/>
      </c>
    </row>
    <row r="253" customFormat="false" ht="15.75" hidden="false" customHeight="false" outlineLevel="0" collapsed="false">
      <c r="A253" s="128" t="n">
        <f aca="false">ExportRaw!$F253</f>
        <v>0</v>
      </c>
      <c r="B253" s="128" t="n">
        <f aca="false">ExportRaw!$C253</f>
        <v>0</v>
      </c>
      <c r="C253" s="128" t="n">
        <f aca="false">ExportRaw!$G253</f>
        <v>0</v>
      </c>
      <c r="D253" s="128" t="str">
        <f aca="false">ExportRaw!$E253</f>
        <v/>
      </c>
      <c r="E253" s="129" t="str">
        <f aca="false">ExportRaw!$D253</f>
        <v/>
      </c>
      <c r="F253" s="128" t="str">
        <f aca="false">ExportRaw!$H253</f>
        <v/>
      </c>
      <c r="G253" s="130" t="str">
        <f aca="false">ExportRaw!$I253</f>
        <v/>
      </c>
      <c r="H253" s="128" t="str">
        <f aca="false">ExportRaw!$A253</f>
        <v/>
      </c>
      <c r="I253" s="128" t="str">
        <f aca="false">ExportRaw!$B253</f>
        <v/>
      </c>
    </row>
    <row r="254" customFormat="false" ht="15.75" hidden="false" customHeight="false" outlineLevel="0" collapsed="false">
      <c r="A254" s="128" t="n">
        <f aca="false">ExportRaw!$F254</f>
        <v>0</v>
      </c>
      <c r="B254" s="128" t="n">
        <f aca="false">ExportRaw!$C254</f>
        <v>0</v>
      </c>
      <c r="C254" s="128" t="n">
        <f aca="false">ExportRaw!$G254</f>
        <v>0</v>
      </c>
      <c r="D254" s="128" t="str">
        <f aca="false">ExportRaw!$E254</f>
        <v/>
      </c>
      <c r="E254" s="129" t="str">
        <f aca="false">ExportRaw!$D254</f>
        <v/>
      </c>
      <c r="F254" s="128" t="str">
        <f aca="false">ExportRaw!$H254</f>
        <v/>
      </c>
      <c r="G254" s="130" t="str">
        <f aca="false">ExportRaw!$I254</f>
        <v/>
      </c>
      <c r="H254" s="128" t="str">
        <f aca="false">ExportRaw!$A254</f>
        <v/>
      </c>
      <c r="I254" s="128" t="str">
        <f aca="false">ExportRaw!$B254</f>
        <v/>
      </c>
    </row>
    <row r="255" customFormat="false" ht="15.75" hidden="false" customHeight="false" outlineLevel="0" collapsed="false">
      <c r="A255" s="128" t="n">
        <f aca="false">ExportRaw!$F255</f>
        <v>0</v>
      </c>
      <c r="B255" s="128" t="n">
        <f aca="false">ExportRaw!$C255</f>
        <v>0</v>
      </c>
      <c r="C255" s="128" t="n">
        <f aca="false">ExportRaw!$G255</f>
        <v>0</v>
      </c>
      <c r="D255" s="128" t="str">
        <f aca="false">ExportRaw!$E255</f>
        <v/>
      </c>
      <c r="E255" s="129" t="str">
        <f aca="false">ExportRaw!$D255</f>
        <v/>
      </c>
      <c r="F255" s="128" t="str">
        <f aca="false">ExportRaw!$H255</f>
        <v/>
      </c>
      <c r="G255" s="130" t="str">
        <f aca="false">ExportRaw!$I255</f>
        <v/>
      </c>
      <c r="H255" s="128" t="str">
        <f aca="false">ExportRaw!$A255</f>
        <v/>
      </c>
      <c r="I255" s="128" t="str">
        <f aca="false">ExportRaw!$B255</f>
        <v/>
      </c>
    </row>
    <row r="256" customFormat="false" ht="15.75" hidden="false" customHeight="false" outlineLevel="0" collapsed="false">
      <c r="A256" s="128" t="n">
        <f aca="false">ExportRaw!$F256</f>
        <v>0</v>
      </c>
      <c r="B256" s="128" t="n">
        <f aca="false">ExportRaw!$C256</f>
        <v>0</v>
      </c>
      <c r="C256" s="128" t="n">
        <f aca="false">ExportRaw!$G256</f>
        <v>0</v>
      </c>
      <c r="D256" s="128" t="str">
        <f aca="false">ExportRaw!$E256</f>
        <v/>
      </c>
      <c r="E256" s="129" t="str">
        <f aca="false">ExportRaw!$D256</f>
        <v/>
      </c>
      <c r="F256" s="128" t="str">
        <f aca="false">ExportRaw!$H256</f>
        <v/>
      </c>
      <c r="G256" s="130" t="str">
        <f aca="false">ExportRaw!$I256</f>
        <v/>
      </c>
      <c r="H256" s="128" t="str">
        <f aca="false">ExportRaw!$A256</f>
        <v/>
      </c>
      <c r="I256" s="128" t="str">
        <f aca="false">ExportRaw!$B256</f>
        <v/>
      </c>
    </row>
    <row r="257" customFormat="false" ht="15.75" hidden="false" customHeight="false" outlineLevel="0" collapsed="false">
      <c r="A257" s="128" t="n">
        <f aca="false">ExportRaw!$F257</f>
        <v>0</v>
      </c>
      <c r="B257" s="128" t="n">
        <f aca="false">ExportRaw!$C257</f>
        <v>0</v>
      </c>
      <c r="C257" s="128" t="n">
        <f aca="false">ExportRaw!$G257</f>
        <v>0</v>
      </c>
      <c r="D257" s="128" t="str">
        <f aca="false">ExportRaw!$E257</f>
        <v/>
      </c>
      <c r="E257" s="129" t="str">
        <f aca="false">ExportRaw!$D257</f>
        <v/>
      </c>
      <c r="F257" s="128" t="str">
        <f aca="false">ExportRaw!$H257</f>
        <v/>
      </c>
      <c r="G257" s="130" t="str">
        <f aca="false">ExportRaw!$I257</f>
        <v/>
      </c>
      <c r="H257" s="128" t="str">
        <f aca="false">ExportRaw!$A257</f>
        <v/>
      </c>
      <c r="I257" s="128" t="str">
        <f aca="false">ExportRaw!$B257</f>
        <v/>
      </c>
    </row>
    <row r="258" customFormat="false" ht="15.75" hidden="false" customHeight="false" outlineLevel="0" collapsed="false">
      <c r="A258" s="128" t="n">
        <f aca="false">ExportRaw!$F258</f>
        <v>0</v>
      </c>
      <c r="B258" s="128" t="n">
        <f aca="false">ExportRaw!$C258</f>
        <v>0</v>
      </c>
      <c r="C258" s="128" t="n">
        <f aca="false">ExportRaw!$G258</f>
        <v>0</v>
      </c>
      <c r="D258" s="128" t="str">
        <f aca="false">ExportRaw!$E258</f>
        <v/>
      </c>
      <c r="E258" s="129" t="str">
        <f aca="false">ExportRaw!$D258</f>
        <v/>
      </c>
      <c r="F258" s="128" t="str">
        <f aca="false">ExportRaw!$H258</f>
        <v/>
      </c>
      <c r="G258" s="130" t="str">
        <f aca="false">ExportRaw!$I258</f>
        <v/>
      </c>
      <c r="H258" s="128" t="str">
        <f aca="false">ExportRaw!$A258</f>
        <v/>
      </c>
      <c r="I258" s="128" t="str">
        <f aca="false">ExportRaw!$B258</f>
        <v/>
      </c>
    </row>
    <row r="259" customFormat="false" ht="15.75" hidden="false" customHeight="false" outlineLevel="0" collapsed="false">
      <c r="A259" s="128" t="n">
        <f aca="false">ExportRaw!$F259</f>
        <v>0</v>
      </c>
      <c r="B259" s="128" t="n">
        <f aca="false">ExportRaw!$C259</f>
        <v>0</v>
      </c>
      <c r="C259" s="128" t="n">
        <f aca="false">ExportRaw!$G259</f>
        <v>0</v>
      </c>
      <c r="D259" s="128" t="str">
        <f aca="false">ExportRaw!$E259</f>
        <v/>
      </c>
      <c r="E259" s="129" t="str">
        <f aca="false">ExportRaw!$D259</f>
        <v/>
      </c>
      <c r="F259" s="128" t="str">
        <f aca="false">ExportRaw!$H259</f>
        <v/>
      </c>
      <c r="G259" s="130" t="str">
        <f aca="false">ExportRaw!$I259</f>
        <v/>
      </c>
      <c r="H259" s="128" t="str">
        <f aca="false">ExportRaw!$A259</f>
        <v/>
      </c>
      <c r="I259" s="128" t="str">
        <f aca="false">ExportRaw!$B259</f>
        <v/>
      </c>
    </row>
    <row r="260" customFormat="false" ht="15.75" hidden="false" customHeight="false" outlineLevel="0" collapsed="false">
      <c r="A260" s="128" t="n">
        <f aca="false">ExportRaw!$F260</f>
        <v>0</v>
      </c>
      <c r="B260" s="128" t="n">
        <f aca="false">ExportRaw!$C260</f>
        <v>0</v>
      </c>
      <c r="C260" s="128" t="n">
        <f aca="false">ExportRaw!$G260</f>
        <v>0</v>
      </c>
      <c r="D260" s="128" t="str">
        <f aca="false">ExportRaw!$E260</f>
        <v/>
      </c>
      <c r="E260" s="129" t="str">
        <f aca="false">ExportRaw!$D260</f>
        <v/>
      </c>
      <c r="F260" s="128" t="str">
        <f aca="false">ExportRaw!$H260</f>
        <v/>
      </c>
      <c r="G260" s="130" t="str">
        <f aca="false">ExportRaw!$I260</f>
        <v/>
      </c>
      <c r="H260" s="128" t="str">
        <f aca="false">ExportRaw!$A260</f>
        <v/>
      </c>
      <c r="I260" s="128" t="str">
        <f aca="false">ExportRaw!$B260</f>
        <v/>
      </c>
    </row>
    <row r="261" customFormat="false" ht="15.75" hidden="false" customHeight="false" outlineLevel="0" collapsed="false">
      <c r="A261" s="128" t="n">
        <f aca="false">ExportRaw!$F261</f>
        <v>0</v>
      </c>
      <c r="B261" s="128" t="n">
        <f aca="false">ExportRaw!$C261</f>
        <v>0</v>
      </c>
      <c r="C261" s="128" t="n">
        <f aca="false">ExportRaw!$G261</f>
        <v>0</v>
      </c>
      <c r="D261" s="128" t="str">
        <f aca="false">ExportRaw!$E261</f>
        <v/>
      </c>
      <c r="E261" s="129" t="str">
        <f aca="false">ExportRaw!$D261</f>
        <v/>
      </c>
      <c r="F261" s="128" t="str">
        <f aca="false">ExportRaw!$H261</f>
        <v/>
      </c>
      <c r="G261" s="130" t="str">
        <f aca="false">ExportRaw!$I261</f>
        <v/>
      </c>
      <c r="H261" s="128" t="str">
        <f aca="false">ExportRaw!$A261</f>
        <v/>
      </c>
      <c r="I261" s="128" t="str">
        <f aca="false">ExportRaw!$B261</f>
        <v/>
      </c>
    </row>
    <row r="262" customFormat="false" ht="15.75" hidden="false" customHeight="false" outlineLevel="0" collapsed="false">
      <c r="A262" s="128" t="n">
        <f aca="false">ExportRaw!$F262</f>
        <v>0</v>
      </c>
      <c r="B262" s="128" t="n">
        <f aca="false">ExportRaw!$C262</f>
        <v>0</v>
      </c>
      <c r="C262" s="128" t="n">
        <f aca="false">ExportRaw!$G262</f>
        <v>0</v>
      </c>
      <c r="D262" s="128" t="str">
        <f aca="false">ExportRaw!$E262</f>
        <v/>
      </c>
      <c r="E262" s="129" t="str">
        <f aca="false">ExportRaw!$D262</f>
        <v/>
      </c>
      <c r="F262" s="128" t="str">
        <f aca="false">ExportRaw!$H262</f>
        <v/>
      </c>
      <c r="G262" s="130" t="str">
        <f aca="false">ExportRaw!$I262</f>
        <v/>
      </c>
      <c r="H262" s="128" t="str">
        <f aca="false">ExportRaw!$A262</f>
        <v/>
      </c>
      <c r="I262" s="128" t="str">
        <f aca="false">ExportRaw!$B262</f>
        <v/>
      </c>
    </row>
    <row r="263" customFormat="false" ht="15.75" hidden="false" customHeight="false" outlineLevel="0" collapsed="false">
      <c r="A263" s="128" t="n">
        <f aca="false">ExportRaw!$F263</f>
        <v>0</v>
      </c>
      <c r="B263" s="128" t="n">
        <f aca="false">ExportRaw!$C263</f>
        <v>0</v>
      </c>
      <c r="C263" s="128" t="n">
        <f aca="false">ExportRaw!$G263</f>
        <v>0</v>
      </c>
      <c r="D263" s="128" t="str">
        <f aca="false">ExportRaw!$E263</f>
        <v/>
      </c>
      <c r="E263" s="129" t="str">
        <f aca="false">ExportRaw!$D263</f>
        <v/>
      </c>
      <c r="F263" s="128" t="str">
        <f aca="false">ExportRaw!$H263</f>
        <v/>
      </c>
      <c r="G263" s="130" t="str">
        <f aca="false">ExportRaw!$I263</f>
        <v/>
      </c>
      <c r="H263" s="128" t="str">
        <f aca="false">ExportRaw!$A263</f>
        <v/>
      </c>
      <c r="I263" s="128" t="str">
        <f aca="false">ExportRaw!$B263</f>
        <v/>
      </c>
    </row>
    <row r="264" customFormat="false" ht="15.75" hidden="false" customHeight="false" outlineLevel="0" collapsed="false">
      <c r="A264" s="128" t="n">
        <f aca="false">ExportRaw!$F264</f>
        <v>0</v>
      </c>
      <c r="B264" s="128" t="n">
        <f aca="false">ExportRaw!$C264</f>
        <v>0</v>
      </c>
      <c r="C264" s="128" t="n">
        <f aca="false">ExportRaw!$G264</f>
        <v>0</v>
      </c>
      <c r="D264" s="128" t="str">
        <f aca="false">ExportRaw!$E264</f>
        <v/>
      </c>
      <c r="E264" s="129" t="str">
        <f aca="false">ExportRaw!$D264</f>
        <v/>
      </c>
      <c r="F264" s="128" t="str">
        <f aca="false">ExportRaw!$H264</f>
        <v/>
      </c>
      <c r="G264" s="130" t="str">
        <f aca="false">ExportRaw!$I264</f>
        <v/>
      </c>
      <c r="H264" s="128" t="str">
        <f aca="false">ExportRaw!$A264</f>
        <v/>
      </c>
      <c r="I264" s="128" t="str">
        <f aca="false">ExportRaw!$B264</f>
        <v/>
      </c>
    </row>
    <row r="265" customFormat="false" ht="15.75" hidden="false" customHeight="false" outlineLevel="0" collapsed="false">
      <c r="A265" s="128" t="n">
        <f aca="false">ExportRaw!$F265</f>
        <v>0</v>
      </c>
      <c r="B265" s="128" t="n">
        <f aca="false">ExportRaw!$C265</f>
        <v>0</v>
      </c>
      <c r="C265" s="128" t="n">
        <f aca="false">ExportRaw!$G265</f>
        <v>0</v>
      </c>
      <c r="D265" s="128" t="str">
        <f aca="false">ExportRaw!$E265</f>
        <v/>
      </c>
      <c r="E265" s="129" t="str">
        <f aca="false">ExportRaw!$D265</f>
        <v/>
      </c>
      <c r="F265" s="128" t="str">
        <f aca="false">ExportRaw!$H265</f>
        <v/>
      </c>
      <c r="G265" s="130" t="str">
        <f aca="false">ExportRaw!$I265</f>
        <v/>
      </c>
      <c r="H265" s="128" t="str">
        <f aca="false">ExportRaw!$A265</f>
        <v/>
      </c>
      <c r="I265" s="128" t="str">
        <f aca="false">ExportRaw!$B265</f>
        <v/>
      </c>
    </row>
    <row r="266" customFormat="false" ht="15.75" hidden="false" customHeight="false" outlineLevel="0" collapsed="false">
      <c r="A266" s="128" t="n">
        <f aca="false">ExportRaw!$F266</f>
        <v>0</v>
      </c>
      <c r="B266" s="128" t="n">
        <f aca="false">ExportRaw!$C266</f>
        <v>0</v>
      </c>
      <c r="C266" s="128" t="n">
        <f aca="false">ExportRaw!$G266</f>
        <v>0</v>
      </c>
      <c r="D266" s="128" t="str">
        <f aca="false">ExportRaw!$E266</f>
        <v/>
      </c>
      <c r="E266" s="129" t="str">
        <f aca="false">ExportRaw!$D266</f>
        <v/>
      </c>
      <c r="F266" s="128" t="str">
        <f aca="false">ExportRaw!$H266</f>
        <v/>
      </c>
      <c r="G266" s="130" t="str">
        <f aca="false">ExportRaw!$I266</f>
        <v/>
      </c>
      <c r="H266" s="128" t="str">
        <f aca="false">ExportRaw!$A266</f>
        <v/>
      </c>
      <c r="I266" s="128" t="str">
        <f aca="false">ExportRaw!$B266</f>
        <v/>
      </c>
    </row>
    <row r="267" customFormat="false" ht="15.75" hidden="false" customHeight="false" outlineLevel="0" collapsed="false">
      <c r="A267" s="128" t="n">
        <f aca="false">ExportRaw!$F267</f>
        <v>0</v>
      </c>
      <c r="B267" s="128" t="n">
        <f aca="false">ExportRaw!$C267</f>
        <v>0</v>
      </c>
      <c r="C267" s="128" t="n">
        <f aca="false">ExportRaw!$G267</f>
        <v>0</v>
      </c>
      <c r="D267" s="128" t="str">
        <f aca="false">ExportRaw!$E267</f>
        <v/>
      </c>
      <c r="E267" s="129" t="str">
        <f aca="false">ExportRaw!$D267</f>
        <v/>
      </c>
      <c r="F267" s="128" t="str">
        <f aca="false">ExportRaw!$H267</f>
        <v/>
      </c>
      <c r="G267" s="130" t="str">
        <f aca="false">ExportRaw!$I267</f>
        <v/>
      </c>
      <c r="H267" s="128" t="str">
        <f aca="false">ExportRaw!$A267</f>
        <v/>
      </c>
      <c r="I267" s="128" t="str">
        <f aca="false">ExportRaw!$B267</f>
        <v/>
      </c>
    </row>
    <row r="268" customFormat="false" ht="15.75" hidden="false" customHeight="false" outlineLevel="0" collapsed="false">
      <c r="A268" s="128" t="n">
        <f aca="false">ExportRaw!$F268</f>
        <v>0</v>
      </c>
      <c r="B268" s="128" t="n">
        <f aca="false">ExportRaw!$C268</f>
        <v>0</v>
      </c>
      <c r="C268" s="128" t="n">
        <f aca="false">ExportRaw!$G268</f>
        <v>0</v>
      </c>
      <c r="D268" s="128" t="str">
        <f aca="false">ExportRaw!$E268</f>
        <v/>
      </c>
      <c r="E268" s="129" t="str">
        <f aca="false">ExportRaw!$D268</f>
        <v/>
      </c>
      <c r="F268" s="128" t="str">
        <f aca="false">ExportRaw!$H268</f>
        <v/>
      </c>
      <c r="G268" s="130" t="str">
        <f aca="false">ExportRaw!$I268</f>
        <v/>
      </c>
      <c r="H268" s="128" t="str">
        <f aca="false">ExportRaw!$A268</f>
        <v/>
      </c>
      <c r="I268" s="128" t="str">
        <f aca="false">ExportRaw!$B268</f>
        <v/>
      </c>
    </row>
    <row r="269" customFormat="false" ht="15.75" hidden="false" customHeight="false" outlineLevel="0" collapsed="false">
      <c r="A269" s="128" t="n">
        <f aca="false">ExportRaw!$F269</f>
        <v>0</v>
      </c>
      <c r="B269" s="128" t="n">
        <f aca="false">ExportRaw!$C269</f>
        <v>0</v>
      </c>
      <c r="C269" s="128" t="n">
        <f aca="false">ExportRaw!$G269</f>
        <v>0</v>
      </c>
      <c r="D269" s="128" t="str">
        <f aca="false">ExportRaw!$E269</f>
        <v/>
      </c>
      <c r="E269" s="129" t="str">
        <f aca="false">ExportRaw!$D269</f>
        <v/>
      </c>
      <c r="F269" s="128" t="str">
        <f aca="false">ExportRaw!$H269</f>
        <v/>
      </c>
      <c r="G269" s="130" t="str">
        <f aca="false">ExportRaw!$I269</f>
        <v/>
      </c>
      <c r="H269" s="128" t="str">
        <f aca="false">ExportRaw!$A269</f>
        <v/>
      </c>
      <c r="I269" s="128" t="str">
        <f aca="false">ExportRaw!$B269</f>
        <v/>
      </c>
    </row>
    <row r="270" customFormat="false" ht="15.75" hidden="false" customHeight="false" outlineLevel="0" collapsed="false">
      <c r="A270" s="128" t="n">
        <f aca="false">ExportRaw!$F270</f>
        <v>0</v>
      </c>
      <c r="B270" s="128" t="n">
        <f aca="false">ExportRaw!$C270</f>
        <v>0</v>
      </c>
      <c r="C270" s="128" t="n">
        <f aca="false">ExportRaw!$G270</f>
        <v>0</v>
      </c>
      <c r="D270" s="128" t="str">
        <f aca="false">ExportRaw!$E270</f>
        <v/>
      </c>
      <c r="E270" s="129" t="str">
        <f aca="false">ExportRaw!$D270</f>
        <v/>
      </c>
      <c r="F270" s="128" t="str">
        <f aca="false">ExportRaw!$H270</f>
        <v/>
      </c>
      <c r="G270" s="130" t="str">
        <f aca="false">ExportRaw!$I270</f>
        <v/>
      </c>
      <c r="H270" s="128" t="str">
        <f aca="false">ExportRaw!$A270</f>
        <v/>
      </c>
      <c r="I270" s="128" t="str">
        <f aca="false">ExportRaw!$B270</f>
        <v/>
      </c>
    </row>
    <row r="271" customFormat="false" ht="15.75" hidden="false" customHeight="false" outlineLevel="0" collapsed="false">
      <c r="A271" s="128" t="n">
        <f aca="false">ExportRaw!$F271</f>
        <v>0</v>
      </c>
      <c r="B271" s="128" t="n">
        <f aca="false">ExportRaw!$C271</f>
        <v>0</v>
      </c>
      <c r="C271" s="128" t="n">
        <f aca="false">ExportRaw!$G271</f>
        <v>0</v>
      </c>
      <c r="D271" s="128" t="str">
        <f aca="false">ExportRaw!$E271</f>
        <v/>
      </c>
      <c r="E271" s="129" t="str">
        <f aca="false">ExportRaw!$D271</f>
        <v/>
      </c>
      <c r="F271" s="128" t="str">
        <f aca="false">ExportRaw!$H271</f>
        <v/>
      </c>
      <c r="G271" s="130" t="str">
        <f aca="false">ExportRaw!$I271</f>
        <v/>
      </c>
      <c r="H271" s="128" t="str">
        <f aca="false">ExportRaw!$A271</f>
        <v/>
      </c>
      <c r="I271" s="128" t="str">
        <f aca="false">ExportRaw!$B271</f>
        <v/>
      </c>
    </row>
    <row r="272" customFormat="false" ht="15.75" hidden="false" customHeight="false" outlineLevel="0" collapsed="false">
      <c r="A272" s="128" t="n">
        <f aca="false">ExportRaw!$F272</f>
        <v>0</v>
      </c>
      <c r="B272" s="128" t="n">
        <f aca="false">ExportRaw!$C272</f>
        <v>0</v>
      </c>
      <c r="C272" s="128" t="n">
        <f aca="false">ExportRaw!$G272</f>
        <v>0</v>
      </c>
      <c r="D272" s="128" t="str">
        <f aca="false">ExportRaw!$E272</f>
        <v/>
      </c>
      <c r="E272" s="129" t="str">
        <f aca="false">ExportRaw!$D272</f>
        <v/>
      </c>
      <c r="F272" s="128" t="str">
        <f aca="false">ExportRaw!$H272</f>
        <v/>
      </c>
      <c r="G272" s="130" t="str">
        <f aca="false">ExportRaw!$I272</f>
        <v/>
      </c>
      <c r="H272" s="128" t="str">
        <f aca="false">ExportRaw!$A272</f>
        <v/>
      </c>
      <c r="I272" s="128" t="str">
        <f aca="false">ExportRaw!$B272</f>
        <v/>
      </c>
    </row>
    <row r="273" customFormat="false" ht="15.75" hidden="false" customHeight="false" outlineLevel="0" collapsed="false">
      <c r="A273" s="128" t="n">
        <f aca="false">ExportRaw!$F273</f>
        <v>0</v>
      </c>
      <c r="B273" s="128" t="n">
        <f aca="false">ExportRaw!$C273</f>
        <v>0</v>
      </c>
      <c r="C273" s="128" t="n">
        <f aca="false">ExportRaw!$G273</f>
        <v>0</v>
      </c>
      <c r="D273" s="128" t="str">
        <f aca="false">ExportRaw!$E273</f>
        <v/>
      </c>
      <c r="E273" s="129" t="str">
        <f aca="false">ExportRaw!$D273</f>
        <v/>
      </c>
      <c r="F273" s="128" t="str">
        <f aca="false">ExportRaw!$H273</f>
        <v/>
      </c>
      <c r="G273" s="130" t="str">
        <f aca="false">ExportRaw!$I273</f>
        <v/>
      </c>
      <c r="H273" s="128" t="str">
        <f aca="false">ExportRaw!$A273</f>
        <v/>
      </c>
      <c r="I273" s="128" t="str">
        <f aca="false">ExportRaw!$B273</f>
        <v/>
      </c>
    </row>
    <row r="274" customFormat="false" ht="15.75" hidden="false" customHeight="false" outlineLevel="0" collapsed="false">
      <c r="A274" s="128" t="n">
        <f aca="false">ExportRaw!$F274</f>
        <v>0</v>
      </c>
      <c r="B274" s="128" t="n">
        <f aca="false">ExportRaw!$C274</f>
        <v>0</v>
      </c>
      <c r="C274" s="128" t="n">
        <f aca="false">ExportRaw!$G274</f>
        <v>0</v>
      </c>
      <c r="D274" s="128" t="str">
        <f aca="false">ExportRaw!$E274</f>
        <v/>
      </c>
      <c r="E274" s="129" t="str">
        <f aca="false">ExportRaw!$D274</f>
        <v/>
      </c>
      <c r="F274" s="128" t="str">
        <f aca="false">ExportRaw!$H274</f>
        <v/>
      </c>
      <c r="G274" s="130" t="str">
        <f aca="false">ExportRaw!$I274</f>
        <v/>
      </c>
      <c r="H274" s="128" t="str">
        <f aca="false">ExportRaw!$A274</f>
        <v/>
      </c>
      <c r="I274" s="128" t="str">
        <f aca="false">ExportRaw!$B274</f>
        <v/>
      </c>
    </row>
    <row r="275" customFormat="false" ht="15.75" hidden="false" customHeight="false" outlineLevel="0" collapsed="false">
      <c r="A275" s="128" t="n">
        <f aca="false">ExportRaw!$F275</f>
        <v>0</v>
      </c>
      <c r="B275" s="128" t="n">
        <f aca="false">ExportRaw!$C275</f>
        <v>0</v>
      </c>
      <c r="C275" s="128" t="n">
        <f aca="false">ExportRaw!$G275</f>
        <v>0</v>
      </c>
      <c r="D275" s="128" t="str">
        <f aca="false">ExportRaw!$E275</f>
        <v/>
      </c>
      <c r="E275" s="129" t="str">
        <f aca="false">ExportRaw!$D275</f>
        <v/>
      </c>
      <c r="F275" s="128" t="str">
        <f aca="false">ExportRaw!$H275</f>
        <v/>
      </c>
      <c r="G275" s="130" t="str">
        <f aca="false">ExportRaw!$I275</f>
        <v/>
      </c>
      <c r="H275" s="128" t="str">
        <f aca="false">ExportRaw!$A275</f>
        <v/>
      </c>
      <c r="I275" s="128" t="str">
        <f aca="false">ExportRaw!$B275</f>
        <v/>
      </c>
    </row>
    <row r="276" customFormat="false" ht="15.75" hidden="false" customHeight="false" outlineLevel="0" collapsed="false">
      <c r="A276" s="128" t="n">
        <f aca="false">ExportRaw!$F276</f>
        <v>0</v>
      </c>
      <c r="B276" s="128" t="n">
        <f aca="false">ExportRaw!$C276</f>
        <v>0</v>
      </c>
      <c r="C276" s="128" t="n">
        <f aca="false">ExportRaw!$G276</f>
        <v>0</v>
      </c>
      <c r="D276" s="128" t="str">
        <f aca="false">ExportRaw!$E276</f>
        <v/>
      </c>
      <c r="E276" s="129" t="str">
        <f aca="false">ExportRaw!$D276</f>
        <v/>
      </c>
      <c r="F276" s="128" t="str">
        <f aca="false">ExportRaw!$H276</f>
        <v/>
      </c>
      <c r="G276" s="130" t="str">
        <f aca="false">ExportRaw!$I276</f>
        <v/>
      </c>
      <c r="H276" s="128" t="str">
        <f aca="false">ExportRaw!$A276</f>
        <v/>
      </c>
      <c r="I276" s="128" t="str">
        <f aca="false">ExportRaw!$B276</f>
        <v/>
      </c>
    </row>
    <row r="277" customFormat="false" ht="15.75" hidden="false" customHeight="false" outlineLevel="0" collapsed="false">
      <c r="A277" s="128" t="n">
        <f aca="false">ExportRaw!$F277</f>
        <v>0</v>
      </c>
      <c r="B277" s="128" t="n">
        <f aca="false">ExportRaw!$C277</f>
        <v>0</v>
      </c>
      <c r="C277" s="128" t="n">
        <f aca="false">ExportRaw!$G277</f>
        <v>0</v>
      </c>
      <c r="D277" s="128" t="str">
        <f aca="false">ExportRaw!$E277</f>
        <v/>
      </c>
      <c r="E277" s="129" t="str">
        <f aca="false">ExportRaw!$D277</f>
        <v/>
      </c>
      <c r="F277" s="128" t="str">
        <f aca="false">ExportRaw!$H277</f>
        <v/>
      </c>
      <c r="G277" s="130" t="str">
        <f aca="false">ExportRaw!$I277</f>
        <v/>
      </c>
      <c r="H277" s="128" t="str">
        <f aca="false">ExportRaw!$A277</f>
        <v/>
      </c>
      <c r="I277" s="128" t="str">
        <f aca="false">ExportRaw!$B277</f>
        <v/>
      </c>
    </row>
    <row r="278" customFormat="false" ht="15.75" hidden="false" customHeight="false" outlineLevel="0" collapsed="false">
      <c r="A278" s="128" t="n">
        <f aca="false">ExportRaw!$F278</f>
        <v>0</v>
      </c>
      <c r="B278" s="128" t="n">
        <f aca="false">ExportRaw!$C278</f>
        <v>0</v>
      </c>
      <c r="C278" s="128" t="n">
        <f aca="false">ExportRaw!$G278</f>
        <v>0</v>
      </c>
      <c r="D278" s="128" t="str">
        <f aca="false">ExportRaw!$E278</f>
        <v/>
      </c>
      <c r="E278" s="129" t="str">
        <f aca="false">ExportRaw!$D278</f>
        <v/>
      </c>
      <c r="F278" s="128" t="str">
        <f aca="false">ExportRaw!$H278</f>
        <v/>
      </c>
      <c r="G278" s="130" t="str">
        <f aca="false">ExportRaw!$I278</f>
        <v/>
      </c>
      <c r="H278" s="128" t="str">
        <f aca="false">ExportRaw!$A278</f>
        <v/>
      </c>
      <c r="I278" s="128" t="str">
        <f aca="false">ExportRaw!$B278</f>
        <v/>
      </c>
    </row>
    <row r="279" customFormat="false" ht="15.75" hidden="false" customHeight="false" outlineLevel="0" collapsed="false">
      <c r="A279" s="128" t="n">
        <f aca="false">ExportRaw!$F279</f>
        <v>0</v>
      </c>
      <c r="B279" s="128" t="n">
        <f aca="false">ExportRaw!$C279</f>
        <v>0</v>
      </c>
      <c r="C279" s="128" t="n">
        <f aca="false">ExportRaw!$G279</f>
        <v>0</v>
      </c>
      <c r="D279" s="128" t="str">
        <f aca="false">ExportRaw!$E279</f>
        <v/>
      </c>
      <c r="E279" s="129" t="str">
        <f aca="false">ExportRaw!$D279</f>
        <v/>
      </c>
      <c r="F279" s="128" t="str">
        <f aca="false">ExportRaw!$H279</f>
        <v/>
      </c>
      <c r="G279" s="130" t="str">
        <f aca="false">ExportRaw!$I279</f>
        <v/>
      </c>
      <c r="H279" s="128" t="str">
        <f aca="false">ExportRaw!$A279</f>
        <v/>
      </c>
      <c r="I279" s="128" t="str">
        <f aca="false">ExportRaw!$B279</f>
        <v/>
      </c>
    </row>
    <row r="280" customFormat="false" ht="15.75" hidden="false" customHeight="false" outlineLevel="0" collapsed="false">
      <c r="A280" s="128" t="n">
        <f aca="false">ExportRaw!$F280</f>
        <v>0</v>
      </c>
      <c r="B280" s="128" t="n">
        <f aca="false">ExportRaw!$C280</f>
        <v>0</v>
      </c>
      <c r="C280" s="128" t="n">
        <f aca="false">ExportRaw!$G280</f>
        <v>0</v>
      </c>
      <c r="D280" s="128" t="str">
        <f aca="false">ExportRaw!$E280</f>
        <v/>
      </c>
      <c r="E280" s="129" t="str">
        <f aca="false">ExportRaw!$D280</f>
        <v/>
      </c>
      <c r="F280" s="128" t="str">
        <f aca="false">ExportRaw!$H280</f>
        <v/>
      </c>
      <c r="G280" s="130" t="str">
        <f aca="false">ExportRaw!$I280</f>
        <v/>
      </c>
      <c r="H280" s="128" t="str">
        <f aca="false">ExportRaw!$A280</f>
        <v/>
      </c>
      <c r="I280" s="128" t="str">
        <f aca="false">ExportRaw!$B280</f>
        <v/>
      </c>
    </row>
    <row r="281" customFormat="false" ht="15.75" hidden="false" customHeight="false" outlineLevel="0" collapsed="false">
      <c r="A281" s="128" t="n">
        <f aca="false">ExportRaw!$F281</f>
        <v>0</v>
      </c>
      <c r="B281" s="128" t="n">
        <f aca="false">ExportRaw!$C281</f>
        <v>0</v>
      </c>
      <c r="C281" s="128" t="n">
        <f aca="false">ExportRaw!$G281</f>
        <v>0</v>
      </c>
      <c r="D281" s="128" t="str">
        <f aca="false">ExportRaw!$E281</f>
        <v/>
      </c>
      <c r="E281" s="129" t="str">
        <f aca="false">ExportRaw!$D281</f>
        <v/>
      </c>
      <c r="F281" s="128" t="str">
        <f aca="false">ExportRaw!$H281</f>
        <v/>
      </c>
      <c r="G281" s="130" t="str">
        <f aca="false">ExportRaw!$I281</f>
        <v/>
      </c>
      <c r="H281" s="128" t="str">
        <f aca="false">ExportRaw!$A281</f>
        <v/>
      </c>
      <c r="I281" s="128" t="str">
        <f aca="false">ExportRaw!$B281</f>
        <v/>
      </c>
    </row>
    <row r="282" customFormat="false" ht="15.75" hidden="false" customHeight="false" outlineLevel="0" collapsed="false">
      <c r="A282" s="128" t="n">
        <f aca="false">ExportRaw!$F282</f>
        <v>0</v>
      </c>
      <c r="B282" s="128" t="n">
        <f aca="false">ExportRaw!$C282</f>
        <v>0</v>
      </c>
      <c r="C282" s="128" t="n">
        <f aca="false">ExportRaw!$G282</f>
        <v>0</v>
      </c>
      <c r="D282" s="128" t="str">
        <f aca="false">ExportRaw!$E282</f>
        <v/>
      </c>
      <c r="E282" s="129" t="str">
        <f aca="false">ExportRaw!$D282</f>
        <v/>
      </c>
      <c r="F282" s="128" t="str">
        <f aca="false">ExportRaw!$H282</f>
        <v/>
      </c>
      <c r="G282" s="130" t="str">
        <f aca="false">ExportRaw!$I282</f>
        <v/>
      </c>
      <c r="H282" s="128" t="str">
        <f aca="false">ExportRaw!$A282</f>
        <v/>
      </c>
      <c r="I282" s="128" t="str">
        <f aca="false">ExportRaw!$B282</f>
        <v/>
      </c>
    </row>
    <row r="283" customFormat="false" ht="15.75" hidden="false" customHeight="false" outlineLevel="0" collapsed="false">
      <c r="A283" s="128" t="n">
        <f aca="false">ExportRaw!$F283</f>
        <v>0</v>
      </c>
      <c r="B283" s="128" t="n">
        <f aca="false">ExportRaw!$C283</f>
        <v>0</v>
      </c>
      <c r="C283" s="128" t="n">
        <f aca="false">ExportRaw!$G283</f>
        <v>0</v>
      </c>
      <c r="D283" s="128" t="str">
        <f aca="false">ExportRaw!$E283</f>
        <v/>
      </c>
      <c r="E283" s="129" t="str">
        <f aca="false">ExportRaw!$D283</f>
        <v/>
      </c>
      <c r="F283" s="128" t="str">
        <f aca="false">ExportRaw!$H283</f>
        <v/>
      </c>
      <c r="G283" s="130" t="str">
        <f aca="false">ExportRaw!$I283</f>
        <v/>
      </c>
      <c r="H283" s="128" t="str">
        <f aca="false">ExportRaw!$A283</f>
        <v/>
      </c>
      <c r="I283" s="128" t="str">
        <f aca="false">ExportRaw!$B283</f>
        <v/>
      </c>
    </row>
    <row r="284" customFormat="false" ht="15.75" hidden="false" customHeight="false" outlineLevel="0" collapsed="false">
      <c r="A284" s="128" t="n">
        <f aca="false">ExportRaw!$F284</f>
        <v>0</v>
      </c>
      <c r="B284" s="128" t="n">
        <f aca="false">ExportRaw!$C284</f>
        <v>0</v>
      </c>
      <c r="C284" s="128" t="n">
        <f aca="false">ExportRaw!$G284</f>
        <v>0</v>
      </c>
      <c r="D284" s="128" t="str">
        <f aca="false">ExportRaw!$E284</f>
        <v/>
      </c>
      <c r="E284" s="129" t="str">
        <f aca="false">ExportRaw!$D284</f>
        <v/>
      </c>
      <c r="F284" s="128" t="str">
        <f aca="false">ExportRaw!$H284</f>
        <v/>
      </c>
      <c r="G284" s="130" t="str">
        <f aca="false">ExportRaw!$I284</f>
        <v/>
      </c>
      <c r="H284" s="128" t="str">
        <f aca="false">ExportRaw!$A284</f>
        <v/>
      </c>
      <c r="I284" s="128" t="str">
        <f aca="false">ExportRaw!$B284</f>
        <v/>
      </c>
    </row>
    <row r="285" customFormat="false" ht="15.75" hidden="false" customHeight="false" outlineLevel="0" collapsed="false">
      <c r="A285" s="128" t="n">
        <f aca="false">ExportRaw!$F285</f>
        <v>0</v>
      </c>
      <c r="B285" s="128" t="n">
        <f aca="false">ExportRaw!$C285</f>
        <v>0</v>
      </c>
      <c r="C285" s="128" t="n">
        <f aca="false">ExportRaw!$G285</f>
        <v>0</v>
      </c>
      <c r="D285" s="128" t="str">
        <f aca="false">ExportRaw!$E285</f>
        <v/>
      </c>
      <c r="E285" s="129" t="str">
        <f aca="false">ExportRaw!$D285</f>
        <v/>
      </c>
      <c r="F285" s="128" t="str">
        <f aca="false">ExportRaw!$H285</f>
        <v/>
      </c>
      <c r="G285" s="130" t="str">
        <f aca="false">ExportRaw!$I285</f>
        <v/>
      </c>
      <c r="H285" s="128" t="str">
        <f aca="false">ExportRaw!$A285</f>
        <v/>
      </c>
      <c r="I285" s="128" t="str">
        <f aca="false">ExportRaw!$B285</f>
        <v/>
      </c>
    </row>
    <row r="286" customFormat="false" ht="15.75" hidden="false" customHeight="false" outlineLevel="0" collapsed="false">
      <c r="A286" s="128" t="n">
        <f aca="false">ExportRaw!$F286</f>
        <v>0</v>
      </c>
      <c r="B286" s="128" t="n">
        <f aca="false">ExportRaw!$C286</f>
        <v>0</v>
      </c>
      <c r="C286" s="128" t="n">
        <f aca="false">ExportRaw!$G286</f>
        <v>0</v>
      </c>
      <c r="D286" s="128" t="str">
        <f aca="false">ExportRaw!$E286</f>
        <v/>
      </c>
      <c r="E286" s="129" t="str">
        <f aca="false">ExportRaw!$D286</f>
        <v/>
      </c>
      <c r="F286" s="128" t="str">
        <f aca="false">ExportRaw!$H286</f>
        <v/>
      </c>
      <c r="G286" s="130" t="str">
        <f aca="false">ExportRaw!$I286</f>
        <v/>
      </c>
      <c r="H286" s="128" t="str">
        <f aca="false">ExportRaw!$A286</f>
        <v/>
      </c>
      <c r="I286" s="128" t="str">
        <f aca="false">ExportRaw!$B286</f>
        <v/>
      </c>
    </row>
    <row r="287" customFormat="false" ht="15.75" hidden="false" customHeight="false" outlineLevel="0" collapsed="false">
      <c r="A287" s="128" t="n">
        <f aca="false">ExportRaw!$F287</f>
        <v>0</v>
      </c>
      <c r="B287" s="128" t="n">
        <f aca="false">ExportRaw!$C287</f>
        <v>0</v>
      </c>
      <c r="C287" s="128" t="n">
        <f aca="false">ExportRaw!$G287</f>
        <v>0</v>
      </c>
      <c r="D287" s="128" t="str">
        <f aca="false">ExportRaw!$E287</f>
        <v/>
      </c>
      <c r="E287" s="129" t="str">
        <f aca="false">ExportRaw!$D287</f>
        <v/>
      </c>
      <c r="F287" s="128" t="str">
        <f aca="false">ExportRaw!$H287</f>
        <v/>
      </c>
      <c r="G287" s="130" t="str">
        <f aca="false">ExportRaw!$I287</f>
        <v/>
      </c>
      <c r="H287" s="128" t="str">
        <f aca="false">ExportRaw!$A287</f>
        <v/>
      </c>
      <c r="I287" s="128" t="str">
        <f aca="false">ExportRaw!$B287</f>
        <v/>
      </c>
    </row>
    <row r="288" customFormat="false" ht="15.75" hidden="false" customHeight="false" outlineLevel="0" collapsed="false">
      <c r="A288" s="128" t="n">
        <f aca="false">ExportRaw!$F288</f>
        <v>0</v>
      </c>
      <c r="B288" s="128" t="n">
        <f aca="false">ExportRaw!$C288</f>
        <v>0</v>
      </c>
      <c r="C288" s="128" t="n">
        <f aca="false">ExportRaw!$G288</f>
        <v>0</v>
      </c>
      <c r="D288" s="128" t="str">
        <f aca="false">ExportRaw!$E288</f>
        <v/>
      </c>
      <c r="E288" s="129" t="str">
        <f aca="false">ExportRaw!$D288</f>
        <v/>
      </c>
      <c r="F288" s="128" t="str">
        <f aca="false">ExportRaw!$H288</f>
        <v/>
      </c>
      <c r="G288" s="130" t="str">
        <f aca="false">ExportRaw!$I288</f>
        <v/>
      </c>
      <c r="H288" s="128" t="str">
        <f aca="false">ExportRaw!$A288</f>
        <v/>
      </c>
      <c r="I288" s="128" t="str">
        <f aca="false">ExportRaw!$B288</f>
        <v/>
      </c>
    </row>
    <row r="289" customFormat="false" ht="15.75" hidden="false" customHeight="false" outlineLevel="0" collapsed="false">
      <c r="A289" s="128" t="n">
        <f aca="false">ExportRaw!$F289</f>
        <v>0</v>
      </c>
      <c r="B289" s="128" t="n">
        <f aca="false">ExportRaw!$C289</f>
        <v>0</v>
      </c>
      <c r="C289" s="128" t="n">
        <f aca="false">ExportRaw!$G289</f>
        <v>0</v>
      </c>
      <c r="D289" s="128" t="str">
        <f aca="false">ExportRaw!$E289</f>
        <v/>
      </c>
      <c r="E289" s="129" t="str">
        <f aca="false">ExportRaw!$D289</f>
        <v/>
      </c>
      <c r="F289" s="128" t="str">
        <f aca="false">ExportRaw!$H289</f>
        <v/>
      </c>
      <c r="G289" s="130" t="str">
        <f aca="false">ExportRaw!$I289</f>
        <v/>
      </c>
      <c r="H289" s="128" t="str">
        <f aca="false">ExportRaw!$A289</f>
        <v/>
      </c>
      <c r="I289" s="128" t="str">
        <f aca="false">ExportRaw!$B289</f>
        <v/>
      </c>
    </row>
    <row r="290" customFormat="false" ht="15.75" hidden="false" customHeight="false" outlineLevel="0" collapsed="false">
      <c r="A290" s="128" t="n">
        <f aca="false">ExportRaw!$F290</f>
        <v>0</v>
      </c>
      <c r="B290" s="128" t="n">
        <f aca="false">ExportRaw!$C290</f>
        <v>0</v>
      </c>
      <c r="C290" s="128" t="n">
        <f aca="false">ExportRaw!$G290</f>
        <v>0</v>
      </c>
      <c r="D290" s="128" t="str">
        <f aca="false">ExportRaw!$E290</f>
        <v/>
      </c>
      <c r="E290" s="129" t="str">
        <f aca="false">ExportRaw!$D290</f>
        <v/>
      </c>
      <c r="F290" s="128" t="str">
        <f aca="false">ExportRaw!$H290</f>
        <v/>
      </c>
      <c r="G290" s="130" t="str">
        <f aca="false">ExportRaw!$I290</f>
        <v/>
      </c>
      <c r="H290" s="128" t="str">
        <f aca="false">ExportRaw!$A290</f>
        <v/>
      </c>
      <c r="I290" s="128" t="str">
        <f aca="false">ExportRaw!$B290</f>
        <v/>
      </c>
    </row>
    <row r="291" customFormat="false" ht="15.75" hidden="false" customHeight="false" outlineLevel="0" collapsed="false">
      <c r="A291" s="128" t="n">
        <f aca="false">ExportRaw!$F291</f>
        <v>0</v>
      </c>
      <c r="B291" s="128" t="n">
        <f aca="false">ExportRaw!$C291</f>
        <v>0</v>
      </c>
      <c r="C291" s="128" t="n">
        <f aca="false">ExportRaw!$G291</f>
        <v>0</v>
      </c>
      <c r="D291" s="128" t="str">
        <f aca="false">ExportRaw!$E291</f>
        <v/>
      </c>
      <c r="E291" s="129" t="str">
        <f aca="false">ExportRaw!$D291</f>
        <v/>
      </c>
      <c r="F291" s="128" t="str">
        <f aca="false">ExportRaw!$H291</f>
        <v/>
      </c>
      <c r="G291" s="130" t="str">
        <f aca="false">ExportRaw!$I291</f>
        <v/>
      </c>
      <c r="H291" s="128" t="str">
        <f aca="false">ExportRaw!$A291</f>
        <v/>
      </c>
      <c r="I291" s="128" t="str">
        <f aca="false">ExportRaw!$B291</f>
        <v/>
      </c>
    </row>
    <row r="292" customFormat="false" ht="15.75" hidden="false" customHeight="false" outlineLevel="0" collapsed="false">
      <c r="A292" s="128" t="n">
        <f aca="false">ExportRaw!$F292</f>
        <v>0</v>
      </c>
      <c r="B292" s="128" t="n">
        <f aca="false">ExportRaw!$C292</f>
        <v>0</v>
      </c>
      <c r="C292" s="128" t="n">
        <f aca="false">ExportRaw!$G292</f>
        <v>0</v>
      </c>
      <c r="D292" s="128" t="str">
        <f aca="false">ExportRaw!$E292</f>
        <v/>
      </c>
      <c r="E292" s="129" t="str">
        <f aca="false">ExportRaw!$D292</f>
        <v/>
      </c>
      <c r="F292" s="128" t="str">
        <f aca="false">ExportRaw!$H292</f>
        <v/>
      </c>
      <c r="G292" s="130" t="str">
        <f aca="false">ExportRaw!$I292</f>
        <v/>
      </c>
      <c r="H292" s="128" t="str">
        <f aca="false">ExportRaw!$A292</f>
        <v/>
      </c>
      <c r="I292" s="128" t="str">
        <f aca="false">ExportRaw!$B292</f>
        <v/>
      </c>
    </row>
    <row r="293" customFormat="false" ht="15.75" hidden="false" customHeight="false" outlineLevel="0" collapsed="false">
      <c r="A293" s="128" t="n">
        <f aca="false">ExportRaw!$F293</f>
        <v>0</v>
      </c>
      <c r="B293" s="128" t="n">
        <f aca="false">ExportRaw!$C293</f>
        <v>0</v>
      </c>
      <c r="C293" s="128" t="n">
        <f aca="false">ExportRaw!$G293</f>
        <v>0</v>
      </c>
      <c r="D293" s="128" t="str">
        <f aca="false">ExportRaw!$E293</f>
        <v/>
      </c>
      <c r="E293" s="129" t="str">
        <f aca="false">ExportRaw!$D293</f>
        <v/>
      </c>
      <c r="F293" s="128" t="str">
        <f aca="false">ExportRaw!$H293</f>
        <v/>
      </c>
      <c r="G293" s="130" t="str">
        <f aca="false">ExportRaw!$I293</f>
        <v/>
      </c>
      <c r="H293" s="128" t="str">
        <f aca="false">ExportRaw!$A293</f>
        <v/>
      </c>
      <c r="I293" s="128" t="str">
        <f aca="false">ExportRaw!$B293</f>
        <v/>
      </c>
    </row>
    <row r="294" customFormat="false" ht="15.75" hidden="false" customHeight="false" outlineLevel="0" collapsed="false">
      <c r="A294" s="128" t="n">
        <f aca="false">ExportRaw!$F294</f>
        <v>0</v>
      </c>
      <c r="B294" s="128" t="n">
        <f aca="false">ExportRaw!$C294</f>
        <v>0</v>
      </c>
      <c r="C294" s="128" t="n">
        <f aca="false">ExportRaw!$G294</f>
        <v>0</v>
      </c>
      <c r="D294" s="128" t="str">
        <f aca="false">ExportRaw!$E294</f>
        <v/>
      </c>
      <c r="E294" s="129" t="str">
        <f aca="false">ExportRaw!$D294</f>
        <v/>
      </c>
      <c r="F294" s="128" t="str">
        <f aca="false">ExportRaw!$H294</f>
        <v/>
      </c>
      <c r="G294" s="130" t="str">
        <f aca="false">ExportRaw!$I294</f>
        <v/>
      </c>
      <c r="H294" s="128" t="str">
        <f aca="false">ExportRaw!$A294</f>
        <v/>
      </c>
      <c r="I294" s="128" t="str">
        <f aca="false">ExportRaw!$B294</f>
        <v/>
      </c>
    </row>
    <row r="295" customFormat="false" ht="15.75" hidden="false" customHeight="false" outlineLevel="0" collapsed="false">
      <c r="A295" s="128" t="n">
        <f aca="false">ExportRaw!$F295</f>
        <v>0</v>
      </c>
      <c r="B295" s="128" t="n">
        <f aca="false">ExportRaw!$C295</f>
        <v>0</v>
      </c>
      <c r="C295" s="128" t="n">
        <f aca="false">ExportRaw!$G295</f>
        <v>0</v>
      </c>
      <c r="D295" s="128" t="str">
        <f aca="false">ExportRaw!$E295</f>
        <v/>
      </c>
      <c r="E295" s="129" t="str">
        <f aca="false">ExportRaw!$D295</f>
        <v/>
      </c>
      <c r="F295" s="128" t="str">
        <f aca="false">ExportRaw!$H295</f>
        <v/>
      </c>
      <c r="G295" s="130" t="str">
        <f aca="false">ExportRaw!$I295</f>
        <v/>
      </c>
      <c r="H295" s="128" t="str">
        <f aca="false">ExportRaw!$A295</f>
        <v/>
      </c>
      <c r="I295" s="128" t="str">
        <f aca="false">ExportRaw!$B295</f>
        <v/>
      </c>
    </row>
    <row r="296" customFormat="false" ht="15.75" hidden="false" customHeight="false" outlineLevel="0" collapsed="false">
      <c r="A296" s="128" t="n">
        <f aca="false">ExportRaw!$F296</f>
        <v>0</v>
      </c>
      <c r="B296" s="128" t="n">
        <f aca="false">ExportRaw!$C296</f>
        <v>0</v>
      </c>
      <c r="C296" s="128" t="n">
        <f aca="false">ExportRaw!$G296</f>
        <v>0</v>
      </c>
      <c r="D296" s="128" t="str">
        <f aca="false">ExportRaw!$E296</f>
        <v/>
      </c>
      <c r="E296" s="129" t="str">
        <f aca="false">ExportRaw!$D296</f>
        <v/>
      </c>
      <c r="F296" s="128" t="str">
        <f aca="false">ExportRaw!$H296</f>
        <v/>
      </c>
      <c r="G296" s="130" t="str">
        <f aca="false">ExportRaw!$I296</f>
        <v/>
      </c>
      <c r="H296" s="128" t="str">
        <f aca="false">ExportRaw!$A296</f>
        <v/>
      </c>
      <c r="I296" s="128" t="str">
        <f aca="false">ExportRaw!$B296</f>
        <v/>
      </c>
    </row>
    <row r="297" customFormat="false" ht="15.75" hidden="false" customHeight="false" outlineLevel="0" collapsed="false">
      <c r="A297" s="128" t="n">
        <f aca="false">ExportRaw!$F297</f>
        <v>0</v>
      </c>
      <c r="B297" s="128" t="n">
        <f aca="false">ExportRaw!$C297</f>
        <v>0</v>
      </c>
      <c r="C297" s="128" t="n">
        <f aca="false">ExportRaw!$G297</f>
        <v>0</v>
      </c>
      <c r="D297" s="128" t="str">
        <f aca="false">ExportRaw!$E297</f>
        <v/>
      </c>
      <c r="E297" s="129" t="str">
        <f aca="false">ExportRaw!$D297</f>
        <v/>
      </c>
      <c r="F297" s="128" t="str">
        <f aca="false">ExportRaw!$H297</f>
        <v/>
      </c>
      <c r="G297" s="130" t="str">
        <f aca="false">ExportRaw!$I297</f>
        <v/>
      </c>
      <c r="H297" s="128" t="str">
        <f aca="false">ExportRaw!$A297</f>
        <v/>
      </c>
      <c r="I297" s="128" t="str">
        <f aca="false">ExportRaw!$B297</f>
        <v/>
      </c>
    </row>
    <row r="298" customFormat="false" ht="15.75" hidden="false" customHeight="false" outlineLevel="0" collapsed="false">
      <c r="A298" s="128" t="n">
        <f aca="false">ExportRaw!$F298</f>
        <v>0</v>
      </c>
      <c r="B298" s="128" t="n">
        <f aca="false">ExportRaw!$C298</f>
        <v>0</v>
      </c>
      <c r="C298" s="128" t="n">
        <f aca="false">ExportRaw!$G298</f>
        <v>0</v>
      </c>
      <c r="D298" s="128" t="str">
        <f aca="false">ExportRaw!$E298</f>
        <v/>
      </c>
      <c r="E298" s="129" t="str">
        <f aca="false">ExportRaw!$D298</f>
        <v/>
      </c>
      <c r="F298" s="128" t="str">
        <f aca="false">ExportRaw!$H298</f>
        <v/>
      </c>
      <c r="G298" s="130" t="str">
        <f aca="false">ExportRaw!$I298</f>
        <v/>
      </c>
      <c r="H298" s="128" t="str">
        <f aca="false">ExportRaw!$A298</f>
        <v/>
      </c>
      <c r="I298" s="128" t="str">
        <f aca="false">ExportRaw!$B298</f>
        <v/>
      </c>
    </row>
    <row r="299" customFormat="false" ht="15.75" hidden="false" customHeight="false" outlineLevel="0" collapsed="false">
      <c r="A299" s="128" t="n">
        <f aca="false">ExportRaw!$F299</f>
        <v>0</v>
      </c>
      <c r="B299" s="128" t="n">
        <f aca="false">ExportRaw!$C299</f>
        <v>0</v>
      </c>
      <c r="C299" s="128" t="n">
        <f aca="false">ExportRaw!$G299</f>
        <v>0</v>
      </c>
      <c r="D299" s="128" t="str">
        <f aca="false">ExportRaw!$E299</f>
        <v/>
      </c>
      <c r="E299" s="129" t="str">
        <f aca="false">ExportRaw!$D299</f>
        <v/>
      </c>
      <c r="F299" s="128" t="str">
        <f aca="false">ExportRaw!$H299</f>
        <v/>
      </c>
      <c r="G299" s="130" t="str">
        <f aca="false">ExportRaw!$I299</f>
        <v/>
      </c>
      <c r="H299" s="128" t="str">
        <f aca="false">ExportRaw!$A299</f>
        <v/>
      </c>
      <c r="I299" s="128" t="str">
        <f aca="false">ExportRaw!$B299</f>
        <v/>
      </c>
    </row>
    <row r="300" customFormat="false" ht="15.75" hidden="false" customHeight="false" outlineLevel="0" collapsed="false">
      <c r="A300" s="128" t="n">
        <f aca="false">ExportRaw!$F300</f>
        <v>0</v>
      </c>
      <c r="B300" s="128" t="n">
        <f aca="false">ExportRaw!$C300</f>
        <v>0</v>
      </c>
      <c r="C300" s="128" t="n">
        <f aca="false">ExportRaw!$G300</f>
        <v>0</v>
      </c>
      <c r="D300" s="128" t="str">
        <f aca="false">ExportRaw!$E300</f>
        <v/>
      </c>
      <c r="E300" s="129" t="str">
        <f aca="false">ExportRaw!$D300</f>
        <v/>
      </c>
      <c r="F300" s="128" t="str">
        <f aca="false">ExportRaw!$H300</f>
        <v/>
      </c>
      <c r="G300" s="130" t="str">
        <f aca="false">ExportRaw!$I300</f>
        <v/>
      </c>
      <c r="H300" s="128" t="str">
        <f aca="false">ExportRaw!$A300</f>
        <v/>
      </c>
      <c r="I300" s="128" t="str">
        <f aca="false">ExportRaw!$B300</f>
        <v/>
      </c>
    </row>
    <row r="301" customFormat="false" ht="15.75" hidden="false" customHeight="false" outlineLevel="0" collapsed="false">
      <c r="A301" s="128" t="n">
        <f aca="false">ExportRaw!$F301</f>
        <v>0</v>
      </c>
      <c r="B301" s="128" t="n">
        <f aca="false">ExportRaw!$C301</f>
        <v>0</v>
      </c>
      <c r="C301" s="128" t="n">
        <f aca="false">ExportRaw!$G301</f>
        <v>0</v>
      </c>
      <c r="D301" s="128" t="str">
        <f aca="false">ExportRaw!$E301</f>
        <v/>
      </c>
      <c r="E301" s="129" t="str">
        <f aca="false">ExportRaw!$D301</f>
        <v/>
      </c>
      <c r="F301" s="128" t="str">
        <f aca="false">ExportRaw!$H301</f>
        <v/>
      </c>
      <c r="G301" s="130" t="str">
        <f aca="false">ExportRaw!$I301</f>
        <v/>
      </c>
      <c r="H301" s="128" t="str">
        <f aca="false">ExportRaw!$A301</f>
        <v/>
      </c>
      <c r="I301" s="128" t="str">
        <f aca="false">ExportRaw!$B301</f>
        <v/>
      </c>
    </row>
    <row r="302" customFormat="false" ht="15.75" hidden="false" customHeight="false" outlineLevel="0" collapsed="false">
      <c r="A302" s="128" t="n">
        <f aca="false">ExportRaw!$F302</f>
        <v>0</v>
      </c>
      <c r="B302" s="128" t="n">
        <f aca="false">ExportRaw!$C302</f>
        <v>0</v>
      </c>
      <c r="C302" s="128" t="n">
        <f aca="false">ExportRaw!$G302</f>
        <v>0</v>
      </c>
      <c r="D302" s="128" t="str">
        <f aca="false">ExportRaw!$E302</f>
        <v/>
      </c>
      <c r="E302" s="129" t="str">
        <f aca="false">ExportRaw!$D302</f>
        <v/>
      </c>
      <c r="F302" s="128" t="str">
        <f aca="false">ExportRaw!$H302</f>
        <v/>
      </c>
      <c r="G302" s="130" t="str">
        <f aca="false">ExportRaw!$I302</f>
        <v/>
      </c>
      <c r="H302" s="128" t="str">
        <f aca="false">ExportRaw!$A302</f>
        <v/>
      </c>
      <c r="I302" s="128" t="str">
        <f aca="false">ExportRaw!$B302</f>
        <v/>
      </c>
    </row>
    <row r="303" customFormat="false" ht="15.75" hidden="false" customHeight="false" outlineLevel="0" collapsed="false">
      <c r="A303" s="128" t="n">
        <f aca="false">ExportRaw!$F303</f>
        <v>0</v>
      </c>
      <c r="B303" s="128" t="n">
        <f aca="false">ExportRaw!$C303</f>
        <v>0</v>
      </c>
      <c r="C303" s="128" t="n">
        <f aca="false">ExportRaw!$G303</f>
        <v>0</v>
      </c>
      <c r="D303" s="128" t="str">
        <f aca="false">ExportRaw!$E303</f>
        <v/>
      </c>
      <c r="E303" s="129" t="str">
        <f aca="false">ExportRaw!$D303</f>
        <v/>
      </c>
      <c r="F303" s="128" t="str">
        <f aca="false">ExportRaw!$H303</f>
        <v/>
      </c>
      <c r="G303" s="130" t="str">
        <f aca="false">ExportRaw!$I303</f>
        <v/>
      </c>
      <c r="H303" s="128" t="str">
        <f aca="false">ExportRaw!$A303</f>
        <v/>
      </c>
      <c r="I303" s="128" t="str">
        <f aca="false">ExportRaw!$B303</f>
        <v/>
      </c>
    </row>
    <row r="304" customFormat="false" ht="15.75" hidden="false" customHeight="false" outlineLevel="0" collapsed="false">
      <c r="A304" s="128" t="n">
        <f aca="false">ExportRaw!$F304</f>
        <v>0</v>
      </c>
      <c r="B304" s="128" t="n">
        <f aca="false">ExportRaw!$C304</f>
        <v>0</v>
      </c>
      <c r="C304" s="128" t="n">
        <f aca="false">ExportRaw!$G304</f>
        <v>0</v>
      </c>
      <c r="D304" s="128" t="str">
        <f aca="false">ExportRaw!$E304</f>
        <v/>
      </c>
      <c r="E304" s="129" t="str">
        <f aca="false">ExportRaw!$D304</f>
        <v/>
      </c>
      <c r="F304" s="128" t="str">
        <f aca="false">ExportRaw!$H304</f>
        <v/>
      </c>
      <c r="G304" s="130" t="str">
        <f aca="false">ExportRaw!$I304</f>
        <v/>
      </c>
      <c r="H304" s="128" t="str">
        <f aca="false">ExportRaw!$A304</f>
        <v/>
      </c>
      <c r="I304" s="128" t="str">
        <f aca="false">ExportRaw!$B304</f>
        <v/>
      </c>
    </row>
    <row r="305" customFormat="false" ht="15.75" hidden="false" customHeight="false" outlineLevel="0" collapsed="false">
      <c r="A305" s="128" t="n">
        <f aca="false">ExportRaw!$F305</f>
        <v>0</v>
      </c>
      <c r="B305" s="128" t="n">
        <f aca="false">ExportRaw!$C305</f>
        <v>0</v>
      </c>
      <c r="C305" s="128" t="n">
        <f aca="false">ExportRaw!$G305</f>
        <v>0</v>
      </c>
      <c r="D305" s="128" t="str">
        <f aca="false">ExportRaw!$E305</f>
        <v/>
      </c>
      <c r="E305" s="129" t="str">
        <f aca="false">ExportRaw!$D305</f>
        <v/>
      </c>
      <c r="F305" s="128" t="str">
        <f aca="false">ExportRaw!$H305</f>
        <v/>
      </c>
      <c r="G305" s="130" t="str">
        <f aca="false">ExportRaw!$I305</f>
        <v/>
      </c>
      <c r="H305" s="128" t="str">
        <f aca="false">ExportRaw!$A305</f>
        <v/>
      </c>
      <c r="I305" s="128" t="str">
        <f aca="false">ExportRaw!$B305</f>
        <v/>
      </c>
    </row>
    <row r="306" customFormat="false" ht="15.75" hidden="false" customHeight="false" outlineLevel="0" collapsed="false">
      <c r="A306" s="128" t="n">
        <f aca="false">ExportRaw!$F306</f>
        <v>0</v>
      </c>
      <c r="B306" s="128" t="n">
        <f aca="false">ExportRaw!$C306</f>
        <v>0</v>
      </c>
      <c r="C306" s="128" t="n">
        <f aca="false">ExportRaw!$G306</f>
        <v>0</v>
      </c>
      <c r="D306" s="128" t="str">
        <f aca="false">ExportRaw!$E306</f>
        <v/>
      </c>
      <c r="E306" s="129" t="str">
        <f aca="false">ExportRaw!$D306</f>
        <v/>
      </c>
      <c r="F306" s="128" t="str">
        <f aca="false">ExportRaw!$H306</f>
        <v/>
      </c>
      <c r="G306" s="130" t="str">
        <f aca="false">ExportRaw!$I306</f>
        <v/>
      </c>
      <c r="H306" s="128" t="str">
        <f aca="false">ExportRaw!$A306</f>
        <v/>
      </c>
      <c r="I306" s="128" t="str">
        <f aca="false">ExportRaw!$B306</f>
        <v/>
      </c>
    </row>
    <row r="307" customFormat="false" ht="15.75" hidden="false" customHeight="false" outlineLevel="0" collapsed="false">
      <c r="A307" s="128" t="n">
        <f aca="false">ExportRaw!$F307</f>
        <v>0</v>
      </c>
      <c r="B307" s="128" t="n">
        <f aca="false">ExportRaw!$C307</f>
        <v>0</v>
      </c>
      <c r="C307" s="128" t="n">
        <f aca="false">ExportRaw!$G307</f>
        <v>0</v>
      </c>
      <c r="D307" s="128" t="str">
        <f aca="false">ExportRaw!$E307</f>
        <v/>
      </c>
      <c r="E307" s="129" t="str">
        <f aca="false">ExportRaw!$D307</f>
        <v/>
      </c>
      <c r="F307" s="128" t="str">
        <f aca="false">ExportRaw!$H307</f>
        <v/>
      </c>
      <c r="G307" s="130" t="str">
        <f aca="false">ExportRaw!$I307</f>
        <v/>
      </c>
      <c r="H307" s="128" t="str">
        <f aca="false">ExportRaw!$A307</f>
        <v/>
      </c>
      <c r="I307" s="128" t="str">
        <f aca="false">ExportRaw!$B307</f>
        <v/>
      </c>
    </row>
    <row r="308" customFormat="false" ht="15.75" hidden="false" customHeight="false" outlineLevel="0" collapsed="false">
      <c r="A308" s="128" t="n">
        <f aca="false">ExportRaw!$F308</f>
        <v>0</v>
      </c>
      <c r="B308" s="128" t="n">
        <f aca="false">ExportRaw!$C308</f>
        <v>0</v>
      </c>
      <c r="C308" s="128" t="n">
        <f aca="false">ExportRaw!$G308</f>
        <v>0</v>
      </c>
      <c r="D308" s="128" t="str">
        <f aca="false">ExportRaw!$E308</f>
        <v/>
      </c>
      <c r="E308" s="129" t="str">
        <f aca="false">ExportRaw!$D308</f>
        <v/>
      </c>
      <c r="F308" s="128" t="str">
        <f aca="false">ExportRaw!$H308</f>
        <v/>
      </c>
      <c r="G308" s="130" t="str">
        <f aca="false">ExportRaw!$I308</f>
        <v/>
      </c>
      <c r="H308" s="128" t="str">
        <f aca="false">ExportRaw!$A308</f>
        <v/>
      </c>
      <c r="I308" s="128" t="str">
        <f aca="false">ExportRaw!$B308</f>
        <v/>
      </c>
    </row>
    <row r="309" customFormat="false" ht="15.75" hidden="false" customHeight="false" outlineLevel="0" collapsed="false">
      <c r="A309" s="128" t="n">
        <f aca="false">ExportRaw!$F309</f>
        <v>0</v>
      </c>
      <c r="B309" s="128" t="n">
        <f aca="false">ExportRaw!$C309</f>
        <v>0</v>
      </c>
      <c r="C309" s="128" t="n">
        <f aca="false">ExportRaw!$G309</f>
        <v>0</v>
      </c>
      <c r="D309" s="128" t="str">
        <f aca="false">ExportRaw!$E309</f>
        <v/>
      </c>
      <c r="E309" s="129" t="str">
        <f aca="false">ExportRaw!$D309</f>
        <v/>
      </c>
      <c r="F309" s="128" t="str">
        <f aca="false">ExportRaw!$H309</f>
        <v/>
      </c>
      <c r="G309" s="130" t="str">
        <f aca="false">ExportRaw!$I309</f>
        <v/>
      </c>
      <c r="H309" s="128" t="str">
        <f aca="false">ExportRaw!$A309</f>
        <v/>
      </c>
      <c r="I309" s="128" t="str">
        <f aca="false">ExportRaw!$B309</f>
        <v/>
      </c>
    </row>
    <row r="310" customFormat="false" ht="15.75" hidden="false" customHeight="false" outlineLevel="0" collapsed="false">
      <c r="A310" s="128" t="n">
        <f aca="false">ExportRaw!$F310</f>
        <v>0</v>
      </c>
      <c r="B310" s="128" t="n">
        <f aca="false">ExportRaw!$C310</f>
        <v>0</v>
      </c>
      <c r="C310" s="128" t="n">
        <f aca="false">ExportRaw!$G310</f>
        <v>0</v>
      </c>
      <c r="D310" s="128" t="str">
        <f aca="false">ExportRaw!$E310</f>
        <v/>
      </c>
      <c r="E310" s="129" t="str">
        <f aca="false">ExportRaw!$D310</f>
        <v/>
      </c>
      <c r="F310" s="128" t="str">
        <f aca="false">ExportRaw!$H310</f>
        <v/>
      </c>
      <c r="G310" s="130" t="str">
        <f aca="false">ExportRaw!$I310</f>
        <v/>
      </c>
      <c r="H310" s="128" t="str">
        <f aca="false">ExportRaw!$A310</f>
        <v/>
      </c>
      <c r="I310" s="128" t="str">
        <f aca="false">ExportRaw!$B310</f>
        <v/>
      </c>
    </row>
    <row r="311" customFormat="false" ht="15.75" hidden="false" customHeight="false" outlineLevel="0" collapsed="false">
      <c r="A311" s="128" t="n">
        <f aca="false">ExportRaw!$F311</f>
        <v>0</v>
      </c>
      <c r="B311" s="128" t="n">
        <f aca="false">ExportRaw!$C311</f>
        <v>0</v>
      </c>
      <c r="C311" s="128" t="n">
        <f aca="false">ExportRaw!$G311</f>
        <v>0</v>
      </c>
      <c r="D311" s="128" t="str">
        <f aca="false">ExportRaw!$E311</f>
        <v/>
      </c>
      <c r="E311" s="129" t="str">
        <f aca="false">ExportRaw!$D311</f>
        <v/>
      </c>
      <c r="F311" s="128" t="str">
        <f aca="false">ExportRaw!$H311</f>
        <v/>
      </c>
      <c r="G311" s="130" t="str">
        <f aca="false">ExportRaw!$I311</f>
        <v/>
      </c>
      <c r="H311" s="128" t="str">
        <f aca="false">ExportRaw!$A311</f>
        <v/>
      </c>
      <c r="I311" s="128" t="str">
        <f aca="false">ExportRaw!$B311</f>
        <v/>
      </c>
    </row>
    <row r="312" customFormat="false" ht="15.75" hidden="false" customHeight="false" outlineLevel="0" collapsed="false">
      <c r="A312" s="128" t="n">
        <f aca="false">ExportRaw!$F312</f>
        <v>0</v>
      </c>
      <c r="B312" s="128" t="n">
        <f aca="false">ExportRaw!$C312</f>
        <v>0</v>
      </c>
      <c r="C312" s="128" t="n">
        <f aca="false">ExportRaw!$G312</f>
        <v>0</v>
      </c>
      <c r="D312" s="128" t="str">
        <f aca="false">ExportRaw!$E312</f>
        <v/>
      </c>
      <c r="E312" s="129" t="str">
        <f aca="false">ExportRaw!$D312</f>
        <v/>
      </c>
      <c r="F312" s="128" t="str">
        <f aca="false">ExportRaw!$H312</f>
        <v/>
      </c>
      <c r="G312" s="130" t="str">
        <f aca="false">ExportRaw!$I312</f>
        <v/>
      </c>
      <c r="H312" s="128" t="str">
        <f aca="false">ExportRaw!$A312</f>
        <v/>
      </c>
      <c r="I312" s="128" t="str">
        <f aca="false">ExportRaw!$B312</f>
        <v/>
      </c>
    </row>
    <row r="313" customFormat="false" ht="15.75" hidden="false" customHeight="false" outlineLevel="0" collapsed="false">
      <c r="A313" s="128" t="n">
        <f aca="false">ExportRaw!$F313</f>
        <v>0</v>
      </c>
      <c r="B313" s="128" t="n">
        <f aca="false">ExportRaw!$C313</f>
        <v>0</v>
      </c>
      <c r="C313" s="128" t="n">
        <f aca="false">ExportRaw!$G313</f>
        <v>0</v>
      </c>
      <c r="D313" s="128" t="str">
        <f aca="false">ExportRaw!$E313</f>
        <v/>
      </c>
      <c r="E313" s="129" t="str">
        <f aca="false">ExportRaw!$D313</f>
        <v/>
      </c>
      <c r="F313" s="128" t="str">
        <f aca="false">ExportRaw!$H313</f>
        <v/>
      </c>
      <c r="G313" s="130" t="str">
        <f aca="false">ExportRaw!$I313</f>
        <v/>
      </c>
      <c r="H313" s="128" t="str">
        <f aca="false">ExportRaw!$A313</f>
        <v/>
      </c>
      <c r="I313" s="128" t="str">
        <f aca="false">ExportRaw!$B313</f>
        <v/>
      </c>
    </row>
    <row r="314" customFormat="false" ht="15.75" hidden="false" customHeight="false" outlineLevel="0" collapsed="false">
      <c r="A314" s="128" t="n">
        <f aca="false">ExportRaw!$F314</f>
        <v>0</v>
      </c>
      <c r="B314" s="128" t="n">
        <f aca="false">ExportRaw!$C314</f>
        <v>0</v>
      </c>
      <c r="C314" s="128" t="n">
        <f aca="false">ExportRaw!$G314</f>
        <v>0</v>
      </c>
      <c r="D314" s="128" t="str">
        <f aca="false">ExportRaw!$E314</f>
        <v/>
      </c>
      <c r="E314" s="129" t="str">
        <f aca="false">ExportRaw!$D314</f>
        <v/>
      </c>
      <c r="F314" s="128" t="str">
        <f aca="false">ExportRaw!$H314</f>
        <v/>
      </c>
      <c r="G314" s="130" t="str">
        <f aca="false">ExportRaw!$I314</f>
        <v/>
      </c>
      <c r="H314" s="128" t="str">
        <f aca="false">ExportRaw!$A314</f>
        <v/>
      </c>
      <c r="I314" s="128" t="str">
        <f aca="false">ExportRaw!$B314</f>
        <v/>
      </c>
    </row>
    <row r="315" customFormat="false" ht="15.75" hidden="false" customHeight="false" outlineLevel="0" collapsed="false">
      <c r="A315" s="128" t="n">
        <f aca="false">ExportRaw!$F315</f>
        <v>0</v>
      </c>
      <c r="B315" s="128" t="n">
        <f aca="false">ExportRaw!$C315</f>
        <v>0</v>
      </c>
      <c r="C315" s="128" t="n">
        <f aca="false">ExportRaw!$G315</f>
        <v>0</v>
      </c>
      <c r="D315" s="128" t="str">
        <f aca="false">ExportRaw!$E315</f>
        <v/>
      </c>
      <c r="E315" s="129" t="str">
        <f aca="false">ExportRaw!$D315</f>
        <v/>
      </c>
      <c r="F315" s="128" t="str">
        <f aca="false">ExportRaw!$H315</f>
        <v/>
      </c>
      <c r="G315" s="130" t="str">
        <f aca="false">ExportRaw!$I315</f>
        <v/>
      </c>
      <c r="H315" s="128" t="str">
        <f aca="false">ExportRaw!$A315</f>
        <v/>
      </c>
      <c r="I315" s="128" t="str">
        <f aca="false">ExportRaw!$B315</f>
        <v/>
      </c>
    </row>
    <row r="316" customFormat="false" ht="15.75" hidden="false" customHeight="false" outlineLevel="0" collapsed="false">
      <c r="A316" s="128" t="n">
        <f aca="false">ExportRaw!$F316</f>
        <v>0</v>
      </c>
      <c r="B316" s="128" t="n">
        <f aca="false">ExportRaw!$C316</f>
        <v>0</v>
      </c>
      <c r="C316" s="128" t="n">
        <f aca="false">ExportRaw!$G316</f>
        <v>0</v>
      </c>
      <c r="D316" s="128" t="str">
        <f aca="false">ExportRaw!$E316</f>
        <v/>
      </c>
      <c r="E316" s="129" t="str">
        <f aca="false">ExportRaw!$D316</f>
        <v/>
      </c>
      <c r="F316" s="128" t="str">
        <f aca="false">ExportRaw!$H316</f>
        <v/>
      </c>
      <c r="G316" s="130" t="str">
        <f aca="false">ExportRaw!$I316</f>
        <v/>
      </c>
      <c r="H316" s="128" t="str">
        <f aca="false">ExportRaw!$A316</f>
        <v/>
      </c>
      <c r="I316" s="128" t="str">
        <f aca="false">ExportRaw!$B316</f>
        <v/>
      </c>
    </row>
    <row r="317" customFormat="false" ht="15.75" hidden="false" customHeight="false" outlineLevel="0" collapsed="false">
      <c r="A317" s="128" t="n">
        <f aca="false">ExportRaw!$F317</f>
        <v>0</v>
      </c>
      <c r="B317" s="128" t="n">
        <f aca="false">ExportRaw!$C317</f>
        <v>0</v>
      </c>
      <c r="C317" s="128" t="n">
        <f aca="false">ExportRaw!$G317</f>
        <v>0</v>
      </c>
      <c r="D317" s="128" t="str">
        <f aca="false">ExportRaw!$E317</f>
        <v/>
      </c>
      <c r="E317" s="129" t="str">
        <f aca="false">ExportRaw!$D317</f>
        <v/>
      </c>
      <c r="F317" s="128" t="str">
        <f aca="false">ExportRaw!$H317</f>
        <v/>
      </c>
      <c r="G317" s="130" t="str">
        <f aca="false">ExportRaw!$I317</f>
        <v/>
      </c>
      <c r="H317" s="128" t="str">
        <f aca="false">ExportRaw!$A317</f>
        <v/>
      </c>
      <c r="I317" s="128" t="str">
        <f aca="false">ExportRaw!$B317</f>
        <v/>
      </c>
    </row>
    <row r="318" customFormat="false" ht="15.75" hidden="false" customHeight="false" outlineLevel="0" collapsed="false">
      <c r="A318" s="128" t="n">
        <f aca="false">ExportRaw!$F318</f>
        <v>0</v>
      </c>
      <c r="B318" s="128" t="n">
        <f aca="false">ExportRaw!$C318</f>
        <v>0</v>
      </c>
      <c r="C318" s="128" t="n">
        <f aca="false">ExportRaw!$G318</f>
        <v>0</v>
      </c>
      <c r="D318" s="128" t="str">
        <f aca="false">ExportRaw!$E318</f>
        <v/>
      </c>
      <c r="E318" s="129" t="str">
        <f aca="false">ExportRaw!$D318</f>
        <v/>
      </c>
      <c r="F318" s="128" t="str">
        <f aca="false">ExportRaw!$H318</f>
        <v/>
      </c>
      <c r="G318" s="130" t="str">
        <f aca="false">ExportRaw!$I318</f>
        <v/>
      </c>
      <c r="H318" s="128" t="str">
        <f aca="false">ExportRaw!$A318</f>
        <v/>
      </c>
      <c r="I318" s="128" t="str">
        <f aca="false">ExportRaw!$B318</f>
        <v/>
      </c>
    </row>
    <row r="319" customFormat="false" ht="15.75" hidden="false" customHeight="false" outlineLevel="0" collapsed="false">
      <c r="A319" s="128" t="n">
        <f aca="false">ExportRaw!$F319</f>
        <v>0</v>
      </c>
      <c r="B319" s="128" t="n">
        <f aca="false">ExportRaw!$C319</f>
        <v>0</v>
      </c>
      <c r="C319" s="128" t="n">
        <f aca="false">ExportRaw!$G319</f>
        <v>0</v>
      </c>
      <c r="D319" s="128" t="str">
        <f aca="false">ExportRaw!$E319</f>
        <v/>
      </c>
      <c r="E319" s="129" t="str">
        <f aca="false">ExportRaw!$D319</f>
        <v/>
      </c>
      <c r="F319" s="128" t="str">
        <f aca="false">ExportRaw!$H319</f>
        <v/>
      </c>
      <c r="G319" s="130" t="str">
        <f aca="false">ExportRaw!$I319</f>
        <v/>
      </c>
      <c r="H319" s="128" t="str">
        <f aca="false">ExportRaw!$A319</f>
        <v/>
      </c>
      <c r="I319" s="128" t="str">
        <f aca="false">ExportRaw!$B319</f>
        <v/>
      </c>
    </row>
    <row r="320" customFormat="false" ht="15.75" hidden="false" customHeight="false" outlineLevel="0" collapsed="false">
      <c r="A320" s="128" t="n">
        <f aca="false">ExportRaw!$F320</f>
        <v>0</v>
      </c>
      <c r="B320" s="128" t="n">
        <f aca="false">ExportRaw!$C320</f>
        <v>0</v>
      </c>
      <c r="C320" s="128" t="n">
        <f aca="false">ExportRaw!$G320</f>
        <v>0</v>
      </c>
      <c r="D320" s="128" t="str">
        <f aca="false">ExportRaw!$E320</f>
        <v/>
      </c>
      <c r="E320" s="129" t="str">
        <f aca="false">ExportRaw!$D320</f>
        <v/>
      </c>
      <c r="F320" s="128" t="str">
        <f aca="false">ExportRaw!$H320</f>
        <v/>
      </c>
      <c r="G320" s="130" t="str">
        <f aca="false">ExportRaw!$I320</f>
        <v/>
      </c>
      <c r="H320" s="128" t="str">
        <f aca="false">ExportRaw!$A320</f>
        <v/>
      </c>
      <c r="I320" s="128" t="str">
        <f aca="false">ExportRaw!$B320</f>
        <v/>
      </c>
    </row>
    <row r="321" customFormat="false" ht="15.75" hidden="false" customHeight="false" outlineLevel="0" collapsed="false">
      <c r="A321" s="128" t="n">
        <f aca="false">ExportRaw!$F321</f>
        <v>0</v>
      </c>
      <c r="B321" s="128" t="n">
        <f aca="false">ExportRaw!$C321</f>
        <v>0</v>
      </c>
      <c r="C321" s="128" t="n">
        <f aca="false">ExportRaw!$G321</f>
        <v>0</v>
      </c>
      <c r="D321" s="128" t="str">
        <f aca="false">ExportRaw!$E321</f>
        <v/>
      </c>
      <c r="E321" s="129" t="str">
        <f aca="false">ExportRaw!$D321</f>
        <v/>
      </c>
      <c r="F321" s="128" t="str">
        <f aca="false">ExportRaw!$H321</f>
        <v/>
      </c>
      <c r="G321" s="130" t="str">
        <f aca="false">ExportRaw!$I321</f>
        <v/>
      </c>
      <c r="H321" s="128" t="str">
        <f aca="false">ExportRaw!$A321</f>
        <v/>
      </c>
      <c r="I321" s="128" t="str">
        <f aca="false">ExportRaw!$B321</f>
        <v/>
      </c>
    </row>
    <row r="322" customFormat="false" ht="15.75" hidden="false" customHeight="false" outlineLevel="0" collapsed="false">
      <c r="A322" s="128" t="n">
        <f aca="false">ExportRaw!$F322</f>
        <v>0</v>
      </c>
      <c r="B322" s="128" t="n">
        <f aca="false">ExportRaw!$C322</f>
        <v>0</v>
      </c>
      <c r="C322" s="128" t="n">
        <f aca="false">ExportRaw!$G322</f>
        <v>0</v>
      </c>
      <c r="D322" s="128" t="str">
        <f aca="false">ExportRaw!$E322</f>
        <v/>
      </c>
      <c r="E322" s="129" t="str">
        <f aca="false">ExportRaw!$D322</f>
        <v/>
      </c>
      <c r="F322" s="128" t="str">
        <f aca="false">ExportRaw!$H322</f>
        <v/>
      </c>
      <c r="G322" s="130" t="str">
        <f aca="false">ExportRaw!$I322</f>
        <v/>
      </c>
      <c r="H322" s="128" t="str">
        <f aca="false">ExportRaw!$A322</f>
        <v/>
      </c>
      <c r="I322" s="128" t="str">
        <f aca="false">ExportRaw!$B322</f>
        <v/>
      </c>
    </row>
    <row r="323" customFormat="false" ht="15.75" hidden="false" customHeight="false" outlineLevel="0" collapsed="false">
      <c r="A323" s="128" t="n">
        <f aca="false">ExportRaw!$F323</f>
        <v>0</v>
      </c>
      <c r="B323" s="128" t="n">
        <f aca="false">ExportRaw!$C323</f>
        <v>0</v>
      </c>
      <c r="C323" s="128" t="n">
        <f aca="false">ExportRaw!$G323</f>
        <v>0</v>
      </c>
      <c r="D323" s="128" t="str">
        <f aca="false">ExportRaw!$E323</f>
        <v/>
      </c>
      <c r="E323" s="129" t="str">
        <f aca="false">ExportRaw!$D323</f>
        <v/>
      </c>
      <c r="F323" s="128" t="str">
        <f aca="false">ExportRaw!$H323</f>
        <v/>
      </c>
      <c r="G323" s="130" t="str">
        <f aca="false">ExportRaw!$I323</f>
        <v/>
      </c>
      <c r="H323" s="128" t="str">
        <f aca="false">ExportRaw!$A323</f>
        <v/>
      </c>
      <c r="I323" s="128" t="str">
        <f aca="false">ExportRaw!$B323</f>
        <v/>
      </c>
    </row>
    <row r="324" customFormat="false" ht="15.75" hidden="false" customHeight="false" outlineLevel="0" collapsed="false">
      <c r="A324" s="128" t="n">
        <f aca="false">ExportRaw!$F324</f>
        <v>0</v>
      </c>
      <c r="B324" s="128" t="n">
        <f aca="false">ExportRaw!$C324</f>
        <v>0</v>
      </c>
      <c r="C324" s="128" t="n">
        <f aca="false">ExportRaw!$G324</f>
        <v>0</v>
      </c>
      <c r="D324" s="128" t="str">
        <f aca="false">ExportRaw!$E324</f>
        <v/>
      </c>
      <c r="E324" s="129" t="str">
        <f aca="false">ExportRaw!$D324</f>
        <v/>
      </c>
      <c r="F324" s="128" t="str">
        <f aca="false">ExportRaw!$H324</f>
        <v/>
      </c>
      <c r="G324" s="130" t="str">
        <f aca="false">ExportRaw!$I324</f>
        <v/>
      </c>
      <c r="H324" s="128" t="str">
        <f aca="false">ExportRaw!$A324</f>
        <v/>
      </c>
      <c r="I324" s="128" t="str">
        <f aca="false">ExportRaw!$B324</f>
        <v/>
      </c>
    </row>
    <row r="325" customFormat="false" ht="15.75" hidden="false" customHeight="false" outlineLevel="0" collapsed="false">
      <c r="A325" s="128" t="n">
        <f aca="false">ExportRaw!$F325</f>
        <v>0</v>
      </c>
      <c r="B325" s="128" t="n">
        <f aca="false">ExportRaw!$C325</f>
        <v>0</v>
      </c>
      <c r="C325" s="128" t="n">
        <f aca="false">ExportRaw!$G325</f>
        <v>0</v>
      </c>
      <c r="D325" s="128" t="str">
        <f aca="false">ExportRaw!$E325</f>
        <v/>
      </c>
      <c r="E325" s="129" t="str">
        <f aca="false">ExportRaw!$D325</f>
        <v/>
      </c>
      <c r="F325" s="128" t="str">
        <f aca="false">ExportRaw!$H325</f>
        <v/>
      </c>
      <c r="G325" s="130" t="str">
        <f aca="false">ExportRaw!$I325</f>
        <v/>
      </c>
      <c r="H325" s="128" t="str">
        <f aca="false">ExportRaw!$A325</f>
        <v/>
      </c>
      <c r="I325" s="128" t="str">
        <f aca="false">ExportRaw!$B325</f>
        <v/>
      </c>
    </row>
    <row r="326" customFormat="false" ht="15.75" hidden="false" customHeight="false" outlineLevel="0" collapsed="false">
      <c r="A326" s="128" t="n">
        <f aca="false">ExportRaw!$F326</f>
        <v>0</v>
      </c>
      <c r="B326" s="128" t="n">
        <f aca="false">ExportRaw!$C326</f>
        <v>0</v>
      </c>
      <c r="C326" s="128" t="n">
        <f aca="false">ExportRaw!$G326</f>
        <v>0</v>
      </c>
      <c r="D326" s="128" t="str">
        <f aca="false">ExportRaw!$E326</f>
        <v/>
      </c>
      <c r="E326" s="129" t="str">
        <f aca="false">ExportRaw!$D326</f>
        <v/>
      </c>
      <c r="F326" s="128" t="str">
        <f aca="false">ExportRaw!$H326</f>
        <v/>
      </c>
      <c r="G326" s="130" t="str">
        <f aca="false">ExportRaw!$I326</f>
        <v/>
      </c>
      <c r="H326" s="128" t="str">
        <f aca="false">ExportRaw!$A326</f>
        <v/>
      </c>
      <c r="I326" s="128" t="str">
        <f aca="false">ExportRaw!$B326</f>
        <v/>
      </c>
    </row>
    <row r="327" customFormat="false" ht="15.75" hidden="false" customHeight="false" outlineLevel="0" collapsed="false">
      <c r="A327" s="128" t="n">
        <f aca="false">ExportRaw!$F327</f>
        <v>0</v>
      </c>
      <c r="B327" s="128" t="n">
        <f aca="false">ExportRaw!$C327</f>
        <v>0</v>
      </c>
      <c r="C327" s="128" t="n">
        <f aca="false">ExportRaw!$G327</f>
        <v>0</v>
      </c>
      <c r="D327" s="128" t="str">
        <f aca="false">ExportRaw!$E327</f>
        <v/>
      </c>
      <c r="E327" s="129" t="str">
        <f aca="false">ExportRaw!$D327</f>
        <v/>
      </c>
      <c r="F327" s="128" t="str">
        <f aca="false">ExportRaw!$H327</f>
        <v/>
      </c>
      <c r="G327" s="130" t="str">
        <f aca="false">ExportRaw!$I327</f>
        <v/>
      </c>
      <c r="H327" s="128" t="str">
        <f aca="false">ExportRaw!$A327</f>
        <v/>
      </c>
      <c r="I327" s="128" t="str">
        <f aca="false">ExportRaw!$B327</f>
        <v/>
      </c>
    </row>
    <row r="328" customFormat="false" ht="15.75" hidden="false" customHeight="false" outlineLevel="0" collapsed="false">
      <c r="A328" s="128" t="n">
        <f aca="false">ExportRaw!$F328</f>
        <v>0</v>
      </c>
      <c r="B328" s="128" t="n">
        <f aca="false">ExportRaw!$C328</f>
        <v>0</v>
      </c>
      <c r="C328" s="128" t="n">
        <f aca="false">ExportRaw!$G328</f>
        <v>0</v>
      </c>
      <c r="D328" s="128" t="str">
        <f aca="false">ExportRaw!$E328</f>
        <v/>
      </c>
      <c r="E328" s="129" t="str">
        <f aca="false">ExportRaw!$D328</f>
        <v/>
      </c>
      <c r="F328" s="128" t="str">
        <f aca="false">ExportRaw!$H328</f>
        <v/>
      </c>
      <c r="G328" s="130" t="str">
        <f aca="false">ExportRaw!$I328</f>
        <v/>
      </c>
      <c r="H328" s="128" t="str">
        <f aca="false">ExportRaw!$A328</f>
        <v/>
      </c>
      <c r="I328" s="128" t="str">
        <f aca="false">ExportRaw!$B328</f>
        <v/>
      </c>
    </row>
    <row r="329" customFormat="false" ht="15.75" hidden="false" customHeight="false" outlineLevel="0" collapsed="false">
      <c r="A329" s="128" t="n">
        <f aca="false">ExportRaw!$F329</f>
        <v>0</v>
      </c>
      <c r="B329" s="128" t="n">
        <f aca="false">ExportRaw!$C329</f>
        <v>0</v>
      </c>
      <c r="C329" s="128" t="n">
        <f aca="false">ExportRaw!$G329</f>
        <v>0</v>
      </c>
      <c r="D329" s="128" t="str">
        <f aca="false">ExportRaw!$E329</f>
        <v/>
      </c>
      <c r="E329" s="129" t="str">
        <f aca="false">ExportRaw!$D329</f>
        <v/>
      </c>
      <c r="F329" s="128" t="str">
        <f aca="false">ExportRaw!$H329</f>
        <v/>
      </c>
      <c r="G329" s="130" t="str">
        <f aca="false">ExportRaw!$I329</f>
        <v/>
      </c>
      <c r="H329" s="128" t="str">
        <f aca="false">ExportRaw!$A329</f>
        <v/>
      </c>
      <c r="I329" s="128" t="str">
        <f aca="false">ExportRaw!$B329</f>
        <v/>
      </c>
    </row>
    <row r="330" customFormat="false" ht="15.75" hidden="false" customHeight="false" outlineLevel="0" collapsed="false">
      <c r="A330" s="128" t="n">
        <f aca="false">ExportRaw!$F330</f>
        <v>0</v>
      </c>
      <c r="B330" s="128" t="n">
        <f aca="false">ExportRaw!$C330</f>
        <v>0</v>
      </c>
      <c r="C330" s="128" t="n">
        <f aca="false">ExportRaw!$G330</f>
        <v>0</v>
      </c>
      <c r="D330" s="128" t="str">
        <f aca="false">ExportRaw!$E330</f>
        <v/>
      </c>
      <c r="E330" s="129" t="str">
        <f aca="false">ExportRaw!$D330</f>
        <v/>
      </c>
      <c r="F330" s="128" t="str">
        <f aca="false">ExportRaw!$H330</f>
        <v/>
      </c>
      <c r="G330" s="130" t="str">
        <f aca="false">ExportRaw!$I330</f>
        <v/>
      </c>
      <c r="H330" s="128" t="str">
        <f aca="false">ExportRaw!$A330</f>
        <v/>
      </c>
      <c r="I330" s="128" t="str">
        <f aca="false">ExportRaw!$B330</f>
        <v/>
      </c>
    </row>
    <row r="331" customFormat="false" ht="15.75" hidden="false" customHeight="false" outlineLevel="0" collapsed="false">
      <c r="A331" s="128" t="n">
        <f aca="false">ExportRaw!$F331</f>
        <v>0</v>
      </c>
      <c r="B331" s="128" t="n">
        <f aca="false">ExportRaw!$C331</f>
        <v>0</v>
      </c>
      <c r="C331" s="128" t="n">
        <f aca="false">ExportRaw!$G331</f>
        <v>0</v>
      </c>
      <c r="D331" s="128" t="str">
        <f aca="false">ExportRaw!$E331</f>
        <v/>
      </c>
      <c r="E331" s="129" t="str">
        <f aca="false">ExportRaw!$D331</f>
        <v/>
      </c>
      <c r="F331" s="128" t="str">
        <f aca="false">ExportRaw!$H331</f>
        <v/>
      </c>
      <c r="G331" s="130" t="str">
        <f aca="false">ExportRaw!$I331</f>
        <v/>
      </c>
      <c r="H331" s="128" t="str">
        <f aca="false">ExportRaw!$A331</f>
        <v/>
      </c>
      <c r="I331" s="128" t="str">
        <f aca="false">ExportRaw!$B331</f>
        <v/>
      </c>
    </row>
    <row r="332" customFormat="false" ht="15.75" hidden="false" customHeight="false" outlineLevel="0" collapsed="false">
      <c r="A332" s="128" t="n">
        <f aca="false">ExportRaw!$F332</f>
        <v>0</v>
      </c>
      <c r="B332" s="128" t="n">
        <f aca="false">ExportRaw!$C332</f>
        <v>0</v>
      </c>
      <c r="C332" s="128" t="n">
        <f aca="false">ExportRaw!$G332</f>
        <v>0</v>
      </c>
      <c r="D332" s="128" t="str">
        <f aca="false">ExportRaw!$E332</f>
        <v/>
      </c>
      <c r="E332" s="129" t="str">
        <f aca="false">ExportRaw!$D332</f>
        <v/>
      </c>
      <c r="F332" s="128" t="str">
        <f aca="false">ExportRaw!$H332</f>
        <v/>
      </c>
      <c r="G332" s="130" t="str">
        <f aca="false">ExportRaw!$I332</f>
        <v/>
      </c>
      <c r="H332" s="128" t="str">
        <f aca="false">ExportRaw!$A332</f>
        <v/>
      </c>
      <c r="I332" s="128" t="str">
        <f aca="false">ExportRaw!$B332</f>
        <v/>
      </c>
    </row>
    <row r="333" customFormat="false" ht="15.75" hidden="false" customHeight="false" outlineLevel="0" collapsed="false">
      <c r="A333" s="128" t="n">
        <f aca="false">ExportRaw!$F333</f>
        <v>0</v>
      </c>
      <c r="B333" s="128" t="n">
        <f aca="false">ExportRaw!$C333</f>
        <v>0</v>
      </c>
      <c r="C333" s="128" t="n">
        <f aca="false">ExportRaw!$G333</f>
        <v>0</v>
      </c>
      <c r="D333" s="128" t="str">
        <f aca="false">ExportRaw!$E333</f>
        <v/>
      </c>
      <c r="E333" s="129" t="str">
        <f aca="false">ExportRaw!$D333</f>
        <v/>
      </c>
      <c r="F333" s="128" t="str">
        <f aca="false">ExportRaw!$H333</f>
        <v/>
      </c>
      <c r="G333" s="130" t="str">
        <f aca="false">ExportRaw!$I333</f>
        <v/>
      </c>
      <c r="H333" s="128" t="str">
        <f aca="false">ExportRaw!$A333</f>
        <v/>
      </c>
      <c r="I333" s="128" t="str">
        <f aca="false">ExportRaw!$B333</f>
        <v/>
      </c>
    </row>
    <row r="334" customFormat="false" ht="15.75" hidden="false" customHeight="false" outlineLevel="0" collapsed="false">
      <c r="A334" s="128" t="n">
        <f aca="false">ExportRaw!$F334</f>
        <v>0</v>
      </c>
      <c r="B334" s="128" t="n">
        <f aca="false">ExportRaw!$C334</f>
        <v>0</v>
      </c>
      <c r="C334" s="128" t="n">
        <f aca="false">ExportRaw!$G334</f>
        <v>0</v>
      </c>
      <c r="D334" s="128" t="str">
        <f aca="false">ExportRaw!$E334</f>
        <v/>
      </c>
      <c r="E334" s="129" t="str">
        <f aca="false">ExportRaw!$D334</f>
        <v/>
      </c>
      <c r="F334" s="128" t="str">
        <f aca="false">ExportRaw!$H334</f>
        <v/>
      </c>
      <c r="G334" s="130" t="str">
        <f aca="false">ExportRaw!$I334</f>
        <v/>
      </c>
      <c r="H334" s="128" t="str">
        <f aca="false">ExportRaw!$A334</f>
        <v/>
      </c>
      <c r="I334" s="128" t="str">
        <f aca="false">ExportRaw!$B334</f>
        <v/>
      </c>
    </row>
    <row r="335" customFormat="false" ht="15.75" hidden="false" customHeight="false" outlineLevel="0" collapsed="false">
      <c r="A335" s="128" t="n">
        <f aca="false">ExportRaw!$F335</f>
        <v>0</v>
      </c>
      <c r="B335" s="128" t="n">
        <f aca="false">ExportRaw!$C335</f>
        <v>0</v>
      </c>
      <c r="C335" s="128" t="n">
        <f aca="false">ExportRaw!$G335</f>
        <v>0</v>
      </c>
      <c r="D335" s="128" t="str">
        <f aca="false">ExportRaw!$E335</f>
        <v/>
      </c>
      <c r="E335" s="129" t="str">
        <f aca="false">ExportRaw!$D335</f>
        <v/>
      </c>
      <c r="F335" s="128" t="str">
        <f aca="false">ExportRaw!$H335</f>
        <v/>
      </c>
      <c r="G335" s="130" t="str">
        <f aca="false">ExportRaw!$I335</f>
        <v/>
      </c>
      <c r="H335" s="128" t="str">
        <f aca="false">ExportRaw!$A335</f>
        <v/>
      </c>
      <c r="I335" s="128" t="str">
        <f aca="false">ExportRaw!$B335</f>
        <v/>
      </c>
    </row>
    <row r="336" customFormat="false" ht="15.75" hidden="false" customHeight="false" outlineLevel="0" collapsed="false">
      <c r="A336" s="128" t="n">
        <f aca="false">ExportRaw!$F336</f>
        <v>0</v>
      </c>
      <c r="B336" s="128" t="n">
        <f aca="false">ExportRaw!$C336</f>
        <v>0</v>
      </c>
      <c r="C336" s="128" t="n">
        <f aca="false">ExportRaw!$G336</f>
        <v>0</v>
      </c>
      <c r="D336" s="128" t="str">
        <f aca="false">ExportRaw!$E336</f>
        <v/>
      </c>
      <c r="E336" s="129" t="str">
        <f aca="false">ExportRaw!$D336</f>
        <v/>
      </c>
      <c r="F336" s="128" t="str">
        <f aca="false">ExportRaw!$H336</f>
        <v/>
      </c>
      <c r="G336" s="130" t="str">
        <f aca="false">ExportRaw!$I336</f>
        <v/>
      </c>
      <c r="H336" s="128" t="str">
        <f aca="false">ExportRaw!$A336</f>
        <v/>
      </c>
      <c r="I336" s="128" t="str">
        <f aca="false">ExportRaw!$B336</f>
        <v/>
      </c>
    </row>
    <row r="337" customFormat="false" ht="15.75" hidden="false" customHeight="false" outlineLevel="0" collapsed="false">
      <c r="A337" s="128" t="n">
        <f aca="false">ExportRaw!$F337</f>
        <v>0</v>
      </c>
      <c r="B337" s="128" t="n">
        <f aca="false">ExportRaw!$C337</f>
        <v>0</v>
      </c>
      <c r="C337" s="128" t="n">
        <f aca="false">ExportRaw!$G337</f>
        <v>0</v>
      </c>
      <c r="D337" s="128" t="str">
        <f aca="false">ExportRaw!$E337</f>
        <v/>
      </c>
      <c r="E337" s="129" t="str">
        <f aca="false">ExportRaw!$D337</f>
        <v/>
      </c>
      <c r="F337" s="128" t="str">
        <f aca="false">ExportRaw!$H337</f>
        <v/>
      </c>
      <c r="G337" s="130" t="str">
        <f aca="false">ExportRaw!$I337</f>
        <v/>
      </c>
      <c r="H337" s="128" t="str">
        <f aca="false">ExportRaw!$A337</f>
        <v/>
      </c>
      <c r="I337" s="128" t="str">
        <f aca="false">ExportRaw!$B337</f>
        <v/>
      </c>
    </row>
    <row r="338" customFormat="false" ht="15.75" hidden="false" customHeight="false" outlineLevel="0" collapsed="false">
      <c r="A338" s="128" t="n">
        <f aca="false">ExportRaw!$F338</f>
        <v>0</v>
      </c>
      <c r="B338" s="128" t="n">
        <f aca="false">ExportRaw!$C338</f>
        <v>0</v>
      </c>
      <c r="C338" s="128" t="n">
        <f aca="false">ExportRaw!$G338</f>
        <v>0</v>
      </c>
      <c r="D338" s="128" t="str">
        <f aca="false">ExportRaw!$E338</f>
        <v/>
      </c>
      <c r="E338" s="129" t="str">
        <f aca="false">ExportRaw!$D338</f>
        <v/>
      </c>
      <c r="F338" s="128" t="str">
        <f aca="false">ExportRaw!$H338</f>
        <v/>
      </c>
      <c r="G338" s="130" t="str">
        <f aca="false">ExportRaw!$I338</f>
        <v/>
      </c>
      <c r="H338" s="128" t="str">
        <f aca="false">ExportRaw!$A338</f>
        <v/>
      </c>
      <c r="I338" s="128" t="str">
        <f aca="false">ExportRaw!$B338</f>
        <v/>
      </c>
    </row>
    <row r="339" customFormat="false" ht="15.75" hidden="false" customHeight="false" outlineLevel="0" collapsed="false">
      <c r="A339" s="128" t="n">
        <f aca="false">ExportRaw!$F339</f>
        <v>0</v>
      </c>
      <c r="B339" s="128" t="n">
        <f aca="false">ExportRaw!$C339</f>
        <v>0</v>
      </c>
      <c r="C339" s="128" t="n">
        <f aca="false">ExportRaw!$G339</f>
        <v>0</v>
      </c>
      <c r="D339" s="128" t="str">
        <f aca="false">ExportRaw!$E339</f>
        <v/>
      </c>
      <c r="E339" s="129" t="str">
        <f aca="false">ExportRaw!$D339</f>
        <v/>
      </c>
      <c r="F339" s="128" t="str">
        <f aca="false">ExportRaw!$H339</f>
        <v/>
      </c>
      <c r="G339" s="130" t="str">
        <f aca="false">ExportRaw!$I339</f>
        <v/>
      </c>
      <c r="H339" s="128" t="str">
        <f aca="false">ExportRaw!$A339</f>
        <v/>
      </c>
      <c r="I339" s="128" t="str">
        <f aca="false">ExportRaw!$B339</f>
        <v/>
      </c>
    </row>
    <row r="340" customFormat="false" ht="15.75" hidden="false" customHeight="false" outlineLevel="0" collapsed="false">
      <c r="A340" s="128" t="n">
        <f aca="false">ExportRaw!$F340</f>
        <v>0</v>
      </c>
      <c r="B340" s="128" t="n">
        <f aca="false">ExportRaw!$C340</f>
        <v>0</v>
      </c>
      <c r="C340" s="128" t="n">
        <f aca="false">ExportRaw!$G340</f>
        <v>0</v>
      </c>
      <c r="D340" s="128" t="str">
        <f aca="false">ExportRaw!$E340</f>
        <v/>
      </c>
      <c r="E340" s="129" t="str">
        <f aca="false">ExportRaw!$D340</f>
        <v/>
      </c>
      <c r="F340" s="128" t="str">
        <f aca="false">ExportRaw!$H340</f>
        <v/>
      </c>
      <c r="G340" s="130" t="str">
        <f aca="false">ExportRaw!$I340</f>
        <v/>
      </c>
      <c r="H340" s="128" t="str">
        <f aca="false">ExportRaw!$A340</f>
        <v/>
      </c>
      <c r="I340" s="128" t="str">
        <f aca="false">ExportRaw!$B340</f>
        <v/>
      </c>
    </row>
    <row r="341" customFormat="false" ht="15.75" hidden="false" customHeight="false" outlineLevel="0" collapsed="false">
      <c r="A341" s="128" t="n">
        <f aca="false">ExportRaw!$F341</f>
        <v>0</v>
      </c>
      <c r="B341" s="128" t="n">
        <f aca="false">ExportRaw!$C341</f>
        <v>0</v>
      </c>
      <c r="C341" s="128" t="n">
        <f aca="false">ExportRaw!$G341</f>
        <v>0</v>
      </c>
      <c r="D341" s="128" t="str">
        <f aca="false">ExportRaw!$E341</f>
        <v/>
      </c>
      <c r="E341" s="129" t="str">
        <f aca="false">ExportRaw!$D341</f>
        <v/>
      </c>
      <c r="F341" s="128" t="str">
        <f aca="false">ExportRaw!$H341</f>
        <v/>
      </c>
      <c r="G341" s="130" t="str">
        <f aca="false">ExportRaw!$I341</f>
        <v/>
      </c>
      <c r="H341" s="128" t="str">
        <f aca="false">ExportRaw!$A341</f>
        <v/>
      </c>
      <c r="I341" s="128" t="str">
        <f aca="false">ExportRaw!$B341</f>
        <v/>
      </c>
    </row>
    <row r="342" customFormat="false" ht="15.75" hidden="false" customHeight="false" outlineLevel="0" collapsed="false">
      <c r="A342" s="128" t="n">
        <f aca="false">ExportRaw!$F342</f>
        <v>0</v>
      </c>
      <c r="B342" s="128" t="n">
        <f aca="false">ExportRaw!$C342</f>
        <v>0</v>
      </c>
      <c r="C342" s="128" t="n">
        <f aca="false">ExportRaw!$G342</f>
        <v>0</v>
      </c>
      <c r="D342" s="128" t="str">
        <f aca="false">ExportRaw!$E342</f>
        <v/>
      </c>
      <c r="E342" s="129" t="str">
        <f aca="false">ExportRaw!$D342</f>
        <v/>
      </c>
      <c r="F342" s="128" t="str">
        <f aca="false">ExportRaw!$H342</f>
        <v/>
      </c>
      <c r="G342" s="130" t="str">
        <f aca="false">ExportRaw!$I342</f>
        <v/>
      </c>
      <c r="H342" s="128" t="str">
        <f aca="false">ExportRaw!$A342</f>
        <v/>
      </c>
      <c r="I342" s="128" t="str">
        <f aca="false">ExportRaw!$B342</f>
        <v/>
      </c>
    </row>
    <row r="343" customFormat="false" ht="15.75" hidden="false" customHeight="false" outlineLevel="0" collapsed="false">
      <c r="A343" s="128" t="n">
        <f aca="false">ExportRaw!$F343</f>
        <v>0</v>
      </c>
      <c r="B343" s="128" t="n">
        <f aca="false">ExportRaw!$C343</f>
        <v>0</v>
      </c>
      <c r="C343" s="128" t="n">
        <f aca="false">ExportRaw!$G343</f>
        <v>0</v>
      </c>
      <c r="D343" s="128" t="str">
        <f aca="false">ExportRaw!$E343</f>
        <v/>
      </c>
      <c r="E343" s="129" t="str">
        <f aca="false">ExportRaw!$D343</f>
        <v/>
      </c>
      <c r="F343" s="128" t="str">
        <f aca="false">ExportRaw!$H343</f>
        <v/>
      </c>
      <c r="G343" s="130" t="str">
        <f aca="false">ExportRaw!$I343</f>
        <v/>
      </c>
      <c r="H343" s="128" t="str">
        <f aca="false">ExportRaw!$A343</f>
        <v/>
      </c>
      <c r="I343" s="128" t="str">
        <f aca="false">ExportRaw!$B343</f>
        <v/>
      </c>
    </row>
    <row r="344" customFormat="false" ht="15.75" hidden="false" customHeight="false" outlineLevel="0" collapsed="false">
      <c r="A344" s="128" t="n">
        <f aca="false">ExportRaw!$F344</f>
        <v>0</v>
      </c>
      <c r="B344" s="128" t="n">
        <f aca="false">ExportRaw!$C344</f>
        <v>0</v>
      </c>
      <c r="C344" s="128" t="n">
        <f aca="false">ExportRaw!$G344</f>
        <v>0</v>
      </c>
      <c r="D344" s="128" t="str">
        <f aca="false">ExportRaw!$E344</f>
        <v/>
      </c>
      <c r="E344" s="129" t="str">
        <f aca="false">ExportRaw!$D344</f>
        <v/>
      </c>
      <c r="F344" s="128" t="str">
        <f aca="false">ExportRaw!$H344</f>
        <v/>
      </c>
      <c r="G344" s="130" t="str">
        <f aca="false">ExportRaw!$I344</f>
        <v/>
      </c>
      <c r="H344" s="128" t="str">
        <f aca="false">ExportRaw!$A344</f>
        <v/>
      </c>
      <c r="I344" s="128" t="str">
        <f aca="false">ExportRaw!$B344</f>
        <v/>
      </c>
    </row>
    <row r="345" customFormat="false" ht="15.75" hidden="false" customHeight="false" outlineLevel="0" collapsed="false">
      <c r="A345" s="128" t="n">
        <f aca="false">ExportRaw!$F345</f>
        <v>0</v>
      </c>
      <c r="B345" s="128" t="n">
        <f aca="false">ExportRaw!$C345</f>
        <v>0</v>
      </c>
      <c r="C345" s="128" t="n">
        <f aca="false">ExportRaw!$G345</f>
        <v>0</v>
      </c>
      <c r="D345" s="128" t="str">
        <f aca="false">ExportRaw!$E345</f>
        <v/>
      </c>
      <c r="E345" s="129" t="str">
        <f aca="false">ExportRaw!$D345</f>
        <v/>
      </c>
      <c r="F345" s="128" t="str">
        <f aca="false">ExportRaw!$H345</f>
        <v/>
      </c>
      <c r="G345" s="130" t="str">
        <f aca="false">ExportRaw!$I345</f>
        <v/>
      </c>
      <c r="H345" s="128" t="str">
        <f aca="false">ExportRaw!$A345</f>
        <v/>
      </c>
      <c r="I345" s="128" t="str">
        <f aca="false">ExportRaw!$B345</f>
        <v/>
      </c>
    </row>
    <row r="346" customFormat="false" ht="15.75" hidden="false" customHeight="false" outlineLevel="0" collapsed="false">
      <c r="A346" s="128" t="n">
        <f aca="false">ExportRaw!$F346</f>
        <v>0</v>
      </c>
      <c r="B346" s="128" t="n">
        <f aca="false">ExportRaw!$C346</f>
        <v>0</v>
      </c>
      <c r="C346" s="128" t="n">
        <f aca="false">ExportRaw!$G346</f>
        <v>0</v>
      </c>
      <c r="D346" s="128" t="str">
        <f aca="false">ExportRaw!$E346</f>
        <v/>
      </c>
      <c r="E346" s="129" t="str">
        <f aca="false">ExportRaw!$D346</f>
        <v/>
      </c>
      <c r="F346" s="128" t="str">
        <f aca="false">ExportRaw!$H346</f>
        <v/>
      </c>
      <c r="G346" s="130" t="str">
        <f aca="false">ExportRaw!$I346</f>
        <v/>
      </c>
      <c r="H346" s="128" t="str">
        <f aca="false">ExportRaw!$A346</f>
        <v/>
      </c>
      <c r="I346" s="128" t="str">
        <f aca="false">ExportRaw!$B346</f>
        <v/>
      </c>
    </row>
    <row r="347" customFormat="false" ht="15.75" hidden="false" customHeight="false" outlineLevel="0" collapsed="false">
      <c r="A347" s="128" t="n">
        <f aca="false">ExportRaw!$F347</f>
        <v>0</v>
      </c>
      <c r="B347" s="128" t="n">
        <f aca="false">ExportRaw!$C347</f>
        <v>0</v>
      </c>
      <c r="C347" s="128" t="n">
        <f aca="false">ExportRaw!$G347</f>
        <v>0</v>
      </c>
      <c r="D347" s="128" t="str">
        <f aca="false">ExportRaw!$E347</f>
        <v/>
      </c>
      <c r="E347" s="129" t="str">
        <f aca="false">ExportRaw!$D347</f>
        <v/>
      </c>
      <c r="F347" s="128" t="str">
        <f aca="false">ExportRaw!$H347</f>
        <v/>
      </c>
      <c r="G347" s="130" t="str">
        <f aca="false">ExportRaw!$I347</f>
        <v/>
      </c>
      <c r="H347" s="128" t="str">
        <f aca="false">ExportRaw!$A347</f>
        <v/>
      </c>
      <c r="I347" s="128" t="str">
        <f aca="false">ExportRaw!$B347</f>
        <v/>
      </c>
    </row>
    <row r="348" customFormat="false" ht="15.75" hidden="false" customHeight="false" outlineLevel="0" collapsed="false">
      <c r="A348" s="128" t="n">
        <f aca="false">ExportRaw!$F348</f>
        <v>0</v>
      </c>
      <c r="B348" s="128" t="n">
        <f aca="false">ExportRaw!$C348</f>
        <v>0</v>
      </c>
      <c r="C348" s="128" t="n">
        <f aca="false">ExportRaw!$G348</f>
        <v>0</v>
      </c>
      <c r="D348" s="128" t="str">
        <f aca="false">ExportRaw!$E348</f>
        <v/>
      </c>
      <c r="E348" s="129" t="str">
        <f aca="false">ExportRaw!$D348</f>
        <v/>
      </c>
      <c r="F348" s="128" t="str">
        <f aca="false">ExportRaw!$H348</f>
        <v/>
      </c>
      <c r="G348" s="130" t="str">
        <f aca="false">ExportRaw!$I348</f>
        <v/>
      </c>
      <c r="H348" s="128" t="str">
        <f aca="false">ExportRaw!$A348</f>
        <v/>
      </c>
      <c r="I348" s="128" t="str">
        <f aca="false">ExportRaw!$B348</f>
        <v/>
      </c>
    </row>
    <row r="349" customFormat="false" ht="15.75" hidden="false" customHeight="false" outlineLevel="0" collapsed="false">
      <c r="A349" s="128" t="n">
        <f aca="false">ExportRaw!$F349</f>
        <v>0</v>
      </c>
      <c r="B349" s="128" t="n">
        <f aca="false">ExportRaw!$C349</f>
        <v>0</v>
      </c>
      <c r="C349" s="128" t="n">
        <f aca="false">ExportRaw!$G349</f>
        <v>0</v>
      </c>
      <c r="D349" s="128" t="str">
        <f aca="false">ExportRaw!$E349</f>
        <v/>
      </c>
      <c r="E349" s="129" t="str">
        <f aca="false">ExportRaw!$D349</f>
        <v/>
      </c>
      <c r="F349" s="128" t="str">
        <f aca="false">ExportRaw!$H349</f>
        <v/>
      </c>
      <c r="G349" s="130" t="str">
        <f aca="false">ExportRaw!$I349</f>
        <v/>
      </c>
      <c r="H349" s="128" t="str">
        <f aca="false">ExportRaw!$A349</f>
        <v/>
      </c>
      <c r="I349" s="128" t="str">
        <f aca="false">ExportRaw!$B349</f>
        <v/>
      </c>
    </row>
    <row r="350" customFormat="false" ht="15.75" hidden="false" customHeight="false" outlineLevel="0" collapsed="false">
      <c r="A350" s="128" t="n">
        <f aca="false">ExportRaw!$F350</f>
        <v>0</v>
      </c>
      <c r="B350" s="128" t="n">
        <f aca="false">ExportRaw!$C350</f>
        <v>0</v>
      </c>
      <c r="C350" s="128" t="n">
        <f aca="false">ExportRaw!$G350</f>
        <v>0</v>
      </c>
      <c r="D350" s="128" t="str">
        <f aca="false">ExportRaw!$E350</f>
        <v/>
      </c>
      <c r="E350" s="129" t="str">
        <f aca="false">ExportRaw!$D350</f>
        <v/>
      </c>
      <c r="F350" s="128" t="str">
        <f aca="false">ExportRaw!$H350</f>
        <v/>
      </c>
      <c r="G350" s="130" t="str">
        <f aca="false">ExportRaw!$I350</f>
        <v/>
      </c>
      <c r="H350" s="128" t="str">
        <f aca="false">ExportRaw!$A350</f>
        <v/>
      </c>
      <c r="I350" s="128" t="str">
        <f aca="false">ExportRaw!$B350</f>
        <v/>
      </c>
    </row>
    <row r="351" customFormat="false" ht="15.75" hidden="false" customHeight="false" outlineLevel="0" collapsed="false">
      <c r="A351" s="128" t="n">
        <f aca="false">ExportRaw!$F351</f>
        <v>0</v>
      </c>
      <c r="B351" s="128" t="n">
        <f aca="false">ExportRaw!$C351</f>
        <v>0</v>
      </c>
      <c r="C351" s="128" t="n">
        <f aca="false">ExportRaw!$G351</f>
        <v>0</v>
      </c>
      <c r="D351" s="128" t="str">
        <f aca="false">ExportRaw!$E351</f>
        <v/>
      </c>
      <c r="E351" s="129" t="str">
        <f aca="false">ExportRaw!$D351</f>
        <v/>
      </c>
      <c r="F351" s="128" t="str">
        <f aca="false">ExportRaw!$H351</f>
        <v/>
      </c>
      <c r="G351" s="130" t="str">
        <f aca="false">ExportRaw!$I351</f>
        <v/>
      </c>
      <c r="H351" s="128" t="str">
        <f aca="false">ExportRaw!$A351</f>
        <v/>
      </c>
      <c r="I351" s="128" t="str">
        <f aca="false">ExportRaw!$B351</f>
        <v/>
      </c>
    </row>
    <row r="352" customFormat="false" ht="15.75" hidden="false" customHeight="false" outlineLevel="0" collapsed="false">
      <c r="A352" s="128" t="n">
        <f aca="false">ExportRaw!$F352</f>
        <v>0</v>
      </c>
      <c r="B352" s="128" t="n">
        <f aca="false">ExportRaw!$C352</f>
        <v>0</v>
      </c>
      <c r="C352" s="128" t="n">
        <f aca="false">ExportRaw!$G352</f>
        <v>0</v>
      </c>
      <c r="D352" s="128" t="str">
        <f aca="false">ExportRaw!$E352</f>
        <v/>
      </c>
      <c r="E352" s="129" t="str">
        <f aca="false">ExportRaw!$D352</f>
        <v/>
      </c>
      <c r="F352" s="128" t="str">
        <f aca="false">ExportRaw!$H352</f>
        <v/>
      </c>
      <c r="G352" s="130" t="str">
        <f aca="false">ExportRaw!$I352</f>
        <v/>
      </c>
      <c r="H352" s="128" t="str">
        <f aca="false">ExportRaw!$A352</f>
        <v/>
      </c>
      <c r="I352" s="128" t="str">
        <f aca="false">ExportRaw!$B352</f>
        <v/>
      </c>
    </row>
    <row r="353" customFormat="false" ht="15.75" hidden="false" customHeight="false" outlineLevel="0" collapsed="false">
      <c r="A353" s="128" t="n">
        <f aca="false">ExportRaw!$F353</f>
        <v>0</v>
      </c>
      <c r="B353" s="128" t="n">
        <f aca="false">ExportRaw!$C353</f>
        <v>0</v>
      </c>
      <c r="C353" s="128" t="n">
        <f aca="false">ExportRaw!$G353</f>
        <v>0</v>
      </c>
      <c r="D353" s="128" t="str">
        <f aca="false">ExportRaw!$E353</f>
        <v/>
      </c>
      <c r="E353" s="129" t="str">
        <f aca="false">ExportRaw!$D353</f>
        <v/>
      </c>
      <c r="F353" s="128" t="str">
        <f aca="false">ExportRaw!$H353</f>
        <v/>
      </c>
      <c r="G353" s="130" t="str">
        <f aca="false">ExportRaw!$I353</f>
        <v/>
      </c>
      <c r="H353" s="128" t="str">
        <f aca="false">ExportRaw!$A353</f>
        <v/>
      </c>
      <c r="I353" s="128" t="str">
        <f aca="false">ExportRaw!$B353</f>
        <v/>
      </c>
    </row>
    <row r="354" customFormat="false" ht="15.75" hidden="false" customHeight="false" outlineLevel="0" collapsed="false">
      <c r="A354" s="128" t="n">
        <f aca="false">ExportRaw!$F354</f>
        <v>0</v>
      </c>
      <c r="B354" s="128" t="n">
        <f aca="false">ExportRaw!$C354</f>
        <v>0</v>
      </c>
      <c r="C354" s="128" t="n">
        <f aca="false">ExportRaw!$G354</f>
        <v>0</v>
      </c>
      <c r="D354" s="128" t="str">
        <f aca="false">ExportRaw!$E354</f>
        <v/>
      </c>
      <c r="E354" s="129" t="str">
        <f aca="false">ExportRaw!$D354</f>
        <v/>
      </c>
      <c r="F354" s="128" t="str">
        <f aca="false">ExportRaw!$H354</f>
        <v/>
      </c>
      <c r="G354" s="130" t="str">
        <f aca="false">ExportRaw!$I354</f>
        <v/>
      </c>
      <c r="H354" s="128" t="str">
        <f aca="false">ExportRaw!$A354</f>
        <v/>
      </c>
      <c r="I354" s="128" t="str">
        <f aca="false">ExportRaw!$B354</f>
        <v/>
      </c>
    </row>
    <row r="355" customFormat="false" ht="15.75" hidden="false" customHeight="false" outlineLevel="0" collapsed="false">
      <c r="A355" s="128" t="n">
        <f aca="false">ExportRaw!$F355</f>
        <v>0</v>
      </c>
      <c r="B355" s="128" t="n">
        <f aca="false">ExportRaw!$C355</f>
        <v>0</v>
      </c>
      <c r="C355" s="128" t="n">
        <f aca="false">ExportRaw!$G355</f>
        <v>0</v>
      </c>
      <c r="D355" s="128" t="str">
        <f aca="false">ExportRaw!$E355</f>
        <v/>
      </c>
      <c r="E355" s="129" t="str">
        <f aca="false">ExportRaw!$D355</f>
        <v/>
      </c>
      <c r="F355" s="128" t="str">
        <f aca="false">ExportRaw!$H355</f>
        <v/>
      </c>
      <c r="G355" s="130" t="str">
        <f aca="false">ExportRaw!$I355</f>
        <v/>
      </c>
      <c r="H355" s="128" t="str">
        <f aca="false">ExportRaw!$A355</f>
        <v/>
      </c>
      <c r="I355" s="128" t="str">
        <f aca="false">ExportRaw!$B355</f>
        <v/>
      </c>
    </row>
    <row r="356" customFormat="false" ht="15.75" hidden="false" customHeight="false" outlineLevel="0" collapsed="false">
      <c r="A356" s="128" t="n">
        <f aca="false">ExportRaw!$F356</f>
        <v>0</v>
      </c>
      <c r="B356" s="128" t="n">
        <f aca="false">ExportRaw!$C356</f>
        <v>0</v>
      </c>
      <c r="C356" s="128" t="n">
        <f aca="false">ExportRaw!$G356</f>
        <v>0</v>
      </c>
      <c r="D356" s="128" t="str">
        <f aca="false">ExportRaw!$E356</f>
        <v/>
      </c>
      <c r="E356" s="129" t="str">
        <f aca="false">ExportRaw!$D356</f>
        <v/>
      </c>
      <c r="F356" s="128" t="str">
        <f aca="false">ExportRaw!$H356</f>
        <v/>
      </c>
      <c r="G356" s="130" t="str">
        <f aca="false">ExportRaw!$I356</f>
        <v/>
      </c>
      <c r="H356" s="128" t="str">
        <f aca="false">ExportRaw!$A356</f>
        <v/>
      </c>
      <c r="I356" s="128" t="str">
        <f aca="false">ExportRaw!$B356</f>
        <v/>
      </c>
    </row>
    <row r="357" customFormat="false" ht="15.75" hidden="false" customHeight="false" outlineLevel="0" collapsed="false">
      <c r="A357" s="128" t="n">
        <f aca="false">ExportRaw!$F357</f>
        <v>0</v>
      </c>
      <c r="B357" s="128" t="n">
        <f aca="false">ExportRaw!$C357</f>
        <v>0</v>
      </c>
      <c r="C357" s="128" t="n">
        <f aca="false">ExportRaw!$G357</f>
        <v>0</v>
      </c>
      <c r="D357" s="128" t="str">
        <f aca="false">ExportRaw!$E357</f>
        <v/>
      </c>
      <c r="E357" s="129" t="str">
        <f aca="false">ExportRaw!$D357</f>
        <v/>
      </c>
      <c r="F357" s="128" t="str">
        <f aca="false">ExportRaw!$H357</f>
        <v/>
      </c>
      <c r="G357" s="130" t="str">
        <f aca="false">ExportRaw!$I357</f>
        <v/>
      </c>
      <c r="H357" s="128" t="str">
        <f aca="false">ExportRaw!$A357</f>
        <v/>
      </c>
      <c r="I357" s="128" t="str">
        <f aca="false">ExportRaw!$B357</f>
        <v/>
      </c>
    </row>
    <row r="358" customFormat="false" ht="15.75" hidden="false" customHeight="false" outlineLevel="0" collapsed="false">
      <c r="A358" s="128" t="n">
        <f aca="false">ExportRaw!$F358</f>
        <v>0</v>
      </c>
      <c r="B358" s="128" t="n">
        <f aca="false">ExportRaw!$C358</f>
        <v>0</v>
      </c>
      <c r="C358" s="128" t="n">
        <f aca="false">ExportRaw!$G358</f>
        <v>0</v>
      </c>
      <c r="D358" s="128" t="str">
        <f aca="false">ExportRaw!$E358</f>
        <v/>
      </c>
      <c r="E358" s="129" t="str">
        <f aca="false">ExportRaw!$D358</f>
        <v/>
      </c>
      <c r="F358" s="128" t="str">
        <f aca="false">ExportRaw!$H358</f>
        <v/>
      </c>
      <c r="G358" s="130" t="str">
        <f aca="false">ExportRaw!$I358</f>
        <v/>
      </c>
      <c r="H358" s="128" t="str">
        <f aca="false">ExportRaw!$A358</f>
        <v/>
      </c>
      <c r="I358" s="128" t="str">
        <f aca="false">ExportRaw!$B358</f>
        <v/>
      </c>
    </row>
    <row r="359" customFormat="false" ht="15.75" hidden="false" customHeight="false" outlineLevel="0" collapsed="false">
      <c r="A359" s="128" t="n">
        <f aca="false">ExportRaw!$F359</f>
        <v>0</v>
      </c>
      <c r="B359" s="128" t="n">
        <f aca="false">ExportRaw!$C359</f>
        <v>0</v>
      </c>
      <c r="C359" s="128" t="n">
        <f aca="false">ExportRaw!$G359</f>
        <v>0</v>
      </c>
      <c r="D359" s="128" t="str">
        <f aca="false">ExportRaw!$E359</f>
        <v/>
      </c>
      <c r="E359" s="129" t="str">
        <f aca="false">ExportRaw!$D359</f>
        <v/>
      </c>
      <c r="F359" s="128" t="str">
        <f aca="false">ExportRaw!$H359</f>
        <v/>
      </c>
      <c r="G359" s="130" t="str">
        <f aca="false">ExportRaw!$I359</f>
        <v/>
      </c>
      <c r="H359" s="128" t="str">
        <f aca="false">ExportRaw!$A359</f>
        <v/>
      </c>
      <c r="I359" s="128" t="str">
        <f aca="false">ExportRaw!$B359</f>
        <v/>
      </c>
    </row>
    <row r="360" customFormat="false" ht="15.75" hidden="false" customHeight="false" outlineLevel="0" collapsed="false">
      <c r="A360" s="128" t="n">
        <f aca="false">ExportRaw!$F360</f>
        <v>0</v>
      </c>
      <c r="B360" s="128" t="n">
        <f aca="false">ExportRaw!$C360</f>
        <v>0</v>
      </c>
      <c r="C360" s="128" t="n">
        <f aca="false">ExportRaw!$G360</f>
        <v>0</v>
      </c>
      <c r="D360" s="128" t="str">
        <f aca="false">ExportRaw!$E360</f>
        <v/>
      </c>
      <c r="E360" s="129" t="str">
        <f aca="false">ExportRaw!$D360</f>
        <v/>
      </c>
      <c r="F360" s="128" t="str">
        <f aca="false">ExportRaw!$H360</f>
        <v/>
      </c>
      <c r="G360" s="130" t="str">
        <f aca="false">ExportRaw!$I360</f>
        <v/>
      </c>
      <c r="H360" s="128" t="str">
        <f aca="false">ExportRaw!$A360</f>
        <v/>
      </c>
      <c r="I360" s="128" t="str">
        <f aca="false">ExportRaw!$B360</f>
        <v/>
      </c>
    </row>
    <row r="361" customFormat="false" ht="15.75" hidden="false" customHeight="false" outlineLevel="0" collapsed="false">
      <c r="A361" s="128" t="n">
        <f aca="false">ExportRaw!$F361</f>
        <v>0</v>
      </c>
      <c r="B361" s="128" t="n">
        <f aca="false">ExportRaw!$C361</f>
        <v>0</v>
      </c>
      <c r="C361" s="128" t="n">
        <f aca="false">ExportRaw!$G361</f>
        <v>0</v>
      </c>
      <c r="D361" s="128" t="str">
        <f aca="false">ExportRaw!$E361</f>
        <v/>
      </c>
      <c r="E361" s="129" t="str">
        <f aca="false">ExportRaw!$D361</f>
        <v/>
      </c>
      <c r="F361" s="128" t="str">
        <f aca="false">ExportRaw!$H361</f>
        <v/>
      </c>
      <c r="G361" s="130" t="str">
        <f aca="false">ExportRaw!$I361</f>
        <v/>
      </c>
      <c r="H361" s="128" t="str">
        <f aca="false">ExportRaw!$A361</f>
        <v/>
      </c>
      <c r="I361" s="128" t="str">
        <f aca="false">ExportRaw!$B361</f>
        <v/>
      </c>
    </row>
    <row r="362" customFormat="false" ht="15.75" hidden="false" customHeight="false" outlineLevel="0" collapsed="false">
      <c r="A362" s="128" t="n">
        <f aca="false">ExportRaw!$F362</f>
        <v>0</v>
      </c>
      <c r="B362" s="128" t="n">
        <f aca="false">ExportRaw!$C362</f>
        <v>0</v>
      </c>
      <c r="C362" s="128" t="n">
        <f aca="false">ExportRaw!$G362</f>
        <v>0</v>
      </c>
      <c r="D362" s="128" t="str">
        <f aca="false">ExportRaw!$E362</f>
        <v/>
      </c>
      <c r="E362" s="129" t="str">
        <f aca="false">ExportRaw!$D362</f>
        <v/>
      </c>
      <c r="F362" s="128" t="str">
        <f aca="false">ExportRaw!$H362</f>
        <v/>
      </c>
      <c r="G362" s="130" t="str">
        <f aca="false">ExportRaw!$I362</f>
        <v/>
      </c>
      <c r="H362" s="128" t="str">
        <f aca="false">ExportRaw!$A362</f>
        <v/>
      </c>
      <c r="I362" s="128" t="str">
        <f aca="false">ExportRaw!$B362</f>
        <v/>
      </c>
    </row>
    <row r="363" customFormat="false" ht="15.75" hidden="false" customHeight="false" outlineLevel="0" collapsed="false">
      <c r="A363" s="128" t="n">
        <f aca="false">ExportRaw!$F363</f>
        <v>0</v>
      </c>
      <c r="B363" s="128" t="n">
        <f aca="false">ExportRaw!$C363</f>
        <v>0</v>
      </c>
      <c r="C363" s="128" t="n">
        <f aca="false">ExportRaw!$G363</f>
        <v>0</v>
      </c>
      <c r="D363" s="128" t="str">
        <f aca="false">ExportRaw!$E363</f>
        <v/>
      </c>
      <c r="E363" s="129" t="str">
        <f aca="false">ExportRaw!$D363</f>
        <v/>
      </c>
      <c r="F363" s="128" t="str">
        <f aca="false">ExportRaw!$H363</f>
        <v/>
      </c>
      <c r="G363" s="130" t="str">
        <f aca="false">ExportRaw!$I363</f>
        <v/>
      </c>
      <c r="H363" s="128" t="str">
        <f aca="false">ExportRaw!$A363</f>
        <v/>
      </c>
      <c r="I363" s="128" t="str">
        <f aca="false">ExportRaw!$B363</f>
        <v/>
      </c>
    </row>
    <row r="364" customFormat="false" ht="15.75" hidden="false" customHeight="false" outlineLevel="0" collapsed="false">
      <c r="A364" s="128" t="n">
        <f aca="false">ExportRaw!$F364</f>
        <v>0</v>
      </c>
      <c r="B364" s="128" t="n">
        <f aca="false">ExportRaw!$C364</f>
        <v>0</v>
      </c>
      <c r="C364" s="128" t="n">
        <f aca="false">ExportRaw!$G364</f>
        <v>0</v>
      </c>
      <c r="D364" s="128" t="str">
        <f aca="false">ExportRaw!$E364</f>
        <v/>
      </c>
      <c r="E364" s="129" t="str">
        <f aca="false">ExportRaw!$D364</f>
        <v/>
      </c>
      <c r="F364" s="128" t="str">
        <f aca="false">ExportRaw!$H364</f>
        <v/>
      </c>
      <c r="G364" s="130" t="str">
        <f aca="false">ExportRaw!$I364</f>
        <v/>
      </c>
      <c r="H364" s="128" t="str">
        <f aca="false">ExportRaw!$A364</f>
        <v/>
      </c>
      <c r="I364" s="128" t="str">
        <f aca="false">ExportRaw!$B364</f>
        <v/>
      </c>
    </row>
    <row r="365" customFormat="false" ht="15.75" hidden="false" customHeight="false" outlineLevel="0" collapsed="false">
      <c r="A365" s="128" t="n">
        <f aca="false">ExportRaw!$F365</f>
        <v>0</v>
      </c>
      <c r="B365" s="128" t="n">
        <f aca="false">ExportRaw!$C365</f>
        <v>0</v>
      </c>
      <c r="C365" s="128" t="n">
        <f aca="false">ExportRaw!$G365</f>
        <v>0</v>
      </c>
      <c r="D365" s="128" t="str">
        <f aca="false">ExportRaw!$E365</f>
        <v/>
      </c>
      <c r="E365" s="129" t="str">
        <f aca="false">ExportRaw!$D365</f>
        <v/>
      </c>
      <c r="F365" s="128" t="str">
        <f aca="false">ExportRaw!$H365</f>
        <v/>
      </c>
      <c r="G365" s="130" t="str">
        <f aca="false">ExportRaw!$I365</f>
        <v/>
      </c>
      <c r="H365" s="128" t="str">
        <f aca="false">ExportRaw!$A365</f>
        <v/>
      </c>
      <c r="I365" s="128" t="str">
        <f aca="false">ExportRaw!$B365</f>
        <v/>
      </c>
    </row>
    <row r="366" customFormat="false" ht="15.75" hidden="false" customHeight="false" outlineLevel="0" collapsed="false">
      <c r="A366" s="128" t="n">
        <f aca="false">ExportRaw!$F366</f>
        <v>0</v>
      </c>
      <c r="B366" s="128" t="n">
        <f aca="false">ExportRaw!$C366</f>
        <v>0</v>
      </c>
      <c r="C366" s="128" t="n">
        <f aca="false">ExportRaw!$G366</f>
        <v>0</v>
      </c>
      <c r="D366" s="128" t="str">
        <f aca="false">ExportRaw!$E366</f>
        <v/>
      </c>
      <c r="E366" s="129" t="str">
        <f aca="false">ExportRaw!$D366</f>
        <v/>
      </c>
      <c r="F366" s="128" t="str">
        <f aca="false">ExportRaw!$H366</f>
        <v/>
      </c>
      <c r="G366" s="130" t="str">
        <f aca="false">ExportRaw!$I366</f>
        <v/>
      </c>
      <c r="H366" s="128" t="str">
        <f aca="false">ExportRaw!$A366</f>
        <v/>
      </c>
      <c r="I366" s="128" t="str">
        <f aca="false">ExportRaw!$B366</f>
        <v/>
      </c>
    </row>
    <row r="367" customFormat="false" ht="15.75" hidden="false" customHeight="false" outlineLevel="0" collapsed="false">
      <c r="A367" s="128" t="n">
        <f aca="false">ExportRaw!$F367</f>
        <v>0</v>
      </c>
      <c r="B367" s="128" t="n">
        <f aca="false">ExportRaw!$C367</f>
        <v>0</v>
      </c>
      <c r="C367" s="128" t="n">
        <f aca="false">ExportRaw!$G367</f>
        <v>0</v>
      </c>
      <c r="D367" s="128" t="str">
        <f aca="false">ExportRaw!$E367</f>
        <v/>
      </c>
      <c r="E367" s="129" t="str">
        <f aca="false">ExportRaw!$D367</f>
        <v/>
      </c>
      <c r="F367" s="128" t="str">
        <f aca="false">ExportRaw!$H367</f>
        <v/>
      </c>
      <c r="G367" s="130" t="str">
        <f aca="false">ExportRaw!$I367</f>
        <v/>
      </c>
      <c r="H367" s="128" t="str">
        <f aca="false">ExportRaw!$A367</f>
        <v/>
      </c>
      <c r="I367" s="128" t="str">
        <f aca="false">ExportRaw!$B367</f>
        <v/>
      </c>
    </row>
    <row r="368" customFormat="false" ht="15.75" hidden="false" customHeight="false" outlineLevel="0" collapsed="false">
      <c r="A368" s="128" t="n">
        <f aca="false">ExportRaw!$F368</f>
        <v>0</v>
      </c>
      <c r="B368" s="128" t="n">
        <f aca="false">ExportRaw!$C368</f>
        <v>0</v>
      </c>
      <c r="C368" s="128" t="n">
        <f aca="false">ExportRaw!$G368</f>
        <v>0</v>
      </c>
      <c r="D368" s="128" t="str">
        <f aca="false">ExportRaw!$E368</f>
        <v/>
      </c>
      <c r="E368" s="129" t="str">
        <f aca="false">ExportRaw!$D368</f>
        <v/>
      </c>
      <c r="F368" s="128" t="str">
        <f aca="false">ExportRaw!$H368</f>
        <v/>
      </c>
      <c r="G368" s="130" t="str">
        <f aca="false">ExportRaw!$I368</f>
        <v/>
      </c>
      <c r="H368" s="128" t="str">
        <f aca="false">ExportRaw!$A368</f>
        <v/>
      </c>
      <c r="I368" s="128" t="str">
        <f aca="false">ExportRaw!$B368</f>
        <v/>
      </c>
    </row>
    <row r="369" customFormat="false" ht="15.75" hidden="false" customHeight="false" outlineLevel="0" collapsed="false">
      <c r="A369" s="128" t="n">
        <f aca="false">ExportRaw!$F369</f>
        <v>0</v>
      </c>
      <c r="B369" s="128" t="n">
        <f aca="false">ExportRaw!$C369</f>
        <v>0</v>
      </c>
      <c r="C369" s="128" t="n">
        <f aca="false">ExportRaw!$G369</f>
        <v>0</v>
      </c>
      <c r="D369" s="128" t="str">
        <f aca="false">ExportRaw!$E369</f>
        <v/>
      </c>
      <c r="E369" s="129" t="str">
        <f aca="false">ExportRaw!$D369</f>
        <v/>
      </c>
      <c r="F369" s="128" t="str">
        <f aca="false">ExportRaw!$H369</f>
        <v/>
      </c>
      <c r="G369" s="130" t="str">
        <f aca="false">ExportRaw!$I369</f>
        <v/>
      </c>
      <c r="H369" s="128" t="str">
        <f aca="false">ExportRaw!$A369</f>
        <v/>
      </c>
      <c r="I369" s="128" t="str">
        <f aca="false">ExportRaw!$B369</f>
        <v/>
      </c>
    </row>
    <row r="370" customFormat="false" ht="15.75" hidden="false" customHeight="false" outlineLevel="0" collapsed="false">
      <c r="A370" s="128" t="n">
        <f aca="false">ExportRaw!$F370</f>
        <v>0</v>
      </c>
      <c r="B370" s="128" t="n">
        <f aca="false">ExportRaw!$C370</f>
        <v>0</v>
      </c>
      <c r="C370" s="128" t="n">
        <f aca="false">ExportRaw!$G370</f>
        <v>0</v>
      </c>
      <c r="D370" s="128" t="str">
        <f aca="false">ExportRaw!$E370</f>
        <v/>
      </c>
      <c r="E370" s="129" t="str">
        <f aca="false">ExportRaw!$D370</f>
        <v/>
      </c>
      <c r="F370" s="128" t="str">
        <f aca="false">ExportRaw!$H370</f>
        <v/>
      </c>
      <c r="G370" s="130" t="str">
        <f aca="false">ExportRaw!$I370</f>
        <v/>
      </c>
      <c r="H370" s="128" t="str">
        <f aca="false">ExportRaw!$A370</f>
        <v/>
      </c>
      <c r="I370" s="128" t="str">
        <f aca="false">ExportRaw!$B370</f>
        <v/>
      </c>
    </row>
    <row r="371" customFormat="false" ht="15.75" hidden="false" customHeight="false" outlineLevel="0" collapsed="false">
      <c r="A371" s="128" t="n">
        <f aca="false">ExportRaw!$F371</f>
        <v>0</v>
      </c>
      <c r="B371" s="128" t="n">
        <f aca="false">ExportRaw!$C371</f>
        <v>0</v>
      </c>
      <c r="C371" s="128" t="n">
        <f aca="false">ExportRaw!$G371</f>
        <v>0</v>
      </c>
      <c r="D371" s="128" t="str">
        <f aca="false">ExportRaw!$E371</f>
        <v/>
      </c>
      <c r="E371" s="129" t="str">
        <f aca="false">ExportRaw!$D371</f>
        <v/>
      </c>
      <c r="F371" s="128" t="str">
        <f aca="false">ExportRaw!$H371</f>
        <v/>
      </c>
      <c r="G371" s="130" t="str">
        <f aca="false">ExportRaw!$I371</f>
        <v/>
      </c>
      <c r="H371" s="128" t="str">
        <f aca="false">ExportRaw!$A371</f>
        <v/>
      </c>
      <c r="I371" s="128" t="str">
        <f aca="false">ExportRaw!$B371</f>
        <v/>
      </c>
    </row>
    <row r="372" customFormat="false" ht="15.75" hidden="false" customHeight="false" outlineLevel="0" collapsed="false">
      <c r="A372" s="128" t="n">
        <f aca="false">ExportRaw!$F372</f>
        <v>0</v>
      </c>
      <c r="B372" s="128" t="n">
        <f aca="false">ExportRaw!$C372</f>
        <v>0</v>
      </c>
      <c r="C372" s="128" t="n">
        <f aca="false">ExportRaw!$G372</f>
        <v>0</v>
      </c>
      <c r="D372" s="128" t="str">
        <f aca="false">ExportRaw!$E372</f>
        <v/>
      </c>
      <c r="E372" s="129" t="str">
        <f aca="false">ExportRaw!$D372</f>
        <v/>
      </c>
      <c r="F372" s="128" t="str">
        <f aca="false">ExportRaw!$H372</f>
        <v/>
      </c>
      <c r="G372" s="130" t="str">
        <f aca="false">ExportRaw!$I372</f>
        <v/>
      </c>
      <c r="H372" s="128" t="str">
        <f aca="false">ExportRaw!$A372</f>
        <v/>
      </c>
      <c r="I372" s="128" t="str">
        <f aca="false">ExportRaw!$B372</f>
        <v/>
      </c>
    </row>
    <row r="373" customFormat="false" ht="15.75" hidden="false" customHeight="false" outlineLevel="0" collapsed="false">
      <c r="A373" s="128" t="n">
        <f aca="false">ExportRaw!$F373</f>
        <v>0</v>
      </c>
      <c r="B373" s="128" t="n">
        <f aca="false">ExportRaw!$C373</f>
        <v>0</v>
      </c>
      <c r="C373" s="128" t="n">
        <f aca="false">ExportRaw!$G373</f>
        <v>0</v>
      </c>
      <c r="D373" s="128" t="str">
        <f aca="false">ExportRaw!$E373</f>
        <v/>
      </c>
      <c r="E373" s="129" t="str">
        <f aca="false">ExportRaw!$D373</f>
        <v/>
      </c>
      <c r="F373" s="128" t="str">
        <f aca="false">ExportRaw!$H373</f>
        <v/>
      </c>
      <c r="G373" s="130" t="str">
        <f aca="false">ExportRaw!$I373</f>
        <v/>
      </c>
      <c r="H373" s="128" t="str">
        <f aca="false">ExportRaw!$A373</f>
        <v/>
      </c>
      <c r="I373" s="128" t="str">
        <f aca="false">ExportRaw!$B373</f>
        <v/>
      </c>
    </row>
    <row r="374" customFormat="false" ht="15.75" hidden="false" customHeight="false" outlineLevel="0" collapsed="false">
      <c r="A374" s="128" t="n">
        <f aca="false">ExportRaw!$F374</f>
        <v>0</v>
      </c>
      <c r="B374" s="128" t="n">
        <f aca="false">ExportRaw!$C374</f>
        <v>0</v>
      </c>
      <c r="C374" s="128" t="n">
        <f aca="false">ExportRaw!$G374</f>
        <v>0</v>
      </c>
      <c r="D374" s="128" t="str">
        <f aca="false">ExportRaw!$E374</f>
        <v/>
      </c>
      <c r="E374" s="129" t="str">
        <f aca="false">ExportRaw!$D374</f>
        <v/>
      </c>
      <c r="F374" s="128" t="str">
        <f aca="false">ExportRaw!$H374</f>
        <v/>
      </c>
      <c r="G374" s="130" t="str">
        <f aca="false">ExportRaw!$I374</f>
        <v/>
      </c>
      <c r="H374" s="128" t="str">
        <f aca="false">ExportRaw!$A374</f>
        <v/>
      </c>
      <c r="I374" s="128" t="str">
        <f aca="false">ExportRaw!$B374</f>
        <v/>
      </c>
    </row>
    <row r="375" customFormat="false" ht="15.75" hidden="false" customHeight="false" outlineLevel="0" collapsed="false">
      <c r="A375" s="128" t="n">
        <f aca="false">ExportRaw!$F375</f>
        <v>0</v>
      </c>
      <c r="B375" s="128" t="n">
        <f aca="false">ExportRaw!$C375</f>
        <v>0</v>
      </c>
      <c r="C375" s="128" t="n">
        <f aca="false">ExportRaw!$G375</f>
        <v>0</v>
      </c>
      <c r="D375" s="128" t="str">
        <f aca="false">ExportRaw!$E375</f>
        <v/>
      </c>
      <c r="E375" s="129" t="str">
        <f aca="false">ExportRaw!$D375</f>
        <v/>
      </c>
      <c r="F375" s="128" t="str">
        <f aca="false">ExportRaw!$H375</f>
        <v/>
      </c>
      <c r="G375" s="130" t="str">
        <f aca="false">ExportRaw!$I375</f>
        <v/>
      </c>
      <c r="H375" s="128" t="str">
        <f aca="false">ExportRaw!$A375</f>
        <v/>
      </c>
      <c r="I375" s="128" t="str">
        <f aca="false">ExportRaw!$B375</f>
        <v/>
      </c>
    </row>
    <row r="376" customFormat="false" ht="15.75" hidden="false" customHeight="false" outlineLevel="0" collapsed="false">
      <c r="A376" s="128" t="n">
        <f aca="false">ExportRaw!$F376</f>
        <v>0</v>
      </c>
      <c r="B376" s="128" t="n">
        <f aca="false">ExportRaw!$C376</f>
        <v>0</v>
      </c>
      <c r="C376" s="128" t="n">
        <f aca="false">ExportRaw!$G376</f>
        <v>0</v>
      </c>
      <c r="D376" s="128" t="str">
        <f aca="false">ExportRaw!$E376</f>
        <v/>
      </c>
      <c r="E376" s="129" t="str">
        <f aca="false">ExportRaw!$D376</f>
        <v/>
      </c>
      <c r="F376" s="128" t="str">
        <f aca="false">ExportRaw!$H376</f>
        <v/>
      </c>
      <c r="G376" s="130" t="str">
        <f aca="false">ExportRaw!$I376</f>
        <v/>
      </c>
      <c r="H376" s="128" t="str">
        <f aca="false">ExportRaw!$A376</f>
        <v/>
      </c>
      <c r="I376" s="128" t="str">
        <f aca="false">ExportRaw!$B376</f>
        <v/>
      </c>
    </row>
    <row r="377" customFormat="false" ht="15.75" hidden="false" customHeight="false" outlineLevel="0" collapsed="false">
      <c r="A377" s="128" t="n">
        <f aca="false">ExportRaw!$F377</f>
        <v>0</v>
      </c>
      <c r="B377" s="128" t="n">
        <f aca="false">ExportRaw!$C377</f>
        <v>0</v>
      </c>
      <c r="C377" s="128" t="n">
        <f aca="false">ExportRaw!$G377</f>
        <v>0</v>
      </c>
      <c r="D377" s="128" t="str">
        <f aca="false">ExportRaw!$E377</f>
        <v/>
      </c>
      <c r="E377" s="129" t="str">
        <f aca="false">ExportRaw!$D377</f>
        <v/>
      </c>
      <c r="F377" s="128" t="str">
        <f aca="false">ExportRaw!$H377</f>
        <v/>
      </c>
      <c r="G377" s="130" t="str">
        <f aca="false">ExportRaw!$I377</f>
        <v/>
      </c>
      <c r="H377" s="128" t="str">
        <f aca="false">ExportRaw!$A377</f>
        <v/>
      </c>
      <c r="I377" s="128" t="str">
        <f aca="false">ExportRaw!$B377</f>
        <v/>
      </c>
    </row>
    <row r="378" customFormat="false" ht="15.75" hidden="false" customHeight="false" outlineLevel="0" collapsed="false">
      <c r="A378" s="128" t="n">
        <f aca="false">ExportRaw!$F378</f>
        <v>0</v>
      </c>
      <c r="B378" s="128" t="n">
        <f aca="false">ExportRaw!$C378</f>
        <v>0</v>
      </c>
      <c r="C378" s="128" t="n">
        <f aca="false">ExportRaw!$G378</f>
        <v>0</v>
      </c>
      <c r="D378" s="128" t="str">
        <f aca="false">ExportRaw!$E378</f>
        <v/>
      </c>
      <c r="E378" s="129" t="str">
        <f aca="false">ExportRaw!$D378</f>
        <v/>
      </c>
      <c r="F378" s="128" t="str">
        <f aca="false">ExportRaw!$H378</f>
        <v/>
      </c>
      <c r="G378" s="130" t="str">
        <f aca="false">ExportRaw!$I378</f>
        <v/>
      </c>
      <c r="H378" s="128" t="str">
        <f aca="false">ExportRaw!$A378</f>
        <v/>
      </c>
      <c r="I378" s="128" t="str">
        <f aca="false">ExportRaw!$B378</f>
        <v/>
      </c>
    </row>
    <row r="379" customFormat="false" ht="15.75" hidden="false" customHeight="false" outlineLevel="0" collapsed="false">
      <c r="A379" s="128" t="n">
        <f aca="false">ExportRaw!$F379</f>
        <v>0</v>
      </c>
      <c r="B379" s="128" t="n">
        <f aca="false">ExportRaw!$C379</f>
        <v>0</v>
      </c>
      <c r="C379" s="128" t="n">
        <f aca="false">ExportRaw!$G379</f>
        <v>0</v>
      </c>
      <c r="D379" s="128" t="str">
        <f aca="false">ExportRaw!$E379</f>
        <v/>
      </c>
      <c r="E379" s="129" t="str">
        <f aca="false">ExportRaw!$D379</f>
        <v/>
      </c>
      <c r="F379" s="128" t="str">
        <f aca="false">ExportRaw!$H379</f>
        <v/>
      </c>
      <c r="G379" s="130" t="str">
        <f aca="false">ExportRaw!$I379</f>
        <v/>
      </c>
      <c r="H379" s="128" t="str">
        <f aca="false">ExportRaw!$A379</f>
        <v/>
      </c>
      <c r="I379" s="128" t="str">
        <f aca="false">ExportRaw!$B379</f>
        <v/>
      </c>
    </row>
    <row r="380" customFormat="false" ht="15.75" hidden="false" customHeight="false" outlineLevel="0" collapsed="false">
      <c r="A380" s="128" t="n">
        <f aca="false">ExportRaw!$F380</f>
        <v>0</v>
      </c>
      <c r="B380" s="128" t="n">
        <f aca="false">ExportRaw!$C380</f>
        <v>0</v>
      </c>
      <c r="C380" s="128" t="n">
        <f aca="false">ExportRaw!$G380</f>
        <v>0</v>
      </c>
      <c r="D380" s="128" t="str">
        <f aca="false">ExportRaw!$E380</f>
        <v/>
      </c>
      <c r="E380" s="129" t="str">
        <f aca="false">ExportRaw!$D380</f>
        <v/>
      </c>
      <c r="F380" s="128" t="str">
        <f aca="false">ExportRaw!$H380</f>
        <v/>
      </c>
      <c r="G380" s="130" t="str">
        <f aca="false">ExportRaw!$I380</f>
        <v/>
      </c>
      <c r="H380" s="128" t="str">
        <f aca="false">ExportRaw!$A380</f>
        <v/>
      </c>
      <c r="I380" s="128" t="str">
        <f aca="false">ExportRaw!$B380</f>
        <v/>
      </c>
    </row>
    <row r="381" customFormat="false" ht="15.75" hidden="false" customHeight="false" outlineLevel="0" collapsed="false">
      <c r="A381" s="128" t="n">
        <f aca="false">ExportRaw!$F381</f>
        <v>0</v>
      </c>
      <c r="B381" s="128" t="n">
        <f aca="false">ExportRaw!$C381</f>
        <v>0</v>
      </c>
      <c r="C381" s="128" t="n">
        <f aca="false">ExportRaw!$G381</f>
        <v>0</v>
      </c>
      <c r="D381" s="128" t="str">
        <f aca="false">ExportRaw!$E381</f>
        <v/>
      </c>
      <c r="E381" s="129" t="str">
        <f aca="false">ExportRaw!$D381</f>
        <v/>
      </c>
      <c r="F381" s="128" t="str">
        <f aca="false">ExportRaw!$H381</f>
        <v/>
      </c>
      <c r="G381" s="130" t="str">
        <f aca="false">ExportRaw!$I381</f>
        <v/>
      </c>
      <c r="H381" s="128" t="str">
        <f aca="false">ExportRaw!$A381</f>
        <v/>
      </c>
      <c r="I381" s="128" t="str">
        <f aca="false">ExportRaw!$B381</f>
        <v/>
      </c>
    </row>
    <row r="382" customFormat="false" ht="15.75" hidden="false" customHeight="false" outlineLevel="0" collapsed="false">
      <c r="A382" s="128" t="n">
        <f aca="false">ExportRaw!$F382</f>
        <v>0</v>
      </c>
      <c r="B382" s="128" t="n">
        <f aca="false">ExportRaw!$C382</f>
        <v>0</v>
      </c>
      <c r="C382" s="128" t="n">
        <f aca="false">ExportRaw!$G382</f>
        <v>0</v>
      </c>
      <c r="D382" s="128" t="str">
        <f aca="false">ExportRaw!$E382</f>
        <v/>
      </c>
      <c r="E382" s="129" t="str">
        <f aca="false">ExportRaw!$D382</f>
        <v/>
      </c>
      <c r="F382" s="128" t="str">
        <f aca="false">ExportRaw!$H382</f>
        <v/>
      </c>
      <c r="G382" s="130" t="str">
        <f aca="false">ExportRaw!$I382</f>
        <v/>
      </c>
      <c r="H382" s="128" t="str">
        <f aca="false">ExportRaw!$A382</f>
        <v/>
      </c>
      <c r="I382" s="128" t="str">
        <f aca="false">ExportRaw!$B382</f>
        <v/>
      </c>
    </row>
    <row r="383" customFormat="false" ht="15.75" hidden="false" customHeight="false" outlineLevel="0" collapsed="false">
      <c r="A383" s="128" t="n">
        <f aca="false">ExportRaw!$F383</f>
        <v>0</v>
      </c>
      <c r="B383" s="128" t="n">
        <f aca="false">ExportRaw!$C383</f>
        <v>0</v>
      </c>
      <c r="C383" s="128" t="n">
        <f aca="false">ExportRaw!$G383</f>
        <v>0</v>
      </c>
      <c r="D383" s="128" t="str">
        <f aca="false">ExportRaw!$E383</f>
        <v/>
      </c>
      <c r="E383" s="129" t="str">
        <f aca="false">ExportRaw!$D383</f>
        <v/>
      </c>
      <c r="F383" s="128" t="str">
        <f aca="false">ExportRaw!$H383</f>
        <v/>
      </c>
      <c r="G383" s="130" t="str">
        <f aca="false">ExportRaw!$I383</f>
        <v/>
      </c>
      <c r="H383" s="128" t="str">
        <f aca="false">ExportRaw!$A383</f>
        <v/>
      </c>
      <c r="I383" s="128" t="str">
        <f aca="false">ExportRaw!$B383</f>
        <v/>
      </c>
    </row>
    <row r="384" customFormat="false" ht="15.75" hidden="false" customHeight="false" outlineLevel="0" collapsed="false">
      <c r="A384" s="128" t="n">
        <f aca="false">ExportRaw!$F384</f>
        <v>0</v>
      </c>
      <c r="B384" s="128" t="n">
        <f aca="false">ExportRaw!$C384</f>
        <v>0</v>
      </c>
      <c r="C384" s="128" t="n">
        <f aca="false">ExportRaw!$G384</f>
        <v>0</v>
      </c>
      <c r="D384" s="128" t="str">
        <f aca="false">ExportRaw!$E384</f>
        <v/>
      </c>
      <c r="E384" s="129" t="str">
        <f aca="false">ExportRaw!$D384</f>
        <v/>
      </c>
      <c r="F384" s="128" t="str">
        <f aca="false">ExportRaw!$H384</f>
        <v/>
      </c>
      <c r="G384" s="130" t="str">
        <f aca="false">ExportRaw!$I384</f>
        <v/>
      </c>
      <c r="H384" s="128" t="str">
        <f aca="false">ExportRaw!$A384</f>
        <v/>
      </c>
      <c r="I384" s="128" t="str">
        <f aca="false">ExportRaw!$B384</f>
        <v/>
      </c>
    </row>
    <row r="385" customFormat="false" ht="15.75" hidden="false" customHeight="false" outlineLevel="0" collapsed="false">
      <c r="A385" s="128" t="n">
        <f aca="false">ExportRaw!$F385</f>
        <v>0</v>
      </c>
      <c r="B385" s="128" t="n">
        <f aca="false">ExportRaw!$C385</f>
        <v>0</v>
      </c>
      <c r="C385" s="128" t="n">
        <f aca="false">ExportRaw!$G385</f>
        <v>0</v>
      </c>
      <c r="D385" s="128" t="str">
        <f aca="false">ExportRaw!$E385</f>
        <v/>
      </c>
      <c r="E385" s="129" t="str">
        <f aca="false">ExportRaw!$D385</f>
        <v/>
      </c>
      <c r="F385" s="128" t="str">
        <f aca="false">ExportRaw!$H385</f>
        <v/>
      </c>
      <c r="G385" s="130" t="str">
        <f aca="false">ExportRaw!$I385</f>
        <v/>
      </c>
      <c r="H385" s="128" t="str">
        <f aca="false">ExportRaw!$A385</f>
        <v/>
      </c>
      <c r="I385" s="128" t="str">
        <f aca="false">ExportRaw!$B385</f>
        <v/>
      </c>
    </row>
    <row r="386" customFormat="false" ht="15.75" hidden="false" customHeight="false" outlineLevel="0" collapsed="false">
      <c r="A386" s="128" t="n">
        <f aca="false">ExportRaw!$F386</f>
        <v>0</v>
      </c>
      <c r="B386" s="128" t="n">
        <f aca="false">ExportRaw!$C386</f>
        <v>0</v>
      </c>
      <c r="C386" s="128" t="n">
        <f aca="false">ExportRaw!$G386</f>
        <v>0</v>
      </c>
      <c r="D386" s="128" t="str">
        <f aca="false">ExportRaw!$E386</f>
        <v/>
      </c>
      <c r="E386" s="129" t="str">
        <f aca="false">ExportRaw!$D386</f>
        <v/>
      </c>
      <c r="F386" s="128" t="str">
        <f aca="false">ExportRaw!$H386</f>
        <v/>
      </c>
      <c r="G386" s="130" t="str">
        <f aca="false">ExportRaw!$I386</f>
        <v/>
      </c>
      <c r="H386" s="128" t="str">
        <f aca="false">ExportRaw!$A386</f>
        <v/>
      </c>
      <c r="I386" s="128" t="str">
        <f aca="false">ExportRaw!$B386</f>
        <v/>
      </c>
    </row>
    <row r="387" customFormat="false" ht="15.75" hidden="false" customHeight="false" outlineLevel="0" collapsed="false">
      <c r="A387" s="128" t="n">
        <f aca="false">ExportRaw!$F387</f>
        <v>0</v>
      </c>
      <c r="B387" s="128" t="n">
        <f aca="false">ExportRaw!$C387</f>
        <v>0</v>
      </c>
      <c r="C387" s="128" t="n">
        <f aca="false">ExportRaw!$G387</f>
        <v>0</v>
      </c>
      <c r="D387" s="128" t="str">
        <f aca="false">ExportRaw!$E387</f>
        <v/>
      </c>
      <c r="E387" s="129" t="str">
        <f aca="false">ExportRaw!$D387</f>
        <v/>
      </c>
      <c r="F387" s="128" t="str">
        <f aca="false">ExportRaw!$H387</f>
        <v/>
      </c>
      <c r="G387" s="130" t="str">
        <f aca="false">ExportRaw!$I387</f>
        <v/>
      </c>
      <c r="H387" s="128" t="str">
        <f aca="false">ExportRaw!$A387</f>
        <v/>
      </c>
      <c r="I387" s="128" t="str">
        <f aca="false">ExportRaw!$B387</f>
        <v/>
      </c>
    </row>
    <row r="388" customFormat="false" ht="15.75" hidden="false" customHeight="false" outlineLevel="0" collapsed="false">
      <c r="A388" s="128" t="n">
        <f aca="false">ExportRaw!$F388</f>
        <v>0</v>
      </c>
      <c r="B388" s="128" t="n">
        <f aca="false">ExportRaw!$C388</f>
        <v>0</v>
      </c>
      <c r="C388" s="128" t="n">
        <f aca="false">ExportRaw!$G388</f>
        <v>0</v>
      </c>
      <c r="D388" s="128" t="str">
        <f aca="false">ExportRaw!$E388</f>
        <v/>
      </c>
      <c r="E388" s="129" t="str">
        <f aca="false">ExportRaw!$D388</f>
        <v/>
      </c>
      <c r="F388" s="128" t="str">
        <f aca="false">ExportRaw!$H388</f>
        <v/>
      </c>
      <c r="G388" s="130" t="str">
        <f aca="false">ExportRaw!$I388</f>
        <v/>
      </c>
      <c r="H388" s="128" t="str">
        <f aca="false">ExportRaw!$A388</f>
        <v/>
      </c>
      <c r="I388" s="128" t="str">
        <f aca="false">ExportRaw!$B388</f>
        <v/>
      </c>
    </row>
    <row r="389" customFormat="false" ht="15.75" hidden="false" customHeight="false" outlineLevel="0" collapsed="false">
      <c r="A389" s="128" t="n">
        <f aca="false">ExportRaw!$F389</f>
        <v>0</v>
      </c>
      <c r="B389" s="128" t="n">
        <f aca="false">ExportRaw!$C389</f>
        <v>0</v>
      </c>
      <c r="C389" s="128" t="n">
        <f aca="false">ExportRaw!$G389</f>
        <v>0</v>
      </c>
      <c r="D389" s="128" t="str">
        <f aca="false">ExportRaw!$E389</f>
        <v/>
      </c>
      <c r="E389" s="129" t="str">
        <f aca="false">ExportRaw!$D389</f>
        <v/>
      </c>
      <c r="F389" s="128" t="str">
        <f aca="false">ExportRaw!$H389</f>
        <v/>
      </c>
      <c r="G389" s="130" t="str">
        <f aca="false">ExportRaw!$I389</f>
        <v/>
      </c>
      <c r="H389" s="128" t="str">
        <f aca="false">ExportRaw!$A389</f>
        <v/>
      </c>
      <c r="I389" s="128" t="str">
        <f aca="false">ExportRaw!$B389</f>
        <v/>
      </c>
    </row>
    <row r="390" customFormat="false" ht="15.75" hidden="false" customHeight="false" outlineLevel="0" collapsed="false">
      <c r="A390" s="128" t="n">
        <f aca="false">ExportRaw!$F390</f>
        <v>0</v>
      </c>
      <c r="B390" s="128" t="n">
        <f aca="false">ExportRaw!$C390</f>
        <v>0</v>
      </c>
      <c r="C390" s="128" t="n">
        <f aca="false">ExportRaw!$G390</f>
        <v>0</v>
      </c>
      <c r="D390" s="128" t="str">
        <f aca="false">ExportRaw!$E390</f>
        <v/>
      </c>
      <c r="E390" s="129" t="str">
        <f aca="false">ExportRaw!$D390</f>
        <v/>
      </c>
      <c r="F390" s="128" t="str">
        <f aca="false">ExportRaw!$H390</f>
        <v/>
      </c>
      <c r="G390" s="130" t="str">
        <f aca="false">ExportRaw!$I390</f>
        <v/>
      </c>
      <c r="H390" s="128" t="str">
        <f aca="false">ExportRaw!$A390</f>
        <v/>
      </c>
      <c r="I390" s="128" t="str">
        <f aca="false">ExportRaw!$B390</f>
        <v/>
      </c>
    </row>
    <row r="391" customFormat="false" ht="15.75" hidden="false" customHeight="false" outlineLevel="0" collapsed="false">
      <c r="A391" s="128" t="n">
        <f aca="false">ExportRaw!$F391</f>
        <v>0</v>
      </c>
      <c r="B391" s="128" t="n">
        <f aca="false">ExportRaw!$C391</f>
        <v>0</v>
      </c>
      <c r="C391" s="128" t="n">
        <f aca="false">ExportRaw!$G391</f>
        <v>0</v>
      </c>
      <c r="D391" s="128" t="str">
        <f aca="false">ExportRaw!$E391</f>
        <v/>
      </c>
      <c r="E391" s="129" t="str">
        <f aca="false">ExportRaw!$D391</f>
        <v/>
      </c>
      <c r="F391" s="128" t="str">
        <f aca="false">ExportRaw!$H391</f>
        <v/>
      </c>
      <c r="G391" s="130" t="str">
        <f aca="false">ExportRaw!$I391</f>
        <v/>
      </c>
      <c r="H391" s="128" t="str">
        <f aca="false">ExportRaw!$A391</f>
        <v/>
      </c>
      <c r="I391" s="128" t="str">
        <f aca="false">ExportRaw!$B391</f>
        <v/>
      </c>
    </row>
    <row r="392" customFormat="false" ht="15.75" hidden="false" customHeight="false" outlineLevel="0" collapsed="false">
      <c r="A392" s="128" t="n">
        <f aca="false">ExportRaw!$F392</f>
        <v>0</v>
      </c>
      <c r="B392" s="128" t="n">
        <f aca="false">ExportRaw!$C392</f>
        <v>0</v>
      </c>
      <c r="C392" s="128" t="n">
        <f aca="false">ExportRaw!$G392</f>
        <v>0</v>
      </c>
      <c r="D392" s="128" t="str">
        <f aca="false">ExportRaw!$E392</f>
        <v/>
      </c>
      <c r="E392" s="129" t="str">
        <f aca="false">ExportRaw!$D392</f>
        <v/>
      </c>
      <c r="F392" s="128" t="str">
        <f aca="false">ExportRaw!$H392</f>
        <v/>
      </c>
      <c r="G392" s="130" t="str">
        <f aca="false">ExportRaw!$I392</f>
        <v/>
      </c>
      <c r="H392" s="128" t="str">
        <f aca="false">ExportRaw!$A392</f>
        <v/>
      </c>
      <c r="I392" s="128" t="str">
        <f aca="false">ExportRaw!$B392</f>
        <v/>
      </c>
    </row>
    <row r="393" customFormat="false" ht="15.75" hidden="false" customHeight="false" outlineLevel="0" collapsed="false">
      <c r="A393" s="128" t="n">
        <f aca="false">ExportRaw!$F393</f>
        <v>0</v>
      </c>
      <c r="B393" s="128" t="n">
        <f aca="false">ExportRaw!$C393</f>
        <v>0</v>
      </c>
      <c r="C393" s="128" t="n">
        <f aca="false">ExportRaw!$G393</f>
        <v>0</v>
      </c>
      <c r="D393" s="128" t="str">
        <f aca="false">ExportRaw!$E393</f>
        <v/>
      </c>
      <c r="E393" s="129" t="str">
        <f aca="false">ExportRaw!$D393</f>
        <v/>
      </c>
      <c r="F393" s="128" t="str">
        <f aca="false">ExportRaw!$H393</f>
        <v/>
      </c>
      <c r="G393" s="130" t="str">
        <f aca="false">ExportRaw!$I393</f>
        <v/>
      </c>
      <c r="H393" s="128" t="str">
        <f aca="false">ExportRaw!$A393</f>
        <v/>
      </c>
      <c r="I393" s="128" t="str">
        <f aca="false">ExportRaw!$B393</f>
        <v/>
      </c>
    </row>
    <row r="394" customFormat="false" ht="15.75" hidden="false" customHeight="false" outlineLevel="0" collapsed="false">
      <c r="A394" s="128" t="n">
        <f aca="false">ExportRaw!$F394</f>
        <v>0</v>
      </c>
      <c r="B394" s="128" t="n">
        <f aca="false">ExportRaw!$C394</f>
        <v>0</v>
      </c>
      <c r="C394" s="128" t="n">
        <f aca="false">ExportRaw!$G394</f>
        <v>0</v>
      </c>
      <c r="D394" s="128" t="str">
        <f aca="false">ExportRaw!$E394</f>
        <v/>
      </c>
      <c r="E394" s="129" t="str">
        <f aca="false">ExportRaw!$D394</f>
        <v/>
      </c>
      <c r="F394" s="128" t="str">
        <f aca="false">ExportRaw!$H394</f>
        <v/>
      </c>
      <c r="G394" s="130" t="str">
        <f aca="false">ExportRaw!$I394</f>
        <v/>
      </c>
      <c r="H394" s="128" t="str">
        <f aca="false">ExportRaw!$A394</f>
        <v/>
      </c>
      <c r="I394" s="128" t="str">
        <f aca="false">ExportRaw!$B394</f>
        <v/>
      </c>
    </row>
    <row r="395" customFormat="false" ht="15.75" hidden="false" customHeight="false" outlineLevel="0" collapsed="false">
      <c r="A395" s="128" t="n">
        <f aca="false">ExportRaw!$F395</f>
        <v>0</v>
      </c>
      <c r="B395" s="128" t="n">
        <f aca="false">ExportRaw!$C395</f>
        <v>0</v>
      </c>
      <c r="C395" s="128" t="n">
        <f aca="false">ExportRaw!$G395</f>
        <v>0</v>
      </c>
      <c r="D395" s="128" t="str">
        <f aca="false">ExportRaw!$E395</f>
        <v/>
      </c>
      <c r="E395" s="129" t="str">
        <f aca="false">ExportRaw!$D395</f>
        <v/>
      </c>
      <c r="F395" s="128" t="str">
        <f aca="false">ExportRaw!$H395</f>
        <v/>
      </c>
      <c r="G395" s="130" t="str">
        <f aca="false">ExportRaw!$I395</f>
        <v/>
      </c>
      <c r="H395" s="128" t="str">
        <f aca="false">ExportRaw!$A395</f>
        <v/>
      </c>
      <c r="I395" s="128" t="str">
        <f aca="false">ExportRaw!$B395</f>
        <v/>
      </c>
    </row>
    <row r="396" customFormat="false" ht="15.75" hidden="false" customHeight="false" outlineLevel="0" collapsed="false">
      <c r="A396" s="128" t="n">
        <f aca="false">ExportRaw!$F396</f>
        <v>0</v>
      </c>
      <c r="B396" s="128" t="n">
        <f aca="false">ExportRaw!$C396</f>
        <v>0</v>
      </c>
      <c r="C396" s="128" t="n">
        <f aca="false">ExportRaw!$G396</f>
        <v>0</v>
      </c>
      <c r="D396" s="128" t="str">
        <f aca="false">ExportRaw!$E396</f>
        <v/>
      </c>
      <c r="E396" s="129" t="str">
        <f aca="false">ExportRaw!$D396</f>
        <v/>
      </c>
      <c r="F396" s="128" t="str">
        <f aca="false">ExportRaw!$H396</f>
        <v/>
      </c>
      <c r="G396" s="130" t="str">
        <f aca="false">ExportRaw!$I396</f>
        <v/>
      </c>
      <c r="H396" s="128" t="str">
        <f aca="false">ExportRaw!$A396</f>
        <v/>
      </c>
      <c r="I396" s="128" t="str">
        <f aca="false">ExportRaw!$B396</f>
        <v/>
      </c>
    </row>
    <row r="397" customFormat="false" ht="15.75" hidden="false" customHeight="false" outlineLevel="0" collapsed="false">
      <c r="A397" s="128" t="n">
        <f aca="false">ExportRaw!$F397</f>
        <v>0</v>
      </c>
      <c r="B397" s="128" t="n">
        <f aca="false">ExportRaw!$C397</f>
        <v>0</v>
      </c>
      <c r="C397" s="128" t="n">
        <f aca="false">ExportRaw!$G397</f>
        <v>0</v>
      </c>
      <c r="D397" s="128" t="str">
        <f aca="false">ExportRaw!$E397</f>
        <v/>
      </c>
      <c r="E397" s="129" t="str">
        <f aca="false">ExportRaw!$D397</f>
        <v/>
      </c>
      <c r="F397" s="128" t="str">
        <f aca="false">ExportRaw!$H397</f>
        <v/>
      </c>
      <c r="G397" s="130" t="str">
        <f aca="false">ExportRaw!$I397</f>
        <v/>
      </c>
      <c r="H397" s="128" t="str">
        <f aca="false">ExportRaw!$A397</f>
        <v/>
      </c>
      <c r="I397" s="128" t="str">
        <f aca="false">ExportRaw!$B397</f>
        <v/>
      </c>
    </row>
    <row r="398" customFormat="false" ht="15.75" hidden="false" customHeight="false" outlineLevel="0" collapsed="false">
      <c r="A398" s="128" t="n">
        <f aca="false">ExportRaw!$F398</f>
        <v>0</v>
      </c>
      <c r="B398" s="128" t="n">
        <f aca="false">ExportRaw!$C398</f>
        <v>0</v>
      </c>
      <c r="C398" s="128" t="n">
        <f aca="false">ExportRaw!$G398</f>
        <v>0</v>
      </c>
      <c r="D398" s="128" t="str">
        <f aca="false">ExportRaw!$E398</f>
        <v/>
      </c>
      <c r="E398" s="129" t="str">
        <f aca="false">ExportRaw!$D398</f>
        <v/>
      </c>
      <c r="F398" s="128" t="str">
        <f aca="false">ExportRaw!$H398</f>
        <v/>
      </c>
      <c r="G398" s="130" t="str">
        <f aca="false">ExportRaw!$I398</f>
        <v/>
      </c>
      <c r="H398" s="128" t="str">
        <f aca="false">ExportRaw!$A398</f>
        <v/>
      </c>
      <c r="I398" s="128" t="str">
        <f aca="false">ExportRaw!$B398</f>
        <v/>
      </c>
    </row>
    <row r="399" customFormat="false" ht="15.75" hidden="false" customHeight="false" outlineLevel="0" collapsed="false">
      <c r="A399" s="128" t="n">
        <f aca="false">ExportRaw!$F399</f>
        <v>0</v>
      </c>
      <c r="B399" s="128" t="n">
        <f aca="false">ExportRaw!$C399</f>
        <v>0</v>
      </c>
      <c r="C399" s="128" t="n">
        <f aca="false">ExportRaw!$G399</f>
        <v>0</v>
      </c>
      <c r="D399" s="128" t="str">
        <f aca="false">ExportRaw!$E399</f>
        <v/>
      </c>
      <c r="E399" s="129" t="str">
        <f aca="false">ExportRaw!$D399</f>
        <v/>
      </c>
      <c r="F399" s="128" t="str">
        <f aca="false">ExportRaw!$H399</f>
        <v/>
      </c>
      <c r="G399" s="130" t="str">
        <f aca="false">ExportRaw!$I399</f>
        <v/>
      </c>
      <c r="H399" s="128" t="str">
        <f aca="false">ExportRaw!$A399</f>
        <v/>
      </c>
      <c r="I399" s="128" t="str">
        <f aca="false">ExportRaw!$B399</f>
        <v/>
      </c>
    </row>
    <row r="400" customFormat="false" ht="15.75" hidden="false" customHeight="false" outlineLevel="0" collapsed="false">
      <c r="A400" s="128" t="n">
        <f aca="false">ExportRaw!$F400</f>
        <v>0</v>
      </c>
      <c r="B400" s="128" t="n">
        <f aca="false">ExportRaw!$C400</f>
        <v>0</v>
      </c>
      <c r="C400" s="128" t="n">
        <f aca="false">ExportRaw!$G400</f>
        <v>0</v>
      </c>
      <c r="D400" s="128" t="str">
        <f aca="false">ExportRaw!$E400</f>
        <v/>
      </c>
      <c r="E400" s="129" t="str">
        <f aca="false">ExportRaw!$D400</f>
        <v/>
      </c>
      <c r="F400" s="128" t="str">
        <f aca="false">ExportRaw!$H400</f>
        <v/>
      </c>
      <c r="G400" s="130" t="str">
        <f aca="false">ExportRaw!$I400</f>
        <v/>
      </c>
      <c r="H400" s="128" t="str">
        <f aca="false">ExportRaw!$A400</f>
        <v/>
      </c>
      <c r="I400" s="128" t="str">
        <f aca="false">ExportRaw!$B400</f>
        <v/>
      </c>
    </row>
    <row r="401" customFormat="false" ht="15.75" hidden="false" customHeight="false" outlineLevel="0" collapsed="false">
      <c r="A401" s="128" t="n">
        <f aca="false">ExportRaw!$F401</f>
        <v>0</v>
      </c>
      <c r="B401" s="128" t="n">
        <f aca="false">ExportRaw!$C401</f>
        <v>0</v>
      </c>
      <c r="C401" s="128" t="n">
        <f aca="false">ExportRaw!$G401</f>
        <v>0</v>
      </c>
      <c r="D401" s="128" t="str">
        <f aca="false">ExportRaw!$E401</f>
        <v/>
      </c>
      <c r="E401" s="129" t="str">
        <f aca="false">ExportRaw!$D401</f>
        <v/>
      </c>
      <c r="F401" s="128" t="str">
        <f aca="false">ExportRaw!$H401</f>
        <v/>
      </c>
      <c r="G401" s="130" t="str">
        <f aca="false">ExportRaw!$I401</f>
        <v/>
      </c>
      <c r="H401" s="128" t="str">
        <f aca="false">ExportRaw!$A401</f>
        <v/>
      </c>
      <c r="I401" s="128" t="str">
        <f aca="false">ExportRaw!$B401</f>
        <v/>
      </c>
    </row>
    <row r="402" customFormat="false" ht="15.75" hidden="false" customHeight="false" outlineLevel="0" collapsed="false">
      <c r="A402" s="128" t="n">
        <f aca="false">ExportRaw!$F402</f>
        <v>0</v>
      </c>
      <c r="B402" s="128" t="n">
        <f aca="false">ExportRaw!$C402</f>
        <v>0</v>
      </c>
      <c r="C402" s="128" t="n">
        <f aca="false">ExportRaw!$G402</f>
        <v>0</v>
      </c>
      <c r="D402" s="128" t="str">
        <f aca="false">ExportRaw!$E402</f>
        <v/>
      </c>
      <c r="E402" s="129" t="str">
        <f aca="false">ExportRaw!$D402</f>
        <v/>
      </c>
      <c r="F402" s="128" t="str">
        <f aca="false">ExportRaw!$H402</f>
        <v/>
      </c>
      <c r="G402" s="130" t="str">
        <f aca="false">ExportRaw!$I402</f>
        <v/>
      </c>
      <c r="H402" s="128" t="str">
        <f aca="false">ExportRaw!$A402</f>
        <v/>
      </c>
      <c r="I402" s="128" t="str">
        <f aca="false">ExportRaw!$B402</f>
        <v/>
      </c>
    </row>
    <row r="403" customFormat="false" ht="15.75" hidden="false" customHeight="false" outlineLevel="0" collapsed="false">
      <c r="A403" s="128" t="n">
        <f aca="false">ExportRaw!$F403</f>
        <v>0</v>
      </c>
      <c r="B403" s="128" t="n">
        <f aca="false">ExportRaw!$C403</f>
        <v>0</v>
      </c>
      <c r="C403" s="128" t="n">
        <f aca="false">ExportRaw!$G403</f>
        <v>0</v>
      </c>
      <c r="D403" s="128" t="str">
        <f aca="false">ExportRaw!$E403</f>
        <v/>
      </c>
      <c r="E403" s="129" t="str">
        <f aca="false">ExportRaw!$D403</f>
        <v/>
      </c>
      <c r="F403" s="128" t="str">
        <f aca="false">ExportRaw!$H403</f>
        <v/>
      </c>
      <c r="G403" s="130" t="str">
        <f aca="false">ExportRaw!$I403</f>
        <v/>
      </c>
      <c r="H403" s="128" t="str">
        <f aca="false">ExportRaw!$A403</f>
        <v/>
      </c>
      <c r="I403" s="128" t="str">
        <f aca="false">ExportRaw!$B403</f>
        <v/>
      </c>
    </row>
    <row r="404" customFormat="false" ht="15.75" hidden="false" customHeight="false" outlineLevel="0" collapsed="false">
      <c r="A404" s="128" t="n">
        <f aca="false">ExportRaw!$F404</f>
        <v>0</v>
      </c>
      <c r="B404" s="128" t="n">
        <f aca="false">ExportRaw!$C404</f>
        <v>0</v>
      </c>
      <c r="C404" s="128" t="n">
        <f aca="false">ExportRaw!$G404</f>
        <v>0</v>
      </c>
      <c r="D404" s="128" t="str">
        <f aca="false">ExportRaw!$E404</f>
        <v/>
      </c>
      <c r="E404" s="129" t="str">
        <f aca="false">ExportRaw!$D404</f>
        <v/>
      </c>
      <c r="F404" s="128" t="str">
        <f aca="false">ExportRaw!$H404</f>
        <v/>
      </c>
      <c r="G404" s="130" t="str">
        <f aca="false">ExportRaw!$I404</f>
        <v/>
      </c>
      <c r="H404" s="128" t="str">
        <f aca="false">ExportRaw!$A404</f>
        <v/>
      </c>
      <c r="I404" s="128" t="str">
        <f aca="false">ExportRaw!$B404</f>
        <v/>
      </c>
    </row>
    <row r="405" customFormat="false" ht="15.75" hidden="false" customHeight="false" outlineLevel="0" collapsed="false">
      <c r="A405" s="128" t="n">
        <f aca="false">ExportRaw!$F405</f>
        <v>0</v>
      </c>
      <c r="B405" s="128" t="n">
        <f aca="false">ExportRaw!$C405</f>
        <v>0</v>
      </c>
      <c r="C405" s="128" t="n">
        <f aca="false">ExportRaw!$G405</f>
        <v>0</v>
      </c>
      <c r="D405" s="128" t="str">
        <f aca="false">ExportRaw!$E405</f>
        <v/>
      </c>
      <c r="E405" s="129" t="str">
        <f aca="false">ExportRaw!$D405</f>
        <v/>
      </c>
      <c r="F405" s="128" t="str">
        <f aca="false">ExportRaw!$H405</f>
        <v/>
      </c>
      <c r="G405" s="130" t="str">
        <f aca="false">ExportRaw!$I405</f>
        <v/>
      </c>
      <c r="H405" s="128" t="str">
        <f aca="false">ExportRaw!$A405</f>
        <v/>
      </c>
      <c r="I405" s="128" t="str">
        <f aca="false">ExportRaw!$B405</f>
        <v/>
      </c>
    </row>
    <row r="406" customFormat="false" ht="15.75" hidden="false" customHeight="false" outlineLevel="0" collapsed="false">
      <c r="A406" s="128" t="n">
        <f aca="false">ExportRaw!$F406</f>
        <v>0</v>
      </c>
      <c r="B406" s="128" t="n">
        <f aca="false">ExportRaw!$C406</f>
        <v>0</v>
      </c>
      <c r="C406" s="128" t="n">
        <f aca="false">ExportRaw!$G406</f>
        <v>0</v>
      </c>
      <c r="D406" s="128" t="str">
        <f aca="false">ExportRaw!$E406</f>
        <v/>
      </c>
      <c r="E406" s="129" t="str">
        <f aca="false">ExportRaw!$D406</f>
        <v/>
      </c>
      <c r="F406" s="128" t="str">
        <f aca="false">ExportRaw!$H406</f>
        <v/>
      </c>
      <c r="G406" s="130" t="str">
        <f aca="false">ExportRaw!$I406</f>
        <v/>
      </c>
      <c r="H406" s="128" t="str">
        <f aca="false">ExportRaw!$A406</f>
        <v/>
      </c>
      <c r="I406" s="128" t="str">
        <f aca="false">ExportRaw!$B406</f>
        <v/>
      </c>
    </row>
    <row r="407" customFormat="false" ht="15.75" hidden="false" customHeight="false" outlineLevel="0" collapsed="false">
      <c r="A407" s="128" t="n">
        <f aca="false">ExportRaw!$F407</f>
        <v>0</v>
      </c>
      <c r="B407" s="128" t="n">
        <f aca="false">ExportRaw!$C407</f>
        <v>0</v>
      </c>
      <c r="C407" s="128" t="n">
        <f aca="false">ExportRaw!$G407</f>
        <v>0</v>
      </c>
      <c r="D407" s="128" t="str">
        <f aca="false">ExportRaw!$E407</f>
        <v/>
      </c>
      <c r="E407" s="129" t="str">
        <f aca="false">ExportRaw!$D407</f>
        <v/>
      </c>
      <c r="F407" s="128" t="str">
        <f aca="false">ExportRaw!$H407</f>
        <v/>
      </c>
      <c r="G407" s="130" t="str">
        <f aca="false">ExportRaw!$I407</f>
        <v/>
      </c>
      <c r="H407" s="128" t="str">
        <f aca="false">ExportRaw!$A407</f>
        <v/>
      </c>
      <c r="I407" s="128" t="str">
        <f aca="false">ExportRaw!$B407</f>
        <v/>
      </c>
    </row>
    <row r="408" customFormat="false" ht="15.75" hidden="false" customHeight="false" outlineLevel="0" collapsed="false">
      <c r="A408" s="128" t="n">
        <f aca="false">ExportRaw!$F408</f>
        <v>0</v>
      </c>
      <c r="B408" s="128" t="n">
        <f aca="false">ExportRaw!$C408</f>
        <v>0</v>
      </c>
      <c r="C408" s="128" t="n">
        <f aca="false">ExportRaw!$G408</f>
        <v>0</v>
      </c>
      <c r="D408" s="128" t="str">
        <f aca="false">ExportRaw!$E408</f>
        <v/>
      </c>
      <c r="E408" s="129" t="str">
        <f aca="false">ExportRaw!$D408</f>
        <v/>
      </c>
      <c r="F408" s="128" t="str">
        <f aca="false">ExportRaw!$H408</f>
        <v/>
      </c>
      <c r="G408" s="130" t="str">
        <f aca="false">ExportRaw!$I408</f>
        <v/>
      </c>
      <c r="H408" s="128" t="str">
        <f aca="false">ExportRaw!$A408</f>
        <v/>
      </c>
      <c r="I408" s="128" t="str">
        <f aca="false">ExportRaw!$B408</f>
        <v/>
      </c>
    </row>
    <row r="409" customFormat="false" ht="15.75" hidden="false" customHeight="false" outlineLevel="0" collapsed="false">
      <c r="A409" s="128" t="n">
        <f aca="false">ExportRaw!$F409</f>
        <v>0</v>
      </c>
      <c r="B409" s="128" t="n">
        <f aca="false">ExportRaw!$C409</f>
        <v>0</v>
      </c>
      <c r="C409" s="128" t="n">
        <f aca="false">ExportRaw!$G409</f>
        <v>0</v>
      </c>
      <c r="D409" s="128" t="str">
        <f aca="false">ExportRaw!$E409</f>
        <v/>
      </c>
      <c r="E409" s="129" t="str">
        <f aca="false">ExportRaw!$D409</f>
        <v/>
      </c>
      <c r="F409" s="128" t="str">
        <f aca="false">ExportRaw!$H409</f>
        <v/>
      </c>
      <c r="G409" s="130" t="str">
        <f aca="false">ExportRaw!$I409</f>
        <v/>
      </c>
      <c r="H409" s="128" t="str">
        <f aca="false">ExportRaw!$A409</f>
        <v/>
      </c>
      <c r="I409" s="128" t="str">
        <f aca="false">ExportRaw!$B409</f>
        <v/>
      </c>
    </row>
    <row r="410" customFormat="false" ht="15.75" hidden="false" customHeight="false" outlineLevel="0" collapsed="false">
      <c r="A410" s="128" t="n">
        <f aca="false">ExportRaw!$F410</f>
        <v>0</v>
      </c>
      <c r="B410" s="128" t="n">
        <f aca="false">ExportRaw!$C410</f>
        <v>0</v>
      </c>
      <c r="C410" s="128" t="n">
        <f aca="false">ExportRaw!$G410</f>
        <v>0</v>
      </c>
      <c r="D410" s="128" t="str">
        <f aca="false">ExportRaw!$E410</f>
        <v/>
      </c>
      <c r="E410" s="129" t="str">
        <f aca="false">ExportRaw!$D410</f>
        <v/>
      </c>
      <c r="F410" s="128" t="str">
        <f aca="false">ExportRaw!$H410</f>
        <v/>
      </c>
      <c r="G410" s="130" t="str">
        <f aca="false">ExportRaw!$I410</f>
        <v/>
      </c>
      <c r="H410" s="128" t="str">
        <f aca="false">ExportRaw!$A410</f>
        <v/>
      </c>
      <c r="I410" s="128" t="str">
        <f aca="false">ExportRaw!$B410</f>
        <v/>
      </c>
    </row>
    <row r="411" customFormat="false" ht="15.75" hidden="false" customHeight="false" outlineLevel="0" collapsed="false">
      <c r="A411" s="128" t="n">
        <f aca="false">ExportRaw!$F411</f>
        <v>0</v>
      </c>
      <c r="B411" s="128" t="n">
        <f aca="false">ExportRaw!$C411</f>
        <v>0</v>
      </c>
      <c r="C411" s="128" t="n">
        <f aca="false">ExportRaw!$G411</f>
        <v>0</v>
      </c>
      <c r="D411" s="128" t="str">
        <f aca="false">ExportRaw!$E411</f>
        <v/>
      </c>
      <c r="E411" s="129" t="str">
        <f aca="false">ExportRaw!$D411</f>
        <v/>
      </c>
      <c r="F411" s="128" t="str">
        <f aca="false">ExportRaw!$H411</f>
        <v/>
      </c>
      <c r="G411" s="130" t="str">
        <f aca="false">ExportRaw!$I411</f>
        <v/>
      </c>
      <c r="H411" s="128" t="str">
        <f aca="false">ExportRaw!$A411</f>
        <v/>
      </c>
      <c r="I411" s="128" t="str">
        <f aca="false">ExportRaw!$B411</f>
        <v/>
      </c>
    </row>
    <row r="412" customFormat="false" ht="15.75" hidden="false" customHeight="false" outlineLevel="0" collapsed="false">
      <c r="A412" s="128" t="n">
        <f aca="false">ExportRaw!$F412</f>
        <v>0</v>
      </c>
      <c r="B412" s="128" t="n">
        <f aca="false">ExportRaw!$C412</f>
        <v>0</v>
      </c>
      <c r="C412" s="128" t="n">
        <f aca="false">ExportRaw!$G412</f>
        <v>0</v>
      </c>
      <c r="D412" s="128" t="str">
        <f aca="false">ExportRaw!$E412</f>
        <v/>
      </c>
      <c r="E412" s="129" t="str">
        <f aca="false">ExportRaw!$D412</f>
        <v/>
      </c>
      <c r="F412" s="128" t="str">
        <f aca="false">ExportRaw!$H412</f>
        <v/>
      </c>
      <c r="G412" s="130" t="str">
        <f aca="false">ExportRaw!$I412</f>
        <v/>
      </c>
      <c r="H412" s="128" t="str">
        <f aca="false">ExportRaw!$A412</f>
        <v/>
      </c>
      <c r="I412" s="128" t="str">
        <f aca="false">ExportRaw!$B412</f>
        <v/>
      </c>
    </row>
    <row r="413" customFormat="false" ht="15.75" hidden="false" customHeight="false" outlineLevel="0" collapsed="false">
      <c r="A413" s="128" t="n">
        <f aca="false">ExportRaw!$F413</f>
        <v>0</v>
      </c>
      <c r="B413" s="128" t="n">
        <f aca="false">ExportRaw!$C413</f>
        <v>0</v>
      </c>
      <c r="C413" s="128" t="n">
        <f aca="false">ExportRaw!$G413</f>
        <v>0</v>
      </c>
      <c r="D413" s="128" t="str">
        <f aca="false">ExportRaw!$E413</f>
        <v/>
      </c>
      <c r="E413" s="129" t="str">
        <f aca="false">ExportRaw!$D413</f>
        <v/>
      </c>
      <c r="F413" s="128" t="str">
        <f aca="false">ExportRaw!$H413</f>
        <v/>
      </c>
      <c r="G413" s="130" t="str">
        <f aca="false">ExportRaw!$I413</f>
        <v/>
      </c>
      <c r="H413" s="128" t="str">
        <f aca="false">ExportRaw!$A413</f>
        <v/>
      </c>
      <c r="I413" s="128" t="str">
        <f aca="false">ExportRaw!$B413</f>
        <v/>
      </c>
    </row>
    <row r="414" customFormat="false" ht="15.75" hidden="false" customHeight="false" outlineLevel="0" collapsed="false">
      <c r="A414" s="128" t="n">
        <f aca="false">ExportRaw!$F414</f>
        <v>0</v>
      </c>
      <c r="B414" s="128" t="n">
        <f aca="false">ExportRaw!$C414</f>
        <v>0</v>
      </c>
      <c r="C414" s="128" t="n">
        <f aca="false">ExportRaw!$G414</f>
        <v>0</v>
      </c>
      <c r="D414" s="128" t="str">
        <f aca="false">ExportRaw!$E414</f>
        <v/>
      </c>
      <c r="E414" s="129" t="str">
        <f aca="false">ExportRaw!$D414</f>
        <v/>
      </c>
      <c r="F414" s="128" t="str">
        <f aca="false">ExportRaw!$H414</f>
        <v/>
      </c>
      <c r="G414" s="130" t="str">
        <f aca="false">ExportRaw!$I414</f>
        <v/>
      </c>
      <c r="H414" s="128" t="str">
        <f aca="false">ExportRaw!$A414</f>
        <v/>
      </c>
      <c r="I414" s="128" t="str">
        <f aca="false">ExportRaw!$B414</f>
        <v/>
      </c>
    </row>
    <row r="415" customFormat="false" ht="15.75" hidden="false" customHeight="false" outlineLevel="0" collapsed="false">
      <c r="A415" s="128" t="n">
        <f aca="false">ExportRaw!$F415</f>
        <v>0</v>
      </c>
      <c r="B415" s="128" t="n">
        <f aca="false">ExportRaw!$C415</f>
        <v>0</v>
      </c>
      <c r="C415" s="128" t="n">
        <f aca="false">ExportRaw!$G415</f>
        <v>0</v>
      </c>
      <c r="D415" s="128" t="str">
        <f aca="false">ExportRaw!$E415</f>
        <v/>
      </c>
      <c r="E415" s="129" t="str">
        <f aca="false">ExportRaw!$D415</f>
        <v/>
      </c>
      <c r="F415" s="128" t="str">
        <f aca="false">ExportRaw!$H415</f>
        <v/>
      </c>
      <c r="G415" s="130" t="str">
        <f aca="false">ExportRaw!$I415</f>
        <v/>
      </c>
      <c r="H415" s="128" t="str">
        <f aca="false">ExportRaw!$A415</f>
        <v/>
      </c>
      <c r="I415" s="128" t="str">
        <f aca="false">ExportRaw!$B415</f>
        <v/>
      </c>
    </row>
    <row r="416" customFormat="false" ht="15.75" hidden="false" customHeight="false" outlineLevel="0" collapsed="false">
      <c r="A416" s="128" t="n">
        <f aca="false">ExportRaw!$F416</f>
        <v>0</v>
      </c>
      <c r="B416" s="128" t="n">
        <f aca="false">ExportRaw!$C416</f>
        <v>0</v>
      </c>
      <c r="C416" s="128" t="n">
        <f aca="false">ExportRaw!$G416</f>
        <v>0</v>
      </c>
      <c r="D416" s="128" t="str">
        <f aca="false">ExportRaw!$E416</f>
        <v/>
      </c>
      <c r="E416" s="129" t="str">
        <f aca="false">ExportRaw!$D416</f>
        <v/>
      </c>
      <c r="F416" s="128" t="str">
        <f aca="false">ExportRaw!$H416</f>
        <v/>
      </c>
      <c r="G416" s="130" t="str">
        <f aca="false">ExportRaw!$I416</f>
        <v/>
      </c>
      <c r="H416" s="128" t="str">
        <f aca="false">ExportRaw!$A416</f>
        <v/>
      </c>
      <c r="I416" s="128" t="str">
        <f aca="false">ExportRaw!$B416</f>
        <v/>
      </c>
    </row>
    <row r="417" customFormat="false" ht="15.75" hidden="false" customHeight="false" outlineLevel="0" collapsed="false">
      <c r="A417" s="128" t="n">
        <f aca="false">ExportRaw!$F417</f>
        <v>0</v>
      </c>
      <c r="B417" s="128" t="n">
        <f aca="false">ExportRaw!$C417</f>
        <v>0</v>
      </c>
      <c r="C417" s="128" t="n">
        <f aca="false">ExportRaw!$G417</f>
        <v>0</v>
      </c>
      <c r="D417" s="128" t="str">
        <f aca="false">ExportRaw!$E417</f>
        <v/>
      </c>
      <c r="E417" s="129" t="str">
        <f aca="false">ExportRaw!$D417</f>
        <v/>
      </c>
      <c r="F417" s="128" t="str">
        <f aca="false">ExportRaw!$H417</f>
        <v/>
      </c>
      <c r="G417" s="130" t="str">
        <f aca="false">ExportRaw!$I417</f>
        <v/>
      </c>
      <c r="H417" s="128" t="str">
        <f aca="false">ExportRaw!$A417</f>
        <v/>
      </c>
      <c r="I417" s="128" t="str">
        <f aca="false">ExportRaw!$B417</f>
        <v/>
      </c>
    </row>
    <row r="418" customFormat="false" ht="15.75" hidden="false" customHeight="false" outlineLevel="0" collapsed="false">
      <c r="A418" s="128" t="n">
        <f aca="false">ExportRaw!$F418</f>
        <v>0</v>
      </c>
      <c r="B418" s="128" t="n">
        <f aca="false">ExportRaw!$C418</f>
        <v>0</v>
      </c>
      <c r="C418" s="128" t="n">
        <f aca="false">ExportRaw!$G418</f>
        <v>0</v>
      </c>
      <c r="D418" s="128" t="str">
        <f aca="false">ExportRaw!$E418</f>
        <v/>
      </c>
      <c r="E418" s="129" t="str">
        <f aca="false">ExportRaw!$D418</f>
        <v/>
      </c>
      <c r="F418" s="128" t="str">
        <f aca="false">ExportRaw!$H418</f>
        <v/>
      </c>
      <c r="G418" s="130" t="str">
        <f aca="false">ExportRaw!$I418</f>
        <v/>
      </c>
      <c r="H418" s="128" t="str">
        <f aca="false">ExportRaw!$A418</f>
        <v/>
      </c>
      <c r="I418" s="128" t="str">
        <f aca="false">ExportRaw!$B418</f>
        <v/>
      </c>
    </row>
    <row r="419" customFormat="false" ht="15.75" hidden="false" customHeight="false" outlineLevel="0" collapsed="false">
      <c r="A419" s="128" t="n">
        <f aca="false">ExportRaw!$F419</f>
        <v>0</v>
      </c>
      <c r="B419" s="128" t="n">
        <f aca="false">ExportRaw!$C419</f>
        <v>0</v>
      </c>
      <c r="C419" s="128" t="n">
        <f aca="false">ExportRaw!$G419</f>
        <v>0</v>
      </c>
      <c r="D419" s="128" t="str">
        <f aca="false">ExportRaw!$E419</f>
        <v/>
      </c>
      <c r="E419" s="129" t="str">
        <f aca="false">ExportRaw!$D419</f>
        <v/>
      </c>
      <c r="F419" s="128" t="str">
        <f aca="false">ExportRaw!$H419</f>
        <v/>
      </c>
      <c r="G419" s="130" t="str">
        <f aca="false">ExportRaw!$I419</f>
        <v/>
      </c>
      <c r="H419" s="128" t="str">
        <f aca="false">ExportRaw!$A419</f>
        <v/>
      </c>
      <c r="I419" s="128" t="str">
        <f aca="false">ExportRaw!$B419</f>
        <v/>
      </c>
    </row>
    <row r="420" customFormat="false" ht="15.75" hidden="false" customHeight="false" outlineLevel="0" collapsed="false">
      <c r="A420" s="128" t="n">
        <f aca="false">ExportRaw!$F420</f>
        <v>0</v>
      </c>
      <c r="B420" s="128" t="n">
        <f aca="false">ExportRaw!$C420</f>
        <v>0</v>
      </c>
      <c r="C420" s="128" t="n">
        <f aca="false">ExportRaw!$G420</f>
        <v>0</v>
      </c>
      <c r="D420" s="128" t="str">
        <f aca="false">ExportRaw!$E420</f>
        <v/>
      </c>
      <c r="E420" s="129" t="str">
        <f aca="false">ExportRaw!$D420</f>
        <v/>
      </c>
      <c r="F420" s="128" t="str">
        <f aca="false">ExportRaw!$H420</f>
        <v/>
      </c>
      <c r="G420" s="130" t="str">
        <f aca="false">ExportRaw!$I420</f>
        <v/>
      </c>
      <c r="H420" s="128" t="str">
        <f aca="false">ExportRaw!$A420</f>
        <v/>
      </c>
      <c r="I420" s="128" t="str">
        <f aca="false">ExportRaw!$B420</f>
        <v/>
      </c>
    </row>
    <row r="421" customFormat="false" ht="15.75" hidden="false" customHeight="false" outlineLevel="0" collapsed="false">
      <c r="A421" s="128" t="n">
        <f aca="false">ExportRaw!$F421</f>
        <v>0</v>
      </c>
      <c r="B421" s="128" t="n">
        <f aca="false">ExportRaw!$C421</f>
        <v>0</v>
      </c>
      <c r="C421" s="128" t="n">
        <f aca="false">ExportRaw!$G421</f>
        <v>0</v>
      </c>
      <c r="D421" s="128" t="str">
        <f aca="false">ExportRaw!$E421</f>
        <v/>
      </c>
      <c r="E421" s="129" t="str">
        <f aca="false">ExportRaw!$D421</f>
        <v/>
      </c>
      <c r="F421" s="128" t="str">
        <f aca="false">ExportRaw!$H421</f>
        <v/>
      </c>
      <c r="G421" s="130" t="str">
        <f aca="false">ExportRaw!$I421</f>
        <v/>
      </c>
      <c r="H421" s="128" t="str">
        <f aca="false">ExportRaw!$A421</f>
        <v/>
      </c>
      <c r="I421" s="128" t="str">
        <f aca="false">ExportRaw!$B421</f>
        <v/>
      </c>
    </row>
    <row r="422" customFormat="false" ht="15.75" hidden="false" customHeight="false" outlineLevel="0" collapsed="false">
      <c r="A422" s="128" t="n">
        <f aca="false">ExportRaw!$F422</f>
        <v>0</v>
      </c>
      <c r="B422" s="128" t="n">
        <f aca="false">ExportRaw!$C422</f>
        <v>0</v>
      </c>
      <c r="C422" s="128" t="n">
        <f aca="false">ExportRaw!$G422</f>
        <v>0</v>
      </c>
      <c r="D422" s="128" t="str">
        <f aca="false">ExportRaw!$E422</f>
        <v/>
      </c>
      <c r="E422" s="129" t="str">
        <f aca="false">ExportRaw!$D422</f>
        <v/>
      </c>
      <c r="F422" s="128" t="str">
        <f aca="false">ExportRaw!$H422</f>
        <v/>
      </c>
      <c r="G422" s="130" t="str">
        <f aca="false">ExportRaw!$I422</f>
        <v/>
      </c>
      <c r="H422" s="128" t="str">
        <f aca="false">ExportRaw!$A422</f>
        <v/>
      </c>
      <c r="I422" s="128" t="str">
        <f aca="false">ExportRaw!$B422</f>
        <v/>
      </c>
    </row>
    <row r="423" customFormat="false" ht="15.75" hidden="false" customHeight="false" outlineLevel="0" collapsed="false">
      <c r="A423" s="128" t="n">
        <f aca="false">ExportRaw!$F423</f>
        <v>0</v>
      </c>
      <c r="B423" s="128" t="n">
        <f aca="false">ExportRaw!$C423</f>
        <v>0</v>
      </c>
      <c r="C423" s="128" t="n">
        <f aca="false">ExportRaw!$G423</f>
        <v>0</v>
      </c>
      <c r="D423" s="128" t="str">
        <f aca="false">ExportRaw!$E423</f>
        <v/>
      </c>
      <c r="E423" s="129" t="str">
        <f aca="false">ExportRaw!$D423</f>
        <v/>
      </c>
      <c r="F423" s="128" t="str">
        <f aca="false">ExportRaw!$H423</f>
        <v/>
      </c>
      <c r="G423" s="130" t="str">
        <f aca="false">ExportRaw!$I423</f>
        <v/>
      </c>
      <c r="H423" s="128" t="str">
        <f aca="false">ExportRaw!$A423</f>
        <v/>
      </c>
      <c r="I423" s="128" t="str">
        <f aca="false">ExportRaw!$B423</f>
        <v/>
      </c>
    </row>
    <row r="424" customFormat="false" ht="15.75" hidden="false" customHeight="false" outlineLevel="0" collapsed="false">
      <c r="A424" s="128" t="n">
        <f aca="false">ExportRaw!$F424</f>
        <v>0</v>
      </c>
      <c r="B424" s="128" t="n">
        <f aca="false">ExportRaw!$C424</f>
        <v>0</v>
      </c>
      <c r="C424" s="128" t="n">
        <f aca="false">ExportRaw!$G424</f>
        <v>0</v>
      </c>
      <c r="D424" s="128" t="str">
        <f aca="false">ExportRaw!$E424</f>
        <v/>
      </c>
      <c r="E424" s="129" t="str">
        <f aca="false">ExportRaw!$D424</f>
        <v/>
      </c>
      <c r="F424" s="128" t="str">
        <f aca="false">ExportRaw!$H424</f>
        <v/>
      </c>
      <c r="G424" s="130" t="str">
        <f aca="false">ExportRaw!$I424</f>
        <v/>
      </c>
      <c r="H424" s="128" t="str">
        <f aca="false">ExportRaw!$A424</f>
        <v/>
      </c>
      <c r="I424" s="128" t="str">
        <f aca="false">ExportRaw!$B424</f>
        <v/>
      </c>
    </row>
    <row r="425" customFormat="false" ht="15.75" hidden="false" customHeight="false" outlineLevel="0" collapsed="false">
      <c r="A425" s="128" t="n">
        <f aca="false">ExportRaw!$F425</f>
        <v>0</v>
      </c>
      <c r="B425" s="128" t="n">
        <f aca="false">ExportRaw!$C425</f>
        <v>0</v>
      </c>
      <c r="C425" s="128" t="n">
        <f aca="false">ExportRaw!$G425</f>
        <v>0</v>
      </c>
      <c r="D425" s="128" t="str">
        <f aca="false">ExportRaw!$E425</f>
        <v/>
      </c>
      <c r="E425" s="129" t="str">
        <f aca="false">ExportRaw!$D425</f>
        <v/>
      </c>
      <c r="F425" s="128" t="str">
        <f aca="false">ExportRaw!$H425</f>
        <v/>
      </c>
      <c r="G425" s="130" t="str">
        <f aca="false">ExportRaw!$I425</f>
        <v/>
      </c>
      <c r="H425" s="128" t="str">
        <f aca="false">ExportRaw!$A425</f>
        <v/>
      </c>
      <c r="I425" s="128" t="str">
        <f aca="false">ExportRaw!$B425</f>
        <v/>
      </c>
    </row>
    <row r="426" customFormat="false" ht="15.75" hidden="false" customHeight="false" outlineLevel="0" collapsed="false">
      <c r="A426" s="128" t="n">
        <f aca="false">ExportRaw!$F426</f>
        <v>0</v>
      </c>
      <c r="B426" s="128" t="n">
        <f aca="false">ExportRaw!$C426</f>
        <v>0</v>
      </c>
      <c r="C426" s="128" t="n">
        <f aca="false">ExportRaw!$G426</f>
        <v>0</v>
      </c>
      <c r="D426" s="128" t="str">
        <f aca="false">ExportRaw!$E426</f>
        <v/>
      </c>
      <c r="E426" s="129" t="str">
        <f aca="false">ExportRaw!$D426</f>
        <v/>
      </c>
      <c r="F426" s="128" t="str">
        <f aca="false">ExportRaw!$H426</f>
        <v/>
      </c>
      <c r="G426" s="130" t="str">
        <f aca="false">ExportRaw!$I426</f>
        <v/>
      </c>
      <c r="H426" s="128" t="str">
        <f aca="false">ExportRaw!$A426</f>
        <v/>
      </c>
      <c r="I426" s="128" t="str">
        <f aca="false">ExportRaw!$B426</f>
        <v/>
      </c>
    </row>
    <row r="427" customFormat="false" ht="15.75" hidden="false" customHeight="false" outlineLevel="0" collapsed="false">
      <c r="A427" s="128" t="n">
        <f aca="false">ExportRaw!$F427</f>
        <v>0</v>
      </c>
      <c r="B427" s="128" t="n">
        <f aca="false">ExportRaw!$C427</f>
        <v>0</v>
      </c>
      <c r="C427" s="128" t="n">
        <f aca="false">ExportRaw!$G427</f>
        <v>0</v>
      </c>
      <c r="D427" s="128" t="str">
        <f aca="false">ExportRaw!$E427</f>
        <v/>
      </c>
      <c r="E427" s="129" t="str">
        <f aca="false">ExportRaw!$D427</f>
        <v/>
      </c>
      <c r="F427" s="128" t="str">
        <f aca="false">ExportRaw!$H427</f>
        <v/>
      </c>
      <c r="G427" s="130" t="str">
        <f aca="false">ExportRaw!$I427</f>
        <v/>
      </c>
      <c r="H427" s="128" t="str">
        <f aca="false">ExportRaw!$A427</f>
        <v/>
      </c>
      <c r="I427" s="128" t="str">
        <f aca="false">ExportRaw!$B427</f>
        <v/>
      </c>
    </row>
    <row r="428" customFormat="false" ht="15.75" hidden="false" customHeight="false" outlineLevel="0" collapsed="false">
      <c r="A428" s="128" t="n">
        <f aca="false">ExportRaw!$F428</f>
        <v>0</v>
      </c>
      <c r="B428" s="128" t="n">
        <f aca="false">ExportRaw!$C428</f>
        <v>0</v>
      </c>
      <c r="C428" s="128" t="n">
        <f aca="false">ExportRaw!$G428</f>
        <v>0</v>
      </c>
      <c r="D428" s="128" t="str">
        <f aca="false">ExportRaw!$E428</f>
        <v/>
      </c>
      <c r="E428" s="129" t="str">
        <f aca="false">ExportRaw!$D428</f>
        <v/>
      </c>
      <c r="F428" s="128" t="str">
        <f aca="false">ExportRaw!$H428</f>
        <v/>
      </c>
      <c r="G428" s="130" t="str">
        <f aca="false">ExportRaw!$I428</f>
        <v/>
      </c>
      <c r="H428" s="128" t="str">
        <f aca="false">ExportRaw!$A428</f>
        <v/>
      </c>
      <c r="I428" s="128" t="str">
        <f aca="false">ExportRaw!$B428</f>
        <v/>
      </c>
    </row>
    <row r="429" customFormat="false" ht="15.75" hidden="false" customHeight="false" outlineLevel="0" collapsed="false">
      <c r="A429" s="128" t="n">
        <f aca="false">ExportRaw!$F429</f>
        <v>0</v>
      </c>
      <c r="B429" s="128" t="n">
        <f aca="false">ExportRaw!$C429</f>
        <v>0</v>
      </c>
      <c r="C429" s="128" t="n">
        <f aca="false">ExportRaw!$G429</f>
        <v>0</v>
      </c>
      <c r="D429" s="128" t="str">
        <f aca="false">ExportRaw!$E429</f>
        <v/>
      </c>
      <c r="E429" s="129" t="str">
        <f aca="false">ExportRaw!$D429</f>
        <v/>
      </c>
      <c r="F429" s="128" t="str">
        <f aca="false">ExportRaw!$H429</f>
        <v/>
      </c>
      <c r="G429" s="130" t="str">
        <f aca="false">ExportRaw!$I429</f>
        <v/>
      </c>
      <c r="H429" s="128" t="str">
        <f aca="false">ExportRaw!$A429</f>
        <v/>
      </c>
      <c r="I429" s="128" t="str">
        <f aca="false">ExportRaw!$B429</f>
        <v/>
      </c>
    </row>
    <row r="430" customFormat="false" ht="15.75" hidden="false" customHeight="false" outlineLevel="0" collapsed="false">
      <c r="A430" s="128" t="n">
        <f aca="false">ExportRaw!$F430</f>
        <v>0</v>
      </c>
      <c r="B430" s="128" t="n">
        <f aca="false">ExportRaw!$C430</f>
        <v>0</v>
      </c>
      <c r="C430" s="128" t="n">
        <f aca="false">ExportRaw!$G430</f>
        <v>0</v>
      </c>
      <c r="D430" s="128" t="str">
        <f aca="false">ExportRaw!$E430</f>
        <v/>
      </c>
      <c r="E430" s="129" t="str">
        <f aca="false">ExportRaw!$D430</f>
        <v/>
      </c>
      <c r="F430" s="128" t="str">
        <f aca="false">ExportRaw!$H430</f>
        <v/>
      </c>
      <c r="G430" s="130" t="str">
        <f aca="false">ExportRaw!$I430</f>
        <v/>
      </c>
      <c r="H430" s="128" t="str">
        <f aca="false">ExportRaw!$A430</f>
        <v/>
      </c>
      <c r="I430" s="128" t="str">
        <f aca="false">ExportRaw!$B430</f>
        <v/>
      </c>
    </row>
    <row r="431" customFormat="false" ht="15.75" hidden="false" customHeight="false" outlineLevel="0" collapsed="false">
      <c r="A431" s="128" t="n">
        <f aca="false">ExportRaw!$F431</f>
        <v>0</v>
      </c>
      <c r="B431" s="128" t="n">
        <f aca="false">ExportRaw!$C431</f>
        <v>0</v>
      </c>
      <c r="C431" s="128" t="n">
        <f aca="false">ExportRaw!$G431</f>
        <v>0</v>
      </c>
      <c r="D431" s="128" t="str">
        <f aca="false">ExportRaw!$E431</f>
        <v/>
      </c>
      <c r="E431" s="129" t="str">
        <f aca="false">ExportRaw!$D431</f>
        <v/>
      </c>
      <c r="F431" s="128" t="str">
        <f aca="false">ExportRaw!$H431</f>
        <v/>
      </c>
      <c r="G431" s="130" t="str">
        <f aca="false">ExportRaw!$I431</f>
        <v/>
      </c>
      <c r="H431" s="128" t="str">
        <f aca="false">ExportRaw!$A431</f>
        <v/>
      </c>
      <c r="I431" s="128" t="str">
        <f aca="false">ExportRaw!$B431</f>
        <v/>
      </c>
    </row>
    <row r="432" customFormat="false" ht="15.75" hidden="false" customHeight="false" outlineLevel="0" collapsed="false">
      <c r="A432" s="128" t="n">
        <f aca="false">ExportRaw!$F432</f>
        <v>0</v>
      </c>
      <c r="B432" s="128" t="n">
        <f aca="false">ExportRaw!$C432</f>
        <v>0</v>
      </c>
      <c r="C432" s="128" t="n">
        <f aca="false">ExportRaw!$G432</f>
        <v>0</v>
      </c>
      <c r="D432" s="128" t="str">
        <f aca="false">ExportRaw!$E432</f>
        <v/>
      </c>
      <c r="E432" s="129" t="str">
        <f aca="false">ExportRaw!$D432</f>
        <v/>
      </c>
      <c r="F432" s="128" t="str">
        <f aca="false">ExportRaw!$H432</f>
        <v/>
      </c>
      <c r="G432" s="130" t="str">
        <f aca="false">ExportRaw!$I432</f>
        <v/>
      </c>
      <c r="H432" s="128" t="str">
        <f aca="false">ExportRaw!$A432</f>
        <v/>
      </c>
      <c r="I432" s="128" t="str">
        <f aca="false">ExportRaw!$B432</f>
        <v/>
      </c>
    </row>
    <row r="433" customFormat="false" ht="15.75" hidden="false" customHeight="false" outlineLevel="0" collapsed="false">
      <c r="A433" s="128" t="n">
        <f aca="false">ExportRaw!$F433</f>
        <v>0</v>
      </c>
      <c r="B433" s="128" t="n">
        <f aca="false">ExportRaw!$C433</f>
        <v>0</v>
      </c>
      <c r="C433" s="128" t="n">
        <f aca="false">ExportRaw!$G433</f>
        <v>0</v>
      </c>
      <c r="D433" s="128" t="str">
        <f aca="false">ExportRaw!$E433</f>
        <v/>
      </c>
      <c r="E433" s="129" t="str">
        <f aca="false">ExportRaw!$D433</f>
        <v/>
      </c>
      <c r="F433" s="128" t="str">
        <f aca="false">ExportRaw!$H433</f>
        <v/>
      </c>
      <c r="G433" s="130" t="str">
        <f aca="false">ExportRaw!$I433</f>
        <v/>
      </c>
      <c r="H433" s="128" t="str">
        <f aca="false">ExportRaw!$A433</f>
        <v/>
      </c>
      <c r="I433" s="128" t="str">
        <f aca="false">ExportRaw!$B433</f>
        <v/>
      </c>
    </row>
    <row r="434" customFormat="false" ht="15.75" hidden="false" customHeight="false" outlineLevel="0" collapsed="false">
      <c r="A434" s="128" t="n">
        <f aca="false">ExportRaw!$F434</f>
        <v>0</v>
      </c>
      <c r="B434" s="128" t="n">
        <f aca="false">ExportRaw!$C434</f>
        <v>0</v>
      </c>
      <c r="C434" s="128" t="n">
        <f aca="false">ExportRaw!$G434</f>
        <v>0</v>
      </c>
      <c r="D434" s="128" t="str">
        <f aca="false">ExportRaw!$E434</f>
        <v/>
      </c>
      <c r="E434" s="129" t="str">
        <f aca="false">ExportRaw!$D434</f>
        <v/>
      </c>
      <c r="F434" s="128" t="str">
        <f aca="false">ExportRaw!$H434</f>
        <v/>
      </c>
      <c r="G434" s="130" t="str">
        <f aca="false">ExportRaw!$I434</f>
        <v/>
      </c>
      <c r="H434" s="128" t="str">
        <f aca="false">ExportRaw!$A434</f>
        <v/>
      </c>
      <c r="I434" s="128" t="str">
        <f aca="false">ExportRaw!$B434</f>
        <v/>
      </c>
    </row>
    <row r="435" customFormat="false" ht="15.75" hidden="false" customHeight="false" outlineLevel="0" collapsed="false">
      <c r="A435" s="128" t="n">
        <f aca="false">ExportRaw!$F435</f>
        <v>0</v>
      </c>
      <c r="B435" s="128" t="n">
        <f aca="false">ExportRaw!$C435</f>
        <v>0</v>
      </c>
      <c r="C435" s="128" t="n">
        <f aca="false">ExportRaw!$G435</f>
        <v>0</v>
      </c>
      <c r="D435" s="128" t="str">
        <f aca="false">ExportRaw!$E435</f>
        <v/>
      </c>
      <c r="E435" s="129" t="str">
        <f aca="false">ExportRaw!$D435</f>
        <v/>
      </c>
      <c r="F435" s="128" t="str">
        <f aca="false">ExportRaw!$H435</f>
        <v/>
      </c>
      <c r="G435" s="130" t="str">
        <f aca="false">ExportRaw!$I435</f>
        <v/>
      </c>
      <c r="H435" s="128" t="str">
        <f aca="false">ExportRaw!$A435</f>
        <v/>
      </c>
      <c r="I435" s="128" t="str">
        <f aca="false">ExportRaw!$B435</f>
        <v/>
      </c>
    </row>
    <row r="436" customFormat="false" ht="15.75" hidden="false" customHeight="false" outlineLevel="0" collapsed="false">
      <c r="A436" s="128" t="n">
        <f aca="false">ExportRaw!$F436</f>
        <v>0</v>
      </c>
      <c r="B436" s="128" t="n">
        <f aca="false">ExportRaw!$C436</f>
        <v>0</v>
      </c>
      <c r="C436" s="128" t="n">
        <f aca="false">ExportRaw!$G436</f>
        <v>0</v>
      </c>
      <c r="D436" s="128" t="str">
        <f aca="false">ExportRaw!$E436</f>
        <v/>
      </c>
      <c r="E436" s="129" t="str">
        <f aca="false">ExportRaw!$D436</f>
        <v/>
      </c>
      <c r="F436" s="128" t="str">
        <f aca="false">ExportRaw!$H436</f>
        <v/>
      </c>
      <c r="G436" s="130" t="str">
        <f aca="false">ExportRaw!$I436</f>
        <v/>
      </c>
      <c r="H436" s="128" t="str">
        <f aca="false">ExportRaw!$A436</f>
        <v/>
      </c>
      <c r="I436" s="128" t="str">
        <f aca="false">ExportRaw!$B436</f>
        <v/>
      </c>
    </row>
    <row r="437" customFormat="false" ht="15.75" hidden="false" customHeight="false" outlineLevel="0" collapsed="false">
      <c r="A437" s="128" t="n">
        <f aca="false">ExportRaw!$F437</f>
        <v>0</v>
      </c>
      <c r="B437" s="128" t="n">
        <f aca="false">ExportRaw!$C437</f>
        <v>0</v>
      </c>
      <c r="C437" s="128" t="n">
        <f aca="false">ExportRaw!$G437</f>
        <v>0</v>
      </c>
      <c r="D437" s="128" t="str">
        <f aca="false">ExportRaw!$E437</f>
        <v/>
      </c>
      <c r="E437" s="129" t="str">
        <f aca="false">ExportRaw!$D437</f>
        <v/>
      </c>
      <c r="F437" s="128" t="str">
        <f aca="false">ExportRaw!$H437</f>
        <v/>
      </c>
      <c r="G437" s="130" t="str">
        <f aca="false">ExportRaw!$I437</f>
        <v/>
      </c>
      <c r="H437" s="128" t="str">
        <f aca="false">ExportRaw!$A437</f>
        <v/>
      </c>
      <c r="I437" s="128" t="str">
        <f aca="false">ExportRaw!$B437</f>
        <v/>
      </c>
    </row>
    <row r="438" customFormat="false" ht="15.75" hidden="false" customHeight="false" outlineLevel="0" collapsed="false">
      <c r="A438" s="128" t="n">
        <f aca="false">ExportRaw!$F438</f>
        <v>0</v>
      </c>
      <c r="B438" s="128" t="n">
        <f aca="false">ExportRaw!$C438</f>
        <v>0</v>
      </c>
      <c r="C438" s="128" t="n">
        <f aca="false">ExportRaw!$G438</f>
        <v>0</v>
      </c>
      <c r="D438" s="128" t="str">
        <f aca="false">ExportRaw!$E438</f>
        <v/>
      </c>
      <c r="E438" s="129" t="str">
        <f aca="false">ExportRaw!$D438</f>
        <v/>
      </c>
      <c r="F438" s="128" t="str">
        <f aca="false">ExportRaw!$H438</f>
        <v/>
      </c>
      <c r="G438" s="130" t="str">
        <f aca="false">ExportRaw!$I438</f>
        <v/>
      </c>
      <c r="H438" s="128" t="str">
        <f aca="false">ExportRaw!$A438</f>
        <v/>
      </c>
      <c r="I438" s="128" t="str">
        <f aca="false">ExportRaw!$B438</f>
        <v/>
      </c>
    </row>
    <row r="439" customFormat="false" ht="15.75" hidden="false" customHeight="false" outlineLevel="0" collapsed="false">
      <c r="A439" s="128" t="n">
        <f aca="false">ExportRaw!$F439</f>
        <v>0</v>
      </c>
      <c r="B439" s="128" t="n">
        <f aca="false">ExportRaw!$C439</f>
        <v>0</v>
      </c>
      <c r="C439" s="128" t="n">
        <f aca="false">ExportRaw!$G439</f>
        <v>0</v>
      </c>
      <c r="D439" s="128" t="str">
        <f aca="false">ExportRaw!$E439</f>
        <v/>
      </c>
      <c r="E439" s="129" t="str">
        <f aca="false">ExportRaw!$D439</f>
        <v/>
      </c>
      <c r="F439" s="128" t="str">
        <f aca="false">ExportRaw!$H439</f>
        <v/>
      </c>
      <c r="G439" s="130" t="str">
        <f aca="false">ExportRaw!$I439</f>
        <v/>
      </c>
      <c r="H439" s="128" t="str">
        <f aca="false">ExportRaw!$A439</f>
        <v/>
      </c>
      <c r="I439" s="128" t="str">
        <f aca="false">ExportRaw!$B439</f>
        <v/>
      </c>
    </row>
    <row r="440" customFormat="false" ht="15.75" hidden="false" customHeight="false" outlineLevel="0" collapsed="false">
      <c r="A440" s="128" t="n">
        <f aca="false">ExportRaw!$F440</f>
        <v>0</v>
      </c>
      <c r="B440" s="128" t="n">
        <f aca="false">ExportRaw!$C440</f>
        <v>0</v>
      </c>
      <c r="C440" s="128" t="n">
        <f aca="false">ExportRaw!$G440</f>
        <v>0</v>
      </c>
      <c r="D440" s="128" t="str">
        <f aca="false">ExportRaw!$E440</f>
        <v/>
      </c>
      <c r="E440" s="129" t="str">
        <f aca="false">ExportRaw!$D440</f>
        <v/>
      </c>
      <c r="F440" s="128" t="str">
        <f aca="false">ExportRaw!$H440</f>
        <v/>
      </c>
      <c r="G440" s="130" t="str">
        <f aca="false">ExportRaw!$I440</f>
        <v/>
      </c>
      <c r="H440" s="128" t="str">
        <f aca="false">ExportRaw!$A440</f>
        <v/>
      </c>
      <c r="I440" s="128" t="str">
        <f aca="false">ExportRaw!$B440</f>
        <v/>
      </c>
    </row>
    <row r="441" customFormat="false" ht="15.75" hidden="false" customHeight="false" outlineLevel="0" collapsed="false">
      <c r="A441" s="128" t="n">
        <f aca="false">ExportRaw!$F441</f>
        <v>0</v>
      </c>
      <c r="B441" s="128" t="n">
        <f aca="false">ExportRaw!$C441</f>
        <v>0</v>
      </c>
      <c r="C441" s="128" t="n">
        <f aca="false">ExportRaw!$G441</f>
        <v>0</v>
      </c>
      <c r="D441" s="128" t="str">
        <f aca="false">ExportRaw!$E441</f>
        <v/>
      </c>
      <c r="E441" s="129" t="str">
        <f aca="false">ExportRaw!$D441</f>
        <v/>
      </c>
      <c r="F441" s="128" t="str">
        <f aca="false">ExportRaw!$H441</f>
        <v/>
      </c>
      <c r="G441" s="130" t="str">
        <f aca="false">ExportRaw!$I441</f>
        <v/>
      </c>
      <c r="H441" s="128" t="str">
        <f aca="false">ExportRaw!$A441</f>
        <v/>
      </c>
      <c r="I441" s="128" t="str">
        <f aca="false">ExportRaw!$B441</f>
        <v/>
      </c>
    </row>
    <row r="442" customFormat="false" ht="15.75" hidden="false" customHeight="false" outlineLevel="0" collapsed="false">
      <c r="A442" s="128" t="n">
        <f aca="false">ExportRaw!$F442</f>
        <v>0</v>
      </c>
      <c r="B442" s="128" t="n">
        <f aca="false">ExportRaw!$C442</f>
        <v>0</v>
      </c>
      <c r="C442" s="128" t="n">
        <f aca="false">ExportRaw!$G442</f>
        <v>0</v>
      </c>
      <c r="D442" s="128" t="str">
        <f aca="false">ExportRaw!$E442</f>
        <v/>
      </c>
      <c r="E442" s="129" t="str">
        <f aca="false">ExportRaw!$D442</f>
        <v/>
      </c>
      <c r="F442" s="128" t="str">
        <f aca="false">ExportRaw!$H442</f>
        <v/>
      </c>
      <c r="G442" s="130" t="str">
        <f aca="false">ExportRaw!$I442</f>
        <v/>
      </c>
      <c r="H442" s="128" t="str">
        <f aca="false">ExportRaw!$A442</f>
        <v/>
      </c>
      <c r="I442" s="128" t="str">
        <f aca="false">ExportRaw!$B442</f>
        <v/>
      </c>
    </row>
    <row r="443" customFormat="false" ht="15.75" hidden="false" customHeight="false" outlineLevel="0" collapsed="false">
      <c r="A443" s="128" t="n">
        <f aca="false">ExportRaw!$F443</f>
        <v>0</v>
      </c>
      <c r="B443" s="128" t="n">
        <f aca="false">ExportRaw!$C443</f>
        <v>0</v>
      </c>
      <c r="C443" s="128" t="n">
        <f aca="false">ExportRaw!$G443</f>
        <v>0</v>
      </c>
      <c r="D443" s="128" t="str">
        <f aca="false">ExportRaw!$E443</f>
        <v/>
      </c>
      <c r="E443" s="129" t="str">
        <f aca="false">ExportRaw!$D443</f>
        <v/>
      </c>
      <c r="F443" s="128" t="str">
        <f aca="false">ExportRaw!$H443</f>
        <v/>
      </c>
      <c r="G443" s="130" t="str">
        <f aca="false">ExportRaw!$I443</f>
        <v/>
      </c>
      <c r="H443" s="128" t="str">
        <f aca="false">ExportRaw!$A443</f>
        <v/>
      </c>
      <c r="I443" s="128" t="str">
        <f aca="false">ExportRaw!$B443</f>
        <v/>
      </c>
    </row>
    <row r="444" customFormat="false" ht="15.75" hidden="false" customHeight="false" outlineLevel="0" collapsed="false">
      <c r="A444" s="128" t="n">
        <f aca="false">ExportRaw!$F444</f>
        <v>0</v>
      </c>
      <c r="B444" s="128" t="n">
        <f aca="false">ExportRaw!$C444</f>
        <v>0</v>
      </c>
      <c r="C444" s="128" t="n">
        <f aca="false">ExportRaw!$G444</f>
        <v>0</v>
      </c>
      <c r="D444" s="128" t="str">
        <f aca="false">ExportRaw!$E444</f>
        <v/>
      </c>
      <c r="E444" s="129" t="str">
        <f aca="false">ExportRaw!$D444</f>
        <v/>
      </c>
      <c r="F444" s="128" t="str">
        <f aca="false">ExportRaw!$H444</f>
        <v/>
      </c>
      <c r="G444" s="130" t="str">
        <f aca="false">ExportRaw!$I444</f>
        <v/>
      </c>
      <c r="H444" s="128" t="str">
        <f aca="false">ExportRaw!$A444</f>
        <v/>
      </c>
      <c r="I444" s="128" t="str">
        <f aca="false">ExportRaw!$B444</f>
        <v/>
      </c>
    </row>
    <row r="445" customFormat="false" ht="15.75" hidden="false" customHeight="false" outlineLevel="0" collapsed="false">
      <c r="A445" s="128" t="n">
        <f aca="false">ExportRaw!$F445</f>
        <v>0</v>
      </c>
      <c r="B445" s="128" t="n">
        <f aca="false">ExportRaw!$C445</f>
        <v>0</v>
      </c>
      <c r="C445" s="128" t="n">
        <f aca="false">ExportRaw!$G445</f>
        <v>0</v>
      </c>
      <c r="D445" s="128" t="str">
        <f aca="false">ExportRaw!$E445</f>
        <v/>
      </c>
      <c r="E445" s="129" t="str">
        <f aca="false">ExportRaw!$D445</f>
        <v/>
      </c>
      <c r="F445" s="128" t="str">
        <f aca="false">ExportRaw!$H445</f>
        <v/>
      </c>
      <c r="G445" s="130" t="str">
        <f aca="false">ExportRaw!$I445</f>
        <v/>
      </c>
      <c r="H445" s="128" t="str">
        <f aca="false">ExportRaw!$A445</f>
        <v/>
      </c>
      <c r="I445" s="128" t="str">
        <f aca="false">ExportRaw!$B445</f>
        <v/>
      </c>
    </row>
    <row r="446" customFormat="false" ht="15.75" hidden="false" customHeight="false" outlineLevel="0" collapsed="false">
      <c r="A446" s="128" t="n">
        <f aca="false">ExportRaw!$F446</f>
        <v>0</v>
      </c>
      <c r="B446" s="128" t="n">
        <f aca="false">ExportRaw!$C446</f>
        <v>0</v>
      </c>
      <c r="C446" s="128" t="n">
        <f aca="false">ExportRaw!$G446</f>
        <v>0</v>
      </c>
      <c r="D446" s="128" t="str">
        <f aca="false">ExportRaw!$E446</f>
        <v/>
      </c>
      <c r="E446" s="129" t="str">
        <f aca="false">ExportRaw!$D446</f>
        <v/>
      </c>
      <c r="F446" s="128" t="str">
        <f aca="false">ExportRaw!$H446</f>
        <v/>
      </c>
      <c r="G446" s="130" t="str">
        <f aca="false">ExportRaw!$I446</f>
        <v/>
      </c>
      <c r="H446" s="128" t="str">
        <f aca="false">ExportRaw!$A446</f>
        <v/>
      </c>
      <c r="I446" s="128" t="str">
        <f aca="false">ExportRaw!$B446</f>
        <v/>
      </c>
    </row>
    <row r="447" customFormat="false" ht="15.75" hidden="false" customHeight="false" outlineLevel="0" collapsed="false">
      <c r="A447" s="128" t="n">
        <f aca="false">ExportRaw!$F447</f>
        <v>0</v>
      </c>
      <c r="B447" s="128" t="n">
        <f aca="false">ExportRaw!$C447</f>
        <v>0</v>
      </c>
      <c r="C447" s="128" t="n">
        <f aca="false">ExportRaw!$G447</f>
        <v>0</v>
      </c>
      <c r="D447" s="128" t="str">
        <f aca="false">ExportRaw!$E447</f>
        <v/>
      </c>
      <c r="E447" s="129" t="str">
        <f aca="false">ExportRaw!$D447</f>
        <v/>
      </c>
      <c r="F447" s="128" t="str">
        <f aca="false">ExportRaw!$H447</f>
        <v/>
      </c>
      <c r="G447" s="130" t="str">
        <f aca="false">ExportRaw!$I447</f>
        <v/>
      </c>
      <c r="H447" s="128" t="str">
        <f aca="false">ExportRaw!$A447</f>
        <v/>
      </c>
      <c r="I447" s="128" t="str">
        <f aca="false">ExportRaw!$B447</f>
        <v/>
      </c>
    </row>
    <row r="448" customFormat="false" ht="15.75" hidden="false" customHeight="false" outlineLevel="0" collapsed="false">
      <c r="A448" s="128" t="n">
        <f aca="false">ExportRaw!$F448</f>
        <v>0</v>
      </c>
      <c r="B448" s="128" t="n">
        <f aca="false">ExportRaw!$C448</f>
        <v>0</v>
      </c>
      <c r="C448" s="128" t="n">
        <f aca="false">ExportRaw!$G448</f>
        <v>0</v>
      </c>
      <c r="D448" s="128" t="str">
        <f aca="false">ExportRaw!$E448</f>
        <v/>
      </c>
      <c r="E448" s="129" t="str">
        <f aca="false">ExportRaw!$D448</f>
        <v/>
      </c>
      <c r="F448" s="128" t="str">
        <f aca="false">ExportRaw!$H448</f>
        <v/>
      </c>
      <c r="G448" s="130" t="str">
        <f aca="false">ExportRaw!$I448</f>
        <v/>
      </c>
      <c r="H448" s="128" t="str">
        <f aca="false">ExportRaw!$A448</f>
        <v/>
      </c>
      <c r="I448" s="128" t="str">
        <f aca="false">ExportRaw!$B448</f>
        <v/>
      </c>
    </row>
    <row r="449" customFormat="false" ht="15.75" hidden="false" customHeight="false" outlineLevel="0" collapsed="false">
      <c r="A449" s="128" t="n">
        <f aca="false">ExportRaw!$F449</f>
        <v>0</v>
      </c>
      <c r="B449" s="128" t="n">
        <f aca="false">ExportRaw!$C449</f>
        <v>0</v>
      </c>
      <c r="C449" s="128" t="n">
        <f aca="false">ExportRaw!$G449</f>
        <v>0</v>
      </c>
      <c r="D449" s="128" t="str">
        <f aca="false">ExportRaw!$E449</f>
        <v/>
      </c>
      <c r="E449" s="129" t="str">
        <f aca="false">ExportRaw!$D449</f>
        <v/>
      </c>
      <c r="F449" s="128" t="str">
        <f aca="false">ExportRaw!$H449</f>
        <v/>
      </c>
      <c r="G449" s="130" t="str">
        <f aca="false">ExportRaw!$I449</f>
        <v/>
      </c>
      <c r="H449" s="128" t="str">
        <f aca="false">ExportRaw!$A449</f>
        <v/>
      </c>
      <c r="I449" s="128" t="str">
        <f aca="false">ExportRaw!$B449</f>
        <v/>
      </c>
    </row>
    <row r="450" customFormat="false" ht="15.75" hidden="false" customHeight="false" outlineLevel="0" collapsed="false">
      <c r="A450" s="128" t="n">
        <f aca="false">ExportRaw!$F450</f>
        <v>0</v>
      </c>
      <c r="B450" s="128" t="n">
        <f aca="false">ExportRaw!$C450</f>
        <v>0</v>
      </c>
      <c r="C450" s="128" t="n">
        <f aca="false">ExportRaw!$G450</f>
        <v>0</v>
      </c>
      <c r="D450" s="128" t="str">
        <f aca="false">ExportRaw!$E450</f>
        <v/>
      </c>
      <c r="E450" s="129" t="str">
        <f aca="false">ExportRaw!$D450</f>
        <v/>
      </c>
      <c r="F450" s="128" t="str">
        <f aca="false">ExportRaw!$H450</f>
        <v/>
      </c>
      <c r="G450" s="130" t="str">
        <f aca="false">ExportRaw!$I450</f>
        <v/>
      </c>
      <c r="H450" s="128" t="str">
        <f aca="false">ExportRaw!$A450</f>
        <v/>
      </c>
      <c r="I450" s="128" t="str">
        <f aca="false">ExportRaw!$B450</f>
        <v/>
      </c>
    </row>
    <row r="451" customFormat="false" ht="15.75" hidden="false" customHeight="false" outlineLevel="0" collapsed="false">
      <c r="A451" s="128" t="n">
        <f aca="false">ExportRaw!$F451</f>
        <v>0</v>
      </c>
      <c r="B451" s="128" t="n">
        <f aca="false">ExportRaw!$C451</f>
        <v>0</v>
      </c>
      <c r="C451" s="128" t="n">
        <f aca="false">ExportRaw!$G451</f>
        <v>0</v>
      </c>
      <c r="D451" s="128" t="str">
        <f aca="false">ExportRaw!$E451</f>
        <v/>
      </c>
      <c r="E451" s="129" t="str">
        <f aca="false">ExportRaw!$D451</f>
        <v/>
      </c>
      <c r="F451" s="128" t="str">
        <f aca="false">ExportRaw!$H451</f>
        <v/>
      </c>
      <c r="G451" s="130" t="str">
        <f aca="false">ExportRaw!$I451</f>
        <v/>
      </c>
      <c r="H451" s="128" t="str">
        <f aca="false">ExportRaw!$A451</f>
        <v/>
      </c>
      <c r="I451" s="128" t="str">
        <f aca="false">ExportRaw!$B451</f>
        <v/>
      </c>
    </row>
    <row r="452" customFormat="false" ht="15.75" hidden="false" customHeight="false" outlineLevel="0" collapsed="false">
      <c r="A452" s="128" t="n">
        <f aca="false">ExportRaw!$F452</f>
        <v>0</v>
      </c>
      <c r="B452" s="128" t="n">
        <f aca="false">ExportRaw!$C452</f>
        <v>0</v>
      </c>
      <c r="C452" s="128" t="n">
        <f aca="false">ExportRaw!$G452</f>
        <v>0</v>
      </c>
      <c r="D452" s="128" t="str">
        <f aca="false">ExportRaw!$E452</f>
        <v/>
      </c>
      <c r="E452" s="129" t="str">
        <f aca="false">ExportRaw!$D452</f>
        <v/>
      </c>
      <c r="F452" s="128" t="str">
        <f aca="false">ExportRaw!$H452</f>
        <v/>
      </c>
      <c r="G452" s="130" t="str">
        <f aca="false">ExportRaw!$I452</f>
        <v/>
      </c>
      <c r="H452" s="128" t="str">
        <f aca="false">ExportRaw!$A452</f>
        <v/>
      </c>
      <c r="I452" s="128" t="str">
        <f aca="false">ExportRaw!$B452</f>
        <v/>
      </c>
    </row>
    <row r="453" customFormat="false" ht="15.75" hidden="false" customHeight="false" outlineLevel="0" collapsed="false">
      <c r="A453" s="128" t="n">
        <f aca="false">ExportRaw!$F453</f>
        <v>0</v>
      </c>
      <c r="B453" s="128" t="n">
        <f aca="false">ExportRaw!$C453</f>
        <v>0</v>
      </c>
      <c r="C453" s="128" t="n">
        <f aca="false">ExportRaw!$G453</f>
        <v>0</v>
      </c>
      <c r="D453" s="128" t="str">
        <f aca="false">ExportRaw!$E453</f>
        <v/>
      </c>
      <c r="E453" s="129" t="str">
        <f aca="false">ExportRaw!$D453</f>
        <v/>
      </c>
      <c r="F453" s="128" t="str">
        <f aca="false">ExportRaw!$H453</f>
        <v/>
      </c>
      <c r="G453" s="130" t="str">
        <f aca="false">ExportRaw!$I453</f>
        <v/>
      </c>
      <c r="H453" s="128" t="str">
        <f aca="false">ExportRaw!$A453</f>
        <v/>
      </c>
      <c r="I453" s="128" t="str">
        <f aca="false">ExportRaw!$B453</f>
        <v/>
      </c>
    </row>
    <row r="454" customFormat="false" ht="15.75" hidden="false" customHeight="false" outlineLevel="0" collapsed="false">
      <c r="A454" s="128" t="n">
        <f aca="false">ExportRaw!$F454</f>
        <v>0</v>
      </c>
      <c r="B454" s="128" t="n">
        <f aca="false">ExportRaw!$C454</f>
        <v>0</v>
      </c>
      <c r="C454" s="128" t="n">
        <f aca="false">ExportRaw!$G454</f>
        <v>0</v>
      </c>
      <c r="D454" s="128" t="str">
        <f aca="false">ExportRaw!$E454</f>
        <v/>
      </c>
      <c r="E454" s="129" t="str">
        <f aca="false">ExportRaw!$D454</f>
        <v/>
      </c>
      <c r="F454" s="128" t="str">
        <f aca="false">ExportRaw!$H454</f>
        <v/>
      </c>
      <c r="G454" s="130" t="str">
        <f aca="false">ExportRaw!$I454</f>
        <v/>
      </c>
      <c r="H454" s="128" t="str">
        <f aca="false">ExportRaw!$A454</f>
        <v/>
      </c>
      <c r="I454" s="128" t="str">
        <f aca="false">ExportRaw!$B454</f>
        <v/>
      </c>
    </row>
    <row r="455" customFormat="false" ht="15.75" hidden="false" customHeight="false" outlineLevel="0" collapsed="false">
      <c r="A455" s="128" t="n">
        <f aca="false">ExportRaw!$F455</f>
        <v>0</v>
      </c>
      <c r="B455" s="128" t="n">
        <f aca="false">ExportRaw!$C455</f>
        <v>0</v>
      </c>
      <c r="C455" s="128" t="n">
        <f aca="false">ExportRaw!$G455</f>
        <v>0</v>
      </c>
      <c r="D455" s="128" t="str">
        <f aca="false">ExportRaw!$E455</f>
        <v/>
      </c>
      <c r="E455" s="129" t="str">
        <f aca="false">ExportRaw!$D455</f>
        <v/>
      </c>
      <c r="F455" s="128" t="str">
        <f aca="false">ExportRaw!$H455</f>
        <v/>
      </c>
      <c r="G455" s="130" t="str">
        <f aca="false">ExportRaw!$I455</f>
        <v/>
      </c>
      <c r="H455" s="128" t="str">
        <f aca="false">ExportRaw!$A455</f>
        <v/>
      </c>
      <c r="I455" s="128" t="str">
        <f aca="false">ExportRaw!$B455</f>
        <v/>
      </c>
    </row>
    <row r="456" customFormat="false" ht="15.75" hidden="false" customHeight="false" outlineLevel="0" collapsed="false">
      <c r="A456" s="128" t="n">
        <f aca="false">ExportRaw!$F456</f>
        <v>0</v>
      </c>
      <c r="B456" s="128" t="n">
        <f aca="false">ExportRaw!$C456</f>
        <v>0</v>
      </c>
      <c r="C456" s="128" t="n">
        <f aca="false">ExportRaw!$G456</f>
        <v>0</v>
      </c>
      <c r="D456" s="128" t="str">
        <f aca="false">ExportRaw!$E456</f>
        <v/>
      </c>
      <c r="E456" s="129" t="str">
        <f aca="false">ExportRaw!$D456</f>
        <v/>
      </c>
      <c r="F456" s="128" t="str">
        <f aca="false">ExportRaw!$H456</f>
        <v/>
      </c>
      <c r="G456" s="130" t="str">
        <f aca="false">ExportRaw!$I456</f>
        <v/>
      </c>
      <c r="H456" s="128" t="str">
        <f aca="false">ExportRaw!$A456</f>
        <v/>
      </c>
      <c r="I456" s="128" t="str">
        <f aca="false">ExportRaw!$B456</f>
        <v/>
      </c>
    </row>
    <row r="457" customFormat="false" ht="15.75" hidden="false" customHeight="false" outlineLevel="0" collapsed="false">
      <c r="A457" s="128" t="n">
        <f aca="false">ExportRaw!$F457</f>
        <v>0</v>
      </c>
      <c r="B457" s="128" t="n">
        <f aca="false">ExportRaw!$C457</f>
        <v>0</v>
      </c>
      <c r="C457" s="128" t="n">
        <f aca="false">ExportRaw!$G457</f>
        <v>0</v>
      </c>
      <c r="D457" s="128" t="str">
        <f aca="false">ExportRaw!$E457</f>
        <v/>
      </c>
      <c r="E457" s="129" t="str">
        <f aca="false">ExportRaw!$D457</f>
        <v/>
      </c>
      <c r="F457" s="128" t="str">
        <f aca="false">ExportRaw!$H457</f>
        <v/>
      </c>
      <c r="G457" s="130" t="str">
        <f aca="false">ExportRaw!$I457</f>
        <v/>
      </c>
      <c r="H457" s="128" t="str">
        <f aca="false">ExportRaw!$A457</f>
        <v/>
      </c>
      <c r="I457" s="128" t="str">
        <f aca="false">ExportRaw!$B457</f>
        <v/>
      </c>
    </row>
    <row r="458" customFormat="false" ht="15.75" hidden="false" customHeight="false" outlineLevel="0" collapsed="false">
      <c r="A458" s="128" t="n">
        <f aca="false">ExportRaw!$F458</f>
        <v>0</v>
      </c>
      <c r="B458" s="128" t="n">
        <f aca="false">ExportRaw!$C458</f>
        <v>0</v>
      </c>
      <c r="C458" s="128" t="n">
        <f aca="false">ExportRaw!$G458</f>
        <v>0</v>
      </c>
      <c r="D458" s="128" t="str">
        <f aca="false">ExportRaw!$E458</f>
        <v/>
      </c>
      <c r="E458" s="129" t="str">
        <f aca="false">ExportRaw!$D458</f>
        <v/>
      </c>
      <c r="F458" s="128" t="str">
        <f aca="false">ExportRaw!$H458</f>
        <v/>
      </c>
      <c r="G458" s="130" t="str">
        <f aca="false">ExportRaw!$I458</f>
        <v/>
      </c>
      <c r="H458" s="128" t="str">
        <f aca="false">ExportRaw!$A458</f>
        <v/>
      </c>
      <c r="I458" s="128" t="str">
        <f aca="false">ExportRaw!$B458</f>
        <v/>
      </c>
    </row>
    <row r="459" customFormat="false" ht="15.75" hidden="false" customHeight="false" outlineLevel="0" collapsed="false">
      <c r="A459" s="128" t="n">
        <f aca="false">ExportRaw!$F459</f>
        <v>0</v>
      </c>
      <c r="B459" s="128" t="n">
        <f aca="false">ExportRaw!$C459</f>
        <v>0</v>
      </c>
      <c r="C459" s="128" t="n">
        <f aca="false">ExportRaw!$G459</f>
        <v>0</v>
      </c>
      <c r="D459" s="128" t="str">
        <f aca="false">ExportRaw!$E459</f>
        <v/>
      </c>
      <c r="E459" s="129" t="str">
        <f aca="false">ExportRaw!$D459</f>
        <v/>
      </c>
      <c r="F459" s="128" t="str">
        <f aca="false">ExportRaw!$H459</f>
        <v/>
      </c>
      <c r="G459" s="130" t="str">
        <f aca="false">ExportRaw!$I459</f>
        <v/>
      </c>
      <c r="H459" s="128" t="str">
        <f aca="false">ExportRaw!$A459</f>
        <v/>
      </c>
      <c r="I459" s="128" t="str">
        <f aca="false">ExportRaw!$B459</f>
        <v/>
      </c>
    </row>
    <row r="460" customFormat="false" ht="15.75" hidden="false" customHeight="false" outlineLevel="0" collapsed="false">
      <c r="A460" s="128" t="n">
        <f aca="false">ExportRaw!$F460</f>
        <v>0</v>
      </c>
      <c r="B460" s="128" t="n">
        <f aca="false">ExportRaw!$C460</f>
        <v>0</v>
      </c>
      <c r="C460" s="128" t="n">
        <f aca="false">ExportRaw!$G460</f>
        <v>0</v>
      </c>
      <c r="D460" s="128" t="str">
        <f aca="false">ExportRaw!$E460</f>
        <v/>
      </c>
      <c r="E460" s="129" t="str">
        <f aca="false">ExportRaw!$D460</f>
        <v/>
      </c>
      <c r="F460" s="128" t="str">
        <f aca="false">ExportRaw!$H460</f>
        <v/>
      </c>
      <c r="G460" s="130" t="str">
        <f aca="false">ExportRaw!$I460</f>
        <v/>
      </c>
      <c r="H460" s="128" t="str">
        <f aca="false">ExportRaw!$A460</f>
        <v/>
      </c>
      <c r="I460" s="128" t="str">
        <f aca="false">ExportRaw!$B460</f>
        <v/>
      </c>
    </row>
    <row r="461" customFormat="false" ht="15.75" hidden="false" customHeight="false" outlineLevel="0" collapsed="false">
      <c r="A461" s="128" t="n">
        <f aca="false">ExportRaw!$F461</f>
        <v>0</v>
      </c>
      <c r="B461" s="128" t="n">
        <f aca="false">ExportRaw!$C461</f>
        <v>0</v>
      </c>
      <c r="C461" s="128" t="n">
        <f aca="false">ExportRaw!$G461</f>
        <v>0</v>
      </c>
      <c r="D461" s="128" t="str">
        <f aca="false">ExportRaw!$E461</f>
        <v/>
      </c>
      <c r="E461" s="129" t="str">
        <f aca="false">ExportRaw!$D461</f>
        <v/>
      </c>
      <c r="F461" s="128" t="str">
        <f aca="false">ExportRaw!$H461</f>
        <v/>
      </c>
      <c r="G461" s="130" t="str">
        <f aca="false">ExportRaw!$I461</f>
        <v/>
      </c>
      <c r="H461" s="128" t="str">
        <f aca="false">ExportRaw!$A461</f>
        <v/>
      </c>
      <c r="I461" s="128" t="str">
        <f aca="false">ExportRaw!$B461</f>
        <v/>
      </c>
    </row>
    <row r="462" customFormat="false" ht="15.75" hidden="false" customHeight="false" outlineLevel="0" collapsed="false">
      <c r="A462" s="128" t="n">
        <f aca="false">ExportRaw!$F462</f>
        <v>0</v>
      </c>
      <c r="B462" s="128" t="n">
        <f aca="false">ExportRaw!$C462</f>
        <v>0</v>
      </c>
      <c r="C462" s="128" t="n">
        <f aca="false">ExportRaw!$G462</f>
        <v>0</v>
      </c>
      <c r="D462" s="128" t="str">
        <f aca="false">ExportRaw!$E462</f>
        <v/>
      </c>
      <c r="E462" s="129" t="str">
        <f aca="false">ExportRaw!$D462</f>
        <v/>
      </c>
      <c r="F462" s="128" t="str">
        <f aca="false">ExportRaw!$H462</f>
        <v/>
      </c>
      <c r="G462" s="130" t="str">
        <f aca="false">ExportRaw!$I462</f>
        <v/>
      </c>
      <c r="H462" s="128" t="str">
        <f aca="false">ExportRaw!$A462</f>
        <v/>
      </c>
      <c r="I462" s="128" t="str">
        <f aca="false">ExportRaw!$B462</f>
        <v/>
      </c>
    </row>
    <row r="463" customFormat="false" ht="15.75" hidden="false" customHeight="false" outlineLevel="0" collapsed="false">
      <c r="A463" s="128" t="n">
        <f aca="false">ExportRaw!$F463</f>
        <v>0</v>
      </c>
      <c r="B463" s="128" t="n">
        <f aca="false">ExportRaw!$C463</f>
        <v>0</v>
      </c>
      <c r="C463" s="128" t="n">
        <f aca="false">ExportRaw!$G463</f>
        <v>0</v>
      </c>
      <c r="D463" s="128" t="str">
        <f aca="false">ExportRaw!$E463</f>
        <v/>
      </c>
      <c r="E463" s="129" t="str">
        <f aca="false">ExportRaw!$D463</f>
        <v/>
      </c>
      <c r="F463" s="128" t="str">
        <f aca="false">ExportRaw!$H463</f>
        <v/>
      </c>
      <c r="G463" s="130" t="str">
        <f aca="false">ExportRaw!$I463</f>
        <v/>
      </c>
      <c r="H463" s="128" t="str">
        <f aca="false">ExportRaw!$A463</f>
        <v/>
      </c>
      <c r="I463" s="128" t="str">
        <f aca="false">ExportRaw!$B463</f>
        <v/>
      </c>
    </row>
    <row r="464" customFormat="false" ht="15.75" hidden="false" customHeight="false" outlineLevel="0" collapsed="false">
      <c r="A464" s="128" t="n">
        <f aca="false">ExportRaw!$F464</f>
        <v>0</v>
      </c>
      <c r="B464" s="128" t="n">
        <f aca="false">ExportRaw!$C464</f>
        <v>0</v>
      </c>
      <c r="C464" s="128" t="n">
        <f aca="false">ExportRaw!$G464</f>
        <v>0</v>
      </c>
      <c r="D464" s="128" t="str">
        <f aca="false">ExportRaw!$E464</f>
        <v/>
      </c>
      <c r="E464" s="129" t="str">
        <f aca="false">ExportRaw!$D464</f>
        <v/>
      </c>
      <c r="F464" s="128" t="str">
        <f aca="false">ExportRaw!$H464</f>
        <v/>
      </c>
      <c r="G464" s="130" t="str">
        <f aca="false">ExportRaw!$I464</f>
        <v/>
      </c>
      <c r="H464" s="128" t="str">
        <f aca="false">ExportRaw!$A464</f>
        <v/>
      </c>
      <c r="I464" s="128" t="str">
        <f aca="false">ExportRaw!$B464</f>
        <v/>
      </c>
    </row>
    <row r="465" customFormat="false" ht="15.75" hidden="false" customHeight="false" outlineLevel="0" collapsed="false">
      <c r="A465" s="128" t="n">
        <f aca="false">ExportRaw!$F465</f>
        <v>0</v>
      </c>
      <c r="B465" s="128" t="n">
        <f aca="false">ExportRaw!$C465</f>
        <v>0</v>
      </c>
      <c r="C465" s="128" t="n">
        <f aca="false">ExportRaw!$G465</f>
        <v>0</v>
      </c>
      <c r="D465" s="128" t="str">
        <f aca="false">ExportRaw!$E465</f>
        <v/>
      </c>
      <c r="E465" s="129" t="str">
        <f aca="false">ExportRaw!$D465</f>
        <v/>
      </c>
      <c r="F465" s="128" t="str">
        <f aca="false">ExportRaw!$H465</f>
        <v/>
      </c>
      <c r="G465" s="130" t="str">
        <f aca="false">ExportRaw!$I465</f>
        <v/>
      </c>
      <c r="H465" s="128" t="str">
        <f aca="false">ExportRaw!$A465</f>
        <v/>
      </c>
      <c r="I465" s="128" t="str">
        <f aca="false">ExportRaw!$B465</f>
        <v/>
      </c>
    </row>
    <row r="466" customFormat="false" ht="15.75" hidden="false" customHeight="false" outlineLevel="0" collapsed="false">
      <c r="A466" s="128" t="n">
        <f aca="false">ExportRaw!$F466</f>
        <v>0</v>
      </c>
      <c r="B466" s="128" t="n">
        <f aca="false">ExportRaw!$C466</f>
        <v>0</v>
      </c>
      <c r="C466" s="128" t="n">
        <f aca="false">ExportRaw!$G466</f>
        <v>0</v>
      </c>
      <c r="D466" s="128" t="str">
        <f aca="false">ExportRaw!$E466</f>
        <v/>
      </c>
      <c r="E466" s="129" t="str">
        <f aca="false">ExportRaw!$D466</f>
        <v/>
      </c>
      <c r="F466" s="128" t="str">
        <f aca="false">ExportRaw!$H466</f>
        <v/>
      </c>
      <c r="G466" s="130" t="str">
        <f aca="false">ExportRaw!$I466</f>
        <v/>
      </c>
      <c r="H466" s="128" t="str">
        <f aca="false">ExportRaw!$A466</f>
        <v/>
      </c>
      <c r="I466" s="128" t="str">
        <f aca="false">ExportRaw!$B466</f>
        <v/>
      </c>
    </row>
    <row r="467" customFormat="false" ht="15.75" hidden="false" customHeight="false" outlineLevel="0" collapsed="false">
      <c r="A467" s="128" t="n">
        <f aca="false">ExportRaw!$F467</f>
        <v>0</v>
      </c>
      <c r="B467" s="128" t="n">
        <f aca="false">ExportRaw!$C467</f>
        <v>0</v>
      </c>
      <c r="C467" s="128" t="n">
        <f aca="false">ExportRaw!$G467</f>
        <v>0</v>
      </c>
      <c r="D467" s="128" t="str">
        <f aca="false">ExportRaw!$E467</f>
        <v/>
      </c>
      <c r="E467" s="129" t="str">
        <f aca="false">ExportRaw!$D467</f>
        <v/>
      </c>
      <c r="F467" s="128" t="str">
        <f aca="false">ExportRaw!$H467</f>
        <v/>
      </c>
      <c r="G467" s="130" t="str">
        <f aca="false">ExportRaw!$I467</f>
        <v/>
      </c>
      <c r="H467" s="128" t="str">
        <f aca="false">ExportRaw!$A467</f>
        <v/>
      </c>
      <c r="I467" s="128" t="str">
        <f aca="false">ExportRaw!$B467</f>
        <v/>
      </c>
    </row>
    <row r="468" customFormat="false" ht="15.75" hidden="false" customHeight="false" outlineLevel="0" collapsed="false">
      <c r="A468" s="128" t="n">
        <f aca="false">ExportRaw!$F468</f>
        <v>0</v>
      </c>
      <c r="B468" s="128" t="n">
        <f aca="false">ExportRaw!$C468</f>
        <v>0</v>
      </c>
      <c r="C468" s="128" t="n">
        <f aca="false">ExportRaw!$G468</f>
        <v>0</v>
      </c>
      <c r="D468" s="128" t="str">
        <f aca="false">ExportRaw!$E468</f>
        <v/>
      </c>
      <c r="E468" s="129" t="str">
        <f aca="false">ExportRaw!$D468</f>
        <v/>
      </c>
      <c r="F468" s="128" t="str">
        <f aca="false">ExportRaw!$H468</f>
        <v/>
      </c>
      <c r="G468" s="130" t="str">
        <f aca="false">ExportRaw!$I468</f>
        <v/>
      </c>
      <c r="H468" s="128" t="str">
        <f aca="false">ExportRaw!$A468</f>
        <v/>
      </c>
      <c r="I468" s="128" t="str">
        <f aca="false">ExportRaw!$B468</f>
        <v/>
      </c>
    </row>
    <row r="469" customFormat="false" ht="15.75" hidden="false" customHeight="false" outlineLevel="0" collapsed="false">
      <c r="A469" s="128" t="n">
        <f aca="false">ExportRaw!$F469</f>
        <v>0</v>
      </c>
      <c r="B469" s="128" t="n">
        <f aca="false">ExportRaw!$C469</f>
        <v>0</v>
      </c>
      <c r="C469" s="128" t="n">
        <f aca="false">ExportRaw!$G469</f>
        <v>0</v>
      </c>
      <c r="D469" s="128" t="str">
        <f aca="false">ExportRaw!$E469</f>
        <v/>
      </c>
      <c r="E469" s="129" t="str">
        <f aca="false">ExportRaw!$D469</f>
        <v/>
      </c>
      <c r="F469" s="128" t="str">
        <f aca="false">ExportRaw!$H469</f>
        <v/>
      </c>
      <c r="G469" s="130" t="str">
        <f aca="false">ExportRaw!$I469</f>
        <v/>
      </c>
      <c r="H469" s="128" t="str">
        <f aca="false">ExportRaw!$A469</f>
        <v/>
      </c>
      <c r="I469" s="128" t="str">
        <f aca="false">ExportRaw!$B469</f>
        <v/>
      </c>
    </row>
    <row r="470" customFormat="false" ht="15.75" hidden="false" customHeight="false" outlineLevel="0" collapsed="false">
      <c r="A470" s="128" t="n">
        <f aca="false">ExportRaw!$F470</f>
        <v>0</v>
      </c>
      <c r="B470" s="128" t="n">
        <f aca="false">ExportRaw!$C470</f>
        <v>0</v>
      </c>
      <c r="C470" s="128" t="n">
        <f aca="false">ExportRaw!$G470</f>
        <v>0</v>
      </c>
      <c r="D470" s="128" t="str">
        <f aca="false">ExportRaw!$E470</f>
        <v/>
      </c>
      <c r="E470" s="129" t="str">
        <f aca="false">ExportRaw!$D470</f>
        <v/>
      </c>
      <c r="F470" s="128" t="str">
        <f aca="false">ExportRaw!$H470</f>
        <v/>
      </c>
      <c r="G470" s="130" t="str">
        <f aca="false">ExportRaw!$I470</f>
        <v/>
      </c>
      <c r="H470" s="128" t="str">
        <f aca="false">ExportRaw!$A470</f>
        <v/>
      </c>
      <c r="I470" s="128" t="str">
        <f aca="false">ExportRaw!$B470</f>
        <v/>
      </c>
    </row>
    <row r="471" customFormat="false" ht="15.75" hidden="false" customHeight="false" outlineLevel="0" collapsed="false">
      <c r="A471" s="128" t="n">
        <f aca="false">ExportRaw!$F471</f>
        <v>0</v>
      </c>
      <c r="B471" s="128" t="n">
        <f aca="false">ExportRaw!$C471</f>
        <v>0</v>
      </c>
      <c r="C471" s="128" t="n">
        <f aca="false">ExportRaw!$G471</f>
        <v>0</v>
      </c>
      <c r="D471" s="128" t="str">
        <f aca="false">ExportRaw!$E471</f>
        <v/>
      </c>
      <c r="E471" s="129" t="str">
        <f aca="false">ExportRaw!$D471</f>
        <v/>
      </c>
      <c r="F471" s="128" t="str">
        <f aca="false">ExportRaw!$H471</f>
        <v/>
      </c>
      <c r="G471" s="130" t="str">
        <f aca="false">ExportRaw!$I471</f>
        <v/>
      </c>
      <c r="H471" s="128" t="str">
        <f aca="false">ExportRaw!$A471</f>
        <v/>
      </c>
      <c r="I471" s="128" t="str">
        <f aca="false">ExportRaw!$B471</f>
        <v/>
      </c>
    </row>
    <row r="472" customFormat="false" ht="15.75" hidden="false" customHeight="false" outlineLevel="0" collapsed="false">
      <c r="A472" s="128" t="n">
        <f aca="false">ExportRaw!$F472</f>
        <v>0</v>
      </c>
      <c r="B472" s="128" t="n">
        <f aca="false">ExportRaw!$C472</f>
        <v>0</v>
      </c>
      <c r="C472" s="128" t="n">
        <f aca="false">ExportRaw!$G472</f>
        <v>0</v>
      </c>
      <c r="D472" s="128" t="str">
        <f aca="false">ExportRaw!$E472</f>
        <v/>
      </c>
      <c r="E472" s="129" t="str">
        <f aca="false">ExportRaw!$D472</f>
        <v/>
      </c>
      <c r="F472" s="128" t="str">
        <f aca="false">ExportRaw!$H472</f>
        <v/>
      </c>
      <c r="G472" s="130" t="str">
        <f aca="false">ExportRaw!$I472</f>
        <v/>
      </c>
      <c r="H472" s="128" t="str">
        <f aca="false">ExportRaw!$A472</f>
        <v/>
      </c>
      <c r="I472" s="128" t="str">
        <f aca="false">ExportRaw!$B472</f>
        <v/>
      </c>
    </row>
    <row r="473" customFormat="false" ht="15.75" hidden="false" customHeight="false" outlineLevel="0" collapsed="false">
      <c r="A473" s="128" t="n">
        <f aca="false">ExportRaw!$F473</f>
        <v>0</v>
      </c>
      <c r="B473" s="128" t="n">
        <f aca="false">ExportRaw!$C473</f>
        <v>0</v>
      </c>
      <c r="C473" s="128" t="n">
        <f aca="false">ExportRaw!$G473</f>
        <v>0</v>
      </c>
      <c r="D473" s="128" t="str">
        <f aca="false">ExportRaw!$E473</f>
        <v/>
      </c>
      <c r="E473" s="129" t="str">
        <f aca="false">ExportRaw!$D473</f>
        <v/>
      </c>
      <c r="F473" s="128" t="str">
        <f aca="false">ExportRaw!$H473</f>
        <v/>
      </c>
      <c r="G473" s="130" t="str">
        <f aca="false">ExportRaw!$I473</f>
        <v/>
      </c>
      <c r="H473" s="128" t="str">
        <f aca="false">ExportRaw!$A473</f>
        <v/>
      </c>
      <c r="I473" s="128" t="str">
        <f aca="false">ExportRaw!$B473</f>
        <v/>
      </c>
    </row>
    <row r="474" customFormat="false" ht="15.75" hidden="false" customHeight="false" outlineLevel="0" collapsed="false">
      <c r="A474" s="128" t="n">
        <f aca="false">ExportRaw!$F474</f>
        <v>0</v>
      </c>
      <c r="B474" s="128" t="n">
        <f aca="false">ExportRaw!$C474</f>
        <v>0</v>
      </c>
      <c r="C474" s="128" t="n">
        <f aca="false">ExportRaw!$G474</f>
        <v>0</v>
      </c>
      <c r="D474" s="128" t="str">
        <f aca="false">ExportRaw!$E474</f>
        <v/>
      </c>
      <c r="E474" s="129" t="str">
        <f aca="false">ExportRaw!$D474</f>
        <v/>
      </c>
      <c r="F474" s="128" t="str">
        <f aca="false">ExportRaw!$H474</f>
        <v/>
      </c>
      <c r="G474" s="130" t="str">
        <f aca="false">ExportRaw!$I474</f>
        <v/>
      </c>
      <c r="H474" s="128" t="str">
        <f aca="false">ExportRaw!$A474</f>
        <v/>
      </c>
      <c r="I474" s="128" t="str">
        <f aca="false">ExportRaw!$B474</f>
        <v/>
      </c>
    </row>
    <row r="475" customFormat="false" ht="15.75" hidden="false" customHeight="false" outlineLevel="0" collapsed="false">
      <c r="A475" s="128" t="n">
        <f aca="false">ExportRaw!$F475</f>
        <v>0</v>
      </c>
      <c r="B475" s="128" t="n">
        <f aca="false">ExportRaw!$C475</f>
        <v>0</v>
      </c>
      <c r="C475" s="128" t="n">
        <f aca="false">ExportRaw!$G475</f>
        <v>0</v>
      </c>
      <c r="D475" s="128" t="str">
        <f aca="false">ExportRaw!$E475</f>
        <v/>
      </c>
      <c r="E475" s="129" t="str">
        <f aca="false">ExportRaw!$D475</f>
        <v/>
      </c>
      <c r="F475" s="128" t="str">
        <f aca="false">ExportRaw!$H475</f>
        <v/>
      </c>
      <c r="G475" s="130" t="str">
        <f aca="false">ExportRaw!$I475</f>
        <v/>
      </c>
      <c r="H475" s="128" t="str">
        <f aca="false">ExportRaw!$A475</f>
        <v/>
      </c>
      <c r="I475" s="128" t="str">
        <f aca="false">ExportRaw!$B475</f>
        <v/>
      </c>
    </row>
    <row r="476" customFormat="false" ht="15.75" hidden="false" customHeight="false" outlineLevel="0" collapsed="false">
      <c r="A476" s="128" t="n">
        <f aca="false">ExportRaw!$F476</f>
        <v>0</v>
      </c>
      <c r="B476" s="128" t="n">
        <f aca="false">ExportRaw!$C476</f>
        <v>0</v>
      </c>
      <c r="C476" s="128" t="n">
        <f aca="false">ExportRaw!$G476</f>
        <v>0</v>
      </c>
      <c r="D476" s="128" t="str">
        <f aca="false">ExportRaw!$E476</f>
        <v/>
      </c>
      <c r="E476" s="129" t="str">
        <f aca="false">ExportRaw!$D476</f>
        <v/>
      </c>
      <c r="F476" s="128" t="str">
        <f aca="false">ExportRaw!$H476</f>
        <v/>
      </c>
      <c r="G476" s="130" t="str">
        <f aca="false">ExportRaw!$I476</f>
        <v/>
      </c>
      <c r="H476" s="128" t="str">
        <f aca="false">ExportRaw!$A476</f>
        <v/>
      </c>
      <c r="I476" s="128" t="str">
        <f aca="false">ExportRaw!$B476</f>
        <v/>
      </c>
    </row>
    <row r="477" customFormat="false" ht="15.75" hidden="false" customHeight="false" outlineLevel="0" collapsed="false">
      <c r="A477" s="128" t="n">
        <f aca="false">ExportRaw!$F477</f>
        <v>0</v>
      </c>
      <c r="B477" s="128" t="n">
        <f aca="false">ExportRaw!$C477</f>
        <v>0</v>
      </c>
      <c r="C477" s="128" t="n">
        <f aca="false">ExportRaw!$G477</f>
        <v>0</v>
      </c>
      <c r="D477" s="128" t="str">
        <f aca="false">ExportRaw!$E477</f>
        <v/>
      </c>
      <c r="E477" s="129" t="str">
        <f aca="false">ExportRaw!$D477</f>
        <v/>
      </c>
      <c r="F477" s="128" t="str">
        <f aca="false">ExportRaw!$H477</f>
        <v/>
      </c>
      <c r="G477" s="130" t="str">
        <f aca="false">ExportRaw!$I477</f>
        <v/>
      </c>
      <c r="H477" s="128" t="str">
        <f aca="false">ExportRaw!$A477</f>
        <v/>
      </c>
      <c r="I477" s="128" t="str">
        <f aca="false">ExportRaw!$B477</f>
        <v/>
      </c>
    </row>
    <row r="478" customFormat="false" ht="15.75" hidden="false" customHeight="false" outlineLevel="0" collapsed="false">
      <c r="A478" s="128" t="n">
        <f aca="false">ExportRaw!$F478</f>
        <v>0</v>
      </c>
      <c r="B478" s="128" t="n">
        <f aca="false">ExportRaw!$C478</f>
        <v>0</v>
      </c>
      <c r="C478" s="128" t="n">
        <f aca="false">ExportRaw!$G478</f>
        <v>0</v>
      </c>
      <c r="D478" s="128" t="str">
        <f aca="false">ExportRaw!$E478</f>
        <v/>
      </c>
      <c r="E478" s="129" t="str">
        <f aca="false">ExportRaw!$D478</f>
        <v/>
      </c>
      <c r="F478" s="128" t="str">
        <f aca="false">ExportRaw!$H478</f>
        <v/>
      </c>
      <c r="G478" s="130" t="str">
        <f aca="false">ExportRaw!$I478</f>
        <v/>
      </c>
      <c r="H478" s="128" t="str">
        <f aca="false">ExportRaw!$A478</f>
        <v/>
      </c>
      <c r="I478" s="128" t="str">
        <f aca="false">ExportRaw!$B478</f>
        <v/>
      </c>
    </row>
    <row r="479" customFormat="false" ht="15.75" hidden="false" customHeight="false" outlineLevel="0" collapsed="false">
      <c r="A479" s="128" t="n">
        <f aca="false">ExportRaw!$F479</f>
        <v>0</v>
      </c>
      <c r="B479" s="128" t="n">
        <f aca="false">ExportRaw!$C479</f>
        <v>0</v>
      </c>
      <c r="C479" s="128" t="n">
        <f aca="false">ExportRaw!$G479</f>
        <v>0</v>
      </c>
      <c r="D479" s="128" t="str">
        <f aca="false">ExportRaw!$E479</f>
        <v/>
      </c>
      <c r="E479" s="129" t="str">
        <f aca="false">ExportRaw!$D479</f>
        <v/>
      </c>
      <c r="F479" s="128" t="str">
        <f aca="false">ExportRaw!$H479</f>
        <v/>
      </c>
      <c r="G479" s="130" t="str">
        <f aca="false">ExportRaw!$I479</f>
        <v/>
      </c>
      <c r="H479" s="128" t="str">
        <f aca="false">ExportRaw!$A479</f>
        <v/>
      </c>
      <c r="I479" s="128" t="str">
        <f aca="false">ExportRaw!$B479</f>
        <v/>
      </c>
    </row>
    <row r="480" customFormat="false" ht="15.75" hidden="false" customHeight="false" outlineLevel="0" collapsed="false">
      <c r="A480" s="128" t="n">
        <f aca="false">ExportRaw!$F480</f>
        <v>0</v>
      </c>
      <c r="B480" s="128" t="n">
        <f aca="false">ExportRaw!$C480</f>
        <v>0</v>
      </c>
      <c r="C480" s="128" t="n">
        <f aca="false">ExportRaw!$G480</f>
        <v>0</v>
      </c>
      <c r="D480" s="128" t="str">
        <f aca="false">ExportRaw!$E480</f>
        <v/>
      </c>
      <c r="E480" s="129" t="str">
        <f aca="false">ExportRaw!$D480</f>
        <v/>
      </c>
      <c r="F480" s="128" t="str">
        <f aca="false">ExportRaw!$H480</f>
        <v/>
      </c>
      <c r="G480" s="130" t="str">
        <f aca="false">ExportRaw!$I480</f>
        <v/>
      </c>
      <c r="H480" s="128" t="str">
        <f aca="false">ExportRaw!$A480</f>
        <v/>
      </c>
      <c r="I480" s="128" t="str">
        <f aca="false">ExportRaw!$B480</f>
        <v/>
      </c>
    </row>
    <row r="481" customFormat="false" ht="15.75" hidden="false" customHeight="false" outlineLevel="0" collapsed="false">
      <c r="A481" s="128" t="n">
        <f aca="false">ExportRaw!$F481</f>
        <v>0</v>
      </c>
      <c r="B481" s="128" t="n">
        <f aca="false">ExportRaw!$C481</f>
        <v>0</v>
      </c>
      <c r="C481" s="128" t="n">
        <f aca="false">ExportRaw!$G481</f>
        <v>0</v>
      </c>
      <c r="D481" s="128" t="str">
        <f aca="false">ExportRaw!$E481</f>
        <v/>
      </c>
      <c r="E481" s="129" t="str">
        <f aca="false">ExportRaw!$D481</f>
        <v/>
      </c>
      <c r="F481" s="128" t="str">
        <f aca="false">ExportRaw!$H481</f>
        <v/>
      </c>
      <c r="G481" s="130" t="str">
        <f aca="false">ExportRaw!$I481</f>
        <v/>
      </c>
      <c r="H481" s="128" t="str">
        <f aca="false">ExportRaw!$A481</f>
        <v/>
      </c>
      <c r="I481" s="128" t="str">
        <f aca="false">ExportRaw!$B481</f>
        <v/>
      </c>
    </row>
    <row r="482" customFormat="false" ht="15.75" hidden="false" customHeight="false" outlineLevel="0" collapsed="false">
      <c r="A482" s="128" t="n">
        <f aca="false">ExportRaw!$F482</f>
        <v>0</v>
      </c>
      <c r="B482" s="128" t="n">
        <f aca="false">ExportRaw!$C482</f>
        <v>0</v>
      </c>
      <c r="C482" s="128" t="n">
        <f aca="false">ExportRaw!$G482</f>
        <v>0</v>
      </c>
      <c r="D482" s="128" t="str">
        <f aca="false">ExportRaw!$E482</f>
        <v/>
      </c>
      <c r="E482" s="129" t="str">
        <f aca="false">ExportRaw!$D482</f>
        <v/>
      </c>
      <c r="F482" s="128" t="str">
        <f aca="false">ExportRaw!$H482</f>
        <v/>
      </c>
      <c r="G482" s="130" t="str">
        <f aca="false">ExportRaw!$I482</f>
        <v/>
      </c>
      <c r="H482" s="128" t="str">
        <f aca="false">ExportRaw!$A482</f>
        <v/>
      </c>
      <c r="I482" s="128" t="str">
        <f aca="false">ExportRaw!$B482</f>
        <v/>
      </c>
    </row>
    <row r="483" customFormat="false" ht="15.75" hidden="false" customHeight="false" outlineLevel="0" collapsed="false">
      <c r="A483" s="128" t="n">
        <f aca="false">ExportRaw!$F483</f>
        <v>0</v>
      </c>
      <c r="B483" s="128" t="n">
        <f aca="false">ExportRaw!$C483</f>
        <v>0</v>
      </c>
      <c r="C483" s="128" t="n">
        <f aca="false">ExportRaw!$G483</f>
        <v>0</v>
      </c>
      <c r="D483" s="128" t="str">
        <f aca="false">ExportRaw!$E483</f>
        <v/>
      </c>
      <c r="E483" s="129" t="str">
        <f aca="false">ExportRaw!$D483</f>
        <v/>
      </c>
      <c r="F483" s="128" t="str">
        <f aca="false">ExportRaw!$H483</f>
        <v/>
      </c>
      <c r="G483" s="130" t="str">
        <f aca="false">ExportRaw!$I483</f>
        <v/>
      </c>
      <c r="H483" s="128" t="str">
        <f aca="false">ExportRaw!$A483</f>
        <v/>
      </c>
      <c r="I483" s="128" t="str">
        <f aca="false">ExportRaw!$B483</f>
        <v/>
      </c>
    </row>
    <row r="484" customFormat="false" ht="15.75" hidden="false" customHeight="false" outlineLevel="0" collapsed="false">
      <c r="A484" s="128" t="n">
        <f aca="false">ExportRaw!$F484</f>
        <v>0</v>
      </c>
      <c r="B484" s="128" t="n">
        <f aca="false">ExportRaw!$C484</f>
        <v>0</v>
      </c>
      <c r="C484" s="128" t="n">
        <f aca="false">ExportRaw!$G484</f>
        <v>0</v>
      </c>
      <c r="D484" s="128" t="str">
        <f aca="false">ExportRaw!$E484</f>
        <v/>
      </c>
      <c r="E484" s="129" t="str">
        <f aca="false">ExportRaw!$D484</f>
        <v/>
      </c>
      <c r="F484" s="128" t="str">
        <f aca="false">ExportRaw!$H484</f>
        <v/>
      </c>
      <c r="G484" s="130" t="str">
        <f aca="false">ExportRaw!$I484</f>
        <v/>
      </c>
      <c r="H484" s="128" t="str">
        <f aca="false">ExportRaw!$A484</f>
        <v/>
      </c>
      <c r="I484" s="128" t="str">
        <f aca="false">ExportRaw!$B484</f>
        <v/>
      </c>
    </row>
    <row r="485" customFormat="false" ht="15.75" hidden="false" customHeight="false" outlineLevel="0" collapsed="false">
      <c r="A485" s="128" t="n">
        <f aca="false">ExportRaw!$F485</f>
        <v>0</v>
      </c>
      <c r="B485" s="128" t="n">
        <f aca="false">ExportRaw!$C485</f>
        <v>0</v>
      </c>
      <c r="C485" s="128" t="n">
        <f aca="false">ExportRaw!$G485</f>
        <v>0</v>
      </c>
      <c r="D485" s="128" t="str">
        <f aca="false">ExportRaw!$E485</f>
        <v/>
      </c>
      <c r="E485" s="129" t="str">
        <f aca="false">ExportRaw!$D485</f>
        <v/>
      </c>
      <c r="F485" s="128" t="str">
        <f aca="false">ExportRaw!$H485</f>
        <v/>
      </c>
      <c r="G485" s="130" t="str">
        <f aca="false">ExportRaw!$I485</f>
        <v/>
      </c>
      <c r="H485" s="128" t="str">
        <f aca="false">ExportRaw!$A485</f>
        <v/>
      </c>
      <c r="I485" s="128" t="str">
        <f aca="false">ExportRaw!$B485</f>
        <v/>
      </c>
    </row>
    <row r="486" customFormat="false" ht="15.75" hidden="false" customHeight="false" outlineLevel="0" collapsed="false">
      <c r="A486" s="128" t="n">
        <f aca="false">ExportRaw!$F486</f>
        <v>0</v>
      </c>
      <c r="B486" s="128" t="n">
        <f aca="false">ExportRaw!$C486</f>
        <v>0</v>
      </c>
      <c r="C486" s="128" t="n">
        <f aca="false">ExportRaw!$G486</f>
        <v>0</v>
      </c>
      <c r="D486" s="128" t="str">
        <f aca="false">ExportRaw!$E486</f>
        <v/>
      </c>
      <c r="E486" s="129" t="str">
        <f aca="false">ExportRaw!$D486</f>
        <v/>
      </c>
      <c r="F486" s="128" t="str">
        <f aca="false">ExportRaw!$H486</f>
        <v/>
      </c>
      <c r="G486" s="130" t="str">
        <f aca="false">ExportRaw!$I486</f>
        <v/>
      </c>
      <c r="H486" s="128" t="str">
        <f aca="false">ExportRaw!$A486</f>
        <v/>
      </c>
      <c r="I486" s="128" t="str">
        <f aca="false">ExportRaw!$B486</f>
        <v/>
      </c>
    </row>
    <row r="487" customFormat="false" ht="15.75" hidden="false" customHeight="false" outlineLevel="0" collapsed="false">
      <c r="A487" s="128" t="n">
        <f aca="false">ExportRaw!$F487</f>
        <v>0</v>
      </c>
      <c r="B487" s="128" t="n">
        <f aca="false">ExportRaw!$C487</f>
        <v>0</v>
      </c>
      <c r="C487" s="128" t="n">
        <f aca="false">ExportRaw!$G487</f>
        <v>0</v>
      </c>
      <c r="D487" s="128" t="str">
        <f aca="false">ExportRaw!$E487</f>
        <v/>
      </c>
      <c r="E487" s="129" t="str">
        <f aca="false">ExportRaw!$D487</f>
        <v/>
      </c>
      <c r="F487" s="128" t="str">
        <f aca="false">ExportRaw!$H487</f>
        <v/>
      </c>
      <c r="G487" s="130" t="str">
        <f aca="false">ExportRaw!$I487</f>
        <v/>
      </c>
      <c r="H487" s="128" t="str">
        <f aca="false">ExportRaw!$A487</f>
        <v/>
      </c>
      <c r="I487" s="128" t="str">
        <f aca="false">ExportRaw!$B487</f>
        <v/>
      </c>
    </row>
    <row r="488" customFormat="false" ht="15.75" hidden="false" customHeight="false" outlineLevel="0" collapsed="false">
      <c r="A488" s="128" t="n">
        <f aca="false">ExportRaw!$F488</f>
        <v>0</v>
      </c>
      <c r="B488" s="128" t="n">
        <f aca="false">ExportRaw!$C488</f>
        <v>0</v>
      </c>
      <c r="C488" s="128" t="n">
        <f aca="false">ExportRaw!$G488</f>
        <v>0</v>
      </c>
      <c r="D488" s="128" t="str">
        <f aca="false">ExportRaw!$E488</f>
        <v/>
      </c>
      <c r="E488" s="129" t="str">
        <f aca="false">ExportRaw!$D488</f>
        <v/>
      </c>
      <c r="F488" s="128" t="str">
        <f aca="false">ExportRaw!$H488</f>
        <v/>
      </c>
      <c r="G488" s="130" t="str">
        <f aca="false">ExportRaw!$I488</f>
        <v/>
      </c>
      <c r="H488" s="128" t="str">
        <f aca="false">ExportRaw!$A488</f>
        <v/>
      </c>
      <c r="I488" s="128" t="str">
        <f aca="false">ExportRaw!$B488</f>
        <v/>
      </c>
    </row>
    <row r="489" customFormat="false" ht="15.75" hidden="false" customHeight="false" outlineLevel="0" collapsed="false">
      <c r="A489" s="128" t="n">
        <f aca="false">ExportRaw!$F489</f>
        <v>0</v>
      </c>
      <c r="B489" s="128" t="n">
        <f aca="false">ExportRaw!$C489</f>
        <v>0</v>
      </c>
      <c r="C489" s="128" t="n">
        <f aca="false">ExportRaw!$G489</f>
        <v>0</v>
      </c>
      <c r="D489" s="128" t="str">
        <f aca="false">ExportRaw!$E489</f>
        <v/>
      </c>
      <c r="E489" s="129" t="str">
        <f aca="false">ExportRaw!$D489</f>
        <v/>
      </c>
      <c r="F489" s="128" t="str">
        <f aca="false">ExportRaw!$H489</f>
        <v/>
      </c>
      <c r="G489" s="130" t="str">
        <f aca="false">ExportRaw!$I489</f>
        <v/>
      </c>
      <c r="H489" s="128" t="str">
        <f aca="false">ExportRaw!$A489</f>
        <v/>
      </c>
      <c r="I489" s="128" t="str">
        <f aca="false">ExportRaw!$B489</f>
        <v/>
      </c>
    </row>
    <row r="490" customFormat="false" ht="15.75" hidden="false" customHeight="false" outlineLevel="0" collapsed="false">
      <c r="A490" s="128" t="n">
        <f aca="false">ExportRaw!$F490</f>
        <v>0</v>
      </c>
      <c r="B490" s="128" t="n">
        <f aca="false">ExportRaw!$C490</f>
        <v>0</v>
      </c>
      <c r="C490" s="128" t="n">
        <f aca="false">ExportRaw!$G490</f>
        <v>0</v>
      </c>
      <c r="D490" s="128" t="str">
        <f aca="false">ExportRaw!$E490</f>
        <v/>
      </c>
      <c r="E490" s="129" t="str">
        <f aca="false">ExportRaw!$D490</f>
        <v/>
      </c>
      <c r="F490" s="128" t="str">
        <f aca="false">ExportRaw!$H490</f>
        <v/>
      </c>
      <c r="G490" s="130" t="str">
        <f aca="false">ExportRaw!$I490</f>
        <v/>
      </c>
      <c r="H490" s="128" t="str">
        <f aca="false">ExportRaw!$A490</f>
        <v/>
      </c>
      <c r="I490" s="128" t="str">
        <f aca="false">ExportRaw!$B490</f>
        <v/>
      </c>
    </row>
    <row r="491" customFormat="false" ht="15.75" hidden="false" customHeight="false" outlineLevel="0" collapsed="false">
      <c r="A491" s="128" t="n">
        <f aca="false">ExportRaw!$F491</f>
        <v>0</v>
      </c>
      <c r="B491" s="128" t="n">
        <f aca="false">ExportRaw!$C491</f>
        <v>0</v>
      </c>
      <c r="C491" s="128" t="n">
        <f aca="false">ExportRaw!$G491</f>
        <v>0</v>
      </c>
      <c r="D491" s="128" t="str">
        <f aca="false">ExportRaw!$E491</f>
        <v/>
      </c>
      <c r="E491" s="129" t="str">
        <f aca="false">ExportRaw!$D491</f>
        <v/>
      </c>
      <c r="F491" s="128" t="str">
        <f aca="false">ExportRaw!$H491</f>
        <v/>
      </c>
      <c r="G491" s="130" t="str">
        <f aca="false">ExportRaw!$I491</f>
        <v/>
      </c>
      <c r="H491" s="128" t="str">
        <f aca="false">ExportRaw!$A491</f>
        <v/>
      </c>
      <c r="I491" s="128" t="str">
        <f aca="false">ExportRaw!$B491</f>
        <v/>
      </c>
    </row>
    <row r="492" customFormat="false" ht="15.75" hidden="false" customHeight="false" outlineLevel="0" collapsed="false">
      <c r="A492" s="128" t="n">
        <f aca="false">ExportRaw!$F492</f>
        <v>0</v>
      </c>
      <c r="B492" s="128" t="n">
        <f aca="false">ExportRaw!$C492</f>
        <v>0</v>
      </c>
      <c r="C492" s="128" t="n">
        <f aca="false">ExportRaw!$G492</f>
        <v>0</v>
      </c>
      <c r="D492" s="128" t="str">
        <f aca="false">ExportRaw!$E492</f>
        <v/>
      </c>
      <c r="E492" s="129" t="str">
        <f aca="false">ExportRaw!$D492</f>
        <v/>
      </c>
      <c r="F492" s="128" t="str">
        <f aca="false">ExportRaw!$H492</f>
        <v/>
      </c>
      <c r="G492" s="130" t="str">
        <f aca="false">ExportRaw!$I492</f>
        <v/>
      </c>
      <c r="H492" s="128" t="str">
        <f aca="false">ExportRaw!$A492</f>
        <v/>
      </c>
      <c r="I492" s="128" t="str">
        <f aca="false">ExportRaw!$B492</f>
        <v/>
      </c>
    </row>
    <row r="493" customFormat="false" ht="15.75" hidden="false" customHeight="false" outlineLevel="0" collapsed="false">
      <c r="A493" s="128" t="n">
        <f aca="false">ExportRaw!$F493</f>
        <v>0</v>
      </c>
      <c r="B493" s="128" t="n">
        <f aca="false">ExportRaw!$C493</f>
        <v>0</v>
      </c>
      <c r="C493" s="128" t="n">
        <f aca="false">ExportRaw!$G493</f>
        <v>0</v>
      </c>
      <c r="D493" s="128" t="str">
        <f aca="false">ExportRaw!$E493</f>
        <v/>
      </c>
      <c r="E493" s="129" t="str">
        <f aca="false">ExportRaw!$D493</f>
        <v/>
      </c>
      <c r="F493" s="128" t="str">
        <f aca="false">ExportRaw!$H493</f>
        <v/>
      </c>
      <c r="G493" s="130" t="str">
        <f aca="false">ExportRaw!$I493</f>
        <v/>
      </c>
      <c r="H493" s="128" t="str">
        <f aca="false">ExportRaw!$A493</f>
        <v/>
      </c>
      <c r="I493" s="128" t="str">
        <f aca="false">ExportRaw!$B493</f>
        <v/>
      </c>
    </row>
    <row r="494" customFormat="false" ht="15.75" hidden="false" customHeight="false" outlineLevel="0" collapsed="false">
      <c r="A494" s="128" t="n">
        <f aca="false">ExportRaw!$F494</f>
        <v>0</v>
      </c>
      <c r="B494" s="128" t="n">
        <f aca="false">ExportRaw!$C494</f>
        <v>0</v>
      </c>
      <c r="C494" s="128" t="n">
        <f aca="false">ExportRaw!$G494</f>
        <v>0</v>
      </c>
      <c r="D494" s="128" t="str">
        <f aca="false">ExportRaw!$E494</f>
        <v/>
      </c>
      <c r="E494" s="129" t="str">
        <f aca="false">ExportRaw!$D494</f>
        <v/>
      </c>
      <c r="F494" s="128" t="str">
        <f aca="false">ExportRaw!$H494</f>
        <v/>
      </c>
      <c r="G494" s="130" t="str">
        <f aca="false">ExportRaw!$I494</f>
        <v/>
      </c>
      <c r="H494" s="128" t="str">
        <f aca="false">ExportRaw!$A494</f>
        <v/>
      </c>
      <c r="I494" s="128" t="str">
        <f aca="false">ExportRaw!$B494</f>
        <v/>
      </c>
    </row>
    <row r="495" customFormat="false" ht="15.75" hidden="false" customHeight="false" outlineLevel="0" collapsed="false">
      <c r="A495" s="128" t="n">
        <f aca="false">ExportRaw!$F495</f>
        <v>0</v>
      </c>
      <c r="B495" s="128" t="n">
        <f aca="false">ExportRaw!$C495</f>
        <v>0</v>
      </c>
      <c r="C495" s="128" t="n">
        <f aca="false">ExportRaw!$G495</f>
        <v>0</v>
      </c>
      <c r="D495" s="128" t="str">
        <f aca="false">ExportRaw!$E495</f>
        <v/>
      </c>
      <c r="E495" s="129" t="str">
        <f aca="false">ExportRaw!$D495</f>
        <v/>
      </c>
      <c r="F495" s="128" t="str">
        <f aca="false">ExportRaw!$H495</f>
        <v/>
      </c>
      <c r="G495" s="130" t="str">
        <f aca="false">ExportRaw!$I495</f>
        <v/>
      </c>
      <c r="H495" s="128" t="str">
        <f aca="false">ExportRaw!$A495</f>
        <v/>
      </c>
      <c r="I495" s="128" t="str">
        <f aca="false">ExportRaw!$B495</f>
        <v/>
      </c>
    </row>
    <row r="496" customFormat="false" ht="15.75" hidden="false" customHeight="false" outlineLevel="0" collapsed="false">
      <c r="A496" s="128" t="n">
        <f aca="false">ExportRaw!$F496</f>
        <v>0</v>
      </c>
      <c r="B496" s="128" t="n">
        <f aca="false">ExportRaw!$C496</f>
        <v>0</v>
      </c>
      <c r="C496" s="128" t="n">
        <f aca="false">ExportRaw!$G496</f>
        <v>0</v>
      </c>
      <c r="D496" s="128" t="str">
        <f aca="false">ExportRaw!$E496</f>
        <v/>
      </c>
      <c r="E496" s="129" t="str">
        <f aca="false">ExportRaw!$D496</f>
        <v/>
      </c>
      <c r="F496" s="128" t="str">
        <f aca="false">ExportRaw!$H496</f>
        <v/>
      </c>
      <c r="G496" s="130" t="str">
        <f aca="false">ExportRaw!$I496</f>
        <v/>
      </c>
      <c r="H496" s="128" t="str">
        <f aca="false">ExportRaw!$A496</f>
        <v/>
      </c>
      <c r="I496" s="128" t="str">
        <f aca="false">ExportRaw!$B496</f>
        <v/>
      </c>
    </row>
    <row r="497" customFormat="false" ht="15.75" hidden="false" customHeight="false" outlineLevel="0" collapsed="false">
      <c r="A497" s="128" t="n">
        <f aca="false">ExportRaw!$F497</f>
        <v>0</v>
      </c>
      <c r="B497" s="128" t="n">
        <f aca="false">ExportRaw!$C497</f>
        <v>0</v>
      </c>
      <c r="C497" s="128" t="n">
        <f aca="false">ExportRaw!$G497</f>
        <v>0</v>
      </c>
      <c r="D497" s="128" t="str">
        <f aca="false">ExportRaw!$E497</f>
        <v/>
      </c>
      <c r="E497" s="129" t="str">
        <f aca="false">ExportRaw!$D497</f>
        <v/>
      </c>
      <c r="F497" s="128" t="str">
        <f aca="false">ExportRaw!$H497</f>
        <v/>
      </c>
      <c r="G497" s="130" t="str">
        <f aca="false">ExportRaw!$I497</f>
        <v/>
      </c>
      <c r="H497" s="128" t="str">
        <f aca="false">ExportRaw!$A497</f>
        <v/>
      </c>
      <c r="I497" s="128" t="str">
        <f aca="false">ExportRaw!$B497</f>
        <v/>
      </c>
    </row>
    <row r="498" customFormat="false" ht="15.75" hidden="false" customHeight="false" outlineLevel="0" collapsed="false">
      <c r="A498" s="128" t="n">
        <f aca="false">ExportRaw!$F498</f>
        <v>0</v>
      </c>
      <c r="B498" s="128" t="n">
        <f aca="false">ExportRaw!$C498</f>
        <v>0</v>
      </c>
      <c r="C498" s="128" t="n">
        <f aca="false">ExportRaw!$G498</f>
        <v>0</v>
      </c>
      <c r="D498" s="128" t="str">
        <f aca="false">ExportRaw!$E498</f>
        <v/>
      </c>
      <c r="E498" s="129" t="str">
        <f aca="false">ExportRaw!$D498</f>
        <v/>
      </c>
      <c r="F498" s="128" t="str">
        <f aca="false">ExportRaw!$H498</f>
        <v/>
      </c>
      <c r="G498" s="130" t="str">
        <f aca="false">ExportRaw!$I498</f>
        <v/>
      </c>
      <c r="H498" s="128" t="str">
        <f aca="false">ExportRaw!$A498</f>
        <v/>
      </c>
      <c r="I498" s="128" t="str">
        <f aca="false">ExportRaw!$B498</f>
        <v/>
      </c>
    </row>
    <row r="499" customFormat="false" ht="15.75" hidden="false" customHeight="false" outlineLevel="0" collapsed="false">
      <c r="A499" s="128" t="n">
        <f aca="false">ExportRaw!$F499</f>
        <v>0</v>
      </c>
      <c r="B499" s="128" t="n">
        <f aca="false">ExportRaw!$C499</f>
        <v>0</v>
      </c>
      <c r="C499" s="128" t="n">
        <f aca="false">ExportRaw!$G499</f>
        <v>0</v>
      </c>
      <c r="D499" s="128" t="str">
        <f aca="false">ExportRaw!$E499</f>
        <v/>
      </c>
      <c r="E499" s="129" t="str">
        <f aca="false">ExportRaw!$D499</f>
        <v/>
      </c>
      <c r="F499" s="128" t="str">
        <f aca="false">ExportRaw!$H499</f>
        <v/>
      </c>
      <c r="G499" s="130" t="str">
        <f aca="false">ExportRaw!$I499</f>
        <v/>
      </c>
      <c r="H499" s="128" t="str">
        <f aca="false">ExportRaw!$A499</f>
        <v/>
      </c>
      <c r="I499" s="128" t="str">
        <f aca="false">ExportRaw!$B499</f>
        <v/>
      </c>
    </row>
    <row r="500" customFormat="false" ht="15.75" hidden="false" customHeight="false" outlineLevel="0" collapsed="false">
      <c r="A500" s="128" t="n">
        <f aca="false">ExportRaw!$F500</f>
        <v>0</v>
      </c>
      <c r="B500" s="128" t="n">
        <f aca="false">ExportRaw!$C500</f>
        <v>0</v>
      </c>
      <c r="C500" s="128" t="n">
        <f aca="false">ExportRaw!$G500</f>
        <v>0</v>
      </c>
      <c r="D500" s="128" t="str">
        <f aca="false">ExportRaw!$E500</f>
        <v/>
      </c>
      <c r="E500" s="129" t="str">
        <f aca="false">ExportRaw!$D500</f>
        <v/>
      </c>
      <c r="F500" s="128" t="str">
        <f aca="false">ExportRaw!$H500</f>
        <v/>
      </c>
      <c r="G500" s="130" t="str">
        <f aca="false">ExportRaw!$I500</f>
        <v/>
      </c>
      <c r="H500" s="128" t="str">
        <f aca="false">ExportRaw!$A500</f>
        <v/>
      </c>
      <c r="I500" s="128" t="str">
        <f aca="false">ExportRaw!$B500</f>
        <v/>
      </c>
    </row>
    <row r="501" customFormat="false" ht="15.75" hidden="false" customHeight="false" outlineLevel="0" collapsed="false">
      <c r="A501" s="128" t="n">
        <f aca="false">ExportRaw!$F501</f>
        <v>0</v>
      </c>
      <c r="B501" s="128" t="n">
        <f aca="false">ExportRaw!$C501</f>
        <v>0</v>
      </c>
      <c r="C501" s="128" t="n">
        <f aca="false">ExportRaw!$G501</f>
        <v>0</v>
      </c>
      <c r="D501" s="128" t="str">
        <f aca="false">ExportRaw!$E501</f>
        <v/>
      </c>
      <c r="E501" s="129" t="str">
        <f aca="false">ExportRaw!$D501</f>
        <v/>
      </c>
      <c r="F501" s="128" t="str">
        <f aca="false">ExportRaw!$H501</f>
        <v/>
      </c>
      <c r="G501" s="130" t="str">
        <f aca="false">ExportRaw!$I501</f>
        <v/>
      </c>
      <c r="H501" s="128" t="str">
        <f aca="false">ExportRaw!$A501</f>
        <v/>
      </c>
      <c r="I501" s="12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7" t="s">
        <v>81</v>
      </c>
      <c r="B1" s="127" t="s">
        <v>82</v>
      </c>
      <c r="C1" s="127" t="s">
        <v>83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31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31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31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3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32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32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8"/>
      <c r="B1" s="133"/>
      <c r="C1" s="128"/>
      <c r="D1" s="128"/>
      <c r="E1" s="134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</row>
    <row r="2" customFormat="false" ht="15.75" hidden="false" customHeight="false" outlineLevel="0" collapsed="false">
      <c r="A2" s="128"/>
      <c r="B2" s="128"/>
      <c r="C2" s="128"/>
      <c r="D2" s="128"/>
      <c r="E2" s="134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</row>
    <row r="3" customFormat="false" ht="15.75" hidden="false" customHeight="false" outlineLevel="0" collapsed="false">
      <c r="A3" s="128"/>
      <c r="B3" s="128"/>
      <c r="C3" s="128"/>
      <c r="D3" s="128"/>
      <c r="E3" s="134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</row>
    <row r="4" customFormat="false" ht="15.75" hidden="false" customHeight="false" outlineLevel="0" collapsed="false">
      <c r="A4" s="128"/>
      <c r="B4" s="128"/>
      <c r="C4" s="128"/>
      <c r="D4" s="128"/>
      <c r="E4" s="134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</row>
    <row r="5" customFormat="false" ht="15.75" hidden="false" customHeight="false" outlineLevel="0" collapsed="false">
      <c r="A5" s="128"/>
      <c r="B5" s="128"/>
      <c r="C5" s="128"/>
      <c r="D5" s="128"/>
      <c r="E5" s="134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</row>
    <row r="6" customFormat="false" ht="15.75" hidden="false" customHeight="false" outlineLevel="0" collapsed="false">
      <c r="A6" s="128"/>
      <c r="B6" s="128"/>
      <c r="C6" s="128"/>
      <c r="D6" s="128"/>
      <c r="E6" s="134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</row>
    <row r="7" customFormat="false" ht="15.75" hidden="false" customHeight="false" outlineLevel="0" collapsed="false">
      <c r="A7" s="128"/>
      <c r="B7" s="128"/>
      <c r="C7" s="128"/>
      <c r="D7" s="128"/>
      <c r="E7" s="134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</row>
    <row r="8" customFormat="false" ht="15.75" hidden="false" customHeight="false" outlineLevel="0" collapsed="false">
      <c r="A8" s="128"/>
      <c r="B8" s="128"/>
      <c r="C8" s="128"/>
      <c r="D8" s="128"/>
      <c r="E8" s="134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</row>
    <row r="9" customFormat="false" ht="15.75" hidden="false" customHeight="false" outlineLevel="0" collapsed="false">
      <c r="A9" s="128"/>
      <c r="B9" s="128"/>
      <c r="C9" s="128"/>
      <c r="D9" s="128"/>
      <c r="E9" s="134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</row>
    <row r="10" customFormat="false" ht="15.75" hidden="false" customHeight="false" outlineLevel="0" collapsed="false">
      <c r="A10" s="128"/>
      <c r="B10" s="128"/>
      <c r="C10" s="128"/>
      <c r="D10" s="128"/>
      <c r="E10" s="134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</row>
    <row r="11" customFormat="false" ht="15.75" hidden="false" customHeight="false" outlineLevel="0" collapsed="false">
      <c r="A11" s="128"/>
      <c r="B11" s="128"/>
      <c r="C11" s="128"/>
      <c r="D11" s="128"/>
      <c r="E11" s="134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</row>
    <row r="12" customFormat="false" ht="15.75" hidden="false" customHeight="false" outlineLevel="0" collapsed="false">
      <c r="A12" s="128"/>
      <c r="B12" s="128"/>
      <c r="C12" s="128"/>
      <c r="D12" s="128"/>
      <c r="E12" s="134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</row>
    <row r="13" customFormat="false" ht="15.75" hidden="false" customHeight="false" outlineLevel="0" collapsed="false">
      <c r="A13" s="128"/>
      <c r="B13" s="128"/>
      <c r="C13" s="128"/>
      <c r="D13" s="128"/>
      <c r="E13" s="134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</row>
    <row r="14" customFormat="false" ht="15.75" hidden="false" customHeight="false" outlineLevel="0" collapsed="false">
      <c r="A14" s="128"/>
      <c r="B14" s="128"/>
      <c r="C14" s="128"/>
      <c r="D14" s="128"/>
      <c r="E14" s="134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</row>
    <row r="15" customFormat="false" ht="15.75" hidden="false" customHeight="false" outlineLevel="0" collapsed="false">
      <c r="A15" s="128"/>
      <c r="B15" s="128"/>
      <c r="C15" s="128"/>
      <c r="D15" s="128"/>
      <c r="E15" s="134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</row>
    <row r="16" customFormat="false" ht="15.75" hidden="false" customHeight="false" outlineLevel="0" collapsed="false">
      <c r="A16" s="128"/>
      <c r="B16" s="128"/>
      <c r="C16" s="128"/>
      <c r="D16" s="128"/>
      <c r="E16" s="134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</row>
    <row r="17" customFormat="false" ht="15.75" hidden="false" customHeight="false" outlineLevel="0" collapsed="false">
      <c r="A17" s="128"/>
      <c r="B17" s="128"/>
      <c r="C17" s="128"/>
      <c r="D17" s="128"/>
      <c r="E17" s="134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</row>
    <row r="18" customFormat="false" ht="15.75" hidden="false" customHeight="false" outlineLevel="0" collapsed="false">
      <c r="A18" s="128"/>
      <c r="B18" s="128"/>
      <c r="C18" s="128"/>
      <c r="D18" s="128"/>
      <c r="E18" s="134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</row>
    <row r="19" customFormat="false" ht="15.75" hidden="false" customHeight="false" outlineLevel="0" collapsed="false">
      <c r="A19" s="128"/>
      <c r="B19" s="128"/>
      <c r="C19" s="128"/>
      <c r="D19" s="128"/>
      <c r="E19" s="134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</row>
    <row r="20" customFormat="false" ht="15.75" hidden="false" customHeight="false" outlineLevel="0" collapsed="false">
      <c r="A20" s="128"/>
      <c r="B20" s="128"/>
      <c r="C20" s="128"/>
      <c r="D20" s="128"/>
      <c r="E20" s="134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</row>
    <row r="21" customFormat="false" ht="15.75" hidden="false" customHeight="false" outlineLevel="0" collapsed="false">
      <c r="A21" s="128" t="str">
        <f aca="false">IF(ISBLANK(B21),"",B21&amp;"|"&amp;C21)</f>
        <v/>
      </c>
      <c r="B21" s="128"/>
      <c r="C21" s="128"/>
      <c r="D21" s="128"/>
      <c r="E21" s="134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</row>
    <row r="22" customFormat="false" ht="15.75" hidden="false" customHeight="false" outlineLevel="0" collapsed="false">
      <c r="A22" s="128" t="str">
        <f aca="false">IF(ISBLANK(B22),"",B22&amp;"|"&amp;C22)</f>
        <v/>
      </c>
      <c r="B22" s="128"/>
      <c r="C22" s="128"/>
      <c r="D22" s="128"/>
      <c r="E22" s="134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</row>
    <row r="23" customFormat="false" ht="15.75" hidden="false" customHeight="false" outlineLevel="0" collapsed="false">
      <c r="A23" s="128" t="str">
        <f aca="false">IF(ISBLANK(B23),"",B23&amp;"|"&amp;C23)</f>
        <v/>
      </c>
      <c r="B23" s="128"/>
      <c r="C23" s="128"/>
      <c r="D23" s="128"/>
      <c r="E23" s="134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</row>
    <row r="24" customFormat="false" ht="15.75" hidden="false" customHeight="false" outlineLevel="0" collapsed="false">
      <c r="A24" s="128" t="str">
        <f aca="false">IF(ISBLANK(B24),"",B24&amp;"|"&amp;C24)</f>
        <v/>
      </c>
      <c r="B24" s="128"/>
      <c r="C24" s="128"/>
      <c r="D24" s="128"/>
      <c r="E24" s="134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</row>
    <row r="25" customFormat="false" ht="15.75" hidden="false" customHeight="false" outlineLevel="0" collapsed="false">
      <c r="A25" s="128" t="str">
        <f aca="false">IF(ISBLANK(B25),"",B25&amp;"|"&amp;C25)</f>
        <v/>
      </c>
      <c r="B25" s="128"/>
      <c r="C25" s="128"/>
      <c r="D25" s="128"/>
      <c r="E25" s="134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</row>
    <row r="26" customFormat="false" ht="15.75" hidden="false" customHeight="false" outlineLevel="0" collapsed="false">
      <c r="A26" s="128" t="str">
        <f aca="false">IF(ISBLANK(B26),"",B26&amp;"|"&amp;C26)</f>
        <v/>
      </c>
      <c r="B26" s="128"/>
      <c r="C26" s="128"/>
      <c r="D26" s="128"/>
      <c r="E26" s="134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</row>
    <row r="27" customFormat="false" ht="15.75" hidden="false" customHeight="false" outlineLevel="0" collapsed="false">
      <c r="A27" s="128" t="str">
        <f aca="false">IF(ISBLANK(B27),"",B27&amp;"|"&amp;C27)</f>
        <v/>
      </c>
      <c r="B27" s="128"/>
      <c r="C27" s="128"/>
      <c r="D27" s="128"/>
      <c r="E27" s="134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</row>
    <row r="28" customFormat="false" ht="15.75" hidden="false" customHeight="false" outlineLevel="0" collapsed="false">
      <c r="A28" s="128" t="str">
        <f aca="false">IF(ISBLANK(B28),"",B28&amp;"|"&amp;C28)</f>
        <v/>
      </c>
      <c r="B28" s="128"/>
      <c r="C28" s="128"/>
      <c r="D28" s="128"/>
      <c r="E28" s="134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</row>
    <row r="29" customFormat="false" ht="15.75" hidden="false" customHeight="false" outlineLevel="0" collapsed="false">
      <c r="A29" s="128" t="str">
        <f aca="false">IF(ISBLANK(B29),"",B29&amp;"|"&amp;C29)</f>
        <v/>
      </c>
      <c r="B29" s="128"/>
      <c r="C29" s="128"/>
      <c r="D29" s="128"/>
      <c r="E29" s="134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</row>
    <row r="30" customFormat="false" ht="15.75" hidden="false" customHeight="false" outlineLevel="0" collapsed="false">
      <c r="A30" s="128" t="str">
        <f aca="false">IF(ISBLANK(B30),"",B30&amp;"|"&amp;C30)</f>
        <v/>
      </c>
      <c r="B30" s="128"/>
      <c r="C30" s="128"/>
      <c r="D30" s="128"/>
      <c r="E30" s="134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</row>
    <row r="31" customFormat="false" ht="15.75" hidden="false" customHeight="false" outlineLevel="0" collapsed="false">
      <c r="A31" s="128" t="str">
        <f aca="false">IF(ISBLANK(B31),"",B31&amp;"|"&amp;C31)</f>
        <v/>
      </c>
      <c r="B31" s="128"/>
      <c r="C31" s="128"/>
      <c r="D31" s="128"/>
      <c r="E31" s="134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</row>
    <row r="32" customFormat="false" ht="15.75" hidden="false" customHeight="false" outlineLevel="0" collapsed="false">
      <c r="A32" s="128" t="str">
        <f aca="false">IF(ISBLANK(B32),"",B32&amp;"|"&amp;C32)</f>
        <v/>
      </c>
      <c r="B32" s="128"/>
      <c r="C32" s="128"/>
      <c r="D32" s="128"/>
      <c r="E32" s="134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</row>
    <row r="33" customFormat="false" ht="15.75" hidden="false" customHeight="false" outlineLevel="0" collapsed="false">
      <c r="A33" s="128" t="str">
        <f aca="false">IF(ISBLANK(B33),"",B33&amp;"|"&amp;C33)</f>
        <v/>
      </c>
      <c r="B33" s="128"/>
      <c r="C33" s="128"/>
      <c r="D33" s="128"/>
      <c r="E33" s="134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</row>
    <row r="34" customFormat="false" ht="15.75" hidden="false" customHeight="false" outlineLevel="0" collapsed="false">
      <c r="A34" s="128" t="str">
        <f aca="false">IF(ISBLANK(B34),"",B34&amp;"|"&amp;C34)</f>
        <v/>
      </c>
      <c r="B34" s="128"/>
      <c r="C34" s="128"/>
      <c r="D34" s="128"/>
      <c r="E34" s="134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</row>
    <row r="35" customFormat="false" ht="15.75" hidden="false" customHeight="false" outlineLevel="0" collapsed="false">
      <c r="A35" s="128" t="str">
        <f aca="false">IF(ISBLANK(B35),"",B35&amp;"|"&amp;C35)</f>
        <v/>
      </c>
      <c r="B35" s="128"/>
      <c r="C35" s="128"/>
      <c r="D35" s="128"/>
      <c r="E35" s="134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</row>
    <row r="36" customFormat="false" ht="15.75" hidden="false" customHeight="false" outlineLevel="0" collapsed="false">
      <c r="A36" s="128" t="str">
        <f aca="false">IF(ISBLANK(B36),"",B36&amp;"|"&amp;C36)</f>
        <v/>
      </c>
      <c r="B36" s="128"/>
      <c r="C36" s="128"/>
      <c r="D36" s="128"/>
      <c r="E36" s="134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</row>
    <row r="37" customFormat="false" ht="15.75" hidden="false" customHeight="false" outlineLevel="0" collapsed="false">
      <c r="A37" s="128" t="str">
        <f aca="false">IF(ISBLANK(B37),"",B37&amp;"|"&amp;C37)</f>
        <v/>
      </c>
      <c r="B37" s="128"/>
      <c r="C37" s="128"/>
      <c r="D37" s="128"/>
      <c r="E37" s="134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</row>
    <row r="38" customFormat="false" ht="15.75" hidden="false" customHeight="false" outlineLevel="0" collapsed="false">
      <c r="A38" s="128" t="str">
        <f aca="false">IF(ISBLANK(B38),"",B38&amp;"|"&amp;C38)</f>
        <v/>
      </c>
      <c r="B38" s="128"/>
      <c r="C38" s="128"/>
      <c r="D38" s="128"/>
      <c r="E38" s="134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</row>
    <row r="39" customFormat="false" ht="15.75" hidden="false" customHeight="false" outlineLevel="0" collapsed="false">
      <c r="A39" s="128" t="str">
        <f aca="false">IF(ISBLANK(B39),"",B39&amp;"|"&amp;C39)</f>
        <v/>
      </c>
      <c r="B39" s="128"/>
      <c r="C39" s="128"/>
      <c r="D39" s="128"/>
      <c r="E39" s="134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</row>
    <row r="40" customFormat="false" ht="15.75" hidden="false" customHeight="false" outlineLevel="0" collapsed="false">
      <c r="A40" s="128" t="str">
        <f aca="false">IF(ISBLANK(B40),"",B40&amp;"|"&amp;C40)</f>
        <v/>
      </c>
      <c r="B40" s="128"/>
      <c r="C40" s="128"/>
      <c r="D40" s="128"/>
      <c r="E40" s="134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</row>
    <row r="41" customFormat="false" ht="15.75" hidden="false" customHeight="false" outlineLevel="0" collapsed="false">
      <c r="A41" s="128" t="str">
        <f aca="false">IF(ISBLANK(B41),"",B41&amp;"|"&amp;C41)</f>
        <v/>
      </c>
      <c r="B41" s="128"/>
      <c r="C41" s="128"/>
      <c r="D41" s="128"/>
      <c r="E41" s="134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</row>
    <row r="42" customFormat="false" ht="15.75" hidden="false" customHeight="false" outlineLevel="0" collapsed="false">
      <c r="A42" s="128" t="str">
        <f aca="false">IF(ISBLANK(B42),"",B42&amp;"|"&amp;C42)</f>
        <v/>
      </c>
      <c r="B42" s="128"/>
      <c r="C42" s="128"/>
      <c r="D42" s="128"/>
      <c r="E42" s="134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</row>
    <row r="43" customFormat="false" ht="15.75" hidden="false" customHeight="false" outlineLevel="0" collapsed="false">
      <c r="A43" s="128" t="str">
        <f aca="false">IF(ISBLANK(B43),"",B43&amp;"|"&amp;C43)</f>
        <v/>
      </c>
      <c r="B43" s="128"/>
      <c r="C43" s="128"/>
      <c r="D43" s="128"/>
      <c r="E43" s="134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</row>
    <row r="44" customFormat="false" ht="15.75" hidden="false" customHeight="false" outlineLevel="0" collapsed="false">
      <c r="A44" s="128" t="str">
        <f aca="false">IF(ISBLANK(B44),"",B44&amp;"|"&amp;C44)</f>
        <v/>
      </c>
      <c r="B44" s="128"/>
      <c r="C44" s="128"/>
      <c r="D44" s="128"/>
      <c r="E44" s="134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</row>
    <row r="45" customFormat="false" ht="15.75" hidden="false" customHeight="false" outlineLevel="0" collapsed="false">
      <c r="A45" s="128" t="str">
        <f aca="false">IF(ISBLANK(B45),"",B45&amp;"|"&amp;C45)</f>
        <v/>
      </c>
      <c r="B45" s="128"/>
      <c r="C45" s="128"/>
      <c r="D45" s="128"/>
      <c r="E45" s="134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</row>
    <row r="46" customFormat="false" ht="15.75" hidden="false" customHeight="false" outlineLevel="0" collapsed="false">
      <c r="A46" s="128" t="str">
        <f aca="false">IF(ISBLANK(B46),"",B46&amp;"|"&amp;C46)</f>
        <v/>
      </c>
      <c r="B46" s="128"/>
      <c r="C46" s="128"/>
      <c r="D46" s="128"/>
      <c r="E46" s="134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</row>
    <row r="47" customFormat="false" ht="15.75" hidden="false" customHeight="false" outlineLevel="0" collapsed="false">
      <c r="A47" s="128" t="str">
        <f aca="false">IF(ISBLANK(B47),"",B47&amp;"|"&amp;C47)</f>
        <v/>
      </c>
      <c r="B47" s="128"/>
      <c r="C47" s="128"/>
      <c r="D47" s="128"/>
      <c r="E47" s="134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</row>
    <row r="48" customFormat="false" ht="15.75" hidden="false" customHeight="false" outlineLevel="0" collapsed="false">
      <c r="A48" s="128" t="str">
        <f aca="false">IF(ISBLANK(B48),"",B48&amp;"|"&amp;C48)</f>
        <v/>
      </c>
      <c r="B48" s="128"/>
      <c r="C48" s="128"/>
      <c r="D48" s="128"/>
      <c r="E48" s="134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</row>
    <row r="49" customFormat="false" ht="15.75" hidden="false" customHeight="false" outlineLevel="0" collapsed="false">
      <c r="A49" s="128" t="str">
        <f aca="false">IF(ISBLANK(B49),"",B49&amp;"|"&amp;C49)</f>
        <v/>
      </c>
      <c r="B49" s="128"/>
      <c r="C49" s="128"/>
      <c r="D49" s="128"/>
      <c r="E49" s="134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</row>
    <row r="50" customFormat="false" ht="15.75" hidden="false" customHeight="false" outlineLevel="0" collapsed="false">
      <c r="A50" s="128" t="str">
        <f aca="false">IF(ISBLANK(B50),"",B50&amp;"|"&amp;C50)</f>
        <v/>
      </c>
      <c r="B50" s="128"/>
      <c r="C50" s="128"/>
      <c r="D50" s="128"/>
      <c r="E50" s="134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</row>
    <row r="51" customFormat="false" ht="15.75" hidden="false" customHeight="false" outlineLevel="0" collapsed="false">
      <c r="A51" s="128" t="str">
        <f aca="false">IF(ISBLANK(B51),"",B51&amp;"|"&amp;C51)</f>
        <v/>
      </c>
      <c r="B51" s="128"/>
      <c r="C51" s="128"/>
      <c r="D51" s="128"/>
      <c r="E51" s="134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</row>
    <row r="52" customFormat="false" ht="15.75" hidden="false" customHeight="false" outlineLevel="0" collapsed="false">
      <c r="A52" s="128" t="str">
        <f aca="false">IF(ISBLANK(B52),"",B52&amp;"|"&amp;C52)</f>
        <v/>
      </c>
      <c r="B52" s="128"/>
      <c r="C52" s="128"/>
      <c r="D52" s="128"/>
      <c r="E52" s="134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</row>
    <row r="53" customFormat="false" ht="15.75" hidden="false" customHeight="false" outlineLevel="0" collapsed="false">
      <c r="A53" s="128" t="str">
        <f aca="false">IF(ISBLANK(B53),"",B53&amp;"|"&amp;C53)</f>
        <v/>
      </c>
      <c r="B53" s="128"/>
      <c r="C53" s="128"/>
      <c r="D53" s="128"/>
      <c r="E53" s="134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</row>
    <row r="54" customFormat="false" ht="15.75" hidden="false" customHeight="false" outlineLevel="0" collapsed="false">
      <c r="A54" s="128" t="str">
        <f aca="false">IF(ISBLANK(B54),"",B54&amp;"|"&amp;C54)</f>
        <v/>
      </c>
      <c r="B54" s="128"/>
      <c r="C54" s="128"/>
      <c r="D54" s="128"/>
      <c r="E54" s="134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</row>
    <row r="55" customFormat="false" ht="15.75" hidden="false" customHeight="false" outlineLevel="0" collapsed="false">
      <c r="A55" s="128" t="str">
        <f aca="false">IF(ISBLANK(B55),"",B55&amp;"|"&amp;C55)</f>
        <v/>
      </c>
      <c r="B55" s="128"/>
      <c r="C55" s="128"/>
      <c r="D55" s="128"/>
      <c r="E55" s="134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</row>
    <row r="56" customFormat="false" ht="15.75" hidden="false" customHeight="false" outlineLevel="0" collapsed="false">
      <c r="A56" s="128" t="str">
        <f aca="false">IF(ISBLANK(B56),"",B56&amp;"|"&amp;C56)</f>
        <v/>
      </c>
      <c r="B56" s="128"/>
      <c r="C56" s="128"/>
      <c r="D56" s="128"/>
      <c r="E56" s="134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</row>
    <row r="57" customFormat="false" ht="15.75" hidden="false" customHeight="false" outlineLevel="0" collapsed="false">
      <c r="A57" s="128" t="str">
        <f aca="false">IF(ISBLANK(B57),"",B57&amp;"|"&amp;C57)</f>
        <v/>
      </c>
      <c r="B57" s="128"/>
      <c r="C57" s="128"/>
      <c r="D57" s="128"/>
      <c r="E57" s="134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</row>
    <row r="58" customFormat="false" ht="15.75" hidden="false" customHeight="false" outlineLevel="0" collapsed="false">
      <c r="A58" s="128" t="str">
        <f aca="false">IF(ISBLANK(B58),"",B58&amp;"|"&amp;C58)</f>
        <v/>
      </c>
      <c r="B58" s="128"/>
      <c r="C58" s="128"/>
      <c r="D58" s="128"/>
      <c r="E58" s="134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</row>
    <row r="59" customFormat="false" ht="15.75" hidden="false" customHeight="false" outlineLevel="0" collapsed="false">
      <c r="A59" s="128" t="str">
        <f aca="false">IF(ISBLANK(B59),"",B59&amp;"|"&amp;C59)</f>
        <v/>
      </c>
      <c r="B59" s="128"/>
      <c r="C59" s="128"/>
      <c r="D59" s="128"/>
      <c r="E59" s="134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</row>
    <row r="60" customFormat="false" ht="15.75" hidden="false" customHeight="false" outlineLevel="0" collapsed="false">
      <c r="A60" s="128" t="str">
        <f aca="false">IF(ISBLANK(B60),"",B60&amp;"|"&amp;C60)</f>
        <v/>
      </c>
      <c r="B60" s="128"/>
      <c r="C60" s="128"/>
      <c r="D60" s="128"/>
      <c r="E60" s="134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</row>
    <row r="61" customFormat="false" ht="15.75" hidden="false" customHeight="false" outlineLevel="0" collapsed="false">
      <c r="A61" s="128" t="str">
        <f aca="false">IF(ISBLANK(B61),"",B61&amp;"|"&amp;C61)</f>
        <v/>
      </c>
      <c r="B61" s="128"/>
      <c r="C61" s="128"/>
      <c r="D61" s="128"/>
      <c r="E61" s="134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</row>
    <row r="62" customFormat="false" ht="15.75" hidden="false" customHeight="false" outlineLevel="0" collapsed="false">
      <c r="A62" s="128" t="str">
        <f aca="false">IF(ISBLANK(B62),"",B62&amp;"|"&amp;C62)</f>
        <v/>
      </c>
      <c r="B62" s="128"/>
      <c r="C62" s="128"/>
      <c r="D62" s="128"/>
      <c r="E62" s="134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</row>
    <row r="63" customFormat="false" ht="15.75" hidden="false" customHeight="false" outlineLevel="0" collapsed="false">
      <c r="A63" s="128" t="str">
        <f aca="false">IF(ISBLANK(B63),"",B63&amp;"|"&amp;C63)</f>
        <v/>
      </c>
      <c r="B63" s="128"/>
      <c r="C63" s="128"/>
      <c r="D63" s="128"/>
      <c r="E63" s="134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</row>
    <row r="64" customFormat="false" ht="15.75" hidden="false" customHeight="false" outlineLevel="0" collapsed="false">
      <c r="A64" s="128" t="str">
        <f aca="false">IF(ISBLANK(B64),"",B64&amp;"|"&amp;C64)</f>
        <v/>
      </c>
      <c r="B64" s="128"/>
      <c r="C64" s="128"/>
      <c r="D64" s="128"/>
      <c r="E64" s="134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</row>
    <row r="65" customFormat="false" ht="15.75" hidden="false" customHeight="false" outlineLevel="0" collapsed="false">
      <c r="A65" s="128" t="str">
        <f aca="false">IF(ISBLANK(B65),"",B65&amp;"|"&amp;C65)</f>
        <v/>
      </c>
      <c r="B65" s="128"/>
      <c r="C65" s="128"/>
      <c r="D65" s="128"/>
      <c r="E65" s="134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</row>
    <row r="66" customFormat="false" ht="15.75" hidden="false" customHeight="false" outlineLevel="0" collapsed="false">
      <c r="A66" s="128" t="str">
        <f aca="false">IF(ISBLANK(B66),"",B66&amp;"|"&amp;C66)</f>
        <v/>
      </c>
      <c r="B66" s="128"/>
      <c r="C66" s="128"/>
      <c r="D66" s="128"/>
      <c r="E66" s="134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</row>
    <row r="67" customFormat="false" ht="15.75" hidden="false" customHeight="false" outlineLevel="0" collapsed="false">
      <c r="A67" s="128" t="str">
        <f aca="false">IF(ISBLANK(B67),"",B67&amp;"|"&amp;C67)</f>
        <v/>
      </c>
      <c r="B67" s="128"/>
      <c r="C67" s="128"/>
      <c r="D67" s="128"/>
      <c r="E67" s="134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</row>
    <row r="68" customFormat="false" ht="15.75" hidden="false" customHeight="false" outlineLevel="0" collapsed="false">
      <c r="A68" s="128" t="str">
        <f aca="false">IF(ISBLANK(B68),"",B68&amp;"|"&amp;C68)</f>
        <v/>
      </c>
      <c r="B68" s="128"/>
      <c r="C68" s="128"/>
      <c r="D68" s="128"/>
      <c r="E68" s="134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</row>
    <row r="69" customFormat="false" ht="15.75" hidden="false" customHeight="false" outlineLevel="0" collapsed="false">
      <c r="A69" s="128" t="str">
        <f aca="false">IF(ISBLANK(B69),"",B69&amp;"|"&amp;C69)</f>
        <v/>
      </c>
      <c r="B69" s="128"/>
      <c r="C69" s="128"/>
      <c r="D69" s="128"/>
      <c r="E69" s="134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</row>
    <row r="70" customFormat="false" ht="15.75" hidden="false" customHeight="false" outlineLevel="0" collapsed="false">
      <c r="A70" s="128" t="str">
        <f aca="false">IF(ISBLANK(B70),"",B70&amp;"|"&amp;C70)</f>
        <v/>
      </c>
      <c r="B70" s="128"/>
      <c r="C70" s="128"/>
      <c r="D70" s="128"/>
      <c r="E70" s="134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</row>
    <row r="71" customFormat="false" ht="15.75" hidden="false" customHeight="false" outlineLevel="0" collapsed="false">
      <c r="A71" s="128" t="str">
        <f aca="false">IF(ISBLANK(B71),"",B71&amp;"|"&amp;C71)</f>
        <v/>
      </c>
      <c r="B71" s="128"/>
      <c r="C71" s="128"/>
      <c r="D71" s="128"/>
      <c r="E71" s="134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</row>
    <row r="72" customFormat="false" ht="15.75" hidden="false" customHeight="false" outlineLevel="0" collapsed="false">
      <c r="A72" s="128" t="str">
        <f aca="false">IF(ISBLANK(B72),"",B72&amp;"|"&amp;C72)</f>
        <v/>
      </c>
      <c r="B72" s="128"/>
      <c r="C72" s="128"/>
      <c r="D72" s="128"/>
      <c r="E72" s="134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</row>
    <row r="73" customFormat="false" ht="15.75" hidden="false" customHeight="false" outlineLevel="0" collapsed="false">
      <c r="A73" s="128" t="str">
        <f aca="false">IF(ISBLANK(B73),"",B73&amp;"|"&amp;C73)</f>
        <v/>
      </c>
      <c r="B73" s="128"/>
      <c r="C73" s="128"/>
      <c r="D73" s="128"/>
      <c r="E73" s="134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</row>
    <row r="74" customFormat="false" ht="15.75" hidden="false" customHeight="false" outlineLevel="0" collapsed="false">
      <c r="A74" s="128" t="str">
        <f aca="false">IF(ISBLANK(B74),"",B74&amp;"|"&amp;C74)</f>
        <v/>
      </c>
      <c r="B74" s="128"/>
      <c r="C74" s="128"/>
      <c r="D74" s="128"/>
      <c r="E74" s="134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</row>
    <row r="75" customFormat="false" ht="15.75" hidden="false" customHeight="false" outlineLevel="0" collapsed="false">
      <c r="A75" s="128" t="str">
        <f aca="false">IF(ISBLANK(B75),"",B75&amp;"|"&amp;C75)</f>
        <v/>
      </c>
      <c r="B75" s="128"/>
      <c r="C75" s="128"/>
      <c r="D75" s="128"/>
      <c r="E75" s="134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</row>
    <row r="76" customFormat="false" ht="15.75" hidden="false" customHeight="false" outlineLevel="0" collapsed="false">
      <c r="A76" s="128" t="str">
        <f aca="false">IF(ISBLANK(B76),"",B76&amp;"|"&amp;C76)</f>
        <v/>
      </c>
      <c r="B76" s="128"/>
      <c r="C76" s="128"/>
      <c r="D76" s="128"/>
      <c r="E76" s="134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</row>
    <row r="77" customFormat="false" ht="15.75" hidden="false" customHeight="false" outlineLevel="0" collapsed="false">
      <c r="A77" s="128" t="str">
        <f aca="false">IF(ISBLANK(B77),"",B77&amp;"|"&amp;C77)</f>
        <v/>
      </c>
      <c r="B77" s="128"/>
      <c r="C77" s="128"/>
      <c r="D77" s="128"/>
      <c r="E77" s="134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</row>
    <row r="78" customFormat="false" ht="15.75" hidden="false" customHeight="false" outlineLevel="0" collapsed="false">
      <c r="A78" s="128" t="str">
        <f aca="false">IF(ISBLANK(B78),"",B78&amp;"|"&amp;C78)</f>
        <v/>
      </c>
      <c r="B78" s="128"/>
      <c r="C78" s="128"/>
      <c r="D78" s="128"/>
      <c r="E78" s="134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</row>
    <row r="79" customFormat="false" ht="15.75" hidden="false" customHeight="false" outlineLevel="0" collapsed="false">
      <c r="A79" s="128" t="str">
        <f aca="false">IF(ISBLANK(B79),"",B79&amp;"|"&amp;C79)</f>
        <v/>
      </c>
      <c r="B79" s="128"/>
      <c r="C79" s="128"/>
      <c r="D79" s="128"/>
      <c r="E79" s="134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</row>
    <row r="80" customFormat="false" ht="15.75" hidden="false" customHeight="false" outlineLevel="0" collapsed="false">
      <c r="A80" s="128" t="str">
        <f aca="false">IF(ISBLANK(B80),"",B80&amp;"|"&amp;C80)</f>
        <v/>
      </c>
      <c r="B80" s="128"/>
      <c r="C80" s="128"/>
      <c r="D80" s="128"/>
      <c r="E80" s="134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</row>
    <row r="81" customFormat="false" ht="15.75" hidden="false" customHeight="false" outlineLevel="0" collapsed="false">
      <c r="A81" s="128" t="str">
        <f aca="false">IF(ISBLANK(B81),"",B81&amp;"|"&amp;C81)</f>
        <v/>
      </c>
      <c r="B81" s="128"/>
      <c r="C81" s="128"/>
      <c r="D81" s="128"/>
      <c r="E81" s="134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</row>
    <row r="82" customFormat="false" ht="15.75" hidden="false" customHeight="false" outlineLevel="0" collapsed="false">
      <c r="A82" s="128" t="str">
        <f aca="false">IF(ISBLANK(B82),"",B82&amp;"|"&amp;C82)</f>
        <v/>
      </c>
      <c r="B82" s="128"/>
      <c r="C82" s="128"/>
      <c r="D82" s="128"/>
      <c r="E82" s="134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</row>
    <row r="83" customFormat="false" ht="15.75" hidden="false" customHeight="false" outlineLevel="0" collapsed="false">
      <c r="A83" s="128" t="str">
        <f aca="false">IF(ISBLANK(B83),"",B83&amp;"|"&amp;C83)</f>
        <v/>
      </c>
      <c r="B83" s="128"/>
      <c r="C83" s="128"/>
      <c r="D83" s="128"/>
      <c r="E83" s="134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</row>
    <row r="84" customFormat="false" ht="15.75" hidden="false" customHeight="false" outlineLevel="0" collapsed="false">
      <c r="A84" s="128" t="str">
        <f aca="false">IF(ISBLANK(B84),"",B84&amp;"|"&amp;C84)</f>
        <v/>
      </c>
      <c r="B84" s="128"/>
      <c r="C84" s="128"/>
      <c r="D84" s="128"/>
      <c r="E84" s="134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</row>
    <row r="85" customFormat="false" ht="15.75" hidden="false" customHeight="false" outlineLevel="0" collapsed="false">
      <c r="A85" s="128" t="str">
        <f aca="false">IF(ISBLANK(B85),"",B85&amp;"|"&amp;C85)</f>
        <v/>
      </c>
      <c r="B85" s="128"/>
      <c r="C85" s="128"/>
      <c r="D85" s="128"/>
      <c r="E85" s="134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</row>
    <row r="86" customFormat="false" ht="15.75" hidden="false" customHeight="false" outlineLevel="0" collapsed="false">
      <c r="A86" s="128" t="str">
        <f aca="false">IF(ISBLANK(B86),"",B86&amp;"|"&amp;C86)</f>
        <v/>
      </c>
      <c r="B86" s="128"/>
      <c r="C86" s="128"/>
      <c r="D86" s="128"/>
      <c r="E86" s="134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</row>
    <row r="87" customFormat="false" ht="15.75" hidden="false" customHeight="false" outlineLevel="0" collapsed="false">
      <c r="A87" s="128" t="str">
        <f aca="false">IF(ISBLANK(B87),"",B87&amp;"|"&amp;C87)</f>
        <v/>
      </c>
      <c r="B87" s="128"/>
      <c r="C87" s="128"/>
      <c r="D87" s="128"/>
      <c r="E87" s="134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</row>
    <row r="88" customFormat="false" ht="15.75" hidden="false" customHeight="false" outlineLevel="0" collapsed="false">
      <c r="A88" s="128" t="str">
        <f aca="false">IF(ISBLANK(B88),"",B88&amp;"|"&amp;C88)</f>
        <v/>
      </c>
      <c r="B88" s="128"/>
      <c r="C88" s="128"/>
      <c r="D88" s="128"/>
      <c r="E88" s="134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</row>
    <row r="89" customFormat="false" ht="15.75" hidden="false" customHeight="false" outlineLevel="0" collapsed="false">
      <c r="A89" s="128" t="str">
        <f aca="false">IF(ISBLANK(B89),"",B89&amp;"|"&amp;C89)</f>
        <v/>
      </c>
      <c r="B89" s="128"/>
      <c r="C89" s="128"/>
      <c r="D89" s="128"/>
      <c r="E89" s="134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</row>
    <row r="90" customFormat="false" ht="15.75" hidden="false" customHeight="false" outlineLevel="0" collapsed="false">
      <c r="A90" s="128" t="str">
        <f aca="false">IF(ISBLANK(B90),"",B90&amp;"|"&amp;C90)</f>
        <v/>
      </c>
      <c r="B90" s="128"/>
      <c r="C90" s="128"/>
      <c r="D90" s="128"/>
      <c r="E90" s="134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</row>
    <row r="91" customFormat="false" ht="15.75" hidden="false" customHeight="false" outlineLevel="0" collapsed="false">
      <c r="A91" s="128" t="str">
        <f aca="false">IF(ISBLANK(B91),"",B91&amp;"|"&amp;C91)</f>
        <v/>
      </c>
      <c r="B91" s="128"/>
      <c r="C91" s="128"/>
      <c r="D91" s="128"/>
      <c r="E91" s="134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</row>
    <row r="92" customFormat="false" ht="15.75" hidden="false" customHeight="false" outlineLevel="0" collapsed="false">
      <c r="A92" s="128" t="str">
        <f aca="false">IF(ISBLANK(B92),"",B92&amp;"|"&amp;C92)</f>
        <v/>
      </c>
      <c r="B92" s="128"/>
      <c r="C92" s="128"/>
      <c r="D92" s="128"/>
      <c r="E92" s="134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</row>
    <row r="93" customFormat="false" ht="15.75" hidden="false" customHeight="false" outlineLevel="0" collapsed="false">
      <c r="A93" s="128" t="str">
        <f aca="false">IF(ISBLANK(B93),"",B93&amp;"|"&amp;C93)</f>
        <v/>
      </c>
      <c r="B93" s="128"/>
      <c r="C93" s="128"/>
      <c r="D93" s="128"/>
      <c r="E93" s="134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</row>
    <row r="94" customFormat="false" ht="15.75" hidden="false" customHeight="false" outlineLevel="0" collapsed="false">
      <c r="A94" s="128" t="str">
        <f aca="false">IF(ISBLANK(B94),"",B94&amp;"|"&amp;C94)</f>
        <v/>
      </c>
      <c r="B94" s="128"/>
      <c r="C94" s="128"/>
      <c r="D94" s="128"/>
      <c r="E94" s="134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</row>
    <row r="95" customFormat="false" ht="15.75" hidden="false" customHeight="false" outlineLevel="0" collapsed="false">
      <c r="A95" s="128" t="str">
        <f aca="false">IF(ISBLANK(B95),"",B95&amp;"|"&amp;C95)</f>
        <v/>
      </c>
      <c r="B95" s="128"/>
      <c r="C95" s="128"/>
      <c r="D95" s="128"/>
      <c r="E95" s="134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</row>
    <row r="96" customFormat="false" ht="15.75" hidden="false" customHeight="false" outlineLevel="0" collapsed="false">
      <c r="A96" s="128" t="str">
        <f aca="false">IF(ISBLANK(B96),"",B96&amp;"|"&amp;C96)</f>
        <v/>
      </c>
      <c r="B96" s="128"/>
      <c r="C96" s="128"/>
      <c r="D96" s="128"/>
      <c r="E96" s="134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</row>
    <row r="97" customFormat="false" ht="15.75" hidden="false" customHeight="false" outlineLevel="0" collapsed="false">
      <c r="A97" s="128" t="str">
        <f aca="false">IF(ISBLANK(B97),"",B97&amp;"|"&amp;C97)</f>
        <v/>
      </c>
      <c r="B97" s="128"/>
      <c r="C97" s="128"/>
      <c r="D97" s="128"/>
      <c r="E97" s="134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</row>
    <row r="98" customFormat="false" ht="15.75" hidden="false" customHeight="false" outlineLevel="0" collapsed="false">
      <c r="A98" s="128" t="str">
        <f aca="false">IF(ISBLANK(B98),"",B98&amp;"|"&amp;C98)</f>
        <v/>
      </c>
      <c r="B98" s="128"/>
      <c r="C98" s="128"/>
      <c r="D98" s="128"/>
      <c r="E98" s="134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</row>
    <row r="99" customFormat="false" ht="15.75" hidden="false" customHeight="false" outlineLevel="0" collapsed="false">
      <c r="A99" s="128" t="str">
        <f aca="false">IF(ISBLANK(B99),"",B99&amp;"|"&amp;C99)</f>
        <v/>
      </c>
      <c r="B99" s="128"/>
      <c r="C99" s="128"/>
      <c r="D99" s="128"/>
      <c r="E99" s="134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</row>
    <row r="100" customFormat="false" ht="15.75" hidden="false" customHeight="false" outlineLevel="0" collapsed="false">
      <c r="A100" s="128" t="str">
        <f aca="false">IF(ISBLANK(B100),"",B100&amp;"|"&amp;C100)</f>
        <v/>
      </c>
      <c r="B100" s="128"/>
      <c r="C100" s="128"/>
      <c r="D100" s="128"/>
      <c r="E100" s="134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</row>
    <row r="101" customFormat="false" ht="15.75" hidden="false" customHeight="false" outlineLevel="0" collapsed="false">
      <c r="A101" s="128" t="str">
        <f aca="false">IF(ISBLANK(B101),"",B101&amp;"|"&amp;C101)</f>
        <v/>
      </c>
      <c r="B101" s="128"/>
      <c r="C101" s="128"/>
      <c r="D101" s="128"/>
      <c r="E101" s="134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</row>
    <row r="102" customFormat="false" ht="15.75" hidden="false" customHeight="false" outlineLevel="0" collapsed="false">
      <c r="A102" s="128" t="str">
        <f aca="false">IF(ISBLANK(B102),"",B102&amp;"|"&amp;C102)</f>
        <v/>
      </c>
      <c r="B102" s="128"/>
      <c r="C102" s="128"/>
      <c r="D102" s="128"/>
      <c r="E102" s="134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</row>
    <row r="103" customFormat="false" ht="15.75" hidden="false" customHeight="false" outlineLevel="0" collapsed="false">
      <c r="A103" s="128" t="str">
        <f aca="false">IF(ISBLANK(B103),"",B103&amp;"|"&amp;C103)</f>
        <v/>
      </c>
      <c r="B103" s="128"/>
      <c r="C103" s="128"/>
      <c r="D103" s="128"/>
      <c r="E103" s="134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</row>
    <row r="104" customFormat="false" ht="15.75" hidden="false" customHeight="false" outlineLevel="0" collapsed="false">
      <c r="A104" s="128" t="str">
        <f aca="false">IF(ISBLANK(B104),"",B104&amp;"|"&amp;C104)</f>
        <v/>
      </c>
      <c r="B104" s="128"/>
      <c r="C104" s="128"/>
      <c r="D104" s="128"/>
      <c r="E104" s="134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</row>
    <row r="105" customFormat="false" ht="15.75" hidden="false" customHeight="false" outlineLevel="0" collapsed="false">
      <c r="A105" s="128" t="str">
        <f aca="false">IF(ISBLANK(B105),"",B105&amp;"|"&amp;C105)</f>
        <v/>
      </c>
      <c r="B105" s="128"/>
      <c r="C105" s="128"/>
      <c r="D105" s="128"/>
      <c r="E105" s="134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</row>
    <row r="106" customFormat="false" ht="15.75" hidden="false" customHeight="false" outlineLevel="0" collapsed="false">
      <c r="A106" s="128" t="str">
        <f aca="false">IF(ISBLANK(B106),"",B106&amp;"|"&amp;C106)</f>
        <v/>
      </c>
      <c r="B106" s="128"/>
      <c r="C106" s="128"/>
      <c r="D106" s="128"/>
      <c r="E106" s="134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</row>
    <row r="107" customFormat="false" ht="15.75" hidden="false" customHeight="false" outlineLevel="0" collapsed="false">
      <c r="A107" s="128" t="str">
        <f aca="false">IF(ISBLANK(B107),"",B107&amp;"|"&amp;C107)</f>
        <v/>
      </c>
      <c r="B107" s="128"/>
      <c r="C107" s="128"/>
      <c r="D107" s="128"/>
      <c r="E107" s="134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</row>
    <row r="108" customFormat="false" ht="15.75" hidden="false" customHeight="false" outlineLevel="0" collapsed="false">
      <c r="A108" s="128" t="str">
        <f aca="false">IF(ISBLANK(B108),"",B108&amp;"|"&amp;C108)</f>
        <v/>
      </c>
      <c r="B108" s="128"/>
      <c r="C108" s="128"/>
      <c r="D108" s="128"/>
      <c r="E108" s="134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</row>
    <row r="109" customFormat="false" ht="15.75" hidden="false" customHeight="false" outlineLevel="0" collapsed="false">
      <c r="A109" s="128" t="str">
        <f aca="false">IF(ISBLANK(B109),"",B109&amp;"|"&amp;C109)</f>
        <v/>
      </c>
      <c r="B109" s="128"/>
      <c r="C109" s="128"/>
      <c r="D109" s="128"/>
      <c r="E109" s="134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</row>
    <row r="110" customFormat="false" ht="15.75" hidden="false" customHeight="false" outlineLevel="0" collapsed="false">
      <c r="A110" s="128" t="str">
        <f aca="false">IF(ISBLANK(B110),"",B110&amp;"|"&amp;C110)</f>
        <v/>
      </c>
      <c r="B110" s="128"/>
      <c r="C110" s="128"/>
      <c r="D110" s="128"/>
      <c r="E110" s="134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</row>
    <row r="111" customFormat="false" ht="15.75" hidden="false" customHeight="false" outlineLevel="0" collapsed="false">
      <c r="A111" s="128" t="str">
        <f aca="false">IF(ISBLANK(B111),"",B111&amp;"|"&amp;C111)</f>
        <v/>
      </c>
      <c r="B111" s="128"/>
      <c r="C111" s="128"/>
      <c r="D111" s="128"/>
      <c r="E111" s="134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</row>
    <row r="112" customFormat="false" ht="15.75" hidden="false" customHeight="false" outlineLevel="0" collapsed="false">
      <c r="A112" s="128" t="str">
        <f aca="false">IF(ISBLANK(B112),"",B112&amp;"|"&amp;C112)</f>
        <v/>
      </c>
      <c r="B112" s="128"/>
      <c r="C112" s="128"/>
      <c r="D112" s="128"/>
      <c r="E112" s="134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</row>
    <row r="113" customFormat="false" ht="15.75" hidden="false" customHeight="false" outlineLevel="0" collapsed="false">
      <c r="A113" s="128" t="str">
        <f aca="false">IF(ISBLANK(B113),"",B113&amp;"|"&amp;C113)</f>
        <v/>
      </c>
      <c r="B113" s="128"/>
      <c r="C113" s="128"/>
      <c r="D113" s="128"/>
      <c r="E113" s="134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</row>
    <row r="114" customFormat="false" ht="15.75" hidden="false" customHeight="false" outlineLevel="0" collapsed="false">
      <c r="A114" s="128" t="str">
        <f aca="false">IF(ISBLANK(B114),"",B114&amp;"|"&amp;C114)</f>
        <v/>
      </c>
      <c r="B114" s="128"/>
      <c r="C114" s="128"/>
      <c r="D114" s="128"/>
      <c r="E114" s="134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</row>
    <row r="115" customFormat="false" ht="15.75" hidden="false" customHeight="false" outlineLevel="0" collapsed="false">
      <c r="A115" s="128" t="str">
        <f aca="false">IF(ISBLANK(B115),"",B115&amp;"|"&amp;C115)</f>
        <v/>
      </c>
      <c r="B115" s="128"/>
      <c r="C115" s="128"/>
      <c r="D115" s="128"/>
      <c r="E115" s="134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</row>
    <row r="116" customFormat="false" ht="15.75" hidden="false" customHeight="false" outlineLevel="0" collapsed="false">
      <c r="A116" s="128" t="str">
        <f aca="false">IF(ISBLANK(B116),"",B116&amp;"|"&amp;C116)</f>
        <v/>
      </c>
      <c r="B116" s="128"/>
      <c r="C116" s="128"/>
      <c r="D116" s="128"/>
      <c r="E116" s="134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</row>
    <row r="117" customFormat="false" ht="15.75" hidden="false" customHeight="false" outlineLevel="0" collapsed="false">
      <c r="A117" s="128" t="str">
        <f aca="false">IF(ISBLANK(B117),"",B117&amp;"|"&amp;C117)</f>
        <v/>
      </c>
      <c r="B117" s="128"/>
      <c r="C117" s="128"/>
      <c r="D117" s="128"/>
      <c r="E117" s="134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</row>
    <row r="118" customFormat="false" ht="15.75" hidden="false" customHeight="false" outlineLevel="0" collapsed="false">
      <c r="A118" s="128" t="str">
        <f aca="false">IF(ISBLANK(B118),"",B118&amp;"|"&amp;C118)</f>
        <v/>
      </c>
      <c r="B118" s="128"/>
      <c r="C118" s="128"/>
      <c r="D118" s="128"/>
      <c r="E118" s="134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</row>
    <row r="119" customFormat="false" ht="15.75" hidden="false" customHeight="false" outlineLevel="0" collapsed="false">
      <c r="A119" s="128" t="str">
        <f aca="false">IF(ISBLANK(B119),"",B119&amp;"|"&amp;C119)</f>
        <v/>
      </c>
      <c r="B119" s="128"/>
      <c r="C119" s="128"/>
      <c r="D119" s="128"/>
      <c r="E119" s="134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</row>
    <row r="120" customFormat="false" ht="15.75" hidden="false" customHeight="false" outlineLevel="0" collapsed="false">
      <c r="A120" s="128" t="str">
        <f aca="false">IF(ISBLANK(B120),"",B120&amp;"|"&amp;C120)</f>
        <v/>
      </c>
      <c r="B120" s="128"/>
      <c r="C120" s="128"/>
      <c r="D120" s="128"/>
      <c r="E120" s="134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</row>
    <row r="121" customFormat="false" ht="15.75" hidden="false" customHeight="false" outlineLevel="0" collapsed="false">
      <c r="A121" s="128" t="str">
        <f aca="false">IF(ISBLANK(B121),"",B121&amp;"|"&amp;C121)</f>
        <v/>
      </c>
      <c r="B121" s="128"/>
      <c r="C121" s="128"/>
      <c r="D121" s="128"/>
      <c r="E121" s="134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</row>
    <row r="122" customFormat="false" ht="15.75" hidden="false" customHeight="false" outlineLevel="0" collapsed="false">
      <c r="A122" s="128" t="str">
        <f aca="false">IF(ISBLANK(B122),"",B122&amp;"|"&amp;C122)</f>
        <v/>
      </c>
      <c r="B122" s="128"/>
      <c r="C122" s="128"/>
      <c r="D122" s="128"/>
      <c r="E122" s="134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</row>
    <row r="123" customFormat="false" ht="15.75" hidden="false" customHeight="false" outlineLevel="0" collapsed="false">
      <c r="A123" s="128" t="str">
        <f aca="false">IF(ISBLANK(B123),"",B123&amp;"|"&amp;C123)</f>
        <v/>
      </c>
      <c r="B123" s="128"/>
      <c r="C123" s="128"/>
      <c r="D123" s="128"/>
      <c r="E123" s="134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</row>
    <row r="124" customFormat="false" ht="15.75" hidden="false" customHeight="false" outlineLevel="0" collapsed="false">
      <c r="A124" s="128" t="str">
        <f aca="false">IF(ISBLANK(B124),"",B124&amp;"|"&amp;C124)</f>
        <v/>
      </c>
      <c r="B124" s="128"/>
      <c r="C124" s="128"/>
      <c r="D124" s="128"/>
      <c r="E124" s="134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</row>
    <row r="125" customFormat="false" ht="15.75" hidden="false" customHeight="false" outlineLevel="0" collapsed="false">
      <c r="A125" s="128" t="str">
        <f aca="false">IF(ISBLANK(B125),"",B125&amp;"|"&amp;C125)</f>
        <v/>
      </c>
      <c r="B125" s="128"/>
      <c r="C125" s="128"/>
      <c r="D125" s="128"/>
      <c r="E125" s="134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</row>
    <row r="126" customFormat="false" ht="15.75" hidden="false" customHeight="false" outlineLevel="0" collapsed="false">
      <c r="A126" s="128" t="str">
        <f aca="false">IF(ISBLANK(B126),"",B126&amp;"|"&amp;C126)</f>
        <v/>
      </c>
      <c r="B126" s="128"/>
      <c r="C126" s="128"/>
      <c r="D126" s="128"/>
      <c r="E126" s="134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</row>
    <row r="127" customFormat="false" ht="15.75" hidden="false" customHeight="false" outlineLevel="0" collapsed="false">
      <c r="A127" s="128" t="str">
        <f aca="false">IF(ISBLANK(B127),"",B127&amp;"|"&amp;C127)</f>
        <v/>
      </c>
      <c r="B127" s="128"/>
      <c r="C127" s="128"/>
      <c r="D127" s="128"/>
      <c r="E127" s="134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</row>
    <row r="128" customFormat="false" ht="15.75" hidden="false" customHeight="false" outlineLevel="0" collapsed="false">
      <c r="A128" s="128" t="str">
        <f aca="false">IF(ISBLANK(B128),"",B128&amp;"|"&amp;C128)</f>
        <v/>
      </c>
      <c r="B128" s="128"/>
      <c r="C128" s="128"/>
      <c r="D128" s="128"/>
      <c r="E128" s="134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</row>
    <row r="129" customFormat="false" ht="15.75" hidden="false" customHeight="false" outlineLevel="0" collapsed="false">
      <c r="A129" s="128" t="str">
        <f aca="false">IF(ISBLANK(B129),"",B129&amp;"|"&amp;C129)</f>
        <v/>
      </c>
      <c r="B129" s="128"/>
      <c r="C129" s="128"/>
      <c r="D129" s="128"/>
      <c r="E129" s="134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</row>
    <row r="130" customFormat="false" ht="15.75" hidden="false" customHeight="false" outlineLevel="0" collapsed="false">
      <c r="A130" s="128" t="str">
        <f aca="false">IF(ISBLANK(B130),"",B130&amp;"|"&amp;C130)</f>
        <v/>
      </c>
      <c r="B130" s="128"/>
      <c r="C130" s="128"/>
      <c r="D130" s="128"/>
      <c r="E130" s="134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</row>
    <row r="131" customFormat="false" ht="15.75" hidden="false" customHeight="false" outlineLevel="0" collapsed="false">
      <c r="A131" s="128" t="str">
        <f aca="false">IF(ISBLANK(B131),"",B131&amp;"|"&amp;C131)</f>
        <v/>
      </c>
      <c r="B131" s="128"/>
      <c r="C131" s="128"/>
      <c r="D131" s="128"/>
      <c r="E131" s="134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</row>
    <row r="132" customFormat="false" ht="15.75" hidden="false" customHeight="false" outlineLevel="0" collapsed="false">
      <c r="A132" s="128" t="str">
        <f aca="false">IF(ISBLANK(B132),"",B132&amp;"|"&amp;C132)</f>
        <v/>
      </c>
      <c r="B132" s="128"/>
      <c r="C132" s="128"/>
      <c r="D132" s="128"/>
      <c r="E132" s="134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</row>
    <row r="133" customFormat="false" ht="15.75" hidden="false" customHeight="false" outlineLevel="0" collapsed="false">
      <c r="A133" s="128" t="str">
        <f aca="false">IF(ISBLANK(B133),"",B133&amp;"|"&amp;C133)</f>
        <v/>
      </c>
      <c r="B133" s="128"/>
      <c r="C133" s="128"/>
      <c r="D133" s="128"/>
      <c r="E133" s="134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</row>
    <row r="134" customFormat="false" ht="15.75" hidden="false" customHeight="false" outlineLevel="0" collapsed="false">
      <c r="A134" s="128" t="str">
        <f aca="false">IF(ISBLANK(B134),"",B134&amp;"|"&amp;C134)</f>
        <v/>
      </c>
      <c r="B134" s="128"/>
      <c r="C134" s="128"/>
      <c r="D134" s="128"/>
      <c r="E134" s="134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</row>
    <row r="135" customFormat="false" ht="15.75" hidden="false" customHeight="false" outlineLevel="0" collapsed="false">
      <c r="A135" s="128" t="str">
        <f aca="false">IF(ISBLANK(B135),"",B135&amp;"|"&amp;C135)</f>
        <v/>
      </c>
      <c r="B135" s="128"/>
      <c r="C135" s="128"/>
      <c r="D135" s="128"/>
      <c r="E135" s="134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</row>
    <row r="136" customFormat="false" ht="15.75" hidden="false" customHeight="false" outlineLevel="0" collapsed="false">
      <c r="A136" s="128" t="str">
        <f aca="false">IF(ISBLANK(B136),"",B136&amp;"|"&amp;C136)</f>
        <v/>
      </c>
      <c r="B136" s="128"/>
      <c r="C136" s="128"/>
      <c r="D136" s="128"/>
      <c r="E136" s="134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</row>
    <row r="137" customFormat="false" ht="15.75" hidden="false" customHeight="false" outlineLevel="0" collapsed="false">
      <c r="A137" s="128" t="str">
        <f aca="false">IF(ISBLANK(B137),"",B137&amp;"|"&amp;C137)</f>
        <v/>
      </c>
      <c r="B137" s="128"/>
      <c r="C137" s="128"/>
      <c r="D137" s="128"/>
      <c r="E137" s="134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</row>
    <row r="138" customFormat="false" ht="15.75" hidden="false" customHeight="false" outlineLevel="0" collapsed="false">
      <c r="A138" s="128" t="str">
        <f aca="false">IF(ISBLANK(B138),"",B138&amp;"|"&amp;C138)</f>
        <v/>
      </c>
      <c r="B138" s="128"/>
      <c r="C138" s="128"/>
      <c r="D138" s="128"/>
      <c r="E138" s="134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</row>
    <row r="139" customFormat="false" ht="15.75" hidden="false" customHeight="false" outlineLevel="0" collapsed="false">
      <c r="A139" s="128" t="str">
        <f aca="false">IF(ISBLANK(B139),"",B139&amp;"|"&amp;C139)</f>
        <v/>
      </c>
      <c r="B139" s="128"/>
      <c r="C139" s="128"/>
      <c r="D139" s="128"/>
      <c r="E139" s="134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</row>
    <row r="140" customFormat="false" ht="15.75" hidden="false" customHeight="false" outlineLevel="0" collapsed="false">
      <c r="A140" s="128" t="str">
        <f aca="false">IF(ISBLANK(B140),"",B140&amp;"|"&amp;C140)</f>
        <v/>
      </c>
      <c r="B140" s="128"/>
      <c r="C140" s="128"/>
      <c r="D140" s="128"/>
      <c r="E140" s="134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</row>
    <row r="141" customFormat="false" ht="15.75" hidden="false" customHeight="false" outlineLevel="0" collapsed="false">
      <c r="A141" s="128" t="str">
        <f aca="false">IF(ISBLANK(B141),"",B141&amp;"|"&amp;C141)</f>
        <v/>
      </c>
      <c r="B141" s="128"/>
      <c r="C141" s="128"/>
      <c r="D141" s="128"/>
      <c r="E141" s="134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</row>
    <row r="142" customFormat="false" ht="15.75" hidden="false" customHeight="false" outlineLevel="0" collapsed="false">
      <c r="A142" s="128" t="str">
        <f aca="false">IF(ISBLANK(B142),"",B142&amp;"|"&amp;C142)</f>
        <v/>
      </c>
      <c r="B142" s="128"/>
      <c r="C142" s="128"/>
      <c r="D142" s="128"/>
      <c r="E142" s="134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</row>
    <row r="143" customFormat="false" ht="15.75" hidden="false" customHeight="false" outlineLevel="0" collapsed="false">
      <c r="A143" s="128" t="str">
        <f aca="false">IF(ISBLANK(B143),"",B143&amp;"|"&amp;C143)</f>
        <v/>
      </c>
      <c r="B143" s="128"/>
      <c r="C143" s="128"/>
      <c r="D143" s="128"/>
      <c r="E143" s="134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</row>
    <row r="144" customFormat="false" ht="15.75" hidden="false" customHeight="false" outlineLevel="0" collapsed="false">
      <c r="A144" s="128" t="str">
        <f aca="false">IF(ISBLANK(B144),"",B144&amp;"|"&amp;C144)</f>
        <v/>
      </c>
      <c r="B144" s="128"/>
      <c r="C144" s="128"/>
      <c r="D144" s="128"/>
      <c r="E144" s="134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</row>
    <row r="145" customFormat="false" ht="15.75" hidden="false" customHeight="false" outlineLevel="0" collapsed="false">
      <c r="A145" s="128" t="str">
        <f aca="false">IF(ISBLANK(B145),"",B145&amp;"|"&amp;C145)</f>
        <v/>
      </c>
      <c r="B145" s="128"/>
      <c r="C145" s="128"/>
      <c r="D145" s="128"/>
      <c r="E145" s="134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</row>
    <row r="146" customFormat="false" ht="15.75" hidden="false" customHeight="false" outlineLevel="0" collapsed="false">
      <c r="A146" s="128" t="str">
        <f aca="false">IF(ISBLANK(B146),"",B146&amp;"|"&amp;C146)</f>
        <v/>
      </c>
      <c r="B146" s="128"/>
      <c r="C146" s="128"/>
      <c r="D146" s="128"/>
      <c r="E146" s="134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</row>
    <row r="147" customFormat="false" ht="15.75" hidden="false" customHeight="false" outlineLevel="0" collapsed="false">
      <c r="A147" s="128" t="str">
        <f aca="false">IF(ISBLANK(B147),"",B147&amp;"|"&amp;C147)</f>
        <v/>
      </c>
      <c r="B147" s="128"/>
      <c r="C147" s="128"/>
      <c r="D147" s="128"/>
      <c r="E147" s="134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</row>
    <row r="148" customFormat="false" ht="15.75" hidden="false" customHeight="false" outlineLevel="0" collapsed="false">
      <c r="A148" s="128" t="str">
        <f aca="false">IF(ISBLANK(B148),"",B148&amp;"|"&amp;C148)</f>
        <v/>
      </c>
      <c r="B148" s="128"/>
      <c r="C148" s="128"/>
      <c r="D148" s="128"/>
      <c r="E148" s="134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</row>
    <row r="149" customFormat="false" ht="15.75" hidden="false" customHeight="false" outlineLevel="0" collapsed="false">
      <c r="A149" s="128" t="str">
        <f aca="false">IF(ISBLANK(B149),"",B149&amp;"|"&amp;C149)</f>
        <v/>
      </c>
      <c r="B149" s="128"/>
      <c r="C149" s="128"/>
      <c r="D149" s="128"/>
      <c r="E149" s="134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</row>
    <row r="150" customFormat="false" ht="15.75" hidden="false" customHeight="false" outlineLevel="0" collapsed="false">
      <c r="A150" s="128" t="str">
        <f aca="false">IF(ISBLANK(B150),"",B150&amp;"|"&amp;C150)</f>
        <v/>
      </c>
      <c r="B150" s="128"/>
      <c r="C150" s="128"/>
      <c r="D150" s="128"/>
      <c r="E150" s="134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</row>
    <row r="151" customFormat="false" ht="15.75" hidden="false" customHeight="false" outlineLevel="0" collapsed="false">
      <c r="A151" s="128" t="str">
        <f aca="false">IF(ISBLANK(B151),"",B151&amp;"|"&amp;C151)</f>
        <v/>
      </c>
      <c r="B151" s="128"/>
      <c r="C151" s="128"/>
      <c r="D151" s="128"/>
      <c r="E151" s="134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</row>
    <row r="152" customFormat="false" ht="15.75" hidden="false" customHeight="false" outlineLevel="0" collapsed="false">
      <c r="A152" s="128" t="str">
        <f aca="false">IF(ISBLANK(B152),"",B152&amp;"|"&amp;C152)</f>
        <v/>
      </c>
      <c r="B152" s="128"/>
      <c r="C152" s="128"/>
      <c r="D152" s="128"/>
      <c r="E152" s="134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</row>
    <row r="153" customFormat="false" ht="15.75" hidden="false" customHeight="false" outlineLevel="0" collapsed="false">
      <c r="A153" s="128" t="str">
        <f aca="false">IF(ISBLANK(B153),"",B153&amp;"|"&amp;C153)</f>
        <v/>
      </c>
      <c r="B153" s="128"/>
      <c r="C153" s="128"/>
      <c r="D153" s="128"/>
      <c r="E153" s="134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</row>
    <row r="154" customFormat="false" ht="15.75" hidden="false" customHeight="false" outlineLevel="0" collapsed="false">
      <c r="A154" s="128" t="str">
        <f aca="false">IF(ISBLANK(B154),"",B154&amp;"|"&amp;C154)</f>
        <v/>
      </c>
      <c r="B154" s="128"/>
      <c r="C154" s="128"/>
      <c r="D154" s="128"/>
      <c r="E154" s="134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</row>
    <row r="155" customFormat="false" ht="15.75" hidden="false" customHeight="false" outlineLevel="0" collapsed="false">
      <c r="A155" s="128" t="str">
        <f aca="false">IF(ISBLANK(B155),"",B155&amp;"|"&amp;C155)</f>
        <v/>
      </c>
      <c r="B155" s="128"/>
      <c r="C155" s="128"/>
      <c r="D155" s="128"/>
      <c r="E155" s="134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</row>
    <row r="156" customFormat="false" ht="15.75" hidden="false" customHeight="false" outlineLevel="0" collapsed="false">
      <c r="A156" s="128" t="str">
        <f aca="false">IF(ISBLANK(B156),"",B156&amp;"|"&amp;C156)</f>
        <v/>
      </c>
      <c r="B156" s="128"/>
      <c r="C156" s="128"/>
      <c r="D156" s="128"/>
      <c r="E156" s="134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</row>
    <row r="157" customFormat="false" ht="15.75" hidden="false" customHeight="false" outlineLevel="0" collapsed="false">
      <c r="A157" s="128" t="str">
        <f aca="false">IF(ISBLANK(B157),"",B157&amp;"|"&amp;C157)</f>
        <v/>
      </c>
      <c r="B157" s="128"/>
      <c r="C157" s="128"/>
      <c r="D157" s="128"/>
      <c r="E157" s="134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</row>
    <row r="158" customFormat="false" ht="15.75" hidden="false" customHeight="false" outlineLevel="0" collapsed="false">
      <c r="A158" s="128" t="str">
        <f aca="false">IF(ISBLANK(B158),"",B158&amp;"|"&amp;C158)</f>
        <v/>
      </c>
      <c r="B158" s="128"/>
      <c r="C158" s="128"/>
      <c r="D158" s="128"/>
      <c r="E158" s="134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</row>
    <row r="159" customFormat="false" ht="15.75" hidden="false" customHeight="false" outlineLevel="0" collapsed="false">
      <c r="A159" s="128" t="str">
        <f aca="false">IF(ISBLANK(B159),"",B159&amp;"|"&amp;C159)</f>
        <v/>
      </c>
      <c r="B159" s="128"/>
      <c r="C159" s="128"/>
      <c r="D159" s="128"/>
      <c r="E159" s="134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</row>
    <row r="160" customFormat="false" ht="15.75" hidden="false" customHeight="false" outlineLevel="0" collapsed="false">
      <c r="A160" s="128" t="str">
        <f aca="false">IF(ISBLANK(B160),"",B160&amp;"|"&amp;C160)</f>
        <v/>
      </c>
      <c r="B160" s="128"/>
      <c r="C160" s="128"/>
      <c r="D160" s="128"/>
      <c r="E160" s="134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</row>
    <row r="161" customFormat="false" ht="15.75" hidden="false" customHeight="false" outlineLevel="0" collapsed="false">
      <c r="A161" s="128" t="str">
        <f aca="false">IF(ISBLANK(B161),"",B161&amp;"|"&amp;C161)</f>
        <v/>
      </c>
      <c r="B161" s="128"/>
      <c r="C161" s="128"/>
      <c r="D161" s="128"/>
      <c r="E161" s="134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</row>
    <row r="162" customFormat="false" ht="15.75" hidden="false" customHeight="false" outlineLevel="0" collapsed="false">
      <c r="A162" s="128" t="str">
        <f aca="false">IF(ISBLANK(B162),"",B162&amp;"|"&amp;C162)</f>
        <v/>
      </c>
      <c r="B162" s="128"/>
      <c r="C162" s="128"/>
      <c r="D162" s="128"/>
      <c r="E162" s="134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</row>
    <row r="163" customFormat="false" ht="15.75" hidden="false" customHeight="false" outlineLevel="0" collapsed="false">
      <c r="A163" s="128" t="str">
        <f aca="false">IF(ISBLANK(B163),"",B163&amp;"|"&amp;C163)</f>
        <v/>
      </c>
      <c r="B163" s="128"/>
      <c r="C163" s="128"/>
      <c r="D163" s="128"/>
      <c r="E163" s="134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</row>
    <row r="164" customFormat="false" ht="15.75" hidden="false" customHeight="false" outlineLevel="0" collapsed="false">
      <c r="A164" s="128" t="str">
        <f aca="false">IF(ISBLANK(B164),"",B164&amp;"|"&amp;C164)</f>
        <v/>
      </c>
      <c r="B164" s="128"/>
      <c r="C164" s="128"/>
      <c r="D164" s="128"/>
      <c r="E164" s="134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</row>
    <row r="165" customFormat="false" ht="15.75" hidden="false" customHeight="false" outlineLevel="0" collapsed="false">
      <c r="A165" s="128" t="str">
        <f aca="false">IF(ISBLANK(B165),"",B165&amp;"|"&amp;C165)</f>
        <v/>
      </c>
      <c r="B165" s="128"/>
      <c r="C165" s="128"/>
      <c r="D165" s="128"/>
      <c r="E165" s="134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</row>
    <row r="166" customFormat="false" ht="15.75" hidden="false" customHeight="false" outlineLevel="0" collapsed="false">
      <c r="A166" s="128" t="str">
        <f aca="false">IF(ISBLANK(B166),"",B166&amp;"|"&amp;C166)</f>
        <v/>
      </c>
      <c r="B166" s="128"/>
      <c r="C166" s="128"/>
      <c r="D166" s="128"/>
      <c r="E166" s="134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</row>
    <row r="167" customFormat="false" ht="15.75" hidden="false" customHeight="false" outlineLevel="0" collapsed="false">
      <c r="A167" s="128" t="str">
        <f aca="false">IF(ISBLANK(B167),"",B167&amp;"|"&amp;C167)</f>
        <v/>
      </c>
      <c r="B167" s="128"/>
      <c r="C167" s="128"/>
      <c r="D167" s="128"/>
      <c r="E167" s="134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</row>
    <row r="168" customFormat="false" ht="15.75" hidden="false" customHeight="false" outlineLevel="0" collapsed="false">
      <c r="A168" s="128" t="str">
        <f aca="false">IF(ISBLANK(B168),"",B168&amp;"|"&amp;C168)</f>
        <v/>
      </c>
      <c r="B168" s="128"/>
      <c r="C168" s="128"/>
      <c r="D168" s="128"/>
      <c r="E168" s="134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</row>
    <row r="169" customFormat="false" ht="15.75" hidden="false" customHeight="false" outlineLevel="0" collapsed="false">
      <c r="A169" s="128" t="str">
        <f aca="false">IF(ISBLANK(B169),"",B169&amp;"|"&amp;C169)</f>
        <v/>
      </c>
      <c r="B169" s="128"/>
      <c r="C169" s="128"/>
      <c r="D169" s="128"/>
      <c r="E169" s="134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</row>
    <row r="170" customFormat="false" ht="15.75" hidden="false" customHeight="false" outlineLevel="0" collapsed="false">
      <c r="A170" s="128" t="str">
        <f aca="false">IF(ISBLANK(B170),"",B170&amp;"|"&amp;C170)</f>
        <v/>
      </c>
      <c r="B170" s="128"/>
      <c r="C170" s="128"/>
      <c r="D170" s="128"/>
      <c r="E170" s="134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</row>
    <row r="171" customFormat="false" ht="15.75" hidden="false" customHeight="false" outlineLevel="0" collapsed="false">
      <c r="A171" s="128" t="str">
        <f aca="false">IF(ISBLANK(B171),"",B171&amp;"|"&amp;C171)</f>
        <v/>
      </c>
      <c r="B171" s="128"/>
      <c r="C171" s="128"/>
      <c r="D171" s="128"/>
      <c r="E171" s="134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</row>
    <row r="172" customFormat="false" ht="15.75" hidden="false" customHeight="false" outlineLevel="0" collapsed="false">
      <c r="A172" s="128" t="str">
        <f aca="false">IF(ISBLANK(B172),"",B172&amp;"|"&amp;C172)</f>
        <v/>
      </c>
      <c r="B172" s="128"/>
      <c r="C172" s="128"/>
      <c r="D172" s="128"/>
      <c r="E172" s="134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</row>
    <row r="173" customFormat="false" ht="15.75" hidden="false" customHeight="false" outlineLevel="0" collapsed="false">
      <c r="A173" s="128" t="str">
        <f aca="false">IF(ISBLANK(B173),"",B173&amp;"|"&amp;C173)</f>
        <v/>
      </c>
      <c r="B173" s="128"/>
      <c r="C173" s="128"/>
      <c r="D173" s="128"/>
      <c r="E173" s="134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</row>
    <row r="174" customFormat="false" ht="15.75" hidden="false" customHeight="false" outlineLevel="0" collapsed="false">
      <c r="A174" s="128" t="str">
        <f aca="false">IF(ISBLANK(B174),"",B174&amp;"|"&amp;C174)</f>
        <v/>
      </c>
      <c r="B174" s="128"/>
      <c r="C174" s="128"/>
      <c r="D174" s="128"/>
      <c r="E174" s="134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</row>
    <row r="175" customFormat="false" ht="15.75" hidden="false" customHeight="false" outlineLevel="0" collapsed="false">
      <c r="A175" s="128" t="str">
        <f aca="false">IF(ISBLANK(B175),"",B175&amp;"|"&amp;C175)</f>
        <v/>
      </c>
      <c r="B175" s="128"/>
      <c r="C175" s="128"/>
      <c r="D175" s="128"/>
      <c r="E175" s="134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</row>
    <row r="176" customFormat="false" ht="15.75" hidden="false" customHeight="false" outlineLevel="0" collapsed="false">
      <c r="A176" s="128" t="str">
        <f aca="false">IF(ISBLANK(B176),"",B176&amp;"|"&amp;C176)</f>
        <v/>
      </c>
      <c r="B176" s="128"/>
      <c r="C176" s="128"/>
      <c r="D176" s="128"/>
      <c r="E176" s="134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</row>
    <row r="177" customFormat="false" ht="15.75" hidden="false" customHeight="false" outlineLevel="0" collapsed="false">
      <c r="A177" s="128" t="str">
        <f aca="false">IF(ISBLANK(B177),"",B177&amp;"|"&amp;C177)</f>
        <v/>
      </c>
      <c r="B177" s="128"/>
      <c r="C177" s="128"/>
      <c r="D177" s="128"/>
      <c r="E177" s="134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</row>
    <row r="178" customFormat="false" ht="15.75" hidden="false" customHeight="false" outlineLevel="0" collapsed="false">
      <c r="A178" s="128" t="str">
        <f aca="false">IF(ISBLANK(B178),"",B178&amp;"|"&amp;C178)</f>
        <v/>
      </c>
      <c r="B178" s="128"/>
      <c r="C178" s="128"/>
      <c r="D178" s="128"/>
      <c r="E178" s="134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</row>
    <row r="179" customFormat="false" ht="15.75" hidden="false" customHeight="false" outlineLevel="0" collapsed="false">
      <c r="A179" s="128" t="str">
        <f aca="false">IF(ISBLANK(B179),"",B179&amp;"|"&amp;C179)</f>
        <v/>
      </c>
      <c r="B179" s="128"/>
      <c r="C179" s="128"/>
      <c r="D179" s="128"/>
      <c r="E179" s="134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</row>
    <row r="180" customFormat="false" ht="15.75" hidden="false" customHeight="false" outlineLevel="0" collapsed="false">
      <c r="A180" s="128" t="str">
        <f aca="false">IF(ISBLANK(B180),"",B180&amp;"|"&amp;C180)</f>
        <v/>
      </c>
      <c r="B180" s="128"/>
      <c r="C180" s="128"/>
      <c r="D180" s="128"/>
      <c r="E180" s="134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</row>
    <row r="181" customFormat="false" ht="15.75" hidden="false" customHeight="false" outlineLevel="0" collapsed="false">
      <c r="A181" s="128" t="str">
        <f aca="false">IF(ISBLANK(B181),"",B181&amp;"|"&amp;C181)</f>
        <v/>
      </c>
      <c r="B181" s="128"/>
      <c r="C181" s="128"/>
      <c r="D181" s="128"/>
      <c r="E181" s="134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</row>
    <row r="182" customFormat="false" ht="15.75" hidden="false" customHeight="false" outlineLevel="0" collapsed="false">
      <c r="A182" s="128" t="str">
        <f aca="false">IF(ISBLANK(B182),"",B182&amp;"|"&amp;C182)</f>
        <v/>
      </c>
      <c r="B182" s="128"/>
      <c r="C182" s="128"/>
      <c r="D182" s="128"/>
      <c r="E182" s="134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</row>
    <row r="183" customFormat="false" ht="15.75" hidden="false" customHeight="false" outlineLevel="0" collapsed="false">
      <c r="A183" s="128" t="str">
        <f aca="false">IF(ISBLANK(B183),"",B183&amp;"|"&amp;C183)</f>
        <v/>
      </c>
      <c r="B183" s="128"/>
      <c r="C183" s="128"/>
      <c r="D183" s="128"/>
      <c r="E183" s="134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</row>
    <row r="184" customFormat="false" ht="15.75" hidden="false" customHeight="false" outlineLevel="0" collapsed="false">
      <c r="A184" s="128" t="str">
        <f aca="false">IF(ISBLANK(B184),"",B184&amp;"|"&amp;C184)</f>
        <v/>
      </c>
      <c r="B184" s="128"/>
      <c r="C184" s="128"/>
      <c r="D184" s="128"/>
      <c r="E184" s="134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</row>
    <row r="185" customFormat="false" ht="15.75" hidden="false" customHeight="false" outlineLevel="0" collapsed="false">
      <c r="A185" s="128" t="str">
        <f aca="false">IF(ISBLANK(B185),"",B185&amp;"|"&amp;C185)</f>
        <v/>
      </c>
      <c r="B185" s="128"/>
      <c r="C185" s="128"/>
      <c r="D185" s="128"/>
      <c r="E185" s="134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</row>
    <row r="186" customFormat="false" ht="15.75" hidden="false" customHeight="false" outlineLevel="0" collapsed="false">
      <c r="A186" s="128" t="str">
        <f aca="false">IF(ISBLANK(B186),"",B186&amp;"|"&amp;C186)</f>
        <v/>
      </c>
      <c r="B186" s="128"/>
      <c r="C186" s="128"/>
      <c r="D186" s="128"/>
      <c r="E186" s="134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</row>
    <row r="187" customFormat="false" ht="15.75" hidden="false" customHeight="false" outlineLevel="0" collapsed="false">
      <c r="A187" s="128" t="str">
        <f aca="false">IF(ISBLANK(B187),"",B187&amp;"|"&amp;C187)</f>
        <v/>
      </c>
      <c r="B187" s="128"/>
      <c r="C187" s="128"/>
      <c r="D187" s="128"/>
      <c r="E187" s="134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</row>
    <row r="188" customFormat="false" ht="15.75" hidden="false" customHeight="false" outlineLevel="0" collapsed="false">
      <c r="A188" s="128" t="str">
        <f aca="false">IF(ISBLANK(B188),"",B188&amp;"|"&amp;C188)</f>
        <v/>
      </c>
      <c r="B188" s="128"/>
      <c r="C188" s="128"/>
      <c r="D188" s="128"/>
      <c r="E188" s="134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</row>
    <row r="189" customFormat="false" ht="15.75" hidden="false" customHeight="false" outlineLevel="0" collapsed="false">
      <c r="A189" s="128" t="str">
        <f aca="false">IF(ISBLANK(B189),"",B189&amp;"|"&amp;C189)</f>
        <v/>
      </c>
      <c r="B189" s="128"/>
      <c r="C189" s="128"/>
      <c r="D189" s="128"/>
      <c r="E189" s="134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</row>
    <row r="190" customFormat="false" ht="15.75" hidden="false" customHeight="false" outlineLevel="0" collapsed="false">
      <c r="A190" s="128" t="str">
        <f aca="false">IF(ISBLANK(B190),"",B190&amp;"|"&amp;C190)</f>
        <v/>
      </c>
      <c r="B190" s="128"/>
      <c r="C190" s="128"/>
      <c r="D190" s="128"/>
      <c r="E190" s="134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</row>
    <row r="191" customFormat="false" ht="15.75" hidden="false" customHeight="false" outlineLevel="0" collapsed="false">
      <c r="A191" s="128" t="str">
        <f aca="false">IF(ISBLANK(B191),"",B191&amp;"|"&amp;C191)</f>
        <v/>
      </c>
      <c r="B191" s="128"/>
      <c r="C191" s="128"/>
      <c r="D191" s="128"/>
      <c r="E191" s="134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</row>
    <row r="192" customFormat="false" ht="15.75" hidden="false" customHeight="false" outlineLevel="0" collapsed="false">
      <c r="A192" s="128" t="str">
        <f aca="false">IF(ISBLANK(B192),"",B192&amp;"|"&amp;C192)</f>
        <v/>
      </c>
      <c r="B192" s="128"/>
      <c r="C192" s="128"/>
      <c r="D192" s="128"/>
      <c r="E192" s="134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</row>
    <row r="193" customFormat="false" ht="15.75" hidden="false" customHeight="false" outlineLevel="0" collapsed="false">
      <c r="A193" s="128" t="str">
        <f aca="false">IF(ISBLANK(B193),"",B193&amp;"|"&amp;C193)</f>
        <v/>
      </c>
      <c r="B193" s="128"/>
      <c r="C193" s="128"/>
      <c r="D193" s="128"/>
      <c r="E193" s="134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</row>
    <row r="194" customFormat="false" ht="15.75" hidden="false" customHeight="false" outlineLevel="0" collapsed="false">
      <c r="A194" s="128" t="str">
        <f aca="false">IF(ISBLANK(B194),"",B194&amp;"|"&amp;C194)</f>
        <v/>
      </c>
      <c r="B194" s="128"/>
      <c r="C194" s="128"/>
      <c r="D194" s="128"/>
      <c r="E194" s="134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</row>
    <row r="195" customFormat="false" ht="15.75" hidden="false" customHeight="false" outlineLevel="0" collapsed="false">
      <c r="A195" s="128" t="str">
        <f aca="false">IF(ISBLANK(B195),"",B195&amp;"|"&amp;C195)</f>
        <v/>
      </c>
      <c r="B195" s="128"/>
      <c r="C195" s="128"/>
      <c r="D195" s="128"/>
      <c r="E195" s="134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</row>
    <row r="196" customFormat="false" ht="15.75" hidden="false" customHeight="false" outlineLevel="0" collapsed="false">
      <c r="A196" s="128" t="str">
        <f aca="false">IF(ISBLANK(B196),"",B196&amp;"|"&amp;C196)</f>
        <v/>
      </c>
      <c r="B196" s="128"/>
      <c r="C196" s="128"/>
      <c r="D196" s="128"/>
      <c r="E196" s="134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</row>
    <row r="197" customFormat="false" ht="15.75" hidden="false" customHeight="false" outlineLevel="0" collapsed="false">
      <c r="A197" s="128" t="str">
        <f aca="false">IF(ISBLANK(B197),"",B197&amp;"|"&amp;C197)</f>
        <v/>
      </c>
      <c r="B197" s="128"/>
      <c r="C197" s="128"/>
      <c r="D197" s="128"/>
      <c r="E197" s="134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</row>
    <row r="198" customFormat="false" ht="15.75" hidden="false" customHeight="false" outlineLevel="0" collapsed="false">
      <c r="A198" s="128" t="str">
        <f aca="false">IF(ISBLANK(B198),"",B198&amp;"|"&amp;C198)</f>
        <v/>
      </c>
      <c r="B198" s="128"/>
      <c r="C198" s="128"/>
      <c r="D198" s="128"/>
      <c r="E198" s="134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</row>
    <row r="199" customFormat="false" ht="15.75" hidden="false" customHeight="false" outlineLevel="0" collapsed="false">
      <c r="A199" s="128" t="str">
        <f aca="false">IF(ISBLANK(B199),"",B199&amp;"|"&amp;C199)</f>
        <v/>
      </c>
      <c r="B199" s="128"/>
      <c r="C199" s="128"/>
      <c r="D199" s="128"/>
      <c r="E199" s="134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</row>
    <row r="200" customFormat="false" ht="15.75" hidden="false" customHeight="false" outlineLevel="0" collapsed="false">
      <c r="A200" s="128" t="str">
        <f aca="false">IF(ISBLANK(B200),"",B200&amp;"|"&amp;C200)</f>
        <v/>
      </c>
      <c r="B200" s="128"/>
      <c r="C200" s="128"/>
      <c r="D200" s="128"/>
      <c r="E200" s="134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</row>
    <row r="201" customFormat="false" ht="15.75" hidden="false" customHeight="false" outlineLevel="0" collapsed="false">
      <c r="A201" s="128" t="str">
        <f aca="false">IF(ISBLANK(B201),"",B201&amp;"|"&amp;C201)</f>
        <v/>
      </c>
      <c r="B201" s="128"/>
      <c r="C201" s="128"/>
      <c r="D201" s="128"/>
      <c r="E201" s="134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</row>
    <row r="202" customFormat="false" ht="15.75" hidden="false" customHeight="false" outlineLevel="0" collapsed="false">
      <c r="A202" s="128" t="str">
        <f aca="false">IF(ISBLANK(B202),"",B202&amp;"|"&amp;C202)</f>
        <v/>
      </c>
      <c r="B202" s="128"/>
      <c r="C202" s="128"/>
      <c r="D202" s="128"/>
      <c r="E202" s="134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</row>
    <row r="203" customFormat="false" ht="15.75" hidden="false" customHeight="false" outlineLevel="0" collapsed="false">
      <c r="A203" s="128" t="str">
        <f aca="false">IF(ISBLANK(B203),"",B203&amp;"|"&amp;C203)</f>
        <v/>
      </c>
      <c r="B203" s="128"/>
      <c r="C203" s="128"/>
      <c r="D203" s="128"/>
      <c r="E203" s="134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</row>
    <row r="204" customFormat="false" ht="15.75" hidden="false" customHeight="false" outlineLevel="0" collapsed="false">
      <c r="A204" s="128" t="str">
        <f aca="false">IF(ISBLANK(B204),"",B204&amp;"|"&amp;C204)</f>
        <v/>
      </c>
      <c r="B204" s="128"/>
      <c r="C204" s="128"/>
      <c r="D204" s="128"/>
      <c r="E204" s="134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</row>
    <row r="205" customFormat="false" ht="15.75" hidden="false" customHeight="false" outlineLevel="0" collapsed="false">
      <c r="A205" s="128" t="str">
        <f aca="false">IF(ISBLANK(B205),"",B205&amp;"|"&amp;C205)</f>
        <v/>
      </c>
      <c r="B205" s="128"/>
      <c r="C205" s="128"/>
      <c r="D205" s="128"/>
      <c r="E205" s="134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</row>
    <row r="206" customFormat="false" ht="15.75" hidden="false" customHeight="false" outlineLevel="0" collapsed="false">
      <c r="A206" s="128" t="str">
        <f aca="false">IF(ISBLANK(B206),"",B206&amp;"|"&amp;C206)</f>
        <v/>
      </c>
      <c r="B206" s="128"/>
      <c r="C206" s="128"/>
      <c r="D206" s="128"/>
      <c r="E206" s="134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</row>
    <row r="207" customFormat="false" ht="15.75" hidden="false" customHeight="false" outlineLevel="0" collapsed="false">
      <c r="A207" s="128" t="str">
        <f aca="false">IF(ISBLANK(B207),"",B207&amp;"|"&amp;C207)</f>
        <v/>
      </c>
      <c r="B207" s="128"/>
      <c r="C207" s="128"/>
      <c r="D207" s="128"/>
      <c r="E207" s="134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</row>
    <row r="208" customFormat="false" ht="15.75" hidden="false" customHeight="false" outlineLevel="0" collapsed="false">
      <c r="A208" s="128" t="str">
        <f aca="false">IF(ISBLANK(B208),"",B208&amp;"|"&amp;C208)</f>
        <v/>
      </c>
      <c r="B208" s="128"/>
      <c r="C208" s="128"/>
      <c r="D208" s="128"/>
      <c r="E208" s="134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</row>
    <row r="209" customFormat="false" ht="15.75" hidden="false" customHeight="false" outlineLevel="0" collapsed="false">
      <c r="A209" s="128" t="str">
        <f aca="false">IF(ISBLANK(B209),"",B209&amp;"|"&amp;C209)</f>
        <v/>
      </c>
      <c r="B209" s="128"/>
      <c r="C209" s="128"/>
      <c r="D209" s="128"/>
      <c r="E209" s="134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</row>
    <row r="210" customFormat="false" ht="15.75" hidden="false" customHeight="false" outlineLevel="0" collapsed="false">
      <c r="A210" s="128" t="str">
        <f aca="false">IF(ISBLANK(B210),"",B210&amp;"|"&amp;C210)</f>
        <v/>
      </c>
      <c r="B210" s="128"/>
      <c r="C210" s="128"/>
      <c r="D210" s="128"/>
      <c r="E210" s="134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</row>
    <row r="211" customFormat="false" ht="15.75" hidden="false" customHeight="false" outlineLevel="0" collapsed="false">
      <c r="A211" s="128" t="str">
        <f aca="false">IF(ISBLANK(B211),"",B211&amp;"|"&amp;C211)</f>
        <v/>
      </c>
      <c r="B211" s="128"/>
      <c r="C211" s="128"/>
      <c r="D211" s="128"/>
      <c r="E211" s="134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</row>
    <row r="212" customFormat="false" ht="15.75" hidden="false" customHeight="false" outlineLevel="0" collapsed="false">
      <c r="A212" s="128" t="str">
        <f aca="false">IF(ISBLANK(B212),"",B212&amp;"|"&amp;C212)</f>
        <v/>
      </c>
      <c r="B212" s="128"/>
      <c r="C212" s="128"/>
      <c r="D212" s="128"/>
      <c r="E212" s="134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</row>
    <row r="213" customFormat="false" ht="15.75" hidden="false" customHeight="false" outlineLevel="0" collapsed="false">
      <c r="A213" s="128" t="str">
        <f aca="false">IF(ISBLANK(B213),"",B213&amp;"|"&amp;C213)</f>
        <v/>
      </c>
      <c r="B213" s="128"/>
      <c r="C213" s="128"/>
      <c r="D213" s="128"/>
      <c r="E213" s="134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</row>
    <row r="214" customFormat="false" ht="15.75" hidden="false" customHeight="false" outlineLevel="0" collapsed="false">
      <c r="A214" s="128" t="str">
        <f aca="false">IF(ISBLANK(B214),"",B214&amp;"|"&amp;C214)</f>
        <v/>
      </c>
      <c r="B214" s="128"/>
      <c r="C214" s="128"/>
      <c r="D214" s="128"/>
      <c r="E214" s="134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</row>
    <row r="215" customFormat="false" ht="15.75" hidden="false" customHeight="false" outlineLevel="0" collapsed="false">
      <c r="A215" s="128" t="str">
        <f aca="false">IF(ISBLANK(B215),"",B215&amp;"|"&amp;C215)</f>
        <v/>
      </c>
      <c r="B215" s="128"/>
      <c r="C215" s="128"/>
      <c r="D215" s="128"/>
      <c r="E215" s="134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</row>
    <row r="216" customFormat="false" ht="15.75" hidden="false" customHeight="false" outlineLevel="0" collapsed="false">
      <c r="A216" s="128" t="str">
        <f aca="false">IF(ISBLANK(B216),"",B216&amp;"|"&amp;C216)</f>
        <v/>
      </c>
      <c r="B216" s="128"/>
      <c r="C216" s="128"/>
      <c r="D216" s="128"/>
      <c r="E216" s="134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</row>
    <row r="217" customFormat="false" ht="15.75" hidden="false" customHeight="false" outlineLevel="0" collapsed="false">
      <c r="A217" s="128" t="str">
        <f aca="false">IF(ISBLANK(B217),"",B217&amp;"|"&amp;C217)</f>
        <v/>
      </c>
      <c r="B217" s="128"/>
      <c r="C217" s="128"/>
      <c r="D217" s="128"/>
      <c r="E217" s="134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</row>
    <row r="218" customFormat="false" ht="15.75" hidden="false" customHeight="false" outlineLevel="0" collapsed="false">
      <c r="A218" s="128" t="str">
        <f aca="false">IF(ISBLANK(B218),"",B218&amp;"|"&amp;C218)</f>
        <v/>
      </c>
      <c r="B218" s="128"/>
      <c r="C218" s="128"/>
      <c r="D218" s="128"/>
      <c r="E218" s="134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</row>
    <row r="219" customFormat="false" ht="15.75" hidden="false" customHeight="false" outlineLevel="0" collapsed="false">
      <c r="A219" s="128" t="str">
        <f aca="false">IF(ISBLANK(B219),"",B219&amp;"|"&amp;C219)</f>
        <v/>
      </c>
      <c r="B219" s="128"/>
      <c r="C219" s="128"/>
      <c r="D219" s="128"/>
      <c r="E219" s="134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</row>
    <row r="220" customFormat="false" ht="15.75" hidden="false" customHeight="false" outlineLevel="0" collapsed="false">
      <c r="A220" s="128" t="str">
        <f aca="false">IF(ISBLANK(B220),"",B220&amp;"|"&amp;C220)</f>
        <v/>
      </c>
      <c r="B220" s="128"/>
      <c r="C220" s="128"/>
      <c r="D220" s="128"/>
      <c r="E220" s="134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</row>
    <row r="221" customFormat="false" ht="15.75" hidden="false" customHeight="false" outlineLevel="0" collapsed="false">
      <c r="A221" s="128" t="str">
        <f aca="false">IF(ISBLANK(B221),"",B221&amp;"|"&amp;C221)</f>
        <v/>
      </c>
      <c r="B221" s="128"/>
      <c r="C221" s="128"/>
      <c r="D221" s="128"/>
      <c r="E221" s="134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</row>
    <row r="222" customFormat="false" ht="15.75" hidden="false" customHeight="false" outlineLevel="0" collapsed="false">
      <c r="A222" s="128" t="str">
        <f aca="false">IF(ISBLANK(B222),"",B222&amp;"|"&amp;C222)</f>
        <v/>
      </c>
      <c r="B222" s="128"/>
      <c r="C222" s="128"/>
      <c r="D222" s="128"/>
      <c r="E222" s="134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</row>
    <row r="223" customFormat="false" ht="15.75" hidden="false" customHeight="false" outlineLevel="0" collapsed="false">
      <c r="A223" s="128" t="str">
        <f aca="false">IF(ISBLANK(B223),"",B223&amp;"|"&amp;C223)</f>
        <v/>
      </c>
      <c r="B223" s="128"/>
      <c r="C223" s="128"/>
      <c r="D223" s="128"/>
      <c r="E223" s="134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</row>
    <row r="224" customFormat="false" ht="15.75" hidden="false" customHeight="false" outlineLevel="0" collapsed="false">
      <c r="A224" s="128" t="str">
        <f aca="false">IF(ISBLANK(B224),"",B224&amp;"|"&amp;C224)</f>
        <v/>
      </c>
      <c r="B224" s="128"/>
      <c r="C224" s="128"/>
      <c r="D224" s="128"/>
      <c r="E224" s="134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</row>
    <row r="225" customFormat="false" ht="15.75" hidden="false" customHeight="false" outlineLevel="0" collapsed="false">
      <c r="A225" s="128" t="str">
        <f aca="false">IF(ISBLANK(B225),"",B225&amp;"|"&amp;C225)</f>
        <v/>
      </c>
      <c r="B225" s="128"/>
      <c r="C225" s="128"/>
      <c r="D225" s="128"/>
      <c r="E225" s="134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</row>
    <row r="226" customFormat="false" ht="15.75" hidden="false" customHeight="false" outlineLevel="0" collapsed="false">
      <c r="A226" s="128" t="str">
        <f aca="false">IF(ISBLANK(B226),"",B226&amp;"|"&amp;C226)</f>
        <v/>
      </c>
      <c r="B226" s="128"/>
      <c r="C226" s="128"/>
      <c r="D226" s="128"/>
      <c r="E226" s="134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</row>
    <row r="227" customFormat="false" ht="15.75" hidden="false" customHeight="false" outlineLevel="0" collapsed="false">
      <c r="A227" s="128" t="str">
        <f aca="false">IF(ISBLANK(B227),"",B227&amp;"|"&amp;C227)</f>
        <v/>
      </c>
      <c r="B227" s="128"/>
      <c r="C227" s="128"/>
      <c r="D227" s="128"/>
      <c r="E227" s="134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</row>
    <row r="228" customFormat="false" ht="15.75" hidden="false" customHeight="false" outlineLevel="0" collapsed="false">
      <c r="A228" s="128" t="str">
        <f aca="false">IF(ISBLANK(B228),"",B228&amp;"|"&amp;C228)</f>
        <v/>
      </c>
      <c r="B228" s="128"/>
      <c r="C228" s="128"/>
      <c r="D228" s="128"/>
      <c r="E228" s="134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</row>
    <row r="229" customFormat="false" ht="15.75" hidden="false" customHeight="false" outlineLevel="0" collapsed="false">
      <c r="A229" s="128" t="str">
        <f aca="false">IF(ISBLANK(B229),"",B229&amp;"|"&amp;C229)</f>
        <v/>
      </c>
      <c r="B229" s="128"/>
      <c r="C229" s="128"/>
      <c r="D229" s="128"/>
      <c r="E229" s="134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</row>
    <row r="230" customFormat="false" ht="15.75" hidden="false" customHeight="false" outlineLevel="0" collapsed="false">
      <c r="A230" s="128" t="str">
        <f aca="false">IF(ISBLANK(B230),"",B230&amp;"|"&amp;C230)</f>
        <v/>
      </c>
      <c r="B230" s="128"/>
      <c r="C230" s="128"/>
      <c r="D230" s="128"/>
      <c r="E230" s="134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</row>
    <row r="231" customFormat="false" ht="15.75" hidden="false" customHeight="false" outlineLevel="0" collapsed="false">
      <c r="A231" s="128" t="str">
        <f aca="false">IF(ISBLANK(B231),"",B231&amp;"|"&amp;C231)</f>
        <v/>
      </c>
      <c r="B231" s="128"/>
      <c r="C231" s="128"/>
      <c r="D231" s="128"/>
      <c r="E231" s="134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</row>
    <row r="232" customFormat="false" ht="15.75" hidden="false" customHeight="false" outlineLevel="0" collapsed="false">
      <c r="A232" s="128" t="str">
        <f aca="false">IF(ISBLANK(B232),"",B232&amp;"|"&amp;C232)</f>
        <v/>
      </c>
      <c r="B232" s="128"/>
      <c r="C232" s="128"/>
      <c r="D232" s="128"/>
      <c r="E232" s="134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</row>
    <row r="233" customFormat="false" ht="15.75" hidden="false" customHeight="false" outlineLevel="0" collapsed="false">
      <c r="A233" s="128" t="str">
        <f aca="false">IF(ISBLANK(B233),"",B233&amp;"|"&amp;C233)</f>
        <v/>
      </c>
      <c r="B233" s="128"/>
      <c r="C233" s="128"/>
      <c r="D233" s="128"/>
      <c r="E233" s="134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</row>
    <row r="234" customFormat="false" ht="15.75" hidden="false" customHeight="false" outlineLevel="0" collapsed="false">
      <c r="A234" s="128" t="str">
        <f aca="false">IF(ISBLANK(B234),"",B234&amp;"|"&amp;C234)</f>
        <v/>
      </c>
      <c r="B234" s="128"/>
      <c r="C234" s="128"/>
      <c r="D234" s="128"/>
      <c r="E234" s="134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</row>
    <row r="235" customFormat="false" ht="15.75" hidden="false" customHeight="false" outlineLevel="0" collapsed="false">
      <c r="A235" s="128" t="str">
        <f aca="false">IF(ISBLANK(B235),"",B235&amp;"|"&amp;C235)</f>
        <v/>
      </c>
      <c r="B235" s="128"/>
      <c r="C235" s="128"/>
      <c r="D235" s="128"/>
      <c r="E235" s="134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</row>
    <row r="236" customFormat="false" ht="15.75" hidden="false" customHeight="false" outlineLevel="0" collapsed="false">
      <c r="A236" s="128" t="str">
        <f aca="false">IF(ISBLANK(B236),"",B236&amp;"|"&amp;C236)</f>
        <v/>
      </c>
      <c r="B236" s="128"/>
      <c r="C236" s="128"/>
      <c r="D236" s="128"/>
      <c r="E236" s="134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</row>
    <row r="237" customFormat="false" ht="15.75" hidden="false" customHeight="false" outlineLevel="0" collapsed="false">
      <c r="A237" s="128" t="str">
        <f aca="false">IF(ISBLANK(B237),"",B237&amp;"|"&amp;C237)</f>
        <v/>
      </c>
      <c r="B237" s="128"/>
      <c r="C237" s="128"/>
      <c r="D237" s="128"/>
      <c r="E237" s="134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</row>
    <row r="238" customFormat="false" ht="15.75" hidden="false" customHeight="false" outlineLevel="0" collapsed="false">
      <c r="A238" s="128" t="str">
        <f aca="false">IF(ISBLANK(B238),"",B238&amp;"|"&amp;C238)</f>
        <v/>
      </c>
      <c r="B238" s="128"/>
      <c r="C238" s="128"/>
      <c r="D238" s="128"/>
      <c r="E238" s="134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</row>
    <row r="239" customFormat="false" ht="15.75" hidden="false" customHeight="false" outlineLevel="0" collapsed="false">
      <c r="A239" s="128" t="str">
        <f aca="false">IF(ISBLANK(B239),"",B239&amp;"|"&amp;C239)</f>
        <v/>
      </c>
      <c r="B239" s="128"/>
      <c r="C239" s="128"/>
      <c r="D239" s="128"/>
      <c r="E239" s="134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</row>
    <row r="240" customFormat="false" ht="15.75" hidden="false" customHeight="false" outlineLevel="0" collapsed="false">
      <c r="A240" s="128" t="str">
        <f aca="false">IF(ISBLANK(B240),"",B240&amp;"|"&amp;C240)</f>
        <v/>
      </c>
      <c r="B240" s="128"/>
      <c r="C240" s="128"/>
      <c r="D240" s="128"/>
      <c r="E240" s="134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</row>
    <row r="241" customFormat="false" ht="15.75" hidden="false" customHeight="false" outlineLevel="0" collapsed="false">
      <c r="A241" s="128" t="str">
        <f aca="false">IF(ISBLANK(B241),"",B241&amp;"|"&amp;C241)</f>
        <v/>
      </c>
      <c r="B241" s="128"/>
      <c r="C241" s="128"/>
      <c r="D241" s="128"/>
      <c r="E241" s="134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</row>
    <row r="242" customFormat="false" ht="15.75" hidden="false" customHeight="false" outlineLevel="0" collapsed="false">
      <c r="A242" s="128" t="str">
        <f aca="false">IF(ISBLANK(B242),"",B242&amp;"|"&amp;C242)</f>
        <v/>
      </c>
      <c r="B242" s="128"/>
      <c r="C242" s="128"/>
      <c r="D242" s="128"/>
      <c r="E242" s="134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</row>
    <row r="243" customFormat="false" ht="15.75" hidden="false" customHeight="false" outlineLevel="0" collapsed="false">
      <c r="A243" s="128" t="str">
        <f aca="false">IF(ISBLANK(B243),"",B243&amp;"|"&amp;C243)</f>
        <v/>
      </c>
      <c r="B243" s="128"/>
      <c r="C243" s="128"/>
      <c r="D243" s="128"/>
      <c r="E243" s="134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</row>
    <row r="244" customFormat="false" ht="15.75" hidden="false" customHeight="false" outlineLevel="0" collapsed="false">
      <c r="A244" s="128" t="str">
        <f aca="false">IF(ISBLANK(B244),"",B244&amp;"|"&amp;C244)</f>
        <v/>
      </c>
      <c r="B244" s="128"/>
      <c r="C244" s="128"/>
      <c r="D244" s="128"/>
      <c r="E244" s="134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</row>
    <row r="245" customFormat="false" ht="15.75" hidden="false" customHeight="false" outlineLevel="0" collapsed="false">
      <c r="A245" s="128" t="str">
        <f aca="false">IF(ISBLANK(B245),"",B245&amp;"|"&amp;C245)</f>
        <v/>
      </c>
      <c r="B245" s="128"/>
      <c r="C245" s="128"/>
      <c r="D245" s="128"/>
      <c r="E245" s="134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</row>
    <row r="246" customFormat="false" ht="15.75" hidden="false" customHeight="false" outlineLevel="0" collapsed="false">
      <c r="A246" s="128" t="str">
        <f aca="false">IF(ISBLANK(B246),"",B246&amp;"|"&amp;C246)</f>
        <v/>
      </c>
      <c r="B246" s="128"/>
      <c r="C246" s="128"/>
      <c r="D246" s="128"/>
      <c r="E246" s="134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</row>
    <row r="247" customFormat="false" ht="15.75" hidden="false" customHeight="false" outlineLevel="0" collapsed="false">
      <c r="A247" s="128" t="str">
        <f aca="false">IF(ISBLANK(B247),"",B247&amp;"|"&amp;C247)</f>
        <v/>
      </c>
      <c r="B247" s="128"/>
      <c r="C247" s="128"/>
      <c r="D247" s="128"/>
      <c r="E247" s="134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</row>
    <row r="248" customFormat="false" ht="15.75" hidden="false" customHeight="false" outlineLevel="0" collapsed="false">
      <c r="A248" s="128" t="str">
        <f aca="false">IF(ISBLANK(B248),"",B248&amp;"|"&amp;C248)</f>
        <v/>
      </c>
      <c r="B248" s="128"/>
      <c r="C248" s="128"/>
      <c r="D248" s="128"/>
      <c r="E248" s="134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</row>
    <row r="249" customFormat="false" ht="15.75" hidden="false" customHeight="false" outlineLevel="0" collapsed="false">
      <c r="A249" s="128" t="str">
        <f aca="false">IF(ISBLANK(B249),"",B249&amp;"|"&amp;C249)</f>
        <v/>
      </c>
      <c r="B249" s="128"/>
      <c r="C249" s="128"/>
      <c r="D249" s="128"/>
      <c r="E249" s="134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</row>
    <row r="250" customFormat="false" ht="15.75" hidden="false" customHeight="false" outlineLevel="0" collapsed="false">
      <c r="A250" s="128" t="str">
        <f aca="false">IF(ISBLANK(B250),"",B250&amp;"|"&amp;C250)</f>
        <v/>
      </c>
      <c r="B250" s="128"/>
      <c r="C250" s="128"/>
      <c r="D250" s="128"/>
      <c r="E250" s="134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</row>
    <row r="251" customFormat="false" ht="15.75" hidden="false" customHeight="false" outlineLevel="0" collapsed="false">
      <c r="A251" s="128" t="str">
        <f aca="false">IF(ISBLANK(B251),"",B251&amp;"|"&amp;C251)</f>
        <v/>
      </c>
      <c r="B251" s="128"/>
      <c r="C251" s="128"/>
      <c r="D251" s="128"/>
      <c r="E251" s="134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</row>
    <row r="252" customFormat="false" ht="15.75" hidden="false" customHeight="false" outlineLevel="0" collapsed="false">
      <c r="A252" s="128" t="str">
        <f aca="false">IF(ISBLANK(B252),"",B252&amp;"|"&amp;C252)</f>
        <v/>
      </c>
      <c r="B252" s="128"/>
      <c r="C252" s="128"/>
      <c r="D252" s="128"/>
      <c r="E252" s="134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</row>
    <row r="253" customFormat="false" ht="15.75" hidden="false" customHeight="false" outlineLevel="0" collapsed="false">
      <c r="A253" s="128" t="str">
        <f aca="false">IF(ISBLANK(B253),"",B253&amp;"|"&amp;C253)</f>
        <v/>
      </c>
      <c r="B253" s="128"/>
      <c r="C253" s="128"/>
      <c r="D253" s="128"/>
      <c r="E253" s="134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</row>
    <row r="254" customFormat="false" ht="15.75" hidden="false" customHeight="false" outlineLevel="0" collapsed="false">
      <c r="A254" s="128" t="str">
        <f aca="false">IF(ISBLANK(B254),"",B254&amp;"|"&amp;C254)</f>
        <v/>
      </c>
      <c r="B254" s="128"/>
      <c r="C254" s="128"/>
      <c r="D254" s="128"/>
      <c r="E254" s="134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</row>
    <row r="255" customFormat="false" ht="15.75" hidden="false" customHeight="false" outlineLevel="0" collapsed="false">
      <c r="A255" s="128" t="str">
        <f aca="false">IF(ISBLANK(B255),"",B255&amp;"|"&amp;C255)</f>
        <v/>
      </c>
      <c r="B255" s="128"/>
      <c r="C255" s="128"/>
      <c r="D255" s="128"/>
      <c r="E255" s="134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</row>
    <row r="256" customFormat="false" ht="15.75" hidden="false" customHeight="false" outlineLevel="0" collapsed="false">
      <c r="A256" s="128" t="str">
        <f aca="false">IF(ISBLANK(B256),"",B256&amp;"|"&amp;C256)</f>
        <v/>
      </c>
      <c r="B256" s="128"/>
      <c r="C256" s="128"/>
      <c r="D256" s="128"/>
      <c r="E256" s="134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</row>
    <row r="257" customFormat="false" ht="15.75" hidden="false" customHeight="false" outlineLevel="0" collapsed="false">
      <c r="A257" s="128" t="str">
        <f aca="false">IF(ISBLANK(B257),"",B257&amp;"|"&amp;C257)</f>
        <v/>
      </c>
      <c r="B257" s="128"/>
      <c r="C257" s="128"/>
      <c r="D257" s="128"/>
      <c r="E257" s="134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</row>
    <row r="258" customFormat="false" ht="15.75" hidden="false" customHeight="false" outlineLevel="0" collapsed="false">
      <c r="A258" s="128" t="str">
        <f aca="false">IF(ISBLANK(B258),"",B258&amp;"|"&amp;C258)</f>
        <v/>
      </c>
      <c r="B258" s="128"/>
      <c r="C258" s="128"/>
      <c r="D258" s="128"/>
      <c r="E258" s="134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</row>
    <row r="259" customFormat="false" ht="15.75" hidden="false" customHeight="false" outlineLevel="0" collapsed="false">
      <c r="A259" s="128" t="str">
        <f aca="false">IF(ISBLANK(B259),"",B259&amp;"|"&amp;C259)</f>
        <v/>
      </c>
      <c r="B259" s="128"/>
      <c r="C259" s="128"/>
      <c r="D259" s="128"/>
      <c r="E259" s="134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</row>
    <row r="260" customFormat="false" ht="15.75" hidden="false" customHeight="false" outlineLevel="0" collapsed="false">
      <c r="A260" s="128" t="str">
        <f aca="false">IF(ISBLANK(B260),"",B260&amp;"|"&amp;C260)</f>
        <v/>
      </c>
      <c r="B260" s="128"/>
      <c r="C260" s="128"/>
      <c r="D260" s="128"/>
      <c r="E260" s="134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</row>
    <row r="261" customFormat="false" ht="15.75" hidden="false" customHeight="false" outlineLevel="0" collapsed="false">
      <c r="A261" s="128" t="str">
        <f aca="false">IF(ISBLANK(B261),"",B261&amp;"|"&amp;C261)</f>
        <v/>
      </c>
      <c r="B261" s="128"/>
      <c r="C261" s="128"/>
      <c r="D261" s="128"/>
      <c r="E261" s="134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</row>
    <row r="262" customFormat="false" ht="15.75" hidden="false" customHeight="false" outlineLevel="0" collapsed="false">
      <c r="A262" s="128" t="str">
        <f aca="false">IF(ISBLANK(B262),"",B262&amp;"|"&amp;C262)</f>
        <v/>
      </c>
      <c r="B262" s="128"/>
      <c r="C262" s="128"/>
      <c r="D262" s="128"/>
      <c r="E262" s="134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</row>
    <row r="263" customFormat="false" ht="15.75" hidden="false" customHeight="false" outlineLevel="0" collapsed="false">
      <c r="A263" s="128" t="str">
        <f aca="false">IF(ISBLANK(B263),"",B263&amp;"|"&amp;C263)</f>
        <v/>
      </c>
      <c r="B263" s="128"/>
      <c r="C263" s="128"/>
      <c r="D263" s="128"/>
      <c r="E263" s="134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</row>
    <row r="264" customFormat="false" ht="15.75" hidden="false" customHeight="false" outlineLevel="0" collapsed="false">
      <c r="A264" s="128" t="str">
        <f aca="false">IF(ISBLANK(B264),"",B264&amp;"|"&amp;C264)</f>
        <v/>
      </c>
      <c r="B264" s="128"/>
      <c r="C264" s="128"/>
      <c r="D264" s="128"/>
      <c r="E264" s="134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</row>
    <row r="265" customFormat="false" ht="15.75" hidden="false" customHeight="false" outlineLevel="0" collapsed="false">
      <c r="A265" s="128" t="str">
        <f aca="false">IF(ISBLANK(B265),"",B265&amp;"|"&amp;C265)</f>
        <v/>
      </c>
      <c r="B265" s="128"/>
      <c r="C265" s="128"/>
      <c r="D265" s="128"/>
      <c r="E265" s="134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</row>
    <row r="266" customFormat="false" ht="15.75" hidden="false" customHeight="false" outlineLevel="0" collapsed="false">
      <c r="A266" s="128" t="str">
        <f aca="false">IF(ISBLANK(B266),"",B266&amp;"|"&amp;C266)</f>
        <v/>
      </c>
      <c r="B266" s="128"/>
      <c r="C266" s="128"/>
      <c r="D266" s="128"/>
      <c r="E266" s="134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</row>
    <row r="267" customFormat="false" ht="15.75" hidden="false" customHeight="false" outlineLevel="0" collapsed="false">
      <c r="A267" s="128" t="str">
        <f aca="false">IF(ISBLANK(B267),"",B267&amp;"|"&amp;C267)</f>
        <v/>
      </c>
      <c r="B267" s="128"/>
      <c r="C267" s="128"/>
      <c r="D267" s="128"/>
      <c r="E267" s="134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</row>
    <row r="268" customFormat="false" ht="15.75" hidden="false" customHeight="false" outlineLevel="0" collapsed="false">
      <c r="A268" s="128" t="str">
        <f aca="false">IF(ISBLANK(B268),"",B268&amp;"|"&amp;C268)</f>
        <v/>
      </c>
      <c r="B268" s="128"/>
      <c r="C268" s="128"/>
      <c r="D268" s="128"/>
      <c r="E268" s="134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</row>
    <row r="269" customFormat="false" ht="15.75" hidden="false" customHeight="false" outlineLevel="0" collapsed="false">
      <c r="A269" s="128" t="str">
        <f aca="false">IF(ISBLANK(B269),"",B269&amp;"|"&amp;C269)</f>
        <v/>
      </c>
      <c r="B269" s="128"/>
      <c r="C269" s="128"/>
      <c r="D269" s="128"/>
      <c r="E269" s="134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</row>
    <row r="270" customFormat="false" ht="15.75" hidden="false" customHeight="false" outlineLevel="0" collapsed="false">
      <c r="A270" s="128" t="str">
        <f aca="false">IF(ISBLANK(B270),"",B270&amp;"|"&amp;C270)</f>
        <v/>
      </c>
      <c r="B270" s="128"/>
      <c r="C270" s="128"/>
      <c r="D270" s="128"/>
      <c r="E270" s="134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</row>
    <row r="271" customFormat="false" ht="15.75" hidden="false" customHeight="false" outlineLevel="0" collapsed="false">
      <c r="A271" s="128" t="str">
        <f aca="false">IF(ISBLANK(B271),"",B271&amp;"|"&amp;C271)</f>
        <v/>
      </c>
      <c r="B271" s="128"/>
      <c r="C271" s="128"/>
      <c r="D271" s="128"/>
      <c r="E271" s="134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</row>
    <row r="272" customFormat="false" ht="15.75" hidden="false" customHeight="false" outlineLevel="0" collapsed="false">
      <c r="A272" s="128" t="str">
        <f aca="false">IF(ISBLANK(B272),"",B272&amp;"|"&amp;C272)</f>
        <v/>
      </c>
      <c r="B272" s="128"/>
      <c r="C272" s="128"/>
      <c r="D272" s="128"/>
      <c r="E272" s="134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</row>
    <row r="273" customFormat="false" ht="15.75" hidden="false" customHeight="false" outlineLevel="0" collapsed="false">
      <c r="A273" s="128" t="str">
        <f aca="false">IF(ISBLANK(B273),"",B273&amp;"|"&amp;C273)</f>
        <v/>
      </c>
      <c r="B273" s="128"/>
      <c r="C273" s="128"/>
      <c r="D273" s="128"/>
      <c r="E273" s="134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</row>
    <row r="274" customFormat="false" ht="15.75" hidden="false" customHeight="false" outlineLevel="0" collapsed="false">
      <c r="A274" s="128" t="str">
        <f aca="false">IF(ISBLANK(B274),"",B274&amp;"|"&amp;C274)</f>
        <v/>
      </c>
      <c r="B274" s="128"/>
      <c r="C274" s="128"/>
      <c r="D274" s="128"/>
      <c r="E274" s="134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</row>
    <row r="275" customFormat="false" ht="15.75" hidden="false" customHeight="false" outlineLevel="0" collapsed="false">
      <c r="A275" s="128" t="str">
        <f aca="false">IF(ISBLANK(B275),"",B275&amp;"|"&amp;C275)</f>
        <v/>
      </c>
      <c r="B275" s="128"/>
      <c r="C275" s="128"/>
      <c r="D275" s="128"/>
      <c r="E275" s="134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</row>
    <row r="276" customFormat="false" ht="15.75" hidden="false" customHeight="false" outlineLevel="0" collapsed="false">
      <c r="A276" s="128" t="str">
        <f aca="false">IF(ISBLANK(B276),"",B276&amp;"|"&amp;C276)</f>
        <v/>
      </c>
      <c r="B276" s="128"/>
      <c r="C276" s="128"/>
      <c r="D276" s="128"/>
      <c r="E276" s="134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</row>
    <row r="277" customFormat="false" ht="15.75" hidden="false" customHeight="false" outlineLevel="0" collapsed="false">
      <c r="A277" s="128" t="str">
        <f aca="false">IF(ISBLANK(B277),"",B277&amp;"|"&amp;C277)</f>
        <v/>
      </c>
      <c r="B277" s="128"/>
      <c r="C277" s="128"/>
      <c r="D277" s="128"/>
      <c r="E277" s="134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</row>
    <row r="278" customFormat="false" ht="15.75" hidden="false" customHeight="false" outlineLevel="0" collapsed="false">
      <c r="A278" s="128" t="str">
        <f aca="false">IF(ISBLANK(B278),"",B278&amp;"|"&amp;C278)</f>
        <v/>
      </c>
      <c r="B278" s="128"/>
      <c r="C278" s="128"/>
      <c r="D278" s="128"/>
      <c r="E278" s="134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</row>
    <row r="279" customFormat="false" ht="15.75" hidden="false" customHeight="false" outlineLevel="0" collapsed="false">
      <c r="A279" s="128" t="str">
        <f aca="false">IF(ISBLANK(B279),"",B279&amp;"|"&amp;C279)</f>
        <v/>
      </c>
      <c r="B279" s="128"/>
      <c r="C279" s="128"/>
      <c r="D279" s="128"/>
      <c r="E279" s="134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</row>
    <row r="280" customFormat="false" ht="15.75" hidden="false" customHeight="false" outlineLevel="0" collapsed="false">
      <c r="A280" s="128" t="str">
        <f aca="false">IF(ISBLANK(B280),"",B280&amp;"|"&amp;C280)</f>
        <v/>
      </c>
      <c r="B280" s="128"/>
      <c r="C280" s="128"/>
      <c r="D280" s="128"/>
      <c r="E280" s="134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</row>
    <row r="281" customFormat="false" ht="15.75" hidden="false" customHeight="false" outlineLevel="0" collapsed="false">
      <c r="A281" s="128" t="str">
        <f aca="false">IF(ISBLANK(B281),"",B281&amp;"|"&amp;C281)</f>
        <v/>
      </c>
      <c r="B281" s="128"/>
      <c r="C281" s="128"/>
      <c r="D281" s="128"/>
      <c r="E281" s="134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</row>
    <row r="282" customFormat="false" ht="15.75" hidden="false" customHeight="false" outlineLevel="0" collapsed="false">
      <c r="A282" s="128" t="str">
        <f aca="false">IF(ISBLANK(B282),"",B282&amp;"|"&amp;C282)</f>
        <v/>
      </c>
      <c r="B282" s="128"/>
      <c r="C282" s="128"/>
      <c r="D282" s="128"/>
      <c r="E282" s="134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</row>
    <row r="283" customFormat="false" ht="15.75" hidden="false" customHeight="false" outlineLevel="0" collapsed="false">
      <c r="A283" s="128" t="str">
        <f aca="false">IF(ISBLANK(B283),"",B283&amp;"|"&amp;C283)</f>
        <v/>
      </c>
      <c r="B283" s="128"/>
      <c r="C283" s="128"/>
      <c r="D283" s="128"/>
      <c r="E283" s="134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</row>
    <row r="284" customFormat="false" ht="15.75" hidden="false" customHeight="false" outlineLevel="0" collapsed="false">
      <c r="A284" s="128" t="str">
        <f aca="false">IF(ISBLANK(B284),"",B284&amp;"|"&amp;C284)</f>
        <v/>
      </c>
      <c r="B284" s="128"/>
      <c r="C284" s="128"/>
      <c r="D284" s="128"/>
      <c r="E284" s="134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</row>
    <row r="285" customFormat="false" ht="15.75" hidden="false" customHeight="false" outlineLevel="0" collapsed="false">
      <c r="A285" s="128" t="str">
        <f aca="false">IF(ISBLANK(B285),"",B285&amp;"|"&amp;C285)</f>
        <v/>
      </c>
      <c r="B285" s="128"/>
      <c r="C285" s="128"/>
      <c r="D285" s="128"/>
      <c r="E285" s="134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</row>
    <row r="286" customFormat="false" ht="15.75" hidden="false" customHeight="false" outlineLevel="0" collapsed="false">
      <c r="A286" s="128" t="str">
        <f aca="false">IF(ISBLANK(B286),"",B286&amp;"|"&amp;C286)</f>
        <v/>
      </c>
      <c r="B286" s="128"/>
      <c r="C286" s="128"/>
      <c r="D286" s="128"/>
      <c r="E286" s="134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</row>
    <row r="287" customFormat="false" ht="15.75" hidden="false" customHeight="false" outlineLevel="0" collapsed="false">
      <c r="A287" s="128" t="str">
        <f aca="false">IF(ISBLANK(B287),"",B287&amp;"|"&amp;C287)</f>
        <v/>
      </c>
      <c r="B287" s="128"/>
      <c r="C287" s="128"/>
      <c r="D287" s="128"/>
      <c r="E287" s="134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</row>
    <row r="288" customFormat="false" ht="15.75" hidden="false" customHeight="false" outlineLevel="0" collapsed="false">
      <c r="A288" s="128" t="str">
        <f aca="false">IF(ISBLANK(B288),"",B288&amp;"|"&amp;C288)</f>
        <v/>
      </c>
      <c r="B288" s="128"/>
      <c r="C288" s="128"/>
      <c r="D288" s="128"/>
      <c r="E288" s="134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</row>
    <row r="289" customFormat="false" ht="15.75" hidden="false" customHeight="false" outlineLevel="0" collapsed="false">
      <c r="A289" s="128" t="str">
        <f aca="false">IF(ISBLANK(B289),"",B289&amp;"|"&amp;C289)</f>
        <v/>
      </c>
      <c r="B289" s="128"/>
      <c r="C289" s="128"/>
      <c r="D289" s="128"/>
      <c r="E289" s="134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</row>
    <row r="290" customFormat="false" ht="15.75" hidden="false" customHeight="false" outlineLevel="0" collapsed="false">
      <c r="A290" s="128" t="str">
        <f aca="false">IF(ISBLANK(B290),"",B290&amp;"|"&amp;C290)</f>
        <v/>
      </c>
      <c r="B290" s="128"/>
      <c r="C290" s="128"/>
      <c r="D290" s="128"/>
      <c r="E290" s="134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</row>
    <row r="291" customFormat="false" ht="15.75" hidden="false" customHeight="false" outlineLevel="0" collapsed="false">
      <c r="A291" s="128" t="str">
        <f aca="false">IF(ISBLANK(B291),"",B291&amp;"|"&amp;C291)</f>
        <v/>
      </c>
      <c r="B291" s="128"/>
      <c r="C291" s="128"/>
      <c r="D291" s="128"/>
      <c r="E291" s="134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</row>
    <row r="292" customFormat="false" ht="15.75" hidden="false" customHeight="false" outlineLevel="0" collapsed="false">
      <c r="A292" s="128" t="str">
        <f aca="false">IF(ISBLANK(B292),"",B292&amp;"|"&amp;C292)</f>
        <v/>
      </c>
      <c r="B292" s="128"/>
      <c r="C292" s="128"/>
      <c r="D292" s="128"/>
      <c r="E292" s="134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</row>
    <row r="293" customFormat="false" ht="15.75" hidden="false" customHeight="false" outlineLevel="0" collapsed="false">
      <c r="A293" s="128" t="str">
        <f aca="false">IF(ISBLANK(B293),"",B293&amp;"|"&amp;C293)</f>
        <v/>
      </c>
      <c r="B293" s="128"/>
      <c r="C293" s="128"/>
      <c r="D293" s="128"/>
      <c r="E293" s="134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</row>
    <row r="294" customFormat="false" ht="15.75" hidden="false" customHeight="false" outlineLevel="0" collapsed="false">
      <c r="A294" s="128" t="str">
        <f aca="false">IF(ISBLANK(B294),"",B294&amp;"|"&amp;C294)</f>
        <v/>
      </c>
      <c r="B294" s="128"/>
      <c r="C294" s="128"/>
      <c r="D294" s="128"/>
      <c r="E294" s="134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</row>
    <row r="295" customFormat="false" ht="15.75" hidden="false" customHeight="false" outlineLevel="0" collapsed="false">
      <c r="A295" s="128" t="str">
        <f aca="false">IF(ISBLANK(B295),"",B295&amp;"|"&amp;C295)</f>
        <v/>
      </c>
      <c r="B295" s="128"/>
      <c r="C295" s="128"/>
      <c r="D295" s="128"/>
      <c r="E295" s="134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</row>
    <row r="296" customFormat="false" ht="15.75" hidden="false" customHeight="false" outlineLevel="0" collapsed="false">
      <c r="A296" s="128" t="str">
        <f aca="false">IF(ISBLANK(B296),"",B296&amp;"|"&amp;C296)</f>
        <v/>
      </c>
      <c r="B296" s="128"/>
      <c r="C296" s="128"/>
      <c r="D296" s="128"/>
      <c r="E296" s="134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</row>
    <row r="297" customFormat="false" ht="15.75" hidden="false" customHeight="false" outlineLevel="0" collapsed="false">
      <c r="A297" s="128" t="str">
        <f aca="false">IF(ISBLANK(B297),"",B297&amp;"|"&amp;C297)</f>
        <v/>
      </c>
      <c r="B297" s="128"/>
      <c r="C297" s="128"/>
      <c r="D297" s="128"/>
      <c r="E297" s="134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</row>
    <row r="298" customFormat="false" ht="15.75" hidden="false" customHeight="false" outlineLevel="0" collapsed="false">
      <c r="A298" s="128" t="str">
        <f aca="false">IF(ISBLANK(B298),"",B298&amp;"|"&amp;C298)</f>
        <v/>
      </c>
      <c r="B298" s="128"/>
      <c r="C298" s="128"/>
      <c r="D298" s="128"/>
      <c r="E298" s="134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</row>
    <row r="299" customFormat="false" ht="15.75" hidden="false" customHeight="false" outlineLevel="0" collapsed="false">
      <c r="A299" s="128" t="str">
        <f aca="false">IF(ISBLANK(B299),"",B299&amp;"|"&amp;C299)</f>
        <v/>
      </c>
      <c r="B299" s="128"/>
      <c r="C299" s="128"/>
      <c r="D299" s="128"/>
      <c r="E299" s="134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</row>
    <row r="300" customFormat="false" ht="15.75" hidden="false" customHeight="false" outlineLevel="0" collapsed="false">
      <c r="A300" s="128" t="str">
        <f aca="false">IF(ISBLANK(B300),"",B300&amp;"|"&amp;C300)</f>
        <v/>
      </c>
      <c r="B300" s="128"/>
      <c r="C300" s="128"/>
      <c r="D300" s="128"/>
      <c r="E300" s="134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</row>
    <row r="301" customFormat="false" ht="15.75" hidden="false" customHeight="false" outlineLevel="0" collapsed="false">
      <c r="A301" s="128" t="str">
        <f aca="false">IF(ISBLANK(B301),"",B301&amp;"|"&amp;C301)</f>
        <v/>
      </c>
      <c r="B301" s="128"/>
      <c r="C301" s="128"/>
      <c r="D301" s="128"/>
      <c r="E301" s="134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</row>
    <row r="302" customFormat="false" ht="15.75" hidden="false" customHeight="false" outlineLevel="0" collapsed="false">
      <c r="A302" s="128" t="str">
        <f aca="false">IF(ISBLANK(B302),"",B302&amp;"|"&amp;C302)</f>
        <v/>
      </c>
      <c r="B302" s="128"/>
      <c r="C302" s="128"/>
      <c r="D302" s="128"/>
      <c r="E302" s="134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</row>
    <row r="303" customFormat="false" ht="15.75" hidden="false" customHeight="false" outlineLevel="0" collapsed="false">
      <c r="A303" s="128" t="str">
        <f aca="false">IF(ISBLANK(B303),"",B303&amp;"|"&amp;C303)</f>
        <v/>
      </c>
      <c r="B303" s="128"/>
      <c r="C303" s="128"/>
      <c r="D303" s="128"/>
      <c r="E303" s="134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</row>
    <row r="304" customFormat="false" ht="15.75" hidden="false" customHeight="false" outlineLevel="0" collapsed="false">
      <c r="A304" s="128" t="str">
        <f aca="false">IF(ISBLANK(B304),"",B304&amp;"|"&amp;C304)</f>
        <v/>
      </c>
      <c r="B304" s="128"/>
      <c r="C304" s="128"/>
      <c r="D304" s="128"/>
      <c r="E304" s="134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</row>
    <row r="305" customFormat="false" ht="15.75" hidden="false" customHeight="false" outlineLevel="0" collapsed="false">
      <c r="A305" s="128" t="str">
        <f aca="false">IF(ISBLANK(B305),"",B305&amp;"|"&amp;C305)</f>
        <v/>
      </c>
      <c r="B305" s="128"/>
      <c r="C305" s="128"/>
      <c r="D305" s="128"/>
      <c r="E305" s="134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</row>
    <row r="306" customFormat="false" ht="15.75" hidden="false" customHeight="false" outlineLevel="0" collapsed="false">
      <c r="A306" s="128" t="str">
        <f aca="false">IF(ISBLANK(B306),"",B306&amp;"|"&amp;C306)</f>
        <v/>
      </c>
      <c r="B306" s="128"/>
      <c r="C306" s="128"/>
      <c r="D306" s="128"/>
      <c r="E306" s="134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</row>
    <row r="307" customFormat="false" ht="15.75" hidden="false" customHeight="false" outlineLevel="0" collapsed="false">
      <c r="A307" s="128" t="str">
        <f aca="false">IF(ISBLANK(B307),"",B307&amp;"|"&amp;C307)</f>
        <v/>
      </c>
      <c r="B307" s="128"/>
      <c r="C307" s="128"/>
      <c r="D307" s="128"/>
      <c r="E307" s="134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</row>
    <row r="308" customFormat="false" ht="15.75" hidden="false" customHeight="false" outlineLevel="0" collapsed="false">
      <c r="A308" s="128" t="str">
        <f aca="false">IF(ISBLANK(B308),"",B308&amp;"|"&amp;C308)</f>
        <v/>
      </c>
      <c r="B308" s="128"/>
      <c r="C308" s="128"/>
      <c r="D308" s="128"/>
      <c r="E308" s="134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</row>
    <row r="309" customFormat="false" ht="15.75" hidden="false" customHeight="false" outlineLevel="0" collapsed="false">
      <c r="A309" s="128" t="str">
        <f aca="false">IF(ISBLANK(B309),"",B309&amp;"|"&amp;C309)</f>
        <v/>
      </c>
      <c r="B309" s="128"/>
      <c r="C309" s="128"/>
      <c r="D309" s="128"/>
      <c r="E309" s="134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</row>
    <row r="310" customFormat="false" ht="15.75" hidden="false" customHeight="false" outlineLevel="0" collapsed="false">
      <c r="A310" s="128" t="str">
        <f aca="false">IF(ISBLANK(B310),"",B310&amp;"|"&amp;C310)</f>
        <v/>
      </c>
      <c r="B310" s="128"/>
      <c r="C310" s="128"/>
      <c r="D310" s="128"/>
      <c r="E310" s="134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</row>
    <row r="311" customFormat="false" ht="15.75" hidden="false" customHeight="false" outlineLevel="0" collapsed="false">
      <c r="A311" s="128" t="str">
        <f aca="false">IF(ISBLANK(B311),"",B311&amp;"|"&amp;C311)</f>
        <v/>
      </c>
      <c r="B311" s="128"/>
      <c r="C311" s="128"/>
      <c r="D311" s="128"/>
      <c r="E311" s="134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</row>
    <row r="312" customFormat="false" ht="15.75" hidden="false" customHeight="false" outlineLevel="0" collapsed="false">
      <c r="A312" s="128" t="str">
        <f aca="false">IF(ISBLANK(B312),"",B312&amp;"|"&amp;C312)</f>
        <v/>
      </c>
      <c r="B312" s="128"/>
      <c r="C312" s="128"/>
      <c r="D312" s="128"/>
      <c r="E312" s="134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</row>
    <row r="313" customFormat="false" ht="15.75" hidden="false" customHeight="false" outlineLevel="0" collapsed="false">
      <c r="A313" s="128" t="str">
        <f aca="false">IF(ISBLANK(B313),"",B313&amp;"|"&amp;C313)</f>
        <v/>
      </c>
      <c r="B313" s="128"/>
      <c r="C313" s="128"/>
      <c r="D313" s="128"/>
      <c r="E313" s="134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</row>
    <row r="314" customFormat="false" ht="15.75" hidden="false" customHeight="false" outlineLevel="0" collapsed="false">
      <c r="A314" s="128" t="str">
        <f aca="false">IF(ISBLANK(B314),"",B314&amp;"|"&amp;C314)</f>
        <v/>
      </c>
      <c r="B314" s="128"/>
      <c r="C314" s="128"/>
      <c r="D314" s="128"/>
      <c r="E314" s="134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</row>
    <row r="315" customFormat="false" ht="15.75" hidden="false" customHeight="false" outlineLevel="0" collapsed="false">
      <c r="A315" s="128" t="str">
        <f aca="false">IF(ISBLANK(B315),"",B315&amp;"|"&amp;C315)</f>
        <v/>
      </c>
      <c r="B315" s="128"/>
      <c r="C315" s="128"/>
      <c r="D315" s="128"/>
      <c r="E315" s="134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</row>
    <row r="316" customFormat="false" ht="15.75" hidden="false" customHeight="false" outlineLevel="0" collapsed="false">
      <c r="A316" s="128" t="str">
        <f aca="false">IF(ISBLANK(B316),"",B316&amp;"|"&amp;C316)</f>
        <v/>
      </c>
      <c r="B316" s="128"/>
      <c r="C316" s="128"/>
      <c r="D316" s="128"/>
      <c r="E316" s="134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</row>
    <row r="317" customFormat="false" ht="15.75" hidden="false" customHeight="false" outlineLevel="0" collapsed="false">
      <c r="A317" s="128" t="str">
        <f aca="false">IF(ISBLANK(B317),"",B317&amp;"|"&amp;C317)</f>
        <v/>
      </c>
      <c r="B317" s="128"/>
      <c r="C317" s="128"/>
      <c r="D317" s="128"/>
      <c r="E317" s="134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</row>
    <row r="318" customFormat="false" ht="15.75" hidden="false" customHeight="false" outlineLevel="0" collapsed="false">
      <c r="A318" s="128" t="str">
        <f aca="false">IF(ISBLANK(B318),"",B318&amp;"|"&amp;C318)</f>
        <v/>
      </c>
      <c r="B318" s="128"/>
      <c r="C318" s="128"/>
      <c r="D318" s="128"/>
      <c r="E318" s="134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</row>
    <row r="319" customFormat="false" ht="15.75" hidden="false" customHeight="false" outlineLevel="0" collapsed="false">
      <c r="A319" s="128" t="str">
        <f aca="false">IF(ISBLANK(B319),"",B319&amp;"|"&amp;C319)</f>
        <v/>
      </c>
      <c r="B319" s="128"/>
      <c r="C319" s="128"/>
      <c r="D319" s="128"/>
      <c r="E319" s="134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</row>
    <row r="320" customFormat="false" ht="15.75" hidden="false" customHeight="false" outlineLevel="0" collapsed="false">
      <c r="A320" s="128" t="str">
        <f aca="false">IF(ISBLANK(B320),"",B320&amp;"|"&amp;C320)</f>
        <v/>
      </c>
      <c r="B320" s="128"/>
      <c r="C320" s="128"/>
      <c r="D320" s="128"/>
      <c r="E320" s="134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</row>
    <row r="321" customFormat="false" ht="15.75" hidden="false" customHeight="false" outlineLevel="0" collapsed="false">
      <c r="A321" s="128" t="str">
        <f aca="false">IF(ISBLANK(B321),"",B321&amp;"|"&amp;C321)</f>
        <v/>
      </c>
      <c r="B321" s="128"/>
      <c r="C321" s="128"/>
      <c r="D321" s="128"/>
      <c r="E321" s="134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</row>
    <row r="322" customFormat="false" ht="15.75" hidden="false" customHeight="false" outlineLevel="0" collapsed="false">
      <c r="A322" s="128" t="str">
        <f aca="false">IF(ISBLANK(B322),"",B322&amp;"|"&amp;C322)</f>
        <v/>
      </c>
      <c r="B322" s="128"/>
      <c r="C322" s="128"/>
      <c r="D322" s="128"/>
      <c r="E322" s="134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</row>
    <row r="323" customFormat="false" ht="15.75" hidden="false" customHeight="false" outlineLevel="0" collapsed="false">
      <c r="A323" s="128" t="str">
        <f aca="false">IF(ISBLANK(B323),"",B323&amp;"|"&amp;C323)</f>
        <v/>
      </c>
      <c r="B323" s="128"/>
      <c r="C323" s="128"/>
      <c r="D323" s="128"/>
      <c r="E323" s="134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</row>
    <row r="324" customFormat="false" ht="15.75" hidden="false" customHeight="false" outlineLevel="0" collapsed="false">
      <c r="A324" s="128" t="str">
        <f aca="false">IF(ISBLANK(B324),"",B324&amp;"|"&amp;C324)</f>
        <v/>
      </c>
      <c r="B324" s="128"/>
      <c r="C324" s="128"/>
      <c r="D324" s="128"/>
      <c r="E324" s="134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</row>
    <row r="325" customFormat="false" ht="15.75" hidden="false" customHeight="false" outlineLevel="0" collapsed="false">
      <c r="A325" s="128" t="str">
        <f aca="false">IF(ISBLANK(B325),"",B325&amp;"|"&amp;C325)</f>
        <v/>
      </c>
      <c r="B325" s="128"/>
      <c r="C325" s="128"/>
      <c r="D325" s="128"/>
      <c r="E325" s="134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</row>
    <row r="326" customFormat="false" ht="15.75" hidden="false" customHeight="false" outlineLevel="0" collapsed="false">
      <c r="A326" s="128" t="str">
        <f aca="false">IF(ISBLANK(B326),"",B326&amp;"|"&amp;C326)</f>
        <v/>
      </c>
      <c r="B326" s="128"/>
      <c r="C326" s="128"/>
      <c r="D326" s="128"/>
      <c r="E326" s="134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</row>
    <row r="327" customFormat="false" ht="15.75" hidden="false" customHeight="false" outlineLevel="0" collapsed="false">
      <c r="A327" s="128" t="str">
        <f aca="false">IF(ISBLANK(B327),"",B327&amp;"|"&amp;C327)</f>
        <v/>
      </c>
      <c r="B327" s="128"/>
      <c r="C327" s="128"/>
      <c r="D327" s="128"/>
      <c r="E327" s="134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</row>
    <row r="328" customFormat="false" ht="15.75" hidden="false" customHeight="false" outlineLevel="0" collapsed="false">
      <c r="A328" s="128" t="str">
        <f aca="false">IF(ISBLANK(B328),"",B328&amp;"|"&amp;C328)</f>
        <v/>
      </c>
      <c r="B328" s="128"/>
      <c r="C328" s="128"/>
      <c r="D328" s="128"/>
      <c r="E328" s="134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</row>
    <row r="329" customFormat="false" ht="15.75" hidden="false" customHeight="false" outlineLevel="0" collapsed="false">
      <c r="A329" s="128" t="str">
        <f aca="false">IF(ISBLANK(B329),"",B329&amp;"|"&amp;C329)</f>
        <v/>
      </c>
      <c r="B329" s="128"/>
      <c r="C329" s="128"/>
      <c r="D329" s="128"/>
      <c r="E329" s="134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</row>
    <row r="330" customFormat="false" ht="15.75" hidden="false" customHeight="false" outlineLevel="0" collapsed="false">
      <c r="A330" s="128" t="str">
        <f aca="false">IF(ISBLANK(B330),"",B330&amp;"|"&amp;C330)</f>
        <v/>
      </c>
      <c r="B330" s="128"/>
      <c r="C330" s="128"/>
      <c r="D330" s="128"/>
      <c r="E330" s="134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</row>
    <row r="331" customFormat="false" ht="15.75" hidden="false" customHeight="false" outlineLevel="0" collapsed="false">
      <c r="A331" s="128" t="str">
        <f aca="false">IF(ISBLANK(B331),"",B331&amp;"|"&amp;C331)</f>
        <v/>
      </c>
      <c r="B331" s="128"/>
      <c r="C331" s="128"/>
      <c r="D331" s="128"/>
      <c r="E331" s="134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</row>
    <row r="332" customFormat="false" ht="15.75" hidden="false" customHeight="false" outlineLevel="0" collapsed="false">
      <c r="A332" s="128" t="str">
        <f aca="false">IF(ISBLANK(B332),"",B332&amp;"|"&amp;C332)</f>
        <v/>
      </c>
      <c r="B332" s="128"/>
      <c r="C332" s="128"/>
      <c r="D332" s="128"/>
      <c r="E332" s="134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</row>
    <row r="333" customFormat="false" ht="15.75" hidden="false" customHeight="false" outlineLevel="0" collapsed="false">
      <c r="A333" s="128" t="str">
        <f aca="false">IF(ISBLANK(B333),"",B333&amp;"|"&amp;C333)</f>
        <v/>
      </c>
      <c r="B333" s="128"/>
      <c r="C333" s="128"/>
      <c r="D333" s="128"/>
      <c r="E333" s="134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</row>
    <row r="334" customFormat="false" ht="15.75" hidden="false" customHeight="false" outlineLevel="0" collapsed="false">
      <c r="A334" s="128" t="str">
        <f aca="false">IF(ISBLANK(B334),"",B334&amp;"|"&amp;C334)</f>
        <v/>
      </c>
      <c r="B334" s="128"/>
      <c r="C334" s="128"/>
      <c r="D334" s="128"/>
      <c r="E334" s="134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</row>
    <row r="335" customFormat="false" ht="15.75" hidden="false" customHeight="false" outlineLevel="0" collapsed="false">
      <c r="A335" s="128" t="str">
        <f aca="false">IF(ISBLANK(B335),"",B335&amp;"|"&amp;C335)</f>
        <v/>
      </c>
      <c r="B335" s="128"/>
      <c r="C335" s="128"/>
      <c r="D335" s="128"/>
      <c r="E335" s="134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</row>
    <row r="336" customFormat="false" ht="15.75" hidden="false" customHeight="false" outlineLevel="0" collapsed="false">
      <c r="A336" s="128" t="str">
        <f aca="false">IF(ISBLANK(B336),"",B336&amp;"|"&amp;C336)</f>
        <v/>
      </c>
      <c r="B336" s="128"/>
      <c r="C336" s="128"/>
      <c r="D336" s="128"/>
      <c r="E336" s="134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</row>
    <row r="337" customFormat="false" ht="15.75" hidden="false" customHeight="false" outlineLevel="0" collapsed="false">
      <c r="A337" s="128" t="str">
        <f aca="false">IF(ISBLANK(B337),"",B337&amp;"|"&amp;C337)</f>
        <v/>
      </c>
      <c r="B337" s="128"/>
      <c r="C337" s="128"/>
      <c r="D337" s="128"/>
      <c r="E337" s="134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</row>
    <row r="338" customFormat="false" ht="15.75" hidden="false" customHeight="false" outlineLevel="0" collapsed="false">
      <c r="A338" s="128" t="str">
        <f aca="false">IF(ISBLANK(B338),"",B338&amp;"|"&amp;C338)</f>
        <v/>
      </c>
      <c r="B338" s="128"/>
      <c r="C338" s="128"/>
      <c r="D338" s="128"/>
      <c r="E338" s="134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</row>
    <row r="339" customFormat="false" ht="15.75" hidden="false" customHeight="false" outlineLevel="0" collapsed="false">
      <c r="A339" s="128" t="str">
        <f aca="false">IF(ISBLANK(B339),"",B339&amp;"|"&amp;C339)</f>
        <v/>
      </c>
      <c r="B339" s="128"/>
      <c r="C339" s="128"/>
      <c r="D339" s="128"/>
      <c r="E339" s="134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</row>
    <row r="340" customFormat="false" ht="15.75" hidden="false" customHeight="false" outlineLevel="0" collapsed="false">
      <c r="A340" s="128" t="str">
        <f aca="false">IF(ISBLANK(B340),"",B340&amp;"|"&amp;C340)</f>
        <v/>
      </c>
      <c r="B340" s="128"/>
      <c r="C340" s="128"/>
      <c r="D340" s="128"/>
      <c r="E340" s="134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</row>
    <row r="341" customFormat="false" ht="15.75" hidden="false" customHeight="false" outlineLevel="0" collapsed="false">
      <c r="A341" s="128" t="str">
        <f aca="false">IF(ISBLANK(B341),"",B341&amp;"|"&amp;C341)</f>
        <v/>
      </c>
      <c r="B341" s="128"/>
      <c r="C341" s="128"/>
      <c r="D341" s="128"/>
      <c r="E341" s="134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</row>
    <row r="342" customFormat="false" ht="15.75" hidden="false" customHeight="false" outlineLevel="0" collapsed="false">
      <c r="A342" s="128" t="str">
        <f aca="false">IF(ISBLANK(B342),"",B342&amp;"|"&amp;C342)</f>
        <v/>
      </c>
      <c r="B342" s="128"/>
      <c r="C342" s="128"/>
      <c r="D342" s="128"/>
      <c r="E342" s="134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</row>
    <row r="343" customFormat="false" ht="15.75" hidden="false" customHeight="false" outlineLevel="0" collapsed="false">
      <c r="A343" s="128" t="str">
        <f aca="false">IF(ISBLANK(B343),"",B343&amp;"|"&amp;C343)</f>
        <v/>
      </c>
      <c r="B343" s="128"/>
      <c r="C343" s="128"/>
      <c r="D343" s="128"/>
      <c r="E343" s="134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</row>
    <row r="344" customFormat="false" ht="15.75" hidden="false" customHeight="false" outlineLevel="0" collapsed="false">
      <c r="A344" s="128" t="str">
        <f aca="false">IF(ISBLANK(B344),"",B344&amp;"|"&amp;C344)</f>
        <v/>
      </c>
      <c r="B344" s="128"/>
      <c r="C344" s="128"/>
      <c r="D344" s="128"/>
      <c r="E344" s="134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</row>
    <row r="345" customFormat="false" ht="15.75" hidden="false" customHeight="false" outlineLevel="0" collapsed="false">
      <c r="A345" s="128" t="str">
        <f aca="false">IF(ISBLANK(B345),"",B345&amp;"|"&amp;C345)</f>
        <v/>
      </c>
      <c r="B345" s="128"/>
      <c r="C345" s="128"/>
      <c r="D345" s="128"/>
      <c r="E345" s="134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</row>
    <row r="346" customFormat="false" ht="15.75" hidden="false" customHeight="false" outlineLevel="0" collapsed="false">
      <c r="A346" s="128" t="str">
        <f aca="false">IF(ISBLANK(B346),"",B346&amp;"|"&amp;C346)</f>
        <v/>
      </c>
      <c r="B346" s="128"/>
      <c r="C346" s="128"/>
      <c r="D346" s="128"/>
      <c r="E346" s="134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</row>
    <row r="347" customFormat="false" ht="15.75" hidden="false" customHeight="false" outlineLevel="0" collapsed="false">
      <c r="A347" s="128" t="str">
        <f aca="false">IF(ISBLANK(B347),"",B347&amp;"|"&amp;C347)</f>
        <v/>
      </c>
      <c r="B347" s="128"/>
      <c r="C347" s="128"/>
      <c r="D347" s="128"/>
      <c r="E347" s="134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</row>
    <row r="348" customFormat="false" ht="15.75" hidden="false" customHeight="false" outlineLevel="0" collapsed="false">
      <c r="A348" s="128" t="str">
        <f aca="false">IF(ISBLANK(B348),"",B348&amp;"|"&amp;C348)</f>
        <v/>
      </c>
      <c r="B348" s="128"/>
      <c r="C348" s="128"/>
      <c r="D348" s="128"/>
      <c r="E348" s="134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</row>
    <row r="349" customFormat="false" ht="15.75" hidden="false" customHeight="false" outlineLevel="0" collapsed="false">
      <c r="A349" s="128" t="str">
        <f aca="false">IF(ISBLANK(B349),"",B349&amp;"|"&amp;C349)</f>
        <v/>
      </c>
      <c r="B349" s="128"/>
      <c r="C349" s="128"/>
      <c r="D349" s="128"/>
      <c r="E349" s="134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</row>
    <row r="350" customFormat="false" ht="15.75" hidden="false" customHeight="false" outlineLevel="0" collapsed="false">
      <c r="A350" s="128" t="str">
        <f aca="false">IF(ISBLANK(B350),"",B350&amp;"|"&amp;C350)</f>
        <v/>
      </c>
      <c r="B350" s="128"/>
      <c r="C350" s="128"/>
      <c r="D350" s="128"/>
      <c r="E350" s="134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</row>
    <row r="351" customFormat="false" ht="15.75" hidden="false" customHeight="false" outlineLevel="0" collapsed="false">
      <c r="A351" s="128" t="str">
        <f aca="false">IF(ISBLANK(B351),"",B351&amp;"|"&amp;C351)</f>
        <v/>
      </c>
      <c r="B351" s="128"/>
      <c r="C351" s="128"/>
      <c r="D351" s="128"/>
      <c r="E351" s="134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</row>
    <row r="352" customFormat="false" ht="15.75" hidden="false" customHeight="false" outlineLevel="0" collapsed="false">
      <c r="A352" s="128" t="str">
        <f aca="false">IF(ISBLANK(B352),"",B352&amp;"|"&amp;C352)</f>
        <v/>
      </c>
      <c r="B352" s="128"/>
      <c r="C352" s="128"/>
      <c r="D352" s="128"/>
      <c r="E352" s="134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</row>
    <row r="353" customFormat="false" ht="15.75" hidden="false" customHeight="false" outlineLevel="0" collapsed="false">
      <c r="A353" s="128" t="str">
        <f aca="false">IF(ISBLANK(B353),"",B353&amp;"|"&amp;C353)</f>
        <v/>
      </c>
      <c r="B353" s="128"/>
      <c r="C353" s="128"/>
      <c r="D353" s="128"/>
      <c r="E353" s="134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</row>
    <row r="354" customFormat="false" ht="15.75" hidden="false" customHeight="false" outlineLevel="0" collapsed="false">
      <c r="A354" s="128" t="str">
        <f aca="false">IF(ISBLANK(B354),"",B354&amp;"|"&amp;C354)</f>
        <v/>
      </c>
      <c r="B354" s="128"/>
      <c r="C354" s="128"/>
      <c r="D354" s="128"/>
      <c r="E354" s="134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</row>
    <row r="355" customFormat="false" ht="15.75" hidden="false" customHeight="false" outlineLevel="0" collapsed="false">
      <c r="A355" s="128" t="str">
        <f aca="false">IF(ISBLANK(B355),"",B355&amp;"|"&amp;C355)</f>
        <v/>
      </c>
      <c r="B355" s="128"/>
      <c r="C355" s="128"/>
      <c r="D355" s="128"/>
      <c r="E355" s="134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</row>
    <row r="356" customFormat="false" ht="15.75" hidden="false" customHeight="false" outlineLevel="0" collapsed="false">
      <c r="A356" s="128" t="str">
        <f aca="false">IF(ISBLANK(B356),"",B356&amp;"|"&amp;C356)</f>
        <v/>
      </c>
      <c r="B356" s="128"/>
      <c r="C356" s="128"/>
      <c r="D356" s="128"/>
      <c r="E356" s="134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</row>
    <row r="357" customFormat="false" ht="15.75" hidden="false" customHeight="false" outlineLevel="0" collapsed="false">
      <c r="A357" s="128" t="str">
        <f aca="false">IF(ISBLANK(B357),"",B357&amp;"|"&amp;C357)</f>
        <v/>
      </c>
      <c r="B357" s="128"/>
      <c r="C357" s="128"/>
      <c r="D357" s="128"/>
      <c r="E357" s="134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</row>
    <row r="358" customFormat="false" ht="15.75" hidden="false" customHeight="false" outlineLevel="0" collapsed="false">
      <c r="A358" s="128" t="str">
        <f aca="false">IF(ISBLANK(B358),"",B358&amp;"|"&amp;C358)</f>
        <v/>
      </c>
      <c r="B358" s="128"/>
      <c r="C358" s="128"/>
      <c r="D358" s="128"/>
      <c r="E358" s="134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</row>
    <row r="359" customFormat="false" ht="15.75" hidden="false" customHeight="false" outlineLevel="0" collapsed="false">
      <c r="A359" s="128" t="str">
        <f aca="false">IF(ISBLANK(B359),"",B359&amp;"|"&amp;C359)</f>
        <v/>
      </c>
      <c r="B359" s="128"/>
      <c r="C359" s="128"/>
      <c r="D359" s="128"/>
      <c r="E359" s="134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</row>
    <row r="360" customFormat="false" ht="15.75" hidden="false" customHeight="false" outlineLevel="0" collapsed="false">
      <c r="A360" s="128" t="str">
        <f aca="false">IF(ISBLANK(B360),"",B360&amp;"|"&amp;C360)</f>
        <v/>
      </c>
      <c r="B360" s="128"/>
      <c r="C360" s="128"/>
      <c r="D360" s="128"/>
      <c r="E360" s="134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</row>
    <row r="361" customFormat="false" ht="15.75" hidden="false" customHeight="false" outlineLevel="0" collapsed="false">
      <c r="A361" s="128" t="str">
        <f aca="false">IF(ISBLANK(B361),"",B361&amp;"|"&amp;C361)</f>
        <v/>
      </c>
      <c r="B361" s="128"/>
      <c r="C361" s="128"/>
      <c r="D361" s="128"/>
      <c r="E361" s="134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</row>
    <row r="362" customFormat="false" ht="15.75" hidden="false" customHeight="false" outlineLevel="0" collapsed="false">
      <c r="A362" s="128" t="str">
        <f aca="false">IF(ISBLANK(B362),"",B362&amp;"|"&amp;C362)</f>
        <v/>
      </c>
      <c r="B362" s="128"/>
      <c r="C362" s="128"/>
      <c r="D362" s="128"/>
      <c r="E362" s="134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</row>
    <row r="363" customFormat="false" ht="15.75" hidden="false" customHeight="false" outlineLevel="0" collapsed="false">
      <c r="A363" s="128" t="str">
        <f aca="false">IF(ISBLANK(B363),"",B363&amp;"|"&amp;C363)</f>
        <v/>
      </c>
      <c r="B363" s="128"/>
      <c r="C363" s="128"/>
      <c r="D363" s="128"/>
      <c r="E363" s="134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</row>
    <row r="364" customFormat="false" ht="15.75" hidden="false" customHeight="false" outlineLevel="0" collapsed="false">
      <c r="A364" s="128" t="str">
        <f aca="false">IF(ISBLANK(B364),"",B364&amp;"|"&amp;C364)</f>
        <v/>
      </c>
      <c r="B364" s="128"/>
      <c r="C364" s="128"/>
      <c r="D364" s="128"/>
      <c r="E364" s="134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</row>
    <row r="365" customFormat="false" ht="15.75" hidden="false" customHeight="false" outlineLevel="0" collapsed="false">
      <c r="A365" s="128" t="str">
        <f aca="false">IF(ISBLANK(B365),"",B365&amp;"|"&amp;C365)</f>
        <v/>
      </c>
      <c r="B365" s="128"/>
      <c r="C365" s="128"/>
      <c r="D365" s="128"/>
      <c r="E365" s="134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</row>
    <row r="366" customFormat="false" ht="15.75" hidden="false" customHeight="false" outlineLevel="0" collapsed="false">
      <c r="A366" s="128" t="str">
        <f aca="false">IF(ISBLANK(B366),"",B366&amp;"|"&amp;C366)</f>
        <v/>
      </c>
      <c r="B366" s="128"/>
      <c r="C366" s="128"/>
      <c r="D366" s="128"/>
      <c r="E366" s="134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</row>
    <row r="367" customFormat="false" ht="15.75" hidden="false" customHeight="false" outlineLevel="0" collapsed="false">
      <c r="A367" s="128" t="str">
        <f aca="false">IF(ISBLANK(B367),"",B367&amp;"|"&amp;C367)</f>
        <v/>
      </c>
      <c r="B367" s="128"/>
      <c r="C367" s="128"/>
      <c r="D367" s="128"/>
      <c r="E367" s="134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</row>
    <row r="368" customFormat="false" ht="15.75" hidden="false" customHeight="false" outlineLevel="0" collapsed="false">
      <c r="A368" s="128" t="str">
        <f aca="false">IF(ISBLANK(B368),"",B368&amp;"|"&amp;C368)</f>
        <v/>
      </c>
      <c r="B368" s="128"/>
      <c r="C368" s="128"/>
      <c r="D368" s="128"/>
      <c r="E368" s="134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</row>
    <row r="369" customFormat="false" ht="15.75" hidden="false" customHeight="false" outlineLevel="0" collapsed="false">
      <c r="A369" s="128" t="str">
        <f aca="false">IF(ISBLANK(B369),"",B369&amp;"|"&amp;C369)</f>
        <v/>
      </c>
      <c r="B369" s="128"/>
      <c r="C369" s="128"/>
      <c r="D369" s="128"/>
      <c r="E369" s="134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</row>
    <row r="370" customFormat="false" ht="15.75" hidden="false" customHeight="false" outlineLevel="0" collapsed="false">
      <c r="A370" s="128" t="str">
        <f aca="false">IF(ISBLANK(B370),"",B370&amp;"|"&amp;C370)</f>
        <v/>
      </c>
      <c r="B370" s="128"/>
      <c r="C370" s="128"/>
      <c r="D370" s="128"/>
      <c r="E370" s="134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</row>
    <row r="371" customFormat="false" ht="15.75" hidden="false" customHeight="false" outlineLevel="0" collapsed="false">
      <c r="A371" s="128" t="str">
        <f aca="false">IF(ISBLANK(B371),"",B371&amp;"|"&amp;C371)</f>
        <v/>
      </c>
      <c r="B371" s="128"/>
      <c r="C371" s="128"/>
      <c r="D371" s="128"/>
      <c r="E371" s="134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</row>
    <row r="372" customFormat="false" ht="15.75" hidden="false" customHeight="false" outlineLevel="0" collapsed="false">
      <c r="A372" s="128" t="str">
        <f aca="false">IF(ISBLANK(B372),"",B372&amp;"|"&amp;C372)</f>
        <v/>
      </c>
      <c r="B372" s="128"/>
      <c r="C372" s="128"/>
      <c r="D372" s="128"/>
      <c r="E372" s="134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</row>
    <row r="373" customFormat="false" ht="15.75" hidden="false" customHeight="false" outlineLevel="0" collapsed="false">
      <c r="A373" s="128" t="str">
        <f aca="false">IF(ISBLANK(B373),"",B373&amp;"|"&amp;C373)</f>
        <v/>
      </c>
      <c r="B373" s="128"/>
      <c r="C373" s="128"/>
      <c r="D373" s="128"/>
      <c r="E373" s="134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</row>
    <row r="374" customFormat="false" ht="15.75" hidden="false" customHeight="false" outlineLevel="0" collapsed="false">
      <c r="A374" s="128" t="str">
        <f aca="false">IF(ISBLANK(B374),"",B374&amp;"|"&amp;C374)</f>
        <v/>
      </c>
      <c r="B374" s="128"/>
      <c r="C374" s="128"/>
      <c r="D374" s="128"/>
      <c r="E374" s="134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</row>
    <row r="375" customFormat="false" ht="15.75" hidden="false" customHeight="false" outlineLevel="0" collapsed="false">
      <c r="A375" s="128" t="str">
        <f aca="false">IF(ISBLANK(B375),"",B375&amp;"|"&amp;C375)</f>
        <v/>
      </c>
      <c r="B375" s="128"/>
      <c r="C375" s="128"/>
      <c r="D375" s="128"/>
      <c r="E375" s="134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</row>
    <row r="376" customFormat="false" ht="15.75" hidden="false" customHeight="false" outlineLevel="0" collapsed="false">
      <c r="A376" s="128" t="str">
        <f aca="false">IF(ISBLANK(B376),"",B376&amp;"|"&amp;C376)</f>
        <v/>
      </c>
      <c r="B376" s="128"/>
      <c r="C376" s="128"/>
      <c r="D376" s="128"/>
      <c r="E376" s="134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</row>
    <row r="377" customFormat="false" ht="15.75" hidden="false" customHeight="false" outlineLevel="0" collapsed="false">
      <c r="A377" s="128" t="str">
        <f aca="false">IF(ISBLANK(B377),"",B377&amp;"|"&amp;C377)</f>
        <v/>
      </c>
      <c r="B377" s="128"/>
      <c r="C377" s="128"/>
      <c r="D377" s="128"/>
      <c r="E377" s="134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</row>
    <row r="378" customFormat="false" ht="15.75" hidden="false" customHeight="false" outlineLevel="0" collapsed="false">
      <c r="A378" s="128" t="str">
        <f aca="false">IF(ISBLANK(B378),"",B378&amp;"|"&amp;C378)</f>
        <v/>
      </c>
      <c r="B378" s="128"/>
      <c r="C378" s="128"/>
      <c r="D378" s="128"/>
      <c r="E378" s="134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</row>
    <row r="379" customFormat="false" ht="15.75" hidden="false" customHeight="false" outlineLevel="0" collapsed="false">
      <c r="A379" s="128" t="str">
        <f aca="false">IF(ISBLANK(B379),"",B379&amp;"|"&amp;C379)</f>
        <v/>
      </c>
      <c r="B379" s="128"/>
      <c r="C379" s="128"/>
      <c r="D379" s="128"/>
      <c r="E379" s="134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</row>
    <row r="380" customFormat="false" ht="15.75" hidden="false" customHeight="false" outlineLevel="0" collapsed="false">
      <c r="A380" s="128" t="str">
        <f aca="false">IF(ISBLANK(B380),"",B380&amp;"|"&amp;C380)</f>
        <v/>
      </c>
      <c r="B380" s="128"/>
      <c r="C380" s="128"/>
      <c r="D380" s="128"/>
      <c r="E380" s="134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</row>
    <row r="381" customFormat="false" ht="15.75" hidden="false" customHeight="false" outlineLevel="0" collapsed="false">
      <c r="A381" s="128" t="str">
        <f aca="false">IF(ISBLANK(B381),"",B381&amp;"|"&amp;C381)</f>
        <v/>
      </c>
      <c r="B381" s="128"/>
      <c r="C381" s="128"/>
      <c r="D381" s="128"/>
      <c r="E381" s="134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</row>
    <row r="382" customFormat="false" ht="15.75" hidden="false" customHeight="false" outlineLevel="0" collapsed="false">
      <c r="A382" s="128" t="str">
        <f aca="false">IF(ISBLANK(B382),"",B382&amp;"|"&amp;C382)</f>
        <v/>
      </c>
      <c r="B382" s="128"/>
      <c r="C382" s="128"/>
      <c r="D382" s="128"/>
      <c r="E382" s="134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</row>
    <row r="383" customFormat="false" ht="15.75" hidden="false" customHeight="false" outlineLevel="0" collapsed="false">
      <c r="A383" s="128" t="str">
        <f aca="false">IF(ISBLANK(B383),"",B383&amp;"|"&amp;C383)</f>
        <v/>
      </c>
      <c r="B383" s="128"/>
      <c r="C383" s="128"/>
      <c r="D383" s="128"/>
      <c r="E383" s="134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</row>
    <row r="384" customFormat="false" ht="15.75" hidden="false" customHeight="false" outlineLevel="0" collapsed="false">
      <c r="A384" s="128" t="str">
        <f aca="false">IF(ISBLANK(B384),"",B384&amp;"|"&amp;C384)</f>
        <v/>
      </c>
      <c r="B384" s="128"/>
      <c r="C384" s="128"/>
      <c r="D384" s="128"/>
      <c r="E384" s="134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</row>
    <row r="385" customFormat="false" ht="15.75" hidden="false" customHeight="false" outlineLevel="0" collapsed="false">
      <c r="A385" s="128" t="str">
        <f aca="false">IF(ISBLANK(B385),"",B385&amp;"|"&amp;C385)</f>
        <v/>
      </c>
      <c r="B385" s="128"/>
      <c r="C385" s="128"/>
      <c r="D385" s="128"/>
      <c r="E385" s="134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</row>
    <row r="386" customFormat="false" ht="15.75" hidden="false" customHeight="false" outlineLevel="0" collapsed="false">
      <c r="A386" s="128" t="str">
        <f aca="false">IF(ISBLANK(B386),"",B386&amp;"|"&amp;C386)</f>
        <v/>
      </c>
      <c r="B386" s="128"/>
      <c r="C386" s="128"/>
      <c r="D386" s="128"/>
      <c r="E386" s="134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</row>
    <row r="387" customFormat="false" ht="15.75" hidden="false" customHeight="false" outlineLevel="0" collapsed="false">
      <c r="A387" s="128" t="str">
        <f aca="false">IF(ISBLANK(B387),"",B387&amp;"|"&amp;C387)</f>
        <v/>
      </c>
      <c r="B387" s="128"/>
      <c r="C387" s="128"/>
      <c r="D387" s="128"/>
      <c r="E387" s="134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</row>
    <row r="388" customFormat="false" ht="15.75" hidden="false" customHeight="false" outlineLevel="0" collapsed="false">
      <c r="A388" s="128" t="str">
        <f aca="false">IF(ISBLANK(B388),"",B388&amp;"|"&amp;C388)</f>
        <v/>
      </c>
      <c r="B388" s="128"/>
      <c r="C388" s="128"/>
      <c r="D388" s="128"/>
      <c r="E388" s="134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</row>
    <row r="389" customFormat="false" ht="15.75" hidden="false" customHeight="false" outlineLevel="0" collapsed="false">
      <c r="A389" s="128" t="str">
        <f aca="false">IF(ISBLANK(B389),"",B389&amp;"|"&amp;C389)</f>
        <v/>
      </c>
      <c r="B389" s="128"/>
      <c r="C389" s="128"/>
      <c r="D389" s="128"/>
      <c r="E389" s="134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</row>
    <row r="390" customFormat="false" ht="15.75" hidden="false" customHeight="false" outlineLevel="0" collapsed="false">
      <c r="A390" s="128" t="str">
        <f aca="false">IF(ISBLANK(B390),"",B390&amp;"|"&amp;C390)</f>
        <v/>
      </c>
      <c r="B390" s="128"/>
      <c r="C390" s="128"/>
      <c r="D390" s="128"/>
      <c r="E390" s="134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</row>
    <row r="391" customFormat="false" ht="15.75" hidden="false" customHeight="false" outlineLevel="0" collapsed="false">
      <c r="A391" s="128" t="str">
        <f aca="false">IF(ISBLANK(B391),"",B391&amp;"|"&amp;C391)</f>
        <v/>
      </c>
      <c r="B391" s="128"/>
      <c r="C391" s="128"/>
      <c r="D391" s="128"/>
      <c r="E391" s="134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</row>
    <row r="392" customFormat="false" ht="15.75" hidden="false" customHeight="false" outlineLevel="0" collapsed="false">
      <c r="A392" s="128" t="str">
        <f aca="false">IF(ISBLANK(B392),"",B392&amp;"|"&amp;C392)</f>
        <v/>
      </c>
      <c r="B392" s="128"/>
      <c r="C392" s="128"/>
      <c r="D392" s="128"/>
      <c r="E392" s="134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</row>
    <row r="393" customFormat="false" ht="15.75" hidden="false" customHeight="false" outlineLevel="0" collapsed="false">
      <c r="A393" s="128" t="str">
        <f aca="false">IF(ISBLANK(B393),"",B393&amp;"|"&amp;C393)</f>
        <v/>
      </c>
      <c r="B393" s="128"/>
      <c r="C393" s="128"/>
      <c r="D393" s="128"/>
      <c r="E393" s="134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</row>
    <row r="394" customFormat="false" ht="15.75" hidden="false" customHeight="false" outlineLevel="0" collapsed="false">
      <c r="A394" s="128" t="str">
        <f aca="false">IF(ISBLANK(B394),"",B394&amp;"|"&amp;C394)</f>
        <v/>
      </c>
      <c r="B394" s="128"/>
      <c r="C394" s="128"/>
      <c r="D394" s="128"/>
      <c r="E394" s="134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</row>
    <row r="395" customFormat="false" ht="15.75" hidden="false" customHeight="false" outlineLevel="0" collapsed="false">
      <c r="A395" s="128" t="str">
        <f aca="false">IF(ISBLANK(B395),"",B395&amp;"|"&amp;C395)</f>
        <v/>
      </c>
      <c r="B395" s="128"/>
      <c r="C395" s="128"/>
      <c r="D395" s="128"/>
      <c r="E395" s="134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</row>
    <row r="396" customFormat="false" ht="15.75" hidden="false" customHeight="false" outlineLevel="0" collapsed="false">
      <c r="A396" s="128" t="str">
        <f aca="false">IF(ISBLANK(B396),"",B396&amp;"|"&amp;C396)</f>
        <v/>
      </c>
      <c r="B396" s="128"/>
      <c r="C396" s="128"/>
      <c r="D396" s="128"/>
      <c r="E396" s="134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</row>
    <row r="397" customFormat="false" ht="15.75" hidden="false" customHeight="false" outlineLevel="0" collapsed="false">
      <c r="A397" s="128" t="str">
        <f aca="false">IF(ISBLANK(B397),"",B397&amp;"|"&amp;C397)</f>
        <v/>
      </c>
      <c r="B397" s="128"/>
      <c r="C397" s="128"/>
      <c r="D397" s="128"/>
      <c r="E397" s="134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</row>
    <row r="398" customFormat="false" ht="15.75" hidden="false" customHeight="false" outlineLevel="0" collapsed="false">
      <c r="A398" s="128" t="str">
        <f aca="false">IF(ISBLANK(B398),"",B398&amp;"|"&amp;C398)</f>
        <v/>
      </c>
      <c r="B398" s="128"/>
      <c r="C398" s="128"/>
      <c r="D398" s="128"/>
      <c r="E398" s="134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</row>
    <row r="399" customFormat="false" ht="15.75" hidden="false" customHeight="false" outlineLevel="0" collapsed="false">
      <c r="A399" s="128" t="str">
        <f aca="false">IF(ISBLANK(B399),"",B399&amp;"|"&amp;C399)</f>
        <v/>
      </c>
      <c r="B399" s="128"/>
      <c r="C399" s="128"/>
      <c r="D399" s="128"/>
      <c r="E399" s="134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</row>
    <row r="400" customFormat="false" ht="15.75" hidden="false" customHeight="false" outlineLevel="0" collapsed="false">
      <c r="A400" s="128" t="str">
        <f aca="false">IF(ISBLANK(B400),"",B400&amp;"|"&amp;C400)</f>
        <v/>
      </c>
      <c r="B400" s="128"/>
      <c r="C400" s="128"/>
      <c r="D400" s="128"/>
      <c r="E400" s="134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</row>
    <row r="401" customFormat="false" ht="15.75" hidden="false" customHeight="false" outlineLevel="0" collapsed="false">
      <c r="A401" s="128" t="str">
        <f aca="false">IF(ISBLANK(B401),"",B401&amp;"|"&amp;C401)</f>
        <v/>
      </c>
      <c r="B401" s="128"/>
      <c r="C401" s="128"/>
      <c r="D401" s="128"/>
      <c r="E401" s="134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</row>
    <row r="402" customFormat="false" ht="15.75" hidden="false" customHeight="false" outlineLevel="0" collapsed="false">
      <c r="A402" s="128" t="str">
        <f aca="false">IF(ISBLANK(B402),"",B402&amp;"|"&amp;C402)</f>
        <v/>
      </c>
      <c r="B402" s="128"/>
      <c r="C402" s="128"/>
      <c r="D402" s="128"/>
      <c r="E402" s="134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</row>
    <row r="403" customFormat="false" ht="15.75" hidden="false" customHeight="false" outlineLevel="0" collapsed="false">
      <c r="A403" s="128" t="str">
        <f aca="false">IF(ISBLANK(B403),"",B403&amp;"|"&amp;C403)</f>
        <v/>
      </c>
      <c r="B403" s="128"/>
      <c r="C403" s="128"/>
      <c r="D403" s="128"/>
      <c r="E403" s="134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</row>
    <row r="404" customFormat="false" ht="15.75" hidden="false" customHeight="false" outlineLevel="0" collapsed="false">
      <c r="A404" s="128" t="str">
        <f aca="false">IF(ISBLANK(B404),"",B404&amp;"|"&amp;C404)</f>
        <v/>
      </c>
      <c r="B404" s="128"/>
      <c r="C404" s="128"/>
      <c r="D404" s="128"/>
      <c r="E404" s="134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</row>
    <row r="405" customFormat="false" ht="15.75" hidden="false" customHeight="false" outlineLevel="0" collapsed="false">
      <c r="A405" s="128" t="str">
        <f aca="false">IF(ISBLANK(B405),"",B405&amp;"|"&amp;C405)</f>
        <v/>
      </c>
      <c r="B405" s="128"/>
      <c r="C405" s="128"/>
      <c r="D405" s="128"/>
      <c r="E405" s="134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</row>
    <row r="406" customFormat="false" ht="15.75" hidden="false" customHeight="false" outlineLevel="0" collapsed="false">
      <c r="A406" s="128" t="str">
        <f aca="false">IF(ISBLANK(B406),"",B406&amp;"|"&amp;C406)</f>
        <v/>
      </c>
      <c r="B406" s="128"/>
      <c r="C406" s="128"/>
      <c r="D406" s="128"/>
      <c r="E406" s="134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</row>
    <row r="407" customFormat="false" ht="15.75" hidden="false" customHeight="false" outlineLevel="0" collapsed="false">
      <c r="A407" s="128" t="str">
        <f aca="false">IF(ISBLANK(B407),"",B407&amp;"|"&amp;C407)</f>
        <v/>
      </c>
      <c r="B407" s="128"/>
      <c r="C407" s="128"/>
      <c r="D407" s="128"/>
      <c r="E407" s="134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</row>
    <row r="408" customFormat="false" ht="15.75" hidden="false" customHeight="false" outlineLevel="0" collapsed="false">
      <c r="A408" s="128" t="str">
        <f aca="false">IF(ISBLANK(B408),"",B408&amp;"|"&amp;C408)</f>
        <v/>
      </c>
      <c r="B408" s="128"/>
      <c r="C408" s="128"/>
      <c r="D408" s="128"/>
      <c r="E408" s="134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</row>
    <row r="409" customFormat="false" ht="15.75" hidden="false" customHeight="false" outlineLevel="0" collapsed="false">
      <c r="A409" s="128" t="str">
        <f aca="false">IF(ISBLANK(B409),"",B409&amp;"|"&amp;C409)</f>
        <v/>
      </c>
      <c r="B409" s="128"/>
      <c r="C409" s="128"/>
      <c r="D409" s="128"/>
      <c r="E409" s="134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</row>
    <row r="410" customFormat="false" ht="15.75" hidden="false" customHeight="false" outlineLevel="0" collapsed="false">
      <c r="A410" s="128" t="str">
        <f aca="false">IF(ISBLANK(B410),"",B410&amp;"|"&amp;C410)</f>
        <v/>
      </c>
      <c r="B410" s="128"/>
      <c r="C410" s="128"/>
      <c r="D410" s="128"/>
      <c r="E410" s="134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</row>
    <row r="411" customFormat="false" ht="15.75" hidden="false" customHeight="false" outlineLevel="0" collapsed="false">
      <c r="A411" s="128" t="str">
        <f aca="false">IF(ISBLANK(B411),"",B411&amp;"|"&amp;C411)</f>
        <v/>
      </c>
      <c r="B411" s="128"/>
      <c r="C411" s="128"/>
      <c r="D411" s="128"/>
      <c r="E411" s="134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</row>
    <row r="412" customFormat="false" ht="15.75" hidden="false" customHeight="false" outlineLevel="0" collapsed="false">
      <c r="A412" s="128" t="str">
        <f aca="false">IF(ISBLANK(B412),"",B412&amp;"|"&amp;C412)</f>
        <v/>
      </c>
      <c r="B412" s="128"/>
      <c r="C412" s="128"/>
      <c r="D412" s="128"/>
      <c r="E412" s="134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</row>
    <row r="413" customFormat="false" ht="15.75" hidden="false" customHeight="false" outlineLevel="0" collapsed="false">
      <c r="A413" s="128" t="str">
        <f aca="false">IF(ISBLANK(B413),"",B413&amp;"|"&amp;C413)</f>
        <v/>
      </c>
      <c r="B413" s="128"/>
      <c r="C413" s="128"/>
      <c r="D413" s="128"/>
      <c r="E413" s="134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</row>
    <row r="414" customFormat="false" ht="15.75" hidden="false" customHeight="false" outlineLevel="0" collapsed="false">
      <c r="A414" s="128" t="str">
        <f aca="false">IF(ISBLANK(B414),"",B414&amp;"|"&amp;C414)</f>
        <v/>
      </c>
      <c r="B414" s="128"/>
      <c r="C414" s="128"/>
      <c r="D414" s="128"/>
      <c r="E414" s="134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</row>
    <row r="415" customFormat="false" ht="15.75" hidden="false" customHeight="false" outlineLevel="0" collapsed="false">
      <c r="A415" s="128" t="str">
        <f aca="false">IF(ISBLANK(B415),"",B415&amp;"|"&amp;C415)</f>
        <v/>
      </c>
      <c r="B415" s="128"/>
      <c r="C415" s="128"/>
      <c r="D415" s="128"/>
      <c r="E415" s="134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</row>
    <row r="416" customFormat="false" ht="15.75" hidden="false" customHeight="false" outlineLevel="0" collapsed="false">
      <c r="A416" s="128" t="str">
        <f aca="false">IF(ISBLANK(B416),"",B416&amp;"|"&amp;C416)</f>
        <v/>
      </c>
      <c r="B416" s="128"/>
      <c r="C416" s="128"/>
      <c r="D416" s="128"/>
      <c r="E416" s="134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</row>
    <row r="417" customFormat="false" ht="15.75" hidden="false" customHeight="false" outlineLevel="0" collapsed="false">
      <c r="A417" s="128" t="str">
        <f aca="false">IF(ISBLANK(B417),"",B417&amp;"|"&amp;C417)</f>
        <v/>
      </c>
      <c r="B417" s="128"/>
      <c r="C417" s="128"/>
      <c r="D417" s="128"/>
      <c r="E417" s="134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</row>
    <row r="418" customFormat="false" ht="15.75" hidden="false" customHeight="false" outlineLevel="0" collapsed="false">
      <c r="A418" s="128" t="str">
        <f aca="false">IF(ISBLANK(B418),"",B418&amp;"|"&amp;C418)</f>
        <v/>
      </c>
      <c r="B418" s="128"/>
      <c r="C418" s="128"/>
      <c r="D418" s="128"/>
      <c r="E418" s="134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</row>
    <row r="419" customFormat="false" ht="15.75" hidden="false" customHeight="false" outlineLevel="0" collapsed="false">
      <c r="A419" s="128" t="str">
        <f aca="false">IF(ISBLANK(B419),"",B419&amp;"|"&amp;C419)</f>
        <v/>
      </c>
      <c r="B419" s="128"/>
      <c r="C419" s="128"/>
      <c r="D419" s="128"/>
      <c r="E419" s="134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</row>
    <row r="420" customFormat="false" ht="15.75" hidden="false" customHeight="false" outlineLevel="0" collapsed="false">
      <c r="A420" s="128" t="str">
        <f aca="false">IF(ISBLANK(B420),"",B420&amp;"|"&amp;C420)</f>
        <v/>
      </c>
      <c r="B420" s="128"/>
      <c r="C420" s="128"/>
      <c r="D420" s="128"/>
      <c r="E420" s="134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</row>
    <row r="421" customFormat="false" ht="15.75" hidden="false" customHeight="false" outlineLevel="0" collapsed="false">
      <c r="A421" s="128" t="str">
        <f aca="false">IF(ISBLANK(B421),"",B421&amp;"|"&amp;C421)</f>
        <v/>
      </c>
      <c r="B421" s="128"/>
      <c r="C421" s="128"/>
      <c r="D421" s="128"/>
      <c r="E421" s="134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</row>
    <row r="422" customFormat="false" ht="15.75" hidden="false" customHeight="false" outlineLevel="0" collapsed="false">
      <c r="A422" s="128" t="str">
        <f aca="false">IF(ISBLANK(B422),"",B422&amp;"|"&amp;C422)</f>
        <v/>
      </c>
      <c r="B422" s="128"/>
      <c r="C422" s="128"/>
      <c r="D422" s="128"/>
      <c r="E422" s="134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</row>
    <row r="423" customFormat="false" ht="15.75" hidden="false" customHeight="false" outlineLevel="0" collapsed="false">
      <c r="A423" s="128" t="str">
        <f aca="false">IF(ISBLANK(B423),"",B423&amp;"|"&amp;C423)</f>
        <v/>
      </c>
      <c r="B423" s="128"/>
      <c r="C423" s="128"/>
      <c r="D423" s="128"/>
      <c r="E423" s="134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</row>
    <row r="424" customFormat="false" ht="15.75" hidden="false" customHeight="false" outlineLevel="0" collapsed="false">
      <c r="A424" s="128" t="str">
        <f aca="false">IF(ISBLANK(B424),"",B424&amp;"|"&amp;C424)</f>
        <v/>
      </c>
      <c r="B424" s="128"/>
      <c r="C424" s="128"/>
      <c r="D424" s="128"/>
      <c r="E424" s="134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</row>
    <row r="425" customFormat="false" ht="15.75" hidden="false" customHeight="false" outlineLevel="0" collapsed="false">
      <c r="A425" s="128" t="str">
        <f aca="false">IF(ISBLANK(B425),"",B425&amp;"|"&amp;C425)</f>
        <v/>
      </c>
      <c r="B425" s="128"/>
      <c r="C425" s="128"/>
      <c r="D425" s="128"/>
      <c r="E425" s="134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</row>
    <row r="426" customFormat="false" ht="15.75" hidden="false" customHeight="false" outlineLevel="0" collapsed="false">
      <c r="A426" s="128" t="str">
        <f aca="false">IF(ISBLANK(B426),"",B426&amp;"|"&amp;C426)</f>
        <v/>
      </c>
      <c r="B426" s="128"/>
      <c r="C426" s="128"/>
      <c r="D426" s="128"/>
      <c r="E426" s="134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</row>
    <row r="427" customFormat="false" ht="15.75" hidden="false" customHeight="false" outlineLevel="0" collapsed="false">
      <c r="A427" s="128" t="str">
        <f aca="false">IF(ISBLANK(B427),"",B427&amp;"|"&amp;C427)</f>
        <v/>
      </c>
      <c r="B427" s="128"/>
      <c r="C427" s="128"/>
      <c r="D427" s="128"/>
      <c r="E427" s="134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</row>
    <row r="428" customFormat="false" ht="15.75" hidden="false" customHeight="false" outlineLevel="0" collapsed="false">
      <c r="A428" s="128" t="str">
        <f aca="false">IF(ISBLANK(B428),"",B428&amp;"|"&amp;C428)</f>
        <v/>
      </c>
      <c r="B428" s="128"/>
      <c r="C428" s="128"/>
      <c r="D428" s="128"/>
      <c r="E428" s="134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</row>
    <row r="429" customFormat="false" ht="15.75" hidden="false" customHeight="false" outlineLevel="0" collapsed="false">
      <c r="A429" s="128" t="str">
        <f aca="false">IF(ISBLANK(B429),"",B429&amp;"|"&amp;C429)</f>
        <v/>
      </c>
      <c r="B429" s="128"/>
      <c r="C429" s="128"/>
      <c r="D429" s="128"/>
      <c r="E429" s="134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</row>
    <row r="430" customFormat="false" ht="15.75" hidden="false" customHeight="false" outlineLevel="0" collapsed="false">
      <c r="A430" s="128" t="str">
        <f aca="false">IF(ISBLANK(B430),"",B430&amp;"|"&amp;C430)</f>
        <v/>
      </c>
      <c r="B430" s="128"/>
      <c r="C430" s="128"/>
      <c r="D430" s="128"/>
      <c r="E430" s="134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</row>
    <row r="431" customFormat="false" ht="15.75" hidden="false" customHeight="false" outlineLevel="0" collapsed="false">
      <c r="A431" s="128" t="str">
        <f aca="false">IF(ISBLANK(B431),"",B431&amp;"|"&amp;C431)</f>
        <v/>
      </c>
      <c r="B431" s="128"/>
      <c r="C431" s="128"/>
      <c r="D431" s="128"/>
      <c r="E431" s="134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</row>
    <row r="432" customFormat="false" ht="15.75" hidden="false" customHeight="false" outlineLevel="0" collapsed="false">
      <c r="A432" s="128" t="str">
        <f aca="false">IF(ISBLANK(B432),"",B432&amp;"|"&amp;C432)</f>
        <v/>
      </c>
      <c r="B432" s="128"/>
      <c r="C432" s="128"/>
      <c r="D432" s="128"/>
      <c r="E432" s="134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</row>
    <row r="433" customFormat="false" ht="15.75" hidden="false" customHeight="false" outlineLevel="0" collapsed="false">
      <c r="A433" s="128" t="str">
        <f aca="false">IF(ISBLANK(B433),"",B433&amp;"|"&amp;C433)</f>
        <v/>
      </c>
      <c r="B433" s="128"/>
      <c r="C433" s="128"/>
      <c r="D433" s="128"/>
      <c r="E433" s="134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</row>
    <row r="434" customFormat="false" ht="15.75" hidden="false" customHeight="false" outlineLevel="0" collapsed="false">
      <c r="A434" s="128" t="str">
        <f aca="false">IF(ISBLANK(B434),"",B434&amp;"|"&amp;C434)</f>
        <v/>
      </c>
      <c r="B434" s="128"/>
      <c r="C434" s="128"/>
      <c r="D434" s="128"/>
      <c r="E434" s="134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</row>
    <row r="435" customFormat="false" ht="15.75" hidden="false" customHeight="false" outlineLevel="0" collapsed="false">
      <c r="A435" s="128" t="str">
        <f aca="false">IF(ISBLANK(B435),"",B435&amp;"|"&amp;C435)</f>
        <v/>
      </c>
      <c r="B435" s="128"/>
      <c r="C435" s="128"/>
      <c r="D435" s="128"/>
      <c r="E435" s="134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</row>
    <row r="436" customFormat="false" ht="15.75" hidden="false" customHeight="false" outlineLevel="0" collapsed="false">
      <c r="A436" s="128" t="str">
        <f aca="false">IF(ISBLANK(B436),"",B436&amp;"|"&amp;C436)</f>
        <v/>
      </c>
      <c r="B436" s="128"/>
      <c r="C436" s="128"/>
      <c r="D436" s="128"/>
      <c r="E436" s="134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</row>
    <row r="437" customFormat="false" ht="15.75" hidden="false" customHeight="false" outlineLevel="0" collapsed="false">
      <c r="A437" s="128" t="str">
        <f aca="false">IF(ISBLANK(B437),"",B437&amp;"|"&amp;C437)</f>
        <v/>
      </c>
      <c r="B437" s="128"/>
      <c r="C437" s="128"/>
      <c r="D437" s="128"/>
      <c r="E437" s="134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</row>
    <row r="438" customFormat="false" ht="15.75" hidden="false" customHeight="false" outlineLevel="0" collapsed="false">
      <c r="A438" s="128" t="str">
        <f aca="false">IF(ISBLANK(B438),"",B438&amp;"|"&amp;C438)</f>
        <v/>
      </c>
      <c r="B438" s="128"/>
      <c r="C438" s="128"/>
      <c r="D438" s="128"/>
      <c r="E438" s="134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</row>
    <row r="439" customFormat="false" ht="15.75" hidden="false" customHeight="false" outlineLevel="0" collapsed="false">
      <c r="A439" s="128" t="str">
        <f aca="false">IF(ISBLANK(B439),"",B439&amp;"|"&amp;C439)</f>
        <v/>
      </c>
      <c r="B439" s="128"/>
      <c r="C439" s="128"/>
      <c r="D439" s="128"/>
      <c r="E439" s="134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</row>
    <row r="440" customFormat="false" ht="15.75" hidden="false" customHeight="false" outlineLevel="0" collapsed="false">
      <c r="A440" s="128" t="str">
        <f aca="false">IF(ISBLANK(B440),"",B440&amp;"|"&amp;C440)</f>
        <v/>
      </c>
      <c r="B440" s="128"/>
      <c r="C440" s="128"/>
      <c r="D440" s="128"/>
      <c r="E440" s="134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</row>
    <row r="441" customFormat="false" ht="15.75" hidden="false" customHeight="false" outlineLevel="0" collapsed="false">
      <c r="A441" s="128" t="str">
        <f aca="false">IF(ISBLANK(B441),"",B441&amp;"|"&amp;C441)</f>
        <v/>
      </c>
      <c r="B441" s="128"/>
      <c r="C441" s="128"/>
      <c r="D441" s="128"/>
      <c r="E441" s="134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</row>
    <row r="442" customFormat="false" ht="15.75" hidden="false" customHeight="false" outlineLevel="0" collapsed="false">
      <c r="A442" s="128" t="str">
        <f aca="false">IF(ISBLANK(B442),"",B442&amp;"|"&amp;C442)</f>
        <v/>
      </c>
      <c r="B442" s="128"/>
      <c r="C442" s="128"/>
      <c r="D442" s="128"/>
      <c r="E442" s="134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</row>
    <row r="443" customFormat="false" ht="15.75" hidden="false" customHeight="false" outlineLevel="0" collapsed="false">
      <c r="A443" s="128" t="str">
        <f aca="false">IF(ISBLANK(B443),"",B443&amp;"|"&amp;C443)</f>
        <v/>
      </c>
      <c r="B443" s="128"/>
      <c r="C443" s="128"/>
      <c r="D443" s="128"/>
      <c r="E443" s="134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</row>
    <row r="444" customFormat="false" ht="15.75" hidden="false" customHeight="false" outlineLevel="0" collapsed="false">
      <c r="A444" s="128" t="str">
        <f aca="false">IF(ISBLANK(B444),"",B444&amp;"|"&amp;C444)</f>
        <v/>
      </c>
      <c r="B444" s="128"/>
      <c r="C444" s="128"/>
      <c r="D444" s="128"/>
      <c r="E444" s="134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</row>
    <row r="445" customFormat="false" ht="15.75" hidden="false" customHeight="false" outlineLevel="0" collapsed="false">
      <c r="A445" s="128" t="str">
        <f aca="false">IF(ISBLANK(B445),"",B445&amp;"|"&amp;C445)</f>
        <v/>
      </c>
      <c r="B445" s="128"/>
      <c r="C445" s="128"/>
      <c r="D445" s="128"/>
      <c r="E445" s="134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</row>
    <row r="446" customFormat="false" ht="15.75" hidden="false" customHeight="false" outlineLevel="0" collapsed="false">
      <c r="A446" s="128" t="str">
        <f aca="false">IF(ISBLANK(B446),"",B446&amp;"|"&amp;C446)</f>
        <v/>
      </c>
      <c r="B446" s="128"/>
      <c r="C446" s="128"/>
      <c r="D446" s="128"/>
      <c r="E446" s="134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</row>
    <row r="447" customFormat="false" ht="15.75" hidden="false" customHeight="false" outlineLevel="0" collapsed="false">
      <c r="A447" s="128" t="str">
        <f aca="false">IF(ISBLANK(B447),"",B447&amp;"|"&amp;C447)</f>
        <v/>
      </c>
      <c r="B447" s="128"/>
      <c r="C447" s="128"/>
      <c r="D447" s="128"/>
      <c r="E447" s="134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</row>
    <row r="448" customFormat="false" ht="15.75" hidden="false" customHeight="false" outlineLevel="0" collapsed="false">
      <c r="A448" s="128" t="str">
        <f aca="false">IF(ISBLANK(B448),"",B448&amp;"|"&amp;C448)</f>
        <v/>
      </c>
      <c r="B448" s="128"/>
      <c r="C448" s="128"/>
      <c r="D448" s="128"/>
      <c r="E448" s="134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</row>
    <row r="449" customFormat="false" ht="15.75" hidden="false" customHeight="false" outlineLevel="0" collapsed="false">
      <c r="A449" s="128" t="str">
        <f aca="false">IF(ISBLANK(B449),"",B449&amp;"|"&amp;C449)</f>
        <v/>
      </c>
      <c r="B449" s="128"/>
      <c r="C449" s="128"/>
      <c r="D449" s="128"/>
      <c r="E449" s="134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</row>
    <row r="450" customFormat="false" ht="15.75" hidden="false" customHeight="false" outlineLevel="0" collapsed="false">
      <c r="A450" s="128" t="str">
        <f aca="false">IF(ISBLANK(B450),"",B450&amp;"|"&amp;C450)</f>
        <v/>
      </c>
      <c r="B450" s="128"/>
      <c r="C450" s="128"/>
      <c r="D450" s="128"/>
      <c r="E450" s="134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</row>
    <row r="451" customFormat="false" ht="15.75" hidden="false" customHeight="false" outlineLevel="0" collapsed="false">
      <c r="A451" s="128" t="str">
        <f aca="false">IF(ISBLANK(B451),"",B451&amp;"|"&amp;C451)</f>
        <v/>
      </c>
      <c r="B451" s="128"/>
      <c r="C451" s="128"/>
      <c r="D451" s="128"/>
      <c r="E451" s="134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</row>
    <row r="452" customFormat="false" ht="15.75" hidden="false" customHeight="false" outlineLevel="0" collapsed="false">
      <c r="A452" s="128" t="str">
        <f aca="false">IF(ISBLANK(B452),"",B452&amp;"|"&amp;C452)</f>
        <v/>
      </c>
      <c r="B452" s="128"/>
      <c r="C452" s="128"/>
      <c r="D452" s="128"/>
      <c r="E452" s="134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</row>
    <row r="453" customFormat="false" ht="15.75" hidden="false" customHeight="false" outlineLevel="0" collapsed="false">
      <c r="A453" s="128" t="str">
        <f aca="false">IF(ISBLANK(B453),"",B453&amp;"|"&amp;C453)</f>
        <v/>
      </c>
      <c r="B453" s="128"/>
      <c r="C453" s="128"/>
      <c r="D453" s="128"/>
      <c r="E453" s="134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</row>
    <row r="454" customFormat="false" ht="15.75" hidden="false" customHeight="false" outlineLevel="0" collapsed="false">
      <c r="A454" s="128" t="str">
        <f aca="false">IF(ISBLANK(B454),"",B454&amp;"|"&amp;C454)</f>
        <v/>
      </c>
      <c r="B454" s="128"/>
      <c r="C454" s="128"/>
      <c r="D454" s="128"/>
      <c r="E454" s="134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</row>
    <row r="455" customFormat="false" ht="15.75" hidden="false" customHeight="false" outlineLevel="0" collapsed="false">
      <c r="A455" s="128" t="str">
        <f aca="false">IF(ISBLANK(B455),"",B455&amp;"|"&amp;C455)</f>
        <v/>
      </c>
      <c r="B455" s="128"/>
      <c r="C455" s="128"/>
      <c r="D455" s="128"/>
      <c r="E455" s="134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</row>
    <row r="456" customFormat="false" ht="15.75" hidden="false" customHeight="false" outlineLevel="0" collapsed="false">
      <c r="A456" s="128" t="str">
        <f aca="false">IF(ISBLANK(B456),"",B456&amp;"|"&amp;C456)</f>
        <v/>
      </c>
      <c r="B456" s="128"/>
      <c r="C456" s="128"/>
      <c r="D456" s="128"/>
      <c r="E456" s="134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</row>
    <row r="457" customFormat="false" ht="15.75" hidden="false" customHeight="false" outlineLevel="0" collapsed="false">
      <c r="A457" s="128" t="str">
        <f aca="false">IF(ISBLANK(B457),"",B457&amp;"|"&amp;C457)</f>
        <v/>
      </c>
      <c r="B457" s="128"/>
      <c r="C457" s="128"/>
      <c r="D457" s="128"/>
      <c r="E457" s="134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</row>
    <row r="458" customFormat="false" ht="15.75" hidden="false" customHeight="false" outlineLevel="0" collapsed="false">
      <c r="A458" s="128" t="str">
        <f aca="false">IF(ISBLANK(B458),"",B458&amp;"|"&amp;C458)</f>
        <v/>
      </c>
      <c r="B458" s="128"/>
      <c r="C458" s="128"/>
      <c r="D458" s="128"/>
      <c r="E458" s="134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</row>
    <row r="459" customFormat="false" ht="15.75" hidden="false" customHeight="false" outlineLevel="0" collapsed="false">
      <c r="A459" s="128" t="str">
        <f aca="false">IF(ISBLANK(B459),"",B459&amp;"|"&amp;C459)</f>
        <v/>
      </c>
      <c r="B459" s="128"/>
      <c r="C459" s="128"/>
      <c r="D459" s="128"/>
      <c r="E459" s="134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</row>
    <row r="460" customFormat="false" ht="15.75" hidden="false" customHeight="false" outlineLevel="0" collapsed="false">
      <c r="A460" s="128" t="str">
        <f aca="false">IF(ISBLANK(B460),"",B460&amp;"|"&amp;C460)</f>
        <v/>
      </c>
      <c r="B460" s="128"/>
      <c r="C460" s="128"/>
      <c r="D460" s="128"/>
      <c r="E460" s="134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</row>
    <row r="461" customFormat="false" ht="15.75" hidden="false" customHeight="false" outlineLevel="0" collapsed="false">
      <c r="A461" s="128" t="str">
        <f aca="false">IF(ISBLANK(B461),"",B461&amp;"|"&amp;C461)</f>
        <v/>
      </c>
      <c r="B461" s="128"/>
      <c r="C461" s="128"/>
      <c r="D461" s="128"/>
      <c r="E461" s="134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</row>
    <row r="462" customFormat="false" ht="15.75" hidden="false" customHeight="false" outlineLevel="0" collapsed="false">
      <c r="A462" s="128" t="str">
        <f aca="false">IF(ISBLANK(B462),"",B462&amp;"|"&amp;C462)</f>
        <v/>
      </c>
      <c r="B462" s="128"/>
      <c r="C462" s="128"/>
      <c r="D462" s="128"/>
      <c r="E462" s="134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</row>
    <row r="463" customFormat="false" ht="15.75" hidden="false" customHeight="false" outlineLevel="0" collapsed="false">
      <c r="A463" s="128" t="str">
        <f aca="false">IF(ISBLANK(B463),"",B463&amp;"|"&amp;C463)</f>
        <v/>
      </c>
      <c r="B463" s="128"/>
      <c r="C463" s="128"/>
      <c r="D463" s="128"/>
      <c r="E463" s="134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</row>
    <row r="464" customFormat="false" ht="15.75" hidden="false" customHeight="false" outlineLevel="0" collapsed="false">
      <c r="A464" s="128" t="str">
        <f aca="false">IF(ISBLANK(B464),"",B464&amp;"|"&amp;C464)</f>
        <v/>
      </c>
      <c r="B464" s="128"/>
      <c r="C464" s="128"/>
      <c r="D464" s="128"/>
      <c r="E464" s="134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</row>
    <row r="465" customFormat="false" ht="15.75" hidden="false" customHeight="false" outlineLevel="0" collapsed="false">
      <c r="A465" s="128" t="str">
        <f aca="false">IF(ISBLANK(B465),"",B465&amp;"|"&amp;C465)</f>
        <v/>
      </c>
      <c r="B465" s="128"/>
      <c r="C465" s="128"/>
      <c r="D465" s="128"/>
      <c r="E465" s="134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</row>
    <row r="466" customFormat="false" ht="15.75" hidden="false" customHeight="false" outlineLevel="0" collapsed="false">
      <c r="A466" s="128" t="str">
        <f aca="false">IF(ISBLANK(B466),"",B466&amp;"|"&amp;C466)</f>
        <v/>
      </c>
      <c r="B466" s="128"/>
      <c r="C466" s="128"/>
      <c r="D466" s="128"/>
      <c r="E466" s="134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</row>
    <row r="467" customFormat="false" ht="15.75" hidden="false" customHeight="false" outlineLevel="0" collapsed="false">
      <c r="A467" s="128" t="str">
        <f aca="false">IF(ISBLANK(B467),"",B467&amp;"|"&amp;C467)</f>
        <v/>
      </c>
      <c r="B467" s="128"/>
      <c r="C467" s="128"/>
      <c r="D467" s="128"/>
      <c r="E467" s="134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</row>
    <row r="468" customFormat="false" ht="15.75" hidden="false" customHeight="false" outlineLevel="0" collapsed="false">
      <c r="A468" s="128" t="str">
        <f aca="false">IF(ISBLANK(B468),"",B468&amp;"|"&amp;C468)</f>
        <v/>
      </c>
      <c r="B468" s="128"/>
      <c r="C468" s="128"/>
      <c r="D468" s="128"/>
      <c r="E468" s="134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</row>
    <row r="469" customFormat="false" ht="15.75" hidden="false" customHeight="false" outlineLevel="0" collapsed="false">
      <c r="A469" s="128" t="str">
        <f aca="false">IF(ISBLANK(B469),"",B469&amp;"|"&amp;C469)</f>
        <v/>
      </c>
      <c r="B469" s="128"/>
      <c r="C469" s="128"/>
      <c r="D469" s="128"/>
      <c r="E469" s="134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</row>
    <row r="470" customFormat="false" ht="15.75" hidden="false" customHeight="false" outlineLevel="0" collapsed="false">
      <c r="A470" s="128" t="str">
        <f aca="false">IF(ISBLANK(B470),"",B470&amp;"|"&amp;C470)</f>
        <v/>
      </c>
      <c r="B470" s="128"/>
      <c r="C470" s="128"/>
      <c r="D470" s="128"/>
      <c r="E470" s="134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</row>
    <row r="471" customFormat="false" ht="15.75" hidden="false" customHeight="false" outlineLevel="0" collapsed="false">
      <c r="A471" s="128" t="str">
        <f aca="false">IF(ISBLANK(B471),"",B471&amp;"|"&amp;C471)</f>
        <v/>
      </c>
      <c r="B471" s="128"/>
      <c r="C471" s="128"/>
      <c r="D471" s="128"/>
      <c r="E471" s="134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</row>
    <row r="472" customFormat="false" ht="15.75" hidden="false" customHeight="false" outlineLevel="0" collapsed="false">
      <c r="A472" s="128" t="str">
        <f aca="false">IF(ISBLANK(B472),"",B472&amp;"|"&amp;C472)</f>
        <v/>
      </c>
      <c r="B472" s="128"/>
      <c r="C472" s="128"/>
      <c r="D472" s="128"/>
      <c r="E472" s="134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</row>
    <row r="473" customFormat="false" ht="15.75" hidden="false" customHeight="false" outlineLevel="0" collapsed="false">
      <c r="A473" s="128" t="str">
        <f aca="false">IF(ISBLANK(B473),"",B473&amp;"|"&amp;C473)</f>
        <v/>
      </c>
      <c r="B473" s="128"/>
      <c r="C473" s="128"/>
      <c r="D473" s="128"/>
      <c r="E473" s="134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</row>
    <row r="474" customFormat="false" ht="15.75" hidden="false" customHeight="false" outlineLevel="0" collapsed="false">
      <c r="A474" s="128" t="str">
        <f aca="false">IF(ISBLANK(B474),"",B474&amp;"|"&amp;C474)</f>
        <v/>
      </c>
      <c r="B474" s="128"/>
      <c r="C474" s="128"/>
      <c r="D474" s="128"/>
      <c r="E474" s="134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</row>
    <row r="475" customFormat="false" ht="15.75" hidden="false" customHeight="false" outlineLevel="0" collapsed="false">
      <c r="A475" s="128" t="str">
        <f aca="false">IF(ISBLANK(B475),"",B475&amp;"|"&amp;C475)</f>
        <v/>
      </c>
      <c r="B475" s="128"/>
      <c r="C475" s="128"/>
      <c r="D475" s="128"/>
      <c r="E475" s="134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</row>
    <row r="476" customFormat="false" ht="15.75" hidden="false" customHeight="false" outlineLevel="0" collapsed="false">
      <c r="A476" s="128" t="str">
        <f aca="false">IF(ISBLANK(B476),"",B476&amp;"|"&amp;C476)</f>
        <v/>
      </c>
      <c r="B476" s="128"/>
      <c r="C476" s="128"/>
      <c r="D476" s="128"/>
      <c r="E476" s="134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</row>
    <row r="477" customFormat="false" ht="15.75" hidden="false" customHeight="false" outlineLevel="0" collapsed="false">
      <c r="A477" s="128" t="str">
        <f aca="false">IF(ISBLANK(B477),"",B477&amp;"|"&amp;C477)</f>
        <v/>
      </c>
      <c r="B477" s="128"/>
      <c r="C477" s="128"/>
      <c r="D477" s="128"/>
      <c r="E477" s="134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</row>
    <row r="478" customFormat="false" ht="15.75" hidden="false" customHeight="false" outlineLevel="0" collapsed="false">
      <c r="A478" s="128" t="str">
        <f aca="false">IF(ISBLANK(B478),"",B478&amp;"|"&amp;C478)</f>
        <v/>
      </c>
      <c r="B478" s="128"/>
      <c r="C478" s="128"/>
      <c r="D478" s="128"/>
      <c r="E478" s="134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</row>
    <row r="479" customFormat="false" ht="15.75" hidden="false" customHeight="false" outlineLevel="0" collapsed="false">
      <c r="A479" s="128" t="str">
        <f aca="false">IF(ISBLANK(B479),"",B479&amp;"|"&amp;C479)</f>
        <v/>
      </c>
      <c r="B479" s="128"/>
      <c r="C479" s="128"/>
      <c r="D479" s="128"/>
      <c r="E479" s="134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</row>
    <row r="480" customFormat="false" ht="15.75" hidden="false" customHeight="false" outlineLevel="0" collapsed="false">
      <c r="A480" s="128" t="str">
        <f aca="false">IF(ISBLANK(B480),"",B480&amp;"|"&amp;C480)</f>
        <v/>
      </c>
      <c r="B480" s="128"/>
      <c r="C480" s="128"/>
      <c r="D480" s="128"/>
      <c r="E480" s="134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</row>
    <row r="481" customFormat="false" ht="15.75" hidden="false" customHeight="false" outlineLevel="0" collapsed="false">
      <c r="A481" s="128" t="str">
        <f aca="false">IF(ISBLANK(B481),"",B481&amp;"|"&amp;C481)</f>
        <v/>
      </c>
      <c r="B481" s="128"/>
      <c r="C481" s="128"/>
      <c r="D481" s="128"/>
      <c r="E481" s="134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</row>
    <row r="482" customFormat="false" ht="15.75" hidden="false" customHeight="false" outlineLevel="0" collapsed="false">
      <c r="A482" s="128" t="str">
        <f aca="false">IF(ISBLANK(B482),"",B482&amp;"|"&amp;C482)</f>
        <v/>
      </c>
      <c r="B482" s="128"/>
      <c r="C482" s="128"/>
      <c r="D482" s="128"/>
      <c r="E482" s="134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</row>
    <row r="483" customFormat="false" ht="15.75" hidden="false" customHeight="false" outlineLevel="0" collapsed="false">
      <c r="A483" s="128" t="str">
        <f aca="false">IF(ISBLANK(B483),"",B483&amp;"|"&amp;C483)</f>
        <v/>
      </c>
      <c r="B483" s="128"/>
      <c r="C483" s="128"/>
      <c r="D483" s="128"/>
      <c r="E483" s="134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</row>
    <row r="484" customFormat="false" ht="15.75" hidden="false" customHeight="false" outlineLevel="0" collapsed="false">
      <c r="A484" s="128" t="str">
        <f aca="false">IF(ISBLANK(B484),"",B484&amp;"|"&amp;C484)</f>
        <v/>
      </c>
      <c r="B484" s="128"/>
      <c r="C484" s="128"/>
      <c r="D484" s="128"/>
      <c r="E484" s="134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</row>
    <row r="485" customFormat="false" ht="15.75" hidden="false" customHeight="false" outlineLevel="0" collapsed="false">
      <c r="A485" s="128" t="str">
        <f aca="false">IF(ISBLANK(B485),"",B485&amp;"|"&amp;C485)</f>
        <v/>
      </c>
      <c r="B485" s="128"/>
      <c r="C485" s="128"/>
      <c r="D485" s="128"/>
      <c r="E485" s="134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</row>
    <row r="486" customFormat="false" ht="15.75" hidden="false" customHeight="false" outlineLevel="0" collapsed="false">
      <c r="A486" s="128" t="str">
        <f aca="false">IF(ISBLANK(B486),"",B486&amp;"|"&amp;C486)</f>
        <v/>
      </c>
      <c r="B486" s="128"/>
      <c r="C486" s="128"/>
      <c r="D486" s="128"/>
      <c r="E486" s="134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</row>
    <row r="487" customFormat="false" ht="15.75" hidden="false" customHeight="false" outlineLevel="0" collapsed="false">
      <c r="A487" s="128" t="str">
        <f aca="false">IF(ISBLANK(B487),"",B487&amp;"|"&amp;C487)</f>
        <v/>
      </c>
      <c r="B487" s="128"/>
      <c r="C487" s="128"/>
      <c r="D487" s="128"/>
      <c r="E487" s="134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</row>
    <row r="488" customFormat="false" ht="15.75" hidden="false" customHeight="false" outlineLevel="0" collapsed="false">
      <c r="A488" s="128" t="str">
        <f aca="false">IF(ISBLANK(B488),"",B488&amp;"|"&amp;C488)</f>
        <v/>
      </c>
      <c r="B488" s="128"/>
      <c r="C488" s="128"/>
      <c r="D488" s="128"/>
      <c r="E488" s="134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</row>
    <row r="489" customFormat="false" ht="15.75" hidden="false" customHeight="false" outlineLevel="0" collapsed="false">
      <c r="A489" s="128" t="str">
        <f aca="false">IF(ISBLANK(B489),"",B489&amp;"|"&amp;C489)</f>
        <v/>
      </c>
      <c r="B489" s="128"/>
      <c r="C489" s="128"/>
      <c r="D489" s="128"/>
      <c r="E489" s="134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</row>
    <row r="490" customFormat="false" ht="15.75" hidden="false" customHeight="false" outlineLevel="0" collapsed="false">
      <c r="A490" s="128" t="str">
        <f aca="false">IF(ISBLANK(B490),"",B490&amp;"|"&amp;C490)</f>
        <v/>
      </c>
      <c r="B490" s="128"/>
      <c r="C490" s="128"/>
      <c r="D490" s="128"/>
      <c r="E490" s="134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</row>
    <row r="491" customFormat="false" ht="15.75" hidden="false" customHeight="false" outlineLevel="0" collapsed="false">
      <c r="A491" s="128" t="str">
        <f aca="false">IF(ISBLANK(B491),"",B491&amp;"|"&amp;C491)</f>
        <v/>
      </c>
      <c r="B491" s="128"/>
      <c r="C491" s="128"/>
      <c r="D491" s="128"/>
      <c r="E491" s="134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</row>
    <row r="492" customFormat="false" ht="15.75" hidden="false" customHeight="false" outlineLevel="0" collapsed="false">
      <c r="A492" s="128" t="str">
        <f aca="false">IF(ISBLANK(B492),"",B492&amp;"|"&amp;C492)</f>
        <v/>
      </c>
      <c r="B492" s="128"/>
      <c r="C492" s="128"/>
      <c r="D492" s="128"/>
      <c r="E492" s="134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</row>
    <row r="493" customFormat="false" ht="15.75" hidden="false" customHeight="false" outlineLevel="0" collapsed="false">
      <c r="A493" s="128" t="str">
        <f aca="false">IF(ISBLANK(B493),"",B493&amp;"|"&amp;C493)</f>
        <v/>
      </c>
      <c r="B493" s="128"/>
      <c r="C493" s="128"/>
      <c r="D493" s="128"/>
      <c r="E493" s="134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</row>
    <row r="494" customFormat="false" ht="15.75" hidden="false" customHeight="false" outlineLevel="0" collapsed="false">
      <c r="A494" s="128" t="str">
        <f aca="false">IF(ISBLANK(B494),"",B494&amp;"|"&amp;C494)</f>
        <v/>
      </c>
      <c r="B494" s="128"/>
      <c r="C494" s="128"/>
      <c r="D494" s="128"/>
      <c r="E494" s="134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</row>
    <row r="495" customFormat="false" ht="15.75" hidden="false" customHeight="false" outlineLevel="0" collapsed="false">
      <c r="A495" s="128" t="str">
        <f aca="false">IF(ISBLANK(B495),"",B495&amp;"|"&amp;C495)</f>
        <v/>
      </c>
      <c r="B495" s="128"/>
      <c r="C495" s="128"/>
      <c r="D495" s="128"/>
      <c r="E495" s="134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</row>
    <row r="496" customFormat="false" ht="15.75" hidden="false" customHeight="false" outlineLevel="0" collapsed="false">
      <c r="A496" s="128" t="str">
        <f aca="false">IF(ISBLANK(B496),"",B496&amp;"|"&amp;C496)</f>
        <v/>
      </c>
      <c r="B496" s="128"/>
      <c r="C496" s="128"/>
      <c r="D496" s="128"/>
      <c r="E496" s="134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</row>
    <row r="497" customFormat="false" ht="15.75" hidden="false" customHeight="false" outlineLevel="0" collapsed="false">
      <c r="A497" s="128" t="str">
        <f aca="false">IF(ISBLANK(B497),"",B497&amp;"|"&amp;C497)</f>
        <v/>
      </c>
      <c r="B497" s="128"/>
      <c r="C497" s="128"/>
      <c r="D497" s="128"/>
      <c r="E497" s="134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</row>
    <row r="498" customFormat="false" ht="15.75" hidden="false" customHeight="false" outlineLevel="0" collapsed="false">
      <c r="A498" s="128" t="str">
        <f aca="false">IF(ISBLANK(B498),"",B498&amp;"|"&amp;C498)</f>
        <v/>
      </c>
      <c r="B498" s="128"/>
      <c r="C498" s="128"/>
      <c r="D498" s="128"/>
      <c r="E498" s="134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</row>
    <row r="499" customFormat="false" ht="15.75" hidden="false" customHeight="false" outlineLevel="0" collapsed="false">
      <c r="A499" s="128" t="str">
        <f aca="false">IF(ISBLANK(B499),"",B499&amp;"|"&amp;C499)</f>
        <v/>
      </c>
      <c r="B499" s="128"/>
      <c r="C499" s="128"/>
      <c r="D499" s="128"/>
      <c r="E499" s="134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</row>
    <row r="500" customFormat="false" ht="15.75" hidden="false" customHeight="false" outlineLevel="0" collapsed="false">
      <c r="A500" s="128" t="str">
        <f aca="false">IF(ISBLANK(B500),"",B500&amp;"|"&amp;C500)</f>
        <v/>
      </c>
      <c r="B500" s="128"/>
      <c r="C500" s="128"/>
      <c r="D500" s="128"/>
      <c r="E500" s="134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</row>
    <row r="501" customFormat="false" ht="15.75" hidden="false" customHeight="false" outlineLevel="0" collapsed="false">
      <c r="A501" s="128" t="str">
        <f aca="false">IF(ISBLANK(B501),"",B501&amp;"|"&amp;C501)</f>
        <v/>
      </c>
      <c r="B501" s="128"/>
      <c r="C501" s="128"/>
      <c r="D501" s="128"/>
      <c r="E501" s="134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</row>
    <row r="502" customFormat="false" ht="15.75" hidden="false" customHeight="false" outlineLevel="0" collapsed="false">
      <c r="A502" s="128" t="str">
        <f aca="false">IF(ISBLANK(B502),"",B502&amp;"|"&amp;C502)</f>
        <v/>
      </c>
      <c r="B502" s="128"/>
      <c r="C502" s="128"/>
      <c r="D502" s="128"/>
      <c r="E502" s="134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</row>
    <row r="503" customFormat="false" ht="15.75" hidden="false" customHeight="false" outlineLevel="0" collapsed="false">
      <c r="A503" s="128" t="str">
        <f aca="false">IF(ISBLANK(B503),"",B503&amp;"|"&amp;C503)</f>
        <v/>
      </c>
      <c r="B503" s="128"/>
      <c r="C503" s="128"/>
      <c r="D503" s="128"/>
      <c r="E503" s="134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</row>
    <row r="504" customFormat="false" ht="15.75" hidden="false" customHeight="false" outlineLevel="0" collapsed="false">
      <c r="A504" s="128" t="str">
        <f aca="false">IF(ISBLANK(B504),"",B504&amp;"|"&amp;C504)</f>
        <v/>
      </c>
      <c r="B504" s="128"/>
      <c r="C504" s="128"/>
      <c r="D504" s="128"/>
      <c r="E504" s="134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</row>
    <row r="505" customFormat="false" ht="15.75" hidden="false" customHeight="false" outlineLevel="0" collapsed="false">
      <c r="A505" s="128" t="str">
        <f aca="false">IF(ISBLANK(B505),"",B505&amp;"|"&amp;C505)</f>
        <v/>
      </c>
      <c r="B505" s="128"/>
      <c r="C505" s="128"/>
      <c r="D505" s="128"/>
      <c r="E505" s="134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</row>
    <row r="506" customFormat="false" ht="15.75" hidden="false" customHeight="false" outlineLevel="0" collapsed="false">
      <c r="A506" s="128" t="str">
        <f aca="false">IF(ISBLANK(B506),"",B506&amp;"|"&amp;C506)</f>
        <v/>
      </c>
      <c r="B506" s="128"/>
      <c r="C506" s="128"/>
      <c r="D506" s="128"/>
      <c r="E506" s="134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</row>
    <row r="507" customFormat="false" ht="15.75" hidden="false" customHeight="false" outlineLevel="0" collapsed="false">
      <c r="A507" s="128" t="str">
        <f aca="false">IF(ISBLANK(B507),"",B507&amp;"|"&amp;C507)</f>
        <v/>
      </c>
      <c r="B507" s="128"/>
      <c r="C507" s="128"/>
      <c r="D507" s="128"/>
      <c r="E507" s="134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</row>
    <row r="508" customFormat="false" ht="15.75" hidden="false" customHeight="false" outlineLevel="0" collapsed="false">
      <c r="A508" s="128" t="str">
        <f aca="false">IF(ISBLANK(B508),"",B508&amp;"|"&amp;C508)</f>
        <v/>
      </c>
      <c r="B508" s="128"/>
      <c r="C508" s="128"/>
      <c r="D508" s="128"/>
      <c r="E508" s="134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</row>
    <row r="509" customFormat="false" ht="15.75" hidden="false" customHeight="false" outlineLevel="0" collapsed="false">
      <c r="A509" s="128" t="str">
        <f aca="false">IF(ISBLANK(B509),"",B509&amp;"|"&amp;C509)</f>
        <v/>
      </c>
      <c r="B509" s="128"/>
      <c r="C509" s="128"/>
      <c r="D509" s="128"/>
      <c r="E509" s="134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</row>
    <row r="510" customFormat="false" ht="15.75" hidden="false" customHeight="false" outlineLevel="0" collapsed="false">
      <c r="A510" s="128" t="str">
        <f aca="false">IF(ISBLANK(B510),"",B510&amp;"|"&amp;C510)</f>
        <v/>
      </c>
      <c r="B510" s="128"/>
      <c r="C510" s="128"/>
      <c r="D510" s="128"/>
      <c r="E510" s="134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</row>
    <row r="511" customFormat="false" ht="15.75" hidden="false" customHeight="false" outlineLevel="0" collapsed="false">
      <c r="A511" s="128" t="str">
        <f aca="false">IF(ISBLANK(B511),"",B511&amp;"|"&amp;C511)</f>
        <v/>
      </c>
      <c r="B511" s="128"/>
      <c r="C511" s="128"/>
      <c r="D511" s="128"/>
      <c r="E511" s="134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</row>
    <row r="512" customFormat="false" ht="15.75" hidden="false" customHeight="false" outlineLevel="0" collapsed="false">
      <c r="A512" s="128" t="str">
        <f aca="false">IF(ISBLANK(B512),"",B512&amp;"|"&amp;C512)</f>
        <v/>
      </c>
      <c r="B512" s="128"/>
      <c r="C512" s="128"/>
      <c r="D512" s="128"/>
      <c r="E512" s="134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</row>
    <row r="513" customFormat="false" ht="15.75" hidden="false" customHeight="false" outlineLevel="0" collapsed="false">
      <c r="A513" s="128" t="str">
        <f aca="false">IF(ISBLANK(B513),"",B513&amp;"|"&amp;C513)</f>
        <v/>
      </c>
      <c r="B513" s="128"/>
      <c r="C513" s="128"/>
      <c r="D513" s="128"/>
      <c r="E513" s="134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</row>
    <row r="514" customFormat="false" ht="15.75" hidden="false" customHeight="false" outlineLevel="0" collapsed="false">
      <c r="A514" s="128" t="str">
        <f aca="false">IF(ISBLANK(B514),"",B514&amp;"|"&amp;C514)</f>
        <v/>
      </c>
      <c r="B514" s="128"/>
      <c r="C514" s="128"/>
      <c r="D514" s="128"/>
      <c r="E514" s="134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</row>
    <row r="515" customFormat="false" ht="15.75" hidden="false" customHeight="false" outlineLevel="0" collapsed="false">
      <c r="A515" s="128" t="str">
        <f aca="false">IF(ISBLANK(B515),"",B515&amp;"|"&amp;C515)</f>
        <v/>
      </c>
      <c r="B515" s="128"/>
      <c r="C515" s="128"/>
      <c r="D515" s="128"/>
      <c r="E515" s="134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</row>
    <row r="516" customFormat="false" ht="15.75" hidden="false" customHeight="false" outlineLevel="0" collapsed="false">
      <c r="A516" s="128" t="str">
        <f aca="false">IF(ISBLANK(B516),"",B516&amp;"|"&amp;C516)</f>
        <v/>
      </c>
      <c r="B516" s="128"/>
      <c r="C516" s="128"/>
      <c r="D516" s="128"/>
      <c r="E516" s="134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</row>
    <row r="517" customFormat="false" ht="15.75" hidden="false" customHeight="false" outlineLevel="0" collapsed="false">
      <c r="A517" s="128" t="str">
        <f aca="false">IF(ISBLANK(B517),"",B517&amp;"|"&amp;C517)</f>
        <v/>
      </c>
      <c r="B517" s="128"/>
      <c r="C517" s="128"/>
      <c r="D517" s="128"/>
      <c r="E517" s="134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</row>
    <row r="518" customFormat="false" ht="15.75" hidden="false" customHeight="false" outlineLevel="0" collapsed="false">
      <c r="A518" s="128" t="str">
        <f aca="false">IF(ISBLANK(B518),"",B518&amp;"|"&amp;C518)</f>
        <v/>
      </c>
      <c r="B518" s="128"/>
      <c r="C518" s="128"/>
      <c r="D518" s="128"/>
      <c r="E518" s="134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</row>
    <row r="519" customFormat="false" ht="15.75" hidden="false" customHeight="false" outlineLevel="0" collapsed="false">
      <c r="A519" s="128" t="str">
        <f aca="false">IF(ISBLANK(B519),"",B519&amp;"|"&amp;C519)</f>
        <v/>
      </c>
      <c r="B519" s="128"/>
      <c r="C519" s="128"/>
      <c r="D519" s="128"/>
      <c r="E519" s="134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</row>
    <row r="520" customFormat="false" ht="15.75" hidden="false" customHeight="false" outlineLevel="0" collapsed="false">
      <c r="A520" s="128" t="str">
        <f aca="false">IF(ISBLANK(B520),"",B520&amp;"|"&amp;C520)</f>
        <v/>
      </c>
      <c r="B520" s="128"/>
      <c r="C520" s="128"/>
      <c r="D520" s="128"/>
      <c r="E520" s="134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</row>
    <row r="521" customFormat="false" ht="15.75" hidden="false" customHeight="false" outlineLevel="0" collapsed="false">
      <c r="A521" s="128" t="str">
        <f aca="false">IF(ISBLANK(B521),"",B521&amp;"|"&amp;C521)</f>
        <v/>
      </c>
      <c r="B521" s="128"/>
      <c r="C521" s="128"/>
      <c r="D521" s="128"/>
      <c r="E521" s="134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</row>
    <row r="522" customFormat="false" ht="15.75" hidden="false" customHeight="false" outlineLevel="0" collapsed="false">
      <c r="A522" s="128" t="str">
        <f aca="false">IF(ISBLANK(B522),"",B522&amp;"|"&amp;C522)</f>
        <v/>
      </c>
      <c r="B522" s="128"/>
      <c r="C522" s="128"/>
      <c r="D522" s="128"/>
      <c r="E522" s="134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</row>
    <row r="523" customFormat="false" ht="15.75" hidden="false" customHeight="false" outlineLevel="0" collapsed="false">
      <c r="A523" s="128" t="str">
        <f aca="false">IF(ISBLANK(B523),"",B523&amp;"|"&amp;C523)</f>
        <v/>
      </c>
      <c r="B523" s="128"/>
      <c r="C523" s="128"/>
      <c r="D523" s="128"/>
      <c r="E523" s="134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</row>
    <row r="524" customFormat="false" ht="15.75" hidden="false" customHeight="false" outlineLevel="0" collapsed="false">
      <c r="A524" s="128" t="str">
        <f aca="false">IF(ISBLANK(B524),"",B524&amp;"|"&amp;C524)</f>
        <v/>
      </c>
      <c r="B524" s="128"/>
      <c r="C524" s="128"/>
      <c r="D524" s="128"/>
      <c r="E524" s="134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</row>
    <row r="525" customFormat="false" ht="15.75" hidden="false" customHeight="false" outlineLevel="0" collapsed="false">
      <c r="A525" s="128" t="str">
        <f aca="false">IF(ISBLANK(B525),"",B525&amp;"|"&amp;C525)</f>
        <v/>
      </c>
      <c r="B525" s="128"/>
      <c r="C525" s="128"/>
      <c r="D525" s="128"/>
      <c r="E525" s="134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</row>
    <row r="526" customFormat="false" ht="15.75" hidden="false" customHeight="false" outlineLevel="0" collapsed="false">
      <c r="A526" s="128" t="str">
        <f aca="false">IF(ISBLANK(B526),"",B526&amp;"|"&amp;C526)</f>
        <v/>
      </c>
      <c r="B526" s="128"/>
      <c r="C526" s="128"/>
      <c r="D526" s="128"/>
      <c r="E526" s="134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</row>
    <row r="527" customFormat="false" ht="15.75" hidden="false" customHeight="false" outlineLevel="0" collapsed="false">
      <c r="A527" s="128" t="str">
        <f aca="false">IF(ISBLANK(B527),"",B527&amp;"|"&amp;C527)</f>
        <v/>
      </c>
      <c r="B527" s="128"/>
      <c r="C527" s="128"/>
      <c r="D527" s="128"/>
      <c r="E527" s="134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</row>
    <row r="528" customFormat="false" ht="15.75" hidden="false" customHeight="false" outlineLevel="0" collapsed="false">
      <c r="A528" s="128" t="str">
        <f aca="false">IF(ISBLANK(B528),"",B528&amp;"|"&amp;C528)</f>
        <v/>
      </c>
      <c r="B528" s="128"/>
      <c r="C528" s="128"/>
      <c r="D528" s="128"/>
      <c r="E528" s="134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</row>
    <row r="529" customFormat="false" ht="15.75" hidden="false" customHeight="false" outlineLevel="0" collapsed="false">
      <c r="A529" s="128" t="str">
        <f aca="false">IF(ISBLANK(B529),"",B529&amp;"|"&amp;C529)</f>
        <v/>
      </c>
      <c r="B529" s="128"/>
      <c r="C529" s="128"/>
      <c r="D529" s="128"/>
      <c r="E529" s="134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</row>
    <row r="530" customFormat="false" ht="15.75" hidden="false" customHeight="false" outlineLevel="0" collapsed="false">
      <c r="A530" s="128" t="str">
        <f aca="false">IF(ISBLANK(B530),"",B530&amp;"|"&amp;C530)</f>
        <v/>
      </c>
      <c r="B530" s="128"/>
      <c r="C530" s="128"/>
      <c r="D530" s="128"/>
      <c r="E530" s="134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</row>
    <row r="531" customFormat="false" ht="15.75" hidden="false" customHeight="false" outlineLevel="0" collapsed="false">
      <c r="A531" s="128" t="str">
        <f aca="false">IF(ISBLANK(B531),"",B531&amp;"|"&amp;C531)</f>
        <v/>
      </c>
      <c r="B531" s="128"/>
      <c r="C531" s="128"/>
      <c r="D531" s="128"/>
      <c r="E531" s="134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</row>
    <row r="532" customFormat="false" ht="15.75" hidden="false" customHeight="false" outlineLevel="0" collapsed="false">
      <c r="A532" s="128" t="str">
        <f aca="false">IF(ISBLANK(B532),"",B532&amp;"|"&amp;C532)</f>
        <v/>
      </c>
      <c r="B532" s="128"/>
      <c r="C532" s="128"/>
      <c r="D532" s="128"/>
      <c r="E532" s="134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</row>
    <row r="533" customFormat="false" ht="15.75" hidden="false" customHeight="false" outlineLevel="0" collapsed="false">
      <c r="A533" s="128" t="str">
        <f aca="false">IF(ISBLANK(B533),"",B533&amp;"|"&amp;C533)</f>
        <v/>
      </c>
      <c r="B533" s="128"/>
      <c r="C533" s="128"/>
      <c r="D533" s="128"/>
      <c r="E533" s="134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</row>
    <row r="534" customFormat="false" ht="15.75" hidden="false" customHeight="false" outlineLevel="0" collapsed="false">
      <c r="A534" s="128" t="str">
        <f aca="false">IF(ISBLANK(B534),"",B534&amp;"|"&amp;C534)</f>
        <v/>
      </c>
      <c r="B534" s="128"/>
      <c r="C534" s="128"/>
      <c r="D534" s="128"/>
      <c r="E534" s="134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</row>
    <row r="535" customFormat="false" ht="15.75" hidden="false" customHeight="false" outlineLevel="0" collapsed="false">
      <c r="A535" s="128" t="str">
        <f aca="false">IF(ISBLANK(B535),"",B535&amp;"|"&amp;C535)</f>
        <v/>
      </c>
      <c r="B535" s="128"/>
      <c r="C535" s="128"/>
      <c r="D535" s="128"/>
      <c r="E535" s="134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</row>
    <row r="536" customFormat="false" ht="15.75" hidden="false" customHeight="false" outlineLevel="0" collapsed="false">
      <c r="A536" s="128" t="str">
        <f aca="false">IF(ISBLANK(B536),"",B536&amp;"|"&amp;C536)</f>
        <v/>
      </c>
      <c r="B536" s="128"/>
      <c r="C536" s="128"/>
      <c r="D536" s="128"/>
      <c r="E536" s="134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</row>
    <row r="537" customFormat="false" ht="15.75" hidden="false" customHeight="false" outlineLevel="0" collapsed="false">
      <c r="A537" s="128" t="str">
        <f aca="false">IF(ISBLANK(B537),"",B537&amp;"|"&amp;C537)</f>
        <v/>
      </c>
      <c r="B537" s="128"/>
      <c r="C537" s="128"/>
      <c r="D537" s="128"/>
      <c r="E537" s="134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</row>
    <row r="538" customFormat="false" ht="15.75" hidden="false" customHeight="false" outlineLevel="0" collapsed="false">
      <c r="A538" s="128" t="str">
        <f aca="false">IF(ISBLANK(B538),"",B538&amp;"|"&amp;C538)</f>
        <v/>
      </c>
      <c r="B538" s="128"/>
      <c r="C538" s="128"/>
      <c r="D538" s="128"/>
      <c r="E538" s="134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</row>
    <row r="539" customFormat="false" ht="15.75" hidden="false" customHeight="false" outlineLevel="0" collapsed="false">
      <c r="A539" s="128" t="str">
        <f aca="false">IF(ISBLANK(B539),"",B539&amp;"|"&amp;C539)</f>
        <v/>
      </c>
      <c r="B539" s="128"/>
      <c r="C539" s="128"/>
      <c r="D539" s="128"/>
      <c r="E539" s="134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</row>
    <row r="540" customFormat="false" ht="15.75" hidden="false" customHeight="false" outlineLevel="0" collapsed="false">
      <c r="A540" s="128" t="str">
        <f aca="false">IF(ISBLANK(B540),"",B540&amp;"|"&amp;C540)</f>
        <v/>
      </c>
      <c r="B540" s="128"/>
      <c r="C540" s="128"/>
      <c r="D540" s="128"/>
      <c r="E540" s="134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</row>
    <row r="541" customFormat="false" ht="15.75" hidden="false" customHeight="false" outlineLevel="0" collapsed="false">
      <c r="A541" s="128" t="str">
        <f aca="false">IF(ISBLANK(B541),"",B541&amp;"|"&amp;C541)</f>
        <v/>
      </c>
      <c r="B541" s="128"/>
      <c r="C541" s="128"/>
      <c r="D541" s="128"/>
      <c r="E541" s="134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</row>
    <row r="542" customFormat="false" ht="15.75" hidden="false" customHeight="false" outlineLevel="0" collapsed="false">
      <c r="A542" s="128" t="str">
        <f aca="false">IF(ISBLANK(B542),"",B542&amp;"|"&amp;C542)</f>
        <v/>
      </c>
      <c r="B542" s="128"/>
      <c r="C542" s="128"/>
      <c r="D542" s="128"/>
      <c r="E542" s="134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</row>
    <row r="543" customFormat="false" ht="15.75" hidden="false" customHeight="false" outlineLevel="0" collapsed="false">
      <c r="A543" s="128" t="str">
        <f aca="false">IF(ISBLANK(B543),"",B543&amp;"|"&amp;C543)</f>
        <v/>
      </c>
      <c r="B543" s="128"/>
      <c r="C543" s="128"/>
      <c r="D543" s="128"/>
      <c r="E543" s="134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</row>
    <row r="544" customFormat="false" ht="15.75" hidden="false" customHeight="false" outlineLevel="0" collapsed="false">
      <c r="A544" s="128" t="str">
        <f aca="false">IF(ISBLANK(B544),"",B544&amp;"|"&amp;C544)</f>
        <v/>
      </c>
      <c r="B544" s="128"/>
      <c r="C544" s="128"/>
      <c r="D544" s="128"/>
      <c r="E544" s="134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</row>
    <row r="545" customFormat="false" ht="15.75" hidden="false" customHeight="false" outlineLevel="0" collapsed="false">
      <c r="A545" s="128" t="str">
        <f aca="false">IF(ISBLANK(B545),"",B545&amp;"|"&amp;C545)</f>
        <v/>
      </c>
      <c r="B545" s="128"/>
      <c r="C545" s="128"/>
      <c r="D545" s="128"/>
      <c r="E545" s="134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</row>
    <row r="546" customFormat="false" ht="15.75" hidden="false" customHeight="false" outlineLevel="0" collapsed="false">
      <c r="A546" s="128" t="str">
        <f aca="false">IF(ISBLANK(B546),"",B546&amp;"|"&amp;C546)</f>
        <v/>
      </c>
      <c r="B546" s="128"/>
      <c r="C546" s="128"/>
      <c r="D546" s="128"/>
      <c r="E546" s="134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</row>
    <row r="547" customFormat="false" ht="15.75" hidden="false" customHeight="false" outlineLevel="0" collapsed="false">
      <c r="A547" s="128" t="str">
        <f aca="false">IF(ISBLANK(B547),"",B547&amp;"|"&amp;C547)</f>
        <v/>
      </c>
      <c r="B547" s="128"/>
      <c r="C547" s="128"/>
      <c r="D547" s="128"/>
      <c r="E547" s="134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</row>
    <row r="548" customFormat="false" ht="15.75" hidden="false" customHeight="false" outlineLevel="0" collapsed="false">
      <c r="A548" s="128" t="str">
        <f aca="false">IF(ISBLANK(B548),"",B548&amp;"|"&amp;C548)</f>
        <v/>
      </c>
      <c r="B548" s="128"/>
      <c r="C548" s="128"/>
      <c r="D548" s="128"/>
      <c r="E548" s="134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</row>
    <row r="549" customFormat="false" ht="15.75" hidden="false" customHeight="false" outlineLevel="0" collapsed="false">
      <c r="A549" s="128" t="str">
        <f aca="false">IF(ISBLANK(B549),"",B549&amp;"|"&amp;C549)</f>
        <v/>
      </c>
      <c r="B549" s="128"/>
      <c r="C549" s="128"/>
      <c r="D549" s="128"/>
      <c r="E549" s="134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</row>
    <row r="550" customFormat="false" ht="15.75" hidden="false" customHeight="false" outlineLevel="0" collapsed="false">
      <c r="A550" s="128" t="str">
        <f aca="false">IF(ISBLANK(B550),"",B550&amp;"|"&amp;C550)</f>
        <v/>
      </c>
      <c r="B550" s="128"/>
      <c r="C550" s="128"/>
      <c r="D550" s="128"/>
      <c r="E550" s="134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</row>
    <row r="551" customFormat="false" ht="15.75" hidden="false" customHeight="false" outlineLevel="0" collapsed="false">
      <c r="A551" s="128" t="str">
        <f aca="false">IF(ISBLANK(B551),"",B551&amp;"|"&amp;C551)</f>
        <v/>
      </c>
      <c r="B551" s="128"/>
      <c r="C551" s="128"/>
      <c r="D551" s="128"/>
      <c r="E551" s="134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</row>
    <row r="552" customFormat="false" ht="15.75" hidden="false" customHeight="false" outlineLevel="0" collapsed="false">
      <c r="A552" s="128" t="str">
        <f aca="false">IF(ISBLANK(B552),"",B552&amp;"|"&amp;C552)</f>
        <v/>
      </c>
      <c r="B552" s="128"/>
      <c r="C552" s="128"/>
      <c r="D552" s="128"/>
      <c r="E552" s="134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</row>
    <row r="553" customFormat="false" ht="15.75" hidden="false" customHeight="false" outlineLevel="0" collapsed="false">
      <c r="A553" s="128" t="str">
        <f aca="false">IF(ISBLANK(B553),"",B553&amp;"|"&amp;C553)</f>
        <v/>
      </c>
      <c r="B553" s="128"/>
      <c r="C553" s="128"/>
      <c r="D553" s="128"/>
      <c r="E553" s="134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</row>
    <row r="554" customFormat="false" ht="15.75" hidden="false" customHeight="false" outlineLevel="0" collapsed="false">
      <c r="A554" s="128" t="str">
        <f aca="false">IF(ISBLANK(B554),"",B554&amp;"|"&amp;C554)</f>
        <v/>
      </c>
      <c r="B554" s="128"/>
      <c r="C554" s="128"/>
      <c r="D554" s="128"/>
      <c r="E554" s="134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</row>
    <row r="555" customFormat="false" ht="15.75" hidden="false" customHeight="false" outlineLevel="0" collapsed="false">
      <c r="A555" s="128" t="str">
        <f aca="false">IF(ISBLANK(B555),"",B555&amp;"|"&amp;C555)</f>
        <v/>
      </c>
      <c r="B555" s="128"/>
      <c r="C555" s="128"/>
      <c r="D555" s="128"/>
      <c r="E555" s="134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</row>
    <row r="556" customFormat="false" ht="15.75" hidden="false" customHeight="false" outlineLevel="0" collapsed="false">
      <c r="A556" s="128" t="str">
        <f aca="false">IF(ISBLANK(B556),"",B556&amp;"|"&amp;C556)</f>
        <v/>
      </c>
      <c r="B556" s="128"/>
      <c r="C556" s="128"/>
      <c r="D556" s="128"/>
      <c r="E556" s="134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</row>
    <row r="557" customFormat="false" ht="15.75" hidden="false" customHeight="false" outlineLevel="0" collapsed="false">
      <c r="A557" s="128" t="str">
        <f aca="false">IF(ISBLANK(B557),"",B557&amp;"|"&amp;C557)</f>
        <v/>
      </c>
      <c r="B557" s="128"/>
      <c r="C557" s="128"/>
      <c r="D557" s="128"/>
      <c r="E557" s="134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</row>
    <row r="558" customFormat="false" ht="15.75" hidden="false" customHeight="false" outlineLevel="0" collapsed="false">
      <c r="A558" s="128" t="str">
        <f aca="false">IF(ISBLANK(B558),"",B558&amp;"|"&amp;C558)</f>
        <v/>
      </c>
      <c r="B558" s="128"/>
      <c r="C558" s="128"/>
      <c r="D558" s="128"/>
      <c r="E558" s="134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</row>
    <row r="559" customFormat="false" ht="15.75" hidden="false" customHeight="false" outlineLevel="0" collapsed="false">
      <c r="A559" s="128" t="str">
        <f aca="false">IF(ISBLANK(B559),"",B559&amp;"|"&amp;C559)</f>
        <v/>
      </c>
      <c r="B559" s="128"/>
      <c r="C559" s="128"/>
      <c r="D559" s="128"/>
      <c r="E559" s="134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</row>
    <row r="560" customFormat="false" ht="15.75" hidden="false" customHeight="false" outlineLevel="0" collapsed="false">
      <c r="A560" s="128" t="str">
        <f aca="false">IF(ISBLANK(B560),"",B560&amp;"|"&amp;C560)</f>
        <v/>
      </c>
      <c r="B560" s="128"/>
      <c r="C560" s="128"/>
      <c r="D560" s="128"/>
      <c r="E560" s="134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</row>
    <row r="561" customFormat="false" ht="15.75" hidden="false" customHeight="false" outlineLevel="0" collapsed="false">
      <c r="A561" s="128" t="str">
        <f aca="false">IF(ISBLANK(B561),"",B561&amp;"|"&amp;C561)</f>
        <v/>
      </c>
      <c r="B561" s="128"/>
      <c r="C561" s="128"/>
      <c r="D561" s="128"/>
      <c r="E561" s="134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</row>
    <row r="562" customFormat="false" ht="15.75" hidden="false" customHeight="false" outlineLevel="0" collapsed="false">
      <c r="A562" s="128" t="str">
        <f aca="false">IF(ISBLANK(B562),"",B562&amp;"|"&amp;C562)</f>
        <v/>
      </c>
      <c r="B562" s="128"/>
      <c r="C562" s="128"/>
      <c r="D562" s="128"/>
      <c r="E562" s="134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</row>
    <row r="563" customFormat="false" ht="15.75" hidden="false" customHeight="false" outlineLevel="0" collapsed="false">
      <c r="A563" s="128" t="str">
        <f aca="false">IF(ISBLANK(B563),"",B563&amp;"|"&amp;C563)</f>
        <v/>
      </c>
      <c r="B563" s="128"/>
      <c r="C563" s="128"/>
      <c r="D563" s="128"/>
      <c r="E563" s="134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</row>
    <row r="564" customFormat="false" ht="15.75" hidden="false" customHeight="false" outlineLevel="0" collapsed="false">
      <c r="A564" s="128" t="str">
        <f aca="false">IF(ISBLANK(B564),"",B564&amp;"|"&amp;C564)</f>
        <v/>
      </c>
      <c r="B564" s="128"/>
      <c r="C564" s="128"/>
      <c r="D564" s="128"/>
      <c r="E564" s="134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</row>
    <row r="565" customFormat="false" ht="15.75" hidden="false" customHeight="false" outlineLevel="0" collapsed="false">
      <c r="A565" s="128" t="str">
        <f aca="false">IF(ISBLANK(B565),"",B565&amp;"|"&amp;C565)</f>
        <v/>
      </c>
      <c r="B565" s="128"/>
      <c r="C565" s="128"/>
      <c r="D565" s="128"/>
      <c r="E565" s="134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</row>
    <row r="566" customFormat="false" ht="15.75" hidden="false" customHeight="false" outlineLevel="0" collapsed="false">
      <c r="A566" s="128" t="str">
        <f aca="false">IF(ISBLANK(B566),"",B566&amp;"|"&amp;C566)</f>
        <v/>
      </c>
      <c r="B566" s="128"/>
      <c r="C566" s="128"/>
      <c r="D566" s="128"/>
      <c r="E566" s="134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</row>
    <row r="567" customFormat="false" ht="15.75" hidden="false" customHeight="false" outlineLevel="0" collapsed="false">
      <c r="A567" s="128" t="str">
        <f aca="false">IF(ISBLANK(B567),"",B567&amp;"|"&amp;C567)</f>
        <v/>
      </c>
      <c r="B567" s="128"/>
      <c r="C567" s="128"/>
      <c r="D567" s="128"/>
      <c r="E567" s="134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</row>
    <row r="568" customFormat="false" ht="15.75" hidden="false" customHeight="false" outlineLevel="0" collapsed="false">
      <c r="A568" s="128" t="str">
        <f aca="false">IF(ISBLANK(B568),"",B568&amp;"|"&amp;C568)</f>
        <v/>
      </c>
      <c r="B568" s="128"/>
      <c r="C568" s="128"/>
      <c r="D568" s="128"/>
      <c r="E568" s="134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</row>
    <row r="569" customFormat="false" ht="15.75" hidden="false" customHeight="false" outlineLevel="0" collapsed="false">
      <c r="A569" s="128" t="str">
        <f aca="false">IF(ISBLANK(B569),"",B569&amp;"|"&amp;C569)</f>
        <v/>
      </c>
      <c r="B569" s="128"/>
      <c r="C569" s="128"/>
      <c r="D569" s="128"/>
      <c r="E569" s="134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</row>
    <row r="570" customFormat="false" ht="15.75" hidden="false" customHeight="false" outlineLevel="0" collapsed="false">
      <c r="A570" s="128" t="str">
        <f aca="false">IF(ISBLANK(B570),"",B570&amp;"|"&amp;C570)</f>
        <v/>
      </c>
      <c r="B570" s="128"/>
      <c r="C570" s="128"/>
      <c r="D570" s="128"/>
      <c r="E570" s="134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</row>
    <row r="571" customFormat="false" ht="15.75" hidden="false" customHeight="false" outlineLevel="0" collapsed="false">
      <c r="A571" s="128" t="str">
        <f aca="false">IF(ISBLANK(B571),"",B571&amp;"|"&amp;C571)</f>
        <v/>
      </c>
      <c r="B571" s="128"/>
      <c r="C571" s="128"/>
      <c r="D571" s="128"/>
      <c r="E571" s="134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</row>
    <row r="572" customFormat="false" ht="15.75" hidden="false" customHeight="false" outlineLevel="0" collapsed="false">
      <c r="A572" s="128" t="str">
        <f aca="false">IF(ISBLANK(B572),"",B572&amp;"|"&amp;C572)</f>
        <v/>
      </c>
      <c r="B572" s="128"/>
      <c r="C572" s="128"/>
      <c r="D572" s="128"/>
      <c r="E572" s="134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</row>
    <row r="573" customFormat="false" ht="15.75" hidden="false" customHeight="false" outlineLevel="0" collapsed="false">
      <c r="A573" s="128" t="str">
        <f aca="false">IF(ISBLANK(B573),"",B573&amp;"|"&amp;C573)</f>
        <v/>
      </c>
      <c r="B573" s="128"/>
      <c r="C573" s="128"/>
      <c r="D573" s="128"/>
      <c r="E573" s="134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</row>
    <row r="574" customFormat="false" ht="15.75" hidden="false" customHeight="false" outlineLevel="0" collapsed="false">
      <c r="A574" s="128" t="str">
        <f aca="false">IF(ISBLANK(B574),"",B574&amp;"|"&amp;C574)</f>
        <v/>
      </c>
      <c r="B574" s="128"/>
      <c r="C574" s="128"/>
      <c r="D574" s="128"/>
      <c r="E574" s="134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</row>
    <row r="575" customFormat="false" ht="15.75" hidden="false" customHeight="false" outlineLevel="0" collapsed="false">
      <c r="A575" s="128" t="str">
        <f aca="false">IF(ISBLANK(B575),"",B575&amp;"|"&amp;C575)</f>
        <v/>
      </c>
      <c r="B575" s="128"/>
      <c r="C575" s="128"/>
      <c r="D575" s="128"/>
      <c r="E575" s="134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</row>
    <row r="576" customFormat="false" ht="15.75" hidden="false" customHeight="false" outlineLevel="0" collapsed="false">
      <c r="A576" s="128" t="str">
        <f aca="false">IF(ISBLANK(B576),"",B576&amp;"|"&amp;C576)</f>
        <v/>
      </c>
      <c r="B576" s="128"/>
      <c r="C576" s="128"/>
      <c r="D576" s="128"/>
      <c r="E576" s="134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</row>
    <row r="577" customFormat="false" ht="15.75" hidden="false" customHeight="false" outlineLevel="0" collapsed="false">
      <c r="A577" s="128" t="str">
        <f aca="false">IF(ISBLANK(B577),"",B577&amp;"|"&amp;C577)</f>
        <v/>
      </c>
      <c r="B577" s="128"/>
      <c r="C577" s="128"/>
      <c r="D577" s="128"/>
      <c r="E577" s="134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</row>
    <row r="578" customFormat="false" ht="15.75" hidden="false" customHeight="false" outlineLevel="0" collapsed="false">
      <c r="A578" s="128" t="str">
        <f aca="false">IF(ISBLANK(B578),"",B578&amp;"|"&amp;C578)</f>
        <v/>
      </c>
      <c r="B578" s="128"/>
      <c r="C578" s="128"/>
      <c r="D578" s="128"/>
      <c r="E578" s="134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</row>
    <row r="579" customFormat="false" ht="15.75" hidden="false" customHeight="false" outlineLevel="0" collapsed="false">
      <c r="A579" s="128" t="str">
        <f aca="false">IF(ISBLANK(B579),"",B579&amp;"|"&amp;C579)</f>
        <v/>
      </c>
      <c r="B579" s="128"/>
      <c r="C579" s="128"/>
      <c r="D579" s="128"/>
      <c r="E579" s="134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</row>
    <row r="580" customFormat="false" ht="15.75" hidden="false" customHeight="false" outlineLevel="0" collapsed="false">
      <c r="A580" s="128" t="str">
        <f aca="false">IF(ISBLANK(B580),"",B580&amp;"|"&amp;C580)</f>
        <v/>
      </c>
      <c r="B580" s="128"/>
      <c r="C580" s="128"/>
      <c r="D580" s="128"/>
      <c r="E580" s="134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</row>
    <row r="581" customFormat="false" ht="15.75" hidden="false" customHeight="false" outlineLevel="0" collapsed="false">
      <c r="A581" s="128" t="str">
        <f aca="false">IF(ISBLANK(B581),"",B581&amp;"|"&amp;C581)</f>
        <v/>
      </c>
      <c r="B581" s="128"/>
      <c r="C581" s="128"/>
      <c r="D581" s="128"/>
      <c r="E581" s="134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</row>
    <row r="582" customFormat="false" ht="15.75" hidden="false" customHeight="false" outlineLevel="0" collapsed="false">
      <c r="A582" s="128" t="str">
        <f aca="false">IF(ISBLANK(B582),"",B582&amp;"|"&amp;C582)</f>
        <v/>
      </c>
      <c r="B582" s="128"/>
      <c r="C582" s="128"/>
      <c r="D582" s="128"/>
      <c r="E582" s="134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</row>
    <row r="583" customFormat="false" ht="15.75" hidden="false" customHeight="false" outlineLevel="0" collapsed="false">
      <c r="A583" s="128" t="str">
        <f aca="false">IF(ISBLANK(B583),"",B583&amp;"|"&amp;C583)</f>
        <v/>
      </c>
      <c r="B583" s="128"/>
      <c r="C583" s="128"/>
      <c r="D583" s="128"/>
      <c r="E583" s="134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</row>
    <row r="584" customFormat="false" ht="15.75" hidden="false" customHeight="false" outlineLevel="0" collapsed="false">
      <c r="A584" s="128" t="str">
        <f aca="false">IF(ISBLANK(B584),"",B584&amp;"|"&amp;C584)</f>
        <v/>
      </c>
      <c r="B584" s="128"/>
      <c r="C584" s="128"/>
      <c r="D584" s="128"/>
      <c r="E584" s="134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</row>
    <row r="585" customFormat="false" ht="15.75" hidden="false" customHeight="false" outlineLevel="0" collapsed="false">
      <c r="A585" s="128" t="str">
        <f aca="false">IF(ISBLANK(B585),"",B585&amp;"|"&amp;C585)</f>
        <v/>
      </c>
      <c r="B585" s="128"/>
      <c r="C585" s="128"/>
      <c r="D585" s="128"/>
      <c r="E585" s="134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</row>
    <row r="586" customFormat="false" ht="15.75" hidden="false" customHeight="false" outlineLevel="0" collapsed="false">
      <c r="A586" s="128" t="str">
        <f aca="false">IF(ISBLANK(B586),"",B586&amp;"|"&amp;C586)</f>
        <v/>
      </c>
      <c r="B586" s="128"/>
      <c r="C586" s="128"/>
      <c r="D586" s="128"/>
      <c r="E586" s="134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</row>
    <row r="587" customFormat="false" ht="15.75" hidden="false" customHeight="false" outlineLevel="0" collapsed="false">
      <c r="A587" s="128" t="str">
        <f aca="false">IF(ISBLANK(B587),"",B587&amp;"|"&amp;C587)</f>
        <v/>
      </c>
      <c r="B587" s="128"/>
      <c r="C587" s="128"/>
      <c r="D587" s="128"/>
      <c r="E587" s="134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</row>
    <row r="588" customFormat="false" ht="15.75" hidden="false" customHeight="false" outlineLevel="0" collapsed="false">
      <c r="A588" s="128" t="str">
        <f aca="false">IF(ISBLANK(B588),"",B588&amp;"|"&amp;C588)</f>
        <v/>
      </c>
      <c r="B588" s="128"/>
      <c r="C588" s="128"/>
      <c r="D588" s="128"/>
      <c r="E588" s="134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</row>
    <row r="589" customFormat="false" ht="15.75" hidden="false" customHeight="false" outlineLevel="0" collapsed="false">
      <c r="A589" s="128" t="str">
        <f aca="false">IF(ISBLANK(B589),"",B589&amp;"|"&amp;C589)</f>
        <v/>
      </c>
      <c r="B589" s="128"/>
      <c r="C589" s="128"/>
      <c r="D589" s="128"/>
      <c r="E589" s="134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</row>
    <row r="590" customFormat="false" ht="15.75" hidden="false" customHeight="false" outlineLevel="0" collapsed="false">
      <c r="A590" s="128" t="str">
        <f aca="false">IF(ISBLANK(B590),"",B590&amp;"|"&amp;C590)</f>
        <v/>
      </c>
      <c r="B590" s="128"/>
      <c r="C590" s="128"/>
      <c r="D590" s="128"/>
      <c r="E590" s="134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</row>
    <row r="591" customFormat="false" ht="15.75" hidden="false" customHeight="false" outlineLevel="0" collapsed="false">
      <c r="A591" s="128" t="str">
        <f aca="false">IF(ISBLANK(B591),"",B591&amp;"|"&amp;C591)</f>
        <v/>
      </c>
      <c r="B591" s="128"/>
      <c r="C591" s="128"/>
      <c r="D591" s="128"/>
      <c r="E591" s="134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</row>
    <row r="592" customFormat="false" ht="15.75" hidden="false" customHeight="false" outlineLevel="0" collapsed="false">
      <c r="A592" s="128" t="str">
        <f aca="false">IF(ISBLANK(B592),"",B592&amp;"|"&amp;C592)</f>
        <v/>
      </c>
      <c r="B592" s="128"/>
      <c r="C592" s="128"/>
      <c r="D592" s="128"/>
      <c r="E592" s="134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</row>
    <row r="593" customFormat="false" ht="15.75" hidden="false" customHeight="false" outlineLevel="0" collapsed="false">
      <c r="A593" s="128" t="str">
        <f aca="false">IF(ISBLANK(B593),"",B593&amp;"|"&amp;C593)</f>
        <v/>
      </c>
      <c r="B593" s="128"/>
      <c r="C593" s="128"/>
      <c r="D593" s="128"/>
      <c r="E593" s="134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</row>
    <row r="594" customFormat="false" ht="15.75" hidden="false" customHeight="false" outlineLevel="0" collapsed="false">
      <c r="A594" s="128" t="str">
        <f aca="false">IF(ISBLANK(B594),"",B594&amp;"|"&amp;C594)</f>
        <v/>
      </c>
      <c r="B594" s="128"/>
      <c r="C594" s="128"/>
      <c r="D594" s="128"/>
      <c r="E594" s="134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</row>
    <row r="595" customFormat="false" ht="15.75" hidden="false" customHeight="false" outlineLevel="0" collapsed="false">
      <c r="A595" s="128" t="str">
        <f aca="false">IF(ISBLANK(B595),"",B595&amp;"|"&amp;C595)</f>
        <v/>
      </c>
      <c r="B595" s="128"/>
      <c r="C595" s="128"/>
      <c r="D595" s="128"/>
      <c r="E595" s="134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</row>
    <row r="596" customFormat="false" ht="15.75" hidden="false" customHeight="false" outlineLevel="0" collapsed="false">
      <c r="A596" s="128" t="str">
        <f aca="false">IF(ISBLANK(B596),"",B596&amp;"|"&amp;C596)</f>
        <v/>
      </c>
      <c r="B596" s="128"/>
      <c r="C596" s="128"/>
      <c r="D596" s="128"/>
      <c r="E596" s="134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</row>
    <row r="597" customFormat="false" ht="15.75" hidden="false" customHeight="false" outlineLevel="0" collapsed="false">
      <c r="A597" s="128" t="str">
        <f aca="false">IF(ISBLANK(B597),"",B597&amp;"|"&amp;C597)</f>
        <v/>
      </c>
      <c r="B597" s="128"/>
      <c r="C597" s="128"/>
      <c r="D597" s="128"/>
      <c r="E597" s="134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</row>
    <row r="598" customFormat="false" ht="15.75" hidden="false" customHeight="false" outlineLevel="0" collapsed="false">
      <c r="A598" s="128" t="str">
        <f aca="false">IF(ISBLANK(B598),"",B598&amp;"|"&amp;C598)</f>
        <v/>
      </c>
      <c r="B598" s="128"/>
      <c r="C598" s="128"/>
      <c r="D598" s="128"/>
      <c r="E598" s="134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</row>
    <row r="599" customFormat="false" ht="15.75" hidden="false" customHeight="false" outlineLevel="0" collapsed="false">
      <c r="A599" s="128" t="str">
        <f aca="false">IF(ISBLANK(B599),"",B599&amp;"|"&amp;C599)</f>
        <v/>
      </c>
      <c r="B599" s="128"/>
      <c r="C599" s="128"/>
      <c r="D599" s="128"/>
      <c r="E599" s="134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</row>
    <row r="600" customFormat="false" ht="15.75" hidden="false" customHeight="false" outlineLevel="0" collapsed="false">
      <c r="A600" s="128" t="str">
        <f aca="false">IF(ISBLANK(B600),"",B600&amp;"|"&amp;C600)</f>
        <v/>
      </c>
      <c r="B600" s="128"/>
      <c r="C600" s="128"/>
      <c r="D600" s="128"/>
      <c r="E600" s="134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</row>
    <row r="601" customFormat="false" ht="15.75" hidden="false" customHeight="false" outlineLevel="0" collapsed="false">
      <c r="A601" s="128" t="str">
        <f aca="false">IF(ISBLANK(B601),"",B601&amp;"|"&amp;C601)</f>
        <v/>
      </c>
      <c r="B601" s="128"/>
      <c r="C601" s="128"/>
      <c r="D601" s="128"/>
      <c r="E601" s="134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</row>
    <row r="602" customFormat="false" ht="15.75" hidden="false" customHeight="false" outlineLevel="0" collapsed="false">
      <c r="A602" s="128" t="str">
        <f aca="false">IF(ISBLANK(B602),"",B602&amp;"|"&amp;C602)</f>
        <v/>
      </c>
      <c r="B602" s="128"/>
      <c r="C602" s="128"/>
      <c r="D602" s="128"/>
      <c r="E602" s="134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</row>
    <row r="603" customFormat="false" ht="15.75" hidden="false" customHeight="false" outlineLevel="0" collapsed="false">
      <c r="A603" s="128" t="str">
        <f aca="false">IF(ISBLANK(B603),"",B603&amp;"|"&amp;C603)</f>
        <v/>
      </c>
      <c r="B603" s="128"/>
      <c r="C603" s="128"/>
      <c r="D603" s="128"/>
      <c r="E603" s="134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</row>
    <row r="604" customFormat="false" ht="15.75" hidden="false" customHeight="false" outlineLevel="0" collapsed="false">
      <c r="A604" s="128" t="str">
        <f aca="false">IF(ISBLANK(B604),"",B604&amp;"|"&amp;C604)</f>
        <v/>
      </c>
      <c r="B604" s="128"/>
      <c r="C604" s="128"/>
      <c r="D604" s="128"/>
      <c r="E604" s="134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</row>
    <row r="605" customFormat="false" ht="15.75" hidden="false" customHeight="false" outlineLevel="0" collapsed="false">
      <c r="A605" s="128" t="str">
        <f aca="false">IF(ISBLANK(B605),"",B605&amp;"|"&amp;C605)</f>
        <v/>
      </c>
      <c r="B605" s="128"/>
      <c r="C605" s="128"/>
      <c r="D605" s="128"/>
      <c r="E605" s="134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</row>
    <row r="606" customFormat="false" ht="15.75" hidden="false" customHeight="false" outlineLevel="0" collapsed="false">
      <c r="A606" s="128" t="str">
        <f aca="false">IF(ISBLANK(B606),"",B606&amp;"|"&amp;C606)</f>
        <v/>
      </c>
      <c r="B606" s="128"/>
      <c r="C606" s="128"/>
      <c r="D606" s="128"/>
      <c r="E606" s="134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</row>
    <row r="607" customFormat="false" ht="15.75" hidden="false" customHeight="false" outlineLevel="0" collapsed="false">
      <c r="A607" s="128" t="str">
        <f aca="false">IF(ISBLANK(B607),"",B607&amp;"|"&amp;C607)</f>
        <v/>
      </c>
      <c r="B607" s="128"/>
      <c r="C607" s="128"/>
      <c r="D607" s="128"/>
      <c r="E607" s="134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</row>
    <row r="608" customFormat="false" ht="15.75" hidden="false" customHeight="false" outlineLevel="0" collapsed="false">
      <c r="A608" s="128" t="str">
        <f aca="false">IF(ISBLANK(B608),"",B608&amp;"|"&amp;C608)</f>
        <v/>
      </c>
      <c r="B608" s="128"/>
      <c r="C608" s="128"/>
      <c r="D608" s="128"/>
      <c r="E608" s="134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</row>
    <row r="609" customFormat="false" ht="15.75" hidden="false" customHeight="false" outlineLevel="0" collapsed="false">
      <c r="A609" s="128" t="str">
        <f aca="false">IF(ISBLANK(B609),"",B609&amp;"|"&amp;C609)</f>
        <v/>
      </c>
      <c r="B609" s="128"/>
      <c r="C609" s="128"/>
      <c r="D609" s="128"/>
      <c r="E609" s="134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</row>
    <row r="610" customFormat="false" ht="15.75" hidden="false" customHeight="false" outlineLevel="0" collapsed="false">
      <c r="A610" s="128" t="str">
        <f aca="false">IF(ISBLANK(B610),"",B610&amp;"|"&amp;C610)</f>
        <v/>
      </c>
      <c r="B610" s="128"/>
      <c r="C610" s="128"/>
      <c r="D610" s="128"/>
      <c r="E610" s="134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</row>
    <row r="611" customFormat="false" ht="15.75" hidden="false" customHeight="false" outlineLevel="0" collapsed="false">
      <c r="A611" s="128" t="str">
        <f aca="false">IF(ISBLANK(B611),"",B611&amp;"|"&amp;C611)</f>
        <v/>
      </c>
      <c r="B611" s="128"/>
      <c r="C611" s="128"/>
      <c r="D611" s="128"/>
      <c r="E611" s="134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</row>
    <row r="612" customFormat="false" ht="15.75" hidden="false" customHeight="false" outlineLevel="0" collapsed="false">
      <c r="A612" s="128" t="str">
        <f aca="false">IF(ISBLANK(B612),"",B612&amp;"|"&amp;C612)</f>
        <v/>
      </c>
      <c r="B612" s="128"/>
      <c r="C612" s="128"/>
      <c r="D612" s="128"/>
      <c r="E612" s="134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</row>
    <row r="613" customFormat="false" ht="15.75" hidden="false" customHeight="false" outlineLevel="0" collapsed="false">
      <c r="A613" s="128" t="str">
        <f aca="false">IF(ISBLANK(B613),"",B613&amp;"|"&amp;C613)</f>
        <v/>
      </c>
      <c r="B613" s="128"/>
      <c r="C613" s="128"/>
      <c r="D613" s="128"/>
      <c r="E613" s="134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</row>
    <row r="614" customFormat="false" ht="15.75" hidden="false" customHeight="false" outlineLevel="0" collapsed="false">
      <c r="A614" s="128" t="str">
        <f aca="false">IF(ISBLANK(B614),"",B614&amp;"|"&amp;C614)</f>
        <v/>
      </c>
      <c r="B614" s="128"/>
      <c r="C614" s="128"/>
      <c r="D614" s="128"/>
      <c r="E614" s="134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</row>
    <row r="615" customFormat="false" ht="15.75" hidden="false" customHeight="false" outlineLevel="0" collapsed="false">
      <c r="A615" s="128" t="str">
        <f aca="false">IF(ISBLANK(B615),"",B615&amp;"|"&amp;C615)</f>
        <v/>
      </c>
      <c r="B615" s="128"/>
      <c r="C615" s="128"/>
      <c r="D615" s="128"/>
      <c r="E615" s="134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</row>
    <row r="616" customFormat="false" ht="15.75" hidden="false" customHeight="false" outlineLevel="0" collapsed="false">
      <c r="A616" s="128" t="str">
        <f aca="false">IF(ISBLANK(B616),"",B616&amp;"|"&amp;C616)</f>
        <v/>
      </c>
      <c r="B616" s="128"/>
      <c r="C616" s="128"/>
      <c r="D616" s="128"/>
      <c r="E616" s="134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</row>
    <row r="617" customFormat="false" ht="15.75" hidden="false" customHeight="false" outlineLevel="0" collapsed="false">
      <c r="A617" s="128" t="str">
        <f aca="false">IF(ISBLANK(B617),"",B617&amp;"|"&amp;C617)</f>
        <v/>
      </c>
      <c r="B617" s="128"/>
      <c r="C617" s="128"/>
      <c r="D617" s="128"/>
      <c r="E617" s="134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</row>
    <row r="618" customFormat="false" ht="15.75" hidden="false" customHeight="false" outlineLevel="0" collapsed="false">
      <c r="A618" s="128" t="str">
        <f aca="false">IF(ISBLANK(B618),"",B618&amp;"|"&amp;C618)</f>
        <v/>
      </c>
      <c r="B618" s="128"/>
      <c r="C618" s="128"/>
      <c r="D618" s="128"/>
      <c r="E618" s="134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</row>
    <row r="619" customFormat="false" ht="15.75" hidden="false" customHeight="false" outlineLevel="0" collapsed="false">
      <c r="A619" s="128" t="str">
        <f aca="false">IF(ISBLANK(B619),"",B619&amp;"|"&amp;C619)</f>
        <v/>
      </c>
      <c r="B619" s="128"/>
      <c r="C619" s="128"/>
      <c r="D619" s="128"/>
      <c r="E619" s="134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</row>
    <row r="620" customFormat="false" ht="15.75" hidden="false" customHeight="false" outlineLevel="0" collapsed="false">
      <c r="A620" s="128" t="str">
        <f aca="false">IF(ISBLANK(B620),"",B620&amp;"|"&amp;C620)</f>
        <v/>
      </c>
      <c r="B620" s="128"/>
      <c r="C620" s="128"/>
      <c r="D620" s="128"/>
      <c r="E620" s="134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</row>
    <row r="621" customFormat="false" ht="15.75" hidden="false" customHeight="false" outlineLevel="0" collapsed="false">
      <c r="A621" s="128" t="str">
        <f aca="false">IF(ISBLANK(B621),"",B621&amp;"|"&amp;C621)</f>
        <v/>
      </c>
      <c r="B621" s="128"/>
      <c r="C621" s="128"/>
      <c r="D621" s="128"/>
      <c r="E621" s="134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</row>
    <row r="622" customFormat="false" ht="15.75" hidden="false" customHeight="false" outlineLevel="0" collapsed="false">
      <c r="A622" s="128" t="str">
        <f aca="false">IF(ISBLANK(B622),"",B622&amp;"|"&amp;C622)</f>
        <v/>
      </c>
      <c r="B622" s="128"/>
      <c r="C622" s="128"/>
      <c r="D622" s="128"/>
      <c r="E622" s="134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</row>
    <row r="623" customFormat="false" ht="15.75" hidden="false" customHeight="false" outlineLevel="0" collapsed="false">
      <c r="A623" s="128" t="str">
        <f aca="false">IF(ISBLANK(B623),"",B623&amp;"|"&amp;C623)</f>
        <v/>
      </c>
      <c r="B623" s="128"/>
      <c r="C623" s="128"/>
      <c r="D623" s="128"/>
      <c r="E623" s="134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</row>
    <row r="624" customFormat="false" ht="15.75" hidden="false" customHeight="false" outlineLevel="0" collapsed="false">
      <c r="A624" s="128" t="str">
        <f aca="false">IF(ISBLANK(B624),"",B624&amp;"|"&amp;C624)</f>
        <v/>
      </c>
      <c r="B624" s="128"/>
      <c r="C624" s="128"/>
      <c r="D624" s="128"/>
      <c r="E624" s="134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</row>
    <row r="625" customFormat="false" ht="15.75" hidden="false" customHeight="false" outlineLevel="0" collapsed="false">
      <c r="A625" s="128" t="str">
        <f aca="false">IF(ISBLANK(B625),"",B625&amp;"|"&amp;C625)</f>
        <v/>
      </c>
      <c r="B625" s="128"/>
      <c r="C625" s="128"/>
      <c r="D625" s="128"/>
      <c r="E625" s="134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</row>
    <row r="626" customFormat="false" ht="15.75" hidden="false" customHeight="false" outlineLevel="0" collapsed="false">
      <c r="A626" s="128" t="str">
        <f aca="false">IF(ISBLANK(B626),"",B626&amp;"|"&amp;C626)</f>
        <v/>
      </c>
      <c r="B626" s="128"/>
      <c r="C626" s="128"/>
      <c r="D626" s="128"/>
      <c r="E626" s="134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</row>
    <row r="627" customFormat="false" ht="15.75" hidden="false" customHeight="false" outlineLevel="0" collapsed="false">
      <c r="A627" s="128" t="str">
        <f aca="false">IF(ISBLANK(B627),"",B627&amp;"|"&amp;C627)</f>
        <v/>
      </c>
      <c r="B627" s="128"/>
      <c r="C627" s="128"/>
      <c r="D627" s="128"/>
      <c r="E627" s="134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</row>
    <row r="628" customFormat="false" ht="15.75" hidden="false" customHeight="false" outlineLevel="0" collapsed="false">
      <c r="A628" s="128" t="str">
        <f aca="false">IF(ISBLANK(B628),"",B628&amp;"|"&amp;C628)</f>
        <v/>
      </c>
      <c r="B628" s="128"/>
      <c r="C628" s="128"/>
      <c r="D628" s="128"/>
      <c r="E628" s="134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</row>
    <row r="629" customFormat="false" ht="15.75" hidden="false" customHeight="false" outlineLevel="0" collapsed="false">
      <c r="A629" s="128" t="str">
        <f aca="false">IF(ISBLANK(B629),"",B629&amp;"|"&amp;C629)</f>
        <v/>
      </c>
      <c r="B629" s="128"/>
      <c r="C629" s="128"/>
      <c r="D629" s="128"/>
      <c r="E629" s="134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</row>
    <row r="630" customFormat="false" ht="15.75" hidden="false" customHeight="false" outlineLevel="0" collapsed="false">
      <c r="A630" s="128" t="str">
        <f aca="false">IF(ISBLANK(B630),"",B630&amp;"|"&amp;C630)</f>
        <v/>
      </c>
      <c r="B630" s="128"/>
      <c r="C630" s="128"/>
      <c r="D630" s="128"/>
      <c r="E630" s="134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</row>
    <row r="631" customFormat="false" ht="15.75" hidden="false" customHeight="false" outlineLevel="0" collapsed="false">
      <c r="A631" s="128" t="str">
        <f aca="false">IF(ISBLANK(B631),"",B631&amp;"|"&amp;C631)</f>
        <v/>
      </c>
      <c r="B631" s="128"/>
      <c r="C631" s="128"/>
      <c r="D631" s="128"/>
      <c r="E631" s="134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</row>
    <row r="632" customFormat="false" ht="15.75" hidden="false" customHeight="false" outlineLevel="0" collapsed="false">
      <c r="A632" s="128" t="str">
        <f aca="false">IF(ISBLANK(B632),"",B632&amp;"|"&amp;C632)</f>
        <v/>
      </c>
      <c r="B632" s="128"/>
      <c r="C632" s="128"/>
      <c r="D632" s="128"/>
      <c r="E632" s="134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</row>
    <row r="633" customFormat="false" ht="15.75" hidden="false" customHeight="false" outlineLevel="0" collapsed="false">
      <c r="A633" s="128" t="str">
        <f aca="false">IF(ISBLANK(B633),"",B633&amp;"|"&amp;C633)</f>
        <v/>
      </c>
      <c r="B633" s="128"/>
      <c r="C633" s="128"/>
      <c r="D633" s="128"/>
      <c r="E633" s="134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</row>
    <row r="634" customFormat="false" ht="15.75" hidden="false" customHeight="false" outlineLevel="0" collapsed="false">
      <c r="A634" s="128" t="str">
        <f aca="false">IF(ISBLANK(B634),"",B634&amp;"|"&amp;C634)</f>
        <v/>
      </c>
      <c r="B634" s="128"/>
      <c r="C634" s="128"/>
      <c r="D634" s="128"/>
      <c r="E634" s="134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</row>
    <row r="635" customFormat="false" ht="15.75" hidden="false" customHeight="false" outlineLevel="0" collapsed="false">
      <c r="A635" s="128" t="str">
        <f aca="false">IF(ISBLANK(B635),"",B635&amp;"|"&amp;C635)</f>
        <v/>
      </c>
      <c r="B635" s="128"/>
      <c r="C635" s="128"/>
      <c r="D635" s="128"/>
      <c r="E635" s="134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</row>
    <row r="636" customFormat="false" ht="15.75" hidden="false" customHeight="false" outlineLevel="0" collapsed="false">
      <c r="A636" s="128" t="str">
        <f aca="false">IF(ISBLANK(B636),"",B636&amp;"|"&amp;C636)</f>
        <v/>
      </c>
      <c r="B636" s="128"/>
      <c r="C636" s="128"/>
      <c r="D636" s="128"/>
      <c r="E636" s="134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</row>
    <row r="637" customFormat="false" ht="15.75" hidden="false" customHeight="false" outlineLevel="0" collapsed="false">
      <c r="A637" s="128" t="str">
        <f aca="false">IF(ISBLANK(B637),"",B637&amp;"|"&amp;C637)</f>
        <v/>
      </c>
      <c r="B637" s="128"/>
      <c r="C637" s="128"/>
      <c r="D637" s="128"/>
      <c r="E637" s="134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</row>
    <row r="638" customFormat="false" ht="15.75" hidden="false" customHeight="false" outlineLevel="0" collapsed="false">
      <c r="A638" s="128" t="str">
        <f aca="false">IF(ISBLANK(B638),"",B638&amp;"|"&amp;C638)</f>
        <v/>
      </c>
      <c r="B638" s="128"/>
      <c r="C638" s="128"/>
      <c r="D638" s="128"/>
      <c r="E638" s="134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</row>
    <row r="639" customFormat="false" ht="15.75" hidden="false" customHeight="false" outlineLevel="0" collapsed="false">
      <c r="A639" s="128" t="str">
        <f aca="false">IF(ISBLANK(B639),"",B639&amp;"|"&amp;C639)</f>
        <v/>
      </c>
      <c r="B639" s="128"/>
      <c r="C639" s="128"/>
      <c r="D639" s="128"/>
      <c r="E639" s="134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</row>
    <row r="640" customFormat="false" ht="15.75" hidden="false" customHeight="false" outlineLevel="0" collapsed="false">
      <c r="A640" s="128" t="str">
        <f aca="false">IF(ISBLANK(B640),"",B640&amp;"|"&amp;C640)</f>
        <v/>
      </c>
      <c r="B640" s="128"/>
      <c r="C640" s="128"/>
      <c r="D640" s="128"/>
      <c r="E640" s="134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</row>
    <row r="641" customFormat="false" ht="15.75" hidden="false" customHeight="false" outlineLevel="0" collapsed="false">
      <c r="A641" s="128" t="str">
        <f aca="false">IF(ISBLANK(B641),"",B641&amp;"|"&amp;C641)</f>
        <v/>
      </c>
      <c r="B641" s="128"/>
      <c r="C641" s="128"/>
      <c r="D641" s="128"/>
      <c r="E641" s="134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</row>
    <row r="642" customFormat="false" ht="15.75" hidden="false" customHeight="false" outlineLevel="0" collapsed="false">
      <c r="A642" s="128" t="str">
        <f aca="false">IF(ISBLANK(B642),"",B642&amp;"|"&amp;C642)</f>
        <v/>
      </c>
      <c r="B642" s="128"/>
      <c r="C642" s="128"/>
      <c r="D642" s="128"/>
      <c r="E642" s="134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</row>
    <row r="643" customFormat="false" ht="15.75" hidden="false" customHeight="false" outlineLevel="0" collapsed="false">
      <c r="A643" s="128" t="str">
        <f aca="false">IF(ISBLANK(B643),"",B643&amp;"|"&amp;C643)</f>
        <v/>
      </c>
      <c r="B643" s="128"/>
      <c r="C643" s="128"/>
      <c r="D643" s="128"/>
      <c r="E643" s="134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</row>
    <row r="644" customFormat="false" ht="15.75" hidden="false" customHeight="false" outlineLevel="0" collapsed="false">
      <c r="A644" s="128" t="str">
        <f aca="false">IF(ISBLANK(B644),"",B644&amp;"|"&amp;C644)</f>
        <v/>
      </c>
      <c r="B644" s="128"/>
      <c r="C644" s="128"/>
      <c r="D644" s="128"/>
      <c r="E644" s="134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</row>
    <row r="645" customFormat="false" ht="15.75" hidden="false" customHeight="false" outlineLevel="0" collapsed="false">
      <c r="A645" s="128" t="str">
        <f aca="false">IF(ISBLANK(B645),"",B645&amp;"|"&amp;C645)</f>
        <v/>
      </c>
      <c r="B645" s="128"/>
      <c r="C645" s="128"/>
      <c r="D645" s="128"/>
      <c r="E645" s="134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</row>
    <row r="646" customFormat="false" ht="15.75" hidden="false" customHeight="false" outlineLevel="0" collapsed="false">
      <c r="A646" s="128" t="str">
        <f aca="false">IF(ISBLANK(B646),"",B646&amp;"|"&amp;C646)</f>
        <v/>
      </c>
      <c r="B646" s="128"/>
      <c r="C646" s="128"/>
      <c r="D646" s="128"/>
      <c r="E646" s="134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</row>
    <row r="647" customFormat="false" ht="15.75" hidden="false" customHeight="false" outlineLevel="0" collapsed="false">
      <c r="A647" s="128" t="str">
        <f aca="false">IF(ISBLANK(B647),"",B647&amp;"|"&amp;C647)</f>
        <v/>
      </c>
      <c r="B647" s="128"/>
      <c r="C647" s="128"/>
      <c r="D647" s="128"/>
      <c r="E647" s="134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</row>
    <row r="648" customFormat="false" ht="15.75" hidden="false" customHeight="false" outlineLevel="0" collapsed="false">
      <c r="A648" s="128" t="str">
        <f aca="false">IF(ISBLANK(B648),"",B648&amp;"|"&amp;C648)</f>
        <v/>
      </c>
      <c r="B648" s="128"/>
      <c r="C648" s="128"/>
      <c r="D648" s="128"/>
      <c r="E648" s="134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</row>
    <row r="649" customFormat="false" ht="15.75" hidden="false" customHeight="false" outlineLevel="0" collapsed="false">
      <c r="A649" s="128" t="str">
        <f aca="false">IF(ISBLANK(B649),"",B649&amp;"|"&amp;C649)</f>
        <v/>
      </c>
      <c r="B649" s="128"/>
      <c r="C649" s="128"/>
      <c r="D649" s="128"/>
      <c r="E649" s="134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</row>
    <row r="650" customFormat="false" ht="15.75" hidden="false" customHeight="false" outlineLevel="0" collapsed="false">
      <c r="A650" s="128" t="str">
        <f aca="false">IF(ISBLANK(B650),"",B650&amp;"|"&amp;C650)</f>
        <v/>
      </c>
      <c r="B650" s="128"/>
      <c r="C650" s="128"/>
      <c r="D650" s="128"/>
      <c r="E650" s="134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</row>
    <row r="651" customFormat="false" ht="15.75" hidden="false" customHeight="false" outlineLevel="0" collapsed="false">
      <c r="A651" s="128" t="str">
        <f aca="false">IF(ISBLANK(B651),"",B651&amp;"|"&amp;C651)</f>
        <v/>
      </c>
      <c r="B651" s="128"/>
      <c r="C651" s="128"/>
      <c r="D651" s="128"/>
      <c r="E651" s="134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</row>
    <row r="652" customFormat="false" ht="15.75" hidden="false" customHeight="false" outlineLevel="0" collapsed="false">
      <c r="A652" s="128" t="str">
        <f aca="false">IF(ISBLANK(B652),"",B652&amp;"|"&amp;C652)</f>
        <v/>
      </c>
      <c r="B652" s="128"/>
      <c r="C652" s="128"/>
      <c r="D652" s="128"/>
      <c r="E652" s="134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</row>
    <row r="653" customFormat="false" ht="15.75" hidden="false" customHeight="false" outlineLevel="0" collapsed="false">
      <c r="A653" s="128" t="str">
        <f aca="false">IF(ISBLANK(B653),"",B653&amp;"|"&amp;C653)</f>
        <v/>
      </c>
      <c r="B653" s="128"/>
      <c r="C653" s="128"/>
      <c r="D653" s="128"/>
      <c r="E653" s="134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</row>
    <row r="654" customFormat="false" ht="15.75" hidden="false" customHeight="false" outlineLevel="0" collapsed="false">
      <c r="A654" s="128" t="str">
        <f aca="false">IF(ISBLANK(B654),"",B654&amp;"|"&amp;C654)</f>
        <v/>
      </c>
      <c r="B654" s="128"/>
      <c r="C654" s="128"/>
      <c r="D654" s="128"/>
      <c r="E654" s="134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</row>
    <row r="655" customFormat="false" ht="15.75" hidden="false" customHeight="false" outlineLevel="0" collapsed="false">
      <c r="A655" s="128" t="str">
        <f aca="false">IF(ISBLANK(B655),"",B655&amp;"|"&amp;C655)</f>
        <v/>
      </c>
      <c r="B655" s="128"/>
      <c r="C655" s="128"/>
      <c r="D655" s="128"/>
      <c r="E655" s="134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</row>
    <row r="656" customFormat="false" ht="15.75" hidden="false" customHeight="false" outlineLevel="0" collapsed="false">
      <c r="A656" s="128" t="str">
        <f aca="false">IF(ISBLANK(B656),"",B656&amp;"|"&amp;C656)</f>
        <v/>
      </c>
      <c r="B656" s="128"/>
      <c r="C656" s="128"/>
      <c r="D656" s="128"/>
      <c r="E656" s="134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</row>
    <row r="657" customFormat="false" ht="15.75" hidden="false" customHeight="false" outlineLevel="0" collapsed="false">
      <c r="A657" s="128" t="str">
        <f aca="false">IF(ISBLANK(B657),"",B657&amp;"|"&amp;C657)</f>
        <v/>
      </c>
      <c r="B657" s="128"/>
      <c r="C657" s="128"/>
      <c r="D657" s="128"/>
      <c r="E657" s="134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</row>
    <row r="658" customFormat="false" ht="15.75" hidden="false" customHeight="false" outlineLevel="0" collapsed="false">
      <c r="A658" s="128" t="str">
        <f aca="false">IF(ISBLANK(B658),"",B658&amp;"|"&amp;C658)</f>
        <v/>
      </c>
      <c r="B658" s="128"/>
      <c r="C658" s="128"/>
      <c r="D658" s="128"/>
      <c r="E658" s="134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</row>
    <row r="659" customFormat="false" ht="15.75" hidden="false" customHeight="false" outlineLevel="0" collapsed="false">
      <c r="A659" s="128" t="str">
        <f aca="false">IF(ISBLANK(B659),"",B659&amp;"|"&amp;C659)</f>
        <v/>
      </c>
      <c r="B659" s="128"/>
      <c r="C659" s="128"/>
      <c r="D659" s="128"/>
      <c r="E659" s="134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</row>
    <row r="660" customFormat="false" ht="15.75" hidden="false" customHeight="false" outlineLevel="0" collapsed="false">
      <c r="A660" s="128" t="str">
        <f aca="false">IF(ISBLANK(B660),"",B660&amp;"|"&amp;C660)</f>
        <v/>
      </c>
      <c r="B660" s="128"/>
      <c r="C660" s="128"/>
      <c r="D660" s="128"/>
      <c r="E660" s="134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</row>
    <row r="661" customFormat="false" ht="15.75" hidden="false" customHeight="false" outlineLevel="0" collapsed="false">
      <c r="A661" s="128" t="str">
        <f aca="false">IF(ISBLANK(B661),"",B661&amp;"|"&amp;C661)</f>
        <v/>
      </c>
      <c r="B661" s="128"/>
      <c r="C661" s="128"/>
      <c r="D661" s="128"/>
      <c r="E661" s="134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</row>
    <row r="662" customFormat="false" ht="15.75" hidden="false" customHeight="false" outlineLevel="0" collapsed="false">
      <c r="A662" s="128" t="str">
        <f aca="false">IF(ISBLANK(B662),"",B662&amp;"|"&amp;C662)</f>
        <v/>
      </c>
      <c r="B662" s="128"/>
      <c r="C662" s="128"/>
      <c r="D662" s="128"/>
      <c r="E662" s="134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</row>
    <row r="663" customFormat="false" ht="15.75" hidden="false" customHeight="false" outlineLevel="0" collapsed="false">
      <c r="A663" s="128" t="str">
        <f aca="false">IF(ISBLANK(B663),"",B663&amp;"|"&amp;C663)</f>
        <v/>
      </c>
      <c r="B663" s="128"/>
      <c r="C663" s="128"/>
      <c r="D663" s="128"/>
      <c r="E663" s="134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</row>
    <row r="664" customFormat="false" ht="15.75" hidden="false" customHeight="false" outlineLevel="0" collapsed="false">
      <c r="A664" s="128" t="str">
        <f aca="false">IF(ISBLANK(B664),"",B664&amp;"|"&amp;C664)</f>
        <v/>
      </c>
      <c r="B664" s="128"/>
      <c r="C664" s="128"/>
      <c r="D664" s="128"/>
      <c r="E664" s="134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</row>
    <row r="665" customFormat="false" ht="15.75" hidden="false" customHeight="false" outlineLevel="0" collapsed="false">
      <c r="A665" s="128" t="str">
        <f aca="false">IF(ISBLANK(B665),"",B665&amp;"|"&amp;C665)</f>
        <v/>
      </c>
      <c r="B665" s="128"/>
      <c r="C665" s="128"/>
      <c r="D665" s="128"/>
      <c r="E665" s="134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</row>
    <row r="666" customFormat="false" ht="15.75" hidden="false" customHeight="false" outlineLevel="0" collapsed="false">
      <c r="A666" s="128" t="str">
        <f aca="false">IF(ISBLANK(B666),"",B666&amp;"|"&amp;C666)</f>
        <v/>
      </c>
      <c r="B666" s="128"/>
      <c r="C666" s="128"/>
      <c r="D666" s="128"/>
      <c r="E666" s="134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</row>
    <row r="667" customFormat="false" ht="15.75" hidden="false" customHeight="false" outlineLevel="0" collapsed="false">
      <c r="A667" s="128" t="str">
        <f aca="false">IF(ISBLANK(B667),"",B667&amp;"|"&amp;C667)</f>
        <v/>
      </c>
      <c r="B667" s="128"/>
      <c r="C667" s="128"/>
      <c r="D667" s="128"/>
      <c r="E667" s="134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</row>
    <row r="668" customFormat="false" ht="15.75" hidden="false" customHeight="false" outlineLevel="0" collapsed="false">
      <c r="A668" s="128" t="str">
        <f aca="false">IF(ISBLANK(B668),"",B668&amp;"|"&amp;C668)</f>
        <v/>
      </c>
      <c r="B668" s="128"/>
      <c r="C668" s="128"/>
      <c r="D668" s="128"/>
      <c r="E668" s="134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</row>
    <row r="669" customFormat="false" ht="15.75" hidden="false" customHeight="false" outlineLevel="0" collapsed="false">
      <c r="A669" s="128" t="str">
        <f aca="false">IF(ISBLANK(B669),"",B669&amp;"|"&amp;C669)</f>
        <v/>
      </c>
      <c r="B669" s="128"/>
      <c r="C669" s="128"/>
      <c r="D669" s="128"/>
      <c r="E669" s="134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</row>
    <row r="670" customFormat="false" ht="15.75" hidden="false" customHeight="false" outlineLevel="0" collapsed="false">
      <c r="A670" s="128" t="str">
        <f aca="false">IF(ISBLANK(B670),"",B670&amp;"|"&amp;C670)</f>
        <v/>
      </c>
      <c r="B670" s="128"/>
      <c r="C670" s="128"/>
      <c r="D670" s="128"/>
      <c r="E670" s="134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</row>
    <row r="671" customFormat="false" ht="15.75" hidden="false" customHeight="false" outlineLevel="0" collapsed="false">
      <c r="A671" s="128" t="str">
        <f aca="false">IF(ISBLANK(B671),"",B671&amp;"|"&amp;C671)</f>
        <v/>
      </c>
      <c r="B671" s="128"/>
      <c r="C671" s="128"/>
      <c r="D671" s="128"/>
      <c r="E671" s="134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</row>
    <row r="672" customFormat="false" ht="15.75" hidden="false" customHeight="false" outlineLevel="0" collapsed="false">
      <c r="A672" s="128" t="str">
        <f aca="false">IF(ISBLANK(B672),"",B672&amp;"|"&amp;C672)</f>
        <v/>
      </c>
      <c r="B672" s="128"/>
      <c r="C672" s="128"/>
      <c r="D672" s="128"/>
      <c r="E672" s="134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</row>
    <row r="673" customFormat="false" ht="15.75" hidden="false" customHeight="false" outlineLevel="0" collapsed="false">
      <c r="A673" s="128" t="str">
        <f aca="false">IF(ISBLANK(B673),"",B673&amp;"|"&amp;C673)</f>
        <v/>
      </c>
      <c r="B673" s="128"/>
      <c r="C673" s="128"/>
      <c r="D673" s="128"/>
      <c r="E673" s="134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</row>
    <row r="674" customFormat="false" ht="15.75" hidden="false" customHeight="false" outlineLevel="0" collapsed="false">
      <c r="A674" s="128" t="str">
        <f aca="false">IF(ISBLANK(B674),"",B674&amp;"|"&amp;C674)</f>
        <v/>
      </c>
      <c r="B674" s="128"/>
      <c r="C674" s="128"/>
      <c r="D674" s="128"/>
      <c r="E674" s="134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</row>
    <row r="675" customFormat="false" ht="15.75" hidden="false" customHeight="false" outlineLevel="0" collapsed="false">
      <c r="A675" s="128" t="str">
        <f aca="false">IF(ISBLANK(B675),"",B675&amp;"|"&amp;C675)</f>
        <v/>
      </c>
      <c r="B675" s="128"/>
      <c r="C675" s="128"/>
      <c r="D675" s="128"/>
      <c r="E675" s="134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</row>
    <row r="676" customFormat="false" ht="15.75" hidden="false" customHeight="false" outlineLevel="0" collapsed="false">
      <c r="A676" s="128" t="str">
        <f aca="false">IF(ISBLANK(B676),"",B676&amp;"|"&amp;C676)</f>
        <v/>
      </c>
      <c r="B676" s="128"/>
      <c r="C676" s="128"/>
      <c r="D676" s="128"/>
      <c r="E676" s="134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</row>
    <row r="677" customFormat="false" ht="15.75" hidden="false" customHeight="false" outlineLevel="0" collapsed="false">
      <c r="A677" s="128" t="str">
        <f aca="false">IF(ISBLANK(B677),"",B677&amp;"|"&amp;C677)</f>
        <v/>
      </c>
      <c r="B677" s="128"/>
      <c r="C677" s="128"/>
      <c r="D677" s="128"/>
      <c r="E677" s="134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</row>
    <row r="678" customFormat="false" ht="15.75" hidden="false" customHeight="false" outlineLevel="0" collapsed="false">
      <c r="A678" s="128" t="str">
        <f aca="false">IF(ISBLANK(B678),"",B678&amp;"|"&amp;C678)</f>
        <v/>
      </c>
      <c r="B678" s="128"/>
      <c r="C678" s="128"/>
      <c r="D678" s="128"/>
      <c r="E678" s="134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</row>
    <row r="679" customFormat="false" ht="15.75" hidden="false" customHeight="false" outlineLevel="0" collapsed="false">
      <c r="A679" s="128" t="str">
        <f aca="false">IF(ISBLANK(B679),"",B679&amp;"|"&amp;C679)</f>
        <v/>
      </c>
      <c r="B679" s="128"/>
      <c r="C679" s="128"/>
      <c r="D679" s="128"/>
      <c r="E679" s="134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</row>
    <row r="680" customFormat="false" ht="15.75" hidden="false" customHeight="false" outlineLevel="0" collapsed="false">
      <c r="A680" s="128" t="str">
        <f aca="false">IF(ISBLANK(B680),"",B680&amp;"|"&amp;C680)</f>
        <v/>
      </c>
      <c r="B680" s="128"/>
      <c r="C680" s="128"/>
      <c r="D680" s="128"/>
      <c r="E680" s="134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</row>
    <row r="681" customFormat="false" ht="15.75" hidden="false" customHeight="false" outlineLevel="0" collapsed="false">
      <c r="A681" s="128" t="str">
        <f aca="false">IF(ISBLANK(B681),"",B681&amp;"|"&amp;C681)</f>
        <v/>
      </c>
      <c r="B681" s="128"/>
      <c r="C681" s="128"/>
      <c r="D681" s="128"/>
      <c r="E681" s="134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</row>
    <row r="682" customFormat="false" ht="15.75" hidden="false" customHeight="false" outlineLevel="0" collapsed="false">
      <c r="A682" s="128" t="str">
        <f aca="false">IF(ISBLANK(B682),"",B682&amp;"|"&amp;C682)</f>
        <v/>
      </c>
      <c r="B682" s="128"/>
      <c r="C682" s="128"/>
      <c r="D682" s="128"/>
      <c r="E682" s="134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</row>
    <row r="683" customFormat="false" ht="15.75" hidden="false" customHeight="false" outlineLevel="0" collapsed="false">
      <c r="A683" s="128" t="str">
        <f aca="false">IF(ISBLANK(B683),"",B683&amp;"|"&amp;C683)</f>
        <v/>
      </c>
      <c r="B683" s="128"/>
      <c r="C683" s="128"/>
      <c r="D683" s="128"/>
      <c r="E683" s="134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</row>
    <row r="684" customFormat="false" ht="15.75" hidden="false" customHeight="false" outlineLevel="0" collapsed="false">
      <c r="A684" s="128" t="str">
        <f aca="false">IF(ISBLANK(B684),"",B684&amp;"|"&amp;C684)</f>
        <v/>
      </c>
      <c r="B684" s="128"/>
      <c r="C684" s="128"/>
      <c r="D684" s="128"/>
      <c r="E684" s="134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</row>
    <row r="685" customFormat="false" ht="15.75" hidden="false" customHeight="false" outlineLevel="0" collapsed="false">
      <c r="A685" s="128" t="str">
        <f aca="false">IF(ISBLANK(B685),"",B685&amp;"|"&amp;C685)</f>
        <v/>
      </c>
      <c r="B685" s="128"/>
      <c r="C685" s="128"/>
      <c r="D685" s="128"/>
      <c r="E685" s="134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</row>
    <row r="686" customFormat="false" ht="15.75" hidden="false" customHeight="false" outlineLevel="0" collapsed="false">
      <c r="A686" s="128" t="str">
        <f aca="false">IF(ISBLANK(B686),"",B686&amp;"|"&amp;C686)</f>
        <v/>
      </c>
      <c r="B686" s="128"/>
      <c r="C686" s="128"/>
      <c r="D686" s="128"/>
      <c r="E686" s="134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</row>
    <row r="687" customFormat="false" ht="15.75" hidden="false" customHeight="false" outlineLevel="0" collapsed="false">
      <c r="A687" s="128" t="str">
        <f aca="false">IF(ISBLANK(B687),"",B687&amp;"|"&amp;C687)</f>
        <v/>
      </c>
      <c r="B687" s="128"/>
      <c r="C687" s="128"/>
      <c r="D687" s="128"/>
      <c r="E687" s="134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</row>
    <row r="688" customFormat="false" ht="15.75" hidden="false" customHeight="false" outlineLevel="0" collapsed="false">
      <c r="A688" s="128" t="str">
        <f aca="false">IF(ISBLANK(B688),"",B688&amp;"|"&amp;C688)</f>
        <v/>
      </c>
      <c r="B688" s="128"/>
      <c r="C688" s="128"/>
      <c r="D688" s="128"/>
      <c r="E688" s="134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</row>
    <row r="689" customFormat="false" ht="15.75" hidden="false" customHeight="false" outlineLevel="0" collapsed="false">
      <c r="A689" s="128" t="str">
        <f aca="false">IF(ISBLANK(B689),"",B689&amp;"|"&amp;C689)</f>
        <v/>
      </c>
      <c r="B689" s="128"/>
      <c r="C689" s="128"/>
      <c r="D689" s="128"/>
      <c r="E689" s="134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</row>
    <row r="690" customFormat="false" ht="15.75" hidden="false" customHeight="false" outlineLevel="0" collapsed="false">
      <c r="A690" s="128" t="str">
        <f aca="false">IF(ISBLANK(B690),"",B690&amp;"|"&amp;C690)</f>
        <v/>
      </c>
      <c r="B690" s="128"/>
      <c r="C690" s="128"/>
      <c r="D690" s="128"/>
      <c r="E690" s="134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</row>
    <row r="691" customFormat="false" ht="15.75" hidden="false" customHeight="false" outlineLevel="0" collapsed="false">
      <c r="A691" s="128" t="str">
        <f aca="false">IF(ISBLANK(B691),"",B691&amp;"|"&amp;C691)</f>
        <v/>
      </c>
      <c r="B691" s="128"/>
      <c r="C691" s="128"/>
      <c r="D691" s="128"/>
      <c r="E691" s="134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</row>
    <row r="692" customFormat="false" ht="15.75" hidden="false" customHeight="false" outlineLevel="0" collapsed="false">
      <c r="A692" s="128" t="str">
        <f aca="false">IF(ISBLANK(B692),"",B692&amp;"|"&amp;C692)</f>
        <v/>
      </c>
      <c r="B692" s="128"/>
      <c r="C692" s="128"/>
      <c r="D692" s="128"/>
      <c r="E692" s="134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</row>
    <row r="693" customFormat="false" ht="15.75" hidden="false" customHeight="false" outlineLevel="0" collapsed="false">
      <c r="A693" s="128" t="str">
        <f aca="false">IF(ISBLANK(B693),"",B693&amp;"|"&amp;C693)</f>
        <v/>
      </c>
      <c r="B693" s="128"/>
      <c r="C693" s="128"/>
      <c r="D693" s="128"/>
      <c r="E693" s="134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</row>
    <row r="694" customFormat="false" ht="15.75" hidden="false" customHeight="false" outlineLevel="0" collapsed="false">
      <c r="A694" s="128" t="str">
        <f aca="false">IF(ISBLANK(B694),"",B694&amp;"|"&amp;C694)</f>
        <v/>
      </c>
      <c r="B694" s="128"/>
      <c r="C694" s="128"/>
      <c r="D694" s="128"/>
      <c r="E694" s="134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</row>
    <row r="695" customFormat="false" ht="15.75" hidden="false" customHeight="false" outlineLevel="0" collapsed="false">
      <c r="A695" s="128" t="str">
        <f aca="false">IF(ISBLANK(B695),"",B695&amp;"|"&amp;C695)</f>
        <v/>
      </c>
      <c r="B695" s="128"/>
      <c r="C695" s="128"/>
      <c r="D695" s="128"/>
      <c r="E695" s="134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</row>
    <row r="696" customFormat="false" ht="15.75" hidden="false" customHeight="false" outlineLevel="0" collapsed="false">
      <c r="A696" s="128" t="str">
        <f aca="false">IF(ISBLANK(B696),"",B696&amp;"|"&amp;C696)</f>
        <v/>
      </c>
      <c r="B696" s="128"/>
      <c r="C696" s="128"/>
      <c r="D696" s="128"/>
      <c r="E696" s="134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</row>
    <row r="697" customFormat="false" ht="15.75" hidden="false" customHeight="false" outlineLevel="0" collapsed="false">
      <c r="A697" s="128" t="str">
        <f aca="false">IF(ISBLANK(B697),"",B697&amp;"|"&amp;C697)</f>
        <v/>
      </c>
      <c r="B697" s="128"/>
      <c r="C697" s="128"/>
      <c r="D697" s="128"/>
      <c r="E697" s="134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</row>
    <row r="698" customFormat="false" ht="15.75" hidden="false" customHeight="false" outlineLevel="0" collapsed="false">
      <c r="A698" s="128" t="str">
        <f aca="false">IF(ISBLANK(B698),"",B698&amp;"|"&amp;C698)</f>
        <v/>
      </c>
      <c r="B698" s="128"/>
      <c r="C698" s="128"/>
      <c r="D698" s="128"/>
      <c r="E698" s="134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</row>
    <row r="699" customFormat="false" ht="15.75" hidden="false" customHeight="false" outlineLevel="0" collapsed="false">
      <c r="A699" s="128" t="str">
        <f aca="false">IF(ISBLANK(B699),"",B699&amp;"|"&amp;C699)</f>
        <v/>
      </c>
      <c r="B699" s="128"/>
      <c r="C699" s="128"/>
      <c r="D699" s="128"/>
      <c r="E699" s="134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</row>
    <row r="700" customFormat="false" ht="15.75" hidden="false" customHeight="false" outlineLevel="0" collapsed="false">
      <c r="A700" s="128" t="str">
        <f aca="false">IF(ISBLANK(B700),"",B700&amp;"|"&amp;C700)</f>
        <v/>
      </c>
      <c r="B700" s="128"/>
      <c r="C700" s="128"/>
      <c r="D700" s="128"/>
      <c r="E700" s="134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</row>
    <row r="701" customFormat="false" ht="15.75" hidden="false" customHeight="false" outlineLevel="0" collapsed="false">
      <c r="A701" s="128" t="str">
        <f aca="false">IF(ISBLANK(B701),"",B701&amp;"|"&amp;C701)</f>
        <v/>
      </c>
      <c r="B701" s="128"/>
      <c r="C701" s="128"/>
      <c r="D701" s="128"/>
      <c r="E701" s="134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</row>
    <row r="702" customFormat="false" ht="15.75" hidden="false" customHeight="false" outlineLevel="0" collapsed="false">
      <c r="A702" s="128" t="str">
        <f aca="false">IF(ISBLANK(B702),"",B702&amp;"|"&amp;C702)</f>
        <v/>
      </c>
      <c r="B702" s="128"/>
      <c r="C702" s="128"/>
      <c r="D702" s="128"/>
      <c r="E702" s="134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</row>
    <row r="703" customFormat="false" ht="15.75" hidden="false" customHeight="false" outlineLevel="0" collapsed="false">
      <c r="A703" s="128" t="str">
        <f aca="false">IF(ISBLANK(B703),"",B703&amp;"|"&amp;C703)</f>
        <v/>
      </c>
      <c r="B703" s="128"/>
      <c r="C703" s="128"/>
      <c r="D703" s="128"/>
      <c r="E703" s="134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</row>
    <row r="704" customFormat="false" ht="15.75" hidden="false" customHeight="false" outlineLevel="0" collapsed="false">
      <c r="A704" s="128" t="str">
        <f aca="false">IF(ISBLANK(B704),"",B704&amp;"|"&amp;C704)</f>
        <v/>
      </c>
      <c r="B704" s="128"/>
      <c r="C704" s="128"/>
      <c r="D704" s="128"/>
      <c r="E704" s="134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</row>
    <row r="705" customFormat="false" ht="15.75" hidden="false" customHeight="false" outlineLevel="0" collapsed="false">
      <c r="A705" s="128" t="str">
        <f aca="false">IF(ISBLANK(B705),"",B705&amp;"|"&amp;C705)</f>
        <v/>
      </c>
      <c r="B705" s="128"/>
      <c r="C705" s="128"/>
      <c r="D705" s="128"/>
      <c r="E705" s="134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</row>
    <row r="706" customFormat="false" ht="15.75" hidden="false" customHeight="false" outlineLevel="0" collapsed="false">
      <c r="A706" s="128" t="str">
        <f aca="false">IF(ISBLANK(B706),"",B706&amp;"|"&amp;C706)</f>
        <v/>
      </c>
      <c r="B706" s="128"/>
      <c r="C706" s="128"/>
      <c r="D706" s="128"/>
      <c r="E706" s="134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</row>
    <row r="707" customFormat="false" ht="15.75" hidden="false" customHeight="false" outlineLevel="0" collapsed="false">
      <c r="A707" s="128" t="str">
        <f aca="false">IF(ISBLANK(B707),"",B707&amp;"|"&amp;C707)</f>
        <v/>
      </c>
      <c r="B707" s="128"/>
      <c r="C707" s="128"/>
      <c r="D707" s="128"/>
      <c r="E707" s="134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</row>
    <row r="708" customFormat="false" ht="15.75" hidden="false" customHeight="false" outlineLevel="0" collapsed="false">
      <c r="A708" s="128" t="str">
        <f aca="false">IF(ISBLANK(B708),"",B708&amp;"|"&amp;C708)</f>
        <v/>
      </c>
      <c r="B708" s="128"/>
      <c r="C708" s="128"/>
      <c r="D708" s="128"/>
      <c r="E708" s="134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</row>
    <row r="709" customFormat="false" ht="15.75" hidden="false" customHeight="false" outlineLevel="0" collapsed="false">
      <c r="A709" s="128" t="str">
        <f aca="false">IF(ISBLANK(B709),"",B709&amp;"|"&amp;C709)</f>
        <v/>
      </c>
      <c r="B709" s="128"/>
      <c r="C709" s="128"/>
      <c r="D709" s="128"/>
      <c r="E709" s="134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</row>
    <row r="710" customFormat="false" ht="15.75" hidden="false" customHeight="false" outlineLevel="0" collapsed="false">
      <c r="A710" s="128" t="str">
        <f aca="false">IF(ISBLANK(B710),"",B710&amp;"|"&amp;C710)</f>
        <v/>
      </c>
      <c r="B710" s="128"/>
      <c r="C710" s="128"/>
      <c r="D710" s="128"/>
      <c r="E710" s="134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</row>
    <row r="711" customFormat="false" ht="15.75" hidden="false" customHeight="false" outlineLevel="0" collapsed="false">
      <c r="A711" s="128" t="str">
        <f aca="false">IF(ISBLANK(B711),"",B711&amp;"|"&amp;C711)</f>
        <v/>
      </c>
      <c r="B711" s="128"/>
      <c r="C711" s="128"/>
      <c r="D711" s="128"/>
      <c r="E711" s="134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</row>
    <row r="712" customFormat="false" ht="15.75" hidden="false" customHeight="false" outlineLevel="0" collapsed="false">
      <c r="A712" s="128" t="str">
        <f aca="false">IF(ISBLANK(B712),"",B712&amp;"|"&amp;C712)</f>
        <v/>
      </c>
      <c r="B712" s="128"/>
      <c r="C712" s="128"/>
      <c r="D712" s="128"/>
      <c r="E712" s="134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</row>
    <row r="713" customFormat="false" ht="15.75" hidden="false" customHeight="false" outlineLevel="0" collapsed="false">
      <c r="A713" s="128" t="str">
        <f aca="false">IF(ISBLANK(B713),"",B713&amp;"|"&amp;C713)</f>
        <v/>
      </c>
      <c r="B713" s="128"/>
      <c r="C713" s="128"/>
      <c r="D713" s="128"/>
      <c r="E713" s="134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</row>
    <row r="714" customFormat="false" ht="15.75" hidden="false" customHeight="false" outlineLevel="0" collapsed="false">
      <c r="A714" s="128" t="str">
        <f aca="false">IF(ISBLANK(B714),"",B714&amp;"|"&amp;C714)</f>
        <v/>
      </c>
      <c r="B714" s="128"/>
      <c r="C714" s="128"/>
      <c r="D714" s="128"/>
      <c r="E714" s="134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</row>
    <row r="715" customFormat="false" ht="15.75" hidden="false" customHeight="false" outlineLevel="0" collapsed="false">
      <c r="A715" s="128" t="str">
        <f aca="false">IF(ISBLANK(B715),"",B715&amp;"|"&amp;C715)</f>
        <v/>
      </c>
      <c r="B715" s="128"/>
      <c r="C715" s="128"/>
      <c r="D715" s="128"/>
      <c r="E715" s="134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</row>
    <row r="716" customFormat="false" ht="15.75" hidden="false" customHeight="false" outlineLevel="0" collapsed="false">
      <c r="A716" s="128" t="str">
        <f aca="false">IF(ISBLANK(B716),"",B716&amp;"|"&amp;C716)</f>
        <v/>
      </c>
      <c r="B716" s="128"/>
      <c r="C716" s="128"/>
      <c r="D716" s="128"/>
      <c r="E716" s="134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</row>
    <row r="717" customFormat="false" ht="15.75" hidden="false" customHeight="false" outlineLevel="0" collapsed="false">
      <c r="A717" s="128" t="str">
        <f aca="false">IF(ISBLANK(B717),"",B717&amp;"|"&amp;C717)</f>
        <v/>
      </c>
      <c r="B717" s="128"/>
      <c r="C717" s="128"/>
      <c r="D717" s="128"/>
      <c r="E717" s="134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</row>
    <row r="718" customFormat="false" ht="15.75" hidden="false" customHeight="false" outlineLevel="0" collapsed="false">
      <c r="A718" s="128" t="str">
        <f aca="false">IF(ISBLANK(B718),"",B718&amp;"|"&amp;C718)</f>
        <v/>
      </c>
      <c r="B718" s="128"/>
      <c r="C718" s="128"/>
      <c r="D718" s="128"/>
      <c r="E718" s="134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</row>
    <row r="719" customFormat="false" ht="15.75" hidden="false" customHeight="false" outlineLevel="0" collapsed="false">
      <c r="A719" s="128" t="str">
        <f aca="false">IF(ISBLANK(B719),"",B719&amp;"|"&amp;C719)</f>
        <v/>
      </c>
      <c r="B719" s="128"/>
      <c r="C719" s="128"/>
      <c r="D719" s="128"/>
      <c r="E719" s="134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</row>
    <row r="720" customFormat="false" ht="15.75" hidden="false" customHeight="false" outlineLevel="0" collapsed="false">
      <c r="A720" s="128" t="str">
        <f aca="false">IF(ISBLANK(B720),"",B720&amp;"|"&amp;C720)</f>
        <v/>
      </c>
      <c r="B720" s="128"/>
      <c r="C720" s="128"/>
      <c r="D720" s="128"/>
      <c r="E720" s="134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</row>
    <row r="721" customFormat="false" ht="15.75" hidden="false" customHeight="false" outlineLevel="0" collapsed="false">
      <c r="A721" s="128" t="str">
        <f aca="false">IF(ISBLANK(B721),"",B721&amp;"|"&amp;C721)</f>
        <v/>
      </c>
      <c r="B721" s="128"/>
      <c r="C721" s="128"/>
      <c r="D721" s="128"/>
      <c r="E721" s="134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</row>
    <row r="722" customFormat="false" ht="15.75" hidden="false" customHeight="false" outlineLevel="0" collapsed="false">
      <c r="A722" s="128" t="str">
        <f aca="false">IF(ISBLANK(B722),"",B722&amp;"|"&amp;C722)</f>
        <v/>
      </c>
      <c r="B722" s="128"/>
      <c r="C722" s="128"/>
      <c r="D722" s="128"/>
      <c r="E722" s="134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</row>
    <row r="723" customFormat="false" ht="15.75" hidden="false" customHeight="false" outlineLevel="0" collapsed="false">
      <c r="A723" s="128" t="str">
        <f aca="false">IF(ISBLANK(B723),"",B723&amp;"|"&amp;C723)</f>
        <v/>
      </c>
      <c r="B723" s="128"/>
      <c r="C723" s="128"/>
      <c r="D723" s="128"/>
      <c r="E723" s="134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</row>
    <row r="724" customFormat="false" ht="15.75" hidden="false" customHeight="false" outlineLevel="0" collapsed="false">
      <c r="A724" s="128" t="str">
        <f aca="false">IF(ISBLANK(B724),"",B724&amp;"|"&amp;C724)</f>
        <v/>
      </c>
      <c r="B724" s="128"/>
      <c r="C724" s="128"/>
      <c r="D724" s="128"/>
      <c r="E724" s="134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</row>
    <row r="725" customFormat="false" ht="15.75" hidden="false" customHeight="false" outlineLevel="0" collapsed="false">
      <c r="A725" s="128" t="str">
        <f aca="false">IF(ISBLANK(B725),"",B725&amp;"|"&amp;C725)</f>
        <v/>
      </c>
      <c r="B725" s="128"/>
      <c r="C725" s="128"/>
      <c r="D725" s="128"/>
      <c r="E725" s="134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</row>
    <row r="726" customFormat="false" ht="15.75" hidden="false" customHeight="false" outlineLevel="0" collapsed="false">
      <c r="A726" s="128" t="str">
        <f aca="false">IF(ISBLANK(B726),"",B726&amp;"|"&amp;C726)</f>
        <v/>
      </c>
      <c r="B726" s="128"/>
      <c r="C726" s="128"/>
      <c r="D726" s="128"/>
      <c r="E726" s="134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</row>
    <row r="727" customFormat="false" ht="15.75" hidden="false" customHeight="false" outlineLevel="0" collapsed="false">
      <c r="A727" s="128" t="str">
        <f aca="false">IF(ISBLANK(B727),"",B727&amp;"|"&amp;C727)</f>
        <v/>
      </c>
      <c r="B727" s="128"/>
      <c r="C727" s="128"/>
      <c r="D727" s="128"/>
      <c r="E727" s="134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</row>
    <row r="728" customFormat="false" ht="15.75" hidden="false" customHeight="false" outlineLevel="0" collapsed="false">
      <c r="A728" s="128" t="str">
        <f aca="false">IF(ISBLANK(B728),"",B728&amp;"|"&amp;C728)</f>
        <v/>
      </c>
      <c r="B728" s="128"/>
      <c r="C728" s="128"/>
      <c r="D728" s="128"/>
      <c r="E728" s="134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</row>
    <row r="729" customFormat="false" ht="15.75" hidden="false" customHeight="false" outlineLevel="0" collapsed="false">
      <c r="A729" s="128" t="str">
        <f aca="false">IF(ISBLANK(B729),"",B729&amp;"|"&amp;C729)</f>
        <v/>
      </c>
      <c r="B729" s="128"/>
      <c r="C729" s="128"/>
      <c r="D729" s="128"/>
      <c r="E729" s="134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</row>
    <row r="730" customFormat="false" ht="15.75" hidden="false" customHeight="false" outlineLevel="0" collapsed="false">
      <c r="A730" s="128" t="str">
        <f aca="false">IF(ISBLANK(B730),"",B730&amp;"|"&amp;C730)</f>
        <v/>
      </c>
      <c r="B730" s="128"/>
      <c r="C730" s="128"/>
      <c r="D730" s="128"/>
      <c r="E730" s="134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</row>
    <row r="731" customFormat="false" ht="15.75" hidden="false" customHeight="false" outlineLevel="0" collapsed="false">
      <c r="A731" s="128" t="str">
        <f aca="false">IF(ISBLANK(B731),"",B731&amp;"|"&amp;C731)</f>
        <v/>
      </c>
      <c r="B731" s="128"/>
      <c r="C731" s="128"/>
      <c r="D731" s="128"/>
      <c r="E731" s="134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</row>
    <row r="732" customFormat="false" ht="15.75" hidden="false" customHeight="false" outlineLevel="0" collapsed="false">
      <c r="A732" s="128" t="str">
        <f aca="false">IF(ISBLANK(B732),"",B732&amp;"|"&amp;C732)</f>
        <v/>
      </c>
      <c r="B732" s="128"/>
      <c r="C732" s="128"/>
      <c r="D732" s="128"/>
      <c r="E732" s="134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</row>
    <row r="733" customFormat="false" ht="15.75" hidden="false" customHeight="false" outlineLevel="0" collapsed="false">
      <c r="A733" s="128" t="str">
        <f aca="false">IF(ISBLANK(B733),"",B733&amp;"|"&amp;C733)</f>
        <v/>
      </c>
      <c r="B733" s="128"/>
      <c r="C733" s="128"/>
      <c r="D733" s="128"/>
      <c r="E733" s="134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</row>
    <row r="734" customFormat="false" ht="15.75" hidden="false" customHeight="false" outlineLevel="0" collapsed="false">
      <c r="A734" s="128" t="str">
        <f aca="false">IF(ISBLANK(B734),"",B734&amp;"|"&amp;C734)</f>
        <v/>
      </c>
      <c r="B734" s="128"/>
      <c r="C734" s="128"/>
      <c r="D734" s="128"/>
      <c r="E734" s="134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</row>
    <row r="735" customFormat="false" ht="15.75" hidden="false" customHeight="false" outlineLevel="0" collapsed="false">
      <c r="A735" s="128" t="str">
        <f aca="false">IF(ISBLANK(B735),"",B735&amp;"|"&amp;C735)</f>
        <v/>
      </c>
      <c r="B735" s="128"/>
      <c r="C735" s="128"/>
      <c r="D735" s="128"/>
      <c r="E735" s="134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</row>
    <row r="736" customFormat="false" ht="15.75" hidden="false" customHeight="false" outlineLevel="0" collapsed="false">
      <c r="A736" s="128" t="str">
        <f aca="false">IF(ISBLANK(B736),"",B736&amp;"|"&amp;C736)</f>
        <v/>
      </c>
      <c r="B736" s="128"/>
      <c r="C736" s="128"/>
      <c r="D736" s="128"/>
      <c r="E736" s="134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</row>
    <row r="737" customFormat="false" ht="15.75" hidden="false" customHeight="false" outlineLevel="0" collapsed="false">
      <c r="A737" s="128" t="str">
        <f aca="false">IF(ISBLANK(B737),"",B737&amp;"|"&amp;C737)</f>
        <v/>
      </c>
      <c r="B737" s="128"/>
      <c r="C737" s="128"/>
      <c r="D737" s="128"/>
      <c r="E737" s="134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</row>
    <row r="738" customFormat="false" ht="15.75" hidden="false" customHeight="false" outlineLevel="0" collapsed="false">
      <c r="A738" s="128" t="str">
        <f aca="false">IF(ISBLANK(B738),"",B738&amp;"|"&amp;C738)</f>
        <v/>
      </c>
      <c r="B738" s="128"/>
      <c r="C738" s="128"/>
      <c r="D738" s="128"/>
      <c r="E738" s="134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</row>
    <row r="739" customFormat="false" ht="15.75" hidden="false" customHeight="false" outlineLevel="0" collapsed="false">
      <c r="A739" s="128" t="str">
        <f aca="false">IF(ISBLANK(B739),"",B739&amp;"|"&amp;C739)</f>
        <v/>
      </c>
      <c r="B739" s="128"/>
      <c r="C739" s="128"/>
      <c r="D739" s="128"/>
      <c r="E739" s="134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</row>
    <row r="740" customFormat="false" ht="15.75" hidden="false" customHeight="false" outlineLevel="0" collapsed="false">
      <c r="A740" s="128" t="str">
        <f aca="false">IF(ISBLANK(B740),"",B740&amp;"|"&amp;C740)</f>
        <v/>
      </c>
      <c r="B740" s="128"/>
      <c r="C740" s="128"/>
      <c r="D740" s="128"/>
      <c r="E740" s="134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</row>
    <row r="741" customFormat="false" ht="15.75" hidden="false" customHeight="false" outlineLevel="0" collapsed="false">
      <c r="A741" s="128" t="str">
        <f aca="false">IF(ISBLANK(B741),"",B741&amp;"|"&amp;C741)</f>
        <v/>
      </c>
      <c r="B741" s="128"/>
      <c r="C741" s="128"/>
      <c r="D741" s="128"/>
      <c r="E741" s="134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</row>
    <row r="742" customFormat="false" ht="15.75" hidden="false" customHeight="false" outlineLevel="0" collapsed="false">
      <c r="A742" s="128" t="str">
        <f aca="false">IF(ISBLANK(B742),"",B742&amp;"|"&amp;C742)</f>
        <v/>
      </c>
      <c r="B742" s="128"/>
      <c r="C742" s="128"/>
      <c r="D742" s="128"/>
      <c r="E742" s="134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</row>
    <row r="743" customFormat="false" ht="15.75" hidden="false" customHeight="false" outlineLevel="0" collapsed="false">
      <c r="A743" s="128" t="str">
        <f aca="false">IF(ISBLANK(B743),"",B743&amp;"|"&amp;C743)</f>
        <v/>
      </c>
      <c r="B743" s="128"/>
      <c r="C743" s="128"/>
      <c r="D743" s="128"/>
      <c r="E743" s="134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</row>
    <row r="744" customFormat="false" ht="15.75" hidden="false" customHeight="false" outlineLevel="0" collapsed="false">
      <c r="A744" s="128" t="str">
        <f aca="false">IF(ISBLANK(B744),"",B744&amp;"|"&amp;C744)</f>
        <v/>
      </c>
      <c r="B744" s="128"/>
      <c r="C744" s="128"/>
      <c r="D744" s="128"/>
      <c r="E744" s="134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</row>
    <row r="745" customFormat="false" ht="15.75" hidden="false" customHeight="false" outlineLevel="0" collapsed="false">
      <c r="A745" s="128" t="str">
        <f aca="false">IF(ISBLANK(B745),"",B745&amp;"|"&amp;C745)</f>
        <v/>
      </c>
      <c r="B745" s="128"/>
      <c r="C745" s="128"/>
      <c r="D745" s="128"/>
      <c r="E745" s="134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</row>
    <row r="746" customFormat="false" ht="15.75" hidden="false" customHeight="false" outlineLevel="0" collapsed="false">
      <c r="A746" s="128" t="str">
        <f aca="false">IF(ISBLANK(B746),"",B746&amp;"|"&amp;C746)</f>
        <v/>
      </c>
      <c r="B746" s="128"/>
      <c r="C746" s="128"/>
      <c r="D746" s="128"/>
      <c r="E746" s="134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</row>
    <row r="747" customFormat="false" ht="15.75" hidden="false" customHeight="false" outlineLevel="0" collapsed="false">
      <c r="A747" s="128" t="str">
        <f aca="false">IF(ISBLANK(B747),"",B747&amp;"|"&amp;C747)</f>
        <v/>
      </c>
      <c r="B747" s="128"/>
      <c r="C747" s="128"/>
      <c r="D747" s="128"/>
      <c r="E747" s="134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</row>
    <row r="748" customFormat="false" ht="15.75" hidden="false" customHeight="false" outlineLevel="0" collapsed="false">
      <c r="A748" s="128" t="str">
        <f aca="false">IF(ISBLANK(B748),"",B748&amp;"|"&amp;C748)</f>
        <v/>
      </c>
      <c r="B748" s="128"/>
      <c r="C748" s="128"/>
      <c r="D748" s="128"/>
      <c r="E748" s="134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</row>
    <row r="749" customFormat="false" ht="15.75" hidden="false" customHeight="false" outlineLevel="0" collapsed="false">
      <c r="A749" s="128" t="str">
        <f aca="false">IF(ISBLANK(B749),"",B749&amp;"|"&amp;C749)</f>
        <v/>
      </c>
      <c r="B749" s="128"/>
      <c r="C749" s="128"/>
      <c r="D749" s="128"/>
      <c r="E749" s="134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</row>
    <row r="750" customFormat="false" ht="15.75" hidden="false" customHeight="false" outlineLevel="0" collapsed="false">
      <c r="A750" s="128" t="str">
        <f aca="false">IF(ISBLANK(B750),"",B750&amp;"|"&amp;C750)</f>
        <v/>
      </c>
      <c r="B750" s="128"/>
      <c r="C750" s="128"/>
      <c r="D750" s="128"/>
      <c r="E750" s="134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</row>
    <row r="751" customFormat="false" ht="15.75" hidden="false" customHeight="false" outlineLevel="0" collapsed="false">
      <c r="A751" s="128" t="str">
        <f aca="false">IF(ISBLANK(B751),"",B751&amp;"|"&amp;C751)</f>
        <v/>
      </c>
      <c r="B751" s="128"/>
      <c r="C751" s="128"/>
      <c r="D751" s="128"/>
      <c r="E751" s="134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</row>
    <row r="752" customFormat="false" ht="15.75" hidden="false" customHeight="false" outlineLevel="0" collapsed="false">
      <c r="A752" s="128" t="str">
        <f aca="false">IF(ISBLANK(B752),"",B752&amp;"|"&amp;C752)</f>
        <v/>
      </c>
      <c r="B752" s="128"/>
      <c r="C752" s="128"/>
      <c r="D752" s="128"/>
      <c r="E752" s="134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</row>
    <row r="753" customFormat="false" ht="15.75" hidden="false" customHeight="false" outlineLevel="0" collapsed="false">
      <c r="A753" s="128" t="str">
        <f aca="false">IF(ISBLANK(B753),"",B753&amp;"|"&amp;C753)</f>
        <v/>
      </c>
      <c r="B753" s="128"/>
      <c r="C753" s="128"/>
      <c r="D753" s="128"/>
      <c r="E753" s="134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</row>
    <row r="754" customFormat="false" ht="15.75" hidden="false" customHeight="false" outlineLevel="0" collapsed="false">
      <c r="A754" s="128" t="str">
        <f aca="false">IF(ISBLANK(B754),"",B754&amp;"|"&amp;C754)</f>
        <v/>
      </c>
      <c r="B754" s="128"/>
      <c r="C754" s="128"/>
      <c r="D754" s="128"/>
      <c r="E754" s="134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</row>
    <row r="755" customFormat="false" ht="15.75" hidden="false" customHeight="false" outlineLevel="0" collapsed="false">
      <c r="A755" s="128" t="str">
        <f aca="false">IF(ISBLANK(B755),"",B755&amp;"|"&amp;C755)</f>
        <v/>
      </c>
      <c r="B755" s="128"/>
      <c r="C755" s="128"/>
      <c r="D755" s="128"/>
      <c r="E755" s="134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</row>
    <row r="756" customFormat="false" ht="15.75" hidden="false" customHeight="false" outlineLevel="0" collapsed="false">
      <c r="A756" s="128" t="str">
        <f aca="false">IF(ISBLANK(B756),"",B756&amp;"|"&amp;C756)</f>
        <v/>
      </c>
      <c r="B756" s="128"/>
      <c r="C756" s="128"/>
      <c r="D756" s="128"/>
      <c r="E756" s="134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</row>
    <row r="757" customFormat="false" ht="15.75" hidden="false" customHeight="false" outlineLevel="0" collapsed="false">
      <c r="A757" s="128" t="str">
        <f aca="false">IF(ISBLANK(B757),"",B757&amp;"|"&amp;C757)</f>
        <v/>
      </c>
      <c r="B757" s="128"/>
      <c r="C757" s="128"/>
      <c r="D757" s="128"/>
      <c r="E757" s="134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</row>
    <row r="758" customFormat="false" ht="15.75" hidden="false" customHeight="false" outlineLevel="0" collapsed="false">
      <c r="A758" s="128" t="str">
        <f aca="false">IF(ISBLANK(B758),"",B758&amp;"|"&amp;C758)</f>
        <v/>
      </c>
      <c r="B758" s="128"/>
      <c r="C758" s="128"/>
      <c r="D758" s="128"/>
      <c r="E758" s="134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</row>
    <row r="759" customFormat="false" ht="15.75" hidden="false" customHeight="false" outlineLevel="0" collapsed="false">
      <c r="A759" s="128" t="str">
        <f aca="false">IF(ISBLANK(B759),"",B759&amp;"|"&amp;C759)</f>
        <v/>
      </c>
      <c r="B759" s="128"/>
      <c r="C759" s="128"/>
      <c r="D759" s="128"/>
      <c r="E759" s="134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</row>
    <row r="760" customFormat="false" ht="15.75" hidden="false" customHeight="false" outlineLevel="0" collapsed="false">
      <c r="A760" s="128" t="str">
        <f aca="false">IF(ISBLANK(B760),"",B760&amp;"|"&amp;C760)</f>
        <v/>
      </c>
      <c r="B760" s="128"/>
      <c r="C760" s="128"/>
      <c r="D760" s="128"/>
      <c r="E760" s="134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</row>
    <row r="761" customFormat="false" ht="15.75" hidden="false" customHeight="false" outlineLevel="0" collapsed="false">
      <c r="A761" s="128" t="str">
        <f aca="false">IF(ISBLANK(B761),"",B761&amp;"|"&amp;C761)</f>
        <v/>
      </c>
      <c r="B761" s="128"/>
      <c r="C761" s="128"/>
      <c r="D761" s="128"/>
      <c r="E761" s="134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</row>
    <row r="762" customFormat="false" ht="15.75" hidden="false" customHeight="false" outlineLevel="0" collapsed="false">
      <c r="A762" s="128" t="str">
        <f aca="false">IF(ISBLANK(B762),"",B762&amp;"|"&amp;C762)</f>
        <v/>
      </c>
      <c r="B762" s="128"/>
      <c r="C762" s="128"/>
      <c r="D762" s="128"/>
      <c r="E762" s="134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</row>
    <row r="763" customFormat="false" ht="15.75" hidden="false" customHeight="false" outlineLevel="0" collapsed="false">
      <c r="A763" s="128" t="str">
        <f aca="false">IF(ISBLANK(B763),"",B763&amp;"|"&amp;C763)</f>
        <v/>
      </c>
      <c r="B763" s="128"/>
      <c r="C763" s="128"/>
      <c r="D763" s="128"/>
      <c r="E763" s="134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</row>
    <row r="764" customFormat="false" ht="15.75" hidden="false" customHeight="false" outlineLevel="0" collapsed="false">
      <c r="A764" s="128" t="str">
        <f aca="false">IF(ISBLANK(B764),"",B764&amp;"|"&amp;C764)</f>
        <v/>
      </c>
      <c r="B764" s="128"/>
      <c r="C764" s="128"/>
      <c r="D764" s="128"/>
      <c r="E764" s="134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</row>
    <row r="765" customFormat="false" ht="15.75" hidden="false" customHeight="false" outlineLevel="0" collapsed="false">
      <c r="A765" s="128" t="str">
        <f aca="false">IF(ISBLANK(B765),"",B765&amp;"|"&amp;C765)</f>
        <v/>
      </c>
      <c r="B765" s="128"/>
      <c r="C765" s="128"/>
      <c r="D765" s="128"/>
      <c r="E765" s="134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</row>
    <row r="766" customFormat="false" ht="15.75" hidden="false" customHeight="false" outlineLevel="0" collapsed="false">
      <c r="A766" s="128" t="str">
        <f aca="false">IF(ISBLANK(B766),"",B766&amp;"|"&amp;C766)</f>
        <v/>
      </c>
      <c r="B766" s="128"/>
      <c r="C766" s="128"/>
      <c r="D766" s="128"/>
      <c r="E766" s="134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</row>
    <row r="767" customFormat="false" ht="15.75" hidden="false" customHeight="false" outlineLevel="0" collapsed="false">
      <c r="A767" s="128" t="str">
        <f aca="false">IF(ISBLANK(B767),"",B767&amp;"|"&amp;C767)</f>
        <v/>
      </c>
      <c r="B767" s="128"/>
      <c r="C767" s="128"/>
      <c r="D767" s="128"/>
      <c r="E767" s="134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</row>
    <row r="768" customFormat="false" ht="15.75" hidden="false" customHeight="false" outlineLevel="0" collapsed="false">
      <c r="A768" s="128" t="str">
        <f aca="false">IF(ISBLANK(B768),"",B768&amp;"|"&amp;C768)</f>
        <v/>
      </c>
      <c r="B768" s="128"/>
      <c r="C768" s="128"/>
      <c r="D768" s="128"/>
      <c r="E768" s="134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</row>
    <row r="769" customFormat="false" ht="15.75" hidden="false" customHeight="false" outlineLevel="0" collapsed="false">
      <c r="A769" s="128" t="str">
        <f aca="false">IF(ISBLANK(B769),"",B769&amp;"|"&amp;C769)</f>
        <v/>
      </c>
      <c r="B769" s="128"/>
      <c r="C769" s="128"/>
      <c r="D769" s="128"/>
      <c r="E769" s="134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</row>
    <row r="770" customFormat="false" ht="15.75" hidden="false" customHeight="false" outlineLevel="0" collapsed="false">
      <c r="A770" s="128" t="str">
        <f aca="false">IF(ISBLANK(B770),"",B770&amp;"|"&amp;C770)</f>
        <v/>
      </c>
      <c r="B770" s="128"/>
      <c r="C770" s="128"/>
      <c r="D770" s="128"/>
      <c r="E770" s="134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</row>
    <row r="771" customFormat="false" ht="15.75" hidden="false" customHeight="false" outlineLevel="0" collapsed="false">
      <c r="A771" s="128" t="str">
        <f aca="false">IF(ISBLANK(B771),"",B771&amp;"|"&amp;C771)</f>
        <v/>
      </c>
      <c r="B771" s="128"/>
      <c r="C771" s="128"/>
      <c r="D771" s="128"/>
      <c r="E771" s="134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</row>
    <row r="772" customFormat="false" ht="15.75" hidden="false" customHeight="false" outlineLevel="0" collapsed="false">
      <c r="A772" s="128" t="str">
        <f aca="false">IF(ISBLANK(B772),"",B772&amp;"|"&amp;C772)</f>
        <v/>
      </c>
      <c r="B772" s="128"/>
      <c r="C772" s="128"/>
      <c r="D772" s="128"/>
      <c r="E772" s="134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</row>
    <row r="773" customFormat="false" ht="15.75" hidden="false" customHeight="false" outlineLevel="0" collapsed="false">
      <c r="A773" s="128" t="str">
        <f aca="false">IF(ISBLANK(B773),"",B773&amp;"|"&amp;C773)</f>
        <v/>
      </c>
      <c r="B773" s="128"/>
      <c r="C773" s="128"/>
      <c r="D773" s="128"/>
      <c r="E773" s="134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</row>
    <row r="774" customFormat="false" ht="15.75" hidden="false" customHeight="false" outlineLevel="0" collapsed="false">
      <c r="A774" s="128" t="str">
        <f aca="false">IF(ISBLANK(B774),"",B774&amp;"|"&amp;C774)</f>
        <v/>
      </c>
      <c r="B774" s="128"/>
      <c r="C774" s="128"/>
      <c r="D774" s="128"/>
      <c r="E774" s="134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</row>
    <row r="775" customFormat="false" ht="15.75" hidden="false" customHeight="false" outlineLevel="0" collapsed="false">
      <c r="A775" s="128" t="str">
        <f aca="false">IF(ISBLANK(B775),"",B775&amp;"|"&amp;C775)</f>
        <v/>
      </c>
      <c r="B775" s="128"/>
      <c r="C775" s="128"/>
      <c r="D775" s="128"/>
      <c r="E775" s="134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</row>
    <row r="776" customFormat="false" ht="15.75" hidden="false" customHeight="false" outlineLevel="0" collapsed="false">
      <c r="A776" s="128" t="str">
        <f aca="false">IF(ISBLANK(B776),"",B776&amp;"|"&amp;C776)</f>
        <v/>
      </c>
      <c r="B776" s="128"/>
      <c r="C776" s="128"/>
      <c r="D776" s="128"/>
      <c r="E776" s="134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</row>
    <row r="777" customFormat="false" ht="15.75" hidden="false" customHeight="false" outlineLevel="0" collapsed="false">
      <c r="A777" s="128" t="str">
        <f aca="false">IF(ISBLANK(B777),"",B777&amp;"|"&amp;C777)</f>
        <v/>
      </c>
      <c r="B777" s="128"/>
      <c r="C777" s="128"/>
      <c r="D777" s="128"/>
      <c r="E777" s="134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</row>
    <row r="778" customFormat="false" ht="15.75" hidden="false" customHeight="false" outlineLevel="0" collapsed="false">
      <c r="A778" s="128" t="str">
        <f aca="false">IF(ISBLANK(B778),"",B778&amp;"|"&amp;C778)</f>
        <v/>
      </c>
      <c r="B778" s="128"/>
      <c r="C778" s="128"/>
      <c r="D778" s="128"/>
      <c r="E778" s="134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</row>
    <row r="779" customFormat="false" ht="15.75" hidden="false" customHeight="false" outlineLevel="0" collapsed="false">
      <c r="A779" s="128" t="str">
        <f aca="false">IF(ISBLANK(B779),"",B779&amp;"|"&amp;C779)</f>
        <v/>
      </c>
      <c r="B779" s="128"/>
      <c r="C779" s="128"/>
      <c r="D779" s="128"/>
      <c r="E779" s="134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</row>
    <row r="780" customFormat="false" ht="15.75" hidden="false" customHeight="false" outlineLevel="0" collapsed="false">
      <c r="A780" s="128" t="str">
        <f aca="false">IF(ISBLANK(B780),"",B780&amp;"|"&amp;C780)</f>
        <v/>
      </c>
      <c r="B780" s="128"/>
      <c r="C780" s="128"/>
      <c r="D780" s="128"/>
      <c r="E780" s="134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</row>
    <row r="781" customFormat="false" ht="15.75" hidden="false" customHeight="false" outlineLevel="0" collapsed="false">
      <c r="A781" s="128" t="str">
        <f aca="false">IF(ISBLANK(B781),"",B781&amp;"|"&amp;C781)</f>
        <v/>
      </c>
      <c r="B781" s="128"/>
      <c r="C781" s="128"/>
      <c r="D781" s="128"/>
      <c r="E781" s="134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</row>
    <row r="782" customFormat="false" ht="15.75" hidden="false" customHeight="false" outlineLevel="0" collapsed="false">
      <c r="A782" s="128" t="str">
        <f aca="false">IF(ISBLANK(B782),"",B782&amp;"|"&amp;C782)</f>
        <v/>
      </c>
      <c r="B782" s="128"/>
      <c r="C782" s="128"/>
      <c r="D782" s="128"/>
      <c r="E782" s="134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</row>
    <row r="783" customFormat="false" ht="15.75" hidden="false" customHeight="false" outlineLevel="0" collapsed="false">
      <c r="A783" s="128" t="str">
        <f aca="false">IF(ISBLANK(B783),"",B783&amp;"|"&amp;C783)</f>
        <v/>
      </c>
      <c r="B783" s="128"/>
      <c r="C783" s="128"/>
      <c r="D783" s="128"/>
      <c r="E783" s="134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</row>
    <row r="784" customFormat="false" ht="15.75" hidden="false" customHeight="false" outlineLevel="0" collapsed="false">
      <c r="A784" s="128" t="str">
        <f aca="false">IF(ISBLANK(B784),"",B784&amp;"|"&amp;C784)</f>
        <v/>
      </c>
      <c r="B784" s="128"/>
      <c r="C784" s="128"/>
      <c r="D784" s="128"/>
      <c r="E784" s="134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</row>
    <row r="785" customFormat="false" ht="15.75" hidden="false" customHeight="false" outlineLevel="0" collapsed="false">
      <c r="A785" s="128" t="str">
        <f aca="false">IF(ISBLANK(B785),"",B785&amp;"|"&amp;C785)</f>
        <v/>
      </c>
      <c r="B785" s="128"/>
      <c r="C785" s="128"/>
      <c r="D785" s="128"/>
      <c r="E785" s="134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</row>
    <row r="786" customFormat="false" ht="15.75" hidden="false" customHeight="false" outlineLevel="0" collapsed="false">
      <c r="A786" s="128" t="str">
        <f aca="false">IF(ISBLANK(B786),"",B786&amp;"|"&amp;C786)</f>
        <v/>
      </c>
      <c r="B786" s="128"/>
      <c r="C786" s="128"/>
      <c r="D786" s="128"/>
      <c r="E786" s="134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</row>
    <row r="787" customFormat="false" ht="15.75" hidden="false" customHeight="false" outlineLevel="0" collapsed="false">
      <c r="A787" s="128" t="str">
        <f aca="false">IF(ISBLANK(B787),"",B787&amp;"|"&amp;C787)</f>
        <v/>
      </c>
      <c r="B787" s="128"/>
      <c r="C787" s="128"/>
      <c r="D787" s="128"/>
      <c r="E787" s="134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</row>
    <row r="788" customFormat="false" ht="15.75" hidden="false" customHeight="false" outlineLevel="0" collapsed="false">
      <c r="A788" s="128" t="str">
        <f aca="false">IF(ISBLANK(B788),"",B788&amp;"|"&amp;C788)</f>
        <v/>
      </c>
      <c r="B788" s="128"/>
      <c r="C788" s="128"/>
      <c r="D788" s="128"/>
      <c r="E788" s="134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</row>
    <row r="789" customFormat="false" ht="15.75" hidden="false" customHeight="false" outlineLevel="0" collapsed="false">
      <c r="A789" s="128" t="str">
        <f aca="false">IF(ISBLANK(B789),"",B789&amp;"|"&amp;C789)</f>
        <v/>
      </c>
      <c r="B789" s="128"/>
      <c r="C789" s="128"/>
      <c r="D789" s="128"/>
      <c r="E789" s="134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</row>
    <row r="790" customFormat="false" ht="15.75" hidden="false" customHeight="false" outlineLevel="0" collapsed="false">
      <c r="A790" s="128" t="str">
        <f aca="false">IF(ISBLANK(B790),"",B790&amp;"|"&amp;C790)</f>
        <v/>
      </c>
      <c r="B790" s="128"/>
      <c r="C790" s="128"/>
      <c r="D790" s="128"/>
      <c r="E790" s="134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</row>
    <row r="791" customFormat="false" ht="15.75" hidden="false" customHeight="false" outlineLevel="0" collapsed="false">
      <c r="A791" s="128" t="str">
        <f aca="false">IF(ISBLANK(B791),"",B791&amp;"|"&amp;C791)</f>
        <v/>
      </c>
      <c r="B791" s="128"/>
      <c r="C791" s="128"/>
      <c r="D791" s="128"/>
      <c r="E791" s="134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</row>
    <row r="792" customFormat="false" ht="15.75" hidden="false" customHeight="false" outlineLevel="0" collapsed="false">
      <c r="A792" s="128" t="str">
        <f aca="false">IF(ISBLANK(B792),"",B792&amp;"|"&amp;C792)</f>
        <v/>
      </c>
      <c r="B792" s="128"/>
      <c r="C792" s="128"/>
      <c r="D792" s="128"/>
      <c r="E792" s="134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</row>
    <row r="793" customFormat="false" ht="15.75" hidden="false" customHeight="false" outlineLevel="0" collapsed="false">
      <c r="A793" s="128" t="str">
        <f aca="false">IF(ISBLANK(B793),"",B793&amp;"|"&amp;C793)</f>
        <v/>
      </c>
      <c r="B793" s="128"/>
      <c r="C793" s="128"/>
      <c r="D793" s="128"/>
      <c r="E793" s="134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</row>
    <row r="794" customFormat="false" ht="15.75" hidden="false" customHeight="false" outlineLevel="0" collapsed="false">
      <c r="A794" s="128" t="str">
        <f aca="false">IF(ISBLANK(B794),"",B794&amp;"|"&amp;C794)</f>
        <v/>
      </c>
      <c r="B794" s="128"/>
      <c r="C794" s="128"/>
      <c r="D794" s="128"/>
      <c r="E794" s="134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</row>
    <row r="795" customFormat="false" ht="15.75" hidden="false" customHeight="false" outlineLevel="0" collapsed="false">
      <c r="A795" s="128" t="str">
        <f aca="false">IF(ISBLANK(B795),"",B795&amp;"|"&amp;C795)</f>
        <v/>
      </c>
      <c r="B795" s="128"/>
      <c r="C795" s="128"/>
      <c r="D795" s="128"/>
      <c r="E795" s="134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</row>
    <row r="796" customFormat="false" ht="15.75" hidden="false" customHeight="false" outlineLevel="0" collapsed="false">
      <c r="A796" s="128" t="str">
        <f aca="false">IF(ISBLANK(B796),"",B796&amp;"|"&amp;C796)</f>
        <v/>
      </c>
      <c r="B796" s="128"/>
      <c r="C796" s="128"/>
      <c r="D796" s="128"/>
      <c r="E796" s="134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</row>
    <row r="797" customFormat="false" ht="15.75" hidden="false" customHeight="false" outlineLevel="0" collapsed="false">
      <c r="A797" s="128" t="str">
        <f aca="false">IF(ISBLANK(B797),"",B797&amp;"|"&amp;C797)</f>
        <v/>
      </c>
      <c r="B797" s="128"/>
      <c r="C797" s="128"/>
      <c r="D797" s="128"/>
      <c r="E797" s="134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</row>
    <row r="798" customFormat="false" ht="15.75" hidden="false" customHeight="false" outlineLevel="0" collapsed="false">
      <c r="A798" s="128" t="str">
        <f aca="false">IF(ISBLANK(B798),"",B798&amp;"|"&amp;C798)</f>
        <v/>
      </c>
      <c r="B798" s="128"/>
      <c r="C798" s="128"/>
      <c r="D798" s="128"/>
      <c r="E798" s="134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</row>
    <row r="799" customFormat="false" ht="15.75" hidden="false" customHeight="false" outlineLevel="0" collapsed="false">
      <c r="A799" s="128" t="str">
        <f aca="false">IF(ISBLANK(B799),"",B799&amp;"|"&amp;C799)</f>
        <v/>
      </c>
      <c r="B799" s="128"/>
      <c r="C799" s="128"/>
      <c r="D799" s="128"/>
      <c r="E799" s="134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</row>
    <row r="800" customFormat="false" ht="15.75" hidden="false" customHeight="false" outlineLevel="0" collapsed="false">
      <c r="A800" s="128" t="str">
        <f aca="false">IF(ISBLANK(B800),"",B800&amp;"|"&amp;C800)</f>
        <v/>
      </c>
      <c r="B800" s="128"/>
      <c r="C800" s="128"/>
      <c r="D800" s="128"/>
      <c r="E800" s="134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</row>
    <row r="801" customFormat="false" ht="15.75" hidden="false" customHeight="false" outlineLevel="0" collapsed="false">
      <c r="A801" s="128" t="str">
        <f aca="false">IF(ISBLANK(B801),"",B801&amp;"|"&amp;C801)</f>
        <v/>
      </c>
      <c r="B801" s="128"/>
      <c r="C801" s="128"/>
      <c r="D801" s="128"/>
      <c r="E801" s="134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</row>
    <row r="802" customFormat="false" ht="15.75" hidden="false" customHeight="false" outlineLevel="0" collapsed="false">
      <c r="A802" s="128" t="str">
        <f aca="false">IF(ISBLANK(B802),"",B802&amp;"|"&amp;C802)</f>
        <v/>
      </c>
      <c r="B802" s="128"/>
      <c r="C802" s="128"/>
      <c r="D802" s="128"/>
      <c r="E802" s="134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</row>
    <row r="803" customFormat="false" ht="15.75" hidden="false" customHeight="false" outlineLevel="0" collapsed="false">
      <c r="A803" s="128" t="str">
        <f aca="false">IF(ISBLANK(B803),"",B803&amp;"|"&amp;C803)</f>
        <v/>
      </c>
      <c r="B803" s="128"/>
      <c r="C803" s="128"/>
      <c r="D803" s="128"/>
      <c r="E803" s="134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</row>
    <row r="804" customFormat="false" ht="15.75" hidden="false" customHeight="false" outlineLevel="0" collapsed="false">
      <c r="A804" s="128" t="str">
        <f aca="false">IF(ISBLANK(B804),"",B804&amp;"|"&amp;C804)</f>
        <v/>
      </c>
      <c r="B804" s="128"/>
      <c r="C804" s="128"/>
      <c r="D804" s="128"/>
      <c r="E804" s="134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</row>
    <row r="805" customFormat="false" ht="15.75" hidden="false" customHeight="false" outlineLevel="0" collapsed="false">
      <c r="A805" s="128" t="str">
        <f aca="false">IF(ISBLANK(B805),"",B805&amp;"|"&amp;C805)</f>
        <v/>
      </c>
      <c r="B805" s="128"/>
      <c r="C805" s="128"/>
      <c r="D805" s="128"/>
      <c r="E805" s="134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</row>
    <row r="806" customFormat="false" ht="15.75" hidden="false" customHeight="false" outlineLevel="0" collapsed="false">
      <c r="A806" s="128" t="str">
        <f aca="false">IF(ISBLANK(B806),"",B806&amp;"|"&amp;C806)</f>
        <v/>
      </c>
      <c r="B806" s="128"/>
      <c r="C806" s="128"/>
      <c r="D806" s="128"/>
      <c r="E806" s="134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</row>
    <row r="807" customFormat="false" ht="15.75" hidden="false" customHeight="false" outlineLevel="0" collapsed="false">
      <c r="A807" s="128" t="str">
        <f aca="false">IF(ISBLANK(B807),"",B807&amp;"|"&amp;C807)</f>
        <v/>
      </c>
      <c r="B807" s="128"/>
      <c r="C807" s="128"/>
      <c r="D807" s="128"/>
      <c r="E807" s="134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</row>
    <row r="808" customFormat="false" ht="15.75" hidden="false" customHeight="false" outlineLevel="0" collapsed="false">
      <c r="A808" s="128" t="str">
        <f aca="false">IF(ISBLANK(B808),"",B808&amp;"|"&amp;C808)</f>
        <v/>
      </c>
      <c r="B808" s="128"/>
      <c r="C808" s="128"/>
      <c r="D808" s="128"/>
      <c r="E808" s="134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</row>
    <row r="809" customFormat="false" ht="15.75" hidden="false" customHeight="false" outlineLevel="0" collapsed="false">
      <c r="A809" s="128" t="str">
        <f aca="false">IF(ISBLANK(B809),"",B809&amp;"|"&amp;C809)</f>
        <v/>
      </c>
      <c r="B809" s="128"/>
      <c r="C809" s="128"/>
      <c r="D809" s="128"/>
      <c r="E809" s="134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</row>
    <row r="810" customFormat="false" ht="15.75" hidden="false" customHeight="false" outlineLevel="0" collapsed="false">
      <c r="A810" s="128" t="str">
        <f aca="false">IF(ISBLANK(B810),"",B810&amp;"|"&amp;C810)</f>
        <v/>
      </c>
      <c r="B810" s="128"/>
      <c r="C810" s="128"/>
      <c r="D810" s="128"/>
      <c r="E810" s="134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</row>
    <row r="811" customFormat="false" ht="15.75" hidden="false" customHeight="false" outlineLevel="0" collapsed="false">
      <c r="A811" s="128" t="str">
        <f aca="false">IF(ISBLANK(B811),"",B811&amp;"|"&amp;C811)</f>
        <v/>
      </c>
      <c r="B811" s="128"/>
      <c r="C811" s="128"/>
      <c r="D811" s="128"/>
      <c r="E811" s="134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</row>
    <row r="812" customFormat="false" ht="15.75" hidden="false" customHeight="false" outlineLevel="0" collapsed="false">
      <c r="A812" s="128" t="str">
        <f aca="false">IF(ISBLANK(B812),"",B812&amp;"|"&amp;C812)</f>
        <v/>
      </c>
      <c r="B812" s="128"/>
      <c r="C812" s="128"/>
      <c r="D812" s="128"/>
      <c r="E812" s="134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</row>
    <row r="813" customFormat="false" ht="15.75" hidden="false" customHeight="false" outlineLevel="0" collapsed="false">
      <c r="A813" s="128" t="str">
        <f aca="false">IF(ISBLANK(B813),"",B813&amp;"|"&amp;C813)</f>
        <v/>
      </c>
      <c r="B813" s="128"/>
      <c r="C813" s="128"/>
      <c r="D813" s="128"/>
      <c r="E813" s="134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</row>
    <row r="814" customFormat="false" ht="15.75" hidden="false" customHeight="false" outlineLevel="0" collapsed="false">
      <c r="A814" s="128" t="str">
        <f aca="false">IF(ISBLANK(B814),"",B814&amp;"|"&amp;C814)</f>
        <v/>
      </c>
      <c r="B814" s="128"/>
      <c r="C814" s="128"/>
      <c r="D814" s="128"/>
      <c r="E814" s="134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</row>
    <row r="815" customFormat="false" ht="15.75" hidden="false" customHeight="false" outlineLevel="0" collapsed="false">
      <c r="A815" s="128" t="str">
        <f aca="false">IF(ISBLANK(B815),"",B815&amp;"|"&amp;C815)</f>
        <v/>
      </c>
      <c r="B815" s="128"/>
      <c r="C815" s="128"/>
      <c r="D815" s="128"/>
      <c r="E815" s="134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</row>
    <row r="816" customFormat="false" ht="15.75" hidden="false" customHeight="false" outlineLevel="0" collapsed="false">
      <c r="A816" s="128" t="str">
        <f aca="false">IF(ISBLANK(B816),"",B816&amp;"|"&amp;C816)</f>
        <v/>
      </c>
      <c r="B816" s="128"/>
      <c r="C816" s="128"/>
      <c r="D816" s="128"/>
      <c r="E816" s="134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</row>
    <row r="817" customFormat="false" ht="15.75" hidden="false" customHeight="false" outlineLevel="0" collapsed="false">
      <c r="A817" s="128" t="str">
        <f aca="false">IF(ISBLANK(B817),"",B817&amp;"|"&amp;C817)</f>
        <v/>
      </c>
      <c r="B817" s="128"/>
      <c r="C817" s="128"/>
      <c r="D817" s="128"/>
      <c r="E817" s="134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</row>
    <row r="818" customFormat="false" ht="15.75" hidden="false" customHeight="false" outlineLevel="0" collapsed="false">
      <c r="A818" s="128" t="str">
        <f aca="false">IF(ISBLANK(B818),"",B818&amp;"|"&amp;C818)</f>
        <v/>
      </c>
      <c r="B818" s="128"/>
      <c r="C818" s="128"/>
      <c r="D818" s="128"/>
      <c r="E818" s="134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</row>
    <row r="819" customFormat="false" ht="15.75" hidden="false" customHeight="false" outlineLevel="0" collapsed="false">
      <c r="A819" s="128" t="str">
        <f aca="false">IF(ISBLANK(B819),"",B819&amp;"|"&amp;C819)</f>
        <v/>
      </c>
      <c r="B819" s="128"/>
      <c r="C819" s="128"/>
      <c r="D819" s="128"/>
      <c r="E819" s="134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</row>
    <row r="820" customFormat="false" ht="15.75" hidden="false" customHeight="false" outlineLevel="0" collapsed="false">
      <c r="A820" s="128" t="str">
        <f aca="false">IF(ISBLANK(B820),"",B820&amp;"|"&amp;C820)</f>
        <v/>
      </c>
      <c r="B820" s="128"/>
      <c r="C820" s="128"/>
      <c r="D820" s="128"/>
      <c r="E820" s="134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</row>
    <row r="821" customFormat="false" ht="15.75" hidden="false" customHeight="false" outlineLevel="0" collapsed="false">
      <c r="A821" s="128" t="str">
        <f aca="false">IF(ISBLANK(B821),"",B821&amp;"|"&amp;C821)</f>
        <v/>
      </c>
      <c r="B821" s="128"/>
      <c r="C821" s="128"/>
      <c r="D821" s="128"/>
      <c r="E821" s="134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</row>
    <row r="822" customFormat="false" ht="15.75" hidden="false" customHeight="false" outlineLevel="0" collapsed="false">
      <c r="A822" s="128" t="str">
        <f aca="false">IF(ISBLANK(B822),"",B822&amp;"|"&amp;C822)</f>
        <v/>
      </c>
      <c r="B822" s="128"/>
      <c r="C822" s="128"/>
      <c r="D822" s="128"/>
      <c r="E822" s="134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</row>
    <row r="823" customFormat="false" ht="15.75" hidden="false" customHeight="false" outlineLevel="0" collapsed="false">
      <c r="A823" s="128" t="str">
        <f aca="false">IF(ISBLANK(B823),"",B823&amp;"|"&amp;C823)</f>
        <v/>
      </c>
      <c r="B823" s="128"/>
      <c r="C823" s="128"/>
      <c r="D823" s="128"/>
      <c r="E823" s="134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</row>
    <row r="824" customFormat="false" ht="15.75" hidden="false" customHeight="false" outlineLevel="0" collapsed="false">
      <c r="A824" s="128" t="str">
        <f aca="false">IF(ISBLANK(B824),"",B824&amp;"|"&amp;C824)</f>
        <v/>
      </c>
      <c r="B824" s="128"/>
      <c r="C824" s="128"/>
      <c r="D824" s="128"/>
      <c r="E824" s="134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</row>
    <row r="825" customFormat="false" ht="15.75" hidden="false" customHeight="false" outlineLevel="0" collapsed="false">
      <c r="A825" s="128" t="str">
        <f aca="false">IF(ISBLANK(B825),"",B825&amp;"|"&amp;C825)</f>
        <v/>
      </c>
      <c r="B825" s="128"/>
      <c r="C825" s="128"/>
      <c r="D825" s="128"/>
      <c r="E825" s="134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</row>
    <row r="826" customFormat="false" ht="15.75" hidden="false" customHeight="false" outlineLevel="0" collapsed="false">
      <c r="A826" s="128" t="str">
        <f aca="false">IF(ISBLANK(B826),"",B826&amp;"|"&amp;C826)</f>
        <v/>
      </c>
      <c r="B826" s="128"/>
      <c r="C826" s="128"/>
      <c r="D826" s="128"/>
      <c r="E826" s="134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</row>
    <row r="827" customFormat="false" ht="15.75" hidden="false" customHeight="false" outlineLevel="0" collapsed="false">
      <c r="A827" s="128" t="str">
        <f aca="false">IF(ISBLANK(B827),"",B827&amp;"|"&amp;C827)</f>
        <v/>
      </c>
      <c r="B827" s="128"/>
      <c r="C827" s="128"/>
      <c r="D827" s="128"/>
      <c r="E827" s="134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</row>
    <row r="828" customFormat="false" ht="15.75" hidden="false" customHeight="false" outlineLevel="0" collapsed="false">
      <c r="A828" s="128" t="str">
        <f aca="false">IF(ISBLANK(B828),"",B828&amp;"|"&amp;C828)</f>
        <v/>
      </c>
      <c r="B828" s="128"/>
      <c r="C828" s="128"/>
      <c r="D828" s="128"/>
      <c r="E828" s="134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</row>
    <row r="829" customFormat="false" ht="15.75" hidden="false" customHeight="false" outlineLevel="0" collapsed="false">
      <c r="A829" s="128" t="str">
        <f aca="false">IF(ISBLANK(B829),"",B829&amp;"|"&amp;C829)</f>
        <v/>
      </c>
      <c r="B829" s="128"/>
      <c r="C829" s="128"/>
      <c r="D829" s="128"/>
      <c r="E829" s="134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</row>
    <row r="830" customFormat="false" ht="15.75" hidden="false" customHeight="false" outlineLevel="0" collapsed="false">
      <c r="A830" s="128" t="str">
        <f aca="false">IF(ISBLANK(B830),"",B830&amp;"|"&amp;C830)</f>
        <v/>
      </c>
      <c r="B830" s="128"/>
      <c r="C830" s="128"/>
      <c r="D830" s="128"/>
      <c r="E830" s="134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</row>
    <row r="831" customFormat="false" ht="15.75" hidden="false" customHeight="false" outlineLevel="0" collapsed="false">
      <c r="A831" s="128" t="str">
        <f aca="false">IF(ISBLANK(B831),"",B831&amp;"|"&amp;C831)</f>
        <v/>
      </c>
      <c r="B831" s="128"/>
      <c r="C831" s="128"/>
      <c r="D831" s="128"/>
      <c r="E831" s="134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</row>
    <row r="832" customFormat="false" ht="15.75" hidden="false" customHeight="false" outlineLevel="0" collapsed="false">
      <c r="A832" s="128" t="str">
        <f aca="false">IF(ISBLANK(B832),"",B832&amp;"|"&amp;C832)</f>
        <v/>
      </c>
      <c r="B832" s="128"/>
      <c r="C832" s="128"/>
      <c r="D832" s="128"/>
      <c r="E832" s="134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</row>
    <row r="833" customFormat="false" ht="15.75" hidden="false" customHeight="false" outlineLevel="0" collapsed="false">
      <c r="A833" s="128" t="str">
        <f aca="false">IF(ISBLANK(B833),"",B833&amp;"|"&amp;C833)</f>
        <v/>
      </c>
      <c r="B833" s="128"/>
      <c r="C833" s="128"/>
      <c r="D833" s="128"/>
      <c r="E833" s="134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</row>
    <row r="834" customFormat="false" ht="15.75" hidden="false" customHeight="false" outlineLevel="0" collapsed="false">
      <c r="A834" s="128" t="str">
        <f aca="false">IF(ISBLANK(B834),"",B834&amp;"|"&amp;C834)</f>
        <v/>
      </c>
      <c r="B834" s="128"/>
      <c r="C834" s="128"/>
      <c r="D834" s="128"/>
      <c r="E834" s="134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</row>
    <row r="835" customFormat="false" ht="15.75" hidden="false" customHeight="false" outlineLevel="0" collapsed="false">
      <c r="A835" s="128" t="str">
        <f aca="false">IF(ISBLANK(B835),"",B835&amp;"|"&amp;C835)</f>
        <v/>
      </c>
      <c r="B835" s="128"/>
      <c r="C835" s="128"/>
      <c r="D835" s="128"/>
      <c r="E835" s="134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</row>
    <row r="836" customFormat="false" ht="15.75" hidden="false" customHeight="false" outlineLevel="0" collapsed="false">
      <c r="A836" s="128" t="str">
        <f aca="false">IF(ISBLANK(B836),"",B836&amp;"|"&amp;C836)</f>
        <v/>
      </c>
      <c r="B836" s="128"/>
      <c r="C836" s="128"/>
      <c r="D836" s="128"/>
      <c r="E836" s="134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</row>
    <row r="837" customFormat="false" ht="15.75" hidden="false" customHeight="false" outlineLevel="0" collapsed="false">
      <c r="A837" s="128" t="str">
        <f aca="false">IF(ISBLANK(B837),"",B837&amp;"|"&amp;C837)</f>
        <v/>
      </c>
      <c r="B837" s="128"/>
      <c r="C837" s="128"/>
      <c r="D837" s="128"/>
      <c r="E837" s="134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</row>
    <row r="838" customFormat="false" ht="15.75" hidden="false" customHeight="false" outlineLevel="0" collapsed="false">
      <c r="A838" s="128" t="str">
        <f aca="false">IF(ISBLANK(B838),"",B838&amp;"|"&amp;C838)</f>
        <v/>
      </c>
      <c r="B838" s="128"/>
      <c r="C838" s="128"/>
      <c r="D838" s="128"/>
      <c r="E838" s="134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</row>
    <row r="839" customFormat="false" ht="15.75" hidden="false" customHeight="false" outlineLevel="0" collapsed="false">
      <c r="A839" s="128" t="str">
        <f aca="false">IF(ISBLANK(B839),"",B839&amp;"|"&amp;C839)</f>
        <v/>
      </c>
      <c r="B839" s="128"/>
      <c r="C839" s="128"/>
      <c r="D839" s="128"/>
      <c r="E839" s="134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</row>
    <row r="840" customFormat="false" ht="15.75" hidden="false" customHeight="false" outlineLevel="0" collapsed="false">
      <c r="A840" s="128" t="str">
        <f aca="false">IF(ISBLANK(B840),"",B840&amp;"|"&amp;C840)</f>
        <v/>
      </c>
      <c r="B840" s="128"/>
      <c r="C840" s="128"/>
      <c r="D840" s="128"/>
      <c r="E840" s="134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</row>
    <row r="841" customFormat="false" ht="15.75" hidden="false" customHeight="false" outlineLevel="0" collapsed="false">
      <c r="A841" s="128" t="str">
        <f aca="false">IF(ISBLANK(B841),"",B841&amp;"|"&amp;C841)</f>
        <v/>
      </c>
      <c r="B841" s="128"/>
      <c r="C841" s="128"/>
      <c r="D841" s="128"/>
      <c r="E841" s="134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</row>
    <row r="842" customFormat="false" ht="15.75" hidden="false" customHeight="false" outlineLevel="0" collapsed="false">
      <c r="A842" s="128" t="str">
        <f aca="false">IF(ISBLANK(B842),"",B842&amp;"|"&amp;C842)</f>
        <v/>
      </c>
      <c r="B842" s="128"/>
      <c r="C842" s="128"/>
      <c r="D842" s="128"/>
      <c r="E842" s="134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</row>
    <row r="843" customFormat="false" ht="15.75" hidden="false" customHeight="false" outlineLevel="0" collapsed="false">
      <c r="A843" s="128" t="str">
        <f aca="false">IF(ISBLANK(B843),"",B843&amp;"|"&amp;C843)</f>
        <v/>
      </c>
      <c r="B843" s="128"/>
      <c r="C843" s="128"/>
      <c r="D843" s="128"/>
      <c r="E843" s="134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</row>
    <row r="844" customFormat="false" ht="15.75" hidden="false" customHeight="false" outlineLevel="0" collapsed="false">
      <c r="A844" s="128" t="str">
        <f aca="false">IF(ISBLANK(B844),"",B844&amp;"|"&amp;C844)</f>
        <v/>
      </c>
      <c r="B844" s="128"/>
      <c r="C844" s="128"/>
      <c r="D844" s="128"/>
      <c r="E844" s="134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</row>
    <row r="845" customFormat="false" ht="15.75" hidden="false" customHeight="false" outlineLevel="0" collapsed="false">
      <c r="A845" s="128" t="str">
        <f aca="false">IF(ISBLANK(B845),"",B845&amp;"|"&amp;C845)</f>
        <v/>
      </c>
      <c r="B845" s="128"/>
      <c r="C845" s="128"/>
      <c r="D845" s="128"/>
      <c r="E845" s="134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</row>
    <row r="846" customFormat="false" ht="15.75" hidden="false" customHeight="false" outlineLevel="0" collapsed="false">
      <c r="A846" s="128" t="str">
        <f aca="false">IF(ISBLANK(B846),"",B846&amp;"|"&amp;C846)</f>
        <v/>
      </c>
      <c r="B846" s="128"/>
      <c r="C846" s="128"/>
      <c r="D846" s="128"/>
      <c r="E846" s="134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</row>
    <row r="847" customFormat="false" ht="15.75" hidden="false" customHeight="false" outlineLevel="0" collapsed="false">
      <c r="A847" s="128" t="str">
        <f aca="false">IF(ISBLANK(B847),"",B847&amp;"|"&amp;C847)</f>
        <v/>
      </c>
      <c r="B847" s="128"/>
      <c r="C847" s="128"/>
      <c r="D847" s="128"/>
      <c r="E847" s="134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</row>
    <row r="848" customFormat="false" ht="15.75" hidden="false" customHeight="false" outlineLevel="0" collapsed="false">
      <c r="A848" s="128" t="str">
        <f aca="false">IF(ISBLANK(B848),"",B848&amp;"|"&amp;C848)</f>
        <v/>
      </c>
      <c r="B848" s="128"/>
      <c r="C848" s="128"/>
      <c r="D848" s="128"/>
      <c r="E848" s="134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</row>
    <row r="849" customFormat="false" ht="15.75" hidden="false" customHeight="false" outlineLevel="0" collapsed="false">
      <c r="A849" s="128" t="str">
        <f aca="false">IF(ISBLANK(B849),"",B849&amp;"|"&amp;C849)</f>
        <v/>
      </c>
      <c r="B849" s="128"/>
      <c r="C849" s="128"/>
      <c r="D849" s="128"/>
      <c r="E849" s="134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</row>
    <row r="850" customFormat="false" ht="15.75" hidden="false" customHeight="false" outlineLevel="0" collapsed="false">
      <c r="A850" s="128" t="str">
        <f aca="false">IF(ISBLANK(B850),"",B850&amp;"|"&amp;C850)</f>
        <v/>
      </c>
      <c r="B850" s="128"/>
      <c r="C850" s="128"/>
      <c r="D850" s="128"/>
      <c r="E850" s="134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</row>
    <row r="851" customFormat="false" ht="15.75" hidden="false" customHeight="false" outlineLevel="0" collapsed="false">
      <c r="A851" s="128" t="str">
        <f aca="false">IF(ISBLANK(B851),"",B851&amp;"|"&amp;C851)</f>
        <v/>
      </c>
      <c r="B851" s="128"/>
      <c r="C851" s="128"/>
      <c r="D851" s="128"/>
      <c r="E851" s="134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</row>
    <row r="852" customFormat="false" ht="15.75" hidden="false" customHeight="false" outlineLevel="0" collapsed="false">
      <c r="A852" s="128" t="str">
        <f aca="false">IF(ISBLANK(B852),"",B852&amp;"|"&amp;C852)</f>
        <v/>
      </c>
      <c r="B852" s="128"/>
      <c r="C852" s="128"/>
      <c r="D852" s="128"/>
      <c r="E852" s="134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</row>
    <row r="853" customFormat="false" ht="15.75" hidden="false" customHeight="false" outlineLevel="0" collapsed="false">
      <c r="A853" s="128" t="str">
        <f aca="false">IF(ISBLANK(B853),"",B853&amp;"|"&amp;C853)</f>
        <v/>
      </c>
      <c r="B853" s="128"/>
      <c r="C853" s="128"/>
      <c r="D853" s="128"/>
      <c r="E853" s="134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</row>
    <row r="854" customFormat="false" ht="15.75" hidden="false" customHeight="false" outlineLevel="0" collapsed="false">
      <c r="A854" s="128" t="str">
        <f aca="false">IF(ISBLANK(B854),"",B854&amp;"|"&amp;C854)</f>
        <v/>
      </c>
      <c r="B854" s="128"/>
      <c r="C854" s="128"/>
      <c r="D854" s="128"/>
      <c r="E854" s="134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</row>
    <row r="855" customFormat="false" ht="15.75" hidden="false" customHeight="false" outlineLevel="0" collapsed="false">
      <c r="A855" s="128" t="str">
        <f aca="false">IF(ISBLANK(B855),"",B855&amp;"|"&amp;C855)</f>
        <v/>
      </c>
      <c r="B855" s="128"/>
      <c r="C855" s="128"/>
      <c r="D855" s="128"/>
      <c r="E855" s="134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</row>
    <row r="856" customFormat="false" ht="15.75" hidden="false" customHeight="false" outlineLevel="0" collapsed="false">
      <c r="A856" s="128" t="str">
        <f aca="false">IF(ISBLANK(B856),"",B856&amp;"|"&amp;C856)</f>
        <v/>
      </c>
      <c r="B856" s="128"/>
      <c r="C856" s="128"/>
      <c r="D856" s="128"/>
      <c r="E856" s="134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</row>
    <row r="857" customFormat="false" ht="15.75" hidden="false" customHeight="false" outlineLevel="0" collapsed="false">
      <c r="A857" s="128" t="str">
        <f aca="false">IF(ISBLANK(B857),"",B857&amp;"|"&amp;C857)</f>
        <v/>
      </c>
      <c r="B857" s="128"/>
      <c r="C857" s="128"/>
      <c r="D857" s="128"/>
      <c r="E857" s="134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</row>
    <row r="858" customFormat="false" ht="15.75" hidden="false" customHeight="false" outlineLevel="0" collapsed="false">
      <c r="A858" s="128" t="str">
        <f aca="false">IF(ISBLANK(B858),"",B858&amp;"|"&amp;C858)</f>
        <v/>
      </c>
      <c r="B858" s="128"/>
      <c r="C858" s="128"/>
      <c r="D858" s="128"/>
      <c r="E858" s="134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</row>
    <row r="859" customFormat="false" ht="15.75" hidden="false" customHeight="false" outlineLevel="0" collapsed="false">
      <c r="A859" s="128" t="str">
        <f aca="false">IF(ISBLANK(B859),"",B859&amp;"|"&amp;C859)</f>
        <v/>
      </c>
      <c r="B859" s="128"/>
      <c r="C859" s="128"/>
      <c r="D859" s="128"/>
      <c r="E859" s="134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</row>
    <row r="860" customFormat="false" ht="15.75" hidden="false" customHeight="false" outlineLevel="0" collapsed="false">
      <c r="A860" s="128" t="str">
        <f aca="false">IF(ISBLANK(B860),"",B860&amp;"|"&amp;C860)</f>
        <v/>
      </c>
      <c r="B860" s="128"/>
      <c r="C860" s="128"/>
      <c r="D860" s="128"/>
      <c r="E860" s="134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</row>
    <row r="861" customFormat="false" ht="15.75" hidden="false" customHeight="false" outlineLevel="0" collapsed="false">
      <c r="A861" s="128" t="str">
        <f aca="false">IF(ISBLANK(B861),"",B861&amp;"|"&amp;C861)</f>
        <v/>
      </c>
      <c r="B861" s="128"/>
      <c r="C861" s="128"/>
      <c r="D861" s="128"/>
      <c r="E861" s="134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</row>
    <row r="862" customFormat="false" ht="15.75" hidden="false" customHeight="false" outlineLevel="0" collapsed="false">
      <c r="A862" s="128" t="str">
        <f aca="false">IF(ISBLANK(B862),"",B862&amp;"|"&amp;C862)</f>
        <v/>
      </c>
      <c r="B862" s="128"/>
      <c r="C862" s="128"/>
      <c r="D862" s="128"/>
      <c r="E862" s="134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</row>
    <row r="863" customFormat="false" ht="15.75" hidden="false" customHeight="false" outlineLevel="0" collapsed="false">
      <c r="A863" s="128" t="str">
        <f aca="false">IF(ISBLANK(B863),"",B863&amp;"|"&amp;C863)</f>
        <v/>
      </c>
      <c r="B863" s="128"/>
      <c r="C863" s="128"/>
      <c r="D863" s="128"/>
      <c r="E863" s="134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</row>
    <row r="864" customFormat="false" ht="15.75" hidden="false" customHeight="false" outlineLevel="0" collapsed="false">
      <c r="A864" s="128" t="str">
        <f aca="false">IF(ISBLANK(B864),"",B864&amp;"|"&amp;C864)</f>
        <v/>
      </c>
      <c r="B864" s="128"/>
      <c r="C864" s="128"/>
      <c r="D864" s="128"/>
      <c r="E864" s="134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</row>
    <row r="865" customFormat="false" ht="15.75" hidden="false" customHeight="false" outlineLevel="0" collapsed="false">
      <c r="A865" s="128" t="str">
        <f aca="false">IF(ISBLANK(B865),"",B865&amp;"|"&amp;C865)</f>
        <v/>
      </c>
      <c r="B865" s="128"/>
      <c r="C865" s="128"/>
      <c r="D865" s="128"/>
      <c r="E865" s="134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</row>
    <row r="866" customFormat="false" ht="15.75" hidden="false" customHeight="false" outlineLevel="0" collapsed="false">
      <c r="A866" s="128" t="str">
        <f aca="false">IF(ISBLANK(B866),"",B866&amp;"|"&amp;C866)</f>
        <v/>
      </c>
      <c r="B866" s="128"/>
      <c r="C866" s="128"/>
      <c r="D866" s="128"/>
      <c r="E866" s="134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</row>
    <row r="867" customFormat="false" ht="15.75" hidden="false" customHeight="false" outlineLevel="0" collapsed="false">
      <c r="A867" s="128" t="str">
        <f aca="false">IF(ISBLANK(B867),"",B867&amp;"|"&amp;C867)</f>
        <v/>
      </c>
      <c r="B867" s="128"/>
      <c r="C867" s="128"/>
      <c r="D867" s="128"/>
      <c r="E867" s="134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</row>
    <row r="868" customFormat="false" ht="15.75" hidden="false" customHeight="false" outlineLevel="0" collapsed="false">
      <c r="A868" s="128" t="str">
        <f aca="false">IF(ISBLANK(B868),"",B868&amp;"|"&amp;C868)</f>
        <v/>
      </c>
      <c r="B868" s="128"/>
      <c r="C868" s="128"/>
      <c r="D868" s="128"/>
      <c r="E868" s="134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</row>
    <row r="869" customFormat="false" ht="15.75" hidden="false" customHeight="false" outlineLevel="0" collapsed="false">
      <c r="A869" s="128" t="str">
        <f aca="false">IF(ISBLANK(B869),"",B869&amp;"|"&amp;C869)</f>
        <v/>
      </c>
      <c r="B869" s="128"/>
      <c r="C869" s="128"/>
      <c r="D869" s="128"/>
      <c r="E869" s="134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</row>
    <row r="870" customFormat="false" ht="15.75" hidden="false" customHeight="false" outlineLevel="0" collapsed="false">
      <c r="A870" s="128" t="str">
        <f aca="false">IF(ISBLANK(B870),"",B870&amp;"|"&amp;C870)</f>
        <v/>
      </c>
      <c r="B870" s="128"/>
      <c r="C870" s="128"/>
      <c r="D870" s="128"/>
      <c r="E870" s="134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</row>
    <row r="871" customFormat="false" ht="15.75" hidden="false" customHeight="false" outlineLevel="0" collapsed="false">
      <c r="A871" s="128" t="str">
        <f aca="false">IF(ISBLANK(B871),"",B871&amp;"|"&amp;C871)</f>
        <v/>
      </c>
      <c r="B871" s="128"/>
      <c r="C871" s="128"/>
      <c r="D871" s="128"/>
      <c r="E871" s="134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</row>
    <row r="872" customFormat="false" ht="15.75" hidden="false" customHeight="false" outlineLevel="0" collapsed="false">
      <c r="A872" s="128" t="str">
        <f aca="false">IF(ISBLANK(B872),"",B872&amp;"|"&amp;C872)</f>
        <v/>
      </c>
      <c r="B872" s="128"/>
      <c r="C872" s="128"/>
      <c r="D872" s="128"/>
      <c r="E872" s="134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</row>
    <row r="873" customFormat="false" ht="15.75" hidden="false" customHeight="false" outlineLevel="0" collapsed="false">
      <c r="A873" s="128" t="str">
        <f aca="false">IF(ISBLANK(B873),"",B873&amp;"|"&amp;C873)</f>
        <v/>
      </c>
      <c r="B873" s="128"/>
      <c r="C873" s="128"/>
      <c r="D873" s="128"/>
      <c r="E873" s="134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</row>
    <row r="874" customFormat="false" ht="15.75" hidden="false" customHeight="false" outlineLevel="0" collapsed="false">
      <c r="A874" s="128" t="str">
        <f aca="false">IF(ISBLANK(B874),"",B874&amp;"|"&amp;C874)</f>
        <v/>
      </c>
      <c r="B874" s="128"/>
      <c r="C874" s="128"/>
      <c r="D874" s="128"/>
      <c r="E874" s="134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</row>
    <row r="875" customFormat="false" ht="15.75" hidden="false" customHeight="false" outlineLevel="0" collapsed="false">
      <c r="A875" s="128" t="str">
        <f aca="false">IF(ISBLANK(B875),"",B875&amp;"|"&amp;C875)</f>
        <v/>
      </c>
      <c r="B875" s="128"/>
      <c r="C875" s="128"/>
      <c r="D875" s="128"/>
      <c r="E875" s="134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</row>
    <row r="876" customFormat="false" ht="15.75" hidden="false" customHeight="false" outlineLevel="0" collapsed="false">
      <c r="A876" s="128" t="str">
        <f aca="false">IF(ISBLANK(B876),"",B876&amp;"|"&amp;C876)</f>
        <v/>
      </c>
      <c r="B876" s="128"/>
      <c r="C876" s="128"/>
      <c r="D876" s="128"/>
      <c r="E876" s="134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</row>
    <row r="877" customFormat="false" ht="15.75" hidden="false" customHeight="false" outlineLevel="0" collapsed="false">
      <c r="A877" s="128" t="str">
        <f aca="false">IF(ISBLANK(B877),"",B877&amp;"|"&amp;C877)</f>
        <v/>
      </c>
      <c r="B877" s="128"/>
      <c r="C877" s="128"/>
      <c r="D877" s="128"/>
      <c r="E877" s="134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</row>
    <row r="878" customFormat="false" ht="15.75" hidden="false" customHeight="false" outlineLevel="0" collapsed="false">
      <c r="A878" s="128" t="str">
        <f aca="false">IF(ISBLANK(B878),"",B878&amp;"|"&amp;C878)</f>
        <v/>
      </c>
      <c r="B878" s="128"/>
      <c r="C878" s="128"/>
      <c r="D878" s="128"/>
      <c r="E878" s="134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</row>
    <row r="879" customFormat="false" ht="15.75" hidden="false" customHeight="false" outlineLevel="0" collapsed="false">
      <c r="A879" s="128" t="str">
        <f aca="false">IF(ISBLANK(B879),"",B879&amp;"|"&amp;C879)</f>
        <v/>
      </c>
      <c r="B879" s="128"/>
      <c r="C879" s="128"/>
      <c r="D879" s="128"/>
      <c r="E879" s="134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</row>
    <row r="880" customFormat="false" ht="15.75" hidden="false" customHeight="false" outlineLevel="0" collapsed="false">
      <c r="A880" s="128" t="str">
        <f aca="false">IF(ISBLANK(B880),"",B880&amp;"|"&amp;C880)</f>
        <v/>
      </c>
      <c r="B880" s="128"/>
      <c r="C880" s="128"/>
      <c r="D880" s="128"/>
      <c r="E880" s="134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</row>
    <row r="881" customFormat="false" ht="15.75" hidden="false" customHeight="false" outlineLevel="0" collapsed="false">
      <c r="A881" s="128" t="str">
        <f aca="false">IF(ISBLANK(B881),"",B881&amp;"|"&amp;C881)</f>
        <v/>
      </c>
      <c r="B881" s="128"/>
      <c r="C881" s="128"/>
      <c r="D881" s="128"/>
      <c r="E881" s="134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</row>
    <row r="882" customFormat="false" ht="15.75" hidden="false" customHeight="false" outlineLevel="0" collapsed="false">
      <c r="A882" s="128" t="str">
        <f aca="false">IF(ISBLANK(B882),"",B882&amp;"|"&amp;C882)</f>
        <v/>
      </c>
      <c r="B882" s="128"/>
      <c r="C882" s="128"/>
      <c r="D882" s="128"/>
      <c r="E882" s="134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</row>
    <row r="883" customFormat="false" ht="15.75" hidden="false" customHeight="false" outlineLevel="0" collapsed="false">
      <c r="A883" s="128" t="str">
        <f aca="false">IF(ISBLANK(B883),"",B883&amp;"|"&amp;C883)</f>
        <v/>
      </c>
      <c r="B883" s="128"/>
      <c r="C883" s="128"/>
      <c r="D883" s="128"/>
      <c r="E883" s="134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</row>
    <row r="884" customFormat="false" ht="15.75" hidden="false" customHeight="false" outlineLevel="0" collapsed="false">
      <c r="A884" s="128" t="str">
        <f aca="false">IF(ISBLANK(B884),"",B884&amp;"|"&amp;C884)</f>
        <v/>
      </c>
      <c r="B884" s="128"/>
      <c r="C884" s="128"/>
      <c r="D884" s="128"/>
      <c r="E884" s="134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</row>
    <row r="885" customFormat="false" ht="15.75" hidden="false" customHeight="false" outlineLevel="0" collapsed="false">
      <c r="A885" s="128" t="str">
        <f aca="false">IF(ISBLANK(B885),"",B885&amp;"|"&amp;C885)</f>
        <v/>
      </c>
      <c r="B885" s="128"/>
      <c r="C885" s="128"/>
      <c r="D885" s="128"/>
      <c r="E885" s="134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</row>
    <row r="886" customFormat="false" ht="15.75" hidden="false" customHeight="false" outlineLevel="0" collapsed="false">
      <c r="A886" s="128" t="str">
        <f aca="false">IF(ISBLANK(B886),"",B886&amp;"|"&amp;C886)</f>
        <v/>
      </c>
      <c r="B886" s="128"/>
      <c r="C886" s="128"/>
      <c r="D886" s="128"/>
      <c r="E886" s="134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</row>
    <row r="887" customFormat="false" ht="15.75" hidden="false" customHeight="false" outlineLevel="0" collapsed="false">
      <c r="A887" s="128" t="str">
        <f aca="false">IF(ISBLANK(B887),"",B887&amp;"|"&amp;C887)</f>
        <v/>
      </c>
      <c r="B887" s="128"/>
      <c r="C887" s="128"/>
      <c r="D887" s="128"/>
      <c r="E887" s="134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</row>
    <row r="888" customFormat="false" ht="15.75" hidden="false" customHeight="false" outlineLevel="0" collapsed="false">
      <c r="A888" s="128" t="str">
        <f aca="false">IF(ISBLANK(B888),"",B888&amp;"|"&amp;C888)</f>
        <v/>
      </c>
      <c r="B888" s="128"/>
      <c r="C888" s="128"/>
      <c r="D888" s="128"/>
      <c r="E888" s="134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</row>
    <row r="889" customFormat="false" ht="15.75" hidden="false" customHeight="false" outlineLevel="0" collapsed="false">
      <c r="A889" s="128" t="str">
        <f aca="false">IF(ISBLANK(B889),"",B889&amp;"|"&amp;C889)</f>
        <v/>
      </c>
      <c r="B889" s="128"/>
      <c r="C889" s="128"/>
      <c r="D889" s="128"/>
      <c r="E889" s="134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</row>
    <row r="890" customFormat="false" ht="15.75" hidden="false" customHeight="false" outlineLevel="0" collapsed="false">
      <c r="A890" s="128" t="str">
        <f aca="false">IF(ISBLANK(B890),"",B890&amp;"|"&amp;C890)</f>
        <v/>
      </c>
      <c r="B890" s="128"/>
      <c r="C890" s="128"/>
      <c r="D890" s="128"/>
      <c r="E890" s="134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</row>
    <row r="891" customFormat="false" ht="15.75" hidden="false" customHeight="false" outlineLevel="0" collapsed="false">
      <c r="A891" s="128" t="str">
        <f aca="false">IF(ISBLANK(B891),"",B891&amp;"|"&amp;C891)</f>
        <v/>
      </c>
      <c r="B891" s="128"/>
      <c r="C891" s="128"/>
      <c r="D891" s="128"/>
      <c r="E891" s="134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</row>
    <row r="892" customFormat="false" ht="15.75" hidden="false" customHeight="false" outlineLevel="0" collapsed="false">
      <c r="A892" s="128" t="str">
        <f aca="false">IF(ISBLANK(B892),"",B892&amp;"|"&amp;C892)</f>
        <v/>
      </c>
      <c r="B892" s="128"/>
      <c r="C892" s="128"/>
      <c r="D892" s="128"/>
      <c r="E892" s="134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</row>
    <row r="893" customFormat="false" ht="15.75" hidden="false" customHeight="false" outlineLevel="0" collapsed="false">
      <c r="A893" s="128" t="str">
        <f aca="false">IF(ISBLANK(B893),"",B893&amp;"|"&amp;C893)</f>
        <v/>
      </c>
      <c r="B893" s="128"/>
      <c r="C893" s="128"/>
      <c r="D893" s="128"/>
      <c r="E893" s="134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</row>
    <row r="894" customFormat="false" ht="15.75" hidden="false" customHeight="false" outlineLevel="0" collapsed="false">
      <c r="A894" s="128" t="str">
        <f aca="false">IF(ISBLANK(B894),"",B894&amp;"|"&amp;C894)</f>
        <v/>
      </c>
      <c r="B894" s="128"/>
      <c r="C894" s="128"/>
      <c r="D894" s="128"/>
      <c r="E894" s="134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</row>
    <row r="895" customFormat="false" ht="15.75" hidden="false" customHeight="false" outlineLevel="0" collapsed="false">
      <c r="A895" s="128" t="str">
        <f aca="false">IF(ISBLANK(B895),"",B895&amp;"|"&amp;C895)</f>
        <v/>
      </c>
      <c r="B895" s="128"/>
      <c r="C895" s="128"/>
      <c r="D895" s="128"/>
      <c r="E895" s="134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</row>
    <row r="896" customFormat="false" ht="15.75" hidden="false" customHeight="false" outlineLevel="0" collapsed="false">
      <c r="A896" s="128" t="str">
        <f aca="false">IF(ISBLANK(B896),"",B896&amp;"|"&amp;C896)</f>
        <v/>
      </c>
      <c r="B896" s="128"/>
      <c r="C896" s="128"/>
      <c r="D896" s="128"/>
      <c r="E896" s="134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</row>
    <row r="897" customFormat="false" ht="15.75" hidden="false" customHeight="false" outlineLevel="0" collapsed="false">
      <c r="A897" s="128" t="str">
        <f aca="false">IF(ISBLANK(B897),"",B897&amp;"|"&amp;C897)</f>
        <v/>
      </c>
      <c r="B897" s="128"/>
      <c r="C897" s="128"/>
      <c r="D897" s="128"/>
      <c r="E897" s="134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</row>
    <row r="898" customFormat="false" ht="15.75" hidden="false" customHeight="false" outlineLevel="0" collapsed="false">
      <c r="A898" s="128" t="str">
        <f aca="false">IF(ISBLANK(B898),"",B898&amp;"|"&amp;C898)</f>
        <v/>
      </c>
      <c r="B898" s="128"/>
      <c r="C898" s="128"/>
      <c r="D898" s="128"/>
      <c r="E898" s="134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</row>
    <row r="899" customFormat="false" ht="15.75" hidden="false" customHeight="false" outlineLevel="0" collapsed="false">
      <c r="A899" s="128" t="str">
        <f aca="false">IF(ISBLANK(B899),"",B899&amp;"|"&amp;C899)</f>
        <v/>
      </c>
      <c r="B899" s="128"/>
      <c r="C899" s="128"/>
      <c r="D899" s="128"/>
      <c r="E899" s="134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</row>
    <row r="900" customFormat="false" ht="15.75" hidden="false" customHeight="false" outlineLevel="0" collapsed="false">
      <c r="A900" s="128" t="str">
        <f aca="false">IF(ISBLANK(B900),"",B900&amp;"|"&amp;C900)</f>
        <v/>
      </c>
      <c r="B900" s="128"/>
      <c r="C900" s="128"/>
      <c r="D900" s="128"/>
      <c r="E900" s="134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</row>
    <row r="901" customFormat="false" ht="15.75" hidden="false" customHeight="false" outlineLevel="0" collapsed="false">
      <c r="A901" s="128" t="str">
        <f aca="false">IF(ISBLANK(B901),"",B901&amp;"|"&amp;C901)</f>
        <v/>
      </c>
      <c r="B901" s="128"/>
      <c r="C901" s="128"/>
      <c r="D901" s="128"/>
      <c r="E901" s="134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</row>
    <row r="902" customFormat="false" ht="15.75" hidden="false" customHeight="false" outlineLevel="0" collapsed="false">
      <c r="A902" s="128" t="str">
        <f aca="false">IF(ISBLANK(B902),"",B902&amp;"|"&amp;C902)</f>
        <v/>
      </c>
      <c r="B902" s="128"/>
      <c r="C902" s="128"/>
      <c r="D902" s="128"/>
      <c r="E902" s="134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</row>
    <row r="903" customFormat="false" ht="15.75" hidden="false" customHeight="false" outlineLevel="0" collapsed="false">
      <c r="A903" s="128" t="str">
        <f aca="false">IF(ISBLANK(B903),"",B903&amp;"|"&amp;C903)</f>
        <v/>
      </c>
      <c r="B903" s="128"/>
      <c r="C903" s="128"/>
      <c r="D903" s="128"/>
      <c r="E903" s="134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</row>
    <row r="904" customFormat="false" ht="15.75" hidden="false" customHeight="false" outlineLevel="0" collapsed="false">
      <c r="A904" s="128" t="str">
        <f aca="false">IF(ISBLANK(B904),"",B904&amp;"|"&amp;C904)</f>
        <v/>
      </c>
      <c r="B904" s="128"/>
      <c r="C904" s="128"/>
      <c r="D904" s="128"/>
      <c r="E904" s="134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</row>
    <row r="905" customFormat="false" ht="15.75" hidden="false" customHeight="false" outlineLevel="0" collapsed="false">
      <c r="A905" s="128" t="str">
        <f aca="false">IF(ISBLANK(B905),"",B905&amp;"|"&amp;C905)</f>
        <v/>
      </c>
      <c r="B905" s="128"/>
      <c r="C905" s="128"/>
      <c r="D905" s="128"/>
      <c r="E905" s="134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</row>
    <row r="906" customFormat="false" ht="15.75" hidden="false" customHeight="false" outlineLevel="0" collapsed="false">
      <c r="A906" s="128" t="str">
        <f aca="false">IF(ISBLANK(B906),"",B906&amp;"|"&amp;C906)</f>
        <v/>
      </c>
      <c r="B906" s="128"/>
      <c r="C906" s="128"/>
      <c r="D906" s="128"/>
      <c r="E906" s="134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</row>
    <row r="907" customFormat="false" ht="15.75" hidden="false" customHeight="false" outlineLevel="0" collapsed="false">
      <c r="A907" s="128" t="str">
        <f aca="false">IF(ISBLANK(B907),"",B907&amp;"|"&amp;C907)</f>
        <v/>
      </c>
      <c r="B907" s="128"/>
      <c r="C907" s="128"/>
      <c r="D907" s="128"/>
      <c r="E907" s="134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</row>
    <row r="908" customFormat="false" ht="15.75" hidden="false" customHeight="false" outlineLevel="0" collapsed="false">
      <c r="A908" s="128" t="str">
        <f aca="false">IF(ISBLANK(B908),"",B908&amp;"|"&amp;C908)</f>
        <v/>
      </c>
      <c r="B908" s="128"/>
      <c r="C908" s="128"/>
      <c r="D908" s="128"/>
      <c r="E908" s="134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</row>
    <row r="909" customFormat="false" ht="15.75" hidden="false" customHeight="false" outlineLevel="0" collapsed="false">
      <c r="A909" s="128" t="str">
        <f aca="false">IF(ISBLANK(B909),"",B909&amp;"|"&amp;C909)</f>
        <v/>
      </c>
      <c r="B909" s="128"/>
      <c r="C909" s="128"/>
      <c r="D909" s="128"/>
      <c r="E909" s="134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</row>
    <row r="910" customFormat="false" ht="15.75" hidden="false" customHeight="false" outlineLevel="0" collapsed="false">
      <c r="A910" s="128" t="str">
        <f aca="false">IF(ISBLANK(B910),"",B910&amp;"|"&amp;C910)</f>
        <v/>
      </c>
      <c r="B910" s="128"/>
      <c r="C910" s="128"/>
      <c r="D910" s="128"/>
      <c r="E910" s="134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</row>
    <row r="911" customFormat="false" ht="15.75" hidden="false" customHeight="false" outlineLevel="0" collapsed="false">
      <c r="A911" s="128" t="str">
        <f aca="false">IF(ISBLANK(B911),"",B911&amp;"|"&amp;C911)</f>
        <v/>
      </c>
      <c r="B911" s="128"/>
      <c r="C911" s="128"/>
      <c r="D911" s="128"/>
      <c r="E911" s="134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</row>
    <row r="912" customFormat="false" ht="15.75" hidden="false" customHeight="false" outlineLevel="0" collapsed="false">
      <c r="A912" s="128" t="str">
        <f aca="false">IF(ISBLANK(B912),"",B912&amp;"|"&amp;C912)</f>
        <v/>
      </c>
      <c r="B912" s="128"/>
      <c r="C912" s="128"/>
      <c r="D912" s="128"/>
      <c r="E912" s="134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</row>
    <row r="913" customFormat="false" ht="15.75" hidden="false" customHeight="false" outlineLevel="0" collapsed="false">
      <c r="A913" s="128" t="str">
        <f aca="false">IF(ISBLANK(B913),"",B913&amp;"|"&amp;C913)</f>
        <v/>
      </c>
      <c r="B913" s="128"/>
      <c r="C913" s="128"/>
      <c r="D913" s="128"/>
      <c r="E913" s="134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</row>
    <row r="914" customFormat="false" ht="15.75" hidden="false" customHeight="false" outlineLevel="0" collapsed="false">
      <c r="A914" s="128" t="str">
        <f aca="false">IF(ISBLANK(B914),"",B914&amp;"|"&amp;C914)</f>
        <v/>
      </c>
      <c r="B914" s="128"/>
      <c r="C914" s="128"/>
      <c r="D914" s="128"/>
      <c r="E914" s="134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</row>
    <row r="915" customFormat="false" ht="15.75" hidden="false" customHeight="false" outlineLevel="0" collapsed="false">
      <c r="A915" s="128" t="str">
        <f aca="false">IF(ISBLANK(B915),"",B915&amp;"|"&amp;C915)</f>
        <v/>
      </c>
      <c r="B915" s="128"/>
      <c r="C915" s="128"/>
      <c r="D915" s="128"/>
      <c r="E915" s="134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</row>
    <row r="916" customFormat="false" ht="15.75" hidden="false" customHeight="false" outlineLevel="0" collapsed="false">
      <c r="A916" s="128" t="str">
        <f aca="false">IF(ISBLANK(B916),"",B916&amp;"|"&amp;C916)</f>
        <v/>
      </c>
      <c r="B916" s="128"/>
      <c r="C916" s="128"/>
      <c r="D916" s="128"/>
      <c r="E916" s="134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</row>
    <row r="917" customFormat="false" ht="15.75" hidden="false" customHeight="false" outlineLevel="0" collapsed="false">
      <c r="A917" s="128" t="str">
        <f aca="false">IF(ISBLANK(B917),"",B917&amp;"|"&amp;C917)</f>
        <v/>
      </c>
      <c r="B917" s="128"/>
      <c r="C917" s="128"/>
      <c r="D917" s="128"/>
      <c r="E917" s="134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</row>
    <row r="918" customFormat="false" ht="15.75" hidden="false" customHeight="false" outlineLevel="0" collapsed="false">
      <c r="A918" s="128" t="str">
        <f aca="false">IF(ISBLANK(B918),"",B918&amp;"|"&amp;C918)</f>
        <v/>
      </c>
      <c r="B918" s="128"/>
      <c r="C918" s="128"/>
      <c r="D918" s="128"/>
      <c r="E918" s="134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</row>
    <row r="919" customFormat="false" ht="15.75" hidden="false" customHeight="false" outlineLevel="0" collapsed="false">
      <c r="A919" s="128" t="str">
        <f aca="false">IF(ISBLANK(B919),"",B919&amp;"|"&amp;C919)</f>
        <v/>
      </c>
      <c r="B919" s="128"/>
      <c r="C919" s="128"/>
      <c r="D919" s="128"/>
      <c r="E919" s="134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</row>
    <row r="920" customFormat="false" ht="15.75" hidden="false" customHeight="false" outlineLevel="0" collapsed="false">
      <c r="A920" s="128" t="str">
        <f aca="false">IF(ISBLANK(B920),"",B920&amp;"|"&amp;C920)</f>
        <v/>
      </c>
      <c r="B920" s="128"/>
      <c r="C920" s="128"/>
      <c r="D920" s="128"/>
      <c r="E920" s="134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</row>
    <row r="921" customFormat="false" ht="15.75" hidden="false" customHeight="false" outlineLevel="0" collapsed="false">
      <c r="A921" s="128" t="str">
        <f aca="false">IF(ISBLANK(B921),"",B921&amp;"|"&amp;C921)</f>
        <v/>
      </c>
      <c r="B921" s="128"/>
      <c r="C921" s="128"/>
      <c r="D921" s="128"/>
      <c r="E921" s="134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</row>
    <row r="922" customFormat="false" ht="15.75" hidden="false" customHeight="false" outlineLevel="0" collapsed="false">
      <c r="A922" s="128" t="str">
        <f aca="false">IF(ISBLANK(B922),"",B922&amp;"|"&amp;C922)</f>
        <v/>
      </c>
      <c r="B922" s="128"/>
      <c r="C922" s="128"/>
      <c r="D922" s="128"/>
      <c r="E922" s="134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</row>
    <row r="923" customFormat="false" ht="15.75" hidden="false" customHeight="false" outlineLevel="0" collapsed="false">
      <c r="A923" s="128" t="str">
        <f aca="false">IF(ISBLANK(B923),"",B923&amp;"|"&amp;C923)</f>
        <v/>
      </c>
      <c r="B923" s="128"/>
      <c r="C923" s="128"/>
      <c r="D923" s="128"/>
      <c r="E923" s="134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</row>
    <row r="924" customFormat="false" ht="15.75" hidden="false" customHeight="false" outlineLevel="0" collapsed="false">
      <c r="A924" s="128" t="str">
        <f aca="false">IF(ISBLANK(B924),"",B924&amp;"|"&amp;C924)</f>
        <v/>
      </c>
      <c r="B924" s="128"/>
      <c r="C924" s="128"/>
      <c r="D924" s="128"/>
      <c r="E924" s="134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</row>
    <row r="925" customFormat="false" ht="15.75" hidden="false" customHeight="false" outlineLevel="0" collapsed="false">
      <c r="A925" s="128" t="str">
        <f aca="false">IF(ISBLANK(B925),"",B925&amp;"|"&amp;C925)</f>
        <v/>
      </c>
      <c r="B925" s="128"/>
      <c r="C925" s="128"/>
      <c r="D925" s="128"/>
      <c r="E925" s="134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</row>
    <row r="926" customFormat="false" ht="15.75" hidden="false" customHeight="false" outlineLevel="0" collapsed="false">
      <c r="A926" s="128" t="str">
        <f aca="false">IF(ISBLANK(B926),"",B926&amp;"|"&amp;C926)</f>
        <v/>
      </c>
      <c r="B926" s="128"/>
      <c r="C926" s="128"/>
      <c r="D926" s="128"/>
      <c r="E926" s="134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</row>
    <row r="927" customFormat="false" ht="15.75" hidden="false" customHeight="false" outlineLevel="0" collapsed="false">
      <c r="A927" s="128" t="str">
        <f aca="false">IF(ISBLANK(B927),"",B927&amp;"|"&amp;C927)</f>
        <v/>
      </c>
      <c r="B927" s="128"/>
      <c r="C927" s="128"/>
      <c r="D927" s="128"/>
      <c r="E927" s="134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</row>
    <row r="928" customFormat="false" ht="15.75" hidden="false" customHeight="false" outlineLevel="0" collapsed="false">
      <c r="A928" s="128" t="str">
        <f aca="false">IF(ISBLANK(B928),"",B928&amp;"|"&amp;C928)</f>
        <v/>
      </c>
      <c r="B928" s="128"/>
      <c r="C928" s="128"/>
      <c r="D928" s="128"/>
      <c r="E928" s="134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</row>
    <row r="929" customFormat="false" ht="15.75" hidden="false" customHeight="false" outlineLevel="0" collapsed="false">
      <c r="A929" s="128" t="str">
        <f aca="false">IF(ISBLANK(B929),"",B929&amp;"|"&amp;C929)</f>
        <v/>
      </c>
      <c r="B929" s="128"/>
      <c r="C929" s="128"/>
      <c r="D929" s="128"/>
      <c r="E929" s="134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</row>
    <row r="930" customFormat="false" ht="15.75" hidden="false" customHeight="false" outlineLevel="0" collapsed="false">
      <c r="A930" s="128" t="str">
        <f aca="false">IF(ISBLANK(B930),"",B930&amp;"|"&amp;C930)</f>
        <v/>
      </c>
      <c r="B930" s="128"/>
      <c r="C930" s="128"/>
      <c r="D930" s="128"/>
      <c r="E930" s="134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</row>
    <row r="931" customFormat="false" ht="15.75" hidden="false" customHeight="false" outlineLevel="0" collapsed="false">
      <c r="A931" s="128" t="str">
        <f aca="false">IF(ISBLANK(B931),"",B931&amp;"|"&amp;C931)</f>
        <v/>
      </c>
      <c r="B931" s="128"/>
      <c r="C931" s="128"/>
      <c r="D931" s="128"/>
      <c r="E931" s="134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</row>
    <row r="932" customFormat="false" ht="15.75" hidden="false" customHeight="false" outlineLevel="0" collapsed="false">
      <c r="A932" s="128" t="str">
        <f aca="false">IF(ISBLANK(B932),"",B932&amp;"|"&amp;C932)</f>
        <v/>
      </c>
      <c r="B932" s="128"/>
      <c r="C932" s="128"/>
      <c r="D932" s="128"/>
      <c r="E932" s="134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</row>
    <row r="933" customFormat="false" ht="15.75" hidden="false" customHeight="false" outlineLevel="0" collapsed="false">
      <c r="A933" s="128" t="str">
        <f aca="false">IF(ISBLANK(B933),"",B933&amp;"|"&amp;C933)</f>
        <v/>
      </c>
      <c r="B933" s="128"/>
      <c r="C933" s="128"/>
      <c r="D933" s="128"/>
      <c r="E933" s="134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</row>
    <row r="934" customFormat="false" ht="15.75" hidden="false" customHeight="false" outlineLevel="0" collapsed="false">
      <c r="A934" s="128" t="str">
        <f aca="false">IF(ISBLANK(B934),"",B934&amp;"|"&amp;C934)</f>
        <v/>
      </c>
      <c r="B934" s="128"/>
      <c r="C934" s="128"/>
      <c r="D934" s="128"/>
      <c r="E934" s="134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</row>
    <row r="935" customFormat="false" ht="15.75" hidden="false" customHeight="false" outlineLevel="0" collapsed="false">
      <c r="A935" s="128" t="str">
        <f aca="false">IF(ISBLANK(B935),"",B935&amp;"|"&amp;C935)</f>
        <v/>
      </c>
      <c r="B935" s="128"/>
      <c r="C935" s="128"/>
      <c r="D935" s="128"/>
      <c r="E935" s="134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</row>
    <row r="936" customFormat="false" ht="15.75" hidden="false" customHeight="false" outlineLevel="0" collapsed="false">
      <c r="A936" s="128" t="str">
        <f aca="false">IF(ISBLANK(B936),"",B936&amp;"|"&amp;C936)</f>
        <v/>
      </c>
      <c r="B936" s="128"/>
      <c r="C936" s="128"/>
      <c r="D936" s="128"/>
      <c r="E936" s="134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</row>
    <row r="937" customFormat="false" ht="15.75" hidden="false" customHeight="false" outlineLevel="0" collapsed="false">
      <c r="A937" s="128" t="str">
        <f aca="false">IF(ISBLANK(B937),"",B937&amp;"|"&amp;C937)</f>
        <v/>
      </c>
      <c r="B937" s="128"/>
      <c r="C937" s="128"/>
      <c r="D937" s="128"/>
      <c r="E937" s="134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</row>
    <row r="938" customFormat="false" ht="15.75" hidden="false" customHeight="false" outlineLevel="0" collapsed="false">
      <c r="A938" s="128" t="str">
        <f aca="false">IF(ISBLANK(B938),"",B938&amp;"|"&amp;C938)</f>
        <v/>
      </c>
      <c r="B938" s="128"/>
      <c r="C938" s="128"/>
      <c r="D938" s="128"/>
      <c r="E938" s="134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</row>
    <row r="939" customFormat="false" ht="15.75" hidden="false" customHeight="false" outlineLevel="0" collapsed="false">
      <c r="A939" s="128" t="str">
        <f aca="false">IF(ISBLANK(B939),"",B939&amp;"|"&amp;C939)</f>
        <v/>
      </c>
      <c r="B939" s="128"/>
      <c r="C939" s="128"/>
      <c r="D939" s="128"/>
      <c r="E939" s="134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</row>
    <row r="940" customFormat="false" ht="15.75" hidden="false" customHeight="false" outlineLevel="0" collapsed="false">
      <c r="A940" s="128" t="str">
        <f aca="false">IF(ISBLANK(B940),"",B940&amp;"|"&amp;C940)</f>
        <v/>
      </c>
      <c r="B940" s="128"/>
      <c r="C940" s="128"/>
      <c r="D940" s="128"/>
      <c r="E940" s="134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</row>
    <row r="941" customFormat="false" ht="15.75" hidden="false" customHeight="false" outlineLevel="0" collapsed="false">
      <c r="A941" s="128" t="str">
        <f aca="false">IF(ISBLANK(B941),"",B941&amp;"|"&amp;C941)</f>
        <v/>
      </c>
      <c r="B941" s="128"/>
      <c r="C941" s="128"/>
      <c r="D941" s="128"/>
      <c r="E941" s="134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</row>
    <row r="942" customFormat="false" ht="15.75" hidden="false" customHeight="false" outlineLevel="0" collapsed="false">
      <c r="A942" s="128" t="str">
        <f aca="false">IF(ISBLANK(B942),"",B942&amp;"|"&amp;C942)</f>
        <v/>
      </c>
      <c r="B942" s="128"/>
      <c r="C942" s="128"/>
      <c r="D942" s="128"/>
      <c r="E942" s="134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</row>
    <row r="943" customFormat="false" ht="15.75" hidden="false" customHeight="false" outlineLevel="0" collapsed="false">
      <c r="A943" s="128" t="str">
        <f aca="false">IF(ISBLANK(B943),"",B943&amp;"|"&amp;C943)</f>
        <v/>
      </c>
      <c r="B943" s="128"/>
      <c r="C943" s="128"/>
      <c r="D943" s="128"/>
      <c r="E943" s="134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</row>
    <row r="944" customFormat="false" ht="15.75" hidden="false" customHeight="false" outlineLevel="0" collapsed="false">
      <c r="A944" s="128" t="str">
        <f aca="false">IF(ISBLANK(B944),"",B944&amp;"|"&amp;C944)</f>
        <v/>
      </c>
      <c r="B944" s="128"/>
      <c r="C944" s="128"/>
      <c r="D944" s="128"/>
      <c r="E944" s="134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</row>
    <row r="945" customFormat="false" ht="15.75" hidden="false" customHeight="false" outlineLevel="0" collapsed="false">
      <c r="A945" s="128" t="str">
        <f aca="false">IF(ISBLANK(B945),"",B945&amp;"|"&amp;C945)</f>
        <v/>
      </c>
      <c r="B945" s="128"/>
      <c r="C945" s="128"/>
      <c r="D945" s="128"/>
      <c r="E945" s="134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</row>
    <row r="946" customFormat="false" ht="15.75" hidden="false" customHeight="false" outlineLevel="0" collapsed="false">
      <c r="A946" s="128" t="str">
        <f aca="false">IF(ISBLANK(B946),"",B946&amp;"|"&amp;C946)</f>
        <v/>
      </c>
      <c r="B946" s="128"/>
      <c r="C946" s="128"/>
      <c r="D946" s="128"/>
      <c r="E946" s="134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</row>
    <row r="947" customFormat="false" ht="15.75" hidden="false" customHeight="false" outlineLevel="0" collapsed="false">
      <c r="A947" s="128" t="str">
        <f aca="false">IF(ISBLANK(B947),"",B947&amp;"|"&amp;C947)</f>
        <v/>
      </c>
      <c r="B947" s="128"/>
      <c r="C947" s="128"/>
      <c r="D947" s="128"/>
      <c r="E947" s="134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</row>
    <row r="948" customFormat="false" ht="15.75" hidden="false" customHeight="false" outlineLevel="0" collapsed="false">
      <c r="A948" s="128" t="str">
        <f aca="false">IF(ISBLANK(B948),"",B948&amp;"|"&amp;C948)</f>
        <v/>
      </c>
      <c r="B948" s="128"/>
      <c r="C948" s="128"/>
      <c r="D948" s="128"/>
      <c r="E948" s="134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</row>
    <row r="949" customFormat="false" ht="15.75" hidden="false" customHeight="false" outlineLevel="0" collapsed="false">
      <c r="A949" s="128" t="str">
        <f aca="false">IF(ISBLANK(B949),"",B949&amp;"|"&amp;C949)</f>
        <v/>
      </c>
      <c r="B949" s="128"/>
      <c r="C949" s="128"/>
      <c r="D949" s="128"/>
      <c r="E949" s="134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</row>
    <row r="950" customFormat="false" ht="15.75" hidden="false" customHeight="false" outlineLevel="0" collapsed="false">
      <c r="A950" s="128" t="str">
        <f aca="false">IF(ISBLANK(B950),"",B950&amp;"|"&amp;C950)</f>
        <v/>
      </c>
      <c r="B950" s="128"/>
      <c r="C950" s="128"/>
      <c r="D950" s="128"/>
      <c r="E950" s="134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</row>
    <row r="951" customFormat="false" ht="15.75" hidden="false" customHeight="false" outlineLevel="0" collapsed="false">
      <c r="A951" s="128" t="str">
        <f aca="false">IF(ISBLANK(B951),"",B951&amp;"|"&amp;C951)</f>
        <v/>
      </c>
      <c r="B951" s="128"/>
      <c r="C951" s="128"/>
      <c r="D951" s="128"/>
      <c r="E951" s="134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</row>
    <row r="952" customFormat="false" ht="15.75" hidden="false" customHeight="false" outlineLevel="0" collapsed="false">
      <c r="A952" s="128" t="str">
        <f aca="false">IF(ISBLANK(B952),"",B952&amp;"|"&amp;C952)</f>
        <v/>
      </c>
      <c r="B952" s="128"/>
      <c r="C952" s="128"/>
      <c r="D952" s="128"/>
      <c r="E952" s="134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</row>
    <row r="953" customFormat="false" ht="15.75" hidden="false" customHeight="false" outlineLevel="0" collapsed="false">
      <c r="A953" s="128" t="str">
        <f aca="false">IF(ISBLANK(B953),"",B953&amp;"|"&amp;C953)</f>
        <v/>
      </c>
      <c r="B953" s="128"/>
      <c r="C953" s="128"/>
      <c r="D953" s="128"/>
      <c r="E953" s="134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</row>
    <row r="954" customFormat="false" ht="15.75" hidden="false" customHeight="false" outlineLevel="0" collapsed="false">
      <c r="A954" s="128" t="str">
        <f aca="false">IF(ISBLANK(B954),"",B954&amp;"|"&amp;C954)</f>
        <v/>
      </c>
      <c r="B954" s="128"/>
      <c r="C954" s="128"/>
      <c r="D954" s="128"/>
      <c r="E954" s="134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</row>
    <row r="955" customFormat="false" ht="15.75" hidden="false" customHeight="false" outlineLevel="0" collapsed="false">
      <c r="A955" s="128" t="str">
        <f aca="false">IF(ISBLANK(B955),"",B955&amp;"|"&amp;C955)</f>
        <v/>
      </c>
      <c r="B955" s="128"/>
      <c r="C955" s="128"/>
      <c r="D955" s="128"/>
      <c r="E955" s="134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</row>
    <row r="956" customFormat="false" ht="15.75" hidden="false" customHeight="false" outlineLevel="0" collapsed="false">
      <c r="A956" s="128" t="str">
        <f aca="false">IF(ISBLANK(B956),"",B956&amp;"|"&amp;C956)</f>
        <v/>
      </c>
      <c r="B956" s="128"/>
      <c r="C956" s="128"/>
      <c r="D956" s="128"/>
      <c r="E956" s="134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</row>
    <row r="957" customFormat="false" ht="15.75" hidden="false" customHeight="false" outlineLevel="0" collapsed="false">
      <c r="A957" s="128" t="str">
        <f aca="false">IF(ISBLANK(B957),"",B957&amp;"|"&amp;C957)</f>
        <v/>
      </c>
      <c r="B957" s="128"/>
      <c r="C957" s="128"/>
      <c r="D957" s="128"/>
      <c r="E957" s="134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</row>
    <row r="958" customFormat="false" ht="15.75" hidden="false" customHeight="false" outlineLevel="0" collapsed="false">
      <c r="A958" s="128" t="str">
        <f aca="false">IF(ISBLANK(B958),"",B958&amp;"|"&amp;C958)</f>
        <v/>
      </c>
      <c r="B958" s="128"/>
      <c r="C958" s="128"/>
      <c r="D958" s="128"/>
      <c r="E958" s="134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</row>
    <row r="959" customFormat="false" ht="15.75" hidden="false" customHeight="false" outlineLevel="0" collapsed="false">
      <c r="A959" s="128" t="str">
        <f aca="false">IF(ISBLANK(B959),"",B959&amp;"|"&amp;C959)</f>
        <v/>
      </c>
      <c r="B959" s="128"/>
      <c r="C959" s="128"/>
      <c r="D959" s="128"/>
      <c r="E959" s="134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</row>
    <row r="960" customFormat="false" ht="15.75" hidden="false" customHeight="false" outlineLevel="0" collapsed="false">
      <c r="A960" s="128" t="str">
        <f aca="false">IF(ISBLANK(B960),"",B960&amp;"|"&amp;C960)</f>
        <v/>
      </c>
      <c r="B960" s="128"/>
      <c r="C960" s="128"/>
      <c r="D960" s="128"/>
      <c r="E960" s="134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</row>
    <row r="961" customFormat="false" ht="15.75" hidden="false" customHeight="false" outlineLevel="0" collapsed="false">
      <c r="A961" s="128" t="str">
        <f aca="false">IF(ISBLANK(B961),"",B961&amp;"|"&amp;C961)</f>
        <v/>
      </c>
      <c r="B961" s="128"/>
      <c r="C961" s="128"/>
      <c r="D961" s="128"/>
      <c r="E961" s="134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</row>
    <row r="962" customFormat="false" ht="15.75" hidden="false" customHeight="false" outlineLevel="0" collapsed="false">
      <c r="A962" s="128" t="str">
        <f aca="false">IF(ISBLANK(B962),"",B962&amp;"|"&amp;C962)</f>
        <v/>
      </c>
      <c r="B962" s="128"/>
      <c r="C962" s="128"/>
      <c r="D962" s="128"/>
      <c r="E962" s="134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</row>
    <row r="963" customFormat="false" ht="15.75" hidden="false" customHeight="false" outlineLevel="0" collapsed="false">
      <c r="A963" s="128" t="str">
        <f aca="false">IF(ISBLANK(B963),"",B963&amp;"|"&amp;C963)</f>
        <v/>
      </c>
      <c r="B963" s="128"/>
      <c r="C963" s="128"/>
      <c r="D963" s="128"/>
      <c r="E963" s="134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</row>
    <row r="964" customFormat="false" ht="15.75" hidden="false" customHeight="false" outlineLevel="0" collapsed="false">
      <c r="A964" s="128" t="str">
        <f aca="false">IF(ISBLANK(B964),"",B964&amp;"|"&amp;C964)</f>
        <v/>
      </c>
      <c r="B964" s="128"/>
      <c r="C964" s="128"/>
      <c r="D964" s="128"/>
      <c r="E964" s="134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</row>
    <row r="965" customFormat="false" ht="15.75" hidden="false" customHeight="false" outlineLevel="0" collapsed="false">
      <c r="A965" s="128" t="str">
        <f aca="false">IF(ISBLANK(B965),"",B965&amp;"|"&amp;C965)</f>
        <v/>
      </c>
      <c r="B965" s="128"/>
      <c r="C965" s="128"/>
      <c r="D965" s="128"/>
      <c r="E965" s="134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</row>
    <row r="966" customFormat="false" ht="15.75" hidden="false" customHeight="false" outlineLevel="0" collapsed="false">
      <c r="A966" s="128" t="str">
        <f aca="false">IF(ISBLANK(B966),"",B966&amp;"|"&amp;C966)</f>
        <v/>
      </c>
      <c r="B966" s="128"/>
      <c r="C966" s="128"/>
      <c r="D966" s="128"/>
      <c r="E966" s="134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</row>
    <row r="967" customFormat="false" ht="15.75" hidden="false" customHeight="false" outlineLevel="0" collapsed="false">
      <c r="A967" s="128" t="str">
        <f aca="false">IF(ISBLANK(B967),"",B967&amp;"|"&amp;C967)</f>
        <v/>
      </c>
      <c r="B967" s="128"/>
      <c r="C967" s="128"/>
      <c r="D967" s="128"/>
      <c r="E967" s="134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</row>
    <row r="968" customFormat="false" ht="15.75" hidden="false" customHeight="false" outlineLevel="0" collapsed="false">
      <c r="A968" s="128" t="str">
        <f aca="false">IF(ISBLANK(B968),"",B968&amp;"|"&amp;C968)</f>
        <v/>
      </c>
      <c r="B968" s="128"/>
      <c r="C968" s="128"/>
      <c r="D968" s="128"/>
      <c r="E968" s="134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</row>
    <row r="969" customFormat="false" ht="15.75" hidden="false" customHeight="false" outlineLevel="0" collapsed="false">
      <c r="A969" s="128" t="str">
        <f aca="false">IF(ISBLANK(B969),"",B969&amp;"|"&amp;C969)</f>
        <v/>
      </c>
      <c r="B969" s="128"/>
      <c r="C969" s="128"/>
      <c r="D969" s="128"/>
      <c r="E969" s="134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</row>
    <row r="970" customFormat="false" ht="15.75" hidden="false" customHeight="false" outlineLevel="0" collapsed="false">
      <c r="A970" s="128" t="str">
        <f aca="false">IF(ISBLANK(B970),"",B970&amp;"|"&amp;C970)</f>
        <v/>
      </c>
      <c r="B970" s="128"/>
      <c r="C970" s="128"/>
      <c r="D970" s="128"/>
      <c r="E970" s="134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</row>
    <row r="971" customFormat="false" ht="15.75" hidden="false" customHeight="false" outlineLevel="0" collapsed="false">
      <c r="A971" s="128" t="str">
        <f aca="false">IF(ISBLANK(B971),"",B971&amp;"|"&amp;C971)</f>
        <v/>
      </c>
      <c r="B971" s="128"/>
      <c r="C971" s="128"/>
      <c r="D971" s="128"/>
      <c r="E971" s="134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</row>
    <row r="972" customFormat="false" ht="15.75" hidden="false" customHeight="false" outlineLevel="0" collapsed="false">
      <c r="A972" s="128" t="str">
        <f aca="false">IF(ISBLANK(B972),"",B972&amp;"|"&amp;C972)</f>
        <v/>
      </c>
      <c r="B972" s="128"/>
      <c r="C972" s="128"/>
      <c r="D972" s="128"/>
      <c r="E972" s="134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</row>
    <row r="973" customFormat="false" ht="15.75" hidden="false" customHeight="false" outlineLevel="0" collapsed="false">
      <c r="A973" s="128" t="str">
        <f aca="false">IF(ISBLANK(B973),"",B973&amp;"|"&amp;C973)</f>
        <v/>
      </c>
      <c r="B973" s="128"/>
      <c r="C973" s="128"/>
      <c r="D973" s="128"/>
      <c r="E973" s="134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</row>
    <row r="974" customFormat="false" ht="15.75" hidden="false" customHeight="false" outlineLevel="0" collapsed="false">
      <c r="A974" s="128" t="str">
        <f aca="false">IF(ISBLANK(B974),"",B974&amp;"|"&amp;C974)</f>
        <v/>
      </c>
      <c r="B974" s="128"/>
      <c r="C974" s="128"/>
      <c r="D974" s="128"/>
      <c r="E974" s="134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</row>
    <row r="975" customFormat="false" ht="15.75" hidden="false" customHeight="false" outlineLevel="0" collapsed="false">
      <c r="A975" s="128" t="str">
        <f aca="false">IF(ISBLANK(B975),"",B975&amp;"|"&amp;C975)</f>
        <v/>
      </c>
      <c r="B975" s="128"/>
      <c r="C975" s="128"/>
      <c r="D975" s="128"/>
      <c r="E975" s="134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</row>
    <row r="976" customFormat="false" ht="15.75" hidden="false" customHeight="false" outlineLevel="0" collapsed="false">
      <c r="A976" s="128" t="str">
        <f aca="false">IF(ISBLANK(B976),"",B976&amp;"|"&amp;C976)</f>
        <v/>
      </c>
      <c r="B976" s="128"/>
      <c r="C976" s="128"/>
      <c r="D976" s="128"/>
      <c r="E976" s="134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</row>
    <row r="977" customFormat="false" ht="15.75" hidden="false" customHeight="false" outlineLevel="0" collapsed="false">
      <c r="A977" s="128" t="str">
        <f aca="false">IF(ISBLANK(B977),"",B977&amp;"|"&amp;C977)</f>
        <v/>
      </c>
      <c r="B977" s="128"/>
      <c r="C977" s="128"/>
      <c r="D977" s="128"/>
      <c r="E977" s="134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</row>
    <row r="978" customFormat="false" ht="15.75" hidden="false" customHeight="false" outlineLevel="0" collapsed="false">
      <c r="A978" s="128" t="str">
        <f aca="false">IF(ISBLANK(B978),"",B978&amp;"|"&amp;C978)</f>
        <v/>
      </c>
      <c r="B978" s="128"/>
      <c r="C978" s="128"/>
      <c r="D978" s="128"/>
      <c r="E978" s="134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</row>
    <row r="979" customFormat="false" ht="15.75" hidden="false" customHeight="false" outlineLevel="0" collapsed="false">
      <c r="A979" s="128" t="str">
        <f aca="false">IF(ISBLANK(B979),"",B979&amp;"|"&amp;C979)</f>
        <v/>
      </c>
      <c r="B979" s="128"/>
      <c r="C979" s="128"/>
      <c r="D979" s="128"/>
      <c r="E979" s="134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</row>
    <row r="980" customFormat="false" ht="15.75" hidden="false" customHeight="false" outlineLevel="0" collapsed="false">
      <c r="A980" s="128" t="str">
        <f aca="false">IF(ISBLANK(B980),"",B980&amp;"|"&amp;C980)</f>
        <v/>
      </c>
      <c r="B980" s="128"/>
      <c r="C980" s="128"/>
      <c r="D980" s="128"/>
      <c r="E980" s="134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</row>
    <row r="981" customFormat="false" ht="15.75" hidden="false" customHeight="false" outlineLevel="0" collapsed="false">
      <c r="A981" s="128" t="str">
        <f aca="false">IF(ISBLANK(B981),"",B981&amp;"|"&amp;C981)</f>
        <v/>
      </c>
      <c r="B981" s="128"/>
      <c r="C981" s="128"/>
      <c r="D981" s="128"/>
      <c r="E981" s="134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  <c r="AA981" s="128"/>
    </row>
    <row r="982" customFormat="false" ht="15.75" hidden="false" customHeight="false" outlineLevel="0" collapsed="false">
      <c r="A982" s="128" t="str">
        <f aca="false">IF(ISBLANK(B982),"",B982&amp;"|"&amp;C982)</f>
        <v/>
      </c>
      <c r="B982" s="128"/>
      <c r="C982" s="128"/>
      <c r="D982" s="128"/>
      <c r="E982" s="134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</row>
    <row r="983" customFormat="false" ht="15.75" hidden="false" customHeight="false" outlineLevel="0" collapsed="false">
      <c r="A983" s="128" t="str">
        <f aca="false">IF(ISBLANK(B983),"",B983&amp;"|"&amp;C983)</f>
        <v/>
      </c>
      <c r="B983" s="128"/>
      <c r="C983" s="128"/>
      <c r="D983" s="128"/>
      <c r="E983" s="134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</row>
    <row r="984" customFormat="false" ht="15.75" hidden="false" customHeight="false" outlineLevel="0" collapsed="false">
      <c r="A984" s="128" t="str">
        <f aca="false">IF(ISBLANK(B984),"",B984&amp;"|"&amp;C984)</f>
        <v/>
      </c>
      <c r="B984" s="128"/>
      <c r="C984" s="128"/>
      <c r="D984" s="128"/>
      <c r="E984" s="134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</row>
    <row r="985" customFormat="false" ht="15.75" hidden="false" customHeight="false" outlineLevel="0" collapsed="false">
      <c r="A985" s="128" t="str">
        <f aca="false">IF(ISBLANK(B985),"",B985&amp;"|"&amp;C985)</f>
        <v/>
      </c>
      <c r="B985" s="128"/>
      <c r="C985" s="128"/>
      <c r="D985" s="128"/>
      <c r="E985" s="134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  <c r="AA985" s="128"/>
    </row>
    <row r="986" customFormat="false" ht="15.75" hidden="false" customHeight="false" outlineLevel="0" collapsed="false">
      <c r="A986" s="128" t="str">
        <f aca="false">IF(ISBLANK(B986),"",B986&amp;"|"&amp;C986)</f>
        <v/>
      </c>
      <c r="B986" s="128"/>
      <c r="C986" s="128"/>
      <c r="D986" s="128"/>
      <c r="E986" s="134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  <c r="AA986" s="128"/>
    </row>
    <row r="987" customFormat="false" ht="15.75" hidden="false" customHeight="false" outlineLevel="0" collapsed="false">
      <c r="A987" s="128" t="str">
        <f aca="false">IF(ISBLANK(B987),"",B987&amp;"|"&amp;C987)</f>
        <v/>
      </c>
      <c r="B987" s="128"/>
      <c r="C987" s="128"/>
      <c r="D987" s="128"/>
      <c r="E987" s="134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</row>
    <row r="988" customFormat="false" ht="15.75" hidden="false" customHeight="false" outlineLevel="0" collapsed="false">
      <c r="A988" s="128" t="str">
        <f aca="false">IF(ISBLANK(B988),"",B988&amp;"|"&amp;C988)</f>
        <v/>
      </c>
      <c r="B988" s="128"/>
      <c r="C988" s="128"/>
      <c r="D988" s="128"/>
      <c r="E988" s="134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  <c r="AA988" s="128"/>
    </row>
    <row r="989" customFormat="false" ht="15.75" hidden="false" customHeight="false" outlineLevel="0" collapsed="false">
      <c r="A989" s="128" t="str">
        <f aca="false">IF(ISBLANK(B989),"",B989&amp;"|"&amp;C989)</f>
        <v/>
      </c>
      <c r="B989" s="128"/>
      <c r="C989" s="128"/>
      <c r="D989" s="128"/>
      <c r="E989" s="134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</row>
    <row r="990" customFormat="false" ht="15.75" hidden="false" customHeight="false" outlineLevel="0" collapsed="false">
      <c r="A990" s="128" t="str">
        <f aca="false">IF(ISBLANK(B990),"",B990&amp;"|"&amp;C990)</f>
        <v/>
      </c>
      <c r="B990" s="128"/>
      <c r="C990" s="128"/>
      <c r="D990" s="128"/>
      <c r="E990" s="134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</row>
    <row r="991" customFormat="false" ht="15.75" hidden="false" customHeight="false" outlineLevel="0" collapsed="false">
      <c r="A991" s="128" t="str">
        <f aca="false">IF(ISBLANK(B991),"",B991&amp;"|"&amp;C991)</f>
        <v/>
      </c>
      <c r="B991" s="128"/>
      <c r="C991" s="128"/>
      <c r="D991" s="128"/>
      <c r="E991" s="134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</row>
    <row r="992" customFormat="false" ht="15.75" hidden="false" customHeight="false" outlineLevel="0" collapsed="false">
      <c r="A992" s="128" t="str">
        <f aca="false">IF(ISBLANK(B992),"",B992&amp;"|"&amp;C992)</f>
        <v/>
      </c>
      <c r="B992" s="128"/>
      <c r="C992" s="128"/>
      <c r="D992" s="128"/>
      <c r="E992" s="134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</row>
    <row r="993" customFormat="false" ht="15.75" hidden="false" customHeight="false" outlineLevel="0" collapsed="false">
      <c r="A993" s="128" t="str">
        <f aca="false">IF(ISBLANK(B993),"",B993&amp;"|"&amp;C993)</f>
        <v/>
      </c>
      <c r="B993" s="128"/>
      <c r="C993" s="128"/>
      <c r="D993" s="128"/>
      <c r="E993" s="134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</row>
    <row r="994" customFormat="false" ht="15.75" hidden="false" customHeight="false" outlineLevel="0" collapsed="false">
      <c r="A994" s="128" t="str">
        <f aca="false">IF(ISBLANK(B994),"",B994&amp;"|"&amp;C994)</f>
        <v/>
      </c>
      <c r="B994" s="128"/>
      <c r="C994" s="128"/>
      <c r="D994" s="128"/>
      <c r="E994" s="134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</row>
    <row r="995" customFormat="false" ht="15.75" hidden="false" customHeight="false" outlineLevel="0" collapsed="false">
      <c r="A995" s="128" t="str">
        <f aca="false">IF(ISBLANK(B995),"",B995&amp;"|"&amp;C995)</f>
        <v/>
      </c>
      <c r="B995" s="128"/>
      <c r="C995" s="128"/>
      <c r="D995" s="128"/>
      <c r="E995" s="134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</row>
    <row r="996" customFormat="false" ht="15.75" hidden="false" customHeight="false" outlineLevel="0" collapsed="false">
      <c r="A996" s="128" t="str">
        <f aca="false">IF(ISBLANK(B996),"",B996&amp;"|"&amp;C996)</f>
        <v/>
      </c>
      <c r="B996" s="128"/>
      <c r="C996" s="128"/>
      <c r="D996" s="128"/>
      <c r="E996" s="134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</row>
    <row r="997" customFormat="false" ht="15.75" hidden="false" customHeight="false" outlineLevel="0" collapsed="false">
      <c r="A997" s="128" t="str">
        <f aca="false">IF(ISBLANK(B997),"",B997&amp;"|"&amp;C997)</f>
        <v/>
      </c>
      <c r="B997" s="128"/>
      <c r="C997" s="128"/>
      <c r="D997" s="128"/>
      <c r="E997" s="134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</row>
    <row r="998" customFormat="false" ht="15.75" hidden="false" customHeight="false" outlineLevel="0" collapsed="false">
      <c r="A998" s="128" t="str">
        <f aca="false">IF(ISBLANK(B998),"",B998&amp;"|"&amp;C998)</f>
        <v/>
      </c>
      <c r="B998" s="128"/>
      <c r="C998" s="128"/>
      <c r="D998" s="128"/>
      <c r="E998" s="134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</row>
    <row r="999" customFormat="false" ht="15.75" hidden="false" customHeight="false" outlineLevel="0" collapsed="false">
      <c r="A999" s="128" t="str">
        <f aca="false">IF(ISBLANK(B999),"",B999&amp;"|"&amp;C999)</f>
        <v/>
      </c>
      <c r="B999" s="128"/>
      <c r="C999" s="128"/>
      <c r="D999" s="128"/>
      <c r="E999" s="134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</row>
    <row r="1000" customFormat="false" ht="15.75" hidden="false" customHeight="false" outlineLevel="0" collapsed="false">
      <c r="A1000" s="128" t="str">
        <f aca="false">IF(ISBLANK(B1000),"",B1000&amp;"|"&amp;C1000)</f>
        <v/>
      </c>
      <c r="B1000" s="128"/>
      <c r="C1000" s="128"/>
      <c r="D1000" s="128"/>
      <c r="E1000" s="134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8" t="s">
        <v>84</v>
      </c>
      <c r="B1" s="128" t="s">
        <v>85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86</v>
      </c>
      <c r="B2" s="135" t="n">
        <v>45910</v>
      </c>
      <c r="C2" s="128"/>
      <c r="D2" s="128" t="s">
        <v>87</v>
      </c>
      <c r="E2" s="128" t="s">
        <v>88</v>
      </c>
      <c r="F2" s="128" t="s">
        <v>89</v>
      </c>
      <c r="G2" s="128" t="s">
        <v>90</v>
      </c>
      <c r="H2" s="128" t="s">
        <v>91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92</v>
      </c>
      <c r="B3" s="128" t="s">
        <v>93</v>
      </c>
      <c r="C3" s="128"/>
      <c r="D3" s="128" t="n">
        <f aca="false">FIND(".",B3)</f>
        <v>2</v>
      </c>
      <c r="E3" s="128" t="n">
        <f aca="false">FIND(".",B3,D3+1)</f>
        <v>4</v>
      </c>
      <c r="F3" s="128" t="str">
        <f aca="false">LEFT(B3,D3-1)</f>
        <v>0</v>
      </c>
      <c r="G3" s="128" t="str">
        <f aca="false">MID(B3,D3+1,E3-D3-1)</f>
        <v>1</v>
      </c>
      <c r="H3" s="128" t="str">
        <f aca="false">RIGHT(B3,LEN(B3)-E3)</f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94</v>
      </c>
      <c r="B4" s="128" t="s">
        <v>95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 t="s">
        <v>96</v>
      </c>
      <c r="B5" s="128" t="n">
        <v>2026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 t="s">
        <v>97</v>
      </c>
      <c r="B6" s="128" t="str">
        <f aca="false">B1&amp;"|"&amp;B4</f>
        <v>Thermodynamics|B/C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 t="s">
        <v>98</v>
      </c>
      <c r="B7" s="128"/>
      <c r="C7" s="128"/>
      <c r="D7" s="128" t="e">
        <f aca="false">FIND(".",B7)</f>
        <v>#VALUE!</v>
      </c>
      <c r="E7" s="128" t="e">
        <f aca="false">FIND(".",B7,D7+1)</f>
        <v>#VALUE!</v>
      </c>
      <c r="F7" s="128" t="e">
        <f aca="false">LEFT(B7,D7-1)</f>
        <v>#VALUE!</v>
      </c>
      <c r="G7" s="128" t="e">
        <f aca="false">MID(B7,D7+1,E7-D7-1)</f>
        <v>#VALUE!</v>
      </c>
      <c r="H7" s="128" t="e">
        <f aca="false">RIGHT(B7,LEN(B7)-E7)</f>
        <v>#VALUE!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 t="s">
        <v>99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  <row r="1001" customFormat="false" ht="15.75" hidden="false" customHeight="false" outlineLevel="0" collapsed="false">
      <c r="A1001" s="128"/>
      <c r="B1001" s="128"/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8" t="s">
        <v>100</v>
      </c>
      <c r="B1" s="128" t="s">
        <v>101</v>
      </c>
      <c r="C1" s="128" t="s">
        <v>31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102</v>
      </c>
      <c r="B2" s="128" t="s">
        <v>102</v>
      </c>
      <c r="C2" s="128" t="s">
        <v>30</v>
      </c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103</v>
      </c>
      <c r="B3" s="128" t="s">
        <v>104</v>
      </c>
      <c r="C3" s="128" t="s">
        <v>33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104</v>
      </c>
      <c r="B4" s="128"/>
      <c r="C4" s="128" t="s">
        <v>27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/>
      <c r="B5" s="128"/>
      <c r="C5" s="128" t="s">
        <v>40</v>
      </c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/>
      <c r="B6" s="128"/>
      <c r="C6" s="128" t="s">
        <v>32</v>
      </c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/>
      <c r="B7" s="128"/>
      <c r="C7" s="128" t="s">
        <v>34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 t="s">
        <v>29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 t="s">
        <v>28</v>
      </c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31</v>
      </c>
      <c r="B1" s="136" t="s">
        <v>30</v>
      </c>
      <c r="C1" s="136" t="s">
        <v>33</v>
      </c>
      <c r="D1" s="136" t="s">
        <v>27</v>
      </c>
      <c r="E1" s="136" t="s">
        <v>40</v>
      </c>
      <c r="F1" s="136" t="s">
        <v>32</v>
      </c>
      <c r="G1" s="136" t="s">
        <v>34</v>
      </c>
      <c r="H1" s="136" t="s">
        <v>29</v>
      </c>
      <c r="I1" s="136" t="s">
        <v>28</v>
      </c>
    </row>
    <row r="2" customFormat="false" ht="15.75" hidden="false" customHeight="false" outlineLevel="0" collapsed="false">
      <c r="A2" s="136" t="n">
        <f aca="false">Scoring!BF8</f>
        <v>1</v>
      </c>
      <c r="B2" s="136" t="n">
        <f aca="false">Scoring!BE8</f>
        <v>1</v>
      </c>
      <c r="C2" s="136" t="str">
        <f aca="false">Scoring!C8</f>
        <v>c</v>
      </c>
      <c r="D2" s="137" t="n">
        <f aca="false">Scoring!BB8</f>
        <v>50</v>
      </c>
      <c r="E2" s="136" t="str">
        <f aca="false">Scoring!AE8</f>
        <v>C</v>
      </c>
      <c r="F2" s="136" t="n">
        <f aca="false">Scoring!B8</f>
        <v>0</v>
      </c>
      <c r="G2" s="136" t="n">
        <f aca="false">Scoring!D8</f>
        <v>0</v>
      </c>
      <c r="H2" s="136" t="n">
        <f aca="false">Scoring!BD8</f>
        <v>0</v>
      </c>
      <c r="I2" s="138" t="n">
        <f aca="false">Scoring!BC8</f>
        <v>1</v>
      </c>
    </row>
    <row r="3" customFormat="false" ht="15.75" hidden="false" customHeight="false" outlineLevel="0" collapsed="false">
      <c r="A3" s="136" t="n">
        <f aca="false">Scoring!BF9</f>
        <v>1</v>
      </c>
      <c r="B3" s="136" t="n">
        <f aca="false">Scoring!BE9</f>
        <v>1</v>
      </c>
      <c r="C3" s="136" t="str">
        <f aca="false">Scoring!C9</f>
        <v>b</v>
      </c>
      <c r="D3" s="137" t="n">
        <f aca="false">Scoring!BB9</f>
        <v>50</v>
      </c>
      <c r="E3" s="136" t="str">
        <f aca="false">Scoring!AE9</f>
        <v>C</v>
      </c>
      <c r="F3" s="136" t="n">
        <f aca="false">Scoring!B9</f>
        <v>0</v>
      </c>
      <c r="G3" s="136" t="n">
        <f aca="false">Scoring!D9</f>
        <v>0</v>
      </c>
      <c r="H3" s="136" t="n">
        <f aca="false">Scoring!BD9</f>
        <v>0</v>
      </c>
      <c r="I3" s="138" t="n">
        <f aca="false">Scoring!BC9</f>
        <v>1</v>
      </c>
    </row>
    <row r="4" customFormat="false" ht="15.75" hidden="false" customHeight="false" outlineLevel="0" collapsed="false">
      <c r="A4" s="136" t="n">
        <f aca="false">Scoring!BF10</f>
        <v>5</v>
      </c>
      <c r="B4" s="136" t="str">
        <f aca="false">Scoring!BE10</f>
        <v>NS</v>
      </c>
      <c r="C4" s="136" t="str">
        <f aca="false">Scoring!C10</f>
        <v>d</v>
      </c>
      <c r="D4" s="137" t="str">
        <f aca="false">Scoring!BB10</f>
        <v>NS</v>
      </c>
      <c r="E4" s="136" t="str">
        <f aca="false">Scoring!AE10</f>
        <v>NS</v>
      </c>
      <c r="F4" s="136" t="n">
        <f aca="false">Scoring!B10</f>
        <v>0</v>
      </c>
      <c r="G4" s="136" t="n">
        <f aca="false">Scoring!D10</f>
        <v>0</v>
      </c>
      <c r="H4" s="136" t="str">
        <f aca="false">Scoring!BD10</f>
        <v>NS</v>
      </c>
      <c r="I4" s="138" t="str">
        <f aca="false">Scoring!BC10</f>
        <v>NS</v>
      </c>
    </row>
    <row r="5" customFormat="false" ht="15.75" hidden="false" customHeight="false" outlineLevel="0" collapsed="false">
      <c r="A5" s="136" t="n">
        <f aca="false">Scoring!BF11</f>
        <v>5</v>
      </c>
      <c r="B5" s="136" t="str">
        <f aca="false">Scoring!BE11</f>
        <v>NS</v>
      </c>
      <c r="C5" s="136" t="str">
        <f aca="false">Scoring!C11</f>
        <v>e</v>
      </c>
      <c r="D5" s="137" t="str">
        <f aca="false">Scoring!BB11</f>
        <v>NS</v>
      </c>
      <c r="E5" s="136" t="str">
        <f aca="false">Scoring!AE11</f>
        <v>NS</v>
      </c>
      <c r="F5" s="136" t="n">
        <f aca="false">Scoring!B11</f>
        <v>0</v>
      </c>
      <c r="G5" s="136" t="n">
        <f aca="false">Scoring!D11</f>
        <v>0</v>
      </c>
      <c r="H5" s="136" t="str">
        <f aca="false">Scoring!BD11</f>
        <v>NS</v>
      </c>
      <c r="I5" s="138" t="str">
        <f aca="false">Scoring!BC11</f>
        <v>NS</v>
      </c>
    </row>
    <row r="6" customFormat="false" ht="15.75" hidden="false" customHeight="false" outlineLevel="0" collapsed="false">
      <c r="A6" s="136" t="str">
        <f aca="false">Scoring!BF12</f>
        <v/>
      </c>
      <c r="B6" s="136" t="str">
        <f aca="false">Scoring!BE12</f>
        <v/>
      </c>
      <c r="C6" s="136" t="n">
        <f aca="false">Scoring!C12</f>
        <v>0</v>
      </c>
      <c r="D6" s="137" t="str">
        <f aca="false">Scoring!BB12</f>
        <v/>
      </c>
      <c r="E6" s="136" t="str">
        <f aca="false">Scoring!AE12</f>
        <v/>
      </c>
      <c r="F6" s="136" t="n">
        <f aca="false">Scoring!B12</f>
        <v>0</v>
      </c>
      <c r="G6" s="136" t="n">
        <f aca="false">Scoring!D12</f>
        <v>0</v>
      </c>
      <c r="H6" s="136" t="str">
        <f aca="false">Scoring!BD12</f>
        <v/>
      </c>
      <c r="I6" s="138" t="str">
        <f aca="false">Scoring!BC12</f>
        <v/>
      </c>
    </row>
    <row r="7" customFormat="false" ht="15.75" hidden="false" customHeight="false" outlineLevel="0" collapsed="false">
      <c r="A7" s="136" t="str">
        <f aca="false">Scoring!BF13</f>
        <v/>
      </c>
      <c r="B7" s="136" t="str">
        <f aca="false">Scoring!BE13</f>
        <v/>
      </c>
      <c r="C7" s="136" t="n">
        <f aca="false">Scoring!C13</f>
        <v>0</v>
      </c>
      <c r="D7" s="137" t="str">
        <f aca="false">Scoring!BB13</f>
        <v/>
      </c>
      <c r="E7" s="136" t="str">
        <f aca="false">Scoring!AE13</f>
        <v/>
      </c>
      <c r="F7" s="136" t="n">
        <f aca="false">Scoring!B13</f>
        <v>0</v>
      </c>
      <c r="G7" s="136" t="n">
        <f aca="false">Scoring!D13</f>
        <v>0</v>
      </c>
      <c r="H7" s="136" t="str">
        <f aca="false">Scoring!BD13</f>
        <v/>
      </c>
      <c r="I7" s="138" t="str">
        <f aca="false">Scoring!BC13</f>
        <v/>
      </c>
    </row>
    <row r="8" customFormat="false" ht="15.75" hidden="false" customHeight="false" outlineLevel="0" collapsed="false">
      <c r="A8" s="136" t="str">
        <f aca="false">Scoring!BF14</f>
        <v/>
      </c>
      <c r="B8" s="136" t="str">
        <f aca="false">Scoring!BE14</f>
        <v/>
      </c>
      <c r="C8" s="136" t="n">
        <f aca="false">Scoring!C14</f>
        <v>0</v>
      </c>
      <c r="D8" s="137" t="str">
        <f aca="false">Scoring!BB14</f>
        <v/>
      </c>
      <c r="E8" s="136" t="str">
        <f aca="false">Scoring!AE14</f>
        <v/>
      </c>
      <c r="F8" s="136" t="n">
        <f aca="false">Scoring!B14</f>
        <v>0</v>
      </c>
      <c r="G8" s="136" t="n">
        <f aca="false">Scoring!D14</f>
        <v>0</v>
      </c>
      <c r="H8" s="136" t="str">
        <f aca="false">Scoring!BD14</f>
        <v/>
      </c>
      <c r="I8" s="138" t="str">
        <f aca="false">Scoring!BC14</f>
        <v/>
      </c>
    </row>
    <row r="9" customFormat="false" ht="15.75" hidden="false" customHeight="false" outlineLevel="0" collapsed="false">
      <c r="A9" s="136" t="str">
        <f aca="false">Scoring!BF15</f>
        <v/>
      </c>
      <c r="B9" s="136" t="str">
        <f aca="false">Scoring!BE15</f>
        <v/>
      </c>
      <c r="C9" s="136" t="n">
        <f aca="false">Scoring!C15</f>
        <v>0</v>
      </c>
      <c r="D9" s="137" t="str">
        <f aca="false">Scoring!BB15</f>
        <v/>
      </c>
      <c r="E9" s="136" t="str">
        <f aca="false">Scoring!AE15</f>
        <v/>
      </c>
      <c r="F9" s="136" t="n">
        <f aca="false">Scoring!B15</f>
        <v>0</v>
      </c>
      <c r="G9" s="136" t="n">
        <f aca="false">Scoring!D15</f>
        <v>0</v>
      </c>
      <c r="H9" s="136" t="str">
        <f aca="false">Scoring!BD15</f>
        <v/>
      </c>
      <c r="I9" s="138" t="str">
        <f aca="false">Scoring!BC15</f>
        <v/>
      </c>
    </row>
    <row r="10" customFormat="false" ht="15.75" hidden="false" customHeight="false" outlineLevel="0" collapsed="false">
      <c r="A10" s="136" t="str">
        <f aca="false">Scoring!BF16</f>
        <v/>
      </c>
      <c r="B10" s="136" t="str">
        <f aca="false">Scoring!BE16</f>
        <v/>
      </c>
      <c r="C10" s="136" t="n">
        <f aca="false">Scoring!C16</f>
        <v>0</v>
      </c>
      <c r="D10" s="137" t="str">
        <f aca="false">Scoring!BB16</f>
        <v/>
      </c>
      <c r="E10" s="136" t="str">
        <f aca="false">Scoring!AE16</f>
        <v/>
      </c>
      <c r="F10" s="136" t="n">
        <f aca="false">Scoring!B16</f>
        <v>0</v>
      </c>
      <c r="G10" s="136" t="n">
        <f aca="false">Scoring!D16</f>
        <v>0</v>
      </c>
      <c r="H10" s="136" t="str">
        <f aca="false">Scoring!BD16</f>
        <v/>
      </c>
      <c r="I10" s="138" t="str">
        <f aca="false">Scoring!BC16</f>
        <v/>
      </c>
    </row>
    <row r="11" customFormat="false" ht="15.75" hidden="false" customHeight="false" outlineLevel="0" collapsed="false">
      <c r="A11" s="136" t="str">
        <f aca="false">Scoring!BF17</f>
        <v/>
      </c>
      <c r="B11" s="136" t="str">
        <f aca="false">Scoring!BE17</f>
        <v/>
      </c>
      <c r="C11" s="136" t="n">
        <f aca="false">Scoring!C17</f>
        <v>0</v>
      </c>
      <c r="D11" s="137" t="str">
        <f aca="false">Scoring!BB17</f>
        <v/>
      </c>
      <c r="E11" s="136" t="str">
        <f aca="false">Scoring!AE17</f>
        <v/>
      </c>
      <c r="F11" s="136" t="n">
        <f aca="false">Scoring!B17</f>
        <v>0</v>
      </c>
      <c r="G11" s="136" t="n">
        <f aca="false">Scoring!D17</f>
        <v>0</v>
      </c>
      <c r="H11" s="136" t="str">
        <f aca="false">Scoring!BD17</f>
        <v/>
      </c>
      <c r="I11" s="138" t="str">
        <f aca="false">Scoring!BC17</f>
        <v/>
      </c>
    </row>
    <row r="12" customFormat="false" ht="15.75" hidden="false" customHeight="false" outlineLevel="0" collapsed="false">
      <c r="A12" s="136" t="str">
        <f aca="false">Scoring!BF18</f>
        <v/>
      </c>
      <c r="B12" s="136" t="str">
        <f aca="false">Scoring!BE18</f>
        <v/>
      </c>
      <c r="C12" s="136" t="n">
        <f aca="false">Scoring!C18</f>
        <v>0</v>
      </c>
      <c r="D12" s="137" t="str">
        <f aca="false">Scoring!BB18</f>
        <v/>
      </c>
      <c r="E12" s="136" t="str">
        <f aca="false">Scoring!AE18</f>
        <v/>
      </c>
      <c r="F12" s="136" t="n">
        <f aca="false">Scoring!B18</f>
        <v>0</v>
      </c>
      <c r="G12" s="136" t="n">
        <f aca="false">Scoring!D18</f>
        <v>0</v>
      </c>
      <c r="H12" s="136" t="str">
        <f aca="false">Scoring!BD18</f>
        <v/>
      </c>
      <c r="I12" s="138" t="str">
        <f aca="false">Scoring!BC18</f>
        <v/>
      </c>
    </row>
    <row r="13" customFormat="false" ht="15.75" hidden="false" customHeight="false" outlineLevel="0" collapsed="false">
      <c r="A13" s="136" t="str">
        <f aca="false">Scoring!BF19</f>
        <v/>
      </c>
      <c r="B13" s="136" t="str">
        <f aca="false">Scoring!BE19</f>
        <v/>
      </c>
      <c r="C13" s="136" t="n">
        <f aca="false">Scoring!C19</f>
        <v>0</v>
      </c>
      <c r="D13" s="137" t="str">
        <f aca="false">Scoring!BB19</f>
        <v/>
      </c>
      <c r="E13" s="136" t="str">
        <f aca="false">Scoring!AE19</f>
        <v/>
      </c>
      <c r="F13" s="136" t="n">
        <f aca="false">Scoring!B19</f>
        <v>0</v>
      </c>
      <c r="G13" s="136" t="n">
        <f aca="false">Scoring!D19</f>
        <v>0</v>
      </c>
      <c r="H13" s="136" t="str">
        <f aca="false">Scoring!BD19</f>
        <v/>
      </c>
      <c r="I13" s="138" t="str">
        <f aca="false">Scoring!BC19</f>
        <v/>
      </c>
    </row>
    <row r="14" customFormat="false" ht="15.75" hidden="false" customHeight="false" outlineLevel="0" collapsed="false">
      <c r="A14" s="136" t="str">
        <f aca="false">Scoring!BF20</f>
        <v/>
      </c>
      <c r="B14" s="136" t="str">
        <f aca="false">Scoring!BE20</f>
        <v/>
      </c>
      <c r="C14" s="136" t="n">
        <f aca="false">Scoring!C20</f>
        <v>0</v>
      </c>
      <c r="D14" s="137" t="str">
        <f aca="false">Scoring!BB20</f>
        <v/>
      </c>
      <c r="E14" s="136" t="str">
        <f aca="false">Scoring!AE20</f>
        <v/>
      </c>
      <c r="F14" s="136" t="n">
        <f aca="false">Scoring!B20</f>
        <v>0</v>
      </c>
      <c r="G14" s="136" t="n">
        <f aca="false">Scoring!D20</f>
        <v>0</v>
      </c>
      <c r="H14" s="136" t="str">
        <f aca="false">Scoring!BD20</f>
        <v/>
      </c>
      <c r="I14" s="138" t="str">
        <f aca="false">Scoring!BC20</f>
        <v/>
      </c>
    </row>
    <row r="15" customFormat="false" ht="15.75" hidden="false" customHeight="false" outlineLevel="0" collapsed="false">
      <c r="A15" s="136" t="str">
        <f aca="false">Scoring!BF21</f>
        <v/>
      </c>
      <c r="B15" s="136" t="str">
        <f aca="false">Scoring!BE21</f>
        <v/>
      </c>
      <c r="C15" s="136" t="n">
        <f aca="false">Scoring!C21</f>
        <v>0</v>
      </c>
      <c r="D15" s="137" t="str">
        <f aca="false">Scoring!BB21</f>
        <v/>
      </c>
      <c r="E15" s="136" t="str">
        <f aca="false">Scoring!AE21</f>
        <v/>
      </c>
      <c r="F15" s="136" t="n">
        <f aca="false">Scoring!B21</f>
        <v>0</v>
      </c>
      <c r="G15" s="136" t="n">
        <f aca="false">Scoring!D21</f>
        <v>0</v>
      </c>
      <c r="H15" s="136" t="str">
        <f aca="false">Scoring!BD21</f>
        <v/>
      </c>
      <c r="I15" s="138" t="str">
        <f aca="false">Scoring!BC21</f>
        <v/>
      </c>
    </row>
    <row r="16" customFormat="false" ht="15.75" hidden="false" customHeight="false" outlineLevel="0" collapsed="false">
      <c r="A16" s="136" t="str">
        <f aca="false">Scoring!BF22</f>
        <v/>
      </c>
      <c r="B16" s="136" t="str">
        <f aca="false">Scoring!BE22</f>
        <v/>
      </c>
      <c r="C16" s="136" t="n">
        <f aca="false">Scoring!C22</f>
        <v>0</v>
      </c>
      <c r="D16" s="137" t="str">
        <f aca="false">Scoring!BB22</f>
        <v/>
      </c>
      <c r="E16" s="136" t="str">
        <f aca="false">Scoring!AE22</f>
        <v/>
      </c>
      <c r="F16" s="136" t="n">
        <f aca="false">Scoring!B22</f>
        <v>0</v>
      </c>
      <c r="G16" s="136" t="n">
        <f aca="false">Scoring!D22</f>
        <v>0</v>
      </c>
      <c r="H16" s="136" t="str">
        <f aca="false">Scoring!BD22</f>
        <v/>
      </c>
      <c r="I16" s="138" t="str">
        <f aca="false">Scoring!BC22</f>
        <v/>
      </c>
    </row>
    <row r="17" customFormat="false" ht="15.75" hidden="false" customHeight="false" outlineLevel="0" collapsed="false">
      <c r="A17" s="136" t="str">
        <f aca="false">Scoring!BF23</f>
        <v/>
      </c>
      <c r="B17" s="136" t="str">
        <f aca="false">Scoring!BE23</f>
        <v/>
      </c>
      <c r="C17" s="136" t="n">
        <f aca="false">Scoring!C23</f>
        <v>0</v>
      </c>
      <c r="D17" s="137" t="str">
        <f aca="false">Scoring!BB23</f>
        <v/>
      </c>
      <c r="E17" s="136" t="str">
        <f aca="false">Scoring!AE23</f>
        <v/>
      </c>
      <c r="F17" s="136" t="n">
        <f aca="false">Scoring!B23</f>
        <v>0</v>
      </c>
      <c r="G17" s="136" t="n">
        <f aca="false">Scoring!D23</f>
        <v>0</v>
      </c>
      <c r="H17" s="136" t="str">
        <f aca="false">Scoring!BD23</f>
        <v/>
      </c>
      <c r="I17" s="138" t="str">
        <f aca="false">Scoring!BC23</f>
        <v/>
      </c>
    </row>
    <row r="18" customFormat="false" ht="15.75" hidden="false" customHeight="false" outlineLevel="0" collapsed="false">
      <c r="A18" s="136" t="str">
        <f aca="false">Scoring!BF24</f>
        <v/>
      </c>
      <c r="B18" s="136" t="str">
        <f aca="false">Scoring!BE24</f>
        <v/>
      </c>
      <c r="C18" s="136" t="n">
        <f aca="false">Scoring!C24</f>
        <v>0</v>
      </c>
      <c r="D18" s="137" t="str">
        <f aca="false">Scoring!BB24</f>
        <v/>
      </c>
      <c r="E18" s="136" t="str">
        <f aca="false">Scoring!AE24</f>
        <v/>
      </c>
      <c r="F18" s="136" t="n">
        <f aca="false">Scoring!B24</f>
        <v>0</v>
      </c>
      <c r="G18" s="136" t="n">
        <f aca="false">Scoring!D24</f>
        <v>0</v>
      </c>
      <c r="H18" s="136" t="str">
        <f aca="false">Scoring!BD24</f>
        <v/>
      </c>
      <c r="I18" s="138" t="str">
        <f aca="false">Scoring!BC24</f>
        <v/>
      </c>
    </row>
    <row r="19" customFormat="false" ht="15.75" hidden="false" customHeight="false" outlineLevel="0" collapsed="false">
      <c r="A19" s="136" t="str">
        <f aca="false">Scoring!BF25</f>
        <v/>
      </c>
      <c r="B19" s="136" t="str">
        <f aca="false">Scoring!BE25</f>
        <v/>
      </c>
      <c r="C19" s="136" t="n">
        <f aca="false">Scoring!C25</f>
        <v>0</v>
      </c>
      <c r="D19" s="137" t="str">
        <f aca="false">Scoring!BB25</f>
        <v/>
      </c>
      <c r="E19" s="136" t="str">
        <f aca="false">Scoring!AE25</f>
        <v/>
      </c>
      <c r="F19" s="136" t="n">
        <f aca="false">Scoring!B25</f>
        <v>0</v>
      </c>
      <c r="G19" s="136" t="n">
        <f aca="false">Scoring!D25</f>
        <v>0</v>
      </c>
      <c r="H19" s="136" t="str">
        <f aca="false">Scoring!BD25</f>
        <v/>
      </c>
      <c r="I19" s="138" t="str">
        <f aca="false">Scoring!BC25</f>
        <v/>
      </c>
    </row>
    <row r="20" customFormat="false" ht="15.75" hidden="false" customHeight="false" outlineLevel="0" collapsed="false">
      <c r="A20" s="136" t="str">
        <f aca="false">Scoring!BF26</f>
        <v/>
      </c>
      <c r="B20" s="136" t="str">
        <f aca="false">Scoring!BE26</f>
        <v/>
      </c>
      <c r="C20" s="136" t="n">
        <f aca="false">Scoring!C26</f>
        <v>0</v>
      </c>
      <c r="D20" s="137" t="str">
        <f aca="false">Scoring!BB26</f>
        <v/>
      </c>
      <c r="E20" s="136" t="str">
        <f aca="false">Scoring!AE26</f>
        <v/>
      </c>
      <c r="F20" s="136" t="n">
        <f aca="false">Scoring!B26</f>
        <v>0</v>
      </c>
      <c r="G20" s="136" t="n">
        <f aca="false">Scoring!D26</f>
        <v>0</v>
      </c>
      <c r="H20" s="136" t="str">
        <f aca="false">Scoring!BD26</f>
        <v/>
      </c>
      <c r="I20" s="138" t="str">
        <f aca="false">Scoring!BC26</f>
        <v/>
      </c>
    </row>
    <row r="21" customFormat="false" ht="15.75" hidden="false" customHeight="false" outlineLevel="0" collapsed="false">
      <c r="A21" s="136" t="str">
        <f aca="false">Scoring!BF27</f>
        <v/>
      </c>
      <c r="B21" s="136" t="str">
        <f aca="false">Scoring!BE27</f>
        <v/>
      </c>
      <c r="C21" s="136" t="n">
        <f aca="false">Scoring!C27</f>
        <v>0</v>
      </c>
      <c r="D21" s="137" t="str">
        <f aca="false">Scoring!BB27</f>
        <v/>
      </c>
      <c r="E21" s="136" t="str">
        <f aca="false">Scoring!AE27</f>
        <v/>
      </c>
      <c r="F21" s="136" t="n">
        <f aca="false">Scoring!B27</f>
        <v>0</v>
      </c>
      <c r="G21" s="136" t="n">
        <f aca="false">Scoring!D27</f>
        <v>0</v>
      </c>
      <c r="H21" s="136" t="str">
        <f aca="false">Scoring!BD27</f>
        <v/>
      </c>
      <c r="I21" s="138" t="str">
        <f aca="false">Scoring!BC27</f>
        <v/>
      </c>
    </row>
    <row r="22" customFormat="false" ht="15.75" hidden="false" customHeight="false" outlineLevel="0" collapsed="false">
      <c r="A22" s="136" t="str">
        <f aca="false">Scoring!BF28</f>
        <v/>
      </c>
      <c r="B22" s="136" t="str">
        <f aca="false">Scoring!BE28</f>
        <v/>
      </c>
      <c r="C22" s="136" t="n">
        <f aca="false">Scoring!C28</f>
        <v>0</v>
      </c>
      <c r="D22" s="137" t="str">
        <f aca="false">Scoring!BB28</f>
        <v/>
      </c>
      <c r="E22" s="136" t="str">
        <f aca="false">Scoring!AE28</f>
        <v/>
      </c>
      <c r="F22" s="136" t="n">
        <f aca="false">Scoring!B28</f>
        <v>0</v>
      </c>
      <c r="G22" s="136" t="n">
        <f aca="false">Scoring!D28</f>
        <v>0</v>
      </c>
      <c r="H22" s="136" t="str">
        <f aca="false">Scoring!BD28</f>
        <v/>
      </c>
      <c r="I22" s="138" t="str">
        <f aca="false">Scoring!BC28</f>
        <v/>
      </c>
    </row>
    <row r="23" customFormat="false" ht="15.75" hidden="false" customHeight="false" outlineLevel="0" collapsed="false">
      <c r="A23" s="136" t="str">
        <f aca="false">Scoring!BF29</f>
        <v/>
      </c>
      <c r="B23" s="136" t="str">
        <f aca="false">Scoring!BE29</f>
        <v/>
      </c>
      <c r="C23" s="136" t="n">
        <f aca="false">Scoring!C29</f>
        <v>0</v>
      </c>
      <c r="D23" s="137" t="str">
        <f aca="false">Scoring!BB29</f>
        <v/>
      </c>
      <c r="E23" s="136" t="str">
        <f aca="false">Scoring!AE29</f>
        <v/>
      </c>
      <c r="F23" s="136" t="n">
        <f aca="false">Scoring!B29</f>
        <v>0</v>
      </c>
      <c r="G23" s="136" t="n">
        <f aca="false">Scoring!D29</f>
        <v>0</v>
      </c>
      <c r="H23" s="136" t="str">
        <f aca="false">Scoring!BD29</f>
        <v/>
      </c>
      <c r="I23" s="138" t="str">
        <f aca="false">Scoring!BC29</f>
        <v/>
      </c>
    </row>
    <row r="24" customFormat="false" ht="15.75" hidden="false" customHeight="false" outlineLevel="0" collapsed="false">
      <c r="A24" s="136" t="str">
        <f aca="false">Scoring!BF30</f>
        <v/>
      </c>
      <c r="B24" s="136" t="str">
        <f aca="false">Scoring!BE30</f>
        <v/>
      </c>
      <c r="C24" s="136" t="n">
        <f aca="false">Scoring!C30</f>
        <v>0</v>
      </c>
      <c r="D24" s="137" t="str">
        <f aca="false">Scoring!BB30</f>
        <v/>
      </c>
      <c r="E24" s="136" t="str">
        <f aca="false">Scoring!AE30</f>
        <v/>
      </c>
      <c r="F24" s="136" t="n">
        <f aca="false">Scoring!B30</f>
        <v>0</v>
      </c>
      <c r="G24" s="136" t="n">
        <f aca="false">Scoring!D30</f>
        <v>0</v>
      </c>
      <c r="H24" s="136" t="str">
        <f aca="false">Scoring!BD30</f>
        <v/>
      </c>
      <c r="I24" s="138" t="str">
        <f aca="false">Scoring!BC30</f>
        <v/>
      </c>
    </row>
    <row r="25" customFormat="false" ht="15.75" hidden="false" customHeight="false" outlineLevel="0" collapsed="false">
      <c r="A25" s="136" t="str">
        <f aca="false">Scoring!BF31</f>
        <v/>
      </c>
      <c r="B25" s="136" t="str">
        <f aca="false">Scoring!BE31</f>
        <v/>
      </c>
      <c r="C25" s="136" t="n">
        <f aca="false">Scoring!C31</f>
        <v>0</v>
      </c>
      <c r="D25" s="137" t="str">
        <f aca="false">Scoring!BB31</f>
        <v/>
      </c>
      <c r="E25" s="136" t="str">
        <f aca="false">Scoring!AE31</f>
        <v/>
      </c>
      <c r="F25" s="136" t="n">
        <f aca="false">Scoring!B31</f>
        <v>0</v>
      </c>
      <c r="G25" s="136" t="n">
        <f aca="false">Scoring!D31</f>
        <v>0</v>
      </c>
      <c r="H25" s="136" t="str">
        <f aca="false">Scoring!BD31</f>
        <v/>
      </c>
      <c r="I25" s="138" t="str">
        <f aca="false">Scoring!BC31</f>
        <v/>
      </c>
    </row>
    <row r="26" customFormat="false" ht="15.75" hidden="false" customHeight="false" outlineLevel="0" collapsed="false">
      <c r="A26" s="136" t="str">
        <f aca="false">Scoring!BF32</f>
        <v/>
      </c>
      <c r="B26" s="136" t="str">
        <f aca="false">Scoring!BE32</f>
        <v/>
      </c>
      <c r="C26" s="136" t="n">
        <f aca="false">Scoring!C32</f>
        <v>0</v>
      </c>
      <c r="D26" s="137" t="str">
        <f aca="false">Scoring!BB32</f>
        <v/>
      </c>
      <c r="E26" s="136" t="str">
        <f aca="false">Scoring!AE32</f>
        <v/>
      </c>
      <c r="F26" s="136" t="n">
        <f aca="false">Scoring!B32</f>
        <v>0</v>
      </c>
      <c r="G26" s="136" t="n">
        <f aca="false">Scoring!D32</f>
        <v>0</v>
      </c>
      <c r="H26" s="136" t="str">
        <f aca="false">Scoring!BD32</f>
        <v/>
      </c>
      <c r="I26" s="138" t="str">
        <f aca="false">Scoring!BC32</f>
        <v/>
      </c>
    </row>
    <row r="27" customFormat="false" ht="15.75" hidden="false" customHeight="false" outlineLevel="0" collapsed="false">
      <c r="A27" s="136" t="str">
        <f aca="false">Scoring!BF33</f>
        <v/>
      </c>
      <c r="B27" s="136" t="str">
        <f aca="false">Scoring!BE33</f>
        <v/>
      </c>
      <c r="C27" s="136" t="n">
        <f aca="false">Scoring!C33</f>
        <v>0</v>
      </c>
      <c r="D27" s="137" t="str">
        <f aca="false">Scoring!BB33</f>
        <v/>
      </c>
      <c r="E27" s="136" t="str">
        <f aca="false">Scoring!AE33</f>
        <v/>
      </c>
      <c r="F27" s="136" t="n">
        <f aca="false">Scoring!B33</f>
        <v>0</v>
      </c>
      <c r="G27" s="136" t="n">
        <f aca="false">Scoring!D33</f>
        <v>0</v>
      </c>
      <c r="H27" s="136" t="str">
        <f aca="false">Scoring!BD33</f>
        <v/>
      </c>
      <c r="I27" s="138" t="str">
        <f aca="false">Scoring!BC33</f>
        <v/>
      </c>
    </row>
    <row r="28" customFormat="false" ht="15.75" hidden="false" customHeight="false" outlineLevel="0" collapsed="false">
      <c r="A28" s="136" t="str">
        <f aca="false">Scoring!BF34</f>
        <v/>
      </c>
      <c r="B28" s="136" t="str">
        <f aca="false">Scoring!BE34</f>
        <v/>
      </c>
      <c r="C28" s="136" t="n">
        <f aca="false">Scoring!C34</f>
        <v>0</v>
      </c>
      <c r="D28" s="137" t="str">
        <f aca="false">Scoring!BB34</f>
        <v/>
      </c>
      <c r="E28" s="136" t="str">
        <f aca="false">Scoring!AE34</f>
        <v/>
      </c>
      <c r="F28" s="136" t="n">
        <f aca="false">Scoring!B34</f>
        <v>0</v>
      </c>
      <c r="G28" s="136" t="n">
        <f aca="false">Scoring!D34</f>
        <v>0</v>
      </c>
      <c r="H28" s="136" t="str">
        <f aca="false">Scoring!BD34</f>
        <v/>
      </c>
      <c r="I28" s="138" t="str">
        <f aca="false">Scoring!BC34</f>
        <v/>
      </c>
    </row>
    <row r="29" customFormat="false" ht="15.75" hidden="false" customHeight="false" outlineLevel="0" collapsed="false">
      <c r="A29" s="136" t="str">
        <f aca="false">Scoring!BF35</f>
        <v/>
      </c>
      <c r="B29" s="136" t="str">
        <f aca="false">Scoring!BE35</f>
        <v/>
      </c>
      <c r="C29" s="136" t="n">
        <f aca="false">Scoring!C35</f>
        <v>0</v>
      </c>
      <c r="D29" s="137" t="str">
        <f aca="false">Scoring!BB35</f>
        <v/>
      </c>
      <c r="E29" s="136" t="str">
        <f aca="false">Scoring!AE35</f>
        <v/>
      </c>
      <c r="F29" s="136" t="n">
        <f aca="false">Scoring!B35</f>
        <v>0</v>
      </c>
      <c r="G29" s="136" t="n">
        <f aca="false">Scoring!D35</f>
        <v>0</v>
      </c>
      <c r="H29" s="136" t="str">
        <f aca="false">Scoring!BD35</f>
        <v/>
      </c>
      <c r="I29" s="138" t="str">
        <f aca="false">Scoring!BC35</f>
        <v/>
      </c>
    </row>
    <row r="30" customFormat="false" ht="15.75" hidden="false" customHeight="false" outlineLevel="0" collapsed="false">
      <c r="A30" s="136" t="str">
        <f aca="false">Scoring!BF36</f>
        <v/>
      </c>
      <c r="B30" s="136" t="str">
        <f aca="false">Scoring!BE36</f>
        <v/>
      </c>
      <c r="C30" s="136" t="n">
        <f aca="false">Scoring!C36</f>
        <v>0</v>
      </c>
      <c r="D30" s="137" t="str">
        <f aca="false">Scoring!BB36</f>
        <v/>
      </c>
      <c r="E30" s="136" t="str">
        <f aca="false">Scoring!AE36</f>
        <v/>
      </c>
      <c r="F30" s="136" t="n">
        <f aca="false">Scoring!B36</f>
        <v>0</v>
      </c>
      <c r="G30" s="136" t="n">
        <f aca="false">Scoring!D36</f>
        <v>0</v>
      </c>
      <c r="H30" s="136" t="str">
        <f aca="false">Scoring!BD36</f>
        <v/>
      </c>
      <c r="I30" s="138" t="str">
        <f aca="false">Scoring!BC36</f>
        <v/>
      </c>
    </row>
    <row r="31" customFormat="false" ht="15.75" hidden="false" customHeight="false" outlineLevel="0" collapsed="false">
      <c r="A31" s="136" t="str">
        <f aca="false">Scoring!BF37</f>
        <v/>
      </c>
      <c r="B31" s="136" t="str">
        <f aca="false">Scoring!BE37</f>
        <v/>
      </c>
      <c r="C31" s="136" t="n">
        <f aca="false">Scoring!C37</f>
        <v>0</v>
      </c>
      <c r="D31" s="137" t="str">
        <f aca="false">Scoring!BB37</f>
        <v/>
      </c>
      <c r="E31" s="136" t="str">
        <f aca="false">Scoring!AE37</f>
        <v/>
      </c>
      <c r="F31" s="136" t="n">
        <f aca="false">Scoring!B37</f>
        <v>0</v>
      </c>
      <c r="G31" s="136" t="n">
        <f aca="false">Scoring!D37</f>
        <v>0</v>
      </c>
      <c r="H31" s="136" t="str">
        <f aca="false">Scoring!BD37</f>
        <v/>
      </c>
      <c r="I31" s="138" t="str">
        <f aca="false">Scoring!BC37</f>
        <v/>
      </c>
    </row>
    <row r="32" customFormat="false" ht="15.75" hidden="false" customHeight="false" outlineLevel="0" collapsed="false">
      <c r="A32" s="136" t="str">
        <f aca="false">Scoring!BF38</f>
        <v/>
      </c>
      <c r="B32" s="136" t="str">
        <f aca="false">Scoring!BE38</f>
        <v/>
      </c>
      <c r="C32" s="136" t="n">
        <f aca="false">Scoring!C38</f>
        <v>0</v>
      </c>
      <c r="D32" s="137" t="str">
        <f aca="false">Scoring!BB38</f>
        <v/>
      </c>
      <c r="E32" s="136" t="str">
        <f aca="false">Scoring!AE38</f>
        <v/>
      </c>
      <c r="F32" s="136" t="n">
        <f aca="false">Scoring!B38</f>
        <v>0</v>
      </c>
      <c r="G32" s="136" t="n">
        <f aca="false">Scoring!D38</f>
        <v>0</v>
      </c>
      <c r="H32" s="136" t="str">
        <f aca="false">Scoring!BD38</f>
        <v/>
      </c>
      <c r="I32" s="138" t="str">
        <f aca="false">Scoring!BC38</f>
        <v/>
      </c>
    </row>
    <row r="33" customFormat="false" ht="15.75" hidden="false" customHeight="false" outlineLevel="0" collapsed="false">
      <c r="A33" s="136" t="str">
        <f aca="false">Scoring!BF39</f>
        <v/>
      </c>
      <c r="B33" s="136" t="str">
        <f aca="false">Scoring!BE39</f>
        <v/>
      </c>
      <c r="C33" s="136" t="n">
        <f aca="false">Scoring!C39</f>
        <v>0</v>
      </c>
      <c r="D33" s="137" t="str">
        <f aca="false">Scoring!BB39</f>
        <v/>
      </c>
      <c r="E33" s="136" t="str">
        <f aca="false">Scoring!AE39</f>
        <v/>
      </c>
      <c r="F33" s="136" t="n">
        <f aca="false">Scoring!B39</f>
        <v>0</v>
      </c>
      <c r="G33" s="136" t="n">
        <f aca="false">Scoring!D39</f>
        <v>0</v>
      </c>
      <c r="H33" s="136" t="str">
        <f aca="false">Scoring!BD39</f>
        <v/>
      </c>
      <c r="I33" s="138" t="str">
        <f aca="false">Scoring!BC39</f>
        <v/>
      </c>
    </row>
    <row r="34" customFormat="false" ht="15.75" hidden="false" customHeight="false" outlineLevel="0" collapsed="false">
      <c r="A34" s="136" t="str">
        <f aca="false">Scoring!BF40</f>
        <v/>
      </c>
      <c r="B34" s="136" t="str">
        <f aca="false">Scoring!BE40</f>
        <v/>
      </c>
      <c r="C34" s="136" t="n">
        <f aca="false">Scoring!C40</f>
        <v>0</v>
      </c>
      <c r="D34" s="137" t="str">
        <f aca="false">Scoring!BB40</f>
        <v/>
      </c>
      <c r="E34" s="136" t="str">
        <f aca="false">Scoring!AE40</f>
        <v/>
      </c>
      <c r="F34" s="136" t="n">
        <f aca="false">Scoring!B40</f>
        <v>0</v>
      </c>
      <c r="G34" s="136" t="n">
        <f aca="false">Scoring!D40</f>
        <v>0</v>
      </c>
      <c r="H34" s="136" t="str">
        <f aca="false">Scoring!BD40</f>
        <v/>
      </c>
      <c r="I34" s="138" t="str">
        <f aca="false">Scoring!BC40</f>
        <v/>
      </c>
    </row>
    <row r="35" customFormat="false" ht="15.75" hidden="false" customHeight="false" outlineLevel="0" collapsed="false">
      <c r="A35" s="136" t="str">
        <f aca="false">Scoring!BF41</f>
        <v/>
      </c>
      <c r="B35" s="136" t="str">
        <f aca="false">Scoring!BE41</f>
        <v/>
      </c>
      <c r="C35" s="136" t="n">
        <f aca="false">Scoring!C41</f>
        <v>0</v>
      </c>
      <c r="D35" s="137" t="str">
        <f aca="false">Scoring!BB41</f>
        <v/>
      </c>
      <c r="E35" s="136" t="str">
        <f aca="false">Scoring!AE41</f>
        <v/>
      </c>
      <c r="F35" s="136" t="n">
        <f aca="false">Scoring!B41</f>
        <v>0</v>
      </c>
      <c r="G35" s="136" t="n">
        <f aca="false">Scoring!D41</f>
        <v>0</v>
      </c>
      <c r="H35" s="136" t="str">
        <f aca="false">Scoring!BD41</f>
        <v/>
      </c>
      <c r="I35" s="138" t="str">
        <f aca="false">Scoring!BC41</f>
        <v/>
      </c>
    </row>
    <row r="36" customFormat="false" ht="15.75" hidden="false" customHeight="false" outlineLevel="0" collapsed="false">
      <c r="A36" s="136" t="str">
        <f aca="false">Scoring!BF42</f>
        <v/>
      </c>
      <c r="B36" s="136" t="str">
        <f aca="false">Scoring!BE42</f>
        <v/>
      </c>
      <c r="C36" s="136" t="n">
        <f aca="false">Scoring!C42</f>
        <v>0</v>
      </c>
      <c r="D36" s="137" t="str">
        <f aca="false">Scoring!BB42</f>
        <v/>
      </c>
      <c r="E36" s="136" t="str">
        <f aca="false">Scoring!AE42</f>
        <v/>
      </c>
      <c r="F36" s="136" t="n">
        <f aca="false">Scoring!B42</f>
        <v>0</v>
      </c>
      <c r="G36" s="136" t="n">
        <f aca="false">Scoring!D42</f>
        <v>0</v>
      </c>
      <c r="H36" s="136" t="str">
        <f aca="false">Scoring!BD42</f>
        <v/>
      </c>
      <c r="I36" s="138" t="str">
        <f aca="false">Scoring!BC42</f>
        <v/>
      </c>
    </row>
    <row r="37" customFormat="false" ht="15.75" hidden="false" customHeight="false" outlineLevel="0" collapsed="false">
      <c r="A37" s="136" t="str">
        <f aca="false">Scoring!BF43</f>
        <v/>
      </c>
      <c r="B37" s="136" t="str">
        <f aca="false">Scoring!BE43</f>
        <v/>
      </c>
      <c r="C37" s="136" t="n">
        <f aca="false">Scoring!C43</f>
        <v>0</v>
      </c>
      <c r="D37" s="137" t="str">
        <f aca="false">Scoring!BB43</f>
        <v/>
      </c>
      <c r="E37" s="136" t="str">
        <f aca="false">Scoring!AE43</f>
        <v/>
      </c>
      <c r="F37" s="136" t="n">
        <f aca="false">Scoring!B43</f>
        <v>0</v>
      </c>
      <c r="G37" s="136" t="n">
        <f aca="false">Scoring!D43</f>
        <v>0</v>
      </c>
      <c r="H37" s="136" t="str">
        <f aca="false">Scoring!BD43</f>
        <v/>
      </c>
      <c r="I37" s="138" t="str">
        <f aca="false">Scoring!BC43</f>
        <v/>
      </c>
    </row>
    <row r="38" customFormat="false" ht="15.75" hidden="false" customHeight="false" outlineLevel="0" collapsed="false">
      <c r="A38" s="136" t="str">
        <f aca="false">Scoring!BF44</f>
        <v/>
      </c>
      <c r="B38" s="136" t="str">
        <f aca="false">Scoring!BE44</f>
        <v/>
      </c>
      <c r="C38" s="136" t="n">
        <f aca="false">Scoring!C44</f>
        <v>0</v>
      </c>
      <c r="D38" s="137" t="str">
        <f aca="false">Scoring!BB44</f>
        <v/>
      </c>
      <c r="E38" s="136" t="str">
        <f aca="false">Scoring!AE44</f>
        <v/>
      </c>
      <c r="F38" s="136" t="n">
        <f aca="false">Scoring!B44</f>
        <v>0</v>
      </c>
      <c r="G38" s="136" t="n">
        <f aca="false">Scoring!D44</f>
        <v>0</v>
      </c>
      <c r="H38" s="136" t="str">
        <f aca="false">Scoring!BD44</f>
        <v/>
      </c>
      <c r="I38" s="138" t="str">
        <f aca="false">Scoring!BC44</f>
        <v/>
      </c>
    </row>
    <row r="39" customFormat="false" ht="15.75" hidden="false" customHeight="false" outlineLevel="0" collapsed="false">
      <c r="A39" s="136" t="str">
        <f aca="false">Scoring!BF45</f>
        <v/>
      </c>
      <c r="B39" s="136" t="str">
        <f aca="false">Scoring!BE45</f>
        <v/>
      </c>
      <c r="C39" s="136" t="n">
        <f aca="false">Scoring!C45</f>
        <v>0</v>
      </c>
      <c r="D39" s="137" t="str">
        <f aca="false">Scoring!BB45</f>
        <v/>
      </c>
      <c r="E39" s="136" t="str">
        <f aca="false">Scoring!AE45</f>
        <v/>
      </c>
      <c r="F39" s="136" t="n">
        <f aca="false">Scoring!B45</f>
        <v>0</v>
      </c>
      <c r="G39" s="136" t="n">
        <f aca="false">Scoring!D45</f>
        <v>0</v>
      </c>
      <c r="H39" s="136" t="str">
        <f aca="false">Scoring!BD45</f>
        <v/>
      </c>
      <c r="I39" s="138" t="str">
        <f aca="false">Scoring!BC45</f>
        <v/>
      </c>
    </row>
    <row r="40" customFormat="false" ht="15.75" hidden="false" customHeight="false" outlineLevel="0" collapsed="false">
      <c r="A40" s="136" t="str">
        <f aca="false">Scoring!BF46</f>
        <v/>
      </c>
      <c r="B40" s="136" t="str">
        <f aca="false">Scoring!BE46</f>
        <v/>
      </c>
      <c r="C40" s="136" t="n">
        <f aca="false">Scoring!C46</f>
        <v>0</v>
      </c>
      <c r="D40" s="137" t="str">
        <f aca="false">Scoring!BB46</f>
        <v/>
      </c>
      <c r="E40" s="136" t="str">
        <f aca="false">Scoring!AE46</f>
        <v/>
      </c>
      <c r="F40" s="136" t="n">
        <f aca="false">Scoring!B46</f>
        <v>0</v>
      </c>
      <c r="G40" s="136" t="n">
        <f aca="false">Scoring!D46</f>
        <v>0</v>
      </c>
      <c r="H40" s="136" t="str">
        <f aca="false">Scoring!BD46</f>
        <v/>
      </c>
      <c r="I40" s="138" t="str">
        <f aca="false">Scoring!BC46</f>
        <v/>
      </c>
    </row>
    <row r="41" customFormat="false" ht="15.75" hidden="false" customHeight="false" outlineLevel="0" collapsed="false">
      <c r="A41" s="136" t="str">
        <f aca="false">Scoring!BF47</f>
        <v/>
      </c>
      <c r="B41" s="136" t="str">
        <f aca="false">Scoring!BE47</f>
        <v/>
      </c>
      <c r="C41" s="136" t="n">
        <f aca="false">Scoring!C47</f>
        <v>0</v>
      </c>
      <c r="D41" s="137" t="str">
        <f aca="false">Scoring!BB47</f>
        <v/>
      </c>
      <c r="E41" s="136" t="str">
        <f aca="false">Scoring!AE47</f>
        <v/>
      </c>
      <c r="F41" s="136" t="n">
        <f aca="false">Scoring!B47</f>
        <v>0</v>
      </c>
      <c r="G41" s="136" t="n">
        <f aca="false">Scoring!D47</f>
        <v>0</v>
      </c>
      <c r="H41" s="136" t="str">
        <f aca="false">Scoring!BD47</f>
        <v/>
      </c>
      <c r="I41" s="138" t="str">
        <f aca="false">Scoring!BC47</f>
        <v/>
      </c>
    </row>
    <row r="42" customFormat="false" ht="15.75" hidden="false" customHeight="false" outlineLevel="0" collapsed="false">
      <c r="A42" s="136" t="str">
        <f aca="false">Scoring!BF48</f>
        <v/>
      </c>
      <c r="B42" s="136" t="str">
        <f aca="false">Scoring!BE48</f>
        <v/>
      </c>
      <c r="C42" s="136" t="n">
        <f aca="false">Scoring!C48</f>
        <v>0</v>
      </c>
      <c r="D42" s="137" t="str">
        <f aca="false">Scoring!BB48</f>
        <v/>
      </c>
      <c r="E42" s="136" t="str">
        <f aca="false">Scoring!AE48</f>
        <v/>
      </c>
      <c r="F42" s="136" t="n">
        <f aca="false">Scoring!B48</f>
        <v>0</v>
      </c>
      <c r="G42" s="136" t="n">
        <f aca="false">Scoring!D48</f>
        <v>0</v>
      </c>
      <c r="H42" s="136" t="str">
        <f aca="false">Scoring!BD48</f>
        <v/>
      </c>
      <c r="I42" s="138" t="str">
        <f aca="false">Scoring!BC48</f>
        <v/>
      </c>
    </row>
    <row r="43" customFormat="false" ht="15.75" hidden="false" customHeight="false" outlineLevel="0" collapsed="false">
      <c r="A43" s="136" t="str">
        <f aca="false">Scoring!BF49</f>
        <v/>
      </c>
      <c r="B43" s="136" t="str">
        <f aca="false">Scoring!BE49</f>
        <v/>
      </c>
      <c r="C43" s="136" t="n">
        <f aca="false">Scoring!C49</f>
        <v>0</v>
      </c>
      <c r="D43" s="137" t="str">
        <f aca="false">Scoring!BB49</f>
        <v/>
      </c>
      <c r="E43" s="136" t="str">
        <f aca="false">Scoring!AE49</f>
        <v/>
      </c>
      <c r="F43" s="136" t="n">
        <f aca="false">Scoring!B49</f>
        <v>0</v>
      </c>
      <c r="G43" s="136" t="n">
        <f aca="false">Scoring!D49</f>
        <v>0</v>
      </c>
      <c r="H43" s="136" t="str">
        <f aca="false">Scoring!BD49</f>
        <v/>
      </c>
      <c r="I43" s="138" t="str">
        <f aca="false">Scoring!BC49</f>
        <v/>
      </c>
    </row>
    <row r="44" customFormat="false" ht="15.75" hidden="false" customHeight="false" outlineLevel="0" collapsed="false">
      <c r="A44" s="136" t="str">
        <f aca="false">Scoring!BF50</f>
        <v/>
      </c>
      <c r="B44" s="136" t="str">
        <f aca="false">Scoring!BE50</f>
        <v/>
      </c>
      <c r="C44" s="136" t="n">
        <f aca="false">Scoring!C50</f>
        <v>0</v>
      </c>
      <c r="D44" s="137" t="str">
        <f aca="false">Scoring!BB50</f>
        <v/>
      </c>
      <c r="E44" s="136" t="str">
        <f aca="false">Scoring!AE50</f>
        <v/>
      </c>
      <c r="F44" s="136" t="n">
        <f aca="false">Scoring!B50</f>
        <v>0</v>
      </c>
      <c r="G44" s="136" t="n">
        <f aca="false">Scoring!D50</f>
        <v>0</v>
      </c>
      <c r="H44" s="136" t="str">
        <f aca="false">Scoring!BD50</f>
        <v/>
      </c>
      <c r="I44" s="138" t="str">
        <f aca="false">Scoring!BC50</f>
        <v/>
      </c>
    </row>
    <row r="45" customFormat="false" ht="15.75" hidden="false" customHeight="false" outlineLevel="0" collapsed="false">
      <c r="A45" s="136" t="str">
        <f aca="false">Scoring!BF51</f>
        <v/>
      </c>
      <c r="B45" s="136" t="str">
        <f aca="false">Scoring!BE51</f>
        <v/>
      </c>
      <c r="C45" s="136" t="n">
        <f aca="false">Scoring!C51</f>
        <v>0</v>
      </c>
      <c r="D45" s="137" t="str">
        <f aca="false">Scoring!BB51</f>
        <v/>
      </c>
      <c r="E45" s="136" t="str">
        <f aca="false">Scoring!AE51</f>
        <v/>
      </c>
      <c r="F45" s="136" t="n">
        <f aca="false">Scoring!B51</f>
        <v>0</v>
      </c>
      <c r="G45" s="136" t="n">
        <f aca="false">Scoring!D51</f>
        <v>0</v>
      </c>
      <c r="H45" s="136" t="str">
        <f aca="false">Scoring!BD51</f>
        <v/>
      </c>
      <c r="I45" s="138" t="str">
        <f aca="false">Scoring!BC51</f>
        <v/>
      </c>
    </row>
    <row r="46" customFormat="false" ht="15.75" hidden="false" customHeight="false" outlineLevel="0" collapsed="false">
      <c r="A46" s="136" t="str">
        <f aca="false">Scoring!BF52</f>
        <v/>
      </c>
      <c r="B46" s="136" t="str">
        <f aca="false">Scoring!BE52</f>
        <v/>
      </c>
      <c r="C46" s="136" t="n">
        <f aca="false">Scoring!C52</f>
        <v>0</v>
      </c>
      <c r="D46" s="137" t="str">
        <f aca="false">Scoring!BB52</f>
        <v/>
      </c>
      <c r="E46" s="136" t="str">
        <f aca="false">Scoring!AE52</f>
        <v/>
      </c>
      <c r="F46" s="136" t="n">
        <f aca="false">Scoring!B52</f>
        <v>0</v>
      </c>
      <c r="G46" s="136" t="n">
        <f aca="false">Scoring!D52</f>
        <v>0</v>
      </c>
      <c r="H46" s="136" t="str">
        <f aca="false">Scoring!BD52</f>
        <v/>
      </c>
      <c r="I46" s="138" t="str">
        <f aca="false">Scoring!BC52</f>
        <v/>
      </c>
    </row>
    <row r="47" customFormat="false" ht="15.75" hidden="false" customHeight="false" outlineLevel="0" collapsed="false">
      <c r="A47" s="136" t="str">
        <f aca="false">Scoring!BF53</f>
        <v/>
      </c>
      <c r="B47" s="136" t="str">
        <f aca="false">Scoring!BE53</f>
        <v/>
      </c>
      <c r="C47" s="136" t="n">
        <f aca="false">Scoring!C53</f>
        <v>0</v>
      </c>
      <c r="D47" s="137" t="str">
        <f aca="false">Scoring!BB53</f>
        <v/>
      </c>
      <c r="E47" s="136" t="str">
        <f aca="false">Scoring!AE53</f>
        <v/>
      </c>
      <c r="F47" s="136" t="n">
        <f aca="false">Scoring!B53</f>
        <v>0</v>
      </c>
      <c r="G47" s="136" t="n">
        <f aca="false">Scoring!D53</f>
        <v>0</v>
      </c>
      <c r="H47" s="136" t="str">
        <f aca="false">Scoring!BD53</f>
        <v/>
      </c>
      <c r="I47" s="138" t="str">
        <f aca="false">Scoring!BC53</f>
        <v/>
      </c>
    </row>
    <row r="48" customFormat="false" ht="15.75" hidden="false" customHeight="false" outlineLevel="0" collapsed="false">
      <c r="A48" s="136" t="str">
        <f aca="false">Scoring!BF54</f>
        <v/>
      </c>
      <c r="B48" s="136" t="str">
        <f aca="false">Scoring!BE54</f>
        <v/>
      </c>
      <c r="C48" s="136" t="n">
        <f aca="false">Scoring!C54</f>
        <v>0</v>
      </c>
      <c r="D48" s="137" t="str">
        <f aca="false">Scoring!BB54</f>
        <v/>
      </c>
      <c r="E48" s="136" t="str">
        <f aca="false">Scoring!AE54</f>
        <v/>
      </c>
      <c r="F48" s="136" t="n">
        <f aca="false">Scoring!B54</f>
        <v>0</v>
      </c>
      <c r="G48" s="136" t="n">
        <f aca="false">Scoring!D54</f>
        <v>0</v>
      </c>
      <c r="H48" s="136" t="str">
        <f aca="false">Scoring!BD54</f>
        <v/>
      </c>
      <c r="I48" s="138" t="str">
        <f aca="false">Scoring!BC54</f>
        <v/>
      </c>
    </row>
    <row r="49" customFormat="false" ht="15.75" hidden="false" customHeight="false" outlineLevel="0" collapsed="false">
      <c r="A49" s="136" t="str">
        <f aca="false">Scoring!BF55</f>
        <v/>
      </c>
      <c r="B49" s="136" t="str">
        <f aca="false">Scoring!BE55</f>
        <v/>
      </c>
      <c r="C49" s="136" t="n">
        <f aca="false">Scoring!C55</f>
        <v>0</v>
      </c>
      <c r="D49" s="137" t="str">
        <f aca="false">Scoring!BB55</f>
        <v/>
      </c>
      <c r="E49" s="136" t="str">
        <f aca="false">Scoring!AE55</f>
        <v/>
      </c>
      <c r="F49" s="136" t="n">
        <f aca="false">Scoring!B55</f>
        <v>0</v>
      </c>
      <c r="G49" s="136" t="n">
        <f aca="false">Scoring!D55</f>
        <v>0</v>
      </c>
      <c r="H49" s="136" t="str">
        <f aca="false">Scoring!BD55</f>
        <v/>
      </c>
      <c r="I49" s="138" t="str">
        <f aca="false">Scoring!BC55</f>
        <v/>
      </c>
    </row>
    <row r="50" customFormat="false" ht="15.75" hidden="false" customHeight="false" outlineLevel="0" collapsed="false">
      <c r="A50" s="136" t="str">
        <f aca="false">Scoring!BF56</f>
        <v/>
      </c>
      <c r="B50" s="136" t="str">
        <f aca="false">Scoring!BE56</f>
        <v/>
      </c>
      <c r="C50" s="136" t="n">
        <f aca="false">Scoring!C56</f>
        <v>0</v>
      </c>
      <c r="D50" s="137" t="str">
        <f aca="false">Scoring!BB56</f>
        <v/>
      </c>
      <c r="E50" s="136" t="str">
        <f aca="false">Scoring!AE56</f>
        <v/>
      </c>
      <c r="F50" s="136" t="n">
        <f aca="false">Scoring!B56</f>
        <v>0</v>
      </c>
      <c r="G50" s="136" t="n">
        <f aca="false">Scoring!D56</f>
        <v>0</v>
      </c>
      <c r="H50" s="136" t="str">
        <f aca="false">Scoring!BD56</f>
        <v/>
      </c>
      <c r="I50" s="138" t="str">
        <f aca="false">Scoring!BC56</f>
        <v/>
      </c>
    </row>
    <row r="51" customFormat="false" ht="15.75" hidden="false" customHeight="false" outlineLevel="0" collapsed="false">
      <c r="A51" s="136" t="str">
        <f aca="false">Scoring!BF57</f>
        <v/>
      </c>
      <c r="B51" s="136" t="str">
        <f aca="false">Scoring!BE57</f>
        <v/>
      </c>
      <c r="C51" s="136" t="n">
        <f aca="false">Scoring!C57</f>
        <v>0</v>
      </c>
      <c r="D51" s="137" t="str">
        <f aca="false">Scoring!BB57</f>
        <v/>
      </c>
      <c r="E51" s="136" t="str">
        <f aca="false">Scoring!AE57</f>
        <v/>
      </c>
      <c r="F51" s="136" t="n">
        <f aca="false">Scoring!B57</f>
        <v>0</v>
      </c>
      <c r="G51" s="136" t="n">
        <f aca="false">Scoring!D57</f>
        <v>0</v>
      </c>
      <c r="H51" s="136" t="str">
        <f aca="false">Scoring!BD57</f>
        <v/>
      </c>
      <c r="I51" s="138" t="str">
        <f aca="false">Scoring!BC57</f>
        <v/>
      </c>
    </row>
    <row r="52" customFormat="false" ht="15.75" hidden="false" customHeight="false" outlineLevel="0" collapsed="false">
      <c r="A52" s="136" t="str">
        <f aca="false">Scoring!BF58</f>
        <v/>
      </c>
      <c r="B52" s="136" t="str">
        <f aca="false">Scoring!BE58</f>
        <v/>
      </c>
      <c r="C52" s="136" t="n">
        <f aca="false">Scoring!C58</f>
        <v>0</v>
      </c>
      <c r="D52" s="137" t="str">
        <f aca="false">Scoring!BB58</f>
        <v/>
      </c>
      <c r="E52" s="136" t="str">
        <f aca="false">Scoring!AE58</f>
        <v/>
      </c>
      <c r="F52" s="136" t="n">
        <f aca="false">Scoring!B58</f>
        <v>0</v>
      </c>
      <c r="G52" s="136" t="n">
        <f aca="false">Scoring!D58</f>
        <v>0</v>
      </c>
      <c r="H52" s="136" t="str">
        <f aca="false">Scoring!BD58</f>
        <v/>
      </c>
      <c r="I52" s="138" t="str">
        <f aca="false">Scoring!BC58</f>
        <v/>
      </c>
    </row>
    <row r="53" customFormat="false" ht="15.75" hidden="false" customHeight="false" outlineLevel="0" collapsed="false">
      <c r="A53" s="136" t="str">
        <f aca="false">Scoring!BF59</f>
        <v/>
      </c>
      <c r="B53" s="136" t="str">
        <f aca="false">Scoring!BE59</f>
        <v/>
      </c>
      <c r="C53" s="136" t="n">
        <f aca="false">Scoring!C59</f>
        <v>0</v>
      </c>
      <c r="D53" s="137" t="str">
        <f aca="false">Scoring!BB59</f>
        <v/>
      </c>
      <c r="E53" s="136" t="str">
        <f aca="false">Scoring!AE59</f>
        <v/>
      </c>
      <c r="F53" s="136" t="n">
        <f aca="false">Scoring!B59</f>
        <v>0</v>
      </c>
      <c r="G53" s="136" t="n">
        <f aca="false">Scoring!D59</f>
        <v>0</v>
      </c>
      <c r="H53" s="136" t="str">
        <f aca="false">Scoring!BD59</f>
        <v/>
      </c>
      <c r="I53" s="138" t="str">
        <f aca="false">Scoring!BC59</f>
        <v/>
      </c>
    </row>
    <row r="54" customFormat="false" ht="15.75" hidden="false" customHeight="false" outlineLevel="0" collapsed="false">
      <c r="A54" s="136" t="str">
        <f aca="false">Scoring!BF60</f>
        <v/>
      </c>
      <c r="B54" s="136" t="str">
        <f aca="false">Scoring!BE60</f>
        <v/>
      </c>
      <c r="C54" s="136" t="n">
        <f aca="false">Scoring!C60</f>
        <v>0</v>
      </c>
      <c r="D54" s="137" t="str">
        <f aca="false">Scoring!BB60</f>
        <v/>
      </c>
      <c r="E54" s="136" t="str">
        <f aca="false">Scoring!AE60</f>
        <v/>
      </c>
      <c r="F54" s="136" t="n">
        <f aca="false">Scoring!B60</f>
        <v>0</v>
      </c>
      <c r="G54" s="136" t="n">
        <f aca="false">Scoring!D60</f>
        <v>0</v>
      </c>
      <c r="H54" s="136" t="str">
        <f aca="false">Scoring!BD60</f>
        <v/>
      </c>
      <c r="I54" s="138" t="str">
        <f aca="false">Scoring!BC60</f>
        <v/>
      </c>
    </row>
    <row r="55" customFormat="false" ht="15.75" hidden="false" customHeight="false" outlineLevel="0" collapsed="false">
      <c r="A55" s="136" t="str">
        <f aca="false">Scoring!BF61</f>
        <v/>
      </c>
      <c r="B55" s="136" t="str">
        <f aca="false">Scoring!BE61</f>
        <v/>
      </c>
      <c r="C55" s="136" t="n">
        <f aca="false">Scoring!C61</f>
        <v>0</v>
      </c>
      <c r="D55" s="137" t="str">
        <f aca="false">Scoring!BB61</f>
        <v/>
      </c>
      <c r="E55" s="136" t="str">
        <f aca="false">Scoring!AE61</f>
        <v/>
      </c>
      <c r="F55" s="136" t="n">
        <f aca="false">Scoring!B61</f>
        <v>0</v>
      </c>
      <c r="G55" s="136" t="n">
        <f aca="false">Scoring!D61</f>
        <v>0</v>
      </c>
      <c r="H55" s="136" t="str">
        <f aca="false">Scoring!BD61</f>
        <v/>
      </c>
      <c r="I55" s="138" t="str">
        <f aca="false">Scoring!BC61</f>
        <v/>
      </c>
    </row>
    <row r="56" customFormat="false" ht="15.75" hidden="false" customHeight="false" outlineLevel="0" collapsed="false">
      <c r="A56" s="136" t="str">
        <f aca="false">Scoring!BF62</f>
        <v/>
      </c>
      <c r="B56" s="136" t="str">
        <f aca="false">Scoring!BE62</f>
        <v/>
      </c>
      <c r="C56" s="136" t="n">
        <f aca="false">Scoring!C62</f>
        <v>0</v>
      </c>
      <c r="D56" s="137" t="str">
        <f aca="false">Scoring!BB62</f>
        <v/>
      </c>
      <c r="E56" s="136" t="str">
        <f aca="false">Scoring!AE62</f>
        <v/>
      </c>
      <c r="F56" s="136" t="n">
        <f aca="false">Scoring!B62</f>
        <v>0</v>
      </c>
      <c r="G56" s="136" t="n">
        <f aca="false">Scoring!D62</f>
        <v>0</v>
      </c>
      <c r="H56" s="136" t="str">
        <f aca="false">Scoring!BD62</f>
        <v/>
      </c>
      <c r="I56" s="138" t="str">
        <f aca="false">Scoring!BC62</f>
        <v/>
      </c>
    </row>
    <row r="57" customFormat="false" ht="15.75" hidden="false" customHeight="false" outlineLevel="0" collapsed="false">
      <c r="A57" s="136" t="str">
        <f aca="false">Scoring!BF63</f>
        <v/>
      </c>
      <c r="B57" s="136" t="str">
        <f aca="false">Scoring!BE63</f>
        <v/>
      </c>
      <c r="C57" s="136" t="n">
        <f aca="false">Scoring!C63</f>
        <v>0</v>
      </c>
      <c r="D57" s="137" t="str">
        <f aca="false">Scoring!BB63</f>
        <v/>
      </c>
      <c r="E57" s="136" t="str">
        <f aca="false">Scoring!AE63</f>
        <v/>
      </c>
      <c r="F57" s="136" t="n">
        <f aca="false">Scoring!B63</f>
        <v>0</v>
      </c>
      <c r="G57" s="136" t="n">
        <f aca="false">Scoring!D63</f>
        <v>0</v>
      </c>
      <c r="H57" s="136" t="str">
        <f aca="false">Scoring!BD63</f>
        <v/>
      </c>
      <c r="I57" s="138" t="str">
        <f aca="false">Scoring!BC63</f>
        <v/>
      </c>
    </row>
    <row r="58" customFormat="false" ht="15.75" hidden="false" customHeight="false" outlineLevel="0" collapsed="false">
      <c r="A58" s="136" t="str">
        <f aca="false">Scoring!BF64</f>
        <v/>
      </c>
      <c r="B58" s="136" t="str">
        <f aca="false">Scoring!BE64</f>
        <v/>
      </c>
      <c r="C58" s="136" t="n">
        <f aca="false">Scoring!C64</f>
        <v>0</v>
      </c>
      <c r="D58" s="137" t="str">
        <f aca="false">Scoring!BB64</f>
        <v/>
      </c>
      <c r="E58" s="136" t="str">
        <f aca="false">Scoring!AE64</f>
        <v/>
      </c>
      <c r="F58" s="136" t="n">
        <f aca="false">Scoring!B64</f>
        <v>0</v>
      </c>
      <c r="G58" s="136" t="n">
        <f aca="false">Scoring!D64</f>
        <v>0</v>
      </c>
      <c r="H58" s="136" t="str">
        <f aca="false">Scoring!BD64</f>
        <v/>
      </c>
      <c r="I58" s="138" t="str">
        <f aca="false">Scoring!BC64</f>
        <v/>
      </c>
    </row>
    <row r="59" customFormat="false" ht="15.75" hidden="false" customHeight="false" outlineLevel="0" collapsed="false">
      <c r="A59" s="136" t="str">
        <f aca="false">Scoring!BF65</f>
        <v/>
      </c>
      <c r="B59" s="136" t="str">
        <f aca="false">Scoring!BE65</f>
        <v/>
      </c>
      <c r="C59" s="136" t="n">
        <f aca="false">Scoring!C65</f>
        <v>0</v>
      </c>
      <c r="D59" s="137" t="str">
        <f aca="false">Scoring!BB65</f>
        <v/>
      </c>
      <c r="E59" s="136" t="str">
        <f aca="false">Scoring!AE65</f>
        <v/>
      </c>
      <c r="F59" s="136" t="n">
        <f aca="false">Scoring!B65</f>
        <v>0</v>
      </c>
      <c r="G59" s="136" t="n">
        <f aca="false">Scoring!D65</f>
        <v>0</v>
      </c>
      <c r="H59" s="136" t="str">
        <f aca="false">Scoring!BD65</f>
        <v/>
      </c>
      <c r="I59" s="138" t="str">
        <f aca="false">Scoring!BC65</f>
        <v/>
      </c>
    </row>
    <row r="60" customFormat="false" ht="15.75" hidden="false" customHeight="false" outlineLevel="0" collapsed="false">
      <c r="A60" s="136" t="str">
        <f aca="false">Scoring!BF66</f>
        <v/>
      </c>
      <c r="B60" s="136" t="str">
        <f aca="false">Scoring!BE66</f>
        <v/>
      </c>
      <c r="C60" s="136" t="n">
        <f aca="false">Scoring!C66</f>
        <v>0</v>
      </c>
      <c r="D60" s="137" t="str">
        <f aca="false">Scoring!BB66</f>
        <v/>
      </c>
      <c r="E60" s="136" t="str">
        <f aca="false">Scoring!AE66</f>
        <v/>
      </c>
      <c r="F60" s="136" t="n">
        <f aca="false">Scoring!B66</f>
        <v>0</v>
      </c>
      <c r="G60" s="136" t="n">
        <f aca="false">Scoring!D66</f>
        <v>0</v>
      </c>
      <c r="H60" s="136" t="str">
        <f aca="false">Scoring!BD66</f>
        <v/>
      </c>
      <c r="I60" s="138" t="str">
        <f aca="false">Scoring!BC66</f>
        <v/>
      </c>
    </row>
    <row r="61" customFormat="false" ht="15.75" hidden="false" customHeight="false" outlineLevel="0" collapsed="false">
      <c r="A61" s="136" t="str">
        <f aca="false">Scoring!BF67</f>
        <v/>
      </c>
      <c r="B61" s="136" t="str">
        <f aca="false">Scoring!BE67</f>
        <v/>
      </c>
      <c r="C61" s="136" t="n">
        <f aca="false">Scoring!C67</f>
        <v>0</v>
      </c>
      <c r="D61" s="137" t="str">
        <f aca="false">Scoring!BB67</f>
        <v/>
      </c>
      <c r="E61" s="136" t="str">
        <f aca="false">Scoring!AE67</f>
        <v/>
      </c>
      <c r="F61" s="136" t="n">
        <f aca="false">Scoring!B67</f>
        <v>0</v>
      </c>
      <c r="G61" s="136" t="n">
        <f aca="false">Scoring!D67</f>
        <v>0</v>
      </c>
      <c r="H61" s="136" t="str">
        <f aca="false">Scoring!BD67</f>
        <v/>
      </c>
      <c r="I61" s="138" t="str">
        <f aca="false">Scoring!BC67</f>
        <v/>
      </c>
    </row>
    <row r="62" customFormat="false" ht="15.75" hidden="false" customHeight="false" outlineLevel="0" collapsed="false">
      <c r="A62" s="136" t="str">
        <f aca="false">Scoring!BF68</f>
        <v/>
      </c>
      <c r="B62" s="136" t="str">
        <f aca="false">Scoring!BE68</f>
        <v/>
      </c>
      <c r="C62" s="136" t="n">
        <f aca="false">Scoring!C68</f>
        <v>0</v>
      </c>
      <c r="D62" s="137" t="str">
        <f aca="false">Scoring!BB68</f>
        <v/>
      </c>
      <c r="E62" s="136" t="str">
        <f aca="false">Scoring!AE68</f>
        <v/>
      </c>
      <c r="F62" s="136" t="n">
        <f aca="false">Scoring!B68</f>
        <v>0</v>
      </c>
      <c r="G62" s="136" t="n">
        <f aca="false">Scoring!D68</f>
        <v>0</v>
      </c>
      <c r="H62" s="136" t="str">
        <f aca="false">Scoring!BD68</f>
        <v/>
      </c>
      <c r="I62" s="138" t="str">
        <f aca="false">Scoring!BC68</f>
        <v/>
      </c>
    </row>
    <row r="63" customFormat="false" ht="15.75" hidden="false" customHeight="false" outlineLevel="0" collapsed="false">
      <c r="A63" s="136" t="str">
        <f aca="false">Scoring!BF69</f>
        <v/>
      </c>
      <c r="B63" s="136" t="str">
        <f aca="false">Scoring!BE69</f>
        <v/>
      </c>
      <c r="C63" s="136" t="n">
        <f aca="false">Scoring!C69</f>
        <v>0</v>
      </c>
      <c r="D63" s="137" t="str">
        <f aca="false">Scoring!BB69</f>
        <v/>
      </c>
      <c r="E63" s="136" t="str">
        <f aca="false">Scoring!AE69</f>
        <v/>
      </c>
      <c r="F63" s="136" t="n">
        <f aca="false">Scoring!B69</f>
        <v>0</v>
      </c>
      <c r="G63" s="136" t="n">
        <f aca="false">Scoring!D69</f>
        <v>0</v>
      </c>
      <c r="H63" s="136" t="str">
        <f aca="false">Scoring!BD69</f>
        <v/>
      </c>
      <c r="I63" s="138" t="str">
        <f aca="false">Scoring!BC69</f>
        <v/>
      </c>
    </row>
    <row r="64" customFormat="false" ht="15.75" hidden="false" customHeight="false" outlineLevel="0" collapsed="false">
      <c r="A64" s="136" t="str">
        <f aca="false">Scoring!BF70</f>
        <v/>
      </c>
      <c r="B64" s="136" t="str">
        <f aca="false">Scoring!BE70</f>
        <v/>
      </c>
      <c r="C64" s="136" t="n">
        <f aca="false">Scoring!C70</f>
        <v>0</v>
      </c>
      <c r="D64" s="137" t="str">
        <f aca="false">Scoring!BB70</f>
        <v/>
      </c>
      <c r="E64" s="136" t="str">
        <f aca="false">Scoring!AE70</f>
        <v/>
      </c>
      <c r="F64" s="136" t="n">
        <f aca="false">Scoring!B70</f>
        <v>0</v>
      </c>
      <c r="G64" s="136" t="n">
        <f aca="false">Scoring!D70</f>
        <v>0</v>
      </c>
      <c r="H64" s="136" t="str">
        <f aca="false">Scoring!BD70</f>
        <v/>
      </c>
      <c r="I64" s="138" t="str">
        <f aca="false">Scoring!BC70</f>
        <v/>
      </c>
    </row>
    <row r="65" customFormat="false" ht="15.75" hidden="false" customHeight="false" outlineLevel="0" collapsed="false">
      <c r="A65" s="136" t="str">
        <f aca="false">Scoring!BF71</f>
        <v/>
      </c>
      <c r="B65" s="136" t="str">
        <f aca="false">Scoring!BE71</f>
        <v/>
      </c>
      <c r="C65" s="136" t="n">
        <f aca="false">Scoring!C71</f>
        <v>0</v>
      </c>
      <c r="D65" s="137" t="str">
        <f aca="false">Scoring!BB71</f>
        <v/>
      </c>
      <c r="E65" s="136" t="str">
        <f aca="false">Scoring!AE71</f>
        <v/>
      </c>
      <c r="F65" s="136" t="n">
        <f aca="false">Scoring!B71</f>
        <v>0</v>
      </c>
      <c r="G65" s="136" t="n">
        <f aca="false">Scoring!D71</f>
        <v>0</v>
      </c>
      <c r="H65" s="136" t="str">
        <f aca="false">Scoring!BD71</f>
        <v/>
      </c>
      <c r="I65" s="138" t="str">
        <f aca="false">Scoring!BC71</f>
        <v/>
      </c>
    </row>
    <row r="66" customFormat="false" ht="15.75" hidden="false" customHeight="false" outlineLevel="0" collapsed="false">
      <c r="A66" s="136" t="str">
        <f aca="false">Scoring!BF72</f>
        <v/>
      </c>
      <c r="B66" s="136" t="str">
        <f aca="false">Scoring!BE72</f>
        <v/>
      </c>
      <c r="C66" s="136" t="n">
        <f aca="false">Scoring!C72</f>
        <v>0</v>
      </c>
      <c r="D66" s="137" t="str">
        <f aca="false">Scoring!BB72</f>
        <v/>
      </c>
      <c r="E66" s="136" t="str">
        <f aca="false">Scoring!AE72</f>
        <v/>
      </c>
      <c r="F66" s="136" t="n">
        <f aca="false">Scoring!B72</f>
        <v>0</v>
      </c>
      <c r="G66" s="136" t="n">
        <f aca="false">Scoring!D72</f>
        <v>0</v>
      </c>
      <c r="H66" s="136" t="str">
        <f aca="false">Scoring!BD72</f>
        <v/>
      </c>
      <c r="I66" s="138" t="str">
        <f aca="false">Scoring!BC72</f>
        <v/>
      </c>
    </row>
    <row r="67" customFormat="false" ht="15.75" hidden="false" customHeight="false" outlineLevel="0" collapsed="false">
      <c r="A67" s="136" t="str">
        <f aca="false">Scoring!BF73</f>
        <v/>
      </c>
      <c r="B67" s="136" t="str">
        <f aca="false">Scoring!BE73</f>
        <v/>
      </c>
      <c r="C67" s="136" t="n">
        <f aca="false">Scoring!C73</f>
        <v>0</v>
      </c>
      <c r="D67" s="137" t="str">
        <f aca="false">Scoring!BB73</f>
        <v/>
      </c>
      <c r="E67" s="136" t="str">
        <f aca="false">Scoring!AE73</f>
        <v/>
      </c>
      <c r="F67" s="136" t="n">
        <f aca="false">Scoring!B73</f>
        <v>0</v>
      </c>
      <c r="G67" s="136" t="n">
        <f aca="false">Scoring!D73</f>
        <v>0</v>
      </c>
      <c r="H67" s="136" t="str">
        <f aca="false">Scoring!BD73</f>
        <v/>
      </c>
      <c r="I67" s="138" t="str">
        <f aca="false">Scoring!BC73</f>
        <v/>
      </c>
    </row>
    <row r="68" customFormat="false" ht="15.75" hidden="false" customHeight="false" outlineLevel="0" collapsed="false">
      <c r="A68" s="136" t="str">
        <f aca="false">Scoring!BF74</f>
        <v/>
      </c>
      <c r="B68" s="136" t="str">
        <f aca="false">Scoring!BE74</f>
        <v/>
      </c>
      <c r="C68" s="136" t="n">
        <f aca="false">Scoring!C74</f>
        <v>0</v>
      </c>
      <c r="D68" s="137" t="str">
        <f aca="false">Scoring!BB74</f>
        <v/>
      </c>
      <c r="E68" s="136" t="str">
        <f aca="false">Scoring!AE74</f>
        <v/>
      </c>
      <c r="F68" s="136" t="n">
        <f aca="false">Scoring!B74</f>
        <v>0</v>
      </c>
      <c r="G68" s="136" t="n">
        <f aca="false">Scoring!D74</f>
        <v>0</v>
      </c>
      <c r="H68" s="136" t="str">
        <f aca="false">Scoring!BD74</f>
        <v/>
      </c>
      <c r="I68" s="138" t="str">
        <f aca="false">Scoring!BC74</f>
        <v/>
      </c>
    </row>
    <row r="69" customFormat="false" ht="15.75" hidden="false" customHeight="false" outlineLevel="0" collapsed="false">
      <c r="A69" s="136" t="str">
        <f aca="false">Scoring!BF75</f>
        <v/>
      </c>
      <c r="B69" s="136" t="str">
        <f aca="false">Scoring!BE75</f>
        <v/>
      </c>
      <c r="C69" s="136" t="n">
        <f aca="false">Scoring!C75</f>
        <v>0</v>
      </c>
      <c r="D69" s="137" t="str">
        <f aca="false">Scoring!BB75</f>
        <v/>
      </c>
      <c r="E69" s="136" t="str">
        <f aca="false">Scoring!AE75</f>
        <v/>
      </c>
      <c r="F69" s="136" t="n">
        <f aca="false">Scoring!B75</f>
        <v>0</v>
      </c>
      <c r="G69" s="136" t="n">
        <f aca="false">Scoring!D75</f>
        <v>0</v>
      </c>
      <c r="H69" s="136" t="str">
        <f aca="false">Scoring!BD75</f>
        <v/>
      </c>
      <c r="I69" s="138" t="str">
        <f aca="false">Scoring!BC75</f>
        <v/>
      </c>
    </row>
    <row r="70" customFormat="false" ht="15.75" hidden="false" customHeight="false" outlineLevel="0" collapsed="false">
      <c r="A70" s="136" t="str">
        <f aca="false">Scoring!BF76</f>
        <v/>
      </c>
      <c r="B70" s="136" t="str">
        <f aca="false">Scoring!BE76</f>
        <v/>
      </c>
      <c r="C70" s="136" t="n">
        <f aca="false">Scoring!C76</f>
        <v>0</v>
      </c>
      <c r="D70" s="137" t="str">
        <f aca="false">Scoring!BB76</f>
        <v/>
      </c>
      <c r="E70" s="136" t="str">
        <f aca="false">Scoring!AE76</f>
        <v/>
      </c>
      <c r="F70" s="136" t="n">
        <f aca="false">Scoring!B76</f>
        <v>0</v>
      </c>
      <c r="G70" s="136" t="n">
        <f aca="false">Scoring!D76</f>
        <v>0</v>
      </c>
      <c r="H70" s="136" t="str">
        <f aca="false">Scoring!BD76</f>
        <v/>
      </c>
      <c r="I70" s="138" t="str">
        <f aca="false">Scoring!BC76</f>
        <v/>
      </c>
    </row>
    <row r="71" customFormat="false" ht="15.75" hidden="false" customHeight="false" outlineLevel="0" collapsed="false">
      <c r="A71" s="136" t="str">
        <f aca="false">Scoring!BF77</f>
        <v/>
      </c>
      <c r="B71" s="136" t="str">
        <f aca="false">Scoring!BE77</f>
        <v/>
      </c>
      <c r="C71" s="136" t="n">
        <f aca="false">Scoring!C77</f>
        <v>0</v>
      </c>
      <c r="D71" s="137" t="str">
        <f aca="false">Scoring!BB77</f>
        <v/>
      </c>
      <c r="E71" s="136" t="str">
        <f aca="false">Scoring!AE77</f>
        <v/>
      </c>
      <c r="F71" s="136" t="n">
        <f aca="false">Scoring!B77</f>
        <v>0</v>
      </c>
      <c r="G71" s="136" t="n">
        <f aca="false">Scoring!D77</f>
        <v>0</v>
      </c>
      <c r="H71" s="136" t="str">
        <f aca="false">Scoring!BD77</f>
        <v/>
      </c>
      <c r="I71" s="138" t="str">
        <f aca="false">Scoring!BC77</f>
        <v/>
      </c>
    </row>
    <row r="72" customFormat="false" ht="15.75" hidden="false" customHeight="false" outlineLevel="0" collapsed="false">
      <c r="A72" s="136" t="str">
        <f aca="false">Scoring!BF78</f>
        <v/>
      </c>
      <c r="B72" s="136" t="str">
        <f aca="false">Scoring!BE78</f>
        <v/>
      </c>
      <c r="C72" s="136" t="n">
        <f aca="false">Scoring!C78</f>
        <v>0</v>
      </c>
      <c r="D72" s="137" t="str">
        <f aca="false">Scoring!BB78</f>
        <v/>
      </c>
      <c r="E72" s="136" t="str">
        <f aca="false">Scoring!AE78</f>
        <v/>
      </c>
      <c r="F72" s="136" t="n">
        <f aca="false">Scoring!B78</f>
        <v>0</v>
      </c>
      <c r="G72" s="136" t="n">
        <f aca="false">Scoring!D78</f>
        <v>0</v>
      </c>
      <c r="H72" s="136" t="str">
        <f aca="false">Scoring!BD78</f>
        <v/>
      </c>
      <c r="I72" s="138" t="str">
        <f aca="false">Scoring!BC78</f>
        <v/>
      </c>
    </row>
    <row r="73" customFormat="false" ht="15.75" hidden="false" customHeight="false" outlineLevel="0" collapsed="false">
      <c r="A73" s="136" t="str">
        <f aca="false">Scoring!BF79</f>
        <v/>
      </c>
      <c r="B73" s="136" t="str">
        <f aca="false">Scoring!BE79</f>
        <v/>
      </c>
      <c r="C73" s="136" t="n">
        <f aca="false">Scoring!C79</f>
        <v>0</v>
      </c>
      <c r="D73" s="137" t="str">
        <f aca="false">Scoring!BB79</f>
        <v/>
      </c>
      <c r="E73" s="136" t="str">
        <f aca="false">Scoring!AE79</f>
        <v/>
      </c>
      <c r="F73" s="136" t="n">
        <f aca="false">Scoring!B79</f>
        <v>0</v>
      </c>
      <c r="G73" s="136" t="n">
        <f aca="false">Scoring!D79</f>
        <v>0</v>
      </c>
      <c r="H73" s="136" t="str">
        <f aca="false">Scoring!BD79</f>
        <v/>
      </c>
      <c r="I73" s="138" t="str">
        <f aca="false">Scoring!BC79</f>
        <v/>
      </c>
    </row>
    <row r="74" customFormat="false" ht="15.75" hidden="false" customHeight="false" outlineLevel="0" collapsed="false">
      <c r="A74" s="136" t="str">
        <f aca="false">Scoring!BF80</f>
        <v/>
      </c>
      <c r="B74" s="136" t="str">
        <f aca="false">Scoring!BE80</f>
        <v/>
      </c>
      <c r="C74" s="136" t="n">
        <f aca="false">Scoring!C80</f>
        <v>0</v>
      </c>
      <c r="D74" s="137" t="str">
        <f aca="false">Scoring!BB80</f>
        <v/>
      </c>
      <c r="E74" s="136" t="str">
        <f aca="false">Scoring!AE80</f>
        <v/>
      </c>
      <c r="F74" s="136" t="n">
        <f aca="false">Scoring!B80</f>
        <v>0</v>
      </c>
      <c r="G74" s="136" t="n">
        <f aca="false">Scoring!D80</f>
        <v>0</v>
      </c>
      <c r="H74" s="136" t="str">
        <f aca="false">Scoring!BD80</f>
        <v/>
      </c>
      <c r="I74" s="138" t="str">
        <f aca="false">Scoring!BC80</f>
        <v/>
      </c>
    </row>
    <row r="75" customFormat="false" ht="15.75" hidden="false" customHeight="false" outlineLevel="0" collapsed="false">
      <c r="A75" s="136" t="str">
        <f aca="false">Scoring!BF81</f>
        <v/>
      </c>
      <c r="B75" s="136" t="str">
        <f aca="false">Scoring!BE81</f>
        <v/>
      </c>
      <c r="C75" s="136" t="n">
        <f aca="false">Scoring!C81</f>
        <v>0</v>
      </c>
      <c r="D75" s="137" t="str">
        <f aca="false">Scoring!BB81</f>
        <v/>
      </c>
      <c r="E75" s="136" t="str">
        <f aca="false">Scoring!AE81</f>
        <v/>
      </c>
      <c r="F75" s="136" t="n">
        <f aca="false">Scoring!B81</f>
        <v>0</v>
      </c>
      <c r="G75" s="136" t="n">
        <f aca="false">Scoring!D81</f>
        <v>0</v>
      </c>
      <c r="H75" s="136" t="str">
        <f aca="false">Scoring!BD81</f>
        <v/>
      </c>
      <c r="I75" s="138" t="str">
        <f aca="false">Scoring!BC81</f>
        <v/>
      </c>
    </row>
    <row r="76" customFormat="false" ht="15.75" hidden="false" customHeight="false" outlineLevel="0" collapsed="false">
      <c r="A76" s="136" t="str">
        <f aca="false">Scoring!BF82</f>
        <v/>
      </c>
      <c r="B76" s="136" t="str">
        <f aca="false">Scoring!BE82</f>
        <v/>
      </c>
      <c r="C76" s="136" t="n">
        <f aca="false">Scoring!C82</f>
        <v>0</v>
      </c>
      <c r="D76" s="137" t="str">
        <f aca="false">Scoring!BB82</f>
        <v/>
      </c>
      <c r="E76" s="136" t="str">
        <f aca="false">Scoring!AE82</f>
        <v/>
      </c>
      <c r="F76" s="136" t="n">
        <f aca="false">Scoring!B82</f>
        <v>0</v>
      </c>
      <c r="G76" s="136" t="n">
        <f aca="false">Scoring!D82</f>
        <v>0</v>
      </c>
      <c r="H76" s="136" t="str">
        <f aca="false">Scoring!BD82</f>
        <v/>
      </c>
      <c r="I76" s="138" t="str">
        <f aca="false">Scoring!BC82</f>
        <v/>
      </c>
    </row>
    <row r="77" customFormat="false" ht="15.75" hidden="false" customHeight="false" outlineLevel="0" collapsed="false">
      <c r="A77" s="136" t="str">
        <f aca="false">Scoring!BF83</f>
        <v/>
      </c>
      <c r="B77" s="136" t="str">
        <f aca="false">Scoring!BE83</f>
        <v/>
      </c>
      <c r="C77" s="136" t="n">
        <f aca="false">Scoring!C83</f>
        <v>0</v>
      </c>
      <c r="D77" s="137" t="str">
        <f aca="false">Scoring!BB83</f>
        <v/>
      </c>
      <c r="E77" s="136" t="str">
        <f aca="false">Scoring!AE83</f>
        <v/>
      </c>
      <c r="F77" s="136" t="n">
        <f aca="false">Scoring!B83</f>
        <v>0</v>
      </c>
      <c r="G77" s="136" t="n">
        <f aca="false">Scoring!D83</f>
        <v>0</v>
      </c>
      <c r="H77" s="136" t="str">
        <f aca="false">Scoring!BD83</f>
        <v/>
      </c>
      <c r="I77" s="138" t="str">
        <f aca="false">Scoring!BC83</f>
        <v/>
      </c>
    </row>
    <row r="78" customFormat="false" ht="15.75" hidden="false" customHeight="false" outlineLevel="0" collapsed="false">
      <c r="A78" s="136" t="str">
        <f aca="false">Scoring!BF84</f>
        <v/>
      </c>
      <c r="B78" s="136" t="str">
        <f aca="false">Scoring!BE84</f>
        <v/>
      </c>
      <c r="C78" s="136" t="n">
        <f aca="false">Scoring!C84</f>
        <v>0</v>
      </c>
      <c r="D78" s="137" t="str">
        <f aca="false">Scoring!BB84</f>
        <v/>
      </c>
      <c r="E78" s="136" t="str">
        <f aca="false">Scoring!AE84</f>
        <v/>
      </c>
      <c r="F78" s="136" t="n">
        <f aca="false">Scoring!B84</f>
        <v>0</v>
      </c>
      <c r="G78" s="136" t="n">
        <f aca="false">Scoring!D84</f>
        <v>0</v>
      </c>
      <c r="H78" s="136" t="str">
        <f aca="false">Scoring!BD84</f>
        <v/>
      </c>
      <c r="I78" s="138" t="str">
        <f aca="false">Scoring!BC84</f>
        <v/>
      </c>
    </row>
    <row r="79" customFormat="false" ht="15.75" hidden="false" customHeight="false" outlineLevel="0" collapsed="false">
      <c r="A79" s="136" t="str">
        <f aca="false">Scoring!BF85</f>
        <v/>
      </c>
      <c r="B79" s="136" t="str">
        <f aca="false">Scoring!BE85</f>
        <v/>
      </c>
      <c r="C79" s="136" t="n">
        <f aca="false">Scoring!C85</f>
        <v>0</v>
      </c>
      <c r="D79" s="137" t="str">
        <f aca="false">Scoring!BB85</f>
        <v/>
      </c>
      <c r="E79" s="136" t="str">
        <f aca="false">Scoring!AE85</f>
        <v/>
      </c>
      <c r="F79" s="136" t="n">
        <f aca="false">Scoring!B85</f>
        <v>0</v>
      </c>
      <c r="G79" s="136" t="n">
        <f aca="false">Scoring!D85</f>
        <v>0</v>
      </c>
      <c r="H79" s="136" t="str">
        <f aca="false">Scoring!BD85</f>
        <v/>
      </c>
      <c r="I79" s="138" t="str">
        <f aca="false">Scoring!BC85</f>
        <v/>
      </c>
    </row>
    <row r="80" customFormat="false" ht="15.75" hidden="false" customHeight="false" outlineLevel="0" collapsed="false">
      <c r="A80" s="136" t="str">
        <f aca="false">Scoring!BF86</f>
        <v/>
      </c>
      <c r="B80" s="136" t="str">
        <f aca="false">Scoring!BE86</f>
        <v/>
      </c>
      <c r="C80" s="136" t="n">
        <f aca="false">Scoring!C86</f>
        <v>0</v>
      </c>
      <c r="D80" s="137" t="str">
        <f aca="false">Scoring!BB86</f>
        <v/>
      </c>
      <c r="E80" s="136" t="str">
        <f aca="false">Scoring!AE86</f>
        <v/>
      </c>
      <c r="F80" s="136" t="n">
        <f aca="false">Scoring!B86</f>
        <v>0</v>
      </c>
      <c r="G80" s="136" t="n">
        <f aca="false">Scoring!D86</f>
        <v>0</v>
      </c>
      <c r="H80" s="136" t="str">
        <f aca="false">Scoring!BD86</f>
        <v/>
      </c>
      <c r="I80" s="138" t="str">
        <f aca="false">Scoring!BC86</f>
        <v/>
      </c>
    </row>
    <row r="81" customFormat="false" ht="15.75" hidden="false" customHeight="false" outlineLevel="0" collapsed="false">
      <c r="A81" s="136" t="str">
        <f aca="false">Scoring!BF87</f>
        <v/>
      </c>
      <c r="B81" s="136" t="str">
        <f aca="false">Scoring!BE87</f>
        <v/>
      </c>
      <c r="C81" s="136" t="n">
        <f aca="false">Scoring!C87</f>
        <v>0</v>
      </c>
      <c r="D81" s="137" t="str">
        <f aca="false">Scoring!BB87</f>
        <v/>
      </c>
      <c r="E81" s="136" t="str">
        <f aca="false">Scoring!AE87</f>
        <v/>
      </c>
      <c r="F81" s="136" t="n">
        <f aca="false">Scoring!B87</f>
        <v>0</v>
      </c>
      <c r="G81" s="136" t="n">
        <f aca="false">Scoring!D87</f>
        <v>0</v>
      </c>
      <c r="H81" s="136" t="str">
        <f aca="false">Scoring!BD87</f>
        <v/>
      </c>
      <c r="I81" s="138" t="str">
        <f aca="false">Scoring!BC87</f>
        <v/>
      </c>
    </row>
    <row r="82" customFormat="false" ht="15.75" hidden="false" customHeight="false" outlineLevel="0" collapsed="false">
      <c r="A82" s="136" t="str">
        <f aca="false">Scoring!BF88</f>
        <v/>
      </c>
      <c r="B82" s="136" t="str">
        <f aca="false">Scoring!BE88</f>
        <v/>
      </c>
      <c r="C82" s="136" t="n">
        <f aca="false">Scoring!C88</f>
        <v>0</v>
      </c>
      <c r="D82" s="137" t="str">
        <f aca="false">Scoring!BB88</f>
        <v/>
      </c>
      <c r="E82" s="136" t="str">
        <f aca="false">Scoring!AE88</f>
        <v/>
      </c>
      <c r="F82" s="136" t="n">
        <f aca="false">Scoring!B88</f>
        <v>0</v>
      </c>
      <c r="G82" s="136" t="n">
        <f aca="false">Scoring!D88</f>
        <v>0</v>
      </c>
      <c r="H82" s="136" t="str">
        <f aca="false">Scoring!BD88</f>
        <v/>
      </c>
      <c r="I82" s="138" t="str">
        <f aca="false">Scoring!BC88</f>
        <v/>
      </c>
    </row>
    <row r="83" customFormat="false" ht="15.75" hidden="false" customHeight="false" outlineLevel="0" collapsed="false">
      <c r="A83" s="136" t="str">
        <f aca="false">Scoring!BF89</f>
        <v/>
      </c>
      <c r="B83" s="136" t="str">
        <f aca="false">Scoring!BE89</f>
        <v/>
      </c>
      <c r="C83" s="136" t="n">
        <f aca="false">Scoring!C89</f>
        <v>0</v>
      </c>
      <c r="D83" s="137" t="str">
        <f aca="false">Scoring!BB89</f>
        <v/>
      </c>
      <c r="E83" s="136" t="str">
        <f aca="false">Scoring!AE89</f>
        <v/>
      </c>
      <c r="F83" s="136" t="n">
        <f aca="false">Scoring!B89</f>
        <v>0</v>
      </c>
      <c r="G83" s="136" t="n">
        <f aca="false">Scoring!D89</f>
        <v>0</v>
      </c>
      <c r="H83" s="136" t="str">
        <f aca="false">Scoring!BD89</f>
        <v/>
      </c>
      <c r="I83" s="138" t="str">
        <f aca="false">Scoring!BC89</f>
        <v/>
      </c>
    </row>
    <row r="84" customFormat="false" ht="15.75" hidden="false" customHeight="false" outlineLevel="0" collapsed="false">
      <c r="A84" s="136" t="str">
        <f aca="false">Scoring!BF90</f>
        <v/>
      </c>
      <c r="B84" s="136" t="str">
        <f aca="false">Scoring!BE90</f>
        <v/>
      </c>
      <c r="C84" s="136" t="n">
        <f aca="false">Scoring!C90</f>
        <v>0</v>
      </c>
      <c r="D84" s="137" t="str">
        <f aca="false">Scoring!BB90</f>
        <v/>
      </c>
      <c r="E84" s="136" t="str">
        <f aca="false">Scoring!AE90</f>
        <v/>
      </c>
      <c r="F84" s="136" t="n">
        <f aca="false">Scoring!B90</f>
        <v>0</v>
      </c>
      <c r="G84" s="136" t="n">
        <f aca="false">Scoring!D90</f>
        <v>0</v>
      </c>
      <c r="H84" s="136" t="str">
        <f aca="false">Scoring!BD90</f>
        <v/>
      </c>
      <c r="I84" s="138" t="str">
        <f aca="false">Scoring!BC90</f>
        <v/>
      </c>
    </row>
    <row r="85" customFormat="false" ht="15.75" hidden="false" customHeight="false" outlineLevel="0" collapsed="false">
      <c r="A85" s="136" t="str">
        <f aca="false">Scoring!BF91</f>
        <v/>
      </c>
      <c r="B85" s="136" t="str">
        <f aca="false">Scoring!BE91</f>
        <v/>
      </c>
      <c r="C85" s="136" t="n">
        <f aca="false">Scoring!C91</f>
        <v>0</v>
      </c>
      <c r="D85" s="137" t="str">
        <f aca="false">Scoring!BB91</f>
        <v/>
      </c>
      <c r="E85" s="136" t="str">
        <f aca="false">Scoring!AE91</f>
        <v/>
      </c>
      <c r="F85" s="136" t="n">
        <f aca="false">Scoring!B91</f>
        <v>0</v>
      </c>
      <c r="G85" s="136" t="n">
        <f aca="false">Scoring!D91</f>
        <v>0</v>
      </c>
      <c r="H85" s="136" t="str">
        <f aca="false">Scoring!BD91</f>
        <v/>
      </c>
      <c r="I85" s="138" t="str">
        <f aca="false">Scoring!BC91</f>
        <v/>
      </c>
    </row>
    <row r="86" customFormat="false" ht="15.75" hidden="false" customHeight="false" outlineLevel="0" collapsed="false">
      <c r="A86" s="136" t="str">
        <f aca="false">Scoring!BF92</f>
        <v/>
      </c>
      <c r="B86" s="136" t="str">
        <f aca="false">Scoring!BE92</f>
        <v/>
      </c>
      <c r="C86" s="136" t="n">
        <f aca="false">Scoring!C92</f>
        <v>0</v>
      </c>
      <c r="D86" s="137" t="str">
        <f aca="false">Scoring!BB92</f>
        <v/>
      </c>
      <c r="E86" s="136" t="str">
        <f aca="false">Scoring!AE92</f>
        <v/>
      </c>
      <c r="F86" s="136" t="n">
        <f aca="false">Scoring!B92</f>
        <v>0</v>
      </c>
      <c r="G86" s="136" t="n">
        <f aca="false">Scoring!D92</f>
        <v>0</v>
      </c>
      <c r="H86" s="136" t="str">
        <f aca="false">Scoring!BD92</f>
        <v/>
      </c>
      <c r="I86" s="138" t="str">
        <f aca="false">Scoring!BC92</f>
        <v/>
      </c>
    </row>
    <row r="87" customFormat="false" ht="15.75" hidden="false" customHeight="false" outlineLevel="0" collapsed="false">
      <c r="A87" s="136" t="str">
        <f aca="false">Scoring!BF93</f>
        <v/>
      </c>
      <c r="B87" s="136" t="str">
        <f aca="false">Scoring!BE93</f>
        <v/>
      </c>
      <c r="C87" s="136" t="n">
        <f aca="false">Scoring!C93</f>
        <v>0</v>
      </c>
      <c r="D87" s="137" t="str">
        <f aca="false">Scoring!BB93</f>
        <v/>
      </c>
      <c r="E87" s="136" t="str">
        <f aca="false">Scoring!AE93</f>
        <v/>
      </c>
      <c r="F87" s="136" t="n">
        <f aca="false">Scoring!B93</f>
        <v>0</v>
      </c>
      <c r="G87" s="136" t="n">
        <f aca="false">Scoring!D93</f>
        <v>0</v>
      </c>
      <c r="H87" s="136" t="str">
        <f aca="false">Scoring!BD93</f>
        <v/>
      </c>
      <c r="I87" s="138" t="str">
        <f aca="false">Scoring!BC93</f>
        <v/>
      </c>
    </row>
    <row r="88" customFormat="false" ht="15.75" hidden="false" customHeight="false" outlineLevel="0" collapsed="false">
      <c r="A88" s="136" t="str">
        <f aca="false">Scoring!BF94</f>
        <v/>
      </c>
      <c r="B88" s="136" t="str">
        <f aca="false">Scoring!BE94</f>
        <v/>
      </c>
      <c r="C88" s="136" t="n">
        <f aca="false">Scoring!C94</f>
        <v>0</v>
      </c>
      <c r="D88" s="137" t="str">
        <f aca="false">Scoring!BB94</f>
        <v/>
      </c>
      <c r="E88" s="136" t="str">
        <f aca="false">Scoring!AE94</f>
        <v/>
      </c>
      <c r="F88" s="136" t="n">
        <f aca="false">Scoring!B94</f>
        <v>0</v>
      </c>
      <c r="G88" s="136" t="n">
        <f aca="false">Scoring!D94</f>
        <v>0</v>
      </c>
      <c r="H88" s="136" t="str">
        <f aca="false">Scoring!BD94</f>
        <v/>
      </c>
      <c r="I88" s="138" t="str">
        <f aca="false">Scoring!BC94</f>
        <v/>
      </c>
    </row>
    <row r="89" customFormat="false" ht="15.75" hidden="false" customHeight="false" outlineLevel="0" collapsed="false">
      <c r="A89" s="136" t="str">
        <f aca="false">Scoring!BF95</f>
        <v/>
      </c>
      <c r="B89" s="136" t="str">
        <f aca="false">Scoring!BE95</f>
        <v/>
      </c>
      <c r="C89" s="136" t="n">
        <f aca="false">Scoring!C95</f>
        <v>0</v>
      </c>
      <c r="D89" s="137" t="str">
        <f aca="false">Scoring!BB95</f>
        <v/>
      </c>
      <c r="E89" s="136" t="str">
        <f aca="false">Scoring!AE95</f>
        <v/>
      </c>
      <c r="F89" s="136" t="n">
        <f aca="false">Scoring!B95</f>
        <v>0</v>
      </c>
      <c r="G89" s="136" t="n">
        <f aca="false">Scoring!D95</f>
        <v>0</v>
      </c>
      <c r="H89" s="136" t="str">
        <f aca="false">Scoring!BD95</f>
        <v/>
      </c>
      <c r="I89" s="138" t="str">
        <f aca="false">Scoring!BC95</f>
        <v/>
      </c>
    </row>
    <row r="90" customFormat="false" ht="15.75" hidden="false" customHeight="false" outlineLevel="0" collapsed="false">
      <c r="A90" s="136" t="str">
        <f aca="false">Scoring!BF96</f>
        <v/>
      </c>
      <c r="B90" s="136" t="str">
        <f aca="false">Scoring!BE96</f>
        <v/>
      </c>
      <c r="C90" s="136" t="n">
        <f aca="false">Scoring!C96</f>
        <v>0</v>
      </c>
      <c r="D90" s="137" t="str">
        <f aca="false">Scoring!BB96</f>
        <v/>
      </c>
      <c r="E90" s="136" t="str">
        <f aca="false">Scoring!AE96</f>
        <v/>
      </c>
      <c r="F90" s="136" t="n">
        <f aca="false">Scoring!B96</f>
        <v>0</v>
      </c>
      <c r="G90" s="136" t="n">
        <f aca="false">Scoring!D96</f>
        <v>0</v>
      </c>
      <c r="H90" s="136" t="str">
        <f aca="false">Scoring!BD96</f>
        <v/>
      </c>
      <c r="I90" s="138" t="str">
        <f aca="false">Scoring!BC96</f>
        <v/>
      </c>
    </row>
    <row r="91" customFormat="false" ht="15.75" hidden="false" customHeight="false" outlineLevel="0" collapsed="false">
      <c r="A91" s="136" t="str">
        <f aca="false">Scoring!BF97</f>
        <v/>
      </c>
      <c r="B91" s="136" t="str">
        <f aca="false">Scoring!BE97</f>
        <v/>
      </c>
      <c r="C91" s="136" t="n">
        <f aca="false">Scoring!C97</f>
        <v>0</v>
      </c>
      <c r="D91" s="137" t="str">
        <f aca="false">Scoring!BB97</f>
        <v/>
      </c>
      <c r="E91" s="136" t="str">
        <f aca="false">Scoring!AE97</f>
        <v/>
      </c>
      <c r="F91" s="136" t="n">
        <f aca="false">Scoring!B97</f>
        <v>0</v>
      </c>
      <c r="G91" s="136" t="n">
        <f aca="false">Scoring!D97</f>
        <v>0</v>
      </c>
      <c r="H91" s="136" t="str">
        <f aca="false">Scoring!BD97</f>
        <v/>
      </c>
      <c r="I91" s="138" t="str">
        <f aca="false">Scoring!BC97</f>
        <v/>
      </c>
    </row>
    <row r="92" customFormat="false" ht="15.75" hidden="false" customHeight="false" outlineLevel="0" collapsed="false">
      <c r="A92" s="136" t="str">
        <f aca="false">Scoring!BF98</f>
        <v/>
      </c>
      <c r="B92" s="136" t="str">
        <f aca="false">Scoring!BE98</f>
        <v/>
      </c>
      <c r="C92" s="136" t="n">
        <f aca="false">Scoring!C98</f>
        <v>0</v>
      </c>
      <c r="D92" s="137" t="str">
        <f aca="false">Scoring!BB98</f>
        <v/>
      </c>
      <c r="E92" s="136" t="str">
        <f aca="false">Scoring!AE98</f>
        <v/>
      </c>
      <c r="F92" s="136" t="n">
        <f aca="false">Scoring!B98</f>
        <v>0</v>
      </c>
      <c r="G92" s="136" t="n">
        <f aca="false">Scoring!D98</f>
        <v>0</v>
      </c>
      <c r="H92" s="136" t="str">
        <f aca="false">Scoring!BD98</f>
        <v/>
      </c>
      <c r="I92" s="138" t="str">
        <f aca="false">Scoring!BC98</f>
        <v/>
      </c>
    </row>
    <row r="93" customFormat="false" ht="15.75" hidden="false" customHeight="false" outlineLevel="0" collapsed="false">
      <c r="A93" s="136" t="str">
        <f aca="false">Scoring!BF99</f>
        <v/>
      </c>
      <c r="B93" s="136" t="str">
        <f aca="false">Scoring!BE99</f>
        <v/>
      </c>
      <c r="C93" s="136" t="n">
        <f aca="false">Scoring!C99</f>
        <v>0</v>
      </c>
      <c r="D93" s="137" t="str">
        <f aca="false">Scoring!BB99</f>
        <v/>
      </c>
      <c r="E93" s="136" t="str">
        <f aca="false">Scoring!AE99</f>
        <v/>
      </c>
      <c r="F93" s="136" t="n">
        <f aca="false">Scoring!B99</f>
        <v>0</v>
      </c>
      <c r="G93" s="136" t="n">
        <f aca="false">Scoring!D99</f>
        <v>0</v>
      </c>
      <c r="H93" s="136" t="str">
        <f aca="false">Scoring!BD99</f>
        <v/>
      </c>
      <c r="I93" s="138" t="str">
        <f aca="false">Scoring!BC99</f>
        <v/>
      </c>
    </row>
    <row r="94" customFormat="false" ht="15.75" hidden="false" customHeight="false" outlineLevel="0" collapsed="false">
      <c r="A94" s="136" t="str">
        <f aca="false">Scoring!BF100</f>
        <v/>
      </c>
      <c r="B94" s="136" t="str">
        <f aca="false">Scoring!BE100</f>
        <v/>
      </c>
      <c r="C94" s="136" t="n">
        <f aca="false">Scoring!C100</f>
        <v>0</v>
      </c>
      <c r="D94" s="137" t="str">
        <f aca="false">Scoring!BB100</f>
        <v/>
      </c>
      <c r="E94" s="136" t="str">
        <f aca="false">Scoring!AE100</f>
        <v/>
      </c>
      <c r="F94" s="136" t="n">
        <f aca="false">Scoring!B100</f>
        <v>0</v>
      </c>
      <c r="G94" s="136" t="n">
        <f aca="false">Scoring!D100</f>
        <v>0</v>
      </c>
      <c r="H94" s="136" t="str">
        <f aca="false">Scoring!BD100</f>
        <v/>
      </c>
      <c r="I94" s="138" t="str">
        <f aca="false">Scoring!BC100</f>
        <v/>
      </c>
    </row>
    <row r="95" customFormat="false" ht="15.75" hidden="false" customHeight="false" outlineLevel="0" collapsed="false">
      <c r="A95" s="136" t="str">
        <f aca="false">Scoring!BF101</f>
        <v/>
      </c>
      <c r="B95" s="136" t="str">
        <f aca="false">Scoring!BE101</f>
        <v/>
      </c>
      <c r="C95" s="136" t="n">
        <f aca="false">Scoring!C101</f>
        <v>0</v>
      </c>
      <c r="D95" s="137" t="str">
        <f aca="false">Scoring!BB101</f>
        <v/>
      </c>
      <c r="E95" s="136" t="str">
        <f aca="false">Scoring!AE101</f>
        <v/>
      </c>
      <c r="F95" s="136" t="n">
        <f aca="false">Scoring!B101</f>
        <v>0</v>
      </c>
      <c r="G95" s="136" t="n">
        <f aca="false">Scoring!D101</f>
        <v>0</v>
      </c>
      <c r="H95" s="136" t="str">
        <f aca="false">Scoring!BD101</f>
        <v/>
      </c>
      <c r="I95" s="138" t="str">
        <f aca="false">Scoring!BC101</f>
        <v/>
      </c>
    </row>
    <row r="96" customFormat="false" ht="15.75" hidden="false" customHeight="false" outlineLevel="0" collapsed="false">
      <c r="A96" s="136" t="str">
        <f aca="false">Scoring!BF102</f>
        <v/>
      </c>
      <c r="B96" s="136" t="str">
        <f aca="false">Scoring!BE102</f>
        <v/>
      </c>
      <c r="C96" s="136" t="n">
        <f aca="false">Scoring!C102</f>
        <v>0</v>
      </c>
      <c r="D96" s="137" t="str">
        <f aca="false">Scoring!BB102</f>
        <v/>
      </c>
      <c r="E96" s="136" t="str">
        <f aca="false">Scoring!AE102</f>
        <v/>
      </c>
      <c r="F96" s="136" t="n">
        <f aca="false">Scoring!B102</f>
        <v>0</v>
      </c>
      <c r="G96" s="136" t="n">
        <f aca="false">Scoring!D102</f>
        <v>0</v>
      </c>
      <c r="H96" s="136" t="str">
        <f aca="false">Scoring!BD102</f>
        <v/>
      </c>
      <c r="I96" s="138" t="str">
        <f aca="false">Scoring!BC102</f>
        <v/>
      </c>
    </row>
    <row r="97" customFormat="false" ht="15.75" hidden="false" customHeight="false" outlineLevel="0" collapsed="false">
      <c r="A97" s="136" t="str">
        <f aca="false">Scoring!BF103</f>
        <v/>
      </c>
      <c r="B97" s="136" t="str">
        <f aca="false">Scoring!BE103</f>
        <v/>
      </c>
      <c r="C97" s="136" t="n">
        <f aca="false">Scoring!C103</f>
        <v>0</v>
      </c>
      <c r="D97" s="137" t="str">
        <f aca="false">Scoring!BB103</f>
        <v/>
      </c>
      <c r="E97" s="136" t="str">
        <f aca="false">Scoring!AE103</f>
        <v/>
      </c>
      <c r="F97" s="136" t="n">
        <f aca="false">Scoring!B103</f>
        <v>0</v>
      </c>
      <c r="G97" s="136" t="n">
        <f aca="false">Scoring!D103</f>
        <v>0</v>
      </c>
      <c r="H97" s="136" t="str">
        <f aca="false">Scoring!BD103</f>
        <v/>
      </c>
      <c r="I97" s="138" t="str">
        <f aca="false">Scoring!BC103</f>
        <v/>
      </c>
    </row>
    <row r="98" customFormat="false" ht="15.75" hidden="false" customHeight="false" outlineLevel="0" collapsed="false">
      <c r="A98" s="136" t="str">
        <f aca="false">Scoring!BF104</f>
        <v/>
      </c>
      <c r="B98" s="136" t="str">
        <f aca="false">Scoring!BE104</f>
        <v/>
      </c>
      <c r="C98" s="136" t="n">
        <f aca="false">Scoring!C104</f>
        <v>0</v>
      </c>
      <c r="D98" s="137" t="str">
        <f aca="false">Scoring!BB104</f>
        <v/>
      </c>
      <c r="E98" s="136" t="str">
        <f aca="false">Scoring!AE104</f>
        <v/>
      </c>
      <c r="F98" s="136" t="n">
        <f aca="false">Scoring!B104</f>
        <v>0</v>
      </c>
      <c r="G98" s="136" t="n">
        <f aca="false">Scoring!D104</f>
        <v>0</v>
      </c>
      <c r="H98" s="136" t="str">
        <f aca="false">Scoring!BD104</f>
        <v/>
      </c>
      <c r="I98" s="138" t="str">
        <f aca="false">Scoring!BC104</f>
        <v/>
      </c>
    </row>
    <row r="99" customFormat="false" ht="15.75" hidden="false" customHeight="false" outlineLevel="0" collapsed="false">
      <c r="A99" s="136" t="str">
        <f aca="false">Scoring!BF105</f>
        <v/>
      </c>
      <c r="B99" s="136" t="str">
        <f aca="false">Scoring!BE105</f>
        <v/>
      </c>
      <c r="C99" s="136" t="n">
        <f aca="false">Scoring!C105</f>
        <v>0</v>
      </c>
      <c r="D99" s="137" t="str">
        <f aca="false">Scoring!BB105</f>
        <v/>
      </c>
      <c r="E99" s="136" t="str">
        <f aca="false">Scoring!AE105</f>
        <v/>
      </c>
      <c r="F99" s="136" t="n">
        <f aca="false">Scoring!B105</f>
        <v>0</v>
      </c>
      <c r="G99" s="136" t="n">
        <f aca="false">Scoring!D105</f>
        <v>0</v>
      </c>
      <c r="H99" s="136" t="str">
        <f aca="false">Scoring!BD105</f>
        <v/>
      </c>
      <c r="I99" s="138" t="str">
        <f aca="false">Scoring!BC105</f>
        <v/>
      </c>
    </row>
    <row r="100" customFormat="false" ht="15.75" hidden="false" customHeight="false" outlineLevel="0" collapsed="false">
      <c r="A100" s="136" t="str">
        <f aca="false">Scoring!BF106</f>
        <v/>
      </c>
      <c r="B100" s="136" t="str">
        <f aca="false">Scoring!BE106</f>
        <v/>
      </c>
      <c r="C100" s="136" t="n">
        <f aca="false">Scoring!C106</f>
        <v>0</v>
      </c>
      <c r="D100" s="137" t="str">
        <f aca="false">Scoring!BB106</f>
        <v/>
      </c>
      <c r="E100" s="136" t="str">
        <f aca="false">Scoring!AE106</f>
        <v/>
      </c>
      <c r="F100" s="136" t="n">
        <f aca="false">Scoring!B106</f>
        <v>0</v>
      </c>
      <c r="G100" s="136" t="n">
        <f aca="false">Scoring!D106</f>
        <v>0</v>
      </c>
      <c r="H100" s="136" t="str">
        <f aca="false">Scoring!BD106</f>
        <v/>
      </c>
      <c r="I100" s="138" t="str">
        <f aca="false">Scoring!BC106</f>
        <v/>
      </c>
    </row>
    <row r="101" customFormat="false" ht="15.75" hidden="false" customHeight="false" outlineLevel="0" collapsed="false">
      <c r="A101" s="136" t="str">
        <f aca="false">Scoring!BF107</f>
        <v/>
      </c>
      <c r="B101" s="136" t="str">
        <f aca="false">Scoring!BE107</f>
        <v/>
      </c>
      <c r="C101" s="136" t="n">
        <f aca="false">Scoring!C107</f>
        <v>0</v>
      </c>
      <c r="D101" s="137" t="str">
        <f aca="false">Scoring!BB107</f>
        <v/>
      </c>
      <c r="E101" s="136" t="str">
        <f aca="false">Scoring!AE107</f>
        <v/>
      </c>
      <c r="F101" s="136" t="n">
        <f aca="false">Scoring!B107</f>
        <v>0</v>
      </c>
      <c r="G101" s="136" t="n">
        <f aca="false">Scoring!D107</f>
        <v>0</v>
      </c>
      <c r="H101" s="136" t="str">
        <f aca="false">Scoring!BD107</f>
        <v/>
      </c>
      <c r="I101" s="138" t="str">
        <f aca="false">Scoring!BC107</f>
        <v/>
      </c>
    </row>
    <row r="102" customFormat="false" ht="15.75" hidden="false" customHeight="false" outlineLevel="0" collapsed="false">
      <c r="A102" s="136" t="str">
        <f aca="false">Scoring!BF108</f>
        <v/>
      </c>
      <c r="B102" s="136" t="str">
        <f aca="false">Scoring!BE108</f>
        <v/>
      </c>
      <c r="C102" s="136" t="n">
        <f aca="false">Scoring!C108</f>
        <v>0</v>
      </c>
      <c r="D102" s="137" t="str">
        <f aca="false">Scoring!BB108</f>
        <v/>
      </c>
      <c r="E102" s="136" t="str">
        <f aca="false">Scoring!AE108</f>
        <v/>
      </c>
      <c r="F102" s="136" t="n">
        <f aca="false">Scoring!B108</f>
        <v>0</v>
      </c>
      <c r="G102" s="136" t="n">
        <f aca="false">Scoring!D108</f>
        <v>0</v>
      </c>
      <c r="H102" s="136" t="str">
        <f aca="false">Scoring!BD108</f>
        <v/>
      </c>
      <c r="I102" s="138" t="str">
        <f aca="false">Scoring!BC108</f>
        <v/>
      </c>
    </row>
    <row r="103" customFormat="false" ht="15.75" hidden="false" customHeight="false" outlineLevel="0" collapsed="false">
      <c r="A103" s="136" t="str">
        <f aca="false">Scoring!BF109</f>
        <v/>
      </c>
      <c r="B103" s="136" t="str">
        <f aca="false">Scoring!BE109</f>
        <v/>
      </c>
      <c r="C103" s="136" t="n">
        <f aca="false">Scoring!C109</f>
        <v>0</v>
      </c>
      <c r="D103" s="137" t="str">
        <f aca="false">Scoring!BB109</f>
        <v/>
      </c>
      <c r="E103" s="136" t="str">
        <f aca="false">Scoring!AE109</f>
        <v/>
      </c>
      <c r="F103" s="136" t="n">
        <f aca="false">Scoring!B109</f>
        <v>0</v>
      </c>
      <c r="G103" s="136" t="n">
        <f aca="false">Scoring!D109</f>
        <v>0</v>
      </c>
      <c r="H103" s="136" t="str">
        <f aca="false">Scoring!BD109</f>
        <v/>
      </c>
      <c r="I103" s="138" t="str">
        <f aca="false">Scoring!BC109</f>
        <v/>
      </c>
    </row>
    <row r="104" customFormat="false" ht="15.75" hidden="false" customHeight="false" outlineLevel="0" collapsed="false">
      <c r="A104" s="136" t="str">
        <f aca="false">Scoring!BF110</f>
        <v/>
      </c>
      <c r="B104" s="136" t="str">
        <f aca="false">Scoring!BE110</f>
        <v/>
      </c>
      <c r="C104" s="136" t="n">
        <f aca="false">Scoring!C110</f>
        <v>0</v>
      </c>
      <c r="D104" s="137" t="str">
        <f aca="false">Scoring!BB110</f>
        <v/>
      </c>
      <c r="E104" s="136" t="str">
        <f aca="false">Scoring!AE110</f>
        <v/>
      </c>
      <c r="F104" s="136" t="n">
        <f aca="false">Scoring!B110</f>
        <v>0</v>
      </c>
      <c r="G104" s="136" t="n">
        <f aca="false">Scoring!D110</f>
        <v>0</v>
      </c>
      <c r="H104" s="136" t="str">
        <f aca="false">Scoring!BD110</f>
        <v/>
      </c>
      <c r="I104" s="138" t="str">
        <f aca="false">Scoring!BC110</f>
        <v/>
      </c>
    </row>
    <row r="105" customFormat="false" ht="15.75" hidden="false" customHeight="false" outlineLevel="0" collapsed="false">
      <c r="A105" s="136" t="str">
        <f aca="false">Scoring!BF111</f>
        <v/>
      </c>
      <c r="B105" s="136" t="str">
        <f aca="false">Scoring!BE111</f>
        <v/>
      </c>
      <c r="C105" s="136" t="n">
        <f aca="false">Scoring!C111</f>
        <v>0</v>
      </c>
      <c r="D105" s="137" t="str">
        <f aca="false">Scoring!BB111</f>
        <v/>
      </c>
      <c r="E105" s="136" t="str">
        <f aca="false">Scoring!AE111</f>
        <v/>
      </c>
      <c r="F105" s="136" t="n">
        <f aca="false">Scoring!B111</f>
        <v>0</v>
      </c>
      <c r="G105" s="136" t="n">
        <f aca="false">Scoring!D111</f>
        <v>0</v>
      </c>
      <c r="H105" s="136" t="str">
        <f aca="false">Scoring!BD111</f>
        <v/>
      </c>
      <c r="I105" s="138" t="str">
        <f aca="false">Scoring!BC111</f>
        <v/>
      </c>
    </row>
    <row r="106" customFormat="false" ht="15.75" hidden="false" customHeight="false" outlineLevel="0" collapsed="false">
      <c r="A106" s="136" t="str">
        <f aca="false">Scoring!BF112</f>
        <v/>
      </c>
      <c r="B106" s="136" t="str">
        <f aca="false">Scoring!BE112</f>
        <v/>
      </c>
      <c r="C106" s="136" t="n">
        <f aca="false">Scoring!C112</f>
        <v>0</v>
      </c>
      <c r="D106" s="137" t="str">
        <f aca="false">Scoring!BB112</f>
        <v/>
      </c>
      <c r="E106" s="136" t="str">
        <f aca="false">Scoring!AE112</f>
        <v/>
      </c>
      <c r="F106" s="136" t="n">
        <f aca="false">Scoring!B112</f>
        <v>0</v>
      </c>
      <c r="G106" s="136" t="n">
        <f aca="false">Scoring!D112</f>
        <v>0</v>
      </c>
      <c r="H106" s="136" t="str">
        <f aca="false">Scoring!BD112</f>
        <v/>
      </c>
      <c r="I106" s="138" t="str">
        <f aca="false">Scoring!BC112</f>
        <v/>
      </c>
    </row>
    <row r="107" customFormat="false" ht="15.75" hidden="false" customHeight="false" outlineLevel="0" collapsed="false">
      <c r="A107" s="136" t="str">
        <f aca="false">Scoring!BF113</f>
        <v/>
      </c>
      <c r="B107" s="136" t="str">
        <f aca="false">Scoring!BE113</f>
        <v/>
      </c>
      <c r="C107" s="136" t="n">
        <f aca="false">Scoring!C113</f>
        <v>0</v>
      </c>
      <c r="D107" s="137" t="str">
        <f aca="false">Scoring!BB113</f>
        <v/>
      </c>
      <c r="E107" s="136" t="str">
        <f aca="false">Scoring!AE113</f>
        <v/>
      </c>
      <c r="F107" s="136" t="n">
        <f aca="false">Scoring!B113</f>
        <v>0</v>
      </c>
      <c r="G107" s="136" t="n">
        <f aca="false">Scoring!D113</f>
        <v>0</v>
      </c>
      <c r="H107" s="136" t="str">
        <f aca="false">Scoring!BD113</f>
        <v/>
      </c>
      <c r="I107" s="138" t="str">
        <f aca="false">Scoring!BC113</f>
        <v/>
      </c>
    </row>
    <row r="108" customFormat="false" ht="15.75" hidden="false" customHeight="false" outlineLevel="0" collapsed="false">
      <c r="A108" s="136" t="str">
        <f aca="false">Scoring!BF114</f>
        <v/>
      </c>
      <c r="B108" s="136" t="str">
        <f aca="false">Scoring!BE114</f>
        <v/>
      </c>
      <c r="C108" s="136" t="n">
        <f aca="false">Scoring!C114</f>
        <v>0</v>
      </c>
      <c r="D108" s="137" t="str">
        <f aca="false">Scoring!BB114</f>
        <v/>
      </c>
      <c r="E108" s="136" t="str">
        <f aca="false">Scoring!AE114</f>
        <v/>
      </c>
      <c r="F108" s="136" t="n">
        <f aca="false">Scoring!B114</f>
        <v>0</v>
      </c>
      <c r="G108" s="136" t="n">
        <f aca="false">Scoring!D114</f>
        <v>0</v>
      </c>
      <c r="H108" s="136" t="str">
        <f aca="false">Scoring!BD114</f>
        <v/>
      </c>
      <c r="I108" s="138" t="str">
        <f aca="false">Scoring!BC114</f>
        <v/>
      </c>
    </row>
    <row r="109" customFormat="false" ht="15.75" hidden="false" customHeight="false" outlineLevel="0" collapsed="false">
      <c r="A109" s="136" t="str">
        <f aca="false">Scoring!BF115</f>
        <v/>
      </c>
      <c r="B109" s="136" t="str">
        <f aca="false">Scoring!BE115</f>
        <v/>
      </c>
      <c r="C109" s="136" t="n">
        <f aca="false">Scoring!C115</f>
        <v>0</v>
      </c>
      <c r="D109" s="137" t="str">
        <f aca="false">Scoring!BB115</f>
        <v/>
      </c>
      <c r="E109" s="136" t="str">
        <f aca="false">Scoring!AE115</f>
        <v/>
      </c>
      <c r="F109" s="136" t="n">
        <f aca="false">Scoring!B115</f>
        <v>0</v>
      </c>
      <c r="G109" s="136" t="n">
        <f aca="false">Scoring!D115</f>
        <v>0</v>
      </c>
      <c r="H109" s="136" t="str">
        <f aca="false">Scoring!BD115</f>
        <v/>
      </c>
      <c r="I109" s="138" t="str">
        <f aca="false">Scoring!BC115</f>
        <v/>
      </c>
    </row>
    <row r="110" customFormat="false" ht="15.75" hidden="false" customHeight="false" outlineLevel="0" collapsed="false">
      <c r="A110" s="136" t="str">
        <f aca="false">Scoring!BF116</f>
        <v/>
      </c>
      <c r="B110" s="136" t="str">
        <f aca="false">Scoring!BE116</f>
        <v/>
      </c>
      <c r="C110" s="136" t="n">
        <f aca="false">Scoring!C116</f>
        <v>0</v>
      </c>
      <c r="D110" s="137" t="str">
        <f aca="false">Scoring!BB116</f>
        <v/>
      </c>
      <c r="E110" s="136" t="str">
        <f aca="false">Scoring!AE116</f>
        <v/>
      </c>
      <c r="F110" s="136" t="n">
        <f aca="false">Scoring!B116</f>
        <v>0</v>
      </c>
      <c r="G110" s="136" t="n">
        <f aca="false">Scoring!D116</f>
        <v>0</v>
      </c>
      <c r="H110" s="136" t="str">
        <f aca="false">Scoring!BD116</f>
        <v/>
      </c>
      <c r="I110" s="138" t="str">
        <f aca="false">Scoring!BC116</f>
        <v/>
      </c>
    </row>
    <row r="111" customFormat="false" ht="15.75" hidden="false" customHeight="false" outlineLevel="0" collapsed="false">
      <c r="A111" s="136" t="str">
        <f aca="false">Scoring!BF117</f>
        <v/>
      </c>
      <c r="B111" s="136" t="str">
        <f aca="false">Scoring!BE117</f>
        <v/>
      </c>
      <c r="C111" s="136" t="n">
        <f aca="false">Scoring!C117</f>
        <v>0</v>
      </c>
      <c r="D111" s="137" t="str">
        <f aca="false">Scoring!BB117</f>
        <v/>
      </c>
      <c r="E111" s="136" t="str">
        <f aca="false">Scoring!AE117</f>
        <v/>
      </c>
      <c r="F111" s="136" t="n">
        <f aca="false">Scoring!B117</f>
        <v>0</v>
      </c>
      <c r="G111" s="136" t="n">
        <f aca="false">Scoring!D117</f>
        <v>0</v>
      </c>
      <c r="H111" s="136" t="str">
        <f aca="false">Scoring!BD117</f>
        <v/>
      </c>
      <c r="I111" s="138" t="str">
        <f aca="false">Scoring!BC117</f>
        <v/>
      </c>
    </row>
    <row r="112" customFormat="false" ht="15.75" hidden="false" customHeight="false" outlineLevel="0" collapsed="false">
      <c r="A112" s="136" t="str">
        <f aca="false">Scoring!BF118</f>
        <v/>
      </c>
      <c r="B112" s="136" t="str">
        <f aca="false">Scoring!BE118</f>
        <v/>
      </c>
      <c r="C112" s="136" t="n">
        <f aca="false">Scoring!C118</f>
        <v>0</v>
      </c>
      <c r="D112" s="137" t="str">
        <f aca="false">Scoring!BB118</f>
        <v/>
      </c>
      <c r="E112" s="136" t="str">
        <f aca="false">Scoring!AE118</f>
        <v/>
      </c>
      <c r="F112" s="136" t="n">
        <f aca="false">Scoring!B118</f>
        <v>0</v>
      </c>
      <c r="G112" s="136" t="n">
        <f aca="false">Scoring!D118</f>
        <v>0</v>
      </c>
      <c r="H112" s="136" t="str">
        <f aca="false">Scoring!BD118</f>
        <v/>
      </c>
      <c r="I112" s="138" t="str">
        <f aca="false">Scoring!BC118</f>
        <v/>
      </c>
    </row>
    <row r="113" customFormat="false" ht="15.75" hidden="false" customHeight="false" outlineLevel="0" collapsed="false">
      <c r="A113" s="136" t="str">
        <f aca="false">Scoring!BF119</f>
        <v/>
      </c>
      <c r="B113" s="136" t="str">
        <f aca="false">Scoring!BE119</f>
        <v/>
      </c>
      <c r="C113" s="136" t="n">
        <f aca="false">Scoring!C119</f>
        <v>0</v>
      </c>
      <c r="D113" s="137" t="str">
        <f aca="false">Scoring!BB119</f>
        <v/>
      </c>
      <c r="E113" s="136" t="str">
        <f aca="false">Scoring!AE119</f>
        <v/>
      </c>
      <c r="F113" s="136" t="n">
        <f aca="false">Scoring!B119</f>
        <v>0</v>
      </c>
      <c r="G113" s="136" t="n">
        <f aca="false">Scoring!D119</f>
        <v>0</v>
      </c>
      <c r="H113" s="136" t="str">
        <f aca="false">Scoring!BD119</f>
        <v/>
      </c>
      <c r="I113" s="138" t="str">
        <f aca="false">Scoring!BC119</f>
        <v/>
      </c>
    </row>
    <row r="114" customFormat="false" ht="15.75" hidden="false" customHeight="false" outlineLevel="0" collapsed="false">
      <c r="A114" s="136" t="str">
        <f aca="false">Scoring!BF120</f>
        <v/>
      </c>
      <c r="B114" s="136" t="str">
        <f aca="false">Scoring!BE120</f>
        <v/>
      </c>
      <c r="C114" s="136" t="n">
        <f aca="false">Scoring!C120</f>
        <v>0</v>
      </c>
      <c r="D114" s="137" t="str">
        <f aca="false">Scoring!BB120</f>
        <v/>
      </c>
      <c r="E114" s="136" t="str">
        <f aca="false">Scoring!AE120</f>
        <v/>
      </c>
      <c r="F114" s="136" t="n">
        <f aca="false">Scoring!B120</f>
        <v>0</v>
      </c>
      <c r="G114" s="136" t="n">
        <f aca="false">Scoring!D120</f>
        <v>0</v>
      </c>
      <c r="H114" s="136" t="str">
        <f aca="false">Scoring!BD120</f>
        <v/>
      </c>
      <c r="I114" s="138" t="str">
        <f aca="false">Scoring!BC120</f>
        <v/>
      </c>
    </row>
    <row r="115" customFormat="false" ht="15.75" hidden="false" customHeight="false" outlineLevel="0" collapsed="false">
      <c r="A115" s="136" t="str">
        <f aca="false">Scoring!BF121</f>
        <v/>
      </c>
      <c r="B115" s="136" t="str">
        <f aca="false">Scoring!BE121</f>
        <v/>
      </c>
      <c r="C115" s="136" t="n">
        <f aca="false">Scoring!C121</f>
        <v>0</v>
      </c>
      <c r="D115" s="137" t="str">
        <f aca="false">Scoring!BB121</f>
        <v/>
      </c>
      <c r="E115" s="136" t="str">
        <f aca="false">Scoring!AE121</f>
        <v/>
      </c>
      <c r="F115" s="136" t="n">
        <f aca="false">Scoring!B121</f>
        <v>0</v>
      </c>
      <c r="G115" s="136" t="n">
        <f aca="false">Scoring!D121</f>
        <v>0</v>
      </c>
      <c r="H115" s="136" t="str">
        <f aca="false">Scoring!BD121</f>
        <v/>
      </c>
      <c r="I115" s="138" t="str">
        <f aca="false">Scoring!BC121</f>
        <v/>
      </c>
    </row>
    <row r="116" customFormat="false" ht="15.75" hidden="false" customHeight="false" outlineLevel="0" collapsed="false">
      <c r="A116" s="136" t="str">
        <f aca="false">Scoring!BF122</f>
        <v/>
      </c>
      <c r="B116" s="136" t="str">
        <f aca="false">Scoring!BE122</f>
        <v/>
      </c>
      <c r="C116" s="136" t="n">
        <f aca="false">Scoring!C122</f>
        <v>0</v>
      </c>
      <c r="D116" s="137" t="str">
        <f aca="false">Scoring!BB122</f>
        <v/>
      </c>
      <c r="E116" s="136" t="str">
        <f aca="false">Scoring!AE122</f>
        <v/>
      </c>
      <c r="F116" s="136" t="n">
        <f aca="false">Scoring!B122</f>
        <v>0</v>
      </c>
      <c r="G116" s="136" t="n">
        <f aca="false">Scoring!D122</f>
        <v>0</v>
      </c>
      <c r="H116" s="136" t="str">
        <f aca="false">Scoring!BD122</f>
        <v/>
      </c>
      <c r="I116" s="138" t="str">
        <f aca="false">Scoring!BC122</f>
        <v/>
      </c>
    </row>
    <row r="117" customFormat="false" ht="15.75" hidden="false" customHeight="false" outlineLevel="0" collapsed="false">
      <c r="A117" s="136" t="str">
        <f aca="false">Scoring!BF123</f>
        <v/>
      </c>
      <c r="B117" s="136" t="str">
        <f aca="false">Scoring!BE123</f>
        <v/>
      </c>
      <c r="C117" s="136" t="n">
        <f aca="false">Scoring!C123</f>
        <v>0</v>
      </c>
      <c r="D117" s="137" t="str">
        <f aca="false">Scoring!BB123</f>
        <v/>
      </c>
      <c r="E117" s="136" t="str">
        <f aca="false">Scoring!AE123</f>
        <v/>
      </c>
      <c r="F117" s="136" t="n">
        <f aca="false">Scoring!B123</f>
        <v>0</v>
      </c>
      <c r="G117" s="136" t="n">
        <f aca="false">Scoring!D123</f>
        <v>0</v>
      </c>
      <c r="H117" s="136" t="str">
        <f aca="false">Scoring!BD123</f>
        <v/>
      </c>
      <c r="I117" s="138" t="str">
        <f aca="false">Scoring!BC123</f>
        <v/>
      </c>
    </row>
    <row r="118" customFormat="false" ht="15.75" hidden="false" customHeight="false" outlineLevel="0" collapsed="false">
      <c r="A118" s="136" t="str">
        <f aca="false">Scoring!BF124</f>
        <v/>
      </c>
      <c r="B118" s="136" t="str">
        <f aca="false">Scoring!BE124</f>
        <v/>
      </c>
      <c r="C118" s="136" t="n">
        <f aca="false">Scoring!C124</f>
        <v>0</v>
      </c>
      <c r="D118" s="137" t="str">
        <f aca="false">Scoring!BB124</f>
        <v/>
      </c>
      <c r="E118" s="136" t="str">
        <f aca="false">Scoring!AE124</f>
        <v/>
      </c>
      <c r="F118" s="136" t="n">
        <f aca="false">Scoring!B124</f>
        <v>0</v>
      </c>
      <c r="G118" s="136" t="n">
        <f aca="false">Scoring!D124</f>
        <v>0</v>
      </c>
      <c r="H118" s="136" t="str">
        <f aca="false">Scoring!BD124</f>
        <v/>
      </c>
      <c r="I118" s="138" t="str">
        <f aca="false">Scoring!BC124</f>
        <v/>
      </c>
    </row>
    <row r="119" customFormat="false" ht="15.75" hidden="false" customHeight="false" outlineLevel="0" collapsed="false">
      <c r="A119" s="136" t="str">
        <f aca="false">Scoring!BF125</f>
        <v/>
      </c>
      <c r="B119" s="136" t="str">
        <f aca="false">Scoring!BE125</f>
        <v/>
      </c>
      <c r="C119" s="136" t="n">
        <f aca="false">Scoring!C125</f>
        <v>0</v>
      </c>
      <c r="D119" s="137" t="str">
        <f aca="false">Scoring!BB125</f>
        <v/>
      </c>
      <c r="E119" s="136" t="str">
        <f aca="false">Scoring!AE125</f>
        <v/>
      </c>
      <c r="F119" s="136" t="n">
        <f aca="false">Scoring!B125</f>
        <v>0</v>
      </c>
      <c r="G119" s="136" t="n">
        <f aca="false">Scoring!D125</f>
        <v>0</v>
      </c>
      <c r="H119" s="136" t="str">
        <f aca="false">Scoring!BD125</f>
        <v/>
      </c>
      <c r="I119" s="138" t="str">
        <f aca="false">Scoring!BC125</f>
        <v/>
      </c>
    </row>
    <row r="120" customFormat="false" ht="15.75" hidden="false" customHeight="false" outlineLevel="0" collapsed="false">
      <c r="A120" s="136" t="str">
        <f aca="false">Scoring!BF126</f>
        <v/>
      </c>
      <c r="B120" s="136" t="str">
        <f aca="false">Scoring!BE126</f>
        <v/>
      </c>
      <c r="C120" s="136" t="n">
        <f aca="false">Scoring!C126</f>
        <v>0</v>
      </c>
      <c r="D120" s="137" t="str">
        <f aca="false">Scoring!BB126</f>
        <v/>
      </c>
      <c r="E120" s="136" t="str">
        <f aca="false">Scoring!AE126</f>
        <v/>
      </c>
      <c r="F120" s="136" t="n">
        <f aca="false">Scoring!B126</f>
        <v>0</v>
      </c>
      <c r="G120" s="136" t="n">
        <f aca="false">Scoring!D126</f>
        <v>0</v>
      </c>
      <c r="H120" s="136" t="str">
        <f aca="false">Scoring!BD126</f>
        <v/>
      </c>
      <c r="I120" s="138" t="str">
        <f aca="false">Scoring!BC126</f>
        <v/>
      </c>
    </row>
    <row r="121" customFormat="false" ht="15.75" hidden="false" customHeight="false" outlineLevel="0" collapsed="false">
      <c r="A121" s="136" t="str">
        <f aca="false">Scoring!BF127</f>
        <v/>
      </c>
      <c r="B121" s="136" t="str">
        <f aca="false">Scoring!BE127</f>
        <v/>
      </c>
      <c r="C121" s="136" t="n">
        <f aca="false">Scoring!C127</f>
        <v>0</v>
      </c>
      <c r="D121" s="137" t="str">
        <f aca="false">Scoring!BB127</f>
        <v/>
      </c>
      <c r="E121" s="136" t="str">
        <f aca="false">Scoring!AE127</f>
        <v/>
      </c>
      <c r="F121" s="136" t="n">
        <f aca="false">Scoring!B127</f>
        <v>0</v>
      </c>
      <c r="G121" s="136" t="n">
        <f aca="false">Scoring!D127</f>
        <v>0</v>
      </c>
      <c r="H121" s="136" t="str">
        <f aca="false">Scoring!BD127</f>
        <v/>
      </c>
      <c r="I121" s="138" t="str">
        <f aca="false">Scoring!BC127</f>
        <v/>
      </c>
    </row>
    <row r="122" customFormat="false" ht="15.75" hidden="false" customHeight="false" outlineLevel="0" collapsed="false">
      <c r="A122" s="136" t="str">
        <f aca="false">Scoring!BF128</f>
        <v/>
      </c>
      <c r="B122" s="136" t="str">
        <f aca="false">Scoring!BE128</f>
        <v/>
      </c>
      <c r="C122" s="136" t="n">
        <f aca="false">Scoring!C128</f>
        <v>0</v>
      </c>
      <c r="D122" s="137" t="str">
        <f aca="false">Scoring!BB128</f>
        <v/>
      </c>
      <c r="E122" s="136" t="str">
        <f aca="false">Scoring!AE128</f>
        <v/>
      </c>
      <c r="F122" s="136" t="n">
        <f aca="false">Scoring!B128</f>
        <v>0</v>
      </c>
      <c r="G122" s="136" t="n">
        <f aca="false">Scoring!D128</f>
        <v>0</v>
      </c>
      <c r="H122" s="136" t="str">
        <f aca="false">Scoring!BD128</f>
        <v/>
      </c>
      <c r="I122" s="138" t="str">
        <f aca="false">Scoring!BC128</f>
        <v/>
      </c>
    </row>
    <row r="123" customFormat="false" ht="15.75" hidden="false" customHeight="false" outlineLevel="0" collapsed="false">
      <c r="A123" s="136" t="str">
        <f aca="false">Scoring!BF129</f>
        <v/>
      </c>
      <c r="B123" s="136" t="str">
        <f aca="false">Scoring!BE129</f>
        <v/>
      </c>
      <c r="C123" s="136" t="n">
        <f aca="false">Scoring!C129</f>
        <v>0</v>
      </c>
      <c r="D123" s="137" t="str">
        <f aca="false">Scoring!BB129</f>
        <v/>
      </c>
      <c r="E123" s="136" t="str">
        <f aca="false">Scoring!AE129</f>
        <v/>
      </c>
      <c r="F123" s="136" t="n">
        <f aca="false">Scoring!B129</f>
        <v>0</v>
      </c>
      <c r="G123" s="136" t="n">
        <f aca="false">Scoring!D129</f>
        <v>0</v>
      </c>
      <c r="H123" s="136" t="str">
        <f aca="false">Scoring!BD129</f>
        <v/>
      </c>
      <c r="I123" s="138" t="str">
        <f aca="false">Scoring!BC129</f>
        <v/>
      </c>
    </row>
    <row r="124" customFormat="false" ht="15.75" hidden="false" customHeight="false" outlineLevel="0" collapsed="false">
      <c r="A124" s="136" t="str">
        <f aca="false">Scoring!BF130</f>
        <v/>
      </c>
      <c r="B124" s="136" t="str">
        <f aca="false">Scoring!BE130</f>
        <v/>
      </c>
      <c r="C124" s="136" t="n">
        <f aca="false">Scoring!C130</f>
        <v>0</v>
      </c>
      <c r="D124" s="137" t="str">
        <f aca="false">Scoring!BB130</f>
        <v/>
      </c>
      <c r="E124" s="136" t="str">
        <f aca="false">Scoring!AE130</f>
        <v/>
      </c>
      <c r="F124" s="136" t="n">
        <f aca="false">Scoring!B130</f>
        <v>0</v>
      </c>
      <c r="G124" s="136" t="n">
        <f aca="false">Scoring!D130</f>
        <v>0</v>
      </c>
      <c r="H124" s="136" t="str">
        <f aca="false">Scoring!BD130</f>
        <v/>
      </c>
      <c r="I124" s="138" t="str">
        <f aca="false">Scoring!BC130</f>
        <v/>
      </c>
    </row>
    <row r="125" customFormat="false" ht="15.75" hidden="false" customHeight="false" outlineLevel="0" collapsed="false">
      <c r="A125" s="136" t="str">
        <f aca="false">Scoring!BF131</f>
        <v/>
      </c>
      <c r="B125" s="136" t="str">
        <f aca="false">Scoring!BE131</f>
        <v/>
      </c>
      <c r="C125" s="136" t="n">
        <f aca="false">Scoring!C131</f>
        <v>0</v>
      </c>
      <c r="D125" s="137" t="str">
        <f aca="false">Scoring!BB131</f>
        <v/>
      </c>
      <c r="E125" s="136" t="str">
        <f aca="false">Scoring!AE131</f>
        <v/>
      </c>
      <c r="F125" s="136" t="n">
        <f aca="false">Scoring!B131</f>
        <v>0</v>
      </c>
      <c r="G125" s="136" t="n">
        <f aca="false">Scoring!D131</f>
        <v>0</v>
      </c>
      <c r="H125" s="136" t="str">
        <f aca="false">Scoring!BD131</f>
        <v/>
      </c>
      <c r="I125" s="138" t="str">
        <f aca="false">Scoring!BC131</f>
        <v/>
      </c>
    </row>
    <row r="126" customFormat="false" ht="15.75" hidden="false" customHeight="false" outlineLevel="0" collapsed="false">
      <c r="A126" s="136" t="str">
        <f aca="false">Scoring!BF132</f>
        <v/>
      </c>
      <c r="B126" s="136" t="str">
        <f aca="false">Scoring!BE132</f>
        <v/>
      </c>
      <c r="C126" s="136" t="n">
        <f aca="false">Scoring!C132</f>
        <v>0</v>
      </c>
      <c r="D126" s="137" t="str">
        <f aca="false">Scoring!BB132</f>
        <v/>
      </c>
      <c r="E126" s="136" t="str">
        <f aca="false">Scoring!AE132</f>
        <v/>
      </c>
      <c r="F126" s="136" t="n">
        <f aca="false">Scoring!B132</f>
        <v>0</v>
      </c>
      <c r="G126" s="136" t="n">
        <f aca="false">Scoring!D132</f>
        <v>0</v>
      </c>
      <c r="H126" s="136" t="str">
        <f aca="false">Scoring!BD132</f>
        <v/>
      </c>
      <c r="I126" s="138" t="str">
        <f aca="false">Scoring!BC132</f>
        <v/>
      </c>
    </row>
    <row r="127" customFormat="false" ht="15.75" hidden="false" customHeight="false" outlineLevel="0" collapsed="false">
      <c r="A127" s="136" t="str">
        <f aca="false">Scoring!BF133</f>
        <v/>
      </c>
      <c r="B127" s="136" t="str">
        <f aca="false">Scoring!BE133</f>
        <v/>
      </c>
      <c r="C127" s="136" t="n">
        <f aca="false">Scoring!C133</f>
        <v>0</v>
      </c>
      <c r="D127" s="137" t="str">
        <f aca="false">Scoring!BB133</f>
        <v/>
      </c>
      <c r="E127" s="136" t="str">
        <f aca="false">Scoring!AE133</f>
        <v/>
      </c>
      <c r="F127" s="136" t="n">
        <f aca="false">Scoring!B133</f>
        <v>0</v>
      </c>
      <c r="G127" s="136" t="n">
        <f aca="false">Scoring!D133</f>
        <v>0</v>
      </c>
      <c r="H127" s="136" t="str">
        <f aca="false">Scoring!BD133</f>
        <v/>
      </c>
      <c r="I127" s="138" t="str">
        <f aca="false">Scoring!BC133</f>
        <v/>
      </c>
    </row>
    <row r="128" customFormat="false" ht="15.75" hidden="false" customHeight="false" outlineLevel="0" collapsed="false">
      <c r="A128" s="136" t="str">
        <f aca="false">Scoring!BF134</f>
        <v/>
      </c>
      <c r="B128" s="136" t="str">
        <f aca="false">Scoring!BE134</f>
        <v/>
      </c>
      <c r="C128" s="136" t="n">
        <f aca="false">Scoring!C134</f>
        <v>0</v>
      </c>
      <c r="D128" s="137" t="str">
        <f aca="false">Scoring!BB134</f>
        <v/>
      </c>
      <c r="E128" s="136" t="str">
        <f aca="false">Scoring!AE134</f>
        <v/>
      </c>
      <c r="F128" s="136" t="n">
        <f aca="false">Scoring!B134</f>
        <v>0</v>
      </c>
      <c r="G128" s="136" t="n">
        <f aca="false">Scoring!D134</f>
        <v>0</v>
      </c>
      <c r="H128" s="136" t="str">
        <f aca="false">Scoring!BD134</f>
        <v/>
      </c>
      <c r="I128" s="138" t="str">
        <f aca="false">Scoring!BC134</f>
        <v/>
      </c>
    </row>
    <row r="129" customFormat="false" ht="15.75" hidden="false" customHeight="false" outlineLevel="0" collapsed="false">
      <c r="A129" s="136" t="str">
        <f aca="false">Scoring!BF135</f>
        <v/>
      </c>
      <c r="B129" s="136" t="str">
        <f aca="false">Scoring!BE135</f>
        <v/>
      </c>
      <c r="C129" s="136" t="n">
        <f aca="false">Scoring!C135</f>
        <v>0</v>
      </c>
      <c r="D129" s="137" t="str">
        <f aca="false">Scoring!BB135</f>
        <v/>
      </c>
      <c r="E129" s="136" t="str">
        <f aca="false">Scoring!AE135</f>
        <v/>
      </c>
      <c r="F129" s="136" t="n">
        <f aca="false">Scoring!B135</f>
        <v>0</v>
      </c>
      <c r="G129" s="136" t="n">
        <f aca="false">Scoring!D135</f>
        <v>0</v>
      </c>
      <c r="H129" s="136" t="str">
        <f aca="false">Scoring!BD135</f>
        <v/>
      </c>
      <c r="I129" s="138" t="str">
        <f aca="false">Scoring!BC135</f>
        <v/>
      </c>
    </row>
    <row r="130" customFormat="false" ht="15.75" hidden="false" customHeight="false" outlineLevel="0" collapsed="false">
      <c r="A130" s="136" t="str">
        <f aca="false">Scoring!BF136</f>
        <v/>
      </c>
      <c r="B130" s="136" t="str">
        <f aca="false">Scoring!BE136</f>
        <v/>
      </c>
      <c r="C130" s="136" t="n">
        <f aca="false">Scoring!C136</f>
        <v>0</v>
      </c>
      <c r="D130" s="137" t="str">
        <f aca="false">Scoring!BB136</f>
        <v/>
      </c>
      <c r="E130" s="136" t="str">
        <f aca="false">Scoring!AE136</f>
        <v/>
      </c>
      <c r="F130" s="136" t="n">
        <f aca="false">Scoring!B136</f>
        <v>0</v>
      </c>
      <c r="G130" s="136" t="n">
        <f aca="false">Scoring!D136</f>
        <v>0</v>
      </c>
      <c r="H130" s="136" t="str">
        <f aca="false">Scoring!BD136</f>
        <v/>
      </c>
      <c r="I130" s="138" t="str">
        <f aca="false">Scoring!BC136</f>
        <v/>
      </c>
    </row>
    <row r="131" customFormat="false" ht="15.75" hidden="false" customHeight="false" outlineLevel="0" collapsed="false">
      <c r="A131" s="136" t="str">
        <f aca="false">Scoring!BF137</f>
        <v/>
      </c>
      <c r="B131" s="136" t="str">
        <f aca="false">Scoring!BE137</f>
        <v/>
      </c>
      <c r="C131" s="136" t="n">
        <f aca="false">Scoring!C137</f>
        <v>0</v>
      </c>
      <c r="D131" s="137" t="str">
        <f aca="false">Scoring!BB137</f>
        <v/>
      </c>
      <c r="E131" s="136" t="str">
        <f aca="false">Scoring!AE137</f>
        <v/>
      </c>
      <c r="F131" s="136" t="n">
        <f aca="false">Scoring!B137</f>
        <v>0</v>
      </c>
      <c r="G131" s="136" t="n">
        <f aca="false">Scoring!D137</f>
        <v>0</v>
      </c>
      <c r="H131" s="136" t="str">
        <f aca="false">Scoring!BD137</f>
        <v/>
      </c>
      <c r="I131" s="138" t="str">
        <f aca="false">Scoring!BC137</f>
        <v/>
      </c>
    </row>
    <row r="132" customFormat="false" ht="15.75" hidden="false" customHeight="false" outlineLevel="0" collapsed="false">
      <c r="A132" s="136" t="str">
        <f aca="false">Scoring!BF138</f>
        <v/>
      </c>
      <c r="B132" s="136" t="str">
        <f aca="false">Scoring!BE138</f>
        <v/>
      </c>
      <c r="C132" s="136" t="n">
        <f aca="false">Scoring!C138</f>
        <v>0</v>
      </c>
      <c r="D132" s="137" t="str">
        <f aca="false">Scoring!BB138</f>
        <v/>
      </c>
      <c r="E132" s="136" t="str">
        <f aca="false">Scoring!AE138</f>
        <v/>
      </c>
      <c r="F132" s="136" t="n">
        <f aca="false">Scoring!B138</f>
        <v>0</v>
      </c>
      <c r="G132" s="136" t="n">
        <f aca="false">Scoring!D138</f>
        <v>0</v>
      </c>
      <c r="H132" s="136" t="str">
        <f aca="false">Scoring!BD138</f>
        <v/>
      </c>
      <c r="I132" s="138" t="str">
        <f aca="false">Scoring!BC138</f>
        <v/>
      </c>
    </row>
    <row r="133" customFormat="false" ht="15.75" hidden="false" customHeight="false" outlineLevel="0" collapsed="false">
      <c r="A133" s="136" t="str">
        <f aca="false">Scoring!BF139</f>
        <v/>
      </c>
      <c r="B133" s="136" t="str">
        <f aca="false">Scoring!BE139</f>
        <v/>
      </c>
      <c r="C133" s="136" t="n">
        <f aca="false">Scoring!C139</f>
        <v>0</v>
      </c>
      <c r="D133" s="137" t="str">
        <f aca="false">Scoring!BB139</f>
        <v/>
      </c>
      <c r="E133" s="136" t="str">
        <f aca="false">Scoring!AE139</f>
        <v/>
      </c>
      <c r="F133" s="136" t="n">
        <f aca="false">Scoring!B139</f>
        <v>0</v>
      </c>
      <c r="G133" s="136" t="n">
        <f aca="false">Scoring!D139</f>
        <v>0</v>
      </c>
      <c r="H133" s="136" t="str">
        <f aca="false">Scoring!BD139</f>
        <v/>
      </c>
      <c r="I133" s="138" t="str">
        <f aca="false">Scoring!BC139</f>
        <v/>
      </c>
    </row>
    <row r="134" customFormat="false" ht="15.75" hidden="false" customHeight="false" outlineLevel="0" collapsed="false">
      <c r="A134" s="136" t="str">
        <f aca="false">Scoring!BF140</f>
        <v/>
      </c>
      <c r="B134" s="136" t="str">
        <f aca="false">Scoring!BE140</f>
        <v/>
      </c>
      <c r="C134" s="136" t="n">
        <f aca="false">Scoring!C140</f>
        <v>0</v>
      </c>
      <c r="D134" s="137" t="str">
        <f aca="false">Scoring!BB140</f>
        <v/>
      </c>
      <c r="E134" s="136" t="str">
        <f aca="false">Scoring!AE140</f>
        <v/>
      </c>
      <c r="F134" s="136" t="n">
        <f aca="false">Scoring!B140</f>
        <v>0</v>
      </c>
      <c r="G134" s="136" t="n">
        <f aca="false">Scoring!D140</f>
        <v>0</v>
      </c>
      <c r="H134" s="136" t="str">
        <f aca="false">Scoring!BD140</f>
        <v/>
      </c>
      <c r="I134" s="138" t="str">
        <f aca="false">Scoring!BC140</f>
        <v/>
      </c>
    </row>
    <row r="135" customFormat="false" ht="15.75" hidden="false" customHeight="false" outlineLevel="0" collapsed="false">
      <c r="A135" s="136" t="str">
        <f aca="false">Scoring!BF141</f>
        <v/>
      </c>
      <c r="B135" s="136" t="str">
        <f aca="false">Scoring!BE141</f>
        <v/>
      </c>
      <c r="C135" s="136" t="n">
        <f aca="false">Scoring!C141</f>
        <v>0</v>
      </c>
      <c r="D135" s="137" t="str">
        <f aca="false">Scoring!BB141</f>
        <v/>
      </c>
      <c r="E135" s="136" t="str">
        <f aca="false">Scoring!AE141</f>
        <v/>
      </c>
      <c r="F135" s="136" t="n">
        <f aca="false">Scoring!B141</f>
        <v>0</v>
      </c>
      <c r="G135" s="136" t="n">
        <f aca="false">Scoring!D141</f>
        <v>0</v>
      </c>
      <c r="H135" s="136" t="str">
        <f aca="false">Scoring!BD141</f>
        <v/>
      </c>
      <c r="I135" s="138" t="str">
        <f aca="false">Scoring!BC141</f>
        <v/>
      </c>
    </row>
    <row r="136" customFormat="false" ht="15.75" hidden="false" customHeight="false" outlineLevel="0" collapsed="false">
      <c r="A136" s="136" t="str">
        <f aca="false">Scoring!BF142</f>
        <v/>
      </c>
      <c r="B136" s="136" t="str">
        <f aca="false">Scoring!BE142</f>
        <v/>
      </c>
      <c r="C136" s="136" t="n">
        <f aca="false">Scoring!C142</f>
        <v>0</v>
      </c>
      <c r="D136" s="137" t="str">
        <f aca="false">Scoring!BB142</f>
        <v/>
      </c>
      <c r="E136" s="136" t="str">
        <f aca="false">Scoring!AE142</f>
        <v/>
      </c>
      <c r="F136" s="136" t="n">
        <f aca="false">Scoring!B142</f>
        <v>0</v>
      </c>
      <c r="G136" s="136" t="n">
        <f aca="false">Scoring!D142</f>
        <v>0</v>
      </c>
      <c r="H136" s="136" t="str">
        <f aca="false">Scoring!BD142</f>
        <v/>
      </c>
      <c r="I136" s="138" t="str">
        <f aca="false">Scoring!BC142</f>
        <v/>
      </c>
    </row>
    <row r="137" customFormat="false" ht="15.75" hidden="false" customHeight="false" outlineLevel="0" collapsed="false">
      <c r="A137" s="136" t="str">
        <f aca="false">Scoring!BF143</f>
        <v/>
      </c>
      <c r="B137" s="136" t="str">
        <f aca="false">Scoring!BE143</f>
        <v/>
      </c>
      <c r="C137" s="136" t="n">
        <f aca="false">Scoring!C143</f>
        <v>0</v>
      </c>
      <c r="D137" s="137" t="str">
        <f aca="false">Scoring!BB143</f>
        <v/>
      </c>
      <c r="E137" s="136" t="str">
        <f aca="false">Scoring!AE143</f>
        <v/>
      </c>
      <c r="F137" s="136" t="n">
        <f aca="false">Scoring!B143</f>
        <v>0</v>
      </c>
      <c r="G137" s="136" t="n">
        <f aca="false">Scoring!D143</f>
        <v>0</v>
      </c>
      <c r="H137" s="136" t="str">
        <f aca="false">Scoring!BD143</f>
        <v/>
      </c>
      <c r="I137" s="138" t="str">
        <f aca="false">Scoring!BC143</f>
        <v/>
      </c>
    </row>
    <row r="138" customFormat="false" ht="15.75" hidden="false" customHeight="false" outlineLevel="0" collapsed="false">
      <c r="A138" s="136" t="str">
        <f aca="false">Scoring!BF144</f>
        <v/>
      </c>
      <c r="B138" s="136" t="str">
        <f aca="false">Scoring!BE144</f>
        <v/>
      </c>
      <c r="C138" s="136" t="n">
        <f aca="false">Scoring!C144</f>
        <v>0</v>
      </c>
      <c r="D138" s="137" t="str">
        <f aca="false">Scoring!BB144</f>
        <v/>
      </c>
      <c r="E138" s="136" t="str">
        <f aca="false">Scoring!AE144</f>
        <v/>
      </c>
      <c r="F138" s="136" t="n">
        <f aca="false">Scoring!B144</f>
        <v>0</v>
      </c>
      <c r="G138" s="136" t="n">
        <f aca="false">Scoring!D144</f>
        <v>0</v>
      </c>
      <c r="H138" s="136" t="str">
        <f aca="false">Scoring!BD144</f>
        <v/>
      </c>
      <c r="I138" s="138" t="str">
        <f aca="false">Scoring!BC144</f>
        <v/>
      </c>
    </row>
    <row r="139" customFormat="false" ht="15.75" hidden="false" customHeight="false" outlineLevel="0" collapsed="false">
      <c r="A139" s="136" t="str">
        <f aca="false">Scoring!BF145</f>
        <v/>
      </c>
      <c r="B139" s="136" t="str">
        <f aca="false">Scoring!BE145</f>
        <v/>
      </c>
      <c r="C139" s="136" t="n">
        <f aca="false">Scoring!C145</f>
        <v>0</v>
      </c>
      <c r="D139" s="137" t="str">
        <f aca="false">Scoring!BB145</f>
        <v/>
      </c>
      <c r="E139" s="136" t="str">
        <f aca="false">Scoring!AE145</f>
        <v/>
      </c>
      <c r="F139" s="136" t="n">
        <f aca="false">Scoring!B145</f>
        <v>0</v>
      </c>
      <c r="G139" s="136" t="n">
        <f aca="false">Scoring!D145</f>
        <v>0</v>
      </c>
      <c r="H139" s="136" t="str">
        <f aca="false">Scoring!BD145</f>
        <v/>
      </c>
      <c r="I139" s="138" t="str">
        <f aca="false">Scoring!BC145</f>
        <v/>
      </c>
    </row>
    <row r="140" customFormat="false" ht="15.75" hidden="false" customHeight="false" outlineLevel="0" collapsed="false">
      <c r="A140" s="136" t="str">
        <f aca="false">Scoring!BF146</f>
        <v/>
      </c>
      <c r="B140" s="136" t="str">
        <f aca="false">Scoring!BE146</f>
        <v/>
      </c>
      <c r="C140" s="136" t="n">
        <f aca="false">Scoring!C146</f>
        <v>0</v>
      </c>
      <c r="D140" s="137" t="str">
        <f aca="false">Scoring!BB146</f>
        <v/>
      </c>
      <c r="E140" s="136" t="str">
        <f aca="false">Scoring!AE146</f>
        <v/>
      </c>
      <c r="F140" s="136" t="n">
        <f aca="false">Scoring!B146</f>
        <v>0</v>
      </c>
      <c r="G140" s="136" t="n">
        <f aca="false">Scoring!D146</f>
        <v>0</v>
      </c>
      <c r="H140" s="136" t="str">
        <f aca="false">Scoring!BD146</f>
        <v/>
      </c>
      <c r="I140" s="138" t="str">
        <f aca="false">Scoring!BC146</f>
        <v/>
      </c>
    </row>
    <row r="141" customFormat="false" ht="15.75" hidden="false" customHeight="false" outlineLevel="0" collapsed="false">
      <c r="A141" s="136" t="str">
        <f aca="false">Scoring!BF147</f>
        <v/>
      </c>
      <c r="B141" s="136" t="str">
        <f aca="false">Scoring!BE147</f>
        <v/>
      </c>
      <c r="C141" s="136" t="n">
        <f aca="false">Scoring!C147</f>
        <v>0</v>
      </c>
      <c r="D141" s="137" t="str">
        <f aca="false">Scoring!BB147</f>
        <v/>
      </c>
      <c r="E141" s="136" t="str">
        <f aca="false">Scoring!AE147</f>
        <v/>
      </c>
      <c r="F141" s="136" t="n">
        <f aca="false">Scoring!B147</f>
        <v>0</v>
      </c>
      <c r="G141" s="136" t="n">
        <f aca="false">Scoring!D147</f>
        <v>0</v>
      </c>
      <c r="H141" s="136" t="str">
        <f aca="false">Scoring!BD147</f>
        <v/>
      </c>
      <c r="I141" s="138" t="str">
        <f aca="false">Scoring!BC147</f>
        <v/>
      </c>
    </row>
    <row r="142" customFormat="false" ht="15.75" hidden="false" customHeight="false" outlineLevel="0" collapsed="false">
      <c r="A142" s="136" t="str">
        <f aca="false">Scoring!BF148</f>
        <v/>
      </c>
      <c r="B142" s="136" t="str">
        <f aca="false">Scoring!BE148</f>
        <v/>
      </c>
      <c r="C142" s="136" t="n">
        <f aca="false">Scoring!C148</f>
        <v>0</v>
      </c>
      <c r="D142" s="137" t="str">
        <f aca="false">Scoring!BB148</f>
        <v/>
      </c>
      <c r="E142" s="136" t="str">
        <f aca="false">Scoring!AE148</f>
        <v/>
      </c>
      <c r="F142" s="136" t="n">
        <f aca="false">Scoring!B148</f>
        <v>0</v>
      </c>
      <c r="G142" s="136" t="n">
        <f aca="false">Scoring!D148</f>
        <v>0</v>
      </c>
      <c r="H142" s="136" t="str">
        <f aca="false">Scoring!BD148</f>
        <v/>
      </c>
      <c r="I142" s="138" t="str">
        <f aca="false">Scoring!BC148</f>
        <v/>
      </c>
    </row>
    <row r="143" customFormat="false" ht="15.75" hidden="false" customHeight="false" outlineLevel="0" collapsed="false">
      <c r="A143" s="136" t="str">
        <f aca="false">Scoring!BF149</f>
        <v/>
      </c>
      <c r="B143" s="136" t="str">
        <f aca="false">Scoring!BE149</f>
        <v/>
      </c>
      <c r="C143" s="136" t="n">
        <f aca="false">Scoring!C149</f>
        <v>0</v>
      </c>
      <c r="D143" s="137" t="str">
        <f aca="false">Scoring!BB149</f>
        <v/>
      </c>
      <c r="E143" s="136" t="str">
        <f aca="false">Scoring!AE149</f>
        <v/>
      </c>
      <c r="F143" s="136" t="n">
        <f aca="false">Scoring!B149</f>
        <v>0</v>
      </c>
      <c r="G143" s="136" t="n">
        <f aca="false">Scoring!D149</f>
        <v>0</v>
      </c>
      <c r="H143" s="136" t="str">
        <f aca="false">Scoring!BD149</f>
        <v/>
      </c>
      <c r="I143" s="138" t="str">
        <f aca="false">Scoring!BC149</f>
        <v/>
      </c>
    </row>
    <row r="144" customFormat="false" ht="15.75" hidden="false" customHeight="false" outlineLevel="0" collapsed="false">
      <c r="A144" s="136" t="str">
        <f aca="false">Scoring!BF150</f>
        <v/>
      </c>
      <c r="B144" s="136" t="str">
        <f aca="false">Scoring!BE150</f>
        <v/>
      </c>
      <c r="C144" s="136" t="n">
        <f aca="false">Scoring!C150</f>
        <v>0</v>
      </c>
      <c r="D144" s="137" t="str">
        <f aca="false">Scoring!BB150</f>
        <v/>
      </c>
      <c r="E144" s="136" t="str">
        <f aca="false">Scoring!AE150</f>
        <v/>
      </c>
      <c r="F144" s="136" t="n">
        <f aca="false">Scoring!B150</f>
        <v>0</v>
      </c>
      <c r="G144" s="136" t="n">
        <f aca="false">Scoring!D150</f>
        <v>0</v>
      </c>
      <c r="H144" s="136" t="str">
        <f aca="false">Scoring!BD150</f>
        <v/>
      </c>
      <c r="I144" s="138" t="str">
        <f aca="false">Scoring!BC150</f>
        <v/>
      </c>
    </row>
    <row r="145" customFormat="false" ht="15.75" hidden="false" customHeight="false" outlineLevel="0" collapsed="false">
      <c r="A145" s="136" t="str">
        <f aca="false">Scoring!BF151</f>
        <v/>
      </c>
      <c r="B145" s="136" t="str">
        <f aca="false">Scoring!BE151</f>
        <v/>
      </c>
      <c r="C145" s="136" t="n">
        <f aca="false">Scoring!C151</f>
        <v>0</v>
      </c>
      <c r="D145" s="137" t="str">
        <f aca="false">Scoring!BB151</f>
        <v/>
      </c>
      <c r="E145" s="136" t="str">
        <f aca="false">Scoring!AE151</f>
        <v/>
      </c>
      <c r="F145" s="136" t="n">
        <f aca="false">Scoring!B151</f>
        <v>0</v>
      </c>
      <c r="G145" s="136" t="n">
        <f aca="false">Scoring!D151</f>
        <v>0</v>
      </c>
      <c r="H145" s="136" t="str">
        <f aca="false">Scoring!BD151</f>
        <v/>
      </c>
      <c r="I145" s="138" t="str">
        <f aca="false">Scoring!BC151</f>
        <v/>
      </c>
    </row>
    <row r="146" customFormat="false" ht="15.75" hidden="false" customHeight="false" outlineLevel="0" collapsed="false">
      <c r="A146" s="136" t="str">
        <f aca="false">Scoring!BF152</f>
        <v/>
      </c>
      <c r="B146" s="136" t="str">
        <f aca="false">Scoring!BE152</f>
        <v/>
      </c>
      <c r="C146" s="136" t="n">
        <f aca="false">Scoring!C152</f>
        <v>0</v>
      </c>
      <c r="D146" s="137" t="str">
        <f aca="false">Scoring!BB152</f>
        <v/>
      </c>
      <c r="E146" s="136" t="str">
        <f aca="false">Scoring!AE152</f>
        <v/>
      </c>
      <c r="F146" s="136" t="n">
        <f aca="false">Scoring!B152</f>
        <v>0</v>
      </c>
      <c r="G146" s="136" t="n">
        <f aca="false">Scoring!D152</f>
        <v>0</v>
      </c>
      <c r="H146" s="136" t="str">
        <f aca="false">Scoring!BD152</f>
        <v/>
      </c>
      <c r="I146" s="138" t="str">
        <f aca="false">Scoring!BC152</f>
        <v/>
      </c>
    </row>
    <row r="147" customFormat="false" ht="15.75" hidden="false" customHeight="false" outlineLevel="0" collapsed="false">
      <c r="A147" s="136" t="str">
        <f aca="false">Scoring!BF153</f>
        <v/>
      </c>
      <c r="B147" s="136" t="str">
        <f aca="false">Scoring!BE153</f>
        <v/>
      </c>
      <c r="C147" s="136" t="n">
        <f aca="false">Scoring!C153</f>
        <v>0</v>
      </c>
      <c r="D147" s="137" t="str">
        <f aca="false">Scoring!BB153</f>
        <v/>
      </c>
      <c r="E147" s="136" t="str">
        <f aca="false">Scoring!AE153</f>
        <v/>
      </c>
      <c r="F147" s="136" t="n">
        <f aca="false">Scoring!B153</f>
        <v>0</v>
      </c>
      <c r="G147" s="136" t="n">
        <f aca="false">Scoring!D153</f>
        <v>0</v>
      </c>
      <c r="H147" s="136" t="str">
        <f aca="false">Scoring!BD153</f>
        <v/>
      </c>
      <c r="I147" s="138" t="str">
        <f aca="false">Scoring!BC153</f>
        <v/>
      </c>
    </row>
    <row r="148" customFormat="false" ht="15.75" hidden="false" customHeight="false" outlineLevel="0" collapsed="false">
      <c r="A148" s="136" t="str">
        <f aca="false">Scoring!BF154</f>
        <v/>
      </c>
      <c r="B148" s="136" t="str">
        <f aca="false">Scoring!BE154</f>
        <v/>
      </c>
      <c r="C148" s="136" t="n">
        <f aca="false">Scoring!C154</f>
        <v>0</v>
      </c>
      <c r="D148" s="137" t="str">
        <f aca="false">Scoring!BB154</f>
        <v/>
      </c>
      <c r="E148" s="136" t="str">
        <f aca="false">Scoring!AE154</f>
        <v/>
      </c>
      <c r="F148" s="136" t="n">
        <f aca="false">Scoring!B154</f>
        <v>0</v>
      </c>
      <c r="G148" s="136" t="n">
        <f aca="false">Scoring!D154</f>
        <v>0</v>
      </c>
      <c r="H148" s="136" t="str">
        <f aca="false">Scoring!BD154</f>
        <v/>
      </c>
      <c r="I148" s="138" t="str">
        <f aca="false">Scoring!BC154</f>
        <v/>
      </c>
    </row>
    <row r="149" customFormat="false" ht="15.75" hidden="false" customHeight="false" outlineLevel="0" collapsed="false">
      <c r="A149" s="136" t="str">
        <f aca="false">Scoring!BF155</f>
        <v/>
      </c>
      <c r="B149" s="136" t="str">
        <f aca="false">Scoring!BE155</f>
        <v/>
      </c>
      <c r="C149" s="136" t="n">
        <f aca="false">Scoring!C155</f>
        <v>0</v>
      </c>
      <c r="D149" s="137" t="str">
        <f aca="false">Scoring!BB155</f>
        <v/>
      </c>
      <c r="E149" s="136" t="str">
        <f aca="false">Scoring!AE155</f>
        <v/>
      </c>
      <c r="F149" s="136" t="n">
        <f aca="false">Scoring!B155</f>
        <v>0</v>
      </c>
      <c r="G149" s="136" t="n">
        <f aca="false">Scoring!D155</f>
        <v>0</v>
      </c>
      <c r="H149" s="136" t="str">
        <f aca="false">Scoring!BD155</f>
        <v/>
      </c>
      <c r="I149" s="138" t="str">
        <f aca="false">Scoring!BC155</f>
        <v/>
      </c>
    </row>
    <row r="150" customFormat="false" ht="15.75" hidden="false" customHeight="false" outlineLevel="0" collapsed="false">
      <c r="A150" s="136" t="str">
        <f aca="false">Scoring!BF156</f>
        <v/>
      </c>
      <c r="B150" s="136" t="str">
        <f aca="false">Scoring!BE156</f>
        <v/>
      </c>
      <c r="C150" s="136" t="n">
        <f aca="false">Scoring!C156</f>
        <v>0</v>
      </c>
      <c r="D150" s="137" t="str">
        <f aca="false">Scoring!BB156</f>
        <v/>
      </c>
      <c r="E150" s="136" t="str">
        <f aca="false">Scoring!AE156</f>
        <v/>
      </c>
      <c r="F150" s="136" t="n">
        <f aca="false">Scoring!B156</f>
        <v>0</v>
      </c>
      <c r="G150" s="136" t="n">
        <f aca="false">Scoring!D156</f>
        <v>0</v>
      </c>
      <c r="H150" s="136" t="str">
        <f aca="false">Scoring!BD156</f>
        <v/>
      </c>
      <c r="I150" s="138" t="str">
        <f aca="false">Scoring!BC156</f>
        <v/>
      </c>
    </row>
    <row r="151" customFormat="false" ht="15.75" hidden="false" customHeight="false" outlineLevel="0" collapsed="false">
      <c r="A151" s="136" t="str">
        <f aca="false">Scoring!BF157</f>
        <v/>
      </c>
      <c r="B151" s="136" t="str">
        <f aca="false">Scoring!BE157</f>
        <v/>
      </c>
      <c r="C151" s="136" t="n">
        <f aca="false">Scoring!C157</f>
        <v>0</v>
      </c>
      <c r="D151" s="137" t="str">
        <f aca="false">Scoring!BB157</f>
        <v/>
      </c>
      <c r="E151" s="136" t="str">
        <f aca="false">Scoring!AE157</f>
        <v/>
      </c>
      <c r="F151" s="136" t="n">
        <f aca="false">Scoring!B157</f>
        <v>0</v>
      </c>
      <c r="G151" s="136" t="n">
        <f aca="false">Scoring!D157</f>
        <v>0</v>
      </c>
      <c r="H151" s="136" t="str">
        <f aca="false">Scoring!BD157</f>
        <v/>
      </c>
      <c r="I151" s="138" t="str">
        <f aca="false">Scoring!BC157</f>
        <v/>
      </c>
    </row>
    <row r="152" customFormat="false" ht="15.75" hidden="false" customHeight="false" outlineLevel="0" collapsed="false">
      <c r="A152" s="136" t="str">
        <f aca="false">Scoring!BF158</f>
        <v/>
      </c>
      <c r="B152" s="136" t="str">
        <f aca="false">Scoring!BE158</f>
        <v/>
      </c>
      <c r="C152" s="136" t="n">
        <f aca="false">Scoring!C158</f>
        <v>0</v>
      </c>
      <c r="D152" s="137" t="str">
        <f aca="false">Scoring!BB158</f>
        <v/>
      </c>
      <c r="E152" s="136" t="str">
        <f aca="false">Scoring!AE158</f>
        <v/>
      </c>
      <c r="F152" s="136" t="n">
        <f aca="false">Scoring!B158</f>
        <v>0</v>
      </c>
      <c r="G152" s="136" t="n">
        <f aca="false">Scoring!D158</f>
        <v>0</v>
      </c>
      <c r="H152" s="136" t="str">
        <f aca="false">Scoring!BD158</f>
        <v/>
      </c>
      <c r="I152" s="138" t="str">
        <f aca="false">Scoring!BC158</f>
        <v/>
      </c>
    </row>
    <row r="153" customFormat="false" ht="15.75" hidden="false" customHeight="false" outlineLevel="0" collapsed="false">
      <c r="A153" s="136" t="str">
        <f aca="false">Scoring!BF159</f>
        <v/>
      </c>
      <c r="B153" s="136" t="str">
        <f aca="false">Scoring!BE159</f>
        <v/>
      </c>
      <c r="C153" s="136" t="n">
        <f aca="false">Scoring!C159</f>
        <v>0</v>
      </c>
      <c r="D153" s="137" t="str">
        <f aca="false">Scoring!BB159</f>
        <v/>
      </c>
      <c r="E153" s="136" t="str">
        <f aca="false">Scoring!AE159</f>
        <v/>
      </c>
      <c r="F153" s="136" t="n">
        <f aca="false">Scoring!B159</f>
        <v>0</v>
      </c>
      <c r="G153" s="136" t="n">
        <f aca="false">Scoring!D159</f>
        <v>0</v>
      </c>
      <c r="H153" s="136" t="str">
        <f aca="false">Scoring!BD159</f>
        <v/>
      </c>
      <c r="I153" s="138" t="str">
        <f aca="false">Scoring!BC159</f>
        <v/>
      </c>
    </row>
    <row r="154" customFormat="false" ht="15.75" hidden="false" customHeight="false" outlineLevel="0" collapsed="false">
      <c r="A154" s="136" t="str">
        <f aca="false">Scoring!BF160</f>
        <v/>
      </c>
      <c r="B154" s="136" t="str">
        <f aca="false">Scoring!BE160</f>
        <v/>
      </c>
      <c r="C154" s="136" t="n">
        <f aca="false">Scoring!C160</f>
        <v>0</v>
      </c>
      <c r="D154" s="137" t="str">
        <f aca="false">Scoring!BB160</f>
        <v/>
      </c>
      <c r="E154" s="136" t="str">
        <f aca="false">Scoring!AE160</f>
        <v/>
      </c>
      <c r="F154" s="136" t="n">
        <f aca="false">Scoring!B160</f>
        <v>0</v>
      </c>
      <c r="G154" s="136" t="n">
        <f aca="false">Scoring!D160</f>
        <v>0</v>
      </c>
      <c r="H154" s="136" t="str">
        <f aca="false">Scoring!BD160</f>
        <v/>
      </c>
      <c r="I154" s="138" t="str">
        <f aca="false">Scoring!BC160</f>
        <v/>
      </c>
    </row>
    <row r="155" customFormat="false" ht="15.75" hidden="false" customHeight="false" outlineLevel="0" collapsed="false">
      <c r="A155" s="136" t="str">
        <f aca="false">Scoring!BF161</f>
        <v/>
      </c>
      <c r="B155" s="136" t="str">
        <f aca="false">Scoring!BE161</f>
        <v/>
      </c>
      <c r="C155" s="136" t="n">
        <f aca="false">Scoring!C161</f>
        <v>0</v>
      </c>
      <c r="D155" s="137" t="str">
        <f aca="false">Scoring!BB161</f>
        <v/>
      </c>
      <c r="E155" s="136" t="str">
        <f aca="false">Scoring!AE161</f>
        <v/>
      </c>
      <c r="F155" s="136" t="n">
        <f aca="false">Scoring!B161</f>
        <v>0</v>
      </c>
      <c r="G155" s="136" t="n">
        <f aca="false">Scoring!D161</f>
        <v>0</v>
      </c>
      <c r="H155" s="136" t="str">
        <f aca="false">Scoring!BD161</f>
        <v/>
      </c>
      <c r="I155" s="138" t="str">
        <f aca="false">Scoring!BC161</f>
        <v/>
      </c>
    </row>
    <row r="156" customFormat="false" ht="15.75" hidden="false" customHeight="false" outlineLevel="0" collapsed="false">
      <c r="A156" s="136" t="str">
        <f aca="false">Scoring!BF162</f>
        <v/>
      </c>
      <c r="B156" s="136" t="str">
        <f aca="false">Scoring!BE162</f>
        <v/>
      </c>
      <c r="C156" s="136" t="n">
        <f aca="false">Scoring!C162</f>
        <v>0</v>
      </c>
      <c r="D156" s="137" t="str">
        <f aca="false">Scoring!BB162</f>
        <v/>
      </c>
      <c r="E156" s="136" t="str">
        <f aca="false">Scoring!AE162</f>
        <v/>
      </c>
      <c r="F156" s="136" t="n">
        <f aca="false">Scoring!B162</f>
        <v>0</v>
      </c>
      <c r="G156" s="136" t="n">
        <f aca="false">Scoring!D162</f>
        <v>0</v>
      </c>
      <c r="H156" s="136" t="str">
        <f aca="false">Scoring!BD162</f>
        <v/>
      </c>
      <c r="I156" s="138" t="str">
        <f aca="false">Scoring!BC162</f>
        <v/>
      </c>
    </row>
    <row r="157" customFormat="false" ht="15.75" hidden="false" customHeight="false" outlineLevel="0" collapsed="false">
      <c r="A157" s="136" t="str">
        <f aca="false">Scoring!BF163</f>
        <v/>
      </c>
      <c r="B157" s="136" t="str">
        <f aca="false">Scoring!BE163</f>
        <v/>
      </c>
      <c r="C157" s="136" t="n">
        <f aca="false">Scoring!C163</f>
        <v>0</v>
      </c>
      <c r="D157" s="137" t="str">
        <f aca="false">Scoring!BB163</f>
        <v/>
      </c>
      <c r="E157" s="136" t="str">
        <f aca="false">Scoring!AE163</f>
        <v/>
      </c>
      <c r="F157" s="136" t="n">
        <f aca="false">Scoring!B163</f>
        <v>0</v>
      </c>
      <c r="G157" s="136" t="n">
        <f aca="false">Scoring!D163</f>
        <v>0</v>
      </c>
      <c r="H157" s="136" t="str">
        <f aca="false">Scoring!BD163</f>
        <v/>
      </c>
      <c r="I157" s="138" t="str">
        <f aca="false">Scoring!BC163</f>
        <v/>
      </c>
    </row>
    <row r="158" customFormat="false" ht="15.75" hidden="false" customHeight="false" outlineLevel="0" collapsed="false">
      <c r="A158" s="136" t="str">
        <f aca="false">Scoring!BF164</f>
        <v/>
      </c>
      <c r="B158" s="136" t="str">
        <f aca="false">Scoring!BE164</f>
        <v/>
      </c>
      <c r="C158" s="136" t="n">
        <f aca="false">Scoring!C164</f>
        <v>0</v>
      </c>
      <c r="D158" s="137" t="str">
        <f aca="false">Scoring!BB164</f>
        <v/>
      </c>
      <c r="E158" s="136" t="str">
        <f aca="false">Scoring!AE164</f>
        <v/>
      </c>
      <c r="F158" s="136" t="n">
        <f aca="false">Scoring!B164</f>
        <v>0</v>
      </c>
      <c r="G158" s="136" t="n">
        <f aca="false">Scoring!D164</f>
        <v>0</v>
      </c>
      <c r="H158" s="136" t="str">
        <f aca="false">Scoring!BD164</f>
        <v/>
      </c>
      <c r="I158" s="138" t="str">
        <f aca="false">Scoring!BC164</f>
        <v/>
      </c>
    </row>
    <row r="159" customFormat="false" ht="15.75" hidden="false" customHeight="false" outlineLevel="0" collapsed="false">
      <c r="A159" s="136" t="str">
        <f aca="false">Scoring!BF165</f>
        <v/>
      </c>
      <c r="B159" s="136" t="str">
        <f aca="false">Scoring!BE165</f>
        <v/>
      </c>
      <c r="C159" s="136" t="n">
        <f aca="false">Scoring!C165</f>
        <v>0</v>
      </c>
      <c r="D159" s="137" t="str">
        <f aca="false">Scoring!BB165</f>
        <v/>
      </c>
      <c r="E159" s="136" t="str">
        <f aca="false">Scoring!AE165</f>
        <v/>
      </c>
      <c r="F159" s="136" t="n">
        <f aca="false">Scoring!B165</f>
        <v>0</v>
      </c>
      <c r="G159" s="136" t="n">
        <f aca="false">Scoring!D165</f>
        <v>0</v>
      </c>
      <c r="H159" s="136" t="str">
        <f aca="false">Scoring!BD165</f>
        <v/>
      </c>
      <c r="I159" s="138" t="str">
        <f aca="false">Scoring!BC165</f>
        <v/>
      </c>
    </row>
    <row r="160" customFormat="false" ht="15.75" hidden="false" customHeight="false" outlineLevel="0" collapsed="false">
      <c r="A160" s="136" t="str">
        <f aca="false">Scoring!BF166</f>
        <v/>
      </c>
      <c r="B160" s="136" t="str">
        <f aca="false">Scoring!BE166</f>
        <v/>
      </c>
      <c r="C160" s="136" t="n">
        <f aca="false">Scoring!C166</f>
        <v>0</v>
      </c>
      <c r="D160" s="137" t="str">
        <f aca="false">Scoring!BB166</f>
        <v/>
      </c>
      <c r="E160" s="136" t="str">
        <f aca="false">Scoring!AE166</f>
        <v/>
      </c>
      <c r="F160" s="136" t="n">
        <f aca="false">Scoring!B166</f>
        <v>0</v>
      </c>
      <c r="G160" s="136" t="n">
        <f aca="false">Scoring!D166</f>
        <v>0</v>
      </c>
      <c r="H160" s="136" t="str">
        <f aca="false">Scoring!BD166</f>
        <v/>
      </c>
      <c r="I160" s="138" t="str">
        <f aca="false">Scoring!BC166</f>
        <v/>
      </c>
    </row>
    <row r="161" customFormat="false" ht="15.75" hidden="false" customHeight="false" outlineLevel="0" collapsed="false">
      <c r="A161" s="136" t="str">
        <f aca="false">Scoring!BF167</f>
        <v/>
      </c>
      <c r="B161" s="136" t="str">
        <f aca="false">Scoring!BE167</f>
        <v/>
      </c>
      <c r="C161" s="136" t="n">
        <f aca="false">Scoring!C167</f>
        <v>0</v>
      </c>
      <c r="D161" s="137" t="str">
        <f aca="false">Scoring!BB167</f>
        <v/>
      </c>
      <c r="E161" s="136" t="str">
        <f aca="false">Scoring!AE167</f>
        <v/>
      </c>
      <c r="F161" s="136" t="n">
        <f aca="false">Scoring!B167</f>
        <v>0</v>
      </c>
      <c r="G161" s="136" t="n">
        <f aca="false">Scoring!D167</f>
        <v>0</v>
      </c>
      <c r="H161" s="136" t="str">
        <f aca="false">Scoring!BD167</f>
        <v/>
      </c>
      <c r="I161" s="138" t="str">
        <f aca="false">Scoring!BC167</f>
        <v/>
      </c>
    </row>
    <row r="162" customFormat="false" ht="15.75" hidden="false" customHeight="false" outlineLevel="0" collapsed="false">
      <c r="A162" s="136" t="str">
        <f aca="false">Scoring!BF168</f>
        <v/>
      </c>
      <c r="B162" s="136" t="str">
        <f aca="false">Scoring!BE168</f>
        <v/>
      </c>
      <c r="C162" s="136" t="n">
        <f aca="false">Scoring!C168</f>
        <v>0</v>
      </c>
      <c r="D162" s="137" t="str">
        <f aca="false">Scoring!BB168</f>
        <v/>
      </c>
      <c r="E162" s="136" t="str">
        <f aca="false">Scoring!AE168</f>
        <v/>
      </c>
      <c r="F162" s="136" t="n">
        <f aca="false">Scoring!B168</f>
        <v>0</v>
      </c>
      <c r="G162" s="136" t="n">
        <f aca="false">Scoring!D168</f>
        <v>0</v>
      </c>
      <c r="H162" s="136" t="str">
        <f aca="false">Scoring!BD168</f>
        <v/>
      </c>
      <c r="I162" s="138" t="str">
        <f aca="false">Scoring!BC168</f>
        <v/>
      </c>
    </row>
    <row r="163" customFormat="false" ht="15.75" hidden="false" customHeight="false" outlineLevel="0" collapsed="false">
      <c r="A163" s="136" t="str">
        <f aca="false">Scoring!BF169</f>
        <v/>
      </c>
      <c r="B163" s="136" t="str">
        <f aca="false">Scoring!BE169</f>
        <v/>
      </c>
      <c r="C163" s="136" t="n">
        <f aca="false">Scoring!C169</f>
        <v>0</v>
      </c>
      <c r="D163" s="137" t="str">
        <f aca="false">Scoring!BB169</f>
        <v/>
      </c>
      <c r="E163" s="136" t="str">
        <f aca="false">Scoring!AE169</f>
        <v/>
      </c>
      <c r="F163" s="136" t="n">
        <f aca="false">Scoring!B169</f>
        <v>0</v>
      </c>
      <c r="G163" s="136" t="n">
        <f aca="false">Scoring!D169</f>
        <v>0</v>
      </c>
      <c r="H163" s="136" t="str">
        <f aca="false">Scoring!BD169</f>
        <v/>
      </c>
      <c r="I163" s="138" t="str">
        <f aca="false">Scoring!BC169</f>
        <v/>
      </c>
    </row>
    <row r="164" customFormat="false" ht="15.75" hidden="false" customHeight="false" outlineLevel="0" collapsed="false">
      <c r="A164" s="136" t="str">
        <f aca="false">Scoring!BF170</f>
        <v/>
      </c>
      <c r="B164" s="136" t="str">
        <f aca="false">Scoring!BE170</f>
        <v/>
      </c>
      <c r="C164" s="136" t="n">
        <f aca="false">Scoring!C170</f>
        <v>0</v>
      </c>
      <c r="D164" s="137" t="str">
        <f aca="false">Scoring!BB170</f>
        <v/>
      </c>
      <c r="E164" s="136" t="str">
        <f aca="false">Scoring!AE170</f>
        <v/>
      </c>
      <c r="F164" s="136" t="n">
        <f aca="false">Scoring!B170</f>
        <v>0</v>
      </c>
      <c r="G164" s="136" t="n">
        <f aca="false">Scoring!D170</f>
        <v>0</v>
      </c>
      <c r="H164" s="136" t="str">
        <f aca="false">Scoring!BD170</f>
        <v/>
      </c>
      <c r="I164" s="138" t="str">
        <f aca="false">Scoring!BC170</f>
        <v/>
      </c>
    </row>
    <row r="165" customFormat="false" ht="15.75" hidden="false" customHeight="false" outlineLevel="0" collapsed="false">
      <c r="A165" s="136" t="str">
        <f aca="false">Scoring!BF171</f>
        <v/>
      </c>
      <c r="B165" s="136" t="str">
        <f aca="false">Scoring!BE171</f>
        <v/>
      </c>
      <c r="C165" s="136" t="n">
        <f aca="false">Scoring!C171</f>
        <v>0</v>
      </c>
      <c r="D165" s="137" t="str">
        <f aca="false">Scoring!BB171</f>
        <v/>
      </c>
      <c r="E165" s="136" t="str">
        <f aca="false">Scoring!AE171</f>
        <v/>
      </c>
      <c r="F165" s="136" t="n">
        <f aca="false">Scoring!B171</f>
        <v>0</v>
      </c>
      <c r="G165" s="136" t="n">
        <f aca="false">Scoring!D171</f>
        <v>0</v>
      </c>
      <c r="H165" s="136" t="str">
        <f aca="false">Scoring!BD171</f>
        <v/>
      </c>
      <c r="I165" s="138" t="str">
        <f aca="false">Scoring!BC171</f>
        <v/>
      </c>
    </row>
    <row r="166" customFormat="false" ht="15.75" hidden="false" customHeight="false" outlineLevel="0" collapsed="false">
      <c r="A166" s="136" t="str">
        <f aca="false">Scoring!BF172</f>
        <v/>
      </c>
      <c r="B166" s="136" t="str">
        <f aca="false">Scoring!BE172</f>
        <v/>
      </c>
      <c r="C166" s="136" t="n">
        <f aca="false">Scoring!C172</f>
        <v>0</v>
      </c>
      <c r="D166" s="137" t="str">
        <f aca="false">Scoring!BB172</f>
        <v/>
      </c>
      <c r="E166" s="136" t="str">
        <f aca="false">Scoring!AE172</f>
        <v/>
      </c>
      <c r="F166" s="136" t="n">
        <f aca="false">Scoring!B172</f>
        <v>0</v>
      </c>
      <c r="G166" s="136" t="n">
        <f aca="false">Scoring!D172</f>
        <v>0</v>
      </c>
      <c r="H166" s="136" t="str">
        <f aca="false">Scoring!BD172</f>
        <v/>
      </c>
      <c r="I166" s="138" t="str">
        <f aca="false">Scoring!BC172</f>
        <v/>
      </c>
    </row>
    <row r="167" customFormat="false" ht="15.75" hidden="false" customHeight="false" outlineLevel="0" collapsed="false">
      <c r="A167" s="136" t="str">
        <f aca="false">Scoring!BF173</f>
        <v/>
      </c>
      <c r="B167" s="136" t="str">
        <f aca="false">Scoring!BE173</f>
        <v/>
      </c>
      <c r="C167" s="136" t="n">
        <f aca="false">Scoring!C173</f>
        <v>0</v>
      </c>
      <c r="D167" s="137" t="str">
        <f aca="false">Scoring!BB173</f>
        <v/>
      </c>
      <c r="E167" s="136" t="str">
        <f aca="false">Scoring!AE173</f>
        <v/>
      </c>
      <c r="F167" s="136" t="n">
        <f aca="false">Scoring!B173</f>
        <v>0</v>
      </c>
      <c r="G167" s="136" t="n">
        <f aca="false">Scoring!D173</f>
        <v>0</v>
      </c>
      <c r="H167" s="136" t="str">
        <f aca="false">Scoring!BD173</f>
        <v/>
      </c>
      <c r="I167" s="138" t="str">
        <f aca="false">Scoring!BC173</f>
        <v/>
      </c>
    </row>
    <row r="168" customFormat="false" ht="15.75" hidden="false" customHeight="false" outlineLevel="0" collapsed="false">
      <c r="A168" s="136" t="str">
        <f aca="false">Scoring!BF174</f>
        <v/>
      </c>
      <c r="B168" s="136" t="str">
        <f aca="false">Scoring!BE174</f>
        <v/>
      </c>
      <c r="C168" s="136" t="n">
        <f aca="false">Scoring!C174</f>
        <v>0</v>
      </c>
      <c r="D168" s="137" t="str">
        <f aca="false">Scoring!BB174</f>
        <v/>
      </c>
      <c r="E168" s="136" t="str">
        <f aca="false">Scoring!AE174</f>
        <v/>
      </c>
      <c r="F168" s="136" t="n">
        <f aca="false">Scoring!B174</f>
        <v>0</v>
      </c>
      <c r="G168" s="136" t="n">
        <f aca="false">Scoring!D174</f>
        <v>0</v>
      </c>
      <c r="H168" s="136" t="str">
        <f aca="false">Scoring!BD174</f>
        <v/>
      </c>
      <c r="I168" s="138" t="str">
        <f aca="false">Scoring!BC174</f>
        <v/>
      </c>
    </row>
    <row r="169" customFormat="false" ht="15.75" hidden="false" customHeight="false" outlineLevel="0" collapsed="false">
      <c r="A169" s="136" t="str">
        <f aca="false">Scoring!BF175</f>
        <v/>
      </c>
      <c r="B169" s="136" t="str">
        <f aca="false">Scoring!BE175</f>
        <v/>
      </c>
      <c r="C169" s="136" t="n">
        <f aca="false">Scoring!C175</f>
        <v>0</v>
      </c>
      <c r="D169" s="137" t="str">
        <f aca="false">Scoring!BB175</f>
        <v/>
      </c>
      <c r="E169" s="136" t="str">
        <f aca="false">Scoring!AE175</f>
        <v/>
      </c>
      <c r="F169" s="136" t="n">
        <f aca="false">Scoring!B175</f>
        <v>0</v>
      </c>
      <c r="G169" s="136" t="n">
        <f aca="false">Scoring!D175</f>
        <v>0</v>
      </c>
      <c r="H169" s="136" t="str">
        <f aca="false">Scoring!BD175</f>
        <v/>
      </c>
      <c r="I169" s="138" t="str">
        <f aca="false">Scoring!BC175</f>
        <v/>
      </c>
    </row>
    <row r="170" customFormat="false" ht="15.75" hidden="false" customHeight="false" outlineLevel="0" collapsed="false">
      <c r="A170" s="136" t="str">
        <f aca="false">Scoring!BF176</f>
        <v/>
      </c>
      <c r="B170" s="136" t="str">
        <f aca="false">Scoring!BE176</f>
        <v/>
      </c>
      <c r="C170" s="136" t="n">
        <f aca="false">Scoring!C176</f>
        <v>0</v>
      </c>
      <c r="D170" s="137" t="str">
        <f aca="false">Scoring!BB176</f>
        <v/>
      </c>
      <c r="E170" s="136" t="str">
        <f aca="false">Scoring!AE176</f>
        <v/>
      </c>
      <c r="F170" s="136" t="n">
        <f aca="false">Scoring!B176</f>
        <v>0</v>
      </c>
      <c r="G170" s="136" t="n">
        <f aca="false">Scoring!D176</f>
        <v>0</v>
      </c>
      <c r="H170" s="136" t="str">
        <f aca="false">Scoring!BD176</f>
        <v/>
      </c>
      <c r="I170" s="138" t="str">
        <f aca="false">Scoring!BC176</f>
        <v/>
      </c>
    </row>
    <row r="171" customFormat="false" ht="15.75" hidden="false" customHeight="false" outlineLevel="0" collapsed="false">
      <c r="A171" s="136" t="str">
        <f aca="false">Scoring!BF177</f>
        <v/>
      </c>
      <c r="B171" s="136" t="str">
        <f aca="false">Scoring!BE177</f>
        <v/>
      </c>
      <c r="C171" s="136" t="n">
        <f aca="false">Scoring!C177</f>
        <v>0</v>
      </c>
      <c r="D171" s="137" t="str">
        <f aca="false">Scoring!BB177</f>
        <v/>
      </c>
      <c r="E171" s="136" t="str">
        <f aca="false">Scoring!AE177</f>
        <v/>
      </c>
      <c r="F171" s="136" t="n">
        <f aca="false">Scoring!B177</f>
        <v>0</v>
      </c>
      <c r="G171" s="136" t="n">
        <f aca="false">Scoring!D177</f>
        <v>0</v>
      </c>
      <c r="H171" s="136" t="str">
        <f aca="false">Scoring!BD177</f>
        <v/>
      </c>
      <c r="I171" s="138" t="str">
        <f aca="false">Scoring!BC177</f>
        <v/>
      </c>
    </row>
    <row r="172" customFormat="false" ht="15.75" hidden="false" customHeight="false" outlineLevel="0" collapsed="false">
      <c r="A172" s="136" t="str">
        <f aca="false">Scoring!BF178</f>
        <v/>
      </c>
      <c r="B172" s="136" t="str">
        <f aca="false">Scoring!BE178</f>
        <v/>
      </c>
      <c r="C172" s="136" t="n">
        <f aca="false">Scoring!C178</f>
        <v>0</v>
      </c>
      <c r="D172" s="137" t="str">
        <f aca="false">Scoring!BB178</f>
        <v/>
      </c>
      <c r="E172" s="136" t="str">
        <f aca="false">Scoring!AE178</f>
        <v/>
      </c>
      <c r="F172" s="136" t="n">
        <f aca="false">Scoring!B178</f>
        <v>0</v>
      </c>
      <c r="G172" s="136" t="n">
        <f aca="false">Scoring!D178</f>
        <v>0</v>
      </c>
      <c r="H172" s="136" t="str">
        <f aca="false">Scoring!BD178</f>
        <v/>
      </c>
      <c r="I172" s="138" t="str">
        <f aca="false">Scoring!BC178</f>
        <v/>
      </c>
    </row>
    <row r="173" customFormat="false" ht="15.75" hidden="false" customHeight="false" outlineLevel="0" collapsed="false">
      <c r="A173" s="136" t="str">
        <f aca="false">Scoring!BF179</f>
        <v/>
      </c>
      <c r="B173" s="136" t="str">
        <f aca="false">Scoring!BE179</f>
        <v/>
      </c>
      <c r="C173" s="136" t="n">
        <f aca="false">Scoring!C179</f>
        <v>0</v>
      </c>
      <c r="D173" s="137" t="str">
        <f aca="false">Scoring!BB179</f>
        <v/>
      </c>
      <c r="E173" s="136" t="str">
        <f aca="false">Scoring!AE179</f>
        <v/>
      </c>
      <c r="F173" s="136" t="n">
        <f aca="false">Scoring!B179</f>
        <v>0</v>
      </c>
      <c r="G173" s="136" t="n">
        <f aca="false">Scoring!D179</f>
        <v>0</v>
      </c>
      <c r="H173" s="136" t="str">
        <f aca="false">Scoring!BD179</f>
        <v/>
      </c>
      <c r="I173" s="138" t="str">
        <f aca="false">Scoring!BC179</f>
        <v/>
      </c>
    </row>
    <row r="174" customFormat="false" ht="15.75" hidden="false" customHeight="false" outlineLevel="0" collapsed="false">
      <c r="A174" s="136" t="str">
        <f aca="false">Scoring!BF180</f>
        <v/>
      </c>
      <c r="B174" s="136" t="str">
        <f aca="false">Scoring!BE180</f>
        <v/>
      </c>
      <c r="C174" s="136" t="n">
        <f aca="false">Scoring!C180</f>
        <v>0</v>
      </c>
      <c r="D174" s="137" t="str">
        <f aca="false">Scoring!BB180</f>
        <v/>
      </c>
      <c r="E174" s="136" t="str">
        <f aca="false">Scoring!AE180</f>
        <v/>
      </c>
      <c r="F174" s="136" t="n">
        <f aca="false">Scoring!B180</f>
        <v>0</v>
      </c>
      <c r="G174" s="136" t="n">
        <f aca="false">Scoring!D180</f>
        <v>0</v>
      </c>
      <c r="H174" s="136" t="str">
        <f aca="false">Scoring!BD180</f>
        <v/>
      </c>
      <c r="I174" s="138" t="str">
        <f aca="false">Scoring!BC180</f>
        <v/>
      </c>
    </row>
    <row r="175" customFormat="false" ht="15.75" hidden="false" customHeight="false" outlineLevel="0" collapsed="false">
      <c r="A175" s="136" t="str">
        <f aca="false">Scoring!BF181</f>
        <v/>
      </c>
      <c r="B175" s="136" t="str">
        <f aca="false">Scoring!BE181</f>
        <v/>
      </c>
      <c r="C175" s="136" t="n">
        <f aca="false">Scoring!C181</f>
        <v>0</v>
      </c>
      <c r="D175" s="137" t="str">
        <f aca="false">Scoring!BB181</f>
        <v/>
      </c>
      <c r="E175" s="136" t="str">
        <f aca="false">Scoring!AE181</f>
        <v/>
      </c>
      <c r="F175" s="136" t="n">
        <f aca="false">Scoring!B181</f>
        <v>0</v>
      </c>
      <c r="G175" s="136" t="n">
        <f aca="false">Scoring!D181</f>
        <v>0</v>
      </c>
      <c r="H175" s="136" t="str">
        <f aca="false">Scoring!BD181</f>
        <v/>
      </c>
      <c r="I175" s="138" t="str">
        <f aca="false">Scoring!BC181</f>
        <v/>
      </c>
    </row>
    <row r="176" customFormat="false" ht="15.75" hidden="false" customHeight="false" outlineLevel="0" collapsed="false">
      <c r="A176" s="136" t="str">
        <f aca="false">Scoring!BF182</f>
        <v/>
      </c>
      <c r="B176" s="136" t="str">
        <f aca="false">Scoring!BE182</f>
        <v/>
      </c>
      <c r="C176" s="136" t="n">
        <f aca="false">Scoring!C182</f>
        <v>0</v>
      </c>
      <c r="D176" s="137" t="str">
        <f aca="false">Scoring!BB182</f>
        <v/>
      </c>
      <c r="E176" s="136" t="str">
        <f aca="false">Scoring!AE182</f>
        <v/>
      </c>
      <c r="F176" s="136" t="n">
        <f aca="false">Scoring!B182</f>
        <v>0</v>
      </c>
      <c r="G176" s="136" t="n">
        <f aca="false">Scoring!D182</f>
        <v>0</v>
      </c>
      <c r="H176" s="136" t="str">
        <f aca="false">Scoring!BD182</f>
        <v/>
      </c>
      <c r="I176" s="138" t="str">
        <f aca="false">Scoring!BC182</f>
        <v/>
      </c>
    </row>
    <row r="177" customFormat="false" ht="15.75" hidden="false" customHeight="false" outlineLevel="0" collapsed="false">
      <c r="A177" s="136" t="str">
        <f aca="false">Scoring!BF183</f>
        <v/>
      </c>
      <c r="B177" s="136" t="str">
        <f aca="false">Scoring!BE183</f>
        <v/>
      </c>
      <c r="C177" s="136" t="n">
        <f aca="false">Scoring!C183</f>
        <v>0</v>
      </c>
      <c r="D177" s="137" t="str">
        <f aca="false">Scoring!BB183</f>
        <v/>
      </c>
      <c r="E177" s="136" t="str">
        <f aca="false">Scoring!AE183</f>
        <v/>
      </c>
      <c r="F177" s="136" t="n">
        <f aca="false">Scoring!B183</f>
        <v>0</v>
      </c>
      <c r="G177" s="136" t="n">
        <f aca="false">Scoring!D183</f>
        <v>0</v>
      </c>
      <c r="H177" s="136" t="str">
        <f aca="false">Scoring!BD183</f>
        <v/>
      </c>
      <c r="I177" s="138" t="str">
        <f aca="false">Scoring!BC183</f>
        <v/>
      </c>
    </row>
    <row r="178" customFormat="false" ht="15.75" hidden="false" customHeight="false" outlineLevel="0" collapsed="false">
      <c r="A178" s="136" t="str">
        <f aca="false">Scoring!BF184</f>
        <v/>
      </c>
      <c r="B178" s="136" t="str">
        <f aca="false">Scoring!BE184</f>
        <v/>
      </c>
      <c r="C178" s="136" t="n">
        <f aca="false">Scoring!C184</f>
        <v>0</v>
      </c>
      <c r="D178" s="137" t="str">
        <f aca="false">Scoring!BB184</f>
        <v/>
      </c>
      <c r="E178" s="136" t="str">
        <f aca="false">Scoring!AE184</f>
        <v/>
      </c>
      <c r="F178" s="136" t="n">
        <f aca="false">Scoring!B184</f>
        <v>0</v>
      </c>
      <c r="G178" s="136" t="n">
        <f aca="false">Scoring!D184</f>
        <v>0</v>
      </c>
      <c r="H178" s="136" t="str">
        <f aca="false">Scoring!BD184</f>
        <v/>
      </c>
      <c r="I178" s="138" t="str">
        <f aca="false">Scoring!BC184</f>
        <v/>
      </c>
    </row>
    <row r="179" customFormat="false" ht="15.75" hidden="false" customHeight="false" outlineLevel="0" collapsed="false">
      <c r="A179" s="136" t="str">
        <f aca="false">Scoring!BF185</f>
        <v/>
      </c>
      <c r="B179" s="136" t="str">
        <f aca="false">Scoring!BE185</f>
        <v/>
      </c>
      <c r="C179" s="136" t="n">
        <f aca="false">Scoring!C185</f>
        <v>0</v>
      </c>
      <c r="D179" s="137" t="str">
        <f aca="false">Scoring!BB185</f>
        <v/>
      </c>
      <c r="E179" s="136" t="str">
        <f aca="false">Scoring!AE185</f>
        <v/>
      </c>
      <c r="F179" s="136" t="n">
        <f aca="false">Scoring!B185</f>
        <v>0</v>
      </c>
      <c r="G179" s="136" t="n">
        <f aca="false">Scoring!D185</f>
        <v>0</v>
      </c>
      <c r="H179" s="136" t="str">
        <f aca="false">Scoring!BD185</f>
        <v/>
      </c>
      <c r="I179" s="138" t="str">
        <f aca="false">Scoring!BC185</f>
        <v/>
      </c>
    </row>
    <row r="180" customFormat="false" ht="15.75" hidden="false" customHeight="false" outlineLevel="0" collapsed="false">
      <c r="A180" s="136" t="str">
        <f aca="false">Scoring!BF186</f>
        <v/>
      </c>
      <c r="B180" s="136" t="str">
        <f aca="false">Scoring!BE186</f>
        <v/>
      </c>
      <c r="C180" s="136" t="n">
        <f aca="false">Scoring!C186</f>
        <v>0</v>
      </c>
      <c r="D180" s="137" t="str">
        <f aca="false">Scoring!BB186</f>
        <v/>
      </c>
      <c r="E180" s="136" t="str">
        <f aca="false">Scoring!AE186</f>
        <v/>
      </c>
      <c r="F180" s="136" t="n">
        <f aca="false">Scoring!B186</f>
        <v>0</v>
      </c>
      <c r="G180" s="136" t="n">
        <f aca="false">Scoring!D186</f>
        <v>0</v>
      </c>
      <c r="H180" s="136" t="str">
        <f aca="false">Scoring!BD186</f>
        <v/>
      </c>
      <c r="I180" s="138" t="str">
        <f aca="false">Scoring!BC186</f>
        <v/>
      </c>
    </row>
    <row r="181" customFormat="false" ht="15.75" hidden="false" customHeight="false" outlineLevel="0" collapsed="false">
      <c r="A181" s="136" t="str">
        <f aca="false">Scoring!BF187</f>
        <v/>
      </c>
      <c r="B181" s="136" t="str">
        <f aca="false">Scoring!BE187</f>
        <v/>
      </c>
      <c r="C181" s="136" t="n">
        <f aca="false">Scoring!C187</f>
        <v>0</v>
      </c>
      <c r="D181" s="137" t="str">
        <f aca="false">Scoring!BB187</f>
        <v/>
      </c>
      <c r="E181" s="136" t="str">
        <f aca="false">Scoring!AE187</f>
        <v/>
      </c>
      <c r="F181" s="136" t="n">
        <f aca="false">Scoring!B187</f>
        <v>0</v>
      </c>
      <c r="G181" s="136" t="n">
        <f aca="false">Scoring!D187</f>
        <v>0</v>
      </c>
      <c r="H181" s="136" t="str">
        <f aca="false">Scoring!BD187</f>
        <v/>
      </c>
      <c r="I181" s="138" t="str">
        <f aca="false">Scoring!BC187</f>
        <v/>
      </c>
    </row>
    <row r="182" customFormat="false" ht="15.75" hidden="false" customHeight="false" outlineLevel="0" collapsed="false">
      <c r="A182" s="136" t="str">
        <f aca="false">Scoring!BF188</f>
        <v/>
      </c>
      <c r="B182" s="136" t="str">
        <f aca="false">Scoring!BE188</f>
        <v/>
      </c>
      <c r="C182" s="136" t="n">
        <f aca="false">Scoring!C188</f>
        <v>0</v>
      </c>
      <c r="D182" s="137" t="str">
        <f aca="false">Scoring!BB188</f>
        <v/>
      </c>
      <c r="E182" s="136" t="str">
        <f aca="false">Scoring!AE188</f>
        <v/>
      </c>
      <c r="F182" s="136" t="n">
        <f aca="false">Scoring!B188</f>
        <v>0</v>
      </c>
      <c r="G182" s="136" t="n">
        <f aca="false">Scoring!D188</f>
        <v>0</v>
      </c>
      <c r="H182" s="136" t="str">
        <f aca="false">Scoring!BD188</f>
        <v/>
      </c>
      <c r="I182" s="138" t="str">
        <f aca="false">Scoring!BC188</f>
        <v/>
      </c>
    </row>
    <row r="183" customFormat="false" ht="15.75" hidden="false" customHeight="false" outlineLevel="0" collapsed="false">
      <c r="A183" s="136" t="str">
        <f aca="false">Scoring!BF189</f>
        <v/>
      </c>
      <c r="B183" s="136" t="str">
        <f aca="false">Scoring!BE189</f>
        <v/>
      </c>
      <c r="C183" s="136" t="n">
        <f aca="false">Scoring!C189</f>
        <v>0</v>
      </c>
      <c r="D183" s="137" t="str">
        <f aca="false">Scoring!BB189</f>
        <v/>
      </c>
      <c r="E183" s="136" t="str">
        <f aca="false">Scoring!AE189</f>
        <v/>
      </c>
      <c r="F183" s="136" t="n">
        <f aca="false">Scoring!B189</f>
        <v>0</v>
      </c>
      <c r="G183" s="136" t="n">
        <f aca="false">Scoring!D189</f>
        <v>0</v>
      </c>
      <c r="H183" s="136" t="str">
        <f aca="false">Scoring!BD189</f>
        <v/>
      </c>
      <c r="I183" s="138" t="str">
        <f aca="false">Scoring!BC189</f>
        <v/>
      </c>
    </row>
    <row r="184" customFormat="false" ht="15.75" hidden="false" customHeight="false" outlineLevel="0" collapsed="false">
      <c r="A184" s="136" t="str">
        <f aca="false">Scoring!BF190</f>
        <v/>
      </c>
      <c r="B184" s="136" t="str">
        <f aca="false">Scoring!BE190</f>
        <v/>
      </c>
      <c r="C184" s="136" t="n">
        <f aca="false">Scoring!C190</f>
        <v>0</v>
      </c>
      <c r="D184" s="137" t="str">
        <f aca="false">Scoring!BB190</f>
        <v/>
      </c>
      <c r="E184" s="136" t="str">
        <f aca="false">Scoring!AE190</f>
        <v/>
      </c>
      <c r="F184" s="136" t="n">
        <f aca="false">Scoring!B190</f>
        <v>0</v>
      </c>
      <c r="G184" s="136" t="n">
        <f aca="false">Scoring!D190</f>
        <v>0</v>
      </c>
      <c r="H184" s="136" t="str">
        <f aca="false">Scoring!BD190</f>
        <v/>
      </c>
      <c r="I184" s="138" t="str">
        <f aca="false">Scoring!BC190</f>
        <v/>
      </c>
    </row>
    <row r="185" customFormat="false" ht="15.75" hidden="false" customHeight="false" outlineLevel="0" collapsed="false">
      <c r="A185" s="136" t="str">
        <f aca="false">Scoring!BF191</f>
        <v/>
      </c>
      <c r="B185" s="136" t="str">
        <f aca="false">Scoring!BE191</f>
        <v/>
      </c>
      <c r="C185" s="136" t="n">
        <f aca="false">Scoring!C191</f>
        <v>0</v>
      </c>
      <c r="D185" s="137" t="str">
        <f aca="false">Scoring!BB191</f>
        <v/>
      </c>
      <c r="E185" s="136" t="str">
        <f aca="false">Scoring!AE191</f>
        <v/>
      </c>
      <c r="F185" s="136" t="n">
        <f aca="false">Scoring!B191</f>
        <v>0</v>
      </c>
      <c r="G185" s="136" t="n">
        <f aca="false">Scoring!D191</f>
        <v>0</v>
      </c>
      <c r="H185" s="136" t="str">
        <f aca="false">Scoring!BD191</f>
        <v/>
      </c>
      <c r="I185" s="138" t="str">
        <f aca="false">Scoring!BC191</f>
        <v/>
      </c>
    </row>
    <row r="186" customFormat="false" ht="15.75" hidden="false" customHeight="false" outlineLevel="0" collapsed="false">
      <c r="A186" s="136" t="str">
        <f aca="false">Scoring!BF192</f>
        <v/>
      </c>
      <c r="B186" s="136" t="str">
        <f aca="false">Scoring!BE192</f>
        <v/>
      </c>
      <c r="C186" s="136" t="n">
        <f aca="false">Scoring!C192</f>
        <v>0</v>
      </c>
      <c r="D186" s="137" t="str">
        <f aca="false">Scoring!BB192</f>
        <v/>
      </c>
      <c r="E186" s="136" t="str">
        <f aca="false">Scoring!AE192</f>
        <v/>
      </c>
      <c r="F186" s="136" t="n">
        <f aca="false">Scoring!B192</f>
        <v>0</v>
      </c>
      <c r="G186" s="136" t="n">
        <f aca="false">Scoring!D192</f>
        <v>0</v>
      </c>
      <c r="H186" s="136" t="str">
        <f aca="false">Scoring!BD192</f>
        <v/>
      </c>
      <c r="I186" s="138" t="str">
        <f aca="false">Scoring!BC192</f>
        <v/>
      </c>
    </row>
    <row r="187" customFormat="false" ht="15.75" hidden="false" customHeight="false" outlineLevel="0" collapsed="false">
      <c r="A187" s="136" t="str">
        <f aca="false">Scoring!BF193</f>
        <v/>
      </c>
      <c r="B187" s="136" t="str">
        <f aca="false">Scoring!BE193</f>
        <v/>
      </c>
      <c r="C187" s="136" t="n">
        <f aca="false">Scoring!C193</f>
        <v>0</v>
      </c>
      <c r="D187" s="137" t="str">
        <f aca="false">Scoring!BB193</f>
        <v/>
      </c>
      <c r="E187" s="136" t="str">
        <f aca="false">Scoring!AE193</f>
        <v/>
      </c>
      <c r="F187" s="136" t="n">
        <f aca="false">Scoring!B193</f>
        <v>0</v>
      </c>
      <c r="G187" s="136" t="n">
        <f aca="false">Scoring!D193</f>
        <v>0</v>
      </c>
      <c r="H187" s="136" t="str">
        <f aca="false">Scoring!BD193</f>
        <v/>
      </c>
      <c r="I187" s="138" t="str">
        <f aca="false">Scoring!BC193</f>
        <v/>
      </c>
    </row>
    <row r="188" customFormat="false" ht="15.75" hidden="false" customHeight="false" outlineLevel="0" collapsed="false">
      <c r="A188" s="136" t="str">
        <f aca="false">Scoring!BF194</f>
        <v/>
      </c>
      <c r="B188" s="136" t="str">
        <f aca="false">Scoring!BE194</f>
        <v/>
      </c>
      <c r="C188" s="136" t="n">
        <f aca="false">Scoring!C194</f>
        <v>0</v>
      </c>
      <c r="D188" s="137" t="str">
        <f aca="false">Scoring!BB194</f>
        <v/>
      </c>
      <c r="E188" s="136" t="str">
        <f aca="false">Scoring!AE194</f>
        <v/>
      </c>
      <c r="F188" s="136" t="n">
        <f aca="false">Scoring!B194</f>
        <v>0</v>
      </c>
      <c r="G188" s="136" t="n">
        <f aca="false">Scoring!D194</f>
        <v>0</v>
      </c>
      <c r="H188" s="136" t="str">
        <f aca="false">Scoring!BD194</f>
        <v/>
      </c>
      <c r="I188" s="138" t="str">
        <f aca="false">Scoring!BC194</f>
        <v/>
      </c>
    </row>
    <row r="189" customFormat="false" ht="15.75" hidden="false" customHeight="false" outlineLevel="0" collapsed="false">
      <c r="A189" s="136" t="str">
        <f aca="false">Scoring!BF195</f>
        <v/>
      </c>
      <c r="B189" s="136" t="str">
        <f aca="false">Scoring!BE195</f>
        <v/>
      </c>
      <c r="C189" s="136" t="n">
        <f aca="false">Scoring!C195</f>
        <v>0</v>
      </c>
      <c r="D189" s="137" t="str">
        <f aca="false">Scoring!BB195</f>
        <v/>
      </c>
      <c r="E189" s="136" t="str">
        <f aca="false">Scoring!AE195</f>
        <v/>
      </c>
      <c r="F189" s="136" t="n">
        <f aca="false">Scoring!B195</f>
        <v>0</v>
      </c>
      <c r="G189" s="136" t="n">
        <f aca="false">Scoring!D195</f>
        <v>0</v>
      </c>
      <c r="H189" s="136" t="str">
        <f aca="false">Scoring!BD195</f>
        <v/>
      </c>
      <c r="I189" s="138" t="str">
        <f aca="false">Scoring!BC195</f>
        <v/>
      </c>
    </row>
    <row r="190" customFormat="false" ht="15.75" hidden="false" customHeight="false" outlineLevel="0" collapsed="false">
      <c r="A190" s="136" t="str">
        <f aca="false">Scoring!BF196</f>
        <v/>
      </c>
      <c r="B190" s="136" t="str">
        <f aca="false">Scoring!BE196</f>
        <v/>
      </c>
      <c r="C190" s="136" t="n">
        <f aca="false">Scoring!C196</f>
        <v>0</v>
      </c>
      <c r="D190" s="137" t="str">
        <f aca="false">Scoring!BB196</f>
        <v/>
      </c>
      <c r="E190" s="136" t="str">
        <f aca="false">Scoring!AE196</f>
        <v/>
      </c>
      <c r="F190" s="136" t="n">
        <f aca="false">Scoring!B196</f>
        <v>0</v>
      </c>
      <c r="G190" s="136" t="n">
        <f aca="false">Scoring!D196</f>
        <v>0</v>
      </c>
      <c r="H190" s="136" t="str">
        <f aca="false">Scoring!BD196</f>
        <v/>
      </c>
      <c r="I190" s="138" t="str">
        <f aca="false">Scoring!BC196</f>
        <v/>
      </c>
    </row>
    <row r="191" customFormat="false" ht="15.75" hidden="false" customHeight="false" outlineLevel="0" collapsed="false">
      <c r="A191" s="136" t="str">
        <f aca="false">Scoring!BF197</f>
        <v/>
      </c>
      <c r="B191" s="136" t="str">
        <f aca="false">Scoring!BE197</f>
        <v/>
      </c>
      <c r="C191" s="136" t="n">
        <f aca="false">Scoring!C197</f>
        <v>0</v>
      </c>
      <c r="D191" s="137" t="str">
        <f aca="false">Scoring!BB197</f>
        <v/>
      </c>
      <c r="E191" s="136" t="str">
        <f aca="false">Scoring!AE197</f>
        <v/>
      </c>
      <c r="F191" s="136" t="n">
        <f aca="false">Scoring!B197</f>
        <v>0</v>
      </c>
      <c r="G191" s="136" t="n">
        <f aca="false">Scoring!D197</f>
        <v>0</v>
      </c>
      <c r="H191" s="136" t="str">
        <f aca="false">Scoring!BD197</f>
        <v/>
      </c>
      <c r="I191" s="138" t="str">
        <f aca="false">Scoring!BC197</f>
        <v/>
      </c>
    </row>
    <row r="192" customFormat="false" ht="15.75" hidden="false" customHeight="false" outlineLevel="0" collapsed="false">
      <c r="A192" s="136" t="str">
        <f aca="false">Scoring!BF198</f>
        <v/>
      </c>
      <c r="B192" s="136" t="str">
        <f aca="false">Scoring!BE198</f>
        <v/>
      </c>
      <c r="C192" s="136" t="n">
        <f aca="false">Scoring!C198</f>
        <v>0</v>
      </c>
      <c r="D192" s="137" t="str">
        <f aca="false">Scoring!BB198</f>
        <v/>
      </c>
      <c r="E192" s="136" t="str">
        <f aca="false">Scoring!AE198</f>
        <v/>
      </c>
      <c r="F192" s="136" t="n">
        <f aca="false">Scoring!B198</f>
        <v>0</v>
      </c>
      <c r="G192" s="136" t="n">
        <f aca="false">Scoring!D198</f>
        <v>0</v>
      </c>
      <c r="H192" s="136" t="str">
        <f aca="false">Scoring!BD198</f>
        <v/>
      </c>
      <c r="I192" s="138" t="str">
        <f aca="false">Scoring!BC198</f>
        <v/>
      </c>
    </row>
    <row r="193" customFormat="false" ht="15.75" hidden="false" customHeight="false" outlineLevel="0" collapsed="false">
      <c r="A193" s="136" t="str">
        <f aca="false">Scoring!BF199</f>
        <v/>
      </c>
      <c r="B193" s="136" t="str">
        <f aca="false">Scoring!BE199</f>
        <v/>
      </c>
      <c r="C193" s="136" t="n">
        <f aca="false">Scoring!C199</f>
        <v>0</v>
      </c>
      <c r="D193" s="137" t="str">
        <f aca="false">Scoring!BB199</f>
        <v/>
      </c>
      <c r="E193" s="136" t="str">
        <f aca="false">Scoring!AE199</f>
        <v/>
      </c>
      <c r="F193" s="136" t="n">
        <f aca="false">Scoring!B199</f>
        <v>0</v>
      </c>
      <c r="G193" s="136" t="n">
        <f aca="false">Scoring!D199</f>
        <v>0</v>
      </c>
      <c r="H193" s="136" t="str">
        <f aca="false">Scoring!BD199</f>
        <v/>
      </c>
      <c r="I193" s="138" t="str">
        <f aca="false">Scoring!BC199</f>
        <v/>
      </c>
    </row>
    <row r="194" customFormat="false" ht="15.75" hidden="false" customHeight="false" outlineLevel="0" collapsed="false">
      <c r="A194" s="136" t="str">
        <f aca="false">Scoring!BF200</f>
        <v/>
      </c>
      <c r="B194" s="136" t="str">
        <f aca="false">Scoring!BE200</f>
        <v/>
      </c>
      <c r="C194" s="136" t="n">
        <f aca="false">Scoring!C200</f>
        <v>0</v>
      </c>
      <c r="D194" s="137" t="str">
        <f aca="false">Scoring!BB200</f>
        <v/>
      </c>
      <c r="E194" s="136" t="str">
        <f aca="false">Scoring!AE200</f>
        <v/>
      </c>
      <c r="F194" s="136" t="n">
        <f aca="false">Scoring!B200</f>
        <v>0</v>
      </c>
      <c r="G194" s="136" t="n">
        <f aca="false">Scoring!D200</f>
        <v>0</v>
      </c>
      <c r="H194" s="136" t="str">
        <f aca="false">Scoring!BD200</f>
        <v/>
      </c>
      <c r="I194" s="138" t="str">
        <f aca="false">Scoring!BC200</f>
        <v/>
      </c>
    </row>
    <row r="195" customFormat="false" ht="15.75" hidden="false" customHeight="false" outlineLevel="0" collapsed="false">
      <c r="A195" s="136" t="str">
        <f aca="false">Scoring!BF201</f>
        <v/>
      </c>
      <c r="B195" s="136" t="str">
        <f aca="false">Scoring!BE201</f>
        <v/>
      </c>
      <c r="C195" s="136" t="n">
        <f aca="false">Scoring!C201</f>
        <v>0</v>
      </c>
      <c r="D195" s="137" t="str">
        <f aca="false">Scoring!BB201</f>
        <v/>
      </c>
      <c r="E195" s="136" t="str">
        <f aca="false">Scoring!AE201</f>
        <v/>
      </c>
      <c r="F195" s="136" t="n">
        <f aca="false">Scoring!B201</f>
        <v>0</v>
      </c>
      <c r="G195" s="136" t="n">
        <f aca="false">Scoring!D201</f>
        <v>0</v>
      </c>
      <c r="H195" s="136" t="str">
        <f aca="false">Scoring!BD201</f>
        <v/>
      </c>
      <c r="I195" s="138" t="str">
        <f aca="false">Scoring!BC201</f>
        <v/>
      </c>
    </row>
    <row r="196" customFormat="false" ht="15.75" hidden="false" customHeight="false" outlineLevel="0" collapsed="false">
      <c r="A196" s="136" t="str">
        <f aca="false">Scoring!BF202</f>
        <v/>
      </c>
      <c r="B196" s="136" t="str">
        <f aca="false">Scoring!BE202</f>
        <v/>
      </c>
      <c r="C196" s="136" t="n">
        <f aca="false">Scoring!C202</f>
        <v>0</v>
      </c>
      <c r="D196" s="137" t="str">
        <f aca="false">Scoring!BB202</f>
        <v/>
      </c>
      <c r="E196" s="136" t="str">
        <f aca="false">Scoring!AE202</f>
        <v/>
      </c>
      <c r="F196" s="136" t="n">
        <f aca="false">Scoring!B202</f>
        <v>0</v>
      </c>
      <c r="G196" s="136" t="n">
        <f aca="false">Scoring!D202</f>
        <v>0</v>
      </c>
      <c r="H196" s="136" t="str">
        <f aca="false">Scoring!BD202</f>
        <v/>
      </c>
      <c r="I196" s="138" t="str">
        <f aca="false">Scoring!BC202</f>
        <v/>
      </c>
    </row>
    <row r="197" customFormat="false" ht="15.75" hidden="false" customHeight="false" outlineLevel="0" collapsed="false">
      <c r="A197" s="136" t="str">
        <f aca="false">Scoring!BF203</f>
        <v/>
      </c>
      <c r="B197" s="136" t="str">
        <f aca="false">Scoring!BE203</f>
        <v/>
      </c>
      <c r="C197" s="136" t="n">
        <f aca="false">Scoring!C203</f>
        <v>0</v>
      </c>
      <c r="D197" s="137" t="str">
        <f aca="false">Scoring!BB203</f>
        <v/>
      </c>
      <c r="E197" s="136" t="str">
        <f aca="false">Scoring!AE203</f>
        <v/>
      </c>
      <c r="F197" s="136" t="n">
        <f aca="false">Scoring!B203</f>
        <v>0</v>
      </c>
      <c r="G197" s="136" t="n">
        <f aca="false">Scoring!D203</f>
        <v>0</v>
      </c>
      <c r="H197" s="136" t="str">
        <f aca="false">Scoring!BD203</f>
        <v/>
      </c>
      <c r="I197" s="138" t="str">
        <f aca="false">Scoring!BC203</f>
        <v/>
      </c>
    </row>
    <row r="198" customFormat="false" ht="15.75" hidden="false" customHeight="false" outlineLevel="0" collapsed="false">
      <c r="A198" s="136" t="str">
        <f aca="false">Scoring!BF204</f>
        <v/>
      </c>
      <c r="B198" s="136" t="str">
        <f aca="false">Scoring!BE204</f>
        <v/>
      </c>
      <c r="C198" s="136" t="n">
        <f aca="false">Scoring!C204</f>
        <v>0</v>
      </c>
      <c r="D198" s="137" t="str">
        <f aca="false">Scoring!BB204</f>
        <v/>
      </c>
      <c r="E198" s="136" t="str">
        <f aca="false">Scoring!AE204</f>
        <v/>
      </c>
      <c r="F198" s="136" t="n">
        <f aca="false">Scoring!B204</f>
        <v>0</v>
      </c>
      <c r="G198" s="136" t="n">
        <f aca="false">Scoring!D204</f>
        <v>0</v>
      </c>
      <c r="H198" s="136" t="str">
        <f aca="false">Scoring!BD204</f>
        <v/>
      </c>
      <c r="I198" s="138" t="str">
        <f aca="false">Scoring!BC204</f>
        <v/>
      </c>
    </row>
    <row r="199" customFormat="false" ht="15.75" hidden="false" customHeight="false" outlineLevel="0" collapsed="false">
      <c r="A199" s="136" t="str">
        <f aca="false">Scoring!BF205</f>
        <v/>
      </c>
      <c r="B199" s="136" t="str">
        <f aca="false">Scoring!BE205</f>
        <v/>
      </c>
      <c r="C199" s="136" t="n">
        <f aca="false">Scoring!C205</f>
        <v>0</v>
      </c>
      <c r="D199" s="137" t="str">
        <f aca="false">Scoring!BB205</f>
        <v/>
      </c>
      <c r="E199" s="136" t="str">
        <f aca="false">Scoring!AE205</f>
        <v/>
      </c>
      <c r="F199" s="136" t="n">
        <f aca="false">Scoring!B205</f>
        <v>0</v>
      </c>
      <c r="G199" s="136" t="n">
        <f aca="false">Scoring!D205</f>
        <v>0</v>
      </c>
      <c r="H199" s="136" t="str">
        <f aca="false">Scoring!BD205</f>
        <v/>
      </c>
      <c r="I199" s="138" t="str">
        <f aca="false">Scoring!BC205</f>
        <v/>
      </c>
    </row>
    <row r="200" customFormat="false" ht="15.75" hidden="false" customHeight="false" outlineLevel="0" collapsed="false">
      <c r="A200" s="136" t="str">
        <f aca="false">Scoring!BF206</f>
        <v/>
      </c>
      <c r="B200" s="136" t="str">
        <f aca="false">Scoring!BE206</f>
        <v/>
      </c>
      <c r="C200" s="136" t="n">
        <f aca="false">Scoring!C206</f>
        <v>0</v>
      </c>
      <c r="D200" s="137" t="str">
        <f aca="false">Scoring!BB206</f>
        <v/>
      </c>
      <c r="E200" s="136" t="str">
        <f aca="false">Scoring!AE206</f>
        <v/>
      </c>
      <c r="F200" s="136" t="n">
        <f aca="false">Scoring!B206</f>
        <v>0</v>
      </c>
      <c r="G200" s="136" t="n">
        <f aca="false">Scoring!D206</f>
        <v>0</v>
      </c>
      <c r="H200" s="136" t="str">
        <f aca="false">Scoring!BD206</f>
        <v/>
      </c>
      <c r="I200" s="138" t="str">
        <f aca="false">Scoring!BC206</f>
        <v/>
      </c>
    </row>
    <row r="201" customFormat="false" ht="15.75" hidden="false" customHeight="false" outlineLevel="0" collapsed="false">
      <c r="A201" s="136" t="str">
        <f aca="false">Scoring!BF207</f>
        <v/>
      </c>
      <c r="B201" s="136" t="str">
        <f aca="false">Scoring!BE207</f>
        <v/>
      </c>
      <c r="C201" s="136" t="n">
        <f aca="false">Scoring!C207</f>
        <v>0</v>
      </c>
      <c r="D201" s="137" t="str">
        <f aca="false">Scoring!BB207</f>
        <v/>
      </c>
      <c r="E201" s="136" t="str">
        <f aca="false">Scoring!AE207</f>
        <v/>
      </c>
      <c r="F201" s="136" t="n">
        <f aca="false">Scoring!B207</f>
        <v>0</v>
      </c>
      <c r="G201" s="136" t="n">
        <f aca="false">Scoring!D207</f>
        <v>0</v>
      </c>
      <c r="H201" s="136" t="str">
        <f aca="false">Scoring!BD207</f>
        <v/>
      </c>
      <c r="I201" s="138" t="str">
        <f aca="false">Scoring!BC207</f>
        <v/>
      </c>
    </row>
    <row r="202" customFormat="false" ht="15.75" hidden="false" customHeight="false" outlineLevel="0" collapsed="false">
      <c r="A202" s="136" t="str">
        <f aca="false">Scoring!BF208</f>
        <v/>
      </c>
      <c r="B202" s="136" t="str">
        <f aca="false">Scoring!BE208</f>
        <v/>
      </c>
      <c r="C202" s="136" t="n">
        <f aca="false">Scoring!C208</f>
        <v>0</v>
      </c>
      <c r="D202" s="137" t="str">
        <f aca="false">Scoring!BB208</f>
        <v/>
      </c>
      <c r="E202" s="136" t="str">
        <f aca="false">Scoring!AE208</f>
        <v/>
      </c>
      <c r="F202" s="136" t="n">
        <f aca="false">Scoring!B208</f>
        <v>0</v>
      </c>
      <c r="G202" s="136" t="n">
        <f aca="false">Scoring!D208</f>
        <v>0</v>
      </c>
      <c r="H202" s="136" t="str">
        <f aca="false">Scoring!BD208</f>
        <v/>
      </c>
      <c r="I202" s="138" t="str">
        <f aca="false">Scoring!BC208</f>
        <v/>
      </c>
    </row>
    <row r="203" customFormat="false" ht="15.75" hidden="false" customHeight="false" outlineLevel="0" collapsed="false">
      <c r="A203" s="136" t="str">
        <f aca="false">Scoring!BF209</f>
        <v/>
      </c>
      <c r="B203" s="136" t="str">
        <f aca="false">Scoring!BE209</f>
        <v/>
      </c>
      <c r="C203" s="136" t="n">
        <f aca="false">Scoring!C209</f>
        <v>0</v>
      </c>
      <c r="D203" s="137" t="str">
        <f aca="false">Scoring!BB209</f>
        <v/>
      </c>
      <c r="E203" s="136" t="str">
        <f aca="false">Scoring!AE209</f>
        <v/>
      </c>
      <c r="F203" s="136" t="n">
        <f aca="false">Scoring!B209</f>
        <v>0</v>
      </c>
      <c r="G203" s="136" t="n">
        <f aca="false">Scoring!D209</f>
        <v>0</v>
      </c>
      <c r="H203" s="136" t="str">
        <f aca="false">Scoring!BD209</f>
        <v/>
      </c>
      <c r="I203" s="138" t="str">
        <f aca="false">Scoring!BC209</f>
        <v/>
      </c>
    </row>
    <row r="204" customFormat="false" ht="15.75" hidden="false" customHeight="false" outlineLevel="0" collapsed="false">
      <c r="A204" s="136" t="str">
        <f aca="false">Scoring!BF210</f>
        <v/>
      </c>
      <c r="B204" s="136" t="str">
        <f aca="false">Scoring!BE210</f>
        <v/>
      </c>
      <c r="C204" s="136" t="n">
        <f aca="false">Scoring!C210</f>
        <v>0</v>
      </c>
      <c r="D204" s="137" t="str">
        <f aca="false">Scoring!BB210</f>
        <v/>
      </c>
      <c r="E204" s="136" t="str">
        <f aca="false">Scoring!AE210</f>
        <v/>
      </c>
      <c r="F204" s="136" t="n">
        <f aca="false">Scoring!B210</f>
        <v>0</v>
      </c>
      <c r="G204" s="136" t="n">
        <f aca="false">Scoring!D210</f>
        <v>0</v>
      </c>
      <c r="H204" s="136" t="str">
        <f aca="false">Scoring!BD210</f>
        <v/>
      </c>
      <c r="I204" s="138" t="str">
        <f aca="false">Scoring!BC210</f>
        <v/>
      </c>
    </row>
    <row r="205" customFormat="false" ht="15.75" hidden="false" customHeight="false" outlineLevel="0" collapsed="false">
      <c r="A205" s="136" t="str">
        <f aca="false">Scoring!BF211</f>
        <v/>
      </c>
      <c r="B205" s="136" t="str">
        <f aca="false">Scoring!BE211</f>
        <v/>
      </c>
      <c r="C205" s="136" t="n">
        <f aca="false">Scoring!C211</f>
        <v>0</v>
      </c>
      <c r="D205" s="137" t="str">
        <f aca="false">Scoring!BB211</f>
        <v/>
      </c>
      <c r="E205" s="136" t="str">
        <f aca="false">Scoring!AE211</f>
        <v/>
      </c>
      <c r="F205" s="136" t="n">
        <f aca="false">Scoring!B211</f>
        <v>0</v>
      </c>
      <c r="G205" s="136" t="n">
        <f aca="false">Scoring!D211</f>
        <v>0</v>
      </c>
      <c r="H205" s="136" t="str">
        <f aca="false">Scoring!BD211</f>
        <v/>
      </c>
      <c r="I205" s="138" t="str">
        <f aca="false">Scoring!BC211</f>
        <v/>
      </c>
    </row>
    <row r="206" customFormat="false" ht="15.75" hidden="false" customHeight="false" outlineLevel="0" collapsed="false">
      <c r="A206" s="136" t="str">
        <f aca="false">Scoring!BF212</f>
        <v/>
      </c>
      <c r="B206" s="136" t="str">
        <f aca="false">Scoring!BE212</f>
        <v/>
      </c>
      <c r="C206" s="136" t="n">
        <f aca="false">Scoring!C212</f>
        <v>0</v>
      </c>
      <c r="D206" s="137" t="str">
        <f aca="false">Scoring!BB212</f>
        <v/>
      </c>
      <c r="E206" s="136" t="str">
        <f aca="false">Scoring!AE212</f>
        <v/>
      </c>
      <c r="F206" s="136" t="n">
        <f aca="false">Scoring!B212</f>
        <v>0</v>
      </c>
      <c r="G206" s="136" t="n">
        <f aca="false">Scoring!D212</f>
        <v>0</v>
      </c>
      <c r="H206" s="136" t="str">
        <f aca="false">Scoring!BD212</f>
        <v/>
      </c>
      <c r="I206" s="138" t="str">
        <f aca="false">Scoring!BC212</f>
        <v/>
      </c>
    </row>
    <row r="207" customFormat="false" ht="15.75" hidden="false" customHeight="false" outlineLevel="0" collapsed="false">
      <c r="A207" s="136" t="str">
        <f aca="false">Scoring!BF213</f>
        <v/>
      </c>
      <c r="B207" s="136" t="str">
        <f aca="false">Scoring!BE213</f>
        <v/>
      </c>
      <c r="C207" s="136" t="n">
        <f aca="false">Scoring!C213</f>
        <v>0</v>
      </c>
      <c r="D207" s="137" t="str">
        <f aca="false">Scoring!BB213</f>
        <v/>
      </c>
      <c r="E207" s="136" t="str">
        <f aca="false">Scoring!AE213</f>
        <v/>
      </c>
      <c r="F207" s="136" t="n">
        <f aca="false">Scoring!B213</f>
        <v>0</v>
      </c>
      <c r="G207" s="136" t="n">
        <f aca="false">Scoring!D213</f>
        <v>0</v>
      </c>
      <c r="H207" s="136" t="str">
        <f aca="false">Scoring!BD213</f>
        <v/>
      </c>
      <c r="I207" s="138" t="str">
        <f aca="false">Scoring!BC213</f>
        <v/>
      </c>
    </row>
    <row r="208" customFormat="false" ht="15.75" hidden="false" customHeight="false" outlineLevel="0" collapsed="false">
      <c r="A208" s="136" t="str">
        <f aca="false">Scoring!BF214</f>
        <v/>
      </c>
      <c r="B208" s="136" t="str">
        <f aca="false">Scoring!BE214</f>
        <v/>
      </c>
      <c r="C208" s="136" t="n">
        <f aca="false">Scoring!C214</f>
        <v>0</v>
      </c>
      <c r="D208" s="137" t="str">
        <f aca="false">Scoring!BB214</f>
        <v/>
      </c>
      <c r="E208" s="136" t="str">
        <f aca="false">Scoring!AE214</f>
        <v/>
      </c>
      <c r="F208" s="136" t="n">
        <f aca="false">Scoring!B214</f>
        <v>0</v>
      </c>
      <c r="G208" s="136" t="n">
        <f aca="false">Scoring!D214</f>
        <v>0</v>
      </c>
      <c r="H208" s="136" t="str">
        <f aca="false">Scoring!BD214</f>
        <v/>
      </c>
      <c r="I208" s="138" t="str">
        <f aca="false">Scoring!BC214</f>
        <v/>
      </c>
    </row>
    <row r="209" customFormat="false" ht="15.75" hidden="false" customHeight="false" outlineLevel="0" collapsed="false">
      <c r="A209" s="136" t="str">
        <f aca="false">Scoring!BF215</f>
        <v/>
      </c>
      <c r="B209" s="136" t="str">
        <f aca="false">Scoring!BE215</f>
        <v/>
      </c>
      <c r="C209" s="136" t="n">
        <f aca="false">Scoring!C215</f>
        <v>0</v>
      </c>
      <c r="D209" s="137" t="str">
        <f aca="false">Scoring!BB215</f>
        <v/>
      </c>
      <c r="E209" s="136" t="str">
        <f aca="false">Scoring!AE215</f>
        <v/>
      </c>
      <c r="F209" s="136" t="n">
        <f aca="false">Scoring!B215</f>
        <v>0</v>
      </c>
      <c r="G209" s="136" t="n">
        <f aca="false">Scoring!D215</f>
        <v>0</v>
      </c>
      <c r="H209" s="136" t="str">
        <f aca="false">Scoring!BD215</f>
        <v/>
      </c>
      <c r="I209" s="138" t="str">
        <f aca="false">Scoring!BC215</f>
        <v/>
      </c>
    </row>
    <row r="210" customFormat="false" ht="15.75" hidden="false" customHeight="false" outlineLevel="0" collapsed="false">
      <c r="A210" s="136" t="str">
        <f aca="false">Scoring!BF216</f>
        <v/>
      </c>
      <c r="B210" s="136" t="str">
        <f aca="false">Scoring!BE216</f>
        <v/>
      </c>
      <c r="C210" s="136" t="n">
        <f aca="false">Scoring!C216</f>
        <v>0</v>
      </c>
      <c r="D210" s="137" t="str">
        <f aca="false">Scoring!BB216</f>
        <v/>
      </c>
      <c r="E210" s="136" t="str">
        <f aca="false">Scoring!AE216</f>
        <v/>
      </c>
      <c r="F210" s="136" t="n">
        <f aca="false">Scoring!B216</f>
        <v>0</v>
      </c>
      <c r="G210" s="136" t="n">
        <f aca="false">Scoring!D216</f>
        <v>0</v>
      </c>
      <c r="H210" s="136" t="str">
        <f aca="false">Scoring!BD216</f>
        <v/>
      </c>
      <c r="I210" s="138" t="str">
        <f aca="false">Scoring!BC216</f>
        <v/>
      </c>
    </row>
    <row r="211" customFormat="false" ht="15.75" hidden="false" customHeight="false" outlineLevel="0" collapsed="false">
      <c r="A211" s="136" t="str">
        <f aca="false">Scoring!BF217</f>
        <v/>
      </c>
      <c r="B211" s="136" t="str">
        <f aca="false">Scoring!BE217</f>
        <v/>
      </c>
      <c r="C211" s="136" t="n">
        <f aca="false">Scoring!C217</f>
        <v>0</v>
      </c>
      <c r="D211" s="137" t="str">
        <f aca="false">Scoring!BB217</f>
        <v/>
      </c>
      <c r="E211" s="136" t="str">
        <f aca="false">Scoring!AE217</f>
        <v/>
      </c>
      <c r="F211" s="136" t="n">
        <f aca="false">Scoring!B217</f>
        <v>0</v>
      </c>
      <c r="G211" s="136" t="n">
        <f aca="false">Scoring!D217</f>
        <v>0</v>
      </c>
      <c r="H211" s="136" t="str">
        <f aca="false">Scoring!BD217</f>
        <v/>
      </c>
      <c r="I211" s="138" t="str">
        <f aca="false">Scoring!BC217</f>
        <v/>
      </c>
    </row>
    <row r="212" customFormat="false" ht="15.75" hidden="false" customHeight="false" outlineLevel="0" collapsed="false">
      <c r="A212" s="136" t="str">
        <f aca="false">Scoring!BF218</f>
        <v/>
      </c>
      <c r="B212" s="136" t="str">
        <f aca="false">Scoring!BE218</f>
        <v/>
      </c>
      <c r="C212" s="136" t="n">
        <f aca="false">Scoring!C218</f>
        <v>0</v>
      </c>
      <c r="D212" s="137" t="str">
        <f aca="false">Scoring!BB218</f>
        <v/>
      </c>
      <c r="E212" s="136" t="str">
        <f aca="false">Scoring!AE218</f>
        <v/>
      </c>
      <c r="F212" s="136" t="n">
        <f aca="false">Scoring!B218</f>
        <v>0</v>
      </c>
      <c r="G212" s="136" t="n">
        <f aca="false">Scoring!D218</f>
        <v>0</v>
      </c>
      <c r="H212" s="136" t="str">
        <f aca="false">Scoring!BD218</f>
        <v/>
      </c>
      <c r="I212" s="138" t="str">
        <f aca="false">Scoring!BC218</f>
        <v/>
      </c>
    </row>
    <row r="213" customFormat="false" ht="15.75" hidden="false" customHeight="false" outlineLevel="0" collapsed="false">
      <c r="A213" s="136" t="str">
        <f aca="false">Scoring!BF219</f>
        <v/>
      </c>
      <c r="B213" s="136" t="str">
        <f aca="false">Scoring!BE219</f>
        <v/>
      </c>
      <c r="C213" s="136" t="n">
        <f aca="false">Scoring!C219</f>
        <v>0</v>
      </c>
      <c r="D213" s="137" t="str">
        <f aca="false">Scoring!BB219</f>
        <v/>
      </c>
      <c r="E213" s="136" t="str">
        <f aca="false">Scoring!AE219</f>
        <v/>
      </c>
      <c r="F213" s="136" t="n">
        <f aca="false">Scoring!B219</f>
        <v>0</v>
      </c>
      <c r="G213" s="136" t="n">
        <f aca="false">Scoring!D219</f>
        <v>0</v>
      </c>
      <c r="H213" s="136" t="str">
        <f aca="false">Scoring!BD219</f>
        <v/>
      </c>
      <c r="I213" s="138" t="str">
        <f aca="false">Scoring!BC219</f>
        <v/>
      </c>
    </row>
    <row r="214" customFormat="false" ht="15.75" hidden="false" customHeight="false" outlineLevel="0" collapsed="false">
      <c r="A214" s="136" t="str">
        <f aca="false">Scoring!BF220</f>
        <v/>
      </c>
      <c r="B214" s="136" t="str">
        <f aca="false">Scoring!BE220</f>
        <v/>
      </c>
      <c r="C214" s="136" t="n">
        <f aca="false">Scoring!C220</f>
        <v>0</v>
      </c>
      <c r="D214" s="137" t="str">
        <f aca="false">Scoring!BB220</f>
        <v/>
      </c>
      <c r="E214" s="136" t="str">
        <f aca="false">Scoring!AE220</f>
        <v/>
      </c>
      <c r="F214" s="136" t="n">
        <f aca="false">Scoring!B220</f>
        <v>0</v>
      </c>
      <c r="G214" s="136" t="n">
        <f aca="false">Scoring!D220</f>
        <v>0</v>
      </c>
      <c r="H214" s="136" t="str">
        <f aca="false">Scoring!BD220</f>
        <v/>
      </c>
      <c r="I214" s="138" t="str">
        <f aca="false">Scoring!BC220</f>
        <v/>
      </c>
    </row>
    <row r="215" customFormat="false" ht="15.75" hidden="false" customHeight="false" outlineLevel="0" collapsed="false">
      <c r="A215" s="136" t="str">
        <f aca="false">Scoring!BF221</f>
        <v/>
      </c>
      <c r="B215" s="136" t="str">
        <f aca="false">Scoring!BE221</f>
        <v/>
      </c>
      <c r="C215" s="136" t="n">
        <f aca="false">Scoring!C221</f>
        <v>0</v>
      </c>
      <c r="D215" s="137" t="str">
        <f aca="false">Scoring!BB221</f>
        <v/>
      </c>
      <c r="E215" s="136" t="str">
        <f aca="false">Scoring!AE221</f>
        <v/>
      </c>
      <c r="F215" s="136" t="n">
        <f aca="false">Scoring!B221</f>
        <v>0</v>
      </c>
      <c r="G215" s="136" t="n">
        <f aca="false">Scoring!D221</f>
        <v>0</v>
      </c>
      <c r="H215" s="136" t="str">
        <f aca="false">Scoring!BD221</f>
        <v/>
      </c>
      <c r="I215" s="138" t="str">
        <f aca="false">Scoring!BC221</f>
        <v/>
      </c>
    </row>
    <row r="216" customFormat="false" ht="15.75" hidden="false" customHeight="false" outlineLevel="0" collapsed="false">
      <c r="A216" s="136" t="str">
        <f aca="false">Scoring!BF222</f>
        <v/>
      </c>
      <c r="B216" s="136" t="str">
        <f aca="false">Scoring!BE222</f>
        <v/>
      </c>
      <c r="C216" s="136" t="n">
        <f aca="false">Scoring!C222</f>
        <v>0</v>
      </c>
      <c r="D216" s="137" t="str">
        <f aca="false">Scoring!BB222</f>
        <v/>
      </c>
      <c r="E216" s="136" t="str">
        <f aca="false">Scoring!AE222</f>
        <v/>
      </c>
      <c r="F216" s="136" t="n">
        <f aca="false">Scoring!B222</f>
        <v>0</v>
      </c>
      <c r="G216" s="136" t="n">
        <f aca="false">Scoring!D222</f>
        <v>0</v>
      </c>
      <c r="H216" s="136" t="str">
        <f aca="false">Scoring!BD222</f>
        <v/>
      </c>
      <c r="I216" s="138" t="str">
        <f aca="false">Scoring!BC222</f>
        <v/>
      </c>
    </row>
    <row r="217" customFormat="false" ht="15.75" hidden="false" customHeight="false" outlineLevel="0" collapsed="false">
      <c r="A217" s="136" t="str">
        <f aca="false">Scoring!BF223</f>
        <v/>
      </c>
      <c r="B217" s="136" t="str">
        <f aca="false">Scoring!BE223</f>
        <v/>
      </c>
      <c r="C217" s="136" t="n">
        <f aca="false">Scoring!C223</f>
        <v>0</v>
      </c>
      <c r="D217" s="137" t="str">
        <f aca="false">Scoring!BB223</f>
        <v/>
      </c>
      <c r="E217" s="136" t="str">
        <f aca="false">Scoring!AE223</f>
        <v/>
      </c>
      <c r="F217" s="136" t="n">
        <f aca="false">Scoring!B223</f>
        <v>0</v>
      </c>
      <c r="G217" s="136" t="n">
        <f aca="false">Scoring!D223</f>
        <v>0</v>
      </c>
      <c r="H217" s="136" t="str">
        <f aca="false">Scoring!BD223</f>
        <v/>
      </c>
      <c r="I217" s="138" t="str">
        <f aca="false">Scoring!BC223</f>
        <v/>
      </c>
    </row>
    <row r="218" customFormat="false" ht="15.75" hidden="false" customHeight="false" outlineLevel="0" collapsed="false">
      <c r="A218" s="136" t="str">
        <f aca="false">Scoring!BF224</f>
        <v/>
      </c>
      <c r="B218" s="136" t="str">
        <f aca="false">Scoring!BE224</f>
        <v/>
      </c>
      <c r="C218" s="136" t="n">
        <f aca="false">Scoring!C224</f>
        <v>0</v>
      </c>
      <c r="D218" s="137" t="str">
        <f aca="false">Scoring!BB224</f>
        <v/>
      </c>
      <c r="E218" s="136" t="str">
        <f aca="false">Scoring!AE224</f>
        <v/>
      </c>
      <c r="F218" s="136" t="n">
        <f aca="false">Scoring!B224</f>
        <v>0</v>
      </c>
      <c r="G218" s="136" t="n">
        <f aca="false">Scoring!D224</f>
        <v>0</v>
      </c>
      <c r="H218" s="136" t="str">
        <f aca="false">Scoring!BD224</f>
        <v/>
      </c>
      <c r="I218" s="138" t="str">
        <f aca="false">Scoring!BC224</f>
        <v/>
      </c>
    </row>
    <row r="219" customFormat="false" ht="15.75" hidden="false" customHeight="false" outlineLevel="0" collapsed="false">
      <c r="A219" s="136" t="str">
        <f aca="false">Scoring!BF225</f>
        <v/>
      </c>
      <c r="B219" s="136" t="str">
        <f aca="false">Scoring!BE225</f>
        <v/>
      </c>
      <c r="C219" s="136" t="n">
        <f aca="false">Scoring!C225</f>
        <v>0</v>
      </c>
      <c r="D219" s="137" t="str">
        <f aca="false">Scoring!BB225</f>
        <v/>
      </c>
      <c r="E219" s="136" t="str">
        <f aca="false">Scoring!AE225</f>
        <v/>
      </c>
      <c r="F219" s="136" t="n">
        <f aca="false">Scoring!B225</f>
        <v>0</v>
      </c>
      <c r="G219" s="136" t="n">
        <f aca="false">Scoring!D225</f>
        <v>0</v>
      </c>
      <c r="H219" s="136" t="str">
        <f aca="false">Scoring!BD225</f>
        <v/>
      </c>
      <c r="I219" s="138" t="str">
        <f aca="false">Scoring!BC225</f>
        <v/>
      </c>
    </row>
    <row r="220" customFormat="false" ht="15.75" hidden="false" customHeight="false" outlineLevel="0" collapsed="false">
      <c r="A220" s="136" t="str">
        <f aca="false">Scoring!BF226</f>
        <v/>
      </c>
      <c r="B220" s="136" t="str">
        <f aca="false">Scoring!BE226</f>
        <v/>
      </c>
      <c r="C220" s="136" t="n">
        <f aca="false">Scoring!C226</f>
        <v>0</v>
      </c>
      <c r="D220" s="137" t="str">
        <f aca="false">Scoring!BB226</f>
        <v/>
      </c>
      <c r="E220" s="136" t="str">
        <f aca="false">Scoring!AE226</f>
        <v/>
      </c>
      <c r="F220" s="136" t="n">
        <f aca="false">Scoring!B226</f>
        <v>0</v>
      </c>
      <c r="G220" s="136" t="n">
        <f aca="false">Scoring!D226</f>
        <v>0</v>
      </c>
      <c r="H220" s="136" t="str">
        <f aca="false">Scoring!BD226</f>
        <v/>
      </c>
      <c r="I220" s="138" t="str">
        <f aca="false">Scoring!BC226</f>
        <v/>
      </c>
    </row>
    <row r="221" customFormat="false" ht="15.75" hidden="false" customHeight="false" outlineLevel="0" collapsed="false">
      <c r="A221" s="136" t="str">
        <f aca="false">Scoring!BF227</f>
        <v/>
      </c>
      <c r="B221" s="136" t="str">
        <f aca="false">Scoring!BE227</f>
        <v/>
      </c>
      <c r="C221" s="136" t="n">
        <f aca="false">Scoring!C227</f>
        <v>0</v>
      </c>
      <c r="D221" s="137" t="str">
        <f aca="false">Scoring!BB227</f>
        <v/>
      </c>
      <c r="E221" s="136" t="str">
        <f aca="false">Scoring!AE227</f>
        <v/>
      </c>
      <c r="F221" s="136" t="n">
        <f aca="false">Scoring!B227</f>
        <v>0</v>
      </c>
      <c r="G221" s="136" t="n">
        <f aca="false">Scoring!D227</f>
        <v>0</v>
      </c>
      <c r="H221" s="136" t="str">
        <f aca="false">Scoring!BD227</f>
        <v/>
      </c>
      <c r="I221" s="138" t="str">
        <f aca="false">Scoring!BC227</f>
        <v/>
      </c>
    </row>
    <row r="222" customFormat="false" ht="15.75" hidden="false" customHeight="false" outlineLevel="0" collapsed="false">
      <c r="A222" s="136" t="str">
        <f aca="false">Scoring!BF228</f>
        <v/>
      </c>
      <c r="B222" s="136" t="str">
        <f aca="false">Scoring!BE228</f>
        <v/>
      </c>
      <c r="C222" s="136" t="n">
        <f aca="false">Scoring!C228</f>
        <v>0</v>
      </c>
      <c r="D222" s="137" t="str">
        <f aca="false">Scoring!BB228</f>
        <v/>
      </c>
      <c r="E222" s="136" t="str">
        <f aca="false">Scoring!AE228</f>
        <v/>
      </c>
      <c r="F222" s="136" t="n">
        <f aca="false">Scoring!B228</f>
        <v>0</v>
      </c>
      <c r="G222" s="136" t="n">
        <f aca="false">Scoring!D228</f>
        <v>0</v>
      </c>
      <c r="H222" s="136" t="str">
        <f aca="false">Scoring!BD228</f>
        <v/>
      </c>
      <c r="I222" s="138" t="str">
        <f aca="false">Scoring!BC228</f>
        <v/>
      </c>
    </row>
    <row r="223" customFormat="false" ht="15.75" hidden="false" customHeight="false" outlineLevel="0" collapsed="false">
      <c r="A223" s="136" t="str">
        <f aca="false">Scoring!BF229</f>
        <v/>
      </c>
      <c r="B223" s="136" t="str">
        <f aca="false">Scoring!BE229</f>
        <v/>
      </c>
      <c r="C223" s="136" t="n">
        <f aca="false">Scoring!C229</f>
        <v>0</v>
      </c>
      <c r="D223" s="137" t="str">
        <f aca="false">Scoring!BB229</f>
        <v/>
      </c>
      <c r="E223" s="136" t="str">
        <f aca="false">Scoring!AE229</f>
        <v/>
      </c>
      <c r="F223" s="136" t="n">
        <f aca="false">Scoring!B229</f>
        <v>0</v>
      </c>
      <c r="G223" s="136" t="n">
        <f aca="false">Scoring!D229</f>
        <v>0</v>
      </c>
      <c r="H223" s="136" t="str">
        <f aca="false">Scoring!BD229</f>
        <v/>
      </c>
      <c r="I223" s="138" t="str">
        <f aca="false">Scoring!BC229</f>
        <v/>
      </c>
    </row>
    <row r="224" customFormat="false" ht="15.75" hidden="false" customHeight="false" outlineLevel="0" collapsed="false">
      <c r="A224" s="136" t="str">
        <f aca="false">Scoring!BF230</f>
        <v/>
      </c>
      <c r="B224" s="136" t="str">
        <f aca="false">Scoring!BE230</f>
        <v/>
      </c>
      <c r="C224" s="136" t="n">
        <f aca="false">Scoring!C230</f>
        <v>0</v>
      </c>
      <c r="D224" s="137" t="str">
        <f aca="false">Scoring!BB230</f>
        <v/>
      </c>
      <c r="E224" s="136" t="str">
        <f aca="false">Scoring!AE230</f>
        <v/>
      </c>
      <c r="F224" s="136" t="n">
        <f aca="false">Scoring!B230</f>
        <v>0</v>
      </c>
      <c r="G224" s="136" t="n">
        <f aca="false">Scoring!D230</f>
        <v>0</v>
      </c>
      <c r="H224" s="136" t="str">
        <f aca="false">Scoring!BD230</f>
        <v/>
      </c>
      <c r="I224" s="138" t="str">
        <f aca="false">Scoring!BC230</f>
        <v/>
      </c>
    </row>
    <row r="225" customFormat="false" ht="15.75" hidden="false" customHeight="false" outlineLevel="0" collapsed="false">
      <c r="A225" s="136" t="str">
        <f aca="false">Scoring!BF231</f>
        <v/>
      </c>
      <c r="B225" s="136" t="str">
        <f aca="false">Scoring!BE231</f>
        <v/>
      </c>
      <c r="C225" s="136" t="n">
        <f aca="false">Scoring!C231</f>
        <v>0</v>
      </c>
      <c r="D225" s="137" t="str">
        <f aca="false">Scoring!BB231</f>
        <v/>
      </c>
      <c r="E225" s="136" t="str">
        <f aca="false">Scoring!AE231</f>
        <v/>
      </c>
      <c r="F225" s="136" t="n">
        <f aca="false">Scoring!B231</f>
        <v>0</v>
      </c>
      <c r="G225" s="136" t="n">
        <f aca="false">Scoring!D231</f>
        <v>0</v>
      </c>
      <c r="H225" s="136" t="str">
        <f aca="false">Scoring!BD231</f>
        <v/>
      </c>
      <c r="I225" s="138" t="str">
        <f aca="false">Scoring!BC231</f>
        <v/>
      </c>
    </row>
    <row r="226" customFormat="false" ht="15.75" hidden="false" customHeight="false" outlineLevel="0" collapsed="false">
      <c r="A226" s="136" t="str">
        <f aca="false">Scoring!BF232</f>
        <v/>
      </c>
      <c r="B226" s="136" t="str">
        <f aca="false">Scoring!BE232</f>
        <v/>
      </c>
      <c r="C226" s="136" t="n">
        <f aca="false">Scoring!C232</f>
        <v>0</v>
      </c>
      <c r="D226" s="137" t="str">
        <f aca="false">Scoring!BB232</f>
        <v/>
      </c>
      <c r="E226" s="136" t="str">
        <f aca="false">Scoring!AE232</f>
        <v/>
      </c>
      <c r="F226" s="136" t="n">
        <f aca="false">Scoring!B232</f>
        <v>0</v>
      </c>
      <c r="G226" s="136" t="n">
        <f aca="false">Scoring!D232</f>
        <v>0</v>
      </c>
      <c r="H226" s="136" t="str">
        <f aca="false">Scoring!BD232</f>
        <v/>
      </c>
      <c r="I226" s="138" t="str">
        <f aca="false">Scoring!BC232</f>
        <v/>
      </c>
    </row>
    <row r="227" customFormat="false" ht="15.75" hidden="false" customHeight="false" outlineLevel="0" collapsed="false">
      <c r="A227" s="136" t="str">
        <f aca="false">Scoring!BF233</f>
        <v/>
      </c>
      <c r="B227" s="136" t="str">
        <f aca="false">Scoring!BE233</f>
        <v/>
      </c>
      <c r="C227" s="136" t="n">
        <f aca="false">Scoring!C233</f>
        <v>0</v>
      </c>
      <c r="D227" s="137" t="str">
        <f aca="false">Scoring!BB233</f>
        <v/>
      </c>
      <c r="E227" s="136" t="str">
        <f aca="false">Scoring!AE233</f>
        <v/>
      </c>
      <c r="F227" s="136" t="n">
        <f aca="false">Scoring!B233</f>
        <v>0</v>
      </c>
      <c r="G227" s="136" t="n">
        <f aca="false">Scoring!D233</f>
        <v>0</v>
      </c>
      <c r="H227" s="136" t="str">
        <f aca="false">Scoring!BD233</f>
        <v/>
      </c>
      <c r="I227" s="138" t="str">
        <f aca="false">Scoring!BC233</f>
        <v/>
      </c>
    </row>
    <row r="228" customFormat="false" ht="15.75" hidden="false" customHeight="false" outlineLevel="0" collapsed="false">
      <c r="A228" s="136" t="str">
        <f aca="false">Scoring!BF234</f>
        <v/>
      </c>
      <c r="B228" s="136" t="str">
        <f aca="false">Scoring!BE234</f>
        <v/>
      </c>
      <c r="C228" s="136" t="n">
        <f aca="false">Scoring!C234</f>
        <v>0</v>
      </c>
      <c r="D228" s="137" t="str">
        <f aca="false">Scoring!BB234</f>
        <v/>
      </c>
      <c r="E228" s="136" t="str">
        <f aca="false">Scoring!AE234</f>
        <v/>
      </c>
      <c r="F228" s="136" t="n">
        <f aca="false">Scoring!B234</f>
        <v>0</v>
      </c>
      <c r="G228" s="136" t="n">
        <f aca="false">Scoring!D234</f>
        <v>0</v>
      </c>
      <c r="H228" s="136" t="str">
        <f aca="false">Scoring!BD234</f>
        <v/>
      </c>
      <c r="I228" s="138" t="str">
        <f aca="false">Scoring!BC234</f>
        <v/>
      </c>
    </row>
    <row r="229" customFormat="false" ht="15.75" hidden="false" customHeight="false" outlineLevel="0" collapsed="false">
      <c r="A229" s="136" t="str">
        <f aca="false">Scoring!BF235</f>
        <v/>
      </c>
      <c r="B229" s="136" t="str">
        <f aca="false">Scoring!BE235</f>
        <v/>
      </c>
      <c r="C229" s="136" t="n">
        <f aca="false">Scoring!C235</f>
        <v>0</v>
      </c>
      <c r="D229" s="137" t="str">
        <f aca="false">Scoring!BB235</f>
        <v/>
      </c>
      <c r="E229" s="136" t="str">
        <f aca="false">Scoring!AE235</f>
        <v/>
      </c>
      <c r="F229" s="136" t="n">
        <f aca="false">Scoring!B235</f>
        <v>0</v>
      </c>
      <c r="G229" s="136" t="n">
        <f aca="false">Scoring!D235</f>
        <v>0</v>
      </c>
      <c r="H229" s="136" t="str">
        <f aca="false">Scoring!BD235</f>
        <v/>
      </c>
      <c r="I229" s="138" t="str">
        <f aca="false">Scoring!BC235</f>
        <v/>
      </c>
    </row>
    <row r="230" customFormat="false" ht="15.75" hidden="false" customHeight="false" outlineLevel="0" collapsed="false">
      <c r="A230" s="136" t="str">
        <f aca="false">Scoring!BF236</f>
        <v/>
      </c>
      <c r="B230" s="136" t="str">
        <f aca="false">Scoring!BE236</f>
        <v/>
      </c>
      <c r="C230" s="136" t="n">
        <f aca="false">Scoring!C236</f>
        <v>0</v>
      </c>
      <c r="D230" s="137" t="str">
        <f aca="false">Scoring!BB236</f>
        <v/>
      </c>
      <c r="E230" s="136" t="str">
        <f aca="false">Scoring!AE236</f>
        <v/>
      </c>
      <c r="F230" s="136" t="n">
        <f aca="false">Scoring!B236</f>
        <v>0</v>
      </c>
      <c r="G230" s="136" t="n">
        <f aca="false">Scoring!D236</f>
        <v>0</v>
      </c>
      <c r="H230" s="136" t="str">
        <f aca="false">Scoring!BD236</f>
        <v/>
      </c>
      <c r="I230" s="138" t="str">
        <f aca="false">Scoring!BC236</f>
        <v/>
      </c>
    </row>
    <row r="231" customFormat="false" ht="15.75" hidden="false" customHeight="false" outlineLevel="0" collapsed="false">
      <c r="A231" s="136" t="str">
        <f aca="false">Scoring!BF237</f>
        <v/>
      </c>
      <c r="B231" s="136" t="str">
        <f aca="false">Scoring!BE237</f>
        <v/>
      </c>
      <c r="C231" s="136" t="n">
        <f aca="false">Scoring!C237</f>
        <v>0</v>
      </c>
      <c r="D231" s="137" t="str">
        <f aca="false">Scoring!BB237</f>
        <v/>
      </c>
      <c r="E231" s="136" t="str">
        <f aca="false">Scoring!AE237</f>
        <v/>
      </c>
      <c r="F231" s="136" t="n">
        <f aca="false">Scoring!B237</f>
        <v>0</v>
      </c>
      <c r="G231" s="136" t="n">
        <f aca="false">Scoring!D237</f>
        <v>0</v>
      </c>
      <c r="H231" s="136" t="str">
        <f aca="false">Scoring!BD237</f>
        <v/>
      </c>
      <c r="I231" s="138" t="str">
        <f aca="false">Scoring!BC237</f>
        <v/>
      </c>
    </row>
    <row r="232" customFormat="false" ht="15.75" hidden="false" customHeight="false" outlineLevel="0" collapsed="false">
      <c r="A232" s="136" t="str">
        <f aca="false">Scoring!BF238</f>
        <v/>
      </c>
      <c r="B232" s="136" t="str">
        <f aca="false">Scoring!BE238</f>
        <v/>
      </c>
      <c r="C232" s="136" t="n">
        <f aca="false">Scoring!C238</f>
        <v>0</v>
      </c>
      <c r="D232" s="137" t="str">
        <f aca="false">Scoring!BB238</f>
        <v/>
      </c>
      <c r="E232" s="136" t="str">
        <f aca="false">Scoring!AE238</f>
        <v/>
      </c>
      <c r="F232" s="136" t="n">
        <f aca="false">Scoring!B238</f>
        <v>0</v>
      </c>
      <c r="G232" s="136" t="n">
        <f aca="false">Scoring!D238</f>
        <v>0</v>
      </c>
      <c r="H232" s="136" t="str">
        <f aca="false">Scoring!BD238</f>
        <v/>
      </c>
      <c r="I232" s="138" t="str">
        <f aca="false">Scoring!BC238</f>
        <v/>
      </c>
    </row>
    <row r="233" customFormat="false" ht="15.75" hidden="false" customHeight="false" outlineLevel="0" collapsed="false">
      <c r="A233" s="136" t="str">
        <f aca="false">Scoring!BF239</f>
        <v/>
      </c>
      <c r="B233" s="136" t="str">
        <f aca="false">Scoring!BE239</f>
        <v/>
      </c>
      <c r="C233" s="136" t="n">
        <f aca="false">Scoring!C239</f>
        <v>0</v>
      </c>
      <c r="D233" s="137" t="str">
        <f aca="false">Scoring!BB239</f>
        <v/>
      </c>
      <c r="E233" s="136" t="str">
        <f aca="false">Scoring!AE239</f>
        <v/>
      </c>
      <c r="F233" s="136" t="n">
        <f aca="false">Scoring!B239</f>
        <v>0</v>
      </c>
      <c r="G233" s="136" t="n">
        <f aca="false">Scoring!D239</f>
        <v>0</v>
      </c>
      <c r="H233" s="136" t="str">
        <f aca="false">Scoring!BD239</f>
        <v/>
      </c>
      <c r="I233" s="138" t="str">
        <f aca="false">Scoring!BC239</f>
        <v/>
      </c>
    </row>
    <row r="234" customFormat="false" ht="15.75" hidden="false" customHeight="false" outlineLevel="0" collapsed="false">
      <c r="A234" s="136" t="str">
        <f aca="false">Scoring!BF240</f>
        <v/>
      </c>
      <c r="B234" s="136" t="str">
        <f aca="false">Scoring!BE240</f>
        <v/>
      </c>
      <c r="C234" s="136" t="n">
        <f aca="false">Scoring!C240</f>
        <v>0</v>
      </c>
      <c r="D234" s="137" t="str">
        <f aca="false">Scoring!BB240</f>
        <v/>
      </c>
      <c r="E234" s="136" t="str">
        <f aca="false">Scoring!AE240</f>
        <v/>
      </c>
      <c r="F234" s="136" t="n">
        <f aca="false">Scoring!B240</f>
        <v>0</v>
      </c>
      <c r="G234" s="136" t="n">
        <f aca="false">Scoring!D240</f>
        <v>0</v>
      </c>
      <c r="H234" s="136" t="str">
        <f aca="false">Scoring!BD240</f>
        <v/>
      </c>
      <c r="I234" s="138" t="str">
        <f aca="false">Scoring!BC240</f>
        <v/>
      </c>
    </row>
    <row r="235" customFormat="false" ht="15.75" hidden="false" customHeight="false" outlineLevel="0" collapsed="false">
      <c r="A235" s="136" t="str">
        <f aca="false">Scoring!BF241</f>
        <v/>
      </c>
      <c r="B235" s="136" t="str">
        <f aca="false">Scoring!BE241</f>
        <v/>
      </c>
      <c r="C235" s="136" t="n">
        <f aca="false">Scoring!C241</f>
        <v>0</v>
      </c>
      <c r="D235" s="137" t="str">
        <f aca="false">Scoring!BB241</f>
        <v/>
      </c>
      <c r="E235" s="136" t="str">
        <f aca="false">Scoring!AE241</f>
        <v/>
      </c>
      <c r="F235" s="136" t="n">
        <f aca="false">Scoring!B241</f>
        <v>0</v>
      </c>
      <c r="G235" s="136" t="n">
        <f aca="false">Scoring!D241</f>
        <v>0</v>
      </c>
      <c r="H235" s="136" t="str">
        <f aca="false">Scoring!BD241</f>
        <v/>
      </c>
      <c r="I235" s="138" t="str">
        <f aca="false">Scoring!BC241</f>
        <v/>
      </c>
    </row>
    <row r="236" customFormat="false" ht="15.75" hidden="false" customHeight="false" outlineLevel="0" collapsed="false">
      <c r="A236" s="136" t="str">
        <f aca="false">Scoring!BF242</f>
        <v/>
      </c>
      <c r="B236" s="136" t="str">
        <f aca="false">Scoring!BE242</f>
        <v/>
      </c>
      <c r="C236" s="136" t="n">
        <f aca="false">Scoring!C242</f>
        <v>0</v>
      </c>
      <c r="D236" s="137" t="str">
        <f aca="false">Scoring!BB242</f>
        <v/>
      </c>
      <c r="E236" s="136" t="str">
        <f aca="false">Scoring!AE242</f>
        <v/>
      </c>
      <c r="F236" s="136" t="n">
        <f aca="false">Scoring!B242</f>
        <v>0</v>
      </c>
      <c r="G236" s="136" t="n">
        <f aca="false">Scoring!D242</f>
        <v>0</v>
      </c>
      <c r="H236" s="136" t="str">
        <f aca="false">Scoring!BD242</f>
        <v/>
      </c>
      <c r="I236" s="138" t="str">
        <f aca="false">Scoring!BC242</f>
        <v/>
      </c>
    </row>
    <row r="237" customFormat="false" ht="15.75" hidden="false" customHeight="false" outlineLevel="0" collapsed="false">
      <c r="A237" s="136" t="str">
        <f aca="false">Scoring!BF243</f>
        <v/>
      </c>
      <c r="B237" s="136" t="str">
        <f aca="false">Scoring!BE243</f>
        <v/>
      </c>
      <c r="C237" s="136" t="n">
        <f aca="false">Scoring!C243</f>
        <v>0</v>
      </c>
      <c r="D237" s="137" t="str">
        <f aca="false">Scoring!BB243</f>
        <v/>
      </c>
      <c r="E237" s="136" t="str">
        <f aca="false">Scoring!AE243</f>
        <v/>
      </c>
      <c r="F237" s="136" t="n">
        <f aca="false">Scoring!B243</f>
        <v>0</v>
      </c>
      <c r="G237" s="136" t="n">
        <f aca="false">Scoring!D243</f>
        <v>0</v>
      </c>
      <c r="H237" s="136" t="str">
        <f aca="false">Scoring!BD243</f>
        <v/>
      </c>
      <c r="I237" s="138" t="str">
        <f aca="false">Scoring!BC243</f>
        <v/>
      </c>
    </row>
    <row r="238" customFormat="false" ht="15.75" hidden="false" customHeight="false" outlineLevel="0" collapsed="false">
      <c r="A238" s="136" t="str">
        <f aca="false">Scoring!BF244</f>
        <v/>
      </c>
      <c r="B238" s="136" t="str">
        <f aca="false">Scoring!BE244</f>
        <v/>
      </c>
      <c r="C238" s="136" t="n">
        <f aca="false">Scoring!C244</f>
        <v>0</v>
      </c>
      <c r="D238" s="137" t="str">
        <f aca="false">Scoring!BB244</f>
        <v/>
      </c>
      <c r="E238" s="136" t="str">
        <f aca="false">Scoring!AE244</f>
        <v/>
      </c>
      <c r="F238" s="136" t="n">
        <f aca="false">Scoring!B244</f>
        <v>0</v>
      </c>
      <c r="G238" s="136" t="n">
        <f aca="false">Scoring!D244</f>
        <v>0</v>
      </c>
      <c r="H238" s="136" t="str">
        <f aca="false">Scoring!BD244</f>
        <v/>
      </c>
      <c r="I238" s="138" t="str">
        <f aca="false">Scoring!BC244</f>
        <v/>
      </c>
    </row>
    <row r="239" customFormat="false" ht="15.75" hidden="false" customHeight="false" outlineLevel="0" collapsed="false">
      <c r="A239" s="136" t="str">
        <f aca="false">Scoring!BF245</f>
        <v/>
      </c>
      <c r="B239" s="136" t="str">
        <f aca="false">Scoring!BE245</f>
        <v/>
      </c>
      <c r="C239" s="136" t="n">
        <f aca="false">Scoring!C245</f>
        <v>0</v>
      </c>
      <c r="D239" s="137" t="str">
        <f aca="false">Scoring!BB245</f>
        <v/>
      </c>
      <c r="E239" s="136" t="str">
        <f aca="false">Scoring!AE245</f>
        <v/>
      </c>
      <c r="F239" s="136" t="n">
        <f aca="false">Scoring!B245</f>
        <v>0</v>
      </c>
      <c r="G239" s="136" t="n">
        <f aca="false">Scoring!D245</f>
        <v>0</v>
      </c>
      <c r="H239" s="136" t="str">
        <f aca="false">Scoring!BD245</f>
        <v/>
      </c>
      <c r="I239" s="138" t="str">
        <f aca="false">Scoring!BC245</f>
        <v/>
      </c>
    </row>
    <row r="240" customFormat="false" ht="15.75" hidden="false" customHeight="false" outlineLevel="0" collapsed="false">
      <c r="A240" s="136" t="str">
        <f aca="false">Scoring!BF246</f>
        <v/>
      </c>
      <c r="B240" s="136" t="str">
        <f aca="false">Scoring!BE246</f>
        <v/>
      </c>
      <c r="C240" s="136" t="n">
        <f aca="false">Scoring!C246</f>
        <v>0</v>
      </c>
      <c r="D240" s="137" t="str">
        <f aca="false">Scoring!BB246</f>
        <v/>
      </c>
      <c r="E240" s="136" t="str">
        <f aca="false">Scoring!AE246</f>
        <v/>
      </c>
      <c r="F240" s="136" t="n">
        <f aca="false">Scoring!B246</f>
        <v>0</v>
      </c>
      <c r="G240" s="136" t="n">
        <f aca="false">Scoring!D246</f>
        <v>0</v>
      </c>
      <c r="H240" s="136" t="str">
        <f aca="false">Scoring!BD246</f>
        <v/>
      </c>
      <c r="I240" s="138" t="str">
        <f aca="false">Scoring!BC246</f>
        <v/>
      </c>
    </row>
    <row r="241" customFormat="false" ht="15.75" hidden="false" customHeight="false" outlineLevel="0" collapsed="false">
      <c r="A241" s="136" t="str">
        <f aca="false">Scoring!BF247</f>
        <v/>
      </c>
      <c r="B241" s="136" t="str">
        <f aca="false">Scoring!BE247</f>
        <v/>
      </c>
      <c r="C241" s="136" t="n">
        <f aca="false">Scoring!C247</f>
        <v>0</v>
      </c>
      <c r="D241" s="137" t="str">
        <f aca="false">Scoring!BB247</f>
        <v/>
      </c>
      <c r="E241" s="136" t="str">
        <f aca="false">Scoring!AE247</f>
        <v/>
      </c>
      <c r="F241" s="136" t="n">
        <f aca="false">Scoring!B247</f>
        <v>0</v>
      </c>
      <c r="G241" s="136" t="n">
        <f aca="false">Scoring!D247</f>
        <v>0</v>
      </c>
      <c r="H241" s="136" t="str">
        <f aca="false">Scoring!BD247</f>
        <v/>
      </c>
      <c r="I241" s="138" t="str">
        <f aca="false">Scoring!BC247</f>
        <v/>
      </c>
    </row>
    <row r="242" customFormat="false" ht="15.75" hidden="false" customHeight="false" outlineLevel="0" collapsed="false">
      <c r="A242" s="136" t="str">
        <f aca="false">Scoring!BF248</f>
        <v/>
      </c>
      <c r="B242" s="136" t="str">
        <f aca="false">Scoring!BE248</f>
        <v/>
      </c>
      <c r="C242" s="136" t="n">
        <f aca="false">Scoring!C248</f>
        <v>0</v>
      </c>
      <c r="D242" s="137" t="str">
        <f aca="false">Scoring!BB248</f>
        <v/>
      </c>
      <c r="E242" s="136" t="str">
        <f aca="false">Scoring!AE248</f>
        <v/>
      </c>
      <c r="F242" s="136" t="n">
        <f aca="false">Scoring!B248</f>
        <v>0</v>
      </c>
      <c r="G242" s="136" t="n">
        <f aca="false">Scoring!D248</f>
        <v>0</v>
      </c>
      <c r="H242" s="136" t="str">
        <f aca="false">Scoring!BD248</f>
        <v/>
      </c>
      <c r="I242" s="138" t="str">
        <f aca="false">Scoring!BC248</f>
        <v/>
      </c>
    </row>
    <row r="243" customFormat="false" ht="15.75" hidden="false" customHeight="false" outlineLevel="0" collapsed="false">
      <c r="A243" s="136" t="str">
        <f aca="false">Scoring!BF249</f>
        <v/>
      </c>
      <c r="B243" s="136" t="str">
        <f aca="false">Scoring!BE249</f>
        <v/>
      </c>
      <c r="C243" s="136" t="n">
        <f aca="false">Scoring!C249</f>
        <v>0</v>
      </c>
      <c r="D243" s="137" t="str">
        <f aca="false">Scoring!BB249</f>
        <v/>
      </c>
      <c r="E243" s="136" t="str">
        <f aca="false">Scoring!AE249</f>
        <v/>
      </c>
      <c r="F243" s="136" t="n">
        <f aca="false">Scoring!B249</f>
        <v>0</v>
      </c>
      <c r="G243" s="136" t="n">
        <f aca="false">Scoring!D249</f>
        <v>0</v>
      </c>
      <c r="H243" s="136" t="str">
        <f aca="false">Scoring!BD249</f>
        <v/>
      </c>
      <c r="I243" s="138" t="str">
        <f aca="false">Scoring!BC249</f>
        <v/>
      </c>
    </row>
    <row r="244" customFormat="false" ht="15.75" hidden="false" customHeight="false" outlineLevel="0" collapsed="false">
      <c r="A244" s="136" t="str">
        <f aca="false">Scoring!BF250</f>
        <v/>
      </c>
      <c r="B244" s="136" t="str">
        <f aca="false">Scoring!BE250</f>
        <v/>
      </c>
      <c r="C244" s="136" t="n">
        <f aca="false">Scoring!C250</f>
        <v>0</v>
      </c>
      <c r="D244" s="137" t="str">
        <f aca="false">Scoring!BB250</f>
        <v/>
      </c>
      <c r="E244" s="136" t="str">
        <f aca="false">Scoring!AE250</f>
        <v/>
      </c>
      <c r="F244" s="136" t="n">
        <f aca="false">Scoring!B250</f>
        <v>0</v>
      </c>
      <c r="G244" s="136" t="n">
        <f aca="false">Scoring!D250</f>
        <v>0</v>
      </c>
      <c r="H244" s="136" t="str">
        <f aca="false">Scoring!BD250</f>
        <v/>
      </c>
      <c r="I244" s="138" t="str">
        <f aca="false">Scoring!BC250</f>
        <v/>
      </c>
    </row>
    <row r="245" customFormat="false" ht="15.75" hidden="false" customHeight="false" outlineLevel="0" collapsed="false">
      <c r="A245" s="136" t="str">
        <f aca="false">Scoring!BF251</f>
        <v/>
      </c>
      <c r="B245" s="136" t="str">
        <f aca="false">Scoring!BE251</f>
        <v/>
      </c>
      <c r="C245" s="136" t="n">
        <f aca="false">Scoring!C251</f>
        <v>0</v>
      </c>
      <c r="D245" s="137" t="str">
        <f aca="false">Scoring!BB251</f>
        <v/>
      </c>
      <c r="E245" s="136" t="str">
        <f aca="false">Scoring!AE251</f>
        <v/>
      </c>
      <c r="F245" s="136" t="n">
        <f aca="false">Scoring!B251</f>
        <v>0</v>
      </c>
      <c r="G245" s="136" t="n">
        <f aca="false">Scoring!D251</f>
        <v>0</v>
      </c>
      <c r="H245" s="136" t="str">
        <f aca="false">Scoring!BD251</f>
        <v/>
      </c>
      <c r="I245" s="138" t="str">
        <f aca="false">Scoring!BC251</f>
        <v/>
      </c>
    </row>
    <row r="246" customFormat="false" ht="15.75" hidden="false" customHeight="false" outlineLevel="0" collapsed="false">
      <c r="A246" s="136" t="str">
        <f aca="false">Scoring!BF252</f>
        <v/>
      </c>
      <c r="B246" s="136" t="str">
        <f aca="false">Scoring!BE252</f>
        <v/>
      </c>
      <c r="C246" s="136" t="n">
        <f aca="false">Scoring!C252</f>
        <v>0</v>
      </c>
      <c r="D246" s="137" t="str">
        <f aca="false">Scoring!BB252</f>
        <v/>
      </c>
      <c r="E246" s="136" t="str">
        <f aca="false">Scoring!AE252</f>
        <v/>
      </c>
      <c r="F246" s="136" t="n">
        <f aca="false">Scoring!B252</f>
        <v>0</v>
      </c>
      <c r="G246" s="136" t="n">
        <f aca="false">Scoring!D252</f>
        <v>0</v>
      </c>
      <c r="H246" s="136" t="str">
        <f aca="false">Scoring!BD252</f>
        <v/>
      </c>
      <c r="I246" s="138" t="str">
        <f aca="false">Scoring!BC252</f>
        <v/>
      </c>
    </row>
    <row r="247" customFormat="false" ht="15.75" hidden="false" customHeight="false" outlineLevel="0" collapsed="false">
      <c r="A247" s="136" t="str">
        <f aca="false">Scoring!BF253</f>
        <v/>
      </c>
      <c r="B247" s="136" t="str">
        <f aca="false">Scoring!BE253</f>
        <v/>
      </c>
      <c r="C247" s="136" t="n">
        <f aca="false">Scoring!C253</f>
        <v>0</v>
      </c>
      <c r="D247" s="137" t="str">
        <f aca="false">Scoring!BB253</f>
        <v/>
      </c>
      <c r="E247" s="136" t="str">
        <f aca="false">Scoring!AE253</f>
        <v/>
      </c>
      <c r="F247" s="136" t="n">
        <f aca="false">Scoring!B253</f>
        <v>0</v>
      </c>
      <c r="G247" s="136" t="n">
        <f aca="false">Scoring!D253</f>
        <v>0</v>
      </c>
      <c r="H247" s="136" t="str">
        <f aca="false">Scoring!BD253</f>
        <v/>
      </c>
      <c r="I247" s="138" t="str">
        <f aca="false">Scoring!BC253</f>
        <v/>
      </c>
    </row>
    <row r="248" customFormat="false" ht="15.75" hidden="false" customHeight="false" outlineLevel="0" collapsed="false">
      <c r="A248" s="136" t="str">
        <f aca="false">Scoring!BF254</f>
        <v/>
      </c>
      <c r="B248" s="136" t="str">
        <f aca="false">Scoring!BE254</f>
        <v/>
      </c>
      <c r="C248" s="136" t="n">
        <f aca="false">Scoring!C254</f>
        <v>0</v>
      </c>
      <c r="D248" s="137" t="str">
        <f aca="false">Scoring!BB254</f>
        <v/>
      </c>
      <c r="E248" s="136" t="str">
        <f aca="false">Scoring!AE254</f>
        <v/>
      </c>
      <c r="F248" s="136" t="n">
        <f aca="false">Scoring!B254</f>
        <v>0</v>
      </c>
      <c r="G248" s="136" t="n">
        <f aca="false">Scoring!D254</f>
        <v>0</v>
      </c>
      <c r="H248" s="136" t="str">
        <f aca="false">Scoring!BD254</f>
        <v/>
      </c>
      <c r="I248" s="138" t="str">
        <f aca="false">Scoring!BC254</f>
        <v/>
      </c>
    </row>
    <row r="249" customFormat="false" ht="15.75" hidden="false" customHeight="false" outlineLevel="0" collapsed="false">
      <c r="A249" s="136" t="str">
        <f aca="false">Scoring!BF255</f>
        <v/>
      </c>
      <c r="B249" s="136" t="str">
        <f aca="false">Scoring!BE255</f>
        <v/>
      </c>
      <c r="C249" s="136" t="n">
        <f aca="false">Scoring!C255</f>
        <v>0</v>
      </c>
      <c r="D249" s="137" t="str">
        <f aca="false">Scoring!BB255</f>
        <v/>
      </c>
      <c r="E249" s="136" t="str">
        <f aca="false">Scoring!AE255</f>
        <v/>
      </c>
      <c r="F249" s="136" t="n">
        <f aca="false">Scoring!B255</f>
        <v>0</v>
      </c>
      <c r="G249" s="136" t="n">
        <f aca="false">Scoring!D255</f>
        <v>0</v>
      </c>
      <c r="H249" s="136" t="str">
        <f aca="false">Scoring!BD255</f>
        <v/>
      </c>
      <c r="I249" s="138" t="str">
        <f aca="false">Scoring!BC255</f>
        <v/>
      </c>
    </row>
    <row r="250" customFormat="false" ht="15.75" hidden="false" customHeight="false" outlineLevel="0" collapsed="false">
      <c r="A250" s="136" t="str">
        <f aca="false">Scoring!BF256</f>
        <v/>
      </c>
      <c r="B250" s="136" t="str">
        <f aca="false">Scoring!BE256</f>
        <v/>
      </c>
      <c r="C250" s="136" t="n">
        <f aca="false">Scoring!C256</f>
        <v>0</v>
      </c>
      <c r="D250" s="137" t="str">
        <f aca="false">Scoring!BB256</f>
        <v/>
      </c>
      <c r="E250" s="136" t="str">
        <f aca="false">Scoring!AE256</f>
        <v/>
      </c>
      <c r="F250" s="136" t="n">
        <f aca="false">Scoring!B256</f>
        <v>0</v>
      </c>
      <c r="G250" s="136" t="n">
        <f aca="false">Scoring!D256</f>
        <v>0</v>
      </c>
      <c r="H250" s="136" t="str">
        <f aca="false">Scoring!BD256</f>
        <v/>
      </c>
      <c r="I250" s="138" t="str">
        <f aca="false">Scoring!BC256</f>
        <v/>
      </c>
    </row>
    <row r="251" customFormat="false" ht="15.75" hidden="false" customHeight="false" outlineLevel="0" collapsed="false">
      <c r="A251" s="136" t="str">
        <f aca="false">Scoring!BF257</f>
        <v/>
      </c>
      <c r="B251" s="136" t="str">
        <f aca="false">Scoring!BE257</f>
        <v/>
      </c>
      <c r="C251" s="136" t="n">
        <f aca="false">Scoring!C257</f>
        <v>0</v>
      </c>
      <c r="D251" s="137" t="str">
        <f aca="false">Scoring!BB257</f>
        <v/>
      </c>
      <c r="E251" s="136" t="str">
        <f aca="false">Scoring!AE257</f>
        <v/>
      </c>
      <c r="F251" s="136" t="n">
        <f aca="false">Scoring!B257</f>
        <v>0</v>
      </c>
      <c r="G251" s="136" t="n">
        <f aca="false">Scoring!D257</f>
        <v>0</v>
      </c>
      <c r="H251" s="136" t="str">
        <f aca="false">Scoring!BD257</f>
        <v/>
      </c>
      <c r="I251" s="138" t="str">
        <f aca="false">Scoring!BC257</f>
        <v/>
      </c>
    </row>
    <row r="252" customFormat="false" ht="15.75" hidden="false" customHeight="false" outlineLevel="0" collapsed="false">
      <c r="A252" s="136" t="str">
        <f aca="false">Scoring!BF258</f>
        <v/>
      </c>
      <c r="B252" s="136" t="str">
        <f aca="false">Scoring!BE258</f>
        <v/>
      </c>
      <c r="C252" s="136" t="n">
        <f aca="false">Scoring!C258</f>
        <v>0</v>
      </c>
      <c r="D252" s="137" t="str">
        <f aca="false">Scoring!BB258</f>
        <v/>
      </c>
      <c r="E252" s="136" t="str">
        <f aca="false">Scoring!AE258</f>
        <v/>
      </c>
      <c r="F252" s="136" t="n">
        <f aca="false">Scoring!B258</f>
        <v>0</v>
      </c>
      <c r="G252" s="136" t="n">
        <f aca="false">Scoring!D258</f>
        <v>0</v>
      </c>
      <c r="H252" s="136" t="str">
        <f aca="false">Scoring!BD258</f>
        <v/>
      </c>
      <c r="I252" s="138" t="str">
        <f aca="false">Scoring!BC258</f>
        <v/>
      </c>
    </row>
    <row r="253" customFormat="false" ht="15.75" hidden="false" customHeight="false" outlineLevel="0" collapsed="false">
      <c r="A253" s="136" t="str">
        <f aca="false">Scoring!BF259</f>
        <v/>
      </c>
      <c r="B253" s="136" t="str">
        <f aca="false">Scoring!BE259</f>
        <v/>
      </c>
      <c r="C253" s="136" t="n">
        <f aca="false">Scoring!C259</f>
        <v>0</v>
      </c>
      <c r="D253" s="137" t="str">
        <f aca="false">Scoring!BB259</f>
        <v/>
      </c>
      <c r="E253" s="136" t="str">
        <f aca="false">Scoring!AE259</f>
        <v/>
      </c>
      <c r="F253" s="136" t="n">
        <f aca="false">Scoring!B259</f>
        <v>0</v>
      </c>
      <c r="G253" s="136" t="n">
        <f aca="false">Scoring!D259</f>
        <v>0</v>
      </c>
      <c r="H253" s="136" t="str">
        <f aca="false">Scoring!BD259</f>
        <v/>
      </c>
      <c r="I253" s="138" t="str">
        <f aca="false">Scoring!BC259</f>
        <v/>
      </c>
    </row>
    <row r="254" customFormat="false" ht="15.75" hidden="false" customHeight="false" outlineLevel="0" collapsed="false">
      <c r="A254" s="136" t="str">
        <f aca="false">Scoring!BF260</f>
        <v/>
      </c>
      <c r="B254" s="136" t="str">
        <f aca="false">Scoring!BE260</f>
        <v/>
      </c>
      <c r="C254" s="136" t="n">
        <f aca="false">Scoring!C260</f>
        <v>0</v>
      </c>
      <c r="D254" s="137" t="str">
        <f aca="false">Scoring!BB260</f>
        <v/>
      </c>
      <c r="E254" s="136" t="str">
        <f aca="false">Scoring!AE260</f>
        <v/>
      </c>
      <c r="F254" s="136" t="n">
        <f aca="false">Scoring!B260</f>
        <v>0</v>
      </c>
      <c r="G254" s="136" t="n">
        <f aca="false">Scoring!D260</f>
        <v>0</v>
      </c>
      <c r="H254" s="136" t="str">
        <f aca="false">Scoring!BD260</f>
        <v/>
      </c>
      <c r="I254" s="138" t="str">
        <f aca="false">Scoring!BC260</f>
        <v/>
      </c>
    </row>
    <row r="255" customFormat="false" ht="15.75" hidden="false" customHeight="false" outlineLevel="0" collapsed="false">
      <c r="A255" s="136" t="str">
        <f aca="false">Scoring!BF261</f>
        <v/>
      </c>
      <c r="B255" s="136" t="str">
        <f aca="false">Scoring!BE261</f>
        <v/>
      </c>
      <c r="C255" s="136" t="n">
        <f aca="false">Scoring!C261</f>
        <v>0</v>
      </c>
      <c r="D255" s="137" t="str">
        <f aca="false">Scoring!BB261</f>
        <v/>
      </c>
      <c r="E255" s="136" t="str">
        <f aca="false">Scoring!AE261</f>
        <v/>
      </c>
      <c r="F255" s="136" t="n">
        <f aca="false">Scoring!B261</f>
        <v>0</v>
      </c>
      <c r="G255" s="136" t="n">
        <f aca="false">Scoring!D261</f>
        <v>0</v>
      </c>
      <c r="H255" s="136" t="str">
        <f aca="false">Scoring!BD261</f>
        <v/>
      </c>
      <c r="I255" s="138" t="str">
        <f aca="false">Scoring!BC261</f>
        <v/>
      </c>
    </row>
    <row r="256" customFormat="false" ht="15.75" hidden="false" customHeight="false" outlineLevel="0" collapsed="false">
      <c r="A256" s="136" t="str">
        <f aca="false">Scoring!BF262</f>
        <v/>
      </c>
      <c r="B256" s="136" t="str">
        <f aca="false">Scoring!BE262</f>
        <v/>
      </c>
      <c r="C256" s="136" t="n">
        <f aca="false">Scoring!C262</f>
        <v>0</v>
      </c>
      <c r="D256" s="137" t="str">
        <f aca="false">Scoring!BB262</f>
        <v/>
      </c>
      <c r="E256" s="136" t="str">
        <f aca="false">Scoring!AE262</f>
        <v/>
      </c>
      <c r="F256" s="136" t="n">
        <f aca="false">Scoring!B262</f>
        <v>0</v>
      </c>
      <c r="G256" s="136" t="n">
        <f aca="false">Scoring!D262</f>
        <v>0</v>
      </c>
      <c r="H256" s="136" t="str">
        <f aca="false">Scoring!BD262</f>
        <v/>
      </c>
      <c r="I256" s="138" t="str">
        <f aca="false">Scoring!BC262</f>
        <v/>
      </c>
    </row>
    <row r="257" customFormat="false" ht="15.75" hidden="false" customHeight="false" outlineLevel="0" collapsed="false">
      <c r="A257" s="136" t="str">
        <f aca="false">Scoring!BF263</f>
        <v/>
      </c>
      <c r="B257" s="136" t="str">
        <f aca="false">Scoring!BE263</f>
        <v/>
      </c>
      <c r="C257" s="136" t="n">
        <f aca="false">Scoring!C263</f>
        <v>0</v>
      </c>
      <c r="D257" s="137" t="str">
        <f aca="false">Scoring!BB263</f>
        <v/>
      </c>
      <c r="E257" s="136" t="str">
        <f aca="false">Scoring!AE263</f>
        <v/>
      </c>
      <c r="F257" s="136" t="n">
        <f aca="false">Scoring!B263</f>
        <v>0</v>
      </c>
      <c r="G257" s="136" t="n">
        <f aca="false">Scoring!D263</f>
        <v>0</v>
      </c>
      <c r="H257" s="136" t="str">
        <f aca="false">Scoring!BD263</f>
        <v/>
      </c>
      <c r="I257" s="138" t="str">
        <f aca="false">Scoring!BC263</f>
        <v/>
      </c>
    </row>
    <row r="258" customFormat="false" ht="15.75" hidden="false" customHeight="false" outlineLevel="0" collapsed="false">
      <c r="A258" s="136" t="str">
        <f aca="false">Scoring!BF264</f>
        <v/>
      </c>
      <c r="B258" s="136" t="str">
        <f aca="false">Scoring!BE264</f>
        <v/>
      </c>
      <c r="C258" s="136" t="n">
        <f aca="false">Scoring!C264</f>
        <v>0</v>
      </c>
      <c r="D258" s="137" t="str">
        <f aca="false">Scoring!BB264</f>
        <v/>
      </c>
      <c r="E258" s="136" t="str">
        <f aca="false">Scoring!AE264</f>
        <v/>
      </c>
      <c r="F258" s="136" t="n">
        <f aca="false">Scoring!B264</f>
        <v>0</v>
      </c>
      <c r="G258" s="136" t="n">
        <f aca="false">Scoring!D264</f>
        <v>0</v>
      </c>
      <c r="H258" s="136" t="str">
        <f aca="false">Scoring!BD264</f>
        <v/>
      </c>
      <c r="I258" s="138" t="str">
        <f aca="false">Scoring!BC264</f>
        <v/>
      </c>
    </row>
    <row r="259" customFormat="false" ht="15.75" hidden="false" customHeight="false" outlineLevel="0" collapsed="false">
      <c r="A259" s="136" t="str">
        <f aca="false">Scoring!BF265</f>
        <v/>
      </c>
      <c r="B259" s="136" t="str">
        <f aca="false">Scoring!BE265</f>
        <v/>
      </c>
      <c r="C259" s="136" t="n">
        <f aca="false">Scoring!C265</f>
        <v>0</v>
      </c>
      <c r="D259" s="137" t="str">
        <f aca="false">Scoring!BB265</f>
        <v/>
      </c>
      <c r="E259" s="136" t="str">
        <f aca="false">Scoring!AE265</f>
        <v/>
      </c>
      <c r="F259" s="136" t="n">
        <f aca="false">Scoring!B265</f>
        <v>0</v>
      </c>
      <c r="G259" s="136" t="n">
        <f aca="false">Scoring!D265</f>
        <v>0</v>
      </c>
      <c r="H259" s="136" t="str">
        <f aca="false">Scoring!BD265</f>
        <v/>
      </c>
      <c r="I259" s="138" t="str">
        <f aca="false">Scoring!BC265</f>
        <v/>
      </c>
    </row>
    <row r="260" customFormat="false" ht="15.75" hidden="false" customHeight="false" outlineLevel="0" collapsed="false">
      <c r="A260" s="136" t="str">
        <f aca="false">Scoring!BF266</f>
        <v/>
      </c>
      <c r="B260" s="136" t="str">
        <f aca="false">Scoring!BE266</f>
        <v/>
      </c>
      <c r="C260" s="136" t="n">
        <f aca="false">Scoring!C266</f>
        <v>0</v>
      </c>
      <c r="D260" s="137" t="str">
        <f aca="false">Scoring!BB266</f>
        <v/>
      </c>
      <c r="E260" s="136" t="str">
        <f aca="false">Scoring!AE266</f>
        <v/>
      </c>
      <c r="F260" s="136" t="n">
        <f aca="false">Scoring!B266</f>
        <v>0</v>
      </c>
      <c r="G260" s="136" t="n">
        <f aca="false">Scoring!D266</f>
        <v>0</v>
      </c>
      <c r="H260" s="136" t="str">
        <f aca="false">Scoring!BD266</f>
        <v/>
      </c>
      <c r="I260" s="138" t="str">
        <f aca="false">Scoring!BC266</f>
        <v/>
      </c>
    </row>
    <row r="261" customFormat="false" ht="15.75" hidden="false" customHeight="false" outlineLevel="0" collapsed="false">
      <c r="A261" s="136" t="str">
        <f aca="false">Scoring!BF267</f>
        <v/>
      </c>
      <c r="B261" s="136" t="str">
        <f aca="false">Scoring!BE267</f>
        <v/>
      </c>
      <c r="C261" s="136" t="n">
        <f aca="false">Scoring!C267</f>
        <v>0</v>
      </c>
      <c r="D261" s="137" t="str">
        <f aca="false">Scoring!BB267</f>
        <v/>
      </c>
      <c r="E261" s="136" t="str">
        <f aca="false">Scoring!AE267</f>
        <v/>
      </c>
      <c r="F261" s="136" t="n">
        <f aca="false">Scoring!B267</f>
        <v>0</v>
      </c>
      <c r="G261" s="136" t="n">
        <f aca="false">Scoring!D267</f>
        <v>0</v>
      </c>
      <c r="H261" s="136" t="str">
        <f aca="false">Scoring!BD267</f>
        <v/>
      </c>
      <c r="I261" s="138" t="str">
        <f aca="false">Scoring!BC267</f>
        <v/>
      </c>
    </row>
    <row r="262" customFormat="false" ht="15.75" hidden="false" customHeight="false" outlineLevel="0" collapsed="false">
      <c r="A262" s="136" t="str">
        <f aca="false">Scoring!BF268</f>
        <v/>
      </c>
      <c r="B262" s="136" t="str">
        <f aca="false">Scoring!BE268</f>
        <v/>
      </c>
      <c r="C262" s="136" t="n">
        <f aca="false">Scoring!C268</f>
        <v>0</v>
      </c>
      <c r="D262" s="137" t="str">
        <f aca="false">Scoring!BB268</f>
        <v/>
      </c>
      <c r="E262" s="136" t="str">
        <f aca="false">Scoring!AE268</f>
        <v/>
      </c>
      <c r="F262" s="136" t="n">
        <f aca="false">Scoring!B268</f>
        <v>0</v>
      </c>
      <c r="G262" s="136" t="n">
        <f aca="false">Scoring!D268</f>
        <v>0</v>
      </c>
      <c r="H262" s="136" t="str">
        <f aca="false">Scoring!BD268</f>
        <v/>
      </c>
      <c r="I262" s="138" t="str">
        <f aca="false">Scoring!BC268</f>
        <v/>
      </c>
    </row>
    <row r="263" customFormat="false" ht="15.75" hidden="false" customHeight="false" outlineLevel="0" collapsed="false">
      <c r="A263" s="136" t="str">
        <f aca="false">Scoring!BF269</f>
        <v/>
      </c>
      <c r="B263" s="136" t="str">
        <f aca="false">Scoring!BE269</f>
        <v/>
      </c>
      <c r="C263" s="136" t="n">
        <f aca="false">Scoring!C269</f>
        <v>0</v>
      </c>
      <c r="D263" s="137" t="str">
        <f aca="false">Scoring!BB269</f>
        <v/>
      </c>
      <c r="E263" s="136" t="str">
        <f aca="false">Scoring!AE269</f>
        <v/>
      </c>
      <c r="F263" s="136" t="n">
        <f aca="false">Scoring!B269</f>
        <v>0</v>
      </c>
      <c r="G263" s="136" t="n">
        <f aca="false">Scoring!D269</f>
        <v>0</v>
      </c>
      <c r="H263" s="136" t="str">
        <f aca="false">Scoring!BD269</f>
        <v/>
      </c>
      <c r="I263" s="138" t="str">
        <f aca="false">Scoring!BC269</f>
        <v/>
      </c>
    </row>
    <row r="264" customFormat="false" ht="15.75" hidden="false" customHeight="false" outlineLevel="0" collapsed="false">
      <c r="A264" s="136" t="str">
        <f aca="false">Scoring!BF270</f>
        <v/>
      </c>
      <c r="B264" s="136" t="str">
        <f aca="false">Scoring!BE270</f>
        <v/>
      </c>
      <c r="C264" s="136" t="n">
        <f aca="false">Scoring!C270</f>
        <v>0</v>
      </c>
      <c r="D264" s="137" t="str">
        <f aca="false">Scoring!BB270</f>
        <v/>
      </c>
      <c r="E264" s="136" t="str">
        <f aca="false">Scoring!AE270</f>
        <v/>
      </c>
      <c r="F264" s="136" t="n">
        <f aca="false">Scoring!B270</f>
        <v>0</v>
      </c>
      <c r="G264" s="136" t="n">
        <f aca="false">Scoring!D270</f>
        <v>0</v>
      </c>
      <c r="H264" s="136" t="str">
        <f aca="false">Scoring!BD270</f>
        <v/>
      </c>
      <c r="I264" s="138" t="str">
        <f aca="false">Scoring!BC270</f>
        <v/>
      </c>
    </row>
    <row r="265" customFormat="false" ht="15.75" hidden="false" customHeight="false" outlineLevel="0" collapsed="false">
      <c r="A265" s="136" t="str">
        <f aca="false">Scoring!BF271</f>
        <v/>
      </c>
      <c r="B265" s="136" t="str">
        <f aca="false">Scoring!BE271</f>
        <v/>
      </c>
      <c r="C265" s="136" t="n">
        <f aca="false">Scoring!C271</f>
        <v>0</v>
      </c>
      <c r="D265" s="137" t="str">
        <f aca="false">Scoring!BB271</f>
        <v/>
      </c>
      <c r="E265" s="136" t="str">
        <f aca="false">Scoring!AE271</f>
        <v/>
      </c>
      <c r="F265" s="136" t="n">
        <f aca="false">Scoring!B271</f>
        <v>0</v>
      </c>
      <c r="G265" s="136" t="n">
        <f aca="false">Scoring!D271</f>
        <v>0</v>
      </c>
      <c r="H265" s="136" t="str">
        <f aca="false">Scoring!BD271</f>
        <v/>
      </c>
      <c r="I265" s="138" t="str">
        <f aca="false">Scoring!BC271</f>
        <v/>
      </c>
    </row>
    <row r="266" customFormat="false" ht="15.75" hidden="false" customHeight="false" outlineLevel="0" collapsed="false">
      <c r="A266" s="136" t="str">
        <f aca="false">Scoring!BF272</f>
        <v/>
      </c>
      <c r="B266" s="136" t="str">
        <f aca="false">Scoring!BE272</f>
        <v/>
      </c>
      <c r="C266" s="136" t="n">
        <f aca="false">Scoring!C272</f>
        <v>0</v>
      </c>
      <c r="D266" s="137" t="str">
        <f aca="false">Scoring!BB272</f>
        <v/>
      </c>
      <c r="E266" s="136" t="str">
        <f aca="false">Scoring!AE272</f>
        <v/>
      </c>
      <c r="F266" s="136" t="n">
        <f aca="false">Scoring!B272</f>
        <v>0</v>
      </c>
      <c r="G266" s="136" t="n">
        <f aca="false">Scoring!D272</f>
        <v>0</v>
      </c>
      <c r="H266" s="136" t="str">
        <f aca="false">Scoring!BD272</f>
        <v/>
      </c>
      <c r="I266" s="138" t="str">
        <f aca="false">Scoring!BC272</f>
        <v/>
      </c>
    </row>
    <row r="267" customFormat="false" ht="15.75" hidden="false" customHeight="false" outlineLevel="0" collapsed="false">
      <c r="A267" s="136" t="str">
        <f aca="false">Scoring!BF273</f>
        <v/>
      </c>
      <c r="B267" s="136" t="str">
        <f aca="false">Scoring!BE273</f>
        <v/>
      </c>
      <c r="C267" s="136" t="n">
        <f aca="false">Scoring!C273</f>
        <v>0</v>
      </c>
      <c r="D267" s="137" t="str">
        <f aca="false">Scoring!BB273</f>
        <v/>
      </c>
      <c r="E267" s="136" t="str">
        <f aca="false">Scoring!AE273</f>
        <v/>
      </c>
      <c r="F267" s="136" t="n">
        <f aca="false">Scoring!B273</f>
        <v>0</v>
      </c>
      <c r="G267" s="136" t="n">
        <f aca="false">Scoring!D273</f>
        <v>0</v>
      </c>
      <c r="H267" s="136" t="str">
        <f aca="false">Scoring!BD273</f>
        <v/>
      </c>
      <c r="I267" s="138" t="str">
        <f aca="false">Scoring!BC273</f>
        <v/>
      </c>
    </row>
    <row r="268" customFormat="false" ht="15.75" hidden="false" customHeight="false" outlineLevel="0" collapsed="false">
      <c r="A268" s="136" t="str">
        <f aca="false">Scoring!BF274</f>
        <v/>
      </c>
      <c r="B268" s="136" t="str">
        <f aca="false">Scoring!BE274</f>
        <v/>
      </c>
      <c r="C268" s="136" t="n">
        <f aca="false">Scoring!C274</f>
        <v>0</v>
      </c>
      <c r="D268" s="137" t="str">
        <f aca="false">Scoring!BB274</f>
        <v/>
      </c>
      <c r="E268" s="136" t="str">
        <f aca="false">Scoring!AE274</f>
        <v/>
      </c>
      <c r="F268" s="136" t="n">
        <f aca="false">Scoring!B274</f>
        <v>0</v>
      </c>
      <c r="G268" s="136" t="n">
        <f aca="false">Scoring!D274</f>
        <v>0</v>
      </c>
      <c r="H268" s="136" t="str">
        <f aca="false">Scoring!BD274</f>
        <v/>
      </c>
      <c r="I268" s="138" t="str">
        <f aca="false">Scoring!BC274</f>
        <v/>
      </c>
    </row>
    <row r="269" customFormat="false" ht="15.75" hidden="false" customHeight="false" outlineLevel="0" collapsed="false">
      <c r="A269" s="136" t="str">
        <f aca="false">Scoring!BF275</f>
        <v/>
      </c>
      <c r="B269" s="136" t="str">
        <f aca="false">Scoring!BE275</f>
        <v/>
      </c>
      <c r="C269" s="136" t="n">
        <f aca="false">Scoring!C275</f>
        <v>0</v>
      </c>
      <c r="D269" s="137" t="str">
        <f aca="false">Scoring!BB275</f>
        <v/>
      </c>
      <c r="E269" s="136" t="str">
        <f aca="false">Scoring!AE275</f>
        <v/>
      </c>
      <c r="F269" s="136" t="n">
        <f aca="false">Scoring!B275</f>
        <v>0</v>
      </c>
      <c r="G269" s="136" t="n">
        <f aca="false">Scoring!D275</f>
        <v>0</v>
      </c>
      <c r="H269" s="136" t="str">
        <f aca="false">Scoring!BD275</f>
        <v/>
      </c>
      <c r="I269" s="138" t="str">
        <f aca="false">Scoring!BC275</f>
        <v/>
      </c>
    </row>
    <row r="270" customFormat="false" ht="15.75" hidden="false" customHeight="false" outlineLevel="0" collapsed="false">
      <c r="A270" s="136" t="str">
        <f aca="false">Scoring!BF276</f>
        <v/>
      </c>
      <c r="B270" s="136" t="str">
        <f aca="false">Scoring!BE276</f>
        <v/>
      </c>
      <c r="C270" s="136" t="n">
        <f aca="false">Scoring!C276</f>
        <v>0</v>
      </c>
      <c r="D270" s="137" t="str">
        <f aca="false">Scoring!BB276</f>
        <v/>
      </c>
      <c r="E270" s="136" t="str">
        <f aca="false">Scoring!AE276</f>
        <v/>
      </c>
      <c r="F270" s="136" t="n">
        <f aca="false">Scoring!B276</f>
        <v>0</v>
      </c>
      <c r="G270" s="136" t="n">
        <f aca="false">Scoring!D276</f>
        <v>0</v>
      </c>
      <c r="H270" s="136" t="str">
        <f aca="false">Scoring!BD276</f>
        <v/>
      </c>
      <c r="I270" s="138" t="str">
        <f aca="false">Scoring!BC276</f>
        <v/>
      </c>
    </row>
    <row r="271" customFormat="false" ht="15.75" hidden="false" customHeight="false" outlineLevel="0" collapsed="false">
      <c r="A271" s="136" t="str">
        <f aca="false">Scoring!BF277</f>
        <v/>
      </c>
      <c r="B271" s="136" t="str">
        <f aca="false">Scoring!BE277</f>
        <v/>
      </c>
      <c r="C271" s="136" t="n">
        <f aca="false">Scoring!C277</f>
        <v>0</v>
      </c>
      <c r="D271" s="137" t="str">
        <f aca="false">Scoring!BB277</f>
        <v/>
      </c>
      <c r="E271" s="136" t="str">
        <f aca="false">Scoring!AE277</f>
        <v/>
      </c>
      <c r="F271" s="136" t="n">
        <f aca="false">Scoring!B277</f>
        <v>0</v>
      </c>
      <c r="G271" s="136" t="n">
        <f aca="false">Scoring!D277</f>
        <v>0</v>
      </c>
      <c r="H271" s="136" t="str">
        <f aca="false">Scoring!BD277</f>
        <v/>
      </c>
      <c r="I271" s="138" t="str">
        <f aca="false">Scoring!BC277</f>
        <v/>
      </c>
    </row>
    <row r="272" customFormat="false" ht="15.75" hidden="false" customHeight="false" outlineLevel="0" collapsed="false">
      <c r="A272" s="136" t="str">
        <f aca="false">Scoring!BF278</f>
        <v/>
      </c>
      <c r="B272" s="136" t="str">
        <f aca="false">Scoring!BE278</f>
        <v/>
      </c>
      <c r="C272" s="136" t="n">
        <f aca="false">Scoring!C278</f>
        <v>0</v>
      </c>
      <c r="D272" s="137" t="str">
        <f aca="false">Scoring!BB278</f>
        <v/>
      </c>
      <c r="E272" s="136" t="str">
        <f aca="false">Scoring!AE278</f>
        <v/>
      </c>
      <c r="F272" s="136" t="n">
        <f aca="false">Scoring!B278</f>
        <v>0</v>
      </c>
      <c r="G272" s="136" t="n">
        <f aca="false">Scoring!D278</f>
        <v>0</v>
      </c>
      <c r="H272" s="136" t="str">
        <f aca="false">Scoring!BD278</f>
        <v/>
      </c>
      <c r="I272" s="138" t="str">
        <f aca="false">Scoring!BC278</f>
        <v/>
      </c>
    </row>
    <row r="273" customFormat="false" ht="15.75" hidden="false" customHeight="false" outlineLevel="0" collapsed="false">
      <c r="A273" s="136" t="str">
        <f aca="false">Scoring!BF279</f>
        <v/>
      </c>
      <c r="B273" s="136" t="str">
        <f aca="false">Scoring!BE279</f>
        <v/>
      </c>
      <c r="C273" s="136" t="n">
        <f aca="false">Scoring!C279</f>
        <v>0</v>
      </c>
      <c r="D273" s="137" t="str">
        <f aca="false">Scoring!BB279</f>
        <v/>
      </c>
      <c r="E273" s="136" t="str">
        <f aca="false">Scoring!AE279</f>
        <v/>
      </c>
      <c r="F273" s="136" t="n">
        <f aca="false">Scoring!B279</f>
        <v>0</v>
      </c>
      <c r="G273" s="136" t="n">
        <f aca="false">Scoring!D279</f>
        <v>0</v>
      </c>
      <c r="H273" s="136" t="str">
        <f aca="false">Scoring!BD279</f>
        <v/>
      </c>
      <c r="I273" s="138" t="str">
        <f aca="false">Scoring!BC279</f>
        <v/>
      </c>
    </row>
    <row r="274" customFormat="false" ht="15.75" hidden="false" customHeight="false" outlineLevel="0" collapsed="false">
      <c r="A274" s="136" t="str">
        <f aca="false">Scoring!BF280</f>
        <v/>
      </c>
      <c r="B274" s="136" t="str">
        <f aca="false">Scoring!BE280</f>
        <v/>
      </c>
      <c r="C274" s="136" t="n">
        <f aca="false">Scoring!C280</f>
        <v>0</v>
      </c>
      <c r="D274" s="137" t="str">
        <f aca="false">Scoring!BB280</f>
        <v/>
      </c>
      <c r="E274" s="136" t="str">
        <f aca="false">Scoring!AE280</f>
        <v/>
      </c>
      <c r="F274" s="136" t="n">
        <f aca="false">Scoring!B280</f>
        <v>0</v>
      </c>
      <c r="G274" s="136" t="n">
        <f aca="false">Scoring!D280</f>
        <v>0</v>
      </c>
      <c r="H274" s="136" t="str">
        <f aca="false">Scoring!BD280</f>
        <v/>
      </c>
      <c r="I274" s="138" t="str">
        <f aca="false">Scoring!BC280</f>
        <v/>
      </c>
    </row>
    <row r="275" customFormat="false" ht="15.75" hidden="false" customHeight="false" outlineLevel="0" collapsed="false">
      <c r="A275" s="136" t="str">
        <f aca="false">Scoring!BF281</f>
        <v/>
      </c>
      <c r="B275" s="136" t="str">
        <f aca="false">Scoring!BE281</f>
        <v/>
      </c>
      <c r="C275" s="136" t="n">
        <f aca="false">Scoring!C281</f>
        <v>0</v>
      </c>
      <c r="D275" s="137" t="str">
        <f aca="false">Scoring!BB281</f>
        <v/>
      </c>
      <c r="E275" s="136" t="str">
        <f aca="false">Scoring!AE281</f>
        <v/>
      </c>
      <c r="F275" s="136" t="n">
        <f aca="false">Scoring!B281</f>
        <v>0</v>
      </c>
      <c r="G275" s="136" t="n">
        <f aca="false">Scoring!D281</f>
        <v>0</v>
      </c>
      <c r="H275" s="136" t="str">
        <f aca="false">Scoring!BD281</f>
        <v/>
      </c>
      <c r="I275" s="138" t="str">
        <f aca="false">Scoring!BC281</f>
        <v/>
      </c>
    </row>
    <row r="276" customFormat="false" ht="15.75" hidden="false" customHeight="false" outlineLevel="0" collapsed="false">
      <c r="A276" s="136" t="str">
        <f aca="false">Scoring!BF282</f>
        <v/>
      </c>
      <c r="B276" s="136" t="str">
        <f aca="false">Scoring!BE282</f>
        <v/>
      </c>
      <c r="C276" s="136" t="n">
        <f aca="false">Scoring!C282</f>
        <v>0</v>
      </c>
      <c r="D276" s="137" t="str">
        <f aca="false">Scoring!BB282</f>
        <v/>
      </c>
      <c r="E276" s="136" t="str">
        <f aca="false">Scoring!AE282</f>
        <v/>
      </c>
      <c r="F276" s="136" t="n">
        <f aca="false">Scoring!B282</f>
        <v>0</v>
      </c>
      <c r="G276" s="136" t="n">
        <f aca="false">Scoring!D282</f>
        <v>0</v>
      </c>
      <c r="H276" s="136" t="str">
        <f aca="false">Scoring!BD282</f>
        <v/>
      </c>
      <c r="I276" s="138" t="str">
        <f aca="false">Scoring!BC282</f>
        <v/>
      </c>
    </row>
    <row r="277" customFormat="false" ht="15.75" hidden="false" customHeight="false" outlineLevel="0" collapsed="false">
      <c r="A277" s="136" t="str">
        <f aca="false">Scoring!BF283</f>
        <v/>
      </c>
      <c r="B277" s="136" t="str">
        <f aca="false">Scoring!BE283</f>
        <v/>
      </c>
      <c r="C277" s="136" t="n">
        <f aca="false">Scoring!C283</f>
        <v>0</v>
      </c>
      <c r="D277" s="137" t="str">
        <f aca="false">Scoring!BB283</f>
        <v/>
      </c>
      <c r="E277" s="136" t="str">
        <f aca="false">Scoring!AE283</f>
        <v/>
      </c>
      <c r="F277" s="136" t="n">
        <f aca="false">Scoring!B283</f>
        <v>0</v>
      </c>
      <c r="G277" s="136" t="n">
        <f aca="false">Scoring!D283</f>
        <v>0</v>
      </c>
      <c r="H277" s="136" t="str">
        <f aca="false">Scoring!BD283</f>
        <v/>
      </c>
      <c r="I277" s="138" t="str">
        <f aca="false">Scoring!BC283</f>
        <v/>
      </c>
    </row>
    <row r="278" customFormat="false" ht="15.75" hidden="false" customHeight="false" outlineLevel="0" collapsed="false">
      <c r="A278" s="136" t="str">
        <f aca="false">Scoring!BF284</f>
        <v/>
      </c>
      <c r="B278" s="136" t="str">
        <f aca="false">Scoring!BE284</f>
        <v/>
      </c>
      <c r="C278" s="136" t="n">
        <f aca="false">Scoring!C284</f>
        <v>0</v>
      </c>
      <c r="D278" s="137" t="str">
        <f aca="false">Scoring!BB284</f>
        <v/>
      </c>
      <c r="E278" s="136" t="str">
        <f aca="false">Scoring!AE284</f>
        <v/>
      </c>
      <c r="F278" s="136" t="n">
        <f aca="false">Scoring!B284</f>
        <v>0</v>
      </c>
      <c r="G278" s="136" t="n">
        <f aca="false">Scoring!D284</f>
        <v>0</v>
      </c>
      <c r="H278" s="136" t="str">
        <f aca="false">Scoring!BD284</f>
        <v/>
      </c>
      <c r="I278" s="138" t="str">
        <f aca="false">Scoring!BC284</f>
        <v/>
      </c>
    </row>
    <row r="279" customFormat="false" ht="15.75" hidden="false" customHeight="false" outlineLevel="0" collapsed="false">
      <c r="A279" s="136" t="str">
        <f aca="false">Scoring!BF285</f>
        <v/>
      </c>
      <c r="B279" s="136" t="str">
        <f aca="false">Scoring!BE285</f>
        <v/>
      </c>
      <c r="C279" s="136" t="n">
        <f aca="false">Scoring!C285</f>
        <v>0</v>
      </c>
      <c r="D279" s="137" t="str">
        <f aca="false">Scoring!BB285</f>
        <v/>
      </c>
      <c r="E279" s="136" t="str">
        <f aca="false">Scoring!AE285</f>
        <v/>
      </c>
      <c r="F279" s="136" t="n">
        <f aca="false">Scoring!B285</f>
        <v>0</v>
      </c>
      <c r="G279" s="136" t="n">
        <f aca="false">Scoring!D285</f>
        <v>0</v>
      </c>
      <c r="H279" s="136" t="str">
        <f aca="false">Scoring!BD285</f>
        <v/>
      </c>
      <c r="I279" s="138" t="str">
        <f aca="false">Scoring!BC285</f>
        <v/>
      </c>
    </row>
    <row r="280" customFormat="false" ht="15.75" hidden="false" customHeight="false" outlineLevel="0" collapsed="false">
      <c r="A280" s="136" t="str">
        <f aca="false">Scoring!BF286</f>
        <v/>
      </c>
      <c r="B280" s="136" t="str">
        <f aca="false">Scoring!BE286</f>
        <v/>
      </c>
      <c r="C280" s="136" t="n">
        <f aca="false">Scoring!C286</f>
        <v>0</v>
      </c>
      <c r="D280" s="137" t="str">
        <f aca="false">Scoring!BB286</f>
        <v/>
      </c>
      <c r="E280" s="136" t="str">
        <f aca="false">Scoring!AE286</f>
        <v/>
      </c>
      <c r="F280" s="136" t="n">
        <f aca="false">Scoring!B286</f>
        <v>0</v>
      </c>
      <c r="G280" s="136" t="n">
        <f aca="false">Scoring!D286</f>
        <v>0</v>
      </c>
      <c r="H280" s="136" t="str">
        <f aca="false">Scoring!BD286</f>
        <v/>
      </c>
      <c r="I280" s="138" t="str">
        <f aca="false">Scoring!BC286</f>
        <v/>
      </c>
    </row>
    <row r="281" customFormat="false" ht="15.75" hidden="false" customHeight="false" outlineLevel="0" collapsed="false">
      <c r="A281" s="136" t="str">
        <f aca="false">Scoring!BF287</f>
        <v/>
      </c>
      <c r="B281" s="136" t="str">
        <f aca="false">Scoring!BE287</f>
        <v/>
      </c>
      <c r="C281" s="136" t="n">
        <f aca="false">Scoring!C287</f>
        <v>0</v>
      </c>
      <c r="D281" s="137" t="str">
        <f aca="false">Scoring!BB287</f>
        <v/>
      </c>
      <c r="E281" s="136" t="str">
        <f aca="false">Scoring!AE287</f>
        <v/>
      </c>
      <c r="F281" s="136" t="n">
        <f aca="false">Scoring!B287</f>
        <v>0</v>
      </c>
      <c r="G281" s="136" t="n">
        <f aca="false">Scoring!D287</f>
        <v>0</v>
      </c>
      <c r="H281" s="136" t="str">
        <f aca="false">Scoring!BD287</f>
        <v/>
      </c>
      <c r="I281" s="138" t="str">
        <f aca="false">Scoring!BC287</f>
        <v/>
      </c>
    </row>
    <row r="282" customFormat="false" ht="15.75" hidden="false" customHeight="false" outlineLevel="0" collapsed="false">
      <c r="A282" s="136" t="str">
        <f aca="false">Scoring!BF288</f>
        <v/>
      </c>
      <c r="B282" s="136" t="str">
        <f aca="false">Scoring!BE288</f>
        <v/>
      </c>
      <c r="C282" s="136" t="n">
        <f aca="false">Scoring!C288</f>
        <v>0</v>
      </c>
      <c r="D282" s="137" t="str">
        <f aca="false">Scoring!BB288</f>
        <v/>
      </c>
      <c r="E282" s="136" t="str">
        <f aca="false">Scoring!AE288</f>
        <v/>
      </c>
      <c r="F282" s="136" t="n">
        <f aca="false">Scoring!B288</f>
        <v>0</v>
      </c>
      <c r="G282" s="136" t="n">
        <f aca="false">Scoring!D288</f>
        <v>0</v>
      </c>
      <c r="H282" s="136" t="str">
        <f aca="false">Scoring!BD288</f>
        <v/>
      </c>
      <c r="I282" s="138" t="str">
        <f aca="false">Scoring!BC288</f>
        <v/>
      </c>
    </row>
    <row r="283" customFormat="false" ht="15.75" hidden="false" customHeight="false" outlineLevel="0" collapsed="false">
      <c r="A283" s="136" t="str">
        <f aca="false">Scoring!BF289</f>
        <v/>
      </c>
      <c r="B283" s="136" t="str">
        <f aca="false">Scoring!BE289</f>
        <v/>
      </c>
      <c r="C283" s="136" t="n">
        <f aca="false">Scoring!C289</f>
        <v>0</v>
      </c>
      <c r="D283" s="137" t="str">
        <f aca="false">Scoring!BB289</f>
        <v/>
      </c>
      <c r="E283" s="136" t="str">
        <f aca="false">Scoring!AE289</f>
        <v/>
      </c>
      <c r="F283" s="136" t="n">
        <f aca="false">Scoring!B289</f>
        <v>0</v>
      </c>
      <c r="G283" s="136" t="n">
        <f aca="false">Scoring!D289</f>
        <v>0</v>
      </c>
      <c r="H283" s="136" t="str">
        <f aca="false">Scoring!BD289</f>
        <v/>
      </c>
      <c r="I283" s="138" t="str">
        <f aca="false">Scoring!BC289</f>
        <v/>
      </c>
    </row>
    <row r="284" customFormat="false" ht="15.75" hidden="false" customHeight="false" outlineLevel="0" collapsed="false">
      <c r="A284" s="136" t="str">
        <f aca="false">Scoring!BF290</f>
        <v/>
      </c>
      <c r="B284" s="136" t="str">
        <f aca="false">Scoring!BE290</f>
        <v/>
      </c>
      <c r="C284" s="136" t="n">
        <f aca="false">Scoring!C290</f>
        <v>0</v>
      </c>
      <c r="D284" s="137" t="str">
        <f aca="false">Scoring!BB290</f>
        <v/>
      </c>
      <c r="E284" s="136" t="str">
        <f aca="false">Scoring!AE290</f>
        <v/>
      </c>
      <c r="F284" s="136" t="n">
        <f aca="false">Scoring!B290</f>
        <v>0</v>
      </c>
      <c r="G284" s="136" t="n">
        <f aca="false">Scoring!D290</f>
        <v>0</v>
      </c>
      <c r="H284" s="136" t="str">
        <f aca="false">Scoring!BD290</f>
        <v/>
      </c>
      <c r="I284" s="138" t="str">
        <f aca="false">Scoring!BC290</f>
        <v/>
      </c>
    </row>
    <row r="285" customFormat="false" ht="15.75" hidden="false" customHeight="false" outlineLevel="0" collapsed="false">
      <c r="A285" s="136" t="str">
        <f aca="false">Scoring!BF291</f>
        <v/>
      </c>
      <c r="B285" s="136" t="str">
        <f aca="false">Scoring!BE291</f>
        <v/>
      </c>
      <c r="C285" s="136" t="n">
        <f aca="false">Scoring!C291</f>
        <v>0</v>
      </c>
      <c r="D285" s="137" t="str">
        <f aca="false">Scoring!BB291</f>
        <v/>
      </c>
      <c r="E285" s="136" t="str">
        <f aca="false">Scoring!AE291</f>
        <v/>
      </c>
      <c r="F285" s="136" t="n">
        <f aca="false">Scoring!B291</f>
        <v>0</v>
      </c>
      <c r="G285" s="136" t="n">
        <f aca="false">Scoring!D291</f>
        <v>0</v>
      </c>
      <c r="H285" s="136" t="str">
        <f aca="false">Scoring!BD291</f>
        <v/>
      </c>
      <c r="I285" s="138" t="str">
        <f aca="false">Scoring!BC291</f>
        <v/>
      </c>
    </row>
    <row r="286" customFormat="false" ht="15.75" hidden="false" customHeight="false" outlineLevel="0" collapsed="false">
      <c r="A286" s="136" t="str">
        <f aca="false">Scoring!BF292</f>
        <v/>
      </c>
      <c r="B286" s="136" t="str">
        <f aca="false">Scoring!BE292</f>
        <v/>
      </c>
      <c r="C286" s="136" t="n">
        <f aca="false">Scoring!C292</f>
        <v>0</v>
      </c>
      <c r="D286" s="137" t="str">
        <f aca="false">Scoring!BB292</f>
        <v/>
      </c>
      <c r="E286" s="136" t="str">
        <f aca="false">Scoring!AE292</f>
        <v/>
      </c>
      <c r="F286" s="136" t="n">
        <f aca="false">Scoring!B292</f>
        <v>0</v>
      </c>
      <c r="G286" s="136" t="n">
        <f aca="false">Scoring!D292</f>
        <v>0</v>
      </c>
      <c r="H286" s="136" t="str">
        <f aca="false">Scoring!BD292</f>
        <v/>
      </c>
      <c r="I286" s="138" t="str">
        <f aca="false">Scoring!BC292</f>
        <v/>
      </c>
    </row>
    <row r="287" customFormat="false" ht="15.75" hidden="false" customHeight="false" outlineLevel="0" collapsed="false">
      <c r="A287" s="136" t="str">
        <f aca="false">Scoring!BF293</f>
        <v/>
      </c>
      <c r="B287" s="136" t="str">
        <f aca="false">Scoring!BE293</f>
        <v/>
      </c>
      <c r="C287" s="136" t="n">
        <f aca="false">Scoring!C293</f>
        <v>0</v>
      </c>
      <c r="D287" s="137" t="str">
        <f aca="false">Scoring!BB293</f>
        <v/>
      </c>
      <c r="E287" s="136" t="str">
        <f aca="false">Scoring!AE293</f>
        <v/>
      </c>
      <c r="F287" s="136" t="n">
        <f aca="false">Scoring!B293</f>
        <v>0</v>
      </c>
      <c r="G287" s="136" t="n">
        <f aca="false">Scoring!D293</f>
        <v>0</v>
      </c>
      <c r="H287" s="136" t="str">
        <f aca="false">Scoring!BD293</f>
        <v/>
      </c>
      <c r="I287" s="138" t="str">
        <f aca="false">Scoring!BC293</f>
        <v/>
      </c>
    </row>
    <row r="288" customFormat="false" ht="15.75" hidden="false" customHeight="false" outlineLevel="0" collapsed="false">
      <c r="A288" s="136" t="str">
        <f aca="false">Scoring!BF294</f>
        <v/>
      </c>
      <c r="B288" s="136" t="str">
        <f aca="false">Scoring!BE294</f>
        <v/>
      </c>
      <c r="C288" s="136" t="n">
        <f aca="false">Scoring!C294</f>
        <v>0</v>
      </c>
      <c r="D288" s="137" t="str">
        <f aca="false">Scoring!BB294</f>
        <v/>
      </c>
      <c r="E288" s="136" t="str">
        <f aca="false">Scoring!AE294</f>
        <v/>
      </c>
      <c r="F288" s="136" t="n">
        <f aca="false">Scoring!B294</f>
        <v>0</v>
      </c>
      <c r="G288" s="136" t="n">
        <f aca="false">Scoring!D294</f>
        <v>0</v>
      </c>
      <c r="H288" s="136" t="str">
        <f aca="false">Scoring!BD294</f>
        <v/>
      </c>
      <c r="I288" s="138" t="str">
        <f aca="false">Scoring!BC294</f>
        <v/>
      </c>
    </row>
    <row r="289" customFormat="false" ht="15.75" hidden="false" customHeight="false" outlineLevel="0" collapsed="false">
      <c r="A289" s="136" t="str">
        <f aca="false">Scoring!BF295</f>
        <v/>
      </c>
      <c r="B289" s="136" t="str">
        <f aca="false">Scoring!BE295</f>
        <v/>
      </c>
      <c r="C289" s="136" t="n">
        <f aca="false">Scoring!C295</f>
        <v>0</v>
      </c>
      <c r="D289" s="137" t="str">
        <f aca="false">Scoring!BB295</f>
        <v/>
      </c>
      <c r="E289" s="136" t="str">
        <f aca="false">Scoring!AE295</f>
        <v/>
      </c>
      <c r="F289" s="136" t="n">
        <f aca="false">Scoring!B295</f>
        <v>0</v>
      </c>
      <c r="G289" s="136" t="n">
        <f aca="false">Scoring!D295</f>
        <v>0</v>
      </c>
      <c r="H289" s="136" t="str">
        <f aca="false">Scoring!BD295</f>
        <v/>
      </c>
      <c r="I289" s="138" t="str">
        <f aca="false">Scoring!BC295</f>
        <v/>
      </c>
    </row>
    <row r="290" customFormat="false" ht="15.75" hidden="false" customHeight="false" outlineLevel="0" collapsed="false">
      <c r="A290" s="136" t="str">
        <f aca="false">Scoring!BF296</f>
        <v/>
      </c>
      <c r="B290" s="136" t="str">
        <f aca="false">Scoring!BE296</f>
        <v/>
      </c>
      <c r="C290" s="136" t="n">
        <f aca="false">Scoring!C296</f>
        <v>0</v>
      </c>
      <c r="D290" s="137" t="str">
        <f aca="false">Scoring!BB296</f>
        <v/>
      </c>
      <c r="E290" s="136" t="str">
        <f aca="false">Scoring!AE296</f>
        <v/>
      </c>
      <c r="F290" s="136" t="n">
        <f aca="false">Scoring!B296</f>
        <v>0</v>
      </c>
      <c r="G290" s="136" t="n">
        <f aca="false">Scoring!D296</f>
        <v>0</v>
      </c>
      <c r="H290" s="136" t="str">
        <f aca="false">Scoring!BD296</f>
        <v/>
      </c>
      <c r="I290" s="138" t="str">
        <f aca="false">Scoring!BC296</f>
        <v/>
      </c>
    </row>
    <row r="291" customFormat="false" ht="15.75" hidden="false" customHeight="false" outlineLevel="0" collapsed="false">
      <c r="A291" s="136" t="str">
        <f aca="false">Scoring!BF297</f>
        <v/>
      </c>
      <c r="B291" s="136" t="str">
        <f aca="false">Scoring!BE297</f>
        <v/>
      </c>
      <c r="C291" s="136" t="n">
        <f aca="false">Scoring!C297</f>
        <v>0</v>
      </c>
      <c r="D291" s="137" t="str">
        <f aca="false">Scoring!BB297</f>
        <v/>
      </c>
      <c r="E291" s="136" t="str">
        <f aca="false">Scoring!AE297</f>
        <v/>
      </c>
      <c r="F291" s="136" t="n">
        <f aca="false">Scoring!B297</f>
        <v>0</v>
      </c>
      <c r="G291" s="136" t="n">
        <f aca="false">Scoring!D297</f>
        <v>0</v>
      </c>
      <c r="H291" s="136" t="str">
        <f aca="false">Scoring!BD297</f>
        <v/>
      </c>
      <c r="I291" s="138" t="str">
        <f aca="false">Scoring!BC297</f>
        <v/>
      </c>
    </row>
    <row r="292" customFormat="false" ht="15.75" hidden="false" customHeight="false" outlineLevel="0" collapsed="false">
      <c r="A292" s="136" t="str">
        <f aca="false">Scoring!BF298</f>
        <v/>
      </c>
      <c r="B292" s="136" t="str">
        <f aca="false">Scoring!BE298</f>
        <v/>
      </c>
      <c r="C292" s="136" t="n">
        <f aca="false">Scoring!C298</f>
        <v>0</v>
      </c>
      <c r="D292" s="137" t="str">
        <f aca="false">Scoring!BB298</f>
        <v/>
      </c>
      <c r="E292" s="136" t="str">
        <f aca="false">Scoring!AE298</f>
        <v/>
      </c>
      <c r="F292" s="136" t="n">
        <f aca="false">Scoring!B298</f>
        <v>0</v>
      </c>
      <c r="G292" s="136" t="n">
        <f aca="false">Scoring!D298</f>
        <v>0</v>
      </c>
      <c r="H292" s="136" t="str">
        <f aca="false">Scoring!BD298</f>
        <v/>
      </c>
      <c r="I292" s="138" t="str">
        <f aca="false">Scoring!BC298</f>
        <v/>
      </c>
    </row>
    <row r="293" customFormat="false" ht="15.75" hidden="false" customHeight="false" outlineLevel="0" collapsed="false">
      <c r="A293" s="136" t="str">
        <f aca="false">Scoring!BF299</f>
        <v/>
      </c>
      <c r="B293" s="136" t="str">
        <f aca="false">Scoring!BE299</f>
        <v/>
      </c>
      <c r="C293" s="136" t="n">
        <f aca="false">Scoring!C299</f>
        <v>0</v>
      </c>
      <c r="D293" s="137" t="str">
        <f aca="false">Scoring!BB299</f>
        <v/>
      </c>
      <c r="E293" s="136" t="str">
        <f aca="false">Scoring!AE299</f>
        <v/>
      </c>
      <c r="F293" s="136" t="n">
        <f aca="false">Scoring!B299</f>
        <v>0</v>
      </c>
      <c r="G293" s="136" t="n">
        <f aca="false">Scoring!D299</f>
        <v>0</v>
      </c>
      <c r="H293" s="136" t="str">
        <f aca="false">Scoring!BD299</f>
        <v/>
      </c>
      <c r="I293" s="138" t="str">
        <f aca="false">Scoring!BC299</f>
        <v/>
      </c>
    </row>
    <row r="294" customFormat="false" ht="15.75" hidden="false" customHeight="false" outlineLevel="0" collapsed="false">
      <c r="A294" s="136" t="str">
        <f aca="false">Scoring!BF300</f>
        <v/>
      </c>
      <c r="B294" s="136" t="str">
        <f aca="false">Scoring!BE300</f>
        <v/>
      </c>
      <c r="C294" s="136" t="n">
        <f aca="false">Scoring!C300</f>
        <v>0</v>
      </c>
      <c r="D294" s="137" t="str">
        <f aca="false">Scoring!BB300</f>
        <v/>
      </c>
      <c r="E294" s="136" t="str">
        <f aca="false">Scoring!AE300</f>
        <v/>
      </c>
      <c r="F294" s="136" t="n">
        <f aca="false">Scoring!B300</f>
        <v>0</v>
      </c>
      <c r="G294" s="136" t="n">
        <f aca="false">Scoring!D300</f>
        <v>0</v>
      </c>
      <c r="H294" s="136" t="str">
        <f aca="false">Scoring!BD300</f>
        <v/>
      </c>
      <c r="I294" s="138" t="str">
        <f aca="false">Scoring!BC300</f>
        <v/>
      </c>
    </row>
    <row r="295" customFormat="false" ht="15.75" hidden="false" customHeight="false" outlineLevel="0" collapsed="false">
      <c r="A295" s="136" t="str">
        <f aca="false">Scoring!BF301</f>
        <v/>
      </c>
      <c r="B295" s="136" t="str">
        <f aca="false">Scoring!BE301</f>
        <v/>
      </c>
      <c r="C295" s="136" t="n">
        <f aca="false">Scoring!C301</f>
        <v>0</v>
      </c>
      <c r="D295" s="137" t="str">
        <f aca="false">Scoring!BB301</f>
        <v/>
      </c>
      <c r="E295" s="136" t="str">
        <f aca="false">Scoring!AE301</f>
        <v/>
      </c>
      <c r="F295" s="136" t="n">
        <f aca="false">Scoring!B301</f>
        <v>0</v>
      </c>
      <c r="G295" s="136" t="n">
        <f aca="false">Scoring!D301</f>
        <v>0</v>
      </c>
      <c r="H295" s="136" t="str">
        <f aca="false">Scoring!BD301</f>
        <v/>
      </c>
      <c r="I295" s="138" t="str">
        <f aca="false">Scoring!BC301</f>
        <v/>
      </c>
    </row>
    <row r="296" customFormat="false" ht="15.75" hidden="false" customHeight="false" outlineLevel="0" collapsed="false">
      <c r="A296" s="136" t="str">
        <f aca="false">Scoring!BF302</f>
        <v/>
      </c>
      <c r="B296" s="136" t="str">
        <f aca="false">Scoring!BE302</f>
        <v/>
      </c>
      <c r="C296" s="136" t="n">
        <f aca="false">Scoring!C302</f>
        <v>0</v>
      </c>
      <c r="D296" s="137" t="str">
        <f aca="false">Scoring!BB302</f>
        <v/>
      </c>
      <c r="E296" s="136" t="str">
        <f aca="false">Scoring!AE302</f>
        <v/>
      </c>
      <c r="F296" s="136" t="n">
        <f aca="false">Scoring!B302</f>
        <v>0</v>
      </c>
      <c r="G296" s="136" t="n">
        <f aca="false">Scoring!D302</f>
        <v>0</v>
      </c>
      <c r="H296" s="136" t="str">
        <f aca="false">Scoring!BD302</f>
        <v/>
      </c>
      <c r="I296" s="138" t="str">
        <f aca="false">Scoring!BC302</f>
        <v/>
      </c>
    </row>
    <row r="297" customFormat="false" ht="15.75" hidden="false" customHeight="false" outlineLevel="0" collapsed="false">
      <c r="A297" s="136" t="str">
        <f aca="false">Scoring!BF303</f>
        <v/>
      </c>
      <c r="B297" s="136" t="str">
        <f aca="false">Scoring!BE303</f>
        <v/>
      </c>
      <c r="C297" s="136" t="n">
        <f aca="false">Scoring!C303</f>
        <v>0</v>
      </c>
      <c r="D297" s="137" t="str">
        <f aca="false">Scoring!BB303</f>
        <v/>
      </c>
      <c r="E297" s="136" t="str">
        <f aca="false">Scoring!AE303</f>
        <v/>
      </c>
      <c r="F297" s="136" t="n">
        <f aca="false">Scoring!B303</f>
        <v>0</v>
      </c>
      <c r="G297" s="136" t="n">
        <f aca="false">Scoring!D303</f>
        <v>0</v>
      </c>
      <c r="H297" s="136" t="str">
        <f aca="false">Scoring!BD303</f>
        <v/>
      </c>
      <c r="I297" s="138" t="str">
        <f aca="false">Scoring!BC303</f>
        <v/>
      </c>
    </row>
    <row r="298" customFormat="false" ht="15.75" hidden="false" customHeight="false" outlineLevel="0" collapsed="false">
      <c r="A298" s="136" t="str">
        <f aca="false">Scoring!BF304</f>
        <v/>
      </c>
      <c r="B298" s="136" t="str">
        <f aca="false">Scoring!BE304</f>
        <v/>
      </c>
      <c r="C298" s="136" t="n">
        <f aca="false">Scoring!C304</f>
        <v>0</v>
      </c>
      <c r="D298" s="137" t="str">
        <f aca="false">Scoring!BB304</f>
        <v/>
      </c>
      <c r="E298" s="136" t="str">
        <f aca="false">Scoring!AE304</f>
        <v/>
      </c>
      <c r="F298" s="136" t="n">
        <f aca="false">Scoring!B304</f>
        <v>0</v>
      </c>
      <c r="G298" s="136" t="n">
        <f aca="false">Scoring!D304</f>
        <v>0</v>
      </c>
      <c r="H298" s="136" t="str">
        <f aca="false">Scoring!BD304</f>
        <v/>
      </c>
      <c r="I298" s="138" t="str">
        <f aca="false">Scoring!BC304</f>
        <v/>
      </c>
    </row>
    <row r="299" customFormat="false" ht="15.75" hidden="false" customHeight="false" outlineLevel="0" collapsed="false">
      <c r="A299" s="136" t="str">
        <f aca="false">Scoring!BF305</f>
        <v/>
      </c>
      <c r="B299" s="136" t="str">
        <f aca="false">Scoring!BE305</f>
        <v/>
      </c>
      <c r="C299" s="136" t="n">
        <f aca="false">Scoring!C305</f>
        <v>0</v>
      </c>
      <c r="D299" s="137" t="str">
        <f aca="false">Scoring!BB305</f>
        <v/>
      </c>
      <c r="E299" s="136" t="str">
        <f aca="false">Scoring!AE305</f>
        <v/>
      </c>
      <c r="F299" s="136" t="n">
        <f aca="false">Scoring!B305</f>
        <v>0</v>
      </c>
      <c r="G299" s="136" t="n">
        <f aca="false">Scoring!D305</f>
        <v>0</v>
      </c>
      <c r="H299" s="136" t="str">
        <f aca="false">Scoring!BD305</f>
        <v/>
      </c>
      <c r="I299" s="138" t="str">
        <f aca="false">Scoring!BC305</f>
        <v/>
      </c>
    </row>
    <row r="300" customFormat="false" ht="15.75" hidden="false" customHeight="false" outlineLevel="0" collapsed="false">
      <c r="A300" s="136" t="str">
        <f aca="false">Scoring!BF306</f>
        <v/>
      </c>
      <c r="B300" s="136" t="str">
        <f aca="false">Scoring!BE306</f>
        <v/>
      </c>
      <c r="C300" s="136" t="n">
        <f aca="false">Scoring!C306</f>
        <v>0</v>
      </c>
      <c r="D300" s="137" t="str">
        <f aca="false">Scoring!BB306</f>
        <v/>
      </c>
      <c r="E300" s="136" t="str">
        <f aca="false">Scoring!AE306</f>
        <v/>
      </c>
      <c r="F300" s="136" t="n">
        <f aca="false">Scoring!B306</f>
        <v>0</v>
      </c>
      <c r="G300" s="136" t="n">
        <f aca="false">Scoring!D306</f>
        <v>0</v>
      </c>
      <c r="H300" s="136" t="str">
        <f aca="false">Scoring!BD306</f>
        <v/>
      </c>
      <c r="I300" s="138" t="str">
        <f aca="false">Scoring!BC306</f>
        <v/>
      </c>
    </row>
    <row r="301" customFormat="false" ht="15.75" hidden="false" customHeight="false" outlineLevel="0" collapsed="false">
      <c r="A301" s="136" t="str">
        <f aca="false">Scoring!BF307</f>
        <v/>
      </c>
      <c r="B301" s="136" t="str">
        <f aca="false">Scoring!BE307</f>
        <v/>
      </c>
      <c r="C301" s="136" t="n">
        <f aca="false">Scoring!C307</f>
        <v>0</v>
      </c>
      <c r="D301" s="137" t="str">
        <f aca="false">Scoring!BB307</f>
        <v/>
      </c>
      <c r="E301" s="136" t="str">
        <f aca="false">Scoring!AE307</f>
        <v/>
      </c>
      <c r="F301" s="136" t="n">
        <f aca="false">Scoring!B307</f>
        <v>0</v>
      </c>
      <c r="G301" s="136" t="n">
        <f aca="false">Scoring!D307</f>
        <v>0</v>
      </c>
      <c r="H301" s="136" t="str">
        <f aca="false">Scoring!BD307</f>
        <v/>
      </c>
      <c r="I301" s="138" t="str">
        <f aca="false">Scoring!BC307</f>
        <v/>
      </c>
    </row>
    <row r="302" customFormat="false" ht="15.75" hidden="false" customHeight="false" outlineLevel="0" collapsed="false">
      <c r="A302" s="136" t="str">
        <f aca="false">Scoring!BF308</f>
        <v/>
      </c>
      <c r="B302" s="136" t="str">
        <f aca="false">Scoring!BE308</f>
        <v/>
      </c>
      <c r="C302" s="136" t="n">
        <f aca="false">Scoring!C308</f>
        <v>0</v>
      </c>
      <c r="D302" s="137" t="str">
        <f aca="false">Scoring!BB308</f>
        <v/>
      </c>
      <c r="E302" s="136" t="str">
        <f aca="false">Scoring!AE308</f>
        <v/>
      </c>
      <c r="F302" s="136" t="n">
        <f aca="false">Scoring!B308</f>
        <v>0</v>
      </c>
      <c r="G302" s="136" t="n">
        <f aca="false">Scoring!D308</f>
        <v>0</v>
      </c>
      <c r="H302" s="136" t="str">
        <f aca="false">Scoring!BD308</f>
        <v/>
      </c>
      <c r="I302" s="138" t="str">
        <f aca="false">Scoring!BC308</f>
        <v/>
      </c>
    </row>
    <row r="303" customFormat="false" ht="15.75" hidden="false" customHeight="false" outlineLevel="0" collapsed="false">
      <c r="A303" s="136" t="str">
        <f aca="false">Scoring!BF309</f>
        <v/>
      </c>
      <c r="B303" s="136" t="str">
        <f aca="false">Scoring!BE309</f>
        <v/>
      </c>
      <c r="C303" s="136" t="n">
        <f aca="false">Scoring!C309</f>
        <v>0</v>
      </c>
      <c r="D303" s="137" t="str">
        <f aca="false">Scoring!BB309</f>
        <v/>
      </c>
      <c r="E303" s="136" t="str">
        <f aca="false">Scoring!AE309</f>
        <v/>
      </c>
      <c r="F303" s="136" t="n">
        <f aca="false">Scoring!B309</f>
        <v>0</v>
      </c>
      <c r="G303" s="136" t="n">
        <f aca="false">Scoring!D309</f>
        <v>0</v>
      </c>
      <c r="H303" s="136" t="str">
        <f aca="false">Scoring!BD309</f>
        <v/>
      </c>
      <c r="I303" s="138" t="str">
        <f aca="false">Scoring!BC309</f>
        <v/>
      </c>
    </row>
    <row r="304" customFormat="false" ht="15.75" hidden="false" customHeight="false" outlineLevel="0" collapsed="false">
      <c r="A304" s="136" t="str">
        <f aca="false">Scoring!BF310</f>
        <v/>
      </c>
      <c r="B304" s="136" t="str">
        <f aca="false">Scoring!BE310</f>
        <v/>
      </c>
      <c r="C304" s="136" t="n">
        <f aca="false">Scoring!C310</f>
        <v>0</v>
      </c>
      <c r="D304" s="137" t="str">
        <f aca="false">Scoring!BB310</f>
        <v/>
      </c>
      <c r="E304" s="136" t="str">
        <f aca="false">Scoring!AE310</f>
        <v/>
      </c>
      <c r="F304" s="136" t="n">
        <f aca="false">Scoring!B310</f>
        <v>0</v>
      </c>
      <c r="G304" s="136" t="n">
        <f aca="false">Scoring!D310</f>
        <v>0</v>
      </c>
      <c r="H304" s="136" t="str">
        <f aca="false">Scoring!BD310</f>
        <v/>
      </c>
      <c r="I304" s="138" t="str">
        <f aca="false">Scoring!BC310</f>
        <v/>
      </c>
    </row>
    <row r="305" customFormat="false" ht="15.75" hidden="false" customHeight="false" outlineLevel="0" collapsed="false">
      <c r="A305" s="136" t="str">
        <f aca="false">Scoring!BF311</f>
        <v/>
      </c>
      <c r="B305" s="136" t="str">
        <f aca="false">Scoring!BE311</f>
        <v/>
      </c>
      <c r="C305" s="136" t="n">
        <f aca="false">Scoring!C311</f>
        <v>0</v>
      </c>
      <c r="D305" s="137" t="str">
        <f aca="false">Scoring!BB311</f>
        <v/>
      </c>
      <c r="E305" s="136" t="str">
        <f aca="false">Scoring!AE311</f>
        <v/>
      </c>
      <c r="F305" s="136" t="n">
        <f aca="false">Scoring!B311</f>
        <v>0</v>
      </c>
      <c r="G305" s="136" t="n">
        <f aca="false">Scoring!D311</f>
        <v>0</v>
      </c>
      <c r="H305" s="136" t="str">
        <f aca="false">Scoring!BD311</f>
        <v/>
      </c>
      <c r="I305" s="138" t="str">
        <f aca="false">Scoring!BC311</f>
        <v/>
      </c>
    </row>
    <row r="306" customFormat="false" ht="15.75" hidden="false" customHeight="false" outlineLevel="0" collapsed="false">
      <c r="A306" s="136" t="str">
        <f aca="false">Scoring!BF312</f>
        <v/>
      </c>
      <c r="B306" s="136" t="str">
        <f aca="false">Scoring!BE312</f>
        <v/>
      </c>
      <c r="C306" s="136" t="n">
        <f aca="false">Scoring!C312</f>
        <v>0</v>
      </c>
      <c r="D306" s="137" t="str">
        <f aca="false">Scoring!BB312</f>
        <v/>
      </c>
      <c r="E306" s="136" t="str">
        <f aca="false">Scoring!AE312</f>
        <v/>
      </c>
      <c r="F306" s="136" t="n">
        <f aca="false">Scoring!B312</f>
        <v>0</v>
      </c>
      <c r="G306" s="136" t="n">
        <f aca="false">Scoring!D312</f>
        <v>0</v>
      </c>
      <c r="H306" s="136" t="str">
        <f aca="false">Scoring!BD312</f>
        <v/>
      </c>
      <c r="I306" s="138" t="str">
        <f aca="false">Scoring!BC312</f>
        <v/>
      </c>
    </row>
    <row r="307" customFormat="false" ht="15.75" hidden="false" customHeight="false" outlineLevel="0" collapsed="false">
      <c r="A307" s="136" t="str">
        <f aca="false">Scoring!BF313</f>
        <v/>
      </c>
      <c r="B307" s="136" t="str">
        <f aca="false">Scoring!BE313</f>
        <v/>
      </c>
      <c r="C307" s="136" t="n">
        <f aca="false">Scoring!C313</f>
        <v>0</v>
      </c>
      <c r="D307" s="137" t="str">
        <f aca="false">Scoring!BB313</f>
        <v/>
      </c>
      <c r="E307" s="136" t="str">
        <f aca="false">Scoring!AE313</f>
        <v/>
      </c>
      <c r="F307" s="136" t="n">
        <f aca="false">Scoring!B313</f>
        <v>0</v>
      </c>
      <c r="G307" s="136" t="n">
        <f aca="false">Scoring!D313</f>
        <v>0</v>
      </c>
      <c r="H307" s="136" t="str">
        <f aca="false">Scoring!BD313</f>
        <v/>
      </c>
      <c r="I307" s="138" t="str">
        <f aca="false">Scoring!BC313</f>
        <v/>
      </c>
    </row>
    <row r="308" customFormat="false" ht="15.75" hidden="false" customHeight="false" outlineLevel="0" collapsed="false">
      <c r="A308" s="136" t="str">
        <f aca="false">Scoring!BF314</f>
        <v/>
      </c>
      <c r="B308" s="136" t="str">
        <f aca="false">Scoring!BE314</f>
        <v/>
      </c>
      <c r="C308" s="136" t="n">
        <f aca="false">Scoring!C314</f>
        <v>0</v>
      </c>
      <c r="D308" s="137" t="str">
        <f aca="false">Scoring!BB314</f>
        <v/>
      </c>
      <c r="E308" s="136" t="str">
        <f aca="false">Scoring!AE314</f>
        <v/>
      </c>
      <c r="F308" s="136" t="n">
        <f aca="false">Scoring!B314</f>
        <v>0</v>
      </c>
      <c r="G308" s="136" t="n">
        <f aca="false">Scoring!D314</f>
        <v>0</v>
      </c>
      <c r="H308" s="136" t="str">
        <f aca="false">Scoring!BD314</f>
        <v/>
      </c>
      <c r="I308" s="138" t="str">
        <f aca="false">Scoring!BC314</f>
        <v/>
      </c>
    </row>
    <row r="309" customFormat="false" ht="15.75" hidden="false" customHeight="false" outlineLevel="0" collapsed="false">
      <c r="A309" s="136" t="str">
        <f aca="false">Scoring!BF315</f>
        <v/>
      </c>
      <c r="B309" s="136" t="str">
        <f aca="false">Scoring!BE315</f>
        <v/>
      </c>
      <c r="C309" s="136" t="n">
        <f aca="false">Scoring!C315</f>
        <v>0</v>
      </c>
      <c r="D309" s="137" t="str">
        <f aca="false">Scoring!BB315</f>
        <v/>
      </c>
      <c r="E309" s="136" t="str">
        <f aca="false">Scoring!AE315</f>
        <v/>
      </c>
      <c r="F309" s="136" t="n">
        <f aca="false">Scoring!B315</f>
        <v>0</v>
      </c>
      <c r="G309" s="136" t="n">
        <f aca="false">Scoring!D315</f>
        <v>0</v>
      </c>
      <c r="H309" s="136" t="str">
        <f aca="false">Scoring!BD315</f>
        <v/>
      </c>
      <c r="I309" s="138" t="str">
        <f aca="false">Scoring!BC315</f>
        <v/>
      </c>
    </row>
    <row r="310" customFormat="false" ht="15.75" hidden="false" customHeight="false" outlineLevel="0" collapsed="false">
      <c r="A310" s="136" t="str">
        <f aca="false">Scoring!BF316</f>
        <v/>
      </c>
      <c r="B310" s="136" t="str">
        <f aca="false">Scoring!BE316</f>
        <v/>
      </c>
      <c r="C310" s="136" t="n">
        <f aca="false">Scoring!C316</f>
        <v>0</v>
      </c>
      <c r="D310" s="137" t="str">
        <f aca="false">Scoring!BB316</f>
        <v/>
      </c>
      <c r="E310" s="136" t="str">
        <f aca="false">Scoring!AE316</f>
        <v/>
      </c>
      <c r="F310" s="136" t="n">
        <f aca="false">Scoring!B316</f>
        <v>0</v>
      </c>
      <c r="G310" s="136" t="n">
        <f aca="false">Scoring!D316</f>
        <v>0</v>
      </c>
      <c r="H310" s="136" t="str">
        <f aca="false">Scoring!BD316</f>
        <v/>
      </c>
      <c r="I310" s="138" t="str">
        <f aca="false">Scoring!BC316</f>
        <v/>
      </c>
    </row>
    <row r="311" customFormat="false" ht="15.75" hidden="false" customHeight="false" outlineLevel="0" collapsed="false">
      <c r="A311" s="136" t="str">
        <f aca="false">Scoring!BF317</f>
        <v/>
      </c>
      <c r="B311" s="136" t="str">
        <f aca="false">Scoring!BE317</f>
        <v/>
      </c>
      <c r="C311" s="136" t="n">
        <f aca="false">Scoring!C317</f>
        <v>0</v>
      </c>
      <c r="D311" s="137" t="str">
        <f aca="false">Scoring!BB317</f>
        <v/>
      </c>
      <c r="E311" s="136" t="str">
        <f aca="false">Scoring!AE317</f>
        <v/>
      </c>
      <c r="F311" s="136" t="n">
        <f aca="false">Scoring!B317</f>
        <v>0</v>
      </c>
      <c r="G311" s="136" t="n">
        <f aca="false">Scoring!D317</f>
        <v>0</v>
      </c>
      <c r="H311" s="136" t="str">
        <f aca="false">Scoring!BD317</f>
        <v/>
      </c>
      <c r="I311" s="138" t="str">
        <f aca="false">Scoring!BC317</f>
        <v/>
      </c>
    </row>
    <row r="312" customFormat="false" ht="15.75" hidden="false" customHeight="false" outlineLevel="0" collapsed="false">
      <c r="A312" s="136" t="str">
        <f aca="false">Scoring!BF318</f>
        <v/>
      </c>
      <c r="B312" s="136" t="str">
        <f aca="false">Scoring!BE318</f>
        <v/>
      </c>
      <c r="C312" s="136" t="n">
        <f aca="false">Scoring!C318</f>
        <v>0</v>
      </c>
      <c r="D312" s="137" t="str">
        <f aca="false">Scoring!BB318</f>
        <v/>
      </c>
      <c r="E312" s="136" t="str">
        <f aca="false">Scoring!AE318</f>
        <v/>
      </c>
      <c r="F312" s="136" t="n">
        <f aca="false">Scoring!B318</f>
        <v>0</v>
      </c>
      <c r="G312" s="136" t="n">
        <f aca="false">Scoring!D318</f>
        <v>0</v>
      </c>
      <c r="H312" s="136" t="str">
        <f aca="false">Scoring!BD318</f>
        <v/>
      </c>
      <c r="I312" s="138" t="str">
        <f aca="false">Scoring!BC318</f>
        <v/>
      </c>
    </row>
    <row r="313" customFormat="false" ht="15.75" hidden="false" customHeight="false" outlineLevel="0" collapsed="false">
      <c r="A313" s="136" t="str">
        <f aca="false">Scoring!BF319</f>
        <v/>
      </c>
      <c r="B313" s="136" t="str">
        <f aca="false">Scoring!BE319</f>
        <v/>
      </c>
      <c r="C313" s="136" t="n">
        <f aca="false">Scoring!C319</f>
        <v>0</v>
      </c>
      <c r="D313" s="137" t="str">
        <f aca="false">Scoring!BB319</f>
        <v/>
      </c>
      <c r="E313" s="136" t="str">
        <f aca="false">Scoring!AE319</f>
        <v/>
      </c>
      <c r="F313" s="136" t="n">
        <f aca="false">Scoring!B319</f>
        <v>0</v>
      </c>
      <c r="G313" s="136" t="n">
        <f aca="false">Scoring!D319</f>
        <v>0</v>
      </c>
      <c r="H313" s="136" t="str">
        <f aca="false">Scoring!BD319</f>
        <v/>
      </c>
      <c r="I313" s="138" t="str">
        <f aca="false">Scoring!BC319</f>
        <v/>
      </c>
    </row>
    <row r="314" customFormat="false" ht="15.75" hidden="false" customHeight="false" outlineLevel="0" collapsed="false">
      <c r="A314" s="136" t="str">
        <f aca="false">Scoring!BF320</f>
        <v/>
      </c>
      <c r="B314" s="136" t="str">
        <f aca="false">Scoring!BE320</f>
        <v/>
      </c>
      <c r="C314" s="136" t="n">
        <f aca="false">Scoring!C320</f>
        <v>0</v>
      </c>
      <c r="D314" s="137" t="str">
        <f aca="false">Scoring!BB320</f>
        <v/>
      </c>
      <c r="E314" s="136" t="str">
        <f aca="false">Scoring!AE320</f>
        <v/>
      </c>
      <c r="F314" s="136" t="n">
        <f aca="false">Scoring!B320</f>
        <v>0</v>
      </c>
      <c r="G314" s="136" t="n">
        <f aca="false">Scoring!D320</f>
        <v>0</v>
      </c>
      <c r="H314" s="136" t="str">
        <f aca="false">Scoring!BD320</f>
        <v/>
      </c>
      <c r="I314" s="138" t="str">
        <f aca="false">Scoring!BC320</f>
        <v/>
      </c>
    </row>
    <row r="315" customFormat="false" ht="15.75" hidden="false" customHeight="false" outlineLevel="0" collapsed="false">
      <c r="A315" s="136" t="str">
        <f aca="false">Scoring!BF321</f>
        <v/>
      </c>
      <c r="B315" s="136" t="str">
        <f aca="false">Scoring!BE321</f>
        <v/>
      </c>
      <c r="C315" s="136" t="n">
        <f aca="false">Scoring!C321</f>
        <v>0</v>
      </c>
      <c r="D315" s="137" t="str">
        <f aca="false">Scoring!BB321</f>
        <v/>
      </c>
      <c r="E315" s="136" t="str">
        <f aca="false">Scoring!AE321</f>
        <v/>
      </c>
      <c r="F315" s="136" t="n">
        <f aca="false">Scoring!B321</f>
        <v>0</v>
      </c>
      <c r="G315" s="136" t="n">
        <f aca="false">Scoring!D321</f>
        <v>0</v>
      </c>
      <c r="H315" s="136" t="str">
        <f aca="false">Scoring!BD321</f>
        <v/>
      </c>
      <c r="I315" s="138" t="str">
        <f aca="false">Scoring!BC321</f>
        <v/>
      </c>
    </row>
    <row r="316" customFormat="false" ht="15.75" hidden="false" customHeight="false" outlineLevel="0" collapsed="false">
      <c r="A316" s="136" t="str">
        <f aca="false">Scoring!BF322</f>
        <v/>
      </c>
      <c r="B316" s="136" t="str">
        <f aca="false">Scoring!BE322</f>
        <v/>
      </c>
      <c r="C316" s="136" t="n">
        <f aca="false">Scoring!C322</f>
        <v>0</v>
      </c>
      <c r="D316" s="137" t="str">
        <f aca="false">Scoring!BB322</f>
        <v/>
      </c>
      <c r="E316" s="136" t="str">
        <f aca="false">Scoring!AE322</f>
        <v/>
      </c>
      <c r="F316" s="136" t="n">
        <f aca="false">Scoring!B322</f>
        <v>0</v>
      </c>
      <c r="G316" s="136" t="n">
        <f aca="false">Scoring!D322</f>
        <v>0</v>
      </c>
      <c r="H316" s="136" t="str">
        <f aca="false">Scoring!BD322</f>
        <v/>
      </c>
      <c r="I316" s="138" t="str">
        <f aca="false">Scoring!BC322</f>
        <v/>
      </c>
    </row>
    <row r="317" customFormat="false" ht="15.75" hidden="false" customHeight="false" outlineLevel="0" collapsed="false">
      <c r="A317" s="136" t="str">
        <f aca="false">Scoring!BF323</f>
        <v/>
      </c>
      <c r="B317" s="136" t="str">
        <f aca="false">Scoring!BE323</f>
        <v/>
      </c>
      <c r="C317" s="136" t="n">
        <f aca="false">Scoring!C323</f>
        <v>0</v>
      </c>
      <c r="D317" s="137" t="str">
        <f aca="false">Scoring!BB323</f>
        <v/>
      </c>
      <c r="E317" s="136" t="str">
        <f aca="false">Scoring!AE323</f>
        <v/>
      </c>
      <c r="F317" s="136" t="n">
        <f aca="false">Scoring!B323</f>
        <v>0</v>
      </c>
      <c r="G317" s="136" t="n">
        <f aca="false">Scoring!D323</f>
        <v>0</v>
      </c>
      <c r="H317" s="136" t="str">
        <f aca="false">Scoring!BD323</f>
        <v/>
      </c>
      <c r="I317" s="138" t="str">
        <f aca="false">Scoring!BC323</f>
        <v/>
      </c>
    </row>
    <row r="318" customFormat="false" ht="15.75" hidden="false" customHeight="false" outlineLevel="0" collapsed="false">
      <c r="A318" s="136" t="str">
        <f aca="false">Scoring!BF324</f>
        <v/>
      </c>
      <c r="B318" s="136" t="str">
        <f aca="false">Scoring!BE324</f>
        <v/>
      </c>
      <c r="C318" s="136" t="n">
        <f aca="false">Scoring!C324</f>
        <v>0</v>
      </c>
      <c r="D318" s="137" t="str">
        <f aca="false">Scoring!BB324</f>
        <v/>
      </c>
      <c r="E318" s="136" t="str">
        <f aca="false">Scoring!AE324</f>
        <v/>
      </c>
      <c r="F318" s="136" t="n">
        <f aca="false">Scoring!B324</f>
        <v>0</v>
      </c>
      <c r="G318" s="136" t="n">
        <f aca="false">Scoring!D324</f>
        <v>0</v>
      </c>
      <c r="H318" s="136" t="str">
        <f aca="false">Scoring!BD324</f>
        <v/>
      </c>
      <c r="I318" s="138" t="str">
        <f aca="false">Scoring!BC324</f>
        <v/>
      </c>
    </row>
    <row r="319" customFormat="false" ht="15.75" hidden="false" customHeight="false" outlineLevel="0" collapsed="false">
      <c r="A319" s="136" t="str">
        <f aca="false">Scoring!BF325</f>
        <v/>
      </c>
      <c r="B319" s="136" t="str">
        <f aca="false">Scoring!BE325</f>
        <v/>
      </c>
      <c r="C319" s="136" t="n">
        <f aca="false">Scoring!C325</f>
        <v>0</v>
      </c>
      <c r="D319" s="137" t="str">
        <f aca="false">Scoring!BB325</f>
        <v/>
      </c>
      <c r="E319" s="136" t="str">
        <f aca="false">Scoring!AE325</f>
        <v/>
      </c>
      <c r="F319" s="136" t="n">
        <f aca="false">Scoring!B325</f>
        <v>0</v>
      </c>
      <c r="G319" s="136" t="n">
        <f aca="false">Scoring!D325</f>
        <v>0</v>
      </c>
      <c r="H319" s="136" t="str">
        <f aca="false">Scoring!BD325</f>
        <v/>
      </c>
      <c r="I319" s="138" t="str">
        <f aca="false">Scoring!BC325</f>
        <v/>
      </c>
    </row>
    <row r="320" customFormat="false" ht="15.75" hidden="false" customHeight="false" outlineLevel="0" collapsed="false">
      <c r="A320" s="136" t="str">
        <f aca="false">Scoring!BF326</f>
        <v/>
      </c>
      <c r="B320" s="136" t="str">
        <f aca="false">Scoring!BE326</f>
        <v/>
      </c>
      <c r="C320" s="136" t="n">
        <f aca="false">Scoring!C326</f>
        <v>0</v>
      </c>
      <c r="D320" s="137" t="str">
        <f aca="false">Scoring!BB326</f>
        <v/>
      </c>
      <c r="E320" s="136" t="str">
        <f aca="false">Scoring!AE326</f>
        <v/>
      </c>
      <c r="F320" s="136" t="n">
        <f aca="false">Scoring!B326</f>
        <v>0</v>
      </c>
      <c r="G320" s="136" t="n">
        <f aca="false">Scoring!D326</f>
        <v>0</v>
      </c>
      <c r="H320" s="136" t="str">
        <f aca="false">Scoring!BD326</f>
        <v/>
      </c>
      <c r="I320" s="138" t="str">
        <f aca="false">Scoring!BC326</f>
        <v/>
      </c>
    </row>
    <row r="321" customFormat="false" ht="15.75" hidden="false" customHeight="false" outlineLevel="0" collapsed="false">
      <c r="A321" s="136" t="str">
        <f aca="false">Scoring!BF327</f>
        <v/>
      </c>
      <c r="B321" s="136" t="str">
        <f aca="false">Scoring!BE327</f>
        <v/>
      </c>
      <c r="C321" s="136" t="n">
        <f aca="false">Scoring!C327</f>
        <v>0</v>
      </c>
      <c r="D321" s="137" t="str">
        <f aca="false">Scoring!BB327</f>
        <v/>
      </c>
      <c r="E321" s="136" t="str">
        <f aca="false">Scoring!AE327</f>
        <v/>
      </c>
      <c r="F321" s="136" t="n">
        <f aca="false">Scoring!B327</f>
        <v>0</v>
      </c>
      <c r="G321" s="136" t="n">
        <f aca="false">Scoring!D327</f>
        <v>0</v>
      </c>
      <c r="H321" s="136" t="str">
        <f aca="false">Scoring!BD327</f>
        <v/>
      </c>
      <c r="I321" s="138" t="str">
        <f aca="false">Scoring!BC327</f>
        <v/>
      </c>
    </row>
    <row r="322" customFormat="false" ht="15.75" hidden="false" customHeight="false" outlineLevel="0" collapsed="false">
      <c r="A322" s="136" t="str">
        <f aca="false">Scoring!BF328</f>
        <v/>
      </c>
      <c r="B322" s="136" t="str">
        <f aca="false">Scoring!BE328</f>
        <v/>
      </c>
      <c r="C322" s="136" t="n">
        <f aca="false">Scoring!C328</f>
        <v>0</v>
      </c>
      <c r="D322" s="137" t="str">
        <f aca="false">Scoring!BB328</f>
        <v/>
      </c>
      <c r="E322" s="136" t="str">
        <f aca="false">Scoring!AE328</f>
        <v/>
      </c>
      <c r="F322" s="136" t="n">
        <f aca="false">Scoring!B328</f>
        <v>0</v>
      </c>
      <c r="G322" s="136" t="n">
        <f aca="false">Scoring!D328</f>
        <v>0</v>
      </c>
      <c r="H322" s="136" t="str">
        <f aca="false">Scoring!BD328</f>
        <v/>
      </c>
      <c r="I322" s="138" t="str">
        <f aca="false">Scoring!BC328</f>
        <v/>
      </c>
    </row>
    <row r="323" customFormat="false" ht="15.75" hidden="false" customHeight="false" outlineLevel="0" collapsed="false">
      <c r="A323" s="136" t="str">
        <f aca="false">Scoring!BF329</f>
        <v/>
      </c>
      <c r="B323" s="136" t="str">
        <f aca="false">Scoring!BE329</f>
        <v/>
      </c>
      <c r="C323" s="136" t="n">
        <f aca="false">Scoring!C329</f>
        <v>0</v>
      </c>
      <c r="D323" s="137" t="str">
        <f aca="false">Scoring!BB329</f>
        <v/>
      </c>
      <c r="E323" s="136" t="str">
        <f aca="false">Scoring!AE329</f>
        <v/>
      </c>
      <c r="F323" s="136" t="n">
        <f aca="false">Scoring!B329</f>
        <v>0</v>
      </c>
      <c r="G323" s="136" t="n">
        <f aca="false">Scoring!D329</f>
        <v>0</v>
      </c>
      <c r="H323" s="136" t="str">
        <f aca="false">Scoring!BD329</f>
        <v/>
      </c>
      <c r="I323" s="138" t="str">
        <f aca="false">Scoring!BC329</f>
        <v/>
      </c>
    </row>
    <row r="324" customFormat="false" ht="15.75" hidden="false" customHeight="false" outlineLevel="0" collapsed="false">
      <c r="A324" s="136" t="str">
        <f aca="false">Scoring!BF330</f>
        <v/>
      </c>
      <c r="B324" s="136" t="str">
        <f aca="false">Scoring!BE330</f>
        <v/>
      </c>
      <c r="C324" s="136" t="n">
        <f aca="false">Scoring!C330</f>
        <v>0</v>
      </c>
      <c r="D324" s="137" t="str">
        <f aca="false">Scoring!BB330</f>
        <v/>
      </c>
      <c r="E324" s="136" t="str">
        <f aca="false">Scoring!AE330</f>
        <v/>
      </c>
      <c r="F324" s="136" t="n">
        <f aca="false">Scoring!B330</f>
        <v>0</v>
      </c>
      <c r="G324" s="136" t="n">
        <f aca="false">Scoring!D330</f>
        <v>0</v>
      </c>
      <c r="H324" s="136" t="str">
        <f aca="false">Scoring!BD330</f>
        <v/>
      </c>
      <c r="I324" s="138" t="str">
        <f aca="false">Scoring!BC330</f>
        <v/>
      </c>
    </row>
    <row r="325" customFormat="false" ht="15.75" hidden="false" customHeight="false" outlineLevel="0" collapsed="false">
      <c r="A325" s="136" t="str">
        <f aca="false">Scoring!BF331</f>
        <v/>
      </c>
      <c r="B325" s="136" t="str">
        <f aca="false">Scoring!BE331</f>
        <v/>
      </c>
      <c r="C325" s="136" t="n">
        <f aca="false">Scoring!C331</f>
        <v>0</v>
      </c>
      <c r="D325" s="137" t="str">
        <f aca="false">Scoring!BB331</f>
        <v/>
      </c>
      <c r="E325" s="136" t="str">
        <f aca="false">Scoring!AE331</f>
        <v/>
      </c>
      <c r="F325" s="136" t="n">
        <f aca="false">Scoring!B331</f>
        <v>0</v>
      </c>
      <c r="G325" s="136" t="n">
        <f aca="false">Scoring!D331</f>
        <v>0</v>
      </c>
      <c r="H325" s="136" t="str">
        <f aca="false">Scoring!BD331</f>
        <v/>
      </c>
      <c r="I325" s="138" t="str">
        <f aca="false">Scoring!BC331</f>
        <v/>
      </c>
    </row>
    <row r="326" customFormat="false" ht="15.75" hidden="false" customHeight="false" outlineLevel="0" collapsed="false">
      <c r="A326" s="136" t="str">
        <f aca="false">Scoring!BF332</f>
        <v/>
      </c>
      <c r="B326" s="136" t="str">
        <f aca="false">Scoring!BE332</f>
        <v/>
      </c>
      <c r="C326" s="136" t="n">
        <f aca="false">Scoring!C332</f>
        <v>0</v>
      </c>
      <c r="D326" s="137" t="str">
        <f aca="false">Scoring!BB332</f>
        <v/>
      </c>
      <c r="E326" s="136" t="str">
        <f aca="false">Scoring!AE332</f>
        <v/>
      </c>
      <c r="F326" s="136" t="n">
        <f aca="false">Scoring!B332</f>
        <v>0</v>
      </c>
      <c r="G326" s="136" t="n">
        <f aca="false">Scoring!D332</f>
        <v>0</v>
      </c>
      <c r="H326" s="136" t="str">
        <f aca="false">Scoring!BD332</f>
        <v/>
      </c>
      <c r="I326" s="138" t="str">
        <f aca="false">Scoring!BC332</f>
        <v/>
      </c>
    </row>
    <row r="327" customFormat="false" ht="15.75" hidden="false" customHeight="false" outlineLevel="0" collapsed="false">
      <c r="A327" s="136" t="str">
        <f aca="false">Scoring!BF333</f>
        <v/>
      </c>
      <c r="B327" s="136" t="str">
        <f aca="false">Scoring!BE333</f>
        <v/>
      </c>
      <c r="C327" s="136" t="n">
        <f aca="false">Scoring!C333</f>
        <v>0</v>
      </c>
      <c r="D327" s="137" t="str">
        <f aca="false">Scoring!BB333</f>
        <v/>
      </c>
      <c r="E327" s="136" t="str">
        <f aca="false">Scoring!AE333</f>
        <v/>
      </c>
      <c r="F327" s="136" t="n">
        <f aca="false">Scoring!B333</f>
        <v>0</v>
      </c>
      <c r="G327" s="136" t="n">
        <f aca="false">Scoring!D333</f>
        <v>0</v>
      </c>
      <c r="H327" s="136" t="str">
        <f aca="false">Scoring!BD333</f>
        <v/>
      </c>
      <c r="I327" s="138" t="str">
        <f aca="false">Scoring!BC333</f>
        <v/>
      </c>
    </row>
    <row r="328" customFormat="false" ht="15.75" hidden="false" customHeight="false" outlineLevel="0" collapsed="false">
      <c r="A328" s="136" t="str">
        <f aca="false">Scoring!BF334</f>
        <v/>
      </c>
      <c r="B328" s="136" t="str">
        <f aca="false">Scoring!BE334</f>
        <v/>
      </c>
      <c r="C328" s="136" t="n">
        <f aca="false">Scoring!C334</f>
        <v>0</v>
      </c>
      <c r="D328" s="137" t="str">
        <f aca="false">Scoring!BB334</f>
        <v/>
      </c>
      <c r="E328" s="136" t="str">
        <f aca="false">Scoring!AE334</f>
        <v/>
      </c>
      <c r="F328" s="136" t="n">
        <f aca="false">Scoring!B334</f>
        <v>0</v>
      </c>
      <c r="G328" s="136" t="n">
        <f aca="false">Scoring!D334</f>
        <v>0</v>
      </c>
      <c r="H328" s="136" t="str">
        <f aca="false">Scoring!BD334</f>
        <v/>
      </c>
      <c r="I328" s="138" t="str">
        <f aca="false">Scoring!BC334</f>
        <v/>
      </c>
    </row>
    <row r="329" customFormat="false" ht="15.75" hidden="false" customHeight="false" outlineLevel="0" collapsed="false">
      <c r="A329" s="136" t="str">
        <f aca="false">Scoring!BF335</f>
        <v/>
      </c>
      <c r="B329" s="136" t="str">
        <f aca="false">Scoring!BE335</f>
        <v/>
      </c>
      <c r="C329" s="136" t="n">
        <f aca="false">Scoring!C335</f>
        <v>0</v>
      </c>
      <c r="D329" s="137" t="str">
        <f aca="false">Scoring!BB335</f>
        <v/>
      </c>
      <c r="E329" s="136" t="str">
        <f aca="false">Scoring!AE335</f>
        <v/>
      </c>
      <c r="F329" s="136" t="n">
        <f aca="false">Scoring!B335</f>
        <v>0</v>
      </c>
      <c r="G329" s="136" t="n">
        <f aca="false">Scoring!D335</f>
        <v>0</v>
      </c>
      <c r="H329" s="136" t="str">
        <f aca="false">Scoring!BD335</f>
        <v/>
      </c>
      <c r="I329" s="138" t="str">
        <f aca="false">Scoring!BC335</f>
        <v/>
      </c>
    </row>
    <row r="330" customFormat="false" ht="15.75" hidden="false" customHeight="false" outlineLevel="0" collapsed="false">
      <c r="A330" s="136" t="str">
        <f aca="false">Scoring!BF336</f>
        <v/>
      </c>
      <c r="B330" s="136" t="str">
        <f aca="false">Scoring!BE336</f>
        <v/>
      </c>
      <c r="C330" s="136" t="n">
        <f aca="false">Scoring!C336</f>
        <v>0</v>
      </c>
      <c r="D330" s="137" t="str">
        <f aca="false">Scoring!BB336</f>
        <v/>
      </c>
      <c r="E330" s="136" t="str">
        <f aca="false">Scoring!AE336</f>
        <v/>
      </c>
      <c r="F330" s="136" t="n">
        <f aca="false">Scoring!B336</f>
        <v>0</v>
      </c>
      <c r="G330" s="136" t="n">
        <f aca="false">Scoring!D336</f>
        <v>0</v>
      </c>
      <c r="H330" s="136" t="str">
        <f aca="false">Scoring!BD336</f>
        <v/>
      </c>
      <c r="I330" s="138" t="str">
        <f aca="false">Scoring!BC336</f>
        <v/>
      </c>
    </row>
    <row r="331" customFormat="false" ht="15.75" hidden="false" customHeight="false" outlineLevel="0" collapsed="false">
      <c r="A331" s="136" t="str">
        <f aca="false">Scoring!BF337</f>
        <v/>
      </c>
      <c r="B331" s="136" t="str">
        <f aca="false">Scoring!BE337</f>
        <v/>
      </c>
      <c r="C331" s="136" t="n">
        <f aca="false">Scoring!C337</f>
        <v>0</v>
      </c>
      <c r="D331" s="137" t="str">
        <f aca="false">Scoring!BB337</f>
        <v/>
      </c>
      <c r="E331" s="136" t="str">
        <f aca="false">Scoring!AE337</f>
        <v/>
      </c>
      <c r="F331" s="136" t="n">
        <f aca="false">Scoring!B337</f>
        <v>0</v>
      </c>
      <c r="G331" s="136" t="n">
        <f aca="false">Scoring!D337</f>
        <v>0</v>
      </c>
      <c r="H331" s="136" t="str">
        <f aca="false">Scoring!BD337</f>
        <v/>
      </c>
      <c r="I331" s="138" t="str">
        <f aca="false">Scoring!BC337</f>
        <v/>
      </c>
    </row>
    <row r="332" customFormat="false" ht="15.75" hidden="false" customHeight="false" outlineLevel="0" collapsed="false">
      <c r="A332" s="136" t="str">
        <f aca="false">Scoring!BF338</f>
        <v/>
      </c>
      <c r="B332" s="136" t="str">
        <f aca="false">Scoring!BE338</f>
        <v/>
      </c>
      <c r="C332" s="136" t="n">
        <f aca="false">Scoring!C338</f>
        <v>0</v>
      </c>
      <c r="D332" s="137" t="str">
        <f aca="false">Scoring!BB338</f>
        <v/>
      </c>
      <c r="E332" s="136" t="str">
        <f aca="false">Scoring!AE338</f>
        <v/>
      </c>
      <c r="F332" s="136" t="n">
        <f aca="false">Scoring!B338</f>
        <v>0</v>
      </c>
      <c r="G332" s="136" t="n">
        <f aca="false">Scoring!D338</f>
        <v>0</v>
      </c>
      <c r="H332" s="136" t="str">
        <f aca="false">Scoring!BD338</f>
        <v/>
      </c>
      <c r="I332" s="138" t="str">
        <f aca="false">Scoring!BC338</f>
        <v/>
      </c>
    </row>
    <row r="333" customFormat="false" ht="15.75" hidden="false" customHeight="false" outlineLevel="0" collapsed="false">
      <c r="A333" s="136" t="str">
        <f aca="false">Scoring!BF339</f>
        <v/>
      </c>
      <c r="B333" s="136" t="str">
        <f aca="false">Scoring!BE339</f>
        <v/>
      </c>
      <c r="C333" s="136" t="n">
        <f aca="false">Scoring!C339</f>
        <v>0</v>
      </c>
      <c r="D333" s="137" t="str">
        <f aca="false">Scoring!BB339</f>
        <v/>
      </c>
      <c r="E333" s="136" t="str">
        <f aca="false">Scoring!AE339</f>
        <v/>
      </c>
      <c r="F333" s="136" t="n">
        <f aca="false">Scoring!B339</f>
        <v>0</v>
      </c>
      <c r="G333" s="136" t="n">
        <f aca="false">Scoring!D339</f>
        <v>0</v>
      </c>
      <c r="H333" s="136" t="str">
        <f aca="false">Scoring!BD339</f>
        <v/>
      </c>
      <c r="I333" s="138" t="str">
        <f aca="false">Scoring!BC339</f>
        <v/>
      </c>
    </row>
    <row r="334" customFormat="false" ht="15.75" hidden="false" customHeight="false" outlineLevel="0" collapsed="false">
      <c r="A334" s="136" t="str">
        <f aca="false">Scoring!BF340</f>
        <v/>
      </c>
      <c r="B334" s="136" t="str">
        <f aca="false">Scoring!BE340</f>
        <v/>
      </c>
      <c r="C334" s="136" t="n">
        <f aca="false">Scoring!C340</f>
        <v>0</v>
      </c>
      <c r="D334" s="137" t="str">
        <f aca="false">Scoring!BB340</f>
        <v/>
      </c>
      <c r="E334" s="136" t="str">
        <f aca="false">Scoring!AE340</f>
        <v/>
      </c>
      <c r="F334" s="136" t="n">
        <f aca="false">Scoring!B340</f>
        <v>0</v>
      </c>
      <c r="G334" s="136" t="n">
        <f aca="false">Scoring!D340</f>
        <v>0</v>
      </c>
      <c r="H334" s="136" t="str">
        <f aca="false">Scoring!BD340</f>
        <v/>
      </c>
      <c r="I334" s="138" t="str">
        <f aca="false">Scoring!BC340</f>
        <v/>
      </c>
    </row>
    <row r="335" customFormat="false" ht="15.75" hidden="false" customHeight="false" outlineLevel="0" collapsed="false">
      <c r="A335" s="136" t="str">
        <f aca="false">Scoring!BF341</f>
        <v/>
      </c>
      <c r="B335" s="136" t="str">
        <f aca="false">Scoring!BE341</f>
        <v/>
      </c>
      <c r="C335" s="136" t="n">
        <f aca="false">Scoring!C341</f>
        <v>0</v>
      </c>
      <c r="D335" s="137" t="str">
        <f aca="false">Scoring!BB341</f>
        <v/>
      </c>
      <c r="E335" s="136" t="str">
        <f aca="false">Scoring!AE341</f>
        <v/>
      </c>
      <c r="F335" s="136" t="n">
        <f aca="false">Scoring!B341</f>
        <v>0</v>
      </c>
      <c r="G335" s="136" t="n">
        <f aca="false">Scoring!D341</f>
        <v>0</v>
      </c>
      <c r="H335" s="136" t="str">
        <f aca="false">Scoring!BD341</f>
        <v/>
      </c>
      <c r="I335" s="138" t="str">
        <f aca="false">Scoring!BC341</f>
        <v/>
      </c>
    </row>
    <row r="336" customFormat="false" ht="15.75" hidden="false" customHeight="false" outlineLevel="0" collapsed="false">
      <c r="A336" s="136" t="str">
        <f aca="false">Scoring!BF342</f>
        <v/>
      </c>
      <c r="B336" s="136" t="str">
        <f aca="false">Scoring!BE342</f>
        <v/>
      </c>
      <c r="C336" s="136" t="n">
        <f aca="false">Scoring!C342</f>
        <v>0</v>
      </c>
      <c r="D336" s="137" t="str">
        <f aca="false">Scoring!BB342</f>
        <v/>
      </c>
      <c r="E336" s="136" t="str">
        <f aca="false">Scoring!AE342</f>
        <v/>
      </c>
      <c r="F336" s="136" t="n">
        <f aca="false">Scoring!B342</f>
        <v>0</v>
      </c>
      <c r="G336" s="136" t="n">
        <f aca="false">Scoring!D342</f>
        <v>0</v>
      </c>
      <c r="H336" s="136" t="str">
        <f aca="false">Scoring!BD342</f>
        <v/>
      </c>
      <c r="I336" s="138" t="str">
        <f aca="false">Scoring!BC342</f>
        <v/>
      </c>
    </row>
    <row r="337" customFormat="false" ht="15.75" hidden="false" customHeight="false" outlineLevel="0" collapsed="false">
      <c r="A337" s="136" t="str">
        <f aca="false">Scoring!BF343</f>
        <v/>
      </c>
      <c r="B337" s="136" t="str">
        <f aca="false">Scoring!BE343</f>
        <v/>
      </c>
      <c r="C337" s="136" t="n">
        <f aca="false">Scoring!C343</f>
        <v>0</v>
      </c>
      <c r="D337" s="137" t="str">
        <f aca="false">Scoring!BB343</f>
        <v/>
      </c>
      <c r="E337" s="136" t="str">
        <f aca="false">Scoring!AE343</f>
        <v/>
      </c>
      <c r="F337" s="136" t="n">
        <f aca="false">Scoring!B343</f>
        <v>0</v>
      </c>
      <c r="G337" s="136" t="n">
        <f aca="false">Scoring!D343</f>
        <v>0</v>
      </c>
      <c r="H337" s="136" t="str">
        <f aca="false">Scoring!BD343</f>
        <v/>
      </c>
      <c r="I337" s="138" t="str">
        <f aca="false">Scoring!BC343</f>
        <v/>
      </c>
    </row>
    <row r="338" customFormat="false" ht="15.75" hidden="false" customHeight="false" outlineLevel="0" collapsed="false">
      <c r="A338" s="136" t="str">
        <f aca="false">Scoring!BF344</f>
        <v/>
      </c>
      <c r="B338" s="136" t="str">
        <f aca="false">Scoring!BE344</f>
        <v/>
      </c>
      <c r="C338" s="136" t="n">
        <f aca="false">Scoring!C344</f>
        <v>0</v>
      </c>
      <c r="D338" s="137" t="str">
        <f aca="false">Scoring!BB344</f>
        <v/>
      </c>
      <c r="E338" s="136" t="str">
        <f aca="false">Scoring!AE344</f>
        <v/>
      </c>
      <c r="F338" s="136" t="n">
        <f aca="false">Scoring!B344</f>
        <v>0</v>
      </c>
      <c r="G338" s="136" t="n">
        <f aca="false">Scoring!D344</f>
        <v>0</v>
      </c>
      <c r="H338" s="136" t="str">
        <f aca="false">Scoring!BD344</f>
        <v/>
      </c>
      <c r="I338" s="138" t="str">
        <f aca="false">Scoring!BC344</f>
        <v/>
      </c>
    </row>
    <row r="339" customFormat="false" ht="15.75" hidden="false" customHeight="false" outlineLevel="0" collapsed="false">
      <c r="A339" s="136" t="str">
        <f aca="false">Scoring!BF345</f>
        <v/>
      </c>
      <c r="B339" s="136" t="str">
        <f aca="false">Scoring!BE345</f>
        <v/>
      </c>
      <c r="C339" s="136" t="n">
        <f aca="false">Scoring!C345</f>
        <v>0</v>
      </c>
      <c r="D339" s="137" t="str">
        <f aca="false">Scoring!BB345</f>
        <v/>
      </c>
      <c r="E339" s="136" t="str">
        <f aca="false">Scoring!AE345</f>
        <v/>
      </c>
      <c r="F339" s="136" t="n">
        <f aca="false">Scoring!B345</f>
        <v>0</v>
      </c>
      <c r="G339" s="136" t="n">
        <f aca="false">Scoring!D345</f>
        <v>0</v>
      </c>
      <c r="H339" s="136" t="str">
        <f aca="false">Scoring!BD345</f>
        <v/>
      </c>
      <c r="I339" s="138" t="str">
        <f aca="false">Scoring!BC345</f>
        <v/>
      </c>
    </row>
    <row r="340" customFormat="false" ht="15.75" hidden="false" customHeight="false" outlineLevel="0" collapsed="false">
      <c r="A340" s="136" t="str">
        <f aca="false">Scoring!BF346</f>
        <v/>
      </c>
      <c r="B340" s="136" t="str">
        <f aca="false">Scoring!BE346</f>
        <v/>
      </c>
      <c r="C340" s="136" t="n">
        <f aca="false">Scoring!C346</f>
        <v>0</v>
      </c>
      <c r="D340" s="137" t="str">
        <f aca="false">Scoring!BB346</f>
        <v/>
      </c>
      <c r="E340" s="136" t="str">
        <f aca="false">Scoring!AE346</f>
        <v/>
      </c>
      <c r="F340" s="136" t="n">
        <f aca="false">Scoring!B346</f>
        <v>0</v>
      </c>
      <c r="G340" s="136" t="n">
        <f aca="false">Scoring!D346</f>
        <v>0</v>
      </c>
      <c r="H340" s="136" t="str">
        <f aca="false">Scoring!BD346</f>
        <v/>
      </c>
      <c r="I340" s="138" t="str">
        <f aca="false">Scoring!BC346</f>
        <v/>
      </c>
    </row>
    <row r="341" customFormat="false" ht="15.75" hidden="false" customHeight="false" outlineLevel="0" collapsed="false">
      <c r="A341" s="136" t="str">
        <f aca="false">Scoring!BF347</f>
        <v/>
      </c>
      <c r="B341" s="136" t="str">
        <f aca="false">Scoring!BE347</f>
        <v/>
      </c>
      <c r="C341" s="136" t="n">
        <f aca="false">Scoring!C347</f>
        <v>0</v>
      </c>
      <c r="D341" s="137" t="str">
        <f aca="false">Scoring!BB347</f>
        <v/>
      </c>
      <c r="E341" s="136" t="str">
        <f aca="false">Scoring!AE347</f>
        <v/>
      </c>
      <c r="F341" s="136" t="n">
        <f aca="false">Scoring!B347</f>
        <v>0</v>
      </c>
      <c r="G341" s="136" t="n">
        <f aca="false">Scoring!D347</f>
        <v>0</v>
      </c>
      <c r="H341" s="136" t="str">
        <f aca="false">Scoring!BD347</f>
        <v/>
      </c>
      <c r="I341" s="138" t="str">
        <f aca="false">Scoring!BC347</f>
        <v/>
      </c>
    </row>
    <row r="342" customFormat="false" ht="15.75" hidden="false" customHeight="false" outlineLevel="0" collapsed="false">
      <c r="A342" s="136" t="str">
        <f aca="false">Scoring!BF348</f>
        <v/>
      </c>
      <c r="B342" s="136" t="str">
        <f aca="false">Scoring!BE348</f>
        <v/>
      </c>
      <c r="C342" s="136" t="n">
        <f aca="false">Scoring!C348</f>
        <v>0</v>
      </c>
      <c r="D342" s="137" t="str">
        <f aca="false">Scoring!BB348</f>
        <v/>
      </c>
      <c r="E342" s="136" t="str">
        <f aca="false">Scoring!AE348</f>
        <v/>
      </c>
      <c r="F342" s="136" t="n">
        <f aca="false">Scoring!B348</f>
        <v>0</v>
      </c>
      <c r="G342" s="136" t="n">
        <f aca="false">Scoring!D348</f>
        <v>0</v>
      </c>
      <c r="H342" s="136" t="str">
        <f aca="false">Scoring!BD348</f>
        <v/>
      </c>
      <c r="I342" s="138" t="str">
        <f aca="false">Scoring!BC348</f>
        <v/>
      </c>
    </row>
    <row r="343" customFormat="false" ht="15.75" hidden="false" customHeight="false" outlineLevel="0" collapsed="false">
      <c r="A343" s="136" t="str">
        <f aca="false">Scoring!BF349</f>
        <v/>
      </c>
      <c r="B343" s="136" t="str">
        <f aca="false">Scoring!BE349</f>
        <v/>
      </c>
      <c r="C343" s="136" t="n">
        <f aca="false">Scoring!C349</f>
        <v>0</v>
      </c>
      <c r="D343" s="137" t="str">
        <f aca="false">Scoring!BB349</f>
        <v/>
      </c>
      <c r="E343" s="136" t="str">
        <f aca="false">Scoring!AE349</f>
        <v/>
      </c>
      <c r="F343" s="136" t="n">
        <f aca="false">Scoring!B349</f>
        <v>0</v>
      </c>
      <c r="G343" s="136" t="n">
        <f aca="false">Scoring!D349</f>
        <v>0</v>
      </c>
      <c r="H343" s="136" t="str">
        <f aca="false">Scoring!BD349</f>
        <v/>
      </c>
      <c r="I343" s="138" t="str">
        <f aca="false">Scoring!BC349</f>
        <v/>
      </c>
    </row>
    <row r="344" customFormat="false" ht="15.75" hidden="false" customHeight="false" outlineLevel="0" collapsed="false">
      <c r="A344" s="136" t="str">
        <f aca="false">Scoring!BF350</f>
        <v/>
      </c>
      <c r="B344" s="136" t="str">
        <f aca="false">Scoring!BE350</f>
        <v/>
      </c>
      <c r="C344" s="136" t="n">
        <f aca="false">Scoring!C350</f>
        <v>0</v>
      </c>
      <c r="D344" s="137" t="str">
        <f aca="false">Scoring!BB350</f>
        <v/>
      </c>
      <c r="E344" s="136" t="str">
        <f aca="false">Scoring!AE350</f>
        <v/>
      </c>
      <c r="F344" s="136" t="n">
        <f aca="false">Scoring!B350</f>
        <v>0</v>
      </c>
      <c r="G344" s="136" t="n">
        <f aca="false">Scoring!D350</f>
        <v>0</v>
      </c>
      <c r="H344" s="136" t="str">
        <f aca="false">Scoring!BD350</f>
        <v/>
      </c>
      <c r="I344" s="138" t="str">
        <f aca="false">Scoring!BC350</f>
        <v/>
      </c>
    </row>
    <row r="345" customFormat="false" ht="15.75" hidden="false" customHeight="false" outlineLevel="0" collapsed="false">
      <c r="A345" s="136" t="str">
        <f aca="false">Scoring!BF351</f>
        <v/>
      </c>
      <c r="B345" s="136" t="str">
        <f aca="false">Scoring!BE351</f>
        <v/>
      </c>
      <c r="C345" s="136" t="n">
        <f aca="false">Scoring!C351</f>
        <v>0</v>
      </c>
      <c r="D345" s="137" t="str">
        <f aca="false">Scoring!BB351</f>
        <v/>
      </c>
      <c r="E345" s="136" t="str">
        <f aca="false">Scoring!AE351</f>
        <v/>
      </c>
      <c r="F345" s="136" t="n">
        <f aca="false">Scoring!B351</f>
        <v>0</v>
      </c>
      <c r="G345" s="136" t="n">
        <f aca="false">Scoring!D351</f>
        <v>0</v>
      </c>
      <c r="H345" s="136" t="str">
        <f aca="false">Scoring!BD351</f>
        <v/>
      </c>
      <c r="I345" s="138" t="str">
        <f aca="false">Scoring!BC351</f>
        <v/>
      </c>
    </row>
    <row r="346" customFormat="false" ht="15.75" hidden="false" customHeight="false" outlineLevel="0" collapsed="false">
      <c r="A346" s="136" t="str">
        <f aca="false">Scoring!BF352</f>
        <v/>
      </c>
      <c r="B346" s="136" t="str">
        <f aca="false">Scoring!BE352</f>
        <v/>
      </c>
      <c r="C346" s="136" t="n">
        <f aca="false">Scoring!C352</f>
        <v>0</v>
      </c>
      <c r="D346" s="137" t="str">
        <f aca="false">Scoring!BB352</f>
        <v/>
      </c>
      <c r="E346" s="136" t="str">
        <f aca="false">Scoring!AE352</f>
        <v/>
      </c>
      <c r="F346" s="136" t="n">
        <f aca="false">Scoring!B352</f>
        <v>0</v>
      </c>
      <c r="G346" s="136" t="n">
        <f aca="false">Scoring!D352</f>
        <v>0</v>
      </c>
      <c r="H346" s="136" t="str">
        <f aca="false">Scoring!BD352</f>
        <v/>
      </c>
      <c r="I346" s="138" t="str">
        <f aca="false">Scoring!BC352</f>
        <v/>
      </c>
    </row>
    <row r="347" customFormat="false" ht="15.75" hidden="false" customHeight="false" outlineLevel="0" collapsed="false">
      <c r="A347" s="136" t="str">
        <f aca="false">Scoring!BF353</f>
        <v/>
      </c>
      <c r="B347" s="136" t="str">
        <f aca="false">Scoring!BE353</f>
        <v/>
      </c>
      <c r="C347" s="136" t="n">
        <f aca="false">Scoring!C353</f>
        <v>0</v>
      </c>
      <c r="D347" s="137" t="str">
        <f aca="false">Scoring!BB353</f>
        <v/>
      </c>
      <c r="E347" s="136" t="str">
        <f aca="false">Scoring!AE353</f>
        <v/>
      </c>
      <c r="F347" s="136" t="n">
        <f aca="false">Scoring!B353</f>
        <v>0</v>
      </c>
      <c r="G347" s="136" t="n">
        <f aca="false">Scoring!D353</f>
        <v>0</v>
      </c>
      <c r="H347" s="136" t="str">
        <f aca="false">Scoring!BD353</f>
        <v/>
      </c>
      <c r="I347" s="138" t="str">
        <f aca="false">Scoring!BC353</f>
        <v/>
      </c>
    </row>
    <row r="348" customFormat="false" ht="15.75" hidden="false" customHeight="false" outlineLevel="0" collapsed="false">
      <c r="A348" s="136" t="str">
        <f aca="false">Scoring!BF354</f>
        <v/>
      </c>
      <c r="B348" s="136" t="str">
        <f aca="false">Scoring!BE354</f>
        <v/>
      </c>
      <c r="C348" s="136" t="n">
        <f aca="false">Scoring!C354</f>
        <v>0</v>
      </c>
      <c r="D348" s="137" t="str">
        <f aca="false">Scoring!BB354</f>
        <v/>
      </c>
      <c r="E348" s="136" t="str">
        <f aca="false">Scoring!AE354</f>
        <v/>
      </c>
      <c r="F348" s="136" t="n">
        <f aca="false">Scoring!B354</f>
        <v>0</v>
      </c>
      <c r="G348" s="136" t="n">
        <f aca="false">Scoring!D354</f>
        <v>0</v>
      </c>
      <c r="H348" s="136" t="str">
        <f aca="false">Scoring!BD354</f>
        <v/>
      </c>
      <c r="I348" s="138" t="str">
        <f aca="false">Scoring!BC354</f>
        <v/>
      </c>
    </row>
    <row r="349" customFormat="false" ht="15.75" hidden="false" customHeight="false" outlineLevel="0" collapsed="false">
      <c r="A349" s="136" t="str">
        <f aca="false">Scoring!BF355</f>
        <v/>
      </c>
      <c r="B349" s="136" t="str">
        <f aca="false">Scoring!BE355</f>
        <v/>
      </c>
      <c r="C349" s="136" t="n">
        <f aca="false">Scoring!C355</f>
        <v>0</v>
      </c>
      <c r="D349" s="137" t="str">
        <f aca="false">Scoring!BB355</f>
        <v/>
      </c>
      <c r="E349" s="136" t="str">
        <f aca="false">Scoring!AE355</f>
        <v/>
      </c>
      <c r="F349" s="136" t="n">
        <f aca="false">Scoring!B355</f>
        <v>0</v>
      </c>
      <c r="G349" s="136" t="n">
        <f aca="false">Scoring!D355</f>
        <v>0</v>
      </c>
      <c r="H349" s="136" t="str">
        <f aca="false">Scoring!BD355</f>
        <v/>
      </c>
      <c r="I349" s="138" t="str">
        <f aca="false">Scoring!BC355</f>
        <v/>
      </c>
    </row>
    <row r="350" customFormat="false" ht="15.75" hidden="false" customHeight="false" outlineLevel="0" collapsed="false">
      <c r="A350" s="136" t="str">
        <f aca="false">Scoring!BF356</f>
        <v/>
      </c>
      <c r="B350" s="136" t="str">
        <f aca="false">Scoring!BE356</f>
        <v/>
      </c>
      <c r="C350" s="136" t="n">
        <f aca="false">Scoring!C356</f>
        <v>0</v>
      </c>
      <c r="D350" s="137" t="str">
        <f aca="false">Scoring!BB356</f>
        <v/>
      </c>
      <c r="E350" s="136" t="str">
        <f aca="false">Scoring!AE356</f>
        <v/>
      </c>
      <c r="F350" s="136" t="n">
        <f aca="false">Scoring!B356</f>
        <v>0</v>
      </c>
      <c r="G350" s="136" t="n">
        <f aca="false">Scoring!D356</f>
        <v>0</v>
      </c>
      <c r="H350" s="136" t="str">
        <f aca="false">Scoring!BD356</f>
        <v/>
      </c>
      <c r="I350" s="138" t="str">
        <f aca="false">Scoring!BC356</f>
        <v/>
      </c>
    </row>
    <row r="351" customFormat="false" ht="15.75" hidden="false" customHeight="false" outlineLevel="0" collapsed="false">
      <c r="A351" s="136" t="str">
        <f aca="false">Scoring!BF357</f>
        <v/>
      </c>
      <c r="B351" s="136" t="str">
        <f aca="false">Scoring!BE357</f>
        <v/>
      </c>
      <c r="C351" s="136" t="n">
        <f aca="false">Scoring!C357</f>
        <v>0</v>
      </c>
      <c r="D351" s="137" t="str">
        <f aca="false">Scoring!BB357</f>
        <v/>
      </c>
      <c r="E351" s="136" t="str">
        <f aca="false">Scoring!AE357</f>
        <v/>
      </c>
      <c r="F351" s="136" t="n">
        <f aca="false">Scoring!B357</f>
        <v>0</v>
      </c>
      <c r="G351" s="136" t="n">
        <f aca="false">Scoring!D357</f>
        <v>0</v>
      </c>
      <c r="H351" s="136" t="str">
        <f aca="false">Scoring!BD357</f>
        <v/>
      </c>
      <c r="I351" s="138" t="str">
        <f aca="false">Scoring!BC357</f>
        <v/>
      </c>
    </row>
    <row r="352" customFormat="false" ht="15.75" hidden="false" customHeight="false" outlineLevel="0" collapsed="false">
      <c r="A352" s="136" t="str">
        <f aca="false">Scoring!BF358</f>
        <v/>
      </c>
      <c r="B352" s="136" t="str">
        <f aca="false">Scoring!BE358</f>
        <v/>
      </c>
      <c r="C352" s="136" t="n">
        <f aca="false">Scoring!C358</f>
        <v>0</v>
      </c>
      <c r="D352" s="137" t="str">
        <f aca="false">Scoring!BB358</f>
        <v/>
      </c>
      <c r="E352" s="136" t="str">
        <f aca="false">Scoring!AE358</f>
        <v/>
      </c>
      <c r="F352" s="136" t="n">
        <f aca="false">Scoring!B358</f>
        <v>0</v>
      </c>
      <c r="G352" s="136" t="n">
        <f aca="false">Scoring!D358</f>
        <v>0</v>
      </c>
      <c r="H352" s="136" t="str">
        <f aca="false">Scoring!BD358</f>
        <v/>
      </c>
      <c r="I352" s="138" t="str">
        <f aca="false">Scoring!BC358</f>
        <v/>
      </c>
    </row>
    <row r="353" customFormat="false" ht="15.75" hidden="false" customHeight="false" outlineLevel="0" collapsed="false">
      <c r="A353" s="136" t="str">
        <f aca="false">Scoring!BF359</f>
        <v/>
      </c>
      <c r="B353" s="136" t="str">
        <f aca="false">Scoring!BE359</f>
        <v/>
      </c>
      <c r="C353" s="136" t="n">
        <f aca="false">Scoring!C359</f>
        <v>0</v>
      </c>
      <c r="D353" s="137" t="str">
        <f aca="false">Scoring!BB359</f>
        <v/>
      </c>
      <c r="E353" s="136" t="str">
        <f aca="false">Scoring!AE359</f>
        <v/>
      </c>
      <c r="F353" s="136" t="n">
        <f aca="false">Scoring!B359</f>
        <v>0</v>
      </c>
      <c r="G353" s="136" t="n">
        <f aca="false">Scoring!D359</f>
        <v>0</v>
      </c>
      <c r="H353" s="136" t="str">
        <f aca="false">Scoring!BD359</f>
        <v/>
      </c>
      <c r="I353" s="138" t="str">
        <f aca="false">Scoring!BC359</f>
        <v/>
      </c>
    </row>
    <row r="354" customFormat="false" ht="15.75" hidden="false" customHeight="false" outlineLevel="0" collapsed="false">
      <c r="A354" s="136" t="str">
        <f aca="false">Scoring!BF360</f>
        <v/>
      </c>
      <c r="B354" s="136" t="str">
        <f aca="false">Scoring!BE360</f>
        <v/>
      </c>
      <c r="C354" s="136" t="n">
        <f aca="false">Scoring!C360</f>
        <v>0</v>
      </c>
      <c r="D354" s="137" t="str">
        <f aca="false">Scoring!BB360</f>
        <v/>
      </c>
      <c r="E354" s="136" t="str">
        <f aca="false">Scoring!AE360</f>
        <v/>
      </c>
      <c r="F354" s="136" t="n">
        <f aca="false">Scoring!B360</f>
        <v>0</v>
      </c>
      <c r="G354" s="136" t="n">
        <f aca="false">Scoring!D360</f>
        <v>0</v>
      </c>
      <c r="H354" s="136" t="str">
        <f aca="false">Scoring!BD360</f>
        <v/>
      </c>
      <c r="I354" s="138" t="str">
        <f aca="false">Scoring!BC360</f>
        <v/>
      </c>
    </row>
    <row r="355" customFormat="false" ht="15.75" hidden="false" customHeight="false" outlineLevel="0" collapsed="false">
      <c r="A355" s="136" t="str">
        <f aca="false">Scoring!BF361</f>
        <v/>
      </c>
      <c r="B355" s="136" t="str">
        <f aca="false">Scoring!BE361</f>
        <v/>
      </c>
      <c r="C355" s="136" t="n">
        <f aca="false">Scoring!C361</f>
        <v>0</v>
      </c>
      <c r="D355" s="137" t="str">
        <f aca="false">Scoring!BB361</f>
        <v/>
      </c>
      <c r="E355" s="136" t="str">
        <f aca="false">Scoring!AE361</f>
        <v/>
      </c>
      <c r="F355" s="136" t="n">
        <f aca="false">Scoring!B361</f>
        <v>0</v>
      </c>
      <c r="G355" s="136" t="n">
        <f aca="false">Scoring!D361</f>
        <v>0</v>
      </c>
      <c r="H355" s="136" t="str">
        <f aca="false">Scoring!BD361</f>
        <v/>
      </c>
      <c r="I355" s="138" t="str">
        <f aca="false">Scoring!BC361</f>
        <v/>
      </c>
    </row>
    <row r="356" customFormat="false" ht="15.75" hidden="false" customHeight="false" outlineLevel="0" collapsed="false">
      <c r="A356" s="136" t="str">
        <f aca="false">Scoring!BF362</f>
        <v/>
      </c>
      <c r="B356" s="136" t="str">
        <f aca="false">Scoring!BE362</f>
        <v/>
      </c>
      <c r="C356" s="136" t="n">
        <f aca="false">Scoring!C362</f>
        <v>0</v>
      </c>
      <c r="D356" s="137" t="str">
        <f aca="false">Scoring!BB362</f>
        <v/>
      </c>
      <c r="E356" s="136" t="str">
        <f aca="false">Scoring!AE362</f>
        <v/>
      </c>
      <c r="F356" s="136" t="n">
        <f aca="false">Scoring!B362</f>
        <v>0</v>
      </c>
      <c r="G356" s="136" t="n">
        <f aca="false">Scoring!D362</f>
        <v>0</v>
      </c>
      <c r="H356" s="136" t="str">
        <f aca="false">Scoring!BD362</f>
        <v/>
      </c>
      <c r="I356" s="138" t="str">
        <f aca="false">Scoring!BC362</f>
        <v/>
      </c>
    </row>
    <row r="357" customFormat="false" ht="15.75" hidden="false" customHeight="false" outlineLevel="0" collapsed="false">
      <c r="A357" s="136" t="str">
        <f aca="false">Scoring!BF363</f>
        <v/>
      </c>
      <c r="B357" s="136" t="str">
        <f aca="false">Scoring!BE363</f>
        <v/>
      </c>
      <c r="C357" s="136" t="n">
        <f aca="false">Scoring!C363</f>
        <v>0</v>
      </c>
      <c r="D357" s="137" t="str">
        <f aca="false">Scoring!BB363</f>
        <v/>
      </c>
      <c r="E357" s="136" t="str">
        <f aca="false">Scoring!AE363</f>
        <v/>
      </c>
      <c r="F357" s="136" t="n">
        <f aca="false">Scoring!B363</f>
        <v>0</v>
      </c>
      <c r="G357" s="136" t="n">
        <f aca="false">Scoring!D363</f>
        <v>0</v>
      </c>
      <c r="H357" s="136" t="str">
        <f aca="false">Scoring!BD363</f>
        <v/>
      </c>
      <c r="I357" s="138" t="str">
        <f aca="false">Scoring!BC363</f>
        <v/>
      </c>
    </row>
    <row r="358" customFormat="false" ht="15.75" hidden="false" customHeight="false" outlineLevel="0" collapsed="false">
      <c r="A358" s="136" t="str">
        <f aca="false">Scoring!BF364</f>
        <v/>
      </c>
      <c r="B358" s="136" t="str">
        <f aca="false">Scoring!BE364</f>
        <v/>
      </c>
      <c r="C358" s="136" t="n">
        <f aca="false">Scoring!C364</f>
        <v>0</v>
      </c>
      <c r="D358" s="137" t="str">
        <f aca="false">Scoring!BB364</f>
        <v/>
      </c>
      <c r="E358" s="136" t="str">
        <f aca="false">Scoring!AE364</f>
        <v/>
      </c>
      <c r="F358" s="136" t="n">
        <f aca="false">Scoring!B364</f>
        <v>0</v>
      </c>
      <c r="G358" s="136" t="n">
        <f aca="false">Scoring!D364</f>
        <v>0</v>
      </c>
      <c r="H358" s="136" t="str">
        <f aca="false">Scoring!BD364</f>
        <v/>
      </c>
      <c r="I358" s="138" t="str">
        <f aca="false">Scoring!BC364</f>
        <v/>
      </c>
    </row>
    <row r="359" customFormat="false" ht="15.75" hidden="false" customHeight="false" outlineLevel="0" collapsed="false">
      <c r="A359" s="136" t="str">
        <f aca="false">Scoring!BF365</f>
        <v/>
      </c>
      <c r="B359" s="136" t="str">
        <f aca="false">Scoring!BE365</f>
        <v/>
      </c>
      <c r="C359" s="136" t="n">
        <f aca="false">Scoring!C365</f>
        <v>0</v>
      </c>
      <c r="D359" s="137" t="str">
        <f aca="false">Scoring!BB365</f>
        <v/>
      </c>
      <c r="E359" s="136" t="str">
        <f aca="false">Scoring!AE365</f>
        <v/>
      </c>
      <c r="F359" s="136" t="n">
        <f aca="false">Scoring!B365</f>
        <v>0</v>
      </c>
      <c r="G359" s="136" t="n">
        <f aca="false">Scoring!D365</f>
        <v>0</v>
      </c>
      <c r="H359" s="136" t="str">
        <f aca="false">Scoring!BD365</f>
        <v/>
      </c>
      <c r="I359" s="138" t="str">
        <f aca="false">Scoring!BC365</f>
        <v/>
      </c>
    </row>
    <row r="360" customFormat="false" ht="15.75" hidden="false" customHeight="false" outlineLevel="0" collapsed="false">
      <c r="A360" s="136" t="str">
        <f aca="false">Scoring!BF366</f>
        <v/>
      </c>
      <c r="B360" s="136" t="str">
        <f aca="false">Scoring!BE366</f>
        <v/>
      </c>
      <c r="C360" s="136" t="n">
        <f aca="false">Scoring!C366</f>
        <v>0</v>
      </c>
      <c r="D360" s="137" t="str">
        <f aca="false">Scoring!BB366</f>
        <v/>
      </c>
      <c r="E360" s="136" t="str">
        <f aca="false">Scoring!AE366</f>
        <v/>
      </c>
      <c r="F360" s="136" t="n">
        <f aca="false">Scoring!B366</f>
        <v>0</v>
      </c>
      <c r="G360" s="136" t="n">
        <f aca="false">Scoring!D366</f>
        <v>0</v>
      </c>
      <c r="H360" s="136" t="str">
        <f aca="false">Scoring!BD366</f>
        <v/>
      </c>
      <c r="I360" s="138" t="str">
        <f aca="false">Scoring!BC366</f>
        <v/>
      </c>
    </row>
    <row r="361" customFormat="false" ht="15.75" hidden="false" customHeight="false" outlineLevel="0" collapsed="false">
      <c r="A361" s="136" t="str">
        <f aca="false">Scoring!BF367</f>
        <v/>
      </c>
      <c r="B361" s="136" t="str">
        <f aca="false">Scoring!BE367</f>
        <v/>
      </c>
      <c r="C361" s="136" t="n">
        <f aca="false">Scoring!C367</f>
        <v>0</v>
      </c>
      <c r="D361" s="137" t="str">
        <f aca="false">Scoring!BB367</f>
        <v/>
      </c>
      <c r="E361" s="136" t="str">
        <f aca="false">Scoring!AE367</f>
        <v/>
      </c>
      <c r="F361" s="136" t="n">
        <f aca="false">Scoring!B367</f>
        <v>0</v>
      </c>
      <c r="G361" s="136" t="n">
        <f aca="false">Scoring!D367</f>
        <v>0</v>
      </c>
      <c r="H361" s="136" t="str">
        <f aca="false">Scoring!BD367</f>
        <v/>
      </c>
      <c r="I361" s="138" t="str">
        <f aca="false">Scoring!BC367</f>
        <v/>
      </c>
    </row>
    <row r="362" customFormat="false" ht="15.75" hidden="false" customHeight="false" outlineLevel="0" collapsed="false">
      <c r="A362" s="136" t="str">
        <f aca="false">Scoring!BF368</f>
        <v/>
      </c>
      <c r="B362" s="136" t="str">
        <f aca="false">Scoring!BE368</f>
        <v/>
      </c>
      <c r="C362" s="136" t="n">
        <f aca="false">Scoring!C368</f>
        <v>0</v>
      </c>
      <c r="D362" s="137" t="str">
        <f aca="false">Scoring!BB368</f>
        <v/>
      </c>
      <c r="E362" s="136" t="str">
        <f aca="false">Scoring!AE368</f>
        <v/>
      </c>
      <c r="F362" s="136" t="n">
        <f aca="false">Scoring!B368</f>
        <v>0</v>
      </c>
      <c r="G362" s="136" t="n">
        <f aca="false">Scoring!D368</f>
        <v>0</v>
      </c>
      <c r="H362" s="136" t="str">
        <f aca="false">Scoring!BD368</f>
        <v/>
      </c>
      <c r="I362" s="138" t="str">
        <f aca="false">Scoring!BC368</f>
        <v/>
      </c>
    </row>
    <row r="363" customFormat="false" ht="15.75" hidden="false" customHeight="false" outlineLevel="0" collapsed="false">
      <c r="A363" s="136" t="str">
        <f aca="false">Scoring!BF369</f>
        <v/>
      </c>
      <c r="B363" s="136" t="str">
        <f aca="false">Scoring!BE369</f>
        <v/>
      </c>
      <c r="C363" s="136" t="n">
        <f aca="false">Scoring!C369</f>
        <v>0</v>
      </c>
      <c r="D363" s="137" t="str">
        <f aca="false">Scoring!BB369</f>
        <v/>
      </c>
      <c r="E363" s="136" t="str">
        <f aca="false">Scoring!AE369</f>
        <v/>
      </c>
      <c r="F363" s="136" t="n">
        <f aca="false">Scoring!B369</f>
        <v>0</v>
      </c>
      <c r="G363" s="136" t="n">
        <f aca="false">Scoring!D369</f>
        <v>0</v>
      </c>
      <c r="H363" s="136" t="str">
        <f aca="false">Scoring!BD369</f>
        <v/>
      </c>
      <c r="I363" s="138" t="str">
        <f aca="false">Scoring!BC369</f>
        <v/>
      </c>
    </row>
    <row r="364" customFormat="false" ht="15.75" hidden="false" customHeight="false" outlineLevel="0" collapsed="false">
      <c r="A364" s="136" t="str">
        <f aca="false">Scoring!BF370</f>
        <v/>
      </c>
      <c r="B364" s="136" t="str">
        <f aca="false">Scoring!BE370</f>
        <v/>
      </c>
      <c r="C364" s="136" t="n">
        <f aca="false">Scoring!C370</f>
        <v>0</v>
      </c>
      <c r="D364" s="137" t="str">
        <f aca="false">Scoring!BB370</f>
        <v/>
      </c>
      <c r="E364" s="136" t="str">
        <f aca="false">Scoring!AE370</f>
        <v/>
      </c>
      <c r="F364" s="136" t="n">
        <f aca="false">Scoring!B370</f>
        <v>0</v>
      </c>
      <c r="G364" s="136" t="n">
        <f aca="false">Scoring!D370</f>
        <v>0</v>
      </c>
      <c r="H364" s="136" t="str">
        <f aca="false">Scoring!BD370</f>
        <v/>
      </c>
      <c r="I364" s="138" t="str">
        <f aca="false">Scoring!BC370</f>
        <v/>
      </c>
    </row>
    <row r="365" customFormat="false" ht="15.75" hidden="false" customHeight="false" outlineLevel="0" collapsed="false">
      <c r="A365" s="136" t="str">
        <f aca="false">Scoring!BF371</f>
        <v/>
      </c>
      <c r="B365" s="136" t="str">
        <f aca="false">Scoring!BE371</f>
        <v/>
      </c>
      <c r="C365" s="136" t="n">
        <f aca="false">Scoring!C371</f>
        <v>0</v>
      </c>
      <c r="D365" s="137" t="str">
        <f aca="false">Scoring!BB371</f>
        <v/>
      </c>
      <c r="E365" s="136" t="str">
        <f aca="false">Scoring!AE371</f>
        <v/>
      </c>
      <c r="F365" s="136" t="n">
        <f aca="false">Scoring!B371</f>
        <v>0</v>
      </c>
      <c r="G365" s="136" t="n">
        <f aca="false">Scoring!D371</f>
        <v>0</v>
      </c>
      <c r="H365" s="136" t="str">
        <f aca="false">Scoring!BD371</f>
        <v/>
      </c>
      <c r="I365" s="138" t="str">
        <f aca="false">Scoring!BC371</f>
        <v/>
      </c>
    </row>
    <row r="366" customFormat="false" ht="15.75" hidden="false" customHeight="false" outlineLevel="0" collapsed="false">
      <c r="A366" s="136" t="str">
        <f aca="false">Scoring!BF372</f>
        <v/>
      </c>
      <c r="B366" s="136" t="str">
        <f aca="false">Scoring!BE372</f>
        <v/>
      </c>
      <c r="C366" s="136" t="n">
        <f aca="false">Scoring!C372</f>
        <v>0</v>
      </c>
      <c r="D366" s="137" t="str">
        <f aca="false">Scoring!BB372</f>
        <v/>
      </c>
      <c r="E366" s="136" t="str">
        <f aca="false">Scoring!AE372</f>
        <v/>
      </c>
      <c r="F366" s="136" t="n">
        <f aca="false">Scoring!B372</f>
        <v>0</v>
      </c>
      <c r="G366" s="136" t="n">
        <f aca="false">Scoring!D372</f>
        <v>0</v>
      </c>
      <c r="H366" s="136" t="str">
        <f aca="false">Scoring!BD372</f>
        <v/>
      </c>
      <c r="I366" s="138" t="str">
        <f aca="false">Scoring!BC372</f>
        <v/>
      </c>
    </row>
    <row r="367" customFormat="false" ht="15.75" hidden="false" customHeight="false" outlineLevel="0" collapsed="false">
      <c r="A367" s="136" t="str">
        <f aca="false">Scoring!BF373</f>
        <v/>
      </c>
      <c r="B367" s="136" t="str">
        <f aca="false">Scoring!BE373</f>
        <v/>
      </c>
      <c r="C367" s="136" t="n">
        <f aca="false">Scoring!C373</f>
        <v>0</v>
      </c>
      <c r="D367" s="137" t="str">
        <f aca="false">Scoring!BB373</f>
        <v/>
      </c>
      <c r="E367" s="136" t="str">
        <f aca="false">Scoring!AE373</f>
        <v/>
      </c>
      <c r="F367" s="136" t="n">
        <f aca="false">Scoring!B373</f>
        <v>0</v>
      </c>
      <c r="G367" s="136" t="n">
        <f aca="false">Scoring!D373</f>
        <v>0</v>
      </c>
      <c r="H367" s="136" t="str">
        <f aca="false">Scoring!BD373</f>
        <v/>
      </c>
      <c r="I367" s="138" t="str">
        <f aca="false">Scoring!BC373</f>
        <v/>
      </c>
    </row>
    <row r="368" customFormat="false" ht="15.75" hidden="false" customHeight="false" outlineLevel="0" collapsed="false">
      <c r="A368" s="136" t="str">
        <f aca="false">Scoring!BF374</f>
        <v/>
      </c>
      <c r="B368" s="136" t="str">
        <f aca="false">Scoring!BE374</f>
        <v/>
      </c>
      <c r="C368" s="136" t="n">
        <f aca="false">Scoring!C374</f>
        <v>0</v>
      </c>
      <c r="D368" s="137" t="str">
        <f aca="false">Scoring!BB374</f>
        <v/>
      </c>
      <c r="E368" s="136" t="str">
        <f aca="false">Scoring!AE374</f>
        <v/>
      </c>
      <c r="F368" s="136" t="n">
        <f aca="false">Scoring!B374</f>
        <v>0</v>
      </c>
      <c r="G368" s="136" t="n">
        <f aca="false">Scoring!D374</f>
        <v>0</v>
      </c>
      <c r="H368" s="136" t="str">
        <f aca="false">Scoring!BD374</f>
        <v/>
      </c>
      <c r="I368" s="138" t="str">
        <f aca="false">Scoring!BC374</f>
        <v/>
      </c>
    </row>
    <row r="369" customFormat="false" ht="15.75" hidden="false" customHeight="false" outlineLevel="0" collapsed="false">
      <c r="A369" s="136" t="str">
        <f aca="false">Scoring!BF375</f>
        <v/>
      </c>
      <c r="B369" s="136" t="str">
        <f aca="false">Scoring!BE375</f>
        <v/>
      </c>
      <c r="C369" s="136" t="n">
        <f aca="false">Scoring!C375</f>
        <v>0</v>
      </c>
      <c r="D369" s="137" t="str">
        <f aca="false">Scoring!BB375</f>
        <v/>
      </c>
      <c r="E369" s="136" t="str">
        <f aca="false">Scoring!AE375</f>
        <v/>
      </c>
      <c r="F369" s="136" t="n">
        <f aca="false">Scoring!B375</f>
        <v>0</v>
      </c>
      <c r="G369" s="136" t="n">
        <f aca="false">Scoring!D375</f>
        <v>0</v>
      </c>
      <c r="H369" s="136" t="str">
        <f aca="false">Scoring!BD375</f>
        <v/>
      </c>
      <c r="I369" s="138" t="str">
        <f aca="false">Scoring!BC375</f>
        <v/>
      </c>
    </row>
    <row r="370" customFormat="false" ht="15.75" hidden="false" customHeight="false" outlineLevel="0" collapsed="false">
      <c r="A370" s="136" t="str">
        <f aca="false">Scoring!BF376</f>
        <v/>
      </c>
      <c r="B370" s="136" t="str">
        <f aca="false">Scoring!BE376</f>
        <v/>
      </c>
      <c r="C370" s="136" t="n">
        <f aca="false">Scoring!C376</f>
        <v>0</v>
      </c>
      <c r="D370" s="137" t="str">
        <f aca="false">Scoring!BB376</f>
        <v/>
      </c>
      <c r="E370" s="136" t="str">
        <f aca="false">Scoring!AE376</f>
        <v/>
      </c>
      <c r="F370" s="136" t="n">
        <f aca="false">Scoring!B376</f>
        <v>0</v>
      </c>
      <c r="G370" s="136" t="n">
        <f aca="false">Scoring!D376</f>
        <v>0</v>
      </c>
      <c r="H370" s="136" t="str">
        <f aca="false">Scoring!BD376</f>
        <v/>
      </c>
      <c r="I370" s="138" t="str">
        <f aca="false">Scoring!BC376</f>
        <v/>
      </c>
    </row>
    <row r="371" customFormat="false" ht="15.75" hidden="false" customHeight="false" outlineLevel="0" collapsed="false">
      <c r="A371" s="136" t="str">
        <f aca="false">Scoring!BF377</f>
        <v/>
      </c>
      <c r="B371" s="136" t="str">
        <f aca="false">Scoring!BE377</f>
        <v/>
      </c>
      <c r="C371" s="136" t="n">
        <f aca="false">Scoring!C377</f>
        <v>0</v>
      </c>
      <c r="D371" s="137" t="str">
        <f aca="false">Scoring!BB377</f>
        <v/>
      </c>
      <c r="E371" s="136" t="str">
        <f aca="false">Scoring!AE377</f>
        <v/>
      </c>
      <c r="F371" s="136" t="n">
        <f aca="false">Scoring!B377</f>
        <v>0</v>
      </c>
      <c r="G371" s="136" t="n">
        <f aca="false">Scoring!D377</f>
        <v>0</v>
      </c>
      <c r="H371" s="136" t="str">
        <f aca="false">Scoring!BD377</f>
        <v/>
      </c>
      <c r="I371" s="138" t="str">
        <f aca="false">Scoring!BC377</f>
        <v/>
      </c>
    </row>
    <row r="372" customFormat="false" ht="15.75" hidden="false" customHeight="false" outlineLevel="0" collapsed="false">
      <c r="A372" s="136" t="str">
        <f aca="false">Scoring!BF378</f>
        <v/>
      </c>
      <c r="B372" s="136" t="str">
        <f aca="false">Scoring!BE378</f>
        <v/>
      </c>
      <c r="C372" s="136" t="n">
        <f aca="false">Scoring!C378</f>
        <v>0</v>
      </c>
      <c r="D372" s="137" t="str">
        <f aca="false">Scoring!BB378</f>
        <v/>
      </c>
      <c r="E372" s="136" t="str">
        <f aca="false">Scoring!AE378</f>
        <v/>
      </c>
      <c r="F372" s="136" t="n">
        <f aca="false">Scoring!B378</f>
        <v>0</v>
      </c>
      <c r="G372" s="136" t="n">
        <f aca="false">Scoring!D378</f>
        <v>0</v>
      </c>
      <c r="H372" s="136" t="str">
        <f aca="false">Scoring!BD378</f>
        <v/>
      </c>
      <c r="I372" s="138" t="str">
        <f aca="false">Scoring!BC378</f>
        <v/>
      </c>
    </row>
    <row r="373" customFormat="false" ht="15.75" hidden="false" customHeight="false" outlineLevel="0" collapsed="false">
      <c r="A373" s="136" t="str">
        <f aca="false">Scoring!BF379</f>
        <v/>
      </c>
      <c r="B373" s="136" t="str">
        <f aca="false">Scoring!BE379</f>
        <v/>
      </c>
      <c r="C373" s="136" t="n">
        <f aca="false">Scoring!C379</f>
        <v>0</v>
      </c>
      <c r="D373" s="137" t="str">
        <f aca="false">Scoring!BB379</f>
        <v/>
      </c>
      <c r="E373" s="136" t="str">
        <f aca="false">Scoring!AE379</f>
        <v/>
      </c>
      <c r="F373" s="136" t="n">
        <f aca="false">Scoring!B379</f>
        <v>0</v>
      </c>
      <c r="G373" s="136" t="n">
        <f aca="false">Scoring!D379</f>
        <v>0</v>
      </c>
      <c r="H373" s="136" t="str">
        <f aca="false">Scoring!BD379</f>
        <v/>
      </c>
      <c r="I373" s="138" t="str">
        <f aca="false">Scoring!BC379</f>
        <v/>
      </c>
    </row>
    <row r="374" customFormat="false" ht="15.75" hidden="false" customHeight="false" outlineLevel="0" collapsed="false">
      <c r="A374" s="136" t="str">
        <f aca="false">Scoring!BF380</f>
        <v/>
      </c>
      <c r="B374" s="136" t="str">
        <f aca="false">Scoring!BE380</f>
        <v/>
      </c>
      <c r="C374" s="136" t="n">
        <f aca="false">Scoring!C380</f>
        <v>0</v>
      </c>
      <c r="D374" s="137" t="str">
        <f aca="false">Scoring!BB380</f>
        <v/>
      </c>
      <c r="E374" s="136" t="str">
        <f aca="false">Scoring!AE380</f>
        <v/>
      </c>
      <c r="F374" s="136" t="n">
        <f aca="false">Scoring!B380</f>
        <v>0</v>
      </c>
      <c r="G374" s="136" t="n">
        <f aca="false">Scoring!D380</f>
        <v>0</v>
      </c>
      <c r="H374" s="136" t="str">
        <f aca="false">Scoring!BD380</f>
        <v/>
      </c>
      <c r="I374" s="138" t="str">
        <f aca="false">Scoring!BC380</f>
        <v/>
      </c>
    </row>
    <row r="375" customFormat="false" ht="15.75" hidden="false" customHeight="false" outlineLevel="0" collapsed="false">
      <c r="A375" s="136" t="str">
        <f aca="false">Scoring!BF381</f>
        <v/>
      </c>
      <c r="B375" s="136" t="str">
        <f aca="false">Scoring!BE381</f>
        <v/>
      </c>
      <c r="C375" s="136" t="n">
        <f aca="false">Scoring!C381</f>
        <v>0</v>
      </c>
      <c r="D375" s="137" t="str">
        <f aca="false">Scoring!BB381</f>
        <v/>
      </c>
      <c r="E375" s="136" t="str">
        <f aca="false">Scoring!AE381</f>
        <v/>
      </c>
      <c r="F375" s="136" t="n">
        <f aca="false">Scoring!B381</f>
        <v>0</v>
      </c>
      <c r="G375" s="136" t="n">
        <f aca="false">Scoring!D381</f>
        <v>0</v>
      </c>
      <c r="H375" s="136" t="str">
        <f aca="false">Scoring!BD381</f>
        <v/>
      </c>
      <c r="I375" s="138" t="str">
        <f aca="false">Scoring!BC381</f>
        <v/>
      </c>
    </row>
    <row r="376" customFormat="false" ht="15.75" hidden="false" customHeight="false" outlineLevel="0" collapsed="false">
      <c r="A376" s="136" t="str">
        <f aca="false">Scoring!BF382</f>
        <v/>
      </c>
      <c r="B376" s="136" t="str">
        <f aca="false">Scoring!BE382</f>
        <v/>
      </c>
      <c r="C376" s="136" t="n">
        <f aca="false">Scoring!C382</f>
        <v>0</v>
      </c>
      <c r="D376" s="137" t="str">
        <f aca="false">Scoring!BB382</f>
        <v/>
      </c>
      <c r="E376" s="136" t="str">
        <f aca="false">Scoring!AE382</f>
        <v/>
      </c>
      <c r="F376" s="136" t="n">
        <f aca="false">Scoring!B382</f>
        <v>0</v>
      </c>
      <c r="G376" s="136" t="n">
        <f aca="false">Scoring!D382</f>
        <v>0</v>
      </c>
      <c r="H376" s="136" t="str">
        <f aca="false">Scoring!BD382</f>
        <v/>
      </c>
      <c r="I376" s="138" t="str">
        <f aca="false">Scoring!BC382</f>
        <v/>
      </c>
    </row>
    <row r="377" customFormat="false" ht="15.75" hidden="false" customHeight="false" outlineLevel="0" collapsed="false">
      <c r="A377" s="136" t="str">
        <f aca="false">Scoring!BF383</f>
        <v/>
      </c>
      <c r="B377" s="136" t="str">
        <f aca="false">Scoring!BE383</f>
        <v/>
      </c>
      <c r="C377" s="136" t="n">
        <f aca="false">Scoring!C383</f>
        <v>0</v>
      </c>
      <c r="D377" s="137" t="str">
        <f aca="false">Scoring!BB383</f>
        <v/>
      </c>
      <c r="E377" s="136" t="str">
        <f aca="false">Scoring!AE383</f>
        <v/>
      </c>
      <c r="F377" s="136" t="n">
        <f aca="false">Scoring!B383</f>
        <v>0</v>
      </c>
      <c r="G377" s="136" t="n">
        <f aca="false">Scoring!D383</f>
        <v>0</v>
      </c>
      <c r="H377" s="136" t="str">
        <f aca="false">Scoring!BD383</f>
        <v/>
      </c>
      <c r="I377" s="138" t="str">
        <f aca="false">Scoring!BC383</f>
        <v/>
      </c>
    </row>
    <row r="378" customFormat="false" ht="15.75" hidden="false" customHeight="false" outlineLevel="0" collapsed="false">
      <c r="A378" s="136" t="str">
        <f aca="false">Scoring!BF384</f>
        <v/>
      </c>
      <c r="B378" s="136" t="str">
        <f aca="false">Scoring!BE384</f>
        <v/>
      </c>
      <c r="C378" s="136" t="n">
        <f aca="false">Scoring!C384</f>
        <v>0</v>
      </c>
      <c r="D378" s="137" t="str">
        <f aca="false">Scoring!BB384</f>
        <v/>
      </c>
      <c r="E378" s="136" t="str">
        <f aca="false">Scoring!AE384</f>
        <v/>
      </c>
      <c r="F378" s="136" t="n">
        <f aca="false">Scoring!B384</f>
        <v>0</v>
      </c>
      <c r="G378" s="136" t="n">
        <f aca="false">Scoring!D384</f>
        <v>0</v>
      </c>
      <c r="H378" s="136" t="str">
        <f aca="false">Scoring!BD384</f>
        <v/>
      </c>
      <c r="I378" s="138" t="str">
        <f aca="false">Scoring!BC384</f>
        <v/>
      </c>
    </row>
    <row r="379" customFormat="false" ht="15.75" hidden="false" customHeight="false" outlineLevel="0" collapsed="false">
      <c r="A379" s="136" t="str">
        <f aca="false">Scoring!BF385</f>
        <v/>
      </c>
      <c r="B379" s="136" t="str">
        <f aca="false">Scoring!BE385</f>
        <v/>
      </c>
      <c r="C379" s="136" t="n">
        <f aca="false">Scoring!C385</f>
        <v>0</v>
      </c>
      <c r="D379" s="137" t="str">
        <f aca="false">Scoring!BB385</f>
        <v/>
      </c>
      <c r="E379" s="136" t="str">
        <f aca="false">Scoring!AE385</f>
        <v/>
      </c>
      <c r="F379" s="136" t="n">
        <f aca="false">Scoring!B385</f>
        <v>0</v>
      </c>
      <c r="G379" s="136" t="n">
        <f aca="false">Scoring!D385</f>
        <v>0</v>
      </c>
      <c r="H379" s="136" t="str">
        <f aca="false">Scoring!BD385</f>
        <v/>
      </c>
      <c r="I379" s="138" t="str">
        <f aca="false">Scoring!BC385</f>
        <v/>
      </c>
    </row>
    <row r="380" customFormat="false" ht="15.75" hidden="false" customHeight="false" outlineLevel="0" collapsed="false">
      <c r="A380" s="136" t="str">
        <f aca="false">Scoring!BF386</f>
        <v/>
      </c>
      <c r="B380" s="136" t="str">
        <f aca="false">Scoring!BE386</f>
        <v/>
      </c>
      <c r="C380" s="136" t="n">
        <f aca="false">Scoring!C386</f>
        <v>0</v>
      </c>
      <c r="D380" s="137" t="str">
        <f aca="false">Scoring!BB386</f>
        <v/>
      </c>
      <c r="E380" s="136" t="str">
        <f aca="false">Scoring!AE386</f>
        <v/>
      </c>
      <c r="F380" s="136" t="n">
        <f aca="false">Scoring!B386</f>
        <v>0</v>
      </c>
      <c r="G380" s="136" t="n">
        <f aca="false">Scoring!D386</f>
        <v>0</v>
      </c>
      <c r="H380" s="136" t="str">
        <f aca="false">Scoring!BD386</f>
        <v/>
      </c>
      <c r="I380" s="138" t="str">
        <f aca="false">Scoring!BC386</f>
        <v/>
      </c>
    </row>
    <row r="381" customFormat="false" ht="15.75" hidden="false" customHeight="false" outlineLevel="0" collapsed="false">
      <c r="A381" s="136" t="str">
        <f aca="false">Scoring!BF387</f>
        <v/>
      </c>
      <c r="B381" s="136" t="str">
        <f aca="false">Scoring!BE387</f>
        <v/>
      </c>
      <c r="C381" s="136" t="n">
        <f aca="false">Scoring!C387</f>
        <v>0</v>
      </c>
      <c r="D381" s="137" t="str">
        <f aca="false">Scoring!BB387</f>
        <v/>
      </c>
      <c r="E381" s="136" t="str">
        <f aca="false">Scoring!AE387</f>
        <v/>
      </c>
      <c r="F381" s="136" t="n">
        <f aca="false">Scoring!B387</f>
        <v>0</v>
      </c>
      <c r="G381" s="136" t="n">
        <f aca="false">Scoring!D387</f>
        <v>0</v>
      </c>
      <c r="H381" s="136" t="str">
        <f aca="false">Scoring!BD387</f>
        <v/>
      </c>
      <c r="I381" s="138" t="str">
        <f aca="false">Scoring!BC387</f>
        <v/>
      </c>
    </row>
    <row r="382" customFormat="false" ht="15.75" hidden="false" customHeight="false" outlineLevel="0" collapsed="false">
      <c r="A382" s="136" t="str">
        <f aca="false">Scoring!BF388</f>
        <v/>
      </c>
      <c r="B382" s="136" t="str">
        <f aca="false">Scoring!BE388</f>
        <v/>
      </c>
      <c r="C382" s="136" t="n">
        <f aca="false">Scoring!C388</f>
        <v>0</v>
      </c>
      <c r="D382" s="137" t="str">
        <f aca="false">Scoring!BB388</f>
        <v/>
      </c>
      <c r="E382" s="136" t="str">
        <f aca="false">Scoring!AE388</f>
        <v/>
      </c>
      <c r="F382" s="136" t="n">
        <f aca="false">Scoring!B388</f>
        <v>0</v>
      </c>
      <c r="G382" s="136" t="n">
        <f aca="false">Scoring!D388</f>
        <v>0</v>
      </c>
      <c r="H382" s="136" t="str">
        <f aca="false">Scoring!BD388</f>
        <v/>
      </c>
      <c r="I382" s="138" t="str">
        <f aca="false">Scoring!BC388</f>
        <v/>
      </c>
    </row>
    <row r="383" customFormat="false" ht="15.75" hidden="false" customHeight="false" outlineLevel="0" collapsed="false">
      <c r="A383" s="136" t="str">
        <f aca="false">Scoring!BF389</f>
        <v/>
      </c>
      <c r="B383" s="136" t="str">
        <f aca="false">Scoring!BE389</f>
        <v/>
      </c>
      <c r="C383" s="136" t="n">
        <f aca="false">Scoring!C389</f>
        <v>0</v>
      </c>
      <c r="D383" s="137" t="str">
        <f aca="false">Scoring!BB389</f>
        <v/>
      </c>
      <c r="E383" s="136" t="str">
        <f aca="false">Scoring!AE389</f>
        <v/>
      </c>
      <c r="F383" s="136" t="n">
        <f aca="false">Scoring!B389</f>
        <v>0</v>
      </c>
      <c r="G383" s="136" t="n">
        <f aca="false">Scoring!D389</f>
        <v>0</v>
      </c>
      <c r="H383" s="136" t="str">
        <f aca="false">Scoring!BD389</f>
        <v/>
      </c>
      <c r="I383" s="138" t="str">
        <f aca="false">Scoring!BC389</f>
        <v/>
      </c>
    </row>
    <row r="384" customFormat="false" ht="15.75" hidden="false" customHeight="false" outlineLevel="0" collapsed="false">
      <c r="A384" s="136" t="str">
        <f aca="false">Scoring!BF390</f>
        <v/>
      </c>
      <c r="B384" s="136" t="str">
        <f aca="false">Scoring!BE390</f>
        <v/>
      </c>
      <c r="C384" s="136" t="n">
        <f aca="false">Scoring!C390</f>
        <v>0</v>
      </c>
      <c r="D384" s="137" t="str">
        <f aca="false">Scoring!BB390</f>
        <v/>
      </c>
      <c r="E384" s="136" t="str">
        <f aca="false">Scoring!AE390</f>
        <v/>
      </c>
      <c r="F384" s="136" t="n">
        <f aca="false">Scoring!B390</f>
        <v>0</v>
      </c>
      <c r="G384" s="136" t="n">
        <f aca="false">Scoring!D390</f>
        <v>0</v>
      </c>
      <c r="H384" s="136" t="str">
        <f aca="false">Scoring!BD390</f>
        <v/>
      </c>
      <c r="I384" s="138" t="str">
        <f aca="false">Scoring!BC390</f>
        <v/>
      </c>
    </row>
    <row r="385" customFormat="false" ht="15.75" hidden="false" customHeight="false" outlineLevel="0" collapsed="false">
      <c r="A385" s="136" t="str">
        <f aca="false">Scoring!BF391</f>
        <v/>
      </c>
      <c r="B385" s="136" t="str">
        <f aca="false">Scoring!BE391</f>
        <v/>
      </c>
      <c r="C385" s="136" t="n">
        <f aca="false">Scoring!C391</f>
        <v>0</v>
      </c>
      <c r="D385" s="137" t="str">
        <f aca="false">Scoring!BB391</f>
        <v/>
      </c>
      <c r="E385" s="136" t="str">
        <f aca="false">Scoring!AE391</f>
        <v/>
      </c>
      <c r="F385" s="136" t="n">
        <f aca="false">Scoring!B391</f>
        <v>0</v>
      </c>
      <c r="G385" s="136" t="n">
        <f aca="false">Scoring!D391</f>
        <v>0</v>
      </c>
      <c r="H385" s="136" t="str">
        <f aca="false">Scoring!BD391</f>
        <v/>
      </c>
      <c r="I385" s="138" t="str">
        <f aca="false">Scoring!BC391</f>
        <v/>
      </c>
    </row>
    <row r="386" customFormat="false" ht="15.75" hidden="false" customHeight="false" outlineLevel="0" collapsed="false">
      <c r="A386" s="136" t="str">
        <f aca="false">Scoring!BF392</f>
        <v/>
      </c>
      <c r="B386" s="136" t="str">
        <f aca="false">Scoring!BE392</f>
        <v/>
      </c>
      <c r="C386" s="136" t="n">
        <f aca="false">Scoring!C392</f>
        <v>0</v>
      </c>
      <c r="D386" s="137" t="str">
        <f aca="false">Scoring!BB392</f>
        <v/>
      </c>
      <c r="E386" s="136" t="str">
        <f aca="false">Scoring!AE392</f>
        <v/>
      </c>
      <c r="F386" s="136" t="n">
        <f aca="false">Scoring!B392</f>
        <v>0</v>
      </c>
      <c r="G386" s="136" t="n">
        <f aca="false">Scoring!D392</f>
        <v>0</v>
      </c>
      <c r="H386" s="136" t="str">
        <f aca="false">Scoring!BD392</f>
        <v/>
      </c>
      <c r="I386" s="138" t="str">
        <f aca="false">Scoring!BC392</f>
        <v/>
      </c>
    </row>
    <row r="387" customFormat="false" ht="15.75" hidden="false" customHeight="false" outlineLevel="0" collapsed="false">
      <c r="A387" s="136" t="str">
        <f aca="false">Scoring!BF393</f>
        <v/>
      </c>
      <c r="B387" s="136" t="str">
        <f aca="false">Scoring!BE393</f>
        <v/>
      </c>
      <c r="C387" s="136" t="n">
        <f aca="false">Scoring!C393</f>
        <v>0</v>
      </c>
      <c r="D387" s="137" t="str">
        <f aca="false">Scoring!BB393</f>
        <v/>
      </c>
      <c r="E387" s="136" t="str">
        <f aca="false">Scoring!AE393</f>
        <v/>
      </c>
      <c r="F387" s="136" t="n">
        <f aca="false">Scoring!B393</f>
        <v>0</v>
      </c>
      <c r="G387" s="136" t="n">
        <f aca="false">Scoring!D393</f>
        <v>0</v>
      </c>
      <c r="H387" s="136" t="str">
        <f aca="false">Scoring!BD393</f>
        <v/>
      </c>
      <c r="I387" s="138" t="str">
        <f aca="false">Scoring!BC393</f>
        <v/>
      </c>
    </row>
    <row r="388" customFormat="false" ht="15.75" hidden="false" customHeight="false" outlineLevel="0" collapsed="false">
      <c r="A388" s="136" t="str">
        <f aca="false">Scoring!BF394</f>
        <v/>
      </c>
      <c r="B388" s="136" t="str">
        <f aca="false">Scoring!BE394</f>
        <v/>
      </c>
      <c r="C388" s="136" t="n">
        <f aca="false">Scoring!C394</f>
        <v>0</v>
      </c>
      <c r="D388" s="137" t="str">
        <f aca="false">Scoring!BB394</f>
        <v/>
      </c>
      <c r="E388" s="136" t="str">
        <f aca="false">Scoring!AE394</f>
        <v/>
      </c>
      <c r="F388" s="136" t="n">
        <f aca="false">Scoring!B394</f>
        <v>0</v>
      </c>
      <c r="G388" s="136" t="n">
        <f aca="false">Scoring!D394</f>
        <v>0</v>
      </c>
      <c r="H388" s="136" t="str">
        <f aca="false">Scoring!BD394</f>
        <v/>
      </c>
      <c r="I388" s="138" t="str">
        <f aca="false">Scoring!BC394</f>
        <v/>
      </c>
    </row>
    <row r="389" customFormat="false" ht="15.75" hidden="false" customHeight="false" outlineLevel="0" collapsed="false">
      <c r="A389" s="136" t="str">
        <f aca="false">Scoring!BF395</f>
        <v/>
      </c>
      <c r="B389" s="136" t="str">
        <f aca="false">Scoring!BE395</f>
        <v/>
      </c>
      <c r="C389" s="136" t="n">
        <f aca="false">Scoring!C395</f>
        <v>0</v>
      </c>
      <c r="D389" s="137" t="str">
        <f aca="false">Scoring!BB395</f>
        <v/>
      </c>
      <c r="E389" s="136" t="str">
        <f aca="false">Scoring!AE395</f>
        <v/>
      </c>
      <c r="F389" s="136" t="n">
        <f aca="false">Scoring!B395</f>
        <v>0</v>
      </c>
      <c r="G389" s="136" t="n">
        <f aca="false">Scoring!D395</f>
        <v>0</v>
      </c>
      <c r="H389" s="136" t="str">
        <f aca="false">Scoring!BD395</f>
        <v/>
      </c>
      <c r="I389" s="138" t="str">
        <f aca="false">Scoring!BC395</f>
        <v/>
      </c>
    </row>
    <row r="390" customFormat="false" ht="15.75" hidden="false" customHeight="false" outlineLevel="0" collapsed="false">
      <c r="A390" s="136" t="str">
        <f aca="false">Scoring!BF396</f>
        <v/>
      </c>
      <c r="B390" s="136" t="str">
        <f aca="false">Scoring!BE396</f>
        <v/>
      </c>
      <c r="C390" s="136" t="n">
        <f aca="false">Scoring!C396</f>
        <v>0</v>
      </c>
      <c r="D390" s="137" t="str">
        <f aca="false">Scoring!BB396</f>
        <v/>
      </c>
      <c r="E390" s="136" t="str">
        <f aca="false">Scoring!AE396</f>
        <v/>
      </c>
      <c r="F390" s="136" t="n">
        <f aca="false">Scoring!B396</f>
        <v>0</v>
      </c>
      <c r="G390" s="136" t="n">
        <f aca="false">Scoring!D396</f>
        <v>0</v>
      </c>
      <c r="H390" s="136" t="str">
        <f aca="false">Scoring!BD396</f>
        <v/>
      </c>
      <c r="I390" s="138" t="str">
        <f aca="false">Scoring!BC396</f>
        <v/>
      </c>
    </row>
    <row r="391" customFormat="false" ht="15.75" hidden="false" customHeight="false" outlineLevel="0" collapsed="false">
      <c r="A391" s="136" t="str">
        <f aca="false">Scoring!BF397</f>
        <v/>
      </c>
      <c r="B391" s="136" t="str">
        <f aca="false">Scoring!BE397</f>
        <v/>
      </c>
      <c r="C391" s="136" t="n">
        <f aca="false">Scoring!C397</f>
        <v>0</v>
      </c>
      <c r="D391" s="137" t="str">
        <f aca="false">Scoring!BB397</f>
        <v/>
      </c>
      <c r="E391" s="136" t="str">
        <f aca="false">Scoring!AE397</f>
        <v/>
      </c>
      <c r="F391" s="136" t="n">
        <f aca="false">Scoring!B397</f>
        <v>0</v>
      </c>
      <c r="G391" s="136" t="n">
        <f aca="false">Scoring!D397</f>
        <v>0</v>
      </c>
      <c r="H391" s="136" t="str">
        <f aca="false">Scoring!BD397</f>
        <v/>
      </c>
      <c r="I391" s="138" t="str">
        <f aca="false">Scoring!BC397</f>
        <v/>
      </c>
    </row>
    <row r="392" customFormat="false" ht="15.75" hidden="false" customHeight="false" outlineLevel="0" collapsed="false">
      <c r="A392" s="136" t="str">
        <f aca="false">Scoring!BF398</f>
        <v/>
      </c>
      <c r="B392" s="136" t="str">
        <f aca="false">Scoring!BE398</f>
        <v/>
      </c>
      <c r="C392" s="136" t="n">
        <f aca="false">Scoring!C398</f>
        <v>0</v>
      </c>
      <c r="D392" s="137" t="str">
        <f aca="false">Scoring!BB398</f>
        <v/>
      </c>
      <c r="E392" s="136" t="str">
        <f aca="false">Scoring!AE398</f>
        <v/>
      </c>
      <c r="F392" s="136" t="n">
        <f aca="false">Scoring!B398</f>
        <v>0</v>
      </c>
      <c r="G392" s="136" t="n">
        <f aca="false">Scoring!D398</f>
        <v>0</v>
      </c>
      <c r="H392" s="136" t="str">
        <f aca="false">Scoring!BD398</f>
        <v/>
      </c>
      <c r="I392" s="138" t="str">
        <f aca="false">Scoring!BC398</f>
        <v/>
      </c>
    </row>
    <row r="393" customFormat="false" ht="15.75" hidden="false" customHeight="false" outlineLevel="0" collapsed="false">
      <c r="A393" s="136" t="str">
        <f aca="false">Scoring!BF399</f>
        <v/>
      </c>
      <c r="B393" s="136" t="str">
        <f aca="false">Scoring!BE399</f>
        <v/>
      </c>
      <c r="C393" s="136" t="n">
        <f aca="false">Scoring!C399</f>
        <v>0</v>
      </c>
      <c r="D393" s="137" t="str">
        <f aca="false">Scoring!BB399</f>
        <v/>
      </c>
      <c r="E393" s="136" t="str">
        <f aca="false">Scoring!AE399</f>
        <v/>
      </c>
      <c r="F393" s="136" t="n">
        <f aca="false">Scoring!B399</f>
        <v>0</v>
      </c>
      <c r="G393" s="136" t="n">
        <f aca="false">Scoring!D399</f>
        <v>0</v>
      </c>
      <c r="H393" s="136" t="str">
        <f aca="false">Scoring!BD399</f>
        <v/>
      </c>
      <c r="I393" s="138" t="str">
        <f aca="false">Scoring!BC399</f>
        <v/>
      </c>
    </row>
    <row r="394" customFormat="false" ht="15.75" hidden="false" customHeight="false" outlineLevel="0" collapsed="false">
      <c r="A394" s="136" t="str">
        <f aca="false">Scoring!BF400</f>
        <v/>
      </c>
      <c r="B394" s="136" t="str">
        <f aca="false">Scoring!BE400</f>
        <v/>
      </c>
      <c r="C394" s="136" t="n">
        <f aca="false">Scoring!C400</f>
        <v>0</v>
      </c>
      <c r="D394" s="137" t="str">
        <f aca="false">Scoring!BB400</f>
        <v/>
      </c>
      <c r="E394" s="136" t="str">
        <f aca="false">Scoring!AE400</f>
        <v/>
      </c>
      <c r="F394" s="136" t="n">
        <f aca="false">Scoring!B400</f>
        <v>0</v>
      </c>
      <c r="G394" s="136" t="n">
        <f aca="false">Scoring!D400</f>
        <v>0</v>
      </c>
      <c r="H394" s="136" t="str">
        <f aca="false">Scoring!BD400</f>
        <v/>
      </c>
      <c r="I394" s="138" t="str">
        <f aca="false">Scoring!BC400</f>
        <v/>
      </c>
    </row>
    <row r="395" customFormat="false" ht="15.75" hidden="false" customHeight="false" outlineLevel="0" collapsed="false">
      <c r="A395" s="136" t="str">
        <f aca="false">Scoring!BF401</f>
        <v/>
      </c>
      <c r="B395" s="136" t="str">
        <f aca="false">Scoring!BE401</f>
        <v/>
      </c>
      <c r="C395" s="136" t="n">
        <f aca="false">Scoring!C401</f>
        <v>0</v>
      </c>
      <c r="D395" s="137" t="str">
        <f aca="false">Scoring!BB401</f>
        <v/>
      </c>
      <c r="E395" s="136" t="str">
        <f aca="false">Scoring!AE401</f>
        <v/>
      </c>
      <c r="F395" s="136" t="n">
        <f aca="false">Scoring!B401</f>
        <v>0</v>
      </c>
      <c r="G395" s="136" t="n">
        <f aca="false">Scoring!D401</f>
        <v>0</v>
      </c>
      <c r="H395" s="136" t="str">
        <f aca="false">Scoring!BD401</f>
        <v/>
      </c>
      <c r="I395" s="138" t="str">
        <f aca="false">Scoring!BC401</f>
        <v/>
      </c>
    </row>
    <row r="396" customFormat="false" ht="15.75" hidden="false" customHeight="false" outlineLevel="0" collapsed="false">
      <c r="A396" s="136" t="str">
        <f aca="false">Scoring!BF402</f>
        <v/>
      </c>
      <c r="B396" s="136" t="str">
        <f aca="false">Scoring!BE402</f>
        <v/>
      </c>
      <c r="C396" s="136" t="n">
        <f aca="false">Scoring!C402</f>
        <v>0</v>
      </c>
      <c r="D396" s="137" t="str">
        <f aca="false">Scoring!BB402</f>
        <v/>
      </c>
      <c r="E396" s="136" t="str">
        <f aca="false">Scoring!AE402</f>
        <v/>
      </c>
      <c r="F396" s="136" t="n">
        <f aca="false">Scoring!B402</f>
        <v>0</v>
      </c>
      <c r="G396" s="136" t="n">
        <f aca="false">Scoring!D402</f>
        <v>0</v>
      </c>
      <c r="H396" s="136" t="str">
        <f aca="false">Scoring!BD402</f>
        <v/>
      </c>
      <c r="I396" s="138" t="str">
        <f aca="false">Scoring!BC402</f>
        <v/>
      </c>
    </row>
    <row r="397" customFormat="false" ht="15.75" hidden="false" customHeight="false" outlineLevel="0" collapsed="false">
      <c r="A397" s="136" t="str">
        <f aca="false">Scoring!BF403</f>
        <v/>
      </c>
      <c r="B397" s="136" t="str">
        <f aca="false">Scoring!BE403</f>
        <v/>
      </c>
      <c r="C397" s="136" t="n">
        <f aca="false">Scoring!C403</f>
        <v>0</v>
      </c>
      <c r="D397" s="137" t="str">
        <f aca="false">Scoring!BB403</f>
        <v/>
      </c>
      <c r="E397" s="136" t="str">
        <f aca="false">Scoring!AE403</f>
        <v/>
      </c>
      <c r="F397" s="136" t="n">
        <f aca="false">Scoring!B403</f>
        <v>0</v>
      </c>
      <c r="G397" s="136" t="n">
        <f aca="false">Scoring!D403</f>
        <v>0</v>
      </c>
      <c r="H397" s="136" t="str">
        <f aca="false">Scoring!BD403</f>
        <v/>
      </c>
      <c r="I397" s="138" t="str">
        <f aca="false">Scoring!BC403</f>
        <v/>
      </c>
    </row>
    <row r="398" customFormat="false" ht="15.75" hidden="false" customHeight="false" outlineLevel="0" collapsed="false">
      <c r="A398" s="136" t="str">
        <f aca="false">Scoring!BF404</f>
        <v/>
      </c>
      <c r="B398" s="136" t="str">
        <f aca="false">Scoring!BE404</f>
        <v/>
      </c>
      <c r="C398" s="136" t="n">
        <f aca="false">Scoring!C404</f>
        <v>0</v>
      </c>
      <c r="D398" s="137" t="str">
        <f aca="false">Scoring!BB404</f>
        <v/>
      </c>
      <c r="E398" s="136" t="str">
        <f aca="false">Scoring!AE404</f>
        <v/>
      </c>
      <c r="F398" s="136" t="n">
        <f aca="false">Scoring!B404</f>
        <v>0</v>
      </c>
      <c r="G398" s="136" t="n">
        <f aca="false">Scoring!D404</f>
        <v>0</v>
      </c>
      <c r="H398" s="136" t="str">
        <f aca="false">Scoring!BD404</f>
        <v/>
      </c>
      <c r="I398" s="138" t="str">
        <f aca="false">Scoring!BC404</f>
        <v/>
      </c>
    </row>
    <row r="399" customFormat="false" ht="15.75" hidden="false" customHeight="false" outlineLevel="0" collapsed="false">
      <c r="A399" s="136" t="str">
        <f aca="false">Scoring!BF405</f>
        <v/>
      </c>
      <c r="B399" s="136" t="str">
        <f aca="false">Scoring!BE405</f>
        <v/>
      </c>
      <c r="C399" s="136" t="n">
        <f aca="false">Scoring!C405</f>
        <v>0</v>
      </c>
      <c r="D399" s="137" t="str">
        <f aca="false">Scoring!BB405</f>
        <v/>
      </c>
      <c r="E399" s="136" t="str">
        <f aca="false">Scoring!AE405</f>
        <v/>
      </c>
      <c r="F399" s="136" t="n">
        <f aca="false">Scoring!B405</f>
        <v>0</v>
      </c>
      <c r="G399" s="136" t="n">
        <f aca="false">Scoring!D405</f>
        <v>0</v>
      </c>
      <c r="H399" s="136" t="str">
        <f aca="false">Scoring!BD405</f>
        <v/>
      </c>
      <c r="I399" s="138" t="str">
        <f aca="false">Scoring!BC405</f>
        <v/>
      </c>
    </row>
    <row r="400" customFormat="false" ht="15.75" hidden="false" customHeight="false" outlineLevel="0" collapsed="false">
      <c r="A400" s="136" t="str">
        <f aca="false">Scoring!BF406</f>
        <v/>
      </c>
      <c r="B400" s="136" t="str">
        <f aca="false">Scoring!BE406</f>
        <v/>
      </c>
      <c r="C400" s="136" t="n">
        <f aca="false">Scoring!C406</f>
        <v>0</v>
      </c>
      <c r="D400" s="137" t="str">
        <f aca="false">Scoring!BB406</f>
        <v/>
      </c>
      <c r="E400" s="136" t="str">
        <f aca="false">Scoring!AE406</f>
        <v/>
      </c>
      <c r="F400" s="136" t="n">
        <f aca="false">Scoring!B406</f>
        <v>0</v>
      </c>
      <c r="G400" s="136" t="n">
        <f aca="false">Scoring!D406</f>
        <v>0</v>
      </c>
      <c r="H400" s="136" t="str">
        <f aca="false">Scoring!BD406</f>
        <v/>
      </c>
      <c r="I400" s="138" t="str">
        <f aca="false">Scoring!BC406</f>
        <v/>
      </c>
    </row>
    <row r="401" customFormat="false" ht="15.75" hidden="false" customHeight="false" outlineLevel="0" collapsed="false">
      <c r="A401" s="136" t="str">
        <f aca="false">Scoring!BF407</f>
        <v/>
      </c>
      <c r="B401" s="136" t="str">
        <f aca="false">Scoring!BE407</f>
        <v/>
      </c>
      <c r="C401" s="136" t="n">
        <f aca="false">Scoring!C407</f>
        <v>0</v>
      </c>
      <c r="D401" s="137" t="str">
        <f aca="false">Scoring!BB407</f>
        <v/>
      </c>
      <c r="E401" s="136" t="str">
        <f aca="false">Scoring!AE407</f>
        <v/>
      </c>
      <c r="F401" s="136" t="n">
        <f aca="false">Scoring!B407</f>
        <v>0</v>
      </c>
      <c r="G401" s="136" t="n">
        <f aca="false">Scoring!D407</f>
        <v>0</v>
      </c>
      <c r="H401" s="136" t="str">
        <f aca="false">Scoring!BD407</f>
        <v/>
      </c>
      <c r="I401" s="138" t="str">
        <f aca="false">Scoring!BC407</f>
        <v/>
      </c>
    </row>
    <row r="402" customFormat="false" ht="15.75" hidden="false" customHeight="false" outlineLevel="0" collapsed="false">
      <c r="A402" s="136" t="str">
        <f aca="false">Scoring!BF408</f>
        <v/>
      </c>
      <c r="B402" s="136" t="str">
        <f aca="false">Scoring!BE408</f>
        <v/>
      </c>
      <c r="C402" s="136" t="n">
        <f aca="false">Scoring!C408</f>
        <v>0</v>
      </c>
      <c r="D402" s="137" t="str">
        <f aca="false">Scoring!BB408</f>
        <v/>
      </c>
      <c r="E402" s="136" t="str">
        <f aca="false">Scoring!AE408</f>
        <v/>
      </c>
      <c r="F402" s="136" t="n">
        <f aca="false">Scoring!B408</f>
        <v>0</v>
      </c>
      <c r="G402" s="136" t="n">
        <f aca="false">Scoring!D408</f>
        <v>0</v>
      </c>
      <c r="H402" s="136" t="str">
        <f aca="false">Scoring!BD408</f>
        <v/>
      </c>
      <c r="I402" s="138" t="str">
        <f aca="false">Scoring!BC408</f>
        <v/>
      </c>
    </row>
    <row r="403" customFormat="false" ht="15.75" hidden="false" customHeight="false" outlineLevel="0" collapsed="false">
      <c r="A403" s="136" t="str">
        <f aca="false">Scoring!BF409</f>
        <v/>
      </c>
      <c r="B403" s="136" t="str">
        <f aca="false">Scoring!BE409</f>
        <v/>
      </c>
      <c r="C403" s="136" t="n">
        <f aca="false">Scoring!C409</f>
        <v>0</v>
      </c>
      <c r="D403" s="137" t="str">
        <f aca="false">Scoring!BB409</f>
        <v/>
      </c>
      <c r="E403" s="136" t="str">
        <f aca="false">Scoring!AE409</f>
        <v/>
      </c>
      <c r="F403" s="136" t="n">
        <f aca="false">Scoring!B409</f>
        <v>0</v>
      </c>
      <c r="G403" s="136" t="n">
        <f aca="false">Scoring!D409</f>
        <v>0</v>
      </c>
      <c r="H403" s="136" t="str">
        <f aca="false">Scoring!BD409</f>
        <v/>
      </c>
      <c r="I403" s="138" t="str">
        <f aca="false">Scoring!BC409</f>
        <v/>
      </c>
    </row>
    <row r="404" customFormat="false" ht="15.75" hidden="false" customHeight="false" outlineLevel="0" collapsed="false">
      <c r="A404" s="136" t="str">
        <f aca="false">Scoring!BF410</f>
        <v/>
      </c>
      <c r="B404" s="136" t="str">
        <f aca="false">Scoring!BE410</f>
        <v/>
      </c>
      <c r="C404" s="136" t="n">
        <f aca="false">Scoring!C410</f>
        <v>0</v>
      </c>
      <c r="D404" s="137" t="str">
        <f aca="false">Scoring!BB410</f>
        <v/>
      </c>
      <c r="E404" s="136" t="str">
        <f aca="false">Scoring!AE410</f>
        <v/>
      </c>
      <c r="F404" s="136" t="n">
        <f aca="false">Scoring!B410</f>
        <v>0</v>
      </c>
      <c r="G404" s="136" t="n">
        <f aca="false">Scoring!D410</f>
        <v>0</v>
      </c>
      <c r="H404" s="136" t="str">
        <f aca="false">Scoring!BD410</f>
        <v/>
      </c>
      <c r="I404" s="138" t="str">
        <f aca="false">Scoring!BC410</f>
        <v/>
      </c>
    </row>
    <row r="405" customFormat="false" ht="15.75" hidden="false" customHeight="false" outlineLevel="0" collapsed="false">
      <c r="A405" s="136" t="str">
        <f aca="false">Scoring!BF411</f>
        <v/>
      </c>
      <c r="B405" s="136" t="str">
        <f aca="false">Scoring!BE411</f>
        <v/>
      </c>
      <c r="C405" s="136" t="n">
        <f aca="false">Scoring!C411</f>
        <v>0</v>
      </c>
      <c r="D405" s="137" t="str">
        <f aca="false">Scoring!BB411</f>
        <v/>
      </c>
      <c r="E405" s="136" t="str">
        <f aca="false">Scoring!AE411</f>
        <v/>
      </c>
      <c r="F405" s="136" t="n">
        <f aca="false">Scoring!B411</f>
        <v>0</v>
      </c>
      <c r="G405" s="136" t="n">
        <f aca="false">Scoring!D411</f>
        <v>0</v>
      </c>
      <c r="H405" s="136" t="str">
        <f aca="false">Scoring!BD411</f>
        <v/>
      </c>
      <c r="I405" s="138" t="str">
        <f aca="false">Scoring!BC411</f>
        <v/>
      </c>
    </row>
    <row r="406" customFormat="false" ht="15.75" hidden="false" customHeight="false" outlineLevel="0" collapsed="false">
      <c r="A406" s="136" t="str">
        <f aca="false">Scoring!BF412</f>
        <v/>
      </c>
      <c r="B406" s="136" t="str">
        <f aca="false">Scoring!BE412</f>
        <v/>
      </c>
      <c r="C406" s="136" t="n">
        <f aca="false">Scoring!C412</f>
        <v>0</v>
      </c>
      <c r="D406" s="137" t="str">
        <f aca="false">Scoring!BB412</f>
        <v/>
      </c>
      <c r="E406" s="136" t="str">
        <f aca="false">Scoring!AE412</f>
        <v/>
      </c>
      <c r="F406" s="136" t="n">
        <f aca="false">Scoring!B412</f>
        <v>0</v>
      </c>
      <c r="G406" s="136" t="n">
        <f aca="false">Scoring!D412</f>
        <v>0</v>
      </c>
      <c r="H406" s="136" t="str">
        <f aca="false">Scoring!BD412</f>
        <v/>
      </c>
      <c r="I406" s="138" t="str">
        <f aca="false">Scoring!BC412</f>
        <v/>
      </c>
    </row>
    <row r="407" customFormat="false" ht="15.75" hidden="false" customHeight="false" outlineLevel="0" collapsed="false">
      <c r="A407" s="136" t="str">
        <f aca="false">Scoring!BF413</f>
        <v/>
      </c>
      <c r="B407" s="136" t="str">
        <f aca="false">Scoring!BE413</f>
        <v/>
      </c>
      <c r="C407" s="136" t="n">
        <f aca="false">Scoring!C413</f>
        <v>0</v>
      </c>
      <c r="D407" s="137" t="str">
        <f aca="false">Scoring!BB413</f>
        <v/>
      </c>
      <c r="E407" s="136" t="str">
        <f aca="false">Scoring!AE413</f>
        <v/>
      </c>
      <c r="F407" s="136" t="n">
        <f aca="false">Scoring!B413</f>
        <v>0</v>
      </c>
      <c r="G407" s="136" t="n">
        <f aca="false">Scoring!D413</f>
        <v>0</v>
      </c>
      <c r="H407" s="136" t="str">
        <f aca="false">Scoring!BD413</f>
        <v/>
      </c>
      <c r="I407" s="138" t="str">
        <f aca="false">Scoring!BC413</f>
        <v/>
      </c>
    </row>
    <row r="408" customFormat="false" ht="15.75" hidden="false" customHeight="false" outlineLevel="0" collapsed="false">
      <c r="A408" s="136" t="str">
        <f aca="false">Scoring!BF414</f>
        <v/>
      </c>
      <c r="B408" s="136" t="str">
        <f aca="false">Scoring!BE414</f>
        <v/>
      </c>
      <c r="C408" s="136" t="n">
        <f aca="false">Scoring!C414</f>
        <v>0</v>
      </c>
      <c r="D408" s="137" t="str">
        <f aca="false">Scoring!BB414</f>
        <v/>
      </c>
      <c r="E408" s="136" t="str">
        <f aca="false">Scoring!AE414</f>
        <v/>
      </c>
      <c r="F408" s="136" t="n">
        <f aca="false">Scoring!B414</f>
        <v>0</v>
      </c>
      <c r="G408" s="136" t="n">
        <f aca="false">Scoring!D414</f>
        <v>0</v>
      </c>
      <c r="H408" s="136" t="str">
        <f aca="false">Scoring!BD414</f>
        <v/>
      </c>
      <c r="I408" s="138" t="str">
        <f aca="false">Scoring!BC414</f>
        <v/>
      </c>
    </row>
    <row r="409" customFormat="false" ht="15.75" hidden="false" customHeight="false" outlineLevel="0" collapsed="false">
      <c r="A409" s="136" t="str">
        <f aca="false">Scoring!BF415</f>
        <v/>
      </c>
      <c r="B409" s="136" t="str">
        <f aca="false">Scoring!BE415</f>
        <v/>
      </c>
      <c r="C409" s="136" t="n">
        <f aca="false">Scoring!C415</f>
        <v>0</v>
      </c>
      <c r="D409" s="137" t="str">
        <f aca="false">Scoring!BB415</f>
        <v/>
      </c>
      <c r="E409" s="136" t="str">
        <f aca="false">Scoring!AE415</f>
        <v/>
      </c>
      <c r="F409" s="136" t="n">
        <f aca="false">Scoring!B415</f>
        <v>0</v>
      </c>
      <c r="G409" s="136" t="n">
        <f aca="false">Scoring!D415</f>
        <v>0</v>
      </c>
      <c r="H409" s="136" t="str">
        <f aca="false">Scoring!BD415</f>
        <v/>
      </c>
      <c r="I409" s="138" t="str">
        <f aca="false">Scoring!BC415</f>
        <v/>
      </c>
    </row>
    <row r="410" customFormat="false" ht="15.75" hidden="false" customHeight="false" outlineLevel="0" collapsed="false">
      <c r="A410" s="136" t="str">
        <f aca="false">Scoring!BF416</f>
        <v/>
      </c>
      <c r="B410" s="136" t="str">
        <f aca="false">Scoring!BE416</f>
        <v/>
      </c>
      <c r="C410" s="136" t="n">
        <f aca="false">Scoring!C416</f>
        <v>0</v>
      </c>
      <c r="D410" s="137" t="str">
        <f aca="false">Scoring!BB416</f>
        <v/>
      </c>
      <c r="E410" s="136" t="str">
        <f aca="false">Scoring!AE416</f>
        <v/>
      </c>
      <c r="F410" s="136" t="n">
        <f aca="false">Scoring!B416</f>
        <v>0</v>
      </c>
      <c r="G410" s="136" t="n">
        <f aca="false">Scoring!D416</f>
        <v>0</v>
      </c>
      <c r="H410" s="136" t="str">
        <f aca="false">Scoring!BD416</f>
        <v/>
      </c>
      <c r="I410" s="138" t="str">
        <f aca="false">Scoring!BC416</f>
        <v/>
      </c>
    </row>
    <row r="411" customFormat="false" ht="15.75" hidden="false" customHeight="false" outlineLevel="0" collapsed="false">
      <c r="A411" s="136" t="str">
        <f aca="false">Scoring!BF417</f>
        <v/>
      </c>
      <c r="B411" s="136" t="str">
        <f aca="false">Scoring!BE417</f>
        <v/>
      </c>
      <c r="C411" s="136" t="n">
        <f aca="false">Scoring!C417</f>
        <v>0</v>
      </c>
      <c r="D411" s="137" t="str">
        <f aca="false">Scoring!BB417</f>
        <v/>
      </c>
      <c r="E411" s="136" t="str">
        <f aca="false">Scoring!AE417</f>
        <v/>
      </c>
      <c r="F411" s="136" t="n">
        <f aca="false">Scoring!B417</f>
        <v>0</v>
      </c>
      <c r="G411" s="136" t="n">
        <f aca="false">Scoring!D417</f>
        <v>0</v>
      </c>
      <c r="H411" s="136" t="str">
        <f aca="false">Scoring!BD417</f>
        <v/>
      </c>
      <c r="I411" s="138" t="str">
        <f aca="false">Scoring!BC417</f>
        <v/>
      </c>
    </row>
    <row r="412" customFormat="false" ht="15.75" hidden="false" customHeight="false" outlineLevel="0" collapsed="false">
      <c r="A412" s="136" t="str">
        <f aca="false">Scoring!BF418</f>
        <v/>
      </c>
      <c r="B412" s="136" t="str">
        <f aca="false">Scoring!BE418</f>
        <v/>
      </c>
      <c r="C412" s="136" t="n">
        <f aca="false">Scoring!C418</f>
        <v>0</v>
      </c>
      <c r="D412" s="137" t="str">
        <f aca="false">Scoring!BB418</f>
        <v/>
      </c>
      <c r="E412" s="136" t="str">
        <f aca="false">Scoring!AE418</f>
        <v/>
      </c>
      <c r="F412" s="136" t="n">
        <f aca="false">Scoring!B418</f>
        <v>0</v>
      </c>
      <c r="G412" s="136" t="n">
        <f aca="false">Scoring!D418</f>
        <v>0</v>
      </c>
      <c r="H412" s="136" t="str">
        <f aca="false">Scoring!BD418</f>
        <v/>
      </c>
      <c r="I412" s="138" t="str">
        <f aca="false">Scoring!BC418</f>
        <v/>
      </c>
    </row>
    <row r="413" customFormat="false" ht="15.75" hidden="false" customHeight="false" outlineLevel="0" collapsed="false">
      <c r="A413" s="136" t="str">
        <f aca="false">Scoring!BF419</f>
        <v/>
      </c>
      <c r="B413" s="136" t="str">
        <f aca="false">Scoring!BE419</f>
        <v/>
      </c>
      <c r="C413" s="136" t="n">
        <f aca="false">Scoring!C419</f>
        <v>0</v>
      </c>
      <c r="D413" s="137" t="str">
        <f aca="false">Scoring!BB419</f>
        <v/>
      </c>
      <c r="E413" s="136" t="str">
        <f aca="false">Scoring!AE419</f>
        <v/>
      </c>
      <c r="F413" s="136" t="n">
        <f aca="false">Scoring!B419</f>
        <v>0</v>
      </c>
      <c r="G413" s="136" t="n">
        <f aca="false">Scoring!D419</f>
        <v>0</v>
      </c>
      <c r="H413" s="136" t="str">
        <f aca="false">Scoring!BD419</f>
        <v/>
      </c>
      <c r="I413" s="138" t="str">
        <f aca="false">Scoring!BC419</f>
        <v/>
      </c>
    </row>
    <row r="414" customFormat="false" ht="15.75" hidden="false" customHeight="false" outlineLevel="0" collapsed="false">
      <c r="A414" s="136" t="str">
        <f aca="false">Scoring!BF420</f>
        <v/>
      </c>
      <c r="B414" s="136" t="str">
        <f aca="false">Scoring!BE420</f>
        <v/>
      </c>
      <c r="C414" s="136" t="n">
        <f aca="false">Scoring!C420</f>
        <v>0</v>
      </c>
      <c r="D414" s="137" t="str">
        <f aca="false">Scoring!BB420</f>
        <v/>
      </c>
      <c r="E414" s="136" t="str">
        <f aca="false">Scoring!AE420</f>
        <v/>
      </c>
      <c r="F414" s="136" t="n">
        <f aca="false">Scoring!B420</f>
        <v>0</v>
      </c>
      <c r="G414" s="136" t="n">
        <f aca="false">Scoring!D420</f>
        <v>0</v>
      </c>
      <c r="H414" s="136" t="str">
        <f aca="false">Scoring!BD420</f>
        <v/>
      </c>
      <c r="I414" s="138" t="str">
        <f aca="false">Scoring!BC420</f>
        <v/>
      </c>
    </row>
    <row r="415" customFormat="false" ht="15.75" hidden="false" customHeight="false" outlineLevel="0" collapsed="false">
      <c r="A415" s="136" t="str">
        <f aca="false">Scoring!BF421</f>
        <v/>
      </c>
      <c r="B415" s="136" t="str">
        <f aca="false">Scoring!BE421</f>
        <v/>
      </c>
      <c r="C415" s="136" t="n">
        <f aca="false">Scoring!C421</f>
        <v>0</v>
      </c>
      <c r="D415" s="137" t="str">
        <f aca="false">Scoring!BB421</f>
        <v/>
      </c>
      <c r="E415" s="136" t="str">
        <f aca="false">Scoring!AE421</f>
        <v/>
      </c>
      <c r="F415" s="136" t="n">
        <f aca="false">Scoring!B421</f>
        <v>0</v>
      </c>
      <c r="G415" s="136" t="n">
        <f aca="false">Scoring!D421</f>
        <v>0</v>
      </c>
      <c r="H415" s="136" t="str">
        <f aca="false">Scoring!BD421</f>
        <v/>
      </c>
      <c r="I415" s="138" t="str">
        <f aca="false">Scoring!BC421</f>
        <v/>
      </c>
    </row>
    <row r="416" customFormat="false" ht="15.75" hidden="false" customHeight="false" outlineLevel="0" collapsed="false">
      <c r="A416" s="136" t="str">
        <f aca="false">Scoring!BF422</f>
        <v/>
      </c>
      <c r="B416" s="136" t="str">
        <f aca="false">Scoring!BE422</f>
        <v/>
      </c>
      <c r="C416" s="136" t="n">
        <f aca="false">Scoring!C422</f>
        <v>0</v>
      </c>
      <c r="D416" s="137" t="str">
        <f aca="false">Scoring!BB422</f>
        <v/>
      </c>
      <c r="E416" s="136" t="str">
        <f aca="false">Scoring!AE422</f>
        <v/>
      </c>
      <c r="F416" s="136" t="n">
        <f aca="false">Scoring!B422</f>
        <v>0</v>
      </c>
      <c r="G416" s="136" t="n">
        <f aca="false">Scoring!D422</f>
        <v>0</v>
      </c>
      <c r="H416" s="136" t="str">
        <f aca="false">Scoring!BD422</f>
        <v/>
      </c>
      <c r="I416" s="138" t="str">
        <f aca="false">Scoring!BC422</f>
        <v/>
      </c>
    </row>
    <row r="417" customFormat="false" ht="15.75" hidden="false" customHeight="false" outlineLevel="0" collapsed="false">
      <c r="A417" s="136" t="str">
        <f aca="false">Scoring!BF423</f>
        <v/>
      </c>
      <c r="B417" s="136" t="str">
        <f aca="false">Scoring!BE423</f>
        <v/>
      </c>
      <c r="C417" s="136" t="n">
        <f aca="false">Scoring!C423</f>
        <v>0</v>
      </c>
      <c r="D417" s="137" t="str">
        <f aca="false">Scoring!BB423</f>
        <v/>
      </c>
      <c r="E417" s="136" t="str">
        <f aca="false">Scoring!AE423</f>
        <v/>
      </c>
      <c r="F417" s="136" t="n">
        <f aca="false">Scoring!B423</f>
        <v>0</v>
      </c>
      <c r="G417" s="136" t="n">
        <f aca="false">Scoring!D423</f>
        <v>0</v>
      </c>
      <c r="H417" s="136" t="str">
        <f aca="false">Scoring!BD423</f>
        <v/>
      </c>
      <c r="I417" s="138" t="str">
        <f aca="false">Scoring!BC423</f>
        <v/>
      </c>
    </row>
    <row r="418" customFormat="false" ht="15.75" hidden="false" customHeight="false" outlineLevel="0" collapsed="false">
      <c r="A418" s="136" t="str">
        <f aca="false">Scoring!BF424</f>
        <v/>
      </c>
      <c r="B418" s="136" t="str">
        <f aca="false">Scoring!BE424</f>
        <v/>
      </c>
      <c r="C418" s="136" t="n">
        <f aca="false">Scoring!C424</f>
        <v>0</v>
      </c>
      <c r="D418" s="137" t="str">
        <f aca="false">Scoring!BB424</f>
        <v/>
      </c>
      <c r="E418" s="136" t="str">
        <f aca="false">Scoring!AE424</f>
        <v/>
      </c>
      <c r="F418" s="136" t="n">
        <f aca="false">Scoring!B424</f>
        <v>0</v>
      </c>
      <c r="G418" s="136" t="n">
        <f aca="false">Scoring!D424</f>
        <v>0</v>
      </c>
      <c r="H418" s="136" t="str">
        <f aca="false">Scoring!BD424</f>
        <v/>
      </c>
      <c r="I418" s="138" t="str">
        <f aca="false">Scoring!BC424</f>
        <v/>
      </c>
    </row>
    <row r="419" customFormat="false" ht="15.75" hidden="false" customHeight="false" outlineLevel="0" collapsed="false">
      <c r="A419" s="136" t="str">
        <f aca="false">Scoring!BF425</f>
        <v/>
      </c>
      <c r="B419" s="136" t="str">
        <f aca="false">Scoring!BE425</f>
        <v/>
      </c>
      <c r="C419" s="136" t="n">
        <f aca="false">Scoring!C425</f>
        <v>0</v>
      </c>
      <c r="D419" s="137" t="str">
        <f aca="false">Scoring!BB425</f>
        <v/>
      </c>
      <c r="E419" s="136" t="str">
        <f aca="false">Scoring!AE425</f>
        <v/>
      </c>
      <c r="F419" s="136" t="n">
        <f aca="false">Scoring!B425</f>
        <v>0</v>
      </c>
      <c r="G419" s="136" t="n">
        <f aca="false">Scoring!D425</f>
        <v>0</v>
      </c>
      <c r="H419" s="136" t="str">
        <f aca="false">Scoring!BD425</f>
        <v/>
      </c>
      <c r="I419" s="138" t="str">
        <f aca="false">Scoring!BC425</f>
        <v/>
      </c>
    </row>
    <row r="420" customFormat="false" ht="15.75" hidden="false" customHeight="false" outlineLevel="0" collapsed="false">
      <c r="A420" s="136" t="str">
        <f aca="false">Scoring!BF426</f>
        <v/>
      </c>
      <c r="B420" s="136" t="str">
        <f aca="false">Scoring!BE426</f>
        <v/>
      </c>
      <c r="C420" s="136" t="n">
        <f aca="false">Scoring!C426</f>
        <v>0</v>
      </c>
      <c r="D420" s="137" t="str">
        <f aca="false">Scoring!BB426</f>
        <v/>
      </c>
      <c r="E420" s="136" t="str">
        <f aca="false">Scoring!AE426</f>
        <v/>
      </c>
      <c r="F420" s="136" t="n">
        <f aca="false">Scoring!B426</f>
        <v>0</v>
      </c>
      <c r="G420" s="136" t="n">
        <f aca="false">Scoring!D426</f>
        <v>0</v>
      </c>
      <c r="H420" s="136" t="str">
        <f aca="false">Scoring!BD426</f>
        <v/>
      </c>
      <c r="I420" s="138" t="str">
        <f aca="false">Scoring!BC426</f>
        <v/>
      </c>
    </row>
    <row r="421" customFormat="false" ht="15.75" hidden="false" customHeight="false" outlineLevel="0" collapsed="false">
      <c r="A421" s="136" t="str">
        <f aca="false">Scoring!BF427</f>
        <v/>
      </c>
      <c r="B421" s="136" t="str">
        <f aca="false">Scoring!BE427</f>
        <v/>
      </c>
      <c r="C421" s="136" t="n">
        <f aca="false">Scoring!C427</f>
        <v>0</v>
      </c>
      <c r="D421" s="137" t="str">
        <f aca="false">Scoring!BB427</f>
        <v/>
      </c>
      <c r="E421" s="136" t="str">
        <f aca="false">Scoring!AE427</f>
        <v/>
      </c>
      <c r="F421" s="136" t="n">
        <f aca="false">Scoring!B427</f>
        <v>0</v>
      </c>
      <c r="G421" s="136" t="n">
        <f aca="false">Scoring!D427</f>
        <v>0</v>
      </c>
      <c r="H421" s="136" t="str">
        <f aca="false">Scoring!BD427</f>
        <v/>
      </c>
      <c r="I421" s="138" t="str">
        <f aca="false">Scoring!BC427</f>
        <v/>
      </c>
    </row>
    <row r="422" customFormat="false" ht="15.75" hidden="false" customHeight="false" outlineLevel="0" collapsed="false">
      <c r="A422" s="136" t="str">
        <f aca="false">Scoring!BF428</f>
        <v/>
      </c>
      <c r="B422" s="136" t="str">
        <f aca="false">Scoring!BE428</f>
        <v/>
      </c>
      <c r="C422" s="136" t="n">
        <f aca="false">Scoring!C428</f>
        <v>0</v>
      </c>
      <c r="D422" s="137" t="str">
        <f aca="false">Scoring!BB428</f>
        <v/>
      </c>
      <c r="E422" s="136" t="str">
        <f aca="false">Scoring!AE428</f>
        <v/>
      </c>
      <c r="F422" s="136" t="n">
        <f aca="false">Scoring!B428</f>
        <v>0</v>
      </c>
      <c r="G422" s="136" t="n">
        <f aca="false">Scoring!D428</f>
        <v>0</v>
      </c>
      <c r="H422" s="136" t="str">
        <f aca="false">Scoring!BD428</f>
        <v/>
      </c>
      <c r="I422" s="138" t="str">
        <f aca="false">Scoring!BC428</f>
        <v/>
      </c>
    </row>
    <row r="423" customFormat="false" ht="15.75" hidden="false" customHeight="false" outlineLevel="0" collapsed="false">
      <c r="A423" s="136" t="str">
        <f aca="false">Scoring!BF429</f>
        <v/>
      </c>
      <c r="B423" s="136" t="str">
        <f aca="false">Scoring!BE429</f>
        <v/>
      </c>
      <c r="C423" s="136" t="n">
        <f aca="false">Scoring!C429</f>
        <v>0</v>
      </c>
      <c r="D423" s="137" t="str">
        <f aca="false">Scoring!BB429</f>
        <v/>
      </c>
      <c r="E423" s="136" t="str">
        <f aca="false">Scoring!AE429</f>
        <v/>
      </c>
      <c r="F423" s="136" t="n">
        <f aca="false">Scoring!B429</f>
        <v>0</v>
      </c>
      <c r="G423" s="136" t="n">
        <f aca="false">Scoring!D429</f>
        <v>0</v>
      </c>
      <c r="H423" s="136" t="str">
        <f aca="false">Scoring!BD429</f>
        <v/>
      </c>
      <c r="I423" s="138" t="str">
        <f aca="false">Scoring!BC429</f>
        <v/>
      </c>
    </row>
    <row r="424" customFormat="false" ht="15.75" hidden="false" customHeight="false" outlineLevel="0" collapsed="false">
      <c r="A424" s="136" t="str">
        <f aca="false">Scoring!BF430</f>
        <v/>
      </c>
      <c r="B424" s="136" t="str">
        <f aca="false">Scoring!BE430</f>
        <v/>
      </c>
      <c r="C424" s="136" t="n">
        <f aca="false">Scoring!C430</f>
        <v>0</v>
      </c>
      <c r="D424" s="137" t="str">
        <f aca="false">Scoring!BB430</f>
        <v/>
      </c>
      <c r="E424" s="136" t="str">
        <f aca="false">Scoring!AE430</f>
        <v/>
      </c>
      <c r="F424" s="136" t="n">
        <f aca="false">Scoring!B430</f>
        <v>0</v>
      </c>
      <c r="G424" s="136" t="n">
        <f aca="false">Scoring!D430</f>
        <v>0</v>
      </c>
      <c r="H424" s="136" t="str">
        <f aca="false">Scoring!BD430</f>
        <v/>
      </c>
      <c r="I424" s="138" t="str">
        <f aca="false">Scoring!BC430</f>
        <v/>
      </c>
    </row>
    <row r="425" customFormat="false" ht="15.75" hidden="false" customHeight="false" outlineLevel="0" collapsed="false">
      <c r="A425" s="136" t="str">
        <f aca="false">Scoring!BF431</f>
        <v/>
      </c>
      <c r="B425" s="136" t="str">
        <f aca="false">Scoring!BE431</f>
        <v/>
      </c>
      <c r="C425" s="136" t="n">
        <f aca="false">Scoring!C431</f>
        <v>0</v>
      </c>
      <c r="D425" s="137" t="str">
        <f aca="false">Scoring!BB431</f>
        <v/>
      </c>
      <c r="E425" s="136" t="str">
        <f aca="false">Scoring!AE431</f>
        <v/>
      </c>
      <c r="F425" s="136" t="n">
        <f aca="false">Scoring!B431</f>
        <v>0</v>
      </c>
      <c r="G425" s="136" t="n">
        <f aca="false">Scoring!D431</f>
        <v>0</v>
      </c>
      <c r="H425" s="136" t="str">
        <f aca="false">Scoring!BD431</f>
        <v/>
      </c>
      <c r="I425" s="138" t="str">
        <f aca="false">Scoring!BC431</f>
        <v/>
      </c>
    </row>
    <row r="426" customFormat="false" ht="15.75" hidden="false" customHeight="false" outlineLevel="0" collapsed="false">
      <c r="A426" s="136" t="str">
        <f aca="false">Scoring!BF432</f>
        <v/>
      </c>
      <c r="B426" s="136" t="str">
        <f aca="false">Scoring!BE432</f>
        <v/>
      </c>
      <c r="C426" s="136" t="n">
        <f aca="false">Scoring!C432</f>
        <v>0</v>
      </c>
      <c r="D426" s="137" t="str">
        <f aca="false">Scoring!BB432</f>
        <v/>
      </c>
      <c r="E426" s="136" t="str">
        <f aca="false">Scoring!AE432</f>
        <v/>
      </c>
      <c r="F426" s="136" t="n">
        <f aca="false">Scoring!B432</f>
        <v>0</v>
      </c>
      <c r="G426" s="136" t="n">
        <f aca="false">Scoring!D432</f>
        <v>0</v>
      </c>
      <c r="H426" s="136" t="str">
        <f aca="false">Scoring!BD432</f>
        <v/>
      </c>
      <c r="I426" s="138" t="str">
        <f aca="false">Scoring!BC432</f>
        <v/>
      </c>
    </row>
    <row r="427" customFormat="false" ht="15.75" hidden="false" customHeight="false" outlineLevel="0" collapsed="false">
      <c r="A427" s="136" t="str">
        <f aca="false">Scoring!BF433</f>
        <v/>
      </c>
      <c r="B427" s="136" t="str">
        <f aca="false">Scoring!BE433</f>
        <v/>
      </c>
      <c r="C427" s="136" t="n">
        <f aca="false">Scoring!C433</f>
        <v>0</v>
      </c>
      <c r="D427" s="137" t="str">
        <f aca="false">Scoring!BB433</f>
        <v/>
      </c>
      <c r="E427" s="136" t="str">
        <f aca="false">Scoring!AE433</f>
        <v/>
      </c>
      <c r="F427" s="136" t="n">
        <f aca="false">Scoring!B433</f>
        <v>0</v>
      </c>
      <c r="G427" s="136" t="n">
        <f aca="false">Scoring!D433</f>
        <v>0</v>
      </c>
      <c r="H427" s="136" t="str">
        <f aca="false">Scoring!BD433</f>
        <v/>
      </c>
      <c r="I427" s="138" t="str">
        <f aca="false">Scoring!BC433</f>
        <v/>
      </c>
    </row>
    <row r="428" customFormat="false" ht="15.75" hidden="false" customHeight="false" outlineLevel="0" collapsed="false">
      <c r="A428" s="136" t="str">
        <f aca="false">Scoring!BF434</f>
        <v/>
      </c>
      <c r="B428" s="136" t="str">
        <f aca="false">Scoring!BE434</f>
        <v/>
      </c>
      <c r="C428" s="136" t="n">
        <f aca="false">Scoring!C434</f>
        <v>0</v>
      </c>
      <c r="D428" s="137" t="str">
        <f aca="false">Scoring!BB434</f>
        <v/>
      </c>
      <c r="E428" s="136" t="str">
        <f aca="false">Scoring!AE434</f>
        <v/>
      </c>
      <c r="F428" s="136" t="n">
        <f aca="false">Scoring!B434</f>
        <v>0</v>
      </c>
      <c r="G428" s="136" t="n">
        <f aca="false">Scoring!D434</f>
        <v>0</v>
      </c>
      <c r="H428" s="136" t="str">
        <f aca="false">Scoring!BD434</f>
        <v/>
      </c>
      <c r="I428" s="138" t="str">
        <f aca="false">Scoring!BC434</f>
        <v/>
      </c>
    </row>
    <row r="429" customFormat="false" ht="15.75" hidden="false" customHeight="false" outlineLevel="0" collapsed="false">
      <c r="A429" s="136" t="str">
        <f aca="false">Scoring!BF435</f>
        <v/>
      </c>
      <c r="B429" s="136" t="str">
        <f aca="false">Scoring!BE435</f>
        <v/>
      </c>
      <c r="C429" s="136" t="n">
        <f aca="false">Scoring!C435</f>
        <v>0</v>
      </c>
      <c r="D429" s="137" t="str">
        <f aca="false">Scoring!BB435</f>
        <v/>
      </c>
      <c r="E429" s="136" t="str">
        <f aca="false">Scoring!AE435</f>
        <v/>
      </c>
      <c r="F429" s="136" t="n">
        <f aca="false">Scoring!B435</f>
        <v>0</v>
      </c>
      <c r="G429" s="136" t="n">
        <f aca="false">Scoring!D435</f>
        <v>0</v>
      </c>
      <c r="H429" s="136" t="str">
        <f aca="false">Scoring!BD435</f>
        <v/>
      </c>
      <c r="I429" s="138" t="str">
        <f aca="false">Scoring!BC435</f>
        <v/>
      </c>
    </row>
    <row r="430" customFormat="false" ht="15.75" hidden="false" customHeight="false" outlineLevel="0" collapsed="false">
      <c r="A430" s="136" t="str">
        <f aca="false">Scoring!BF436</f>
        <v/>
      </c>
      <c r="B430" s="136" t="str">
        <f aca="false">Scoring!BE436</f>
        <v/>
      </c>
      <c r="C430" s="136" t="n">
        <f aca="false">Scoring!C436</f>
        <v>0</v>
      </c>
      <c r="D430" s="137" t="str">
        <f aca="false">Scoring!BB436</f>
        <v/>
      </c>
      <c r="E430" s="136" t="str">
        <f aca="false">Scoring!AE436</f>
        <v/>
      </c>
      <c r="F430" s="136" t="n">
        <f aca="false">Scoring!B436</f>
        <v>0</v>
      </c>
      <c r="G430" s="136" t="n">
        <f aca="false">Scoring!D436</f>
        <v>0</v>
      </c>
      <c r="H430" s="136" t="str">
        <f aca="false">Scoring!BD436</f>
        <v/>
      </c>
      <c r="I430" s="138" t="str">
        <f aca="false">Scoring!BC436</f>
        <v/>
      </c>
    </row>
    <row r="431" customFormat="false" ht="15.75" hidden="false" customHeight="false" outlineLevel="0" collapsed="false">
      <c r="A431" s="136" t="str">
        <f aca="false">Scoring!BF437</f>
        <v/>
      </c>
      <c r="B431" s="136" t="str">
        <f aca="false">Scoring!BE437</f>
        <v/>
      </c>
      <c r="C431" s="136" t="n">
        <f aca="false">Scoring!C437</f>
        <v>0</v>
      </c>
      <c r="D431" s="137" t="str">
        <f aca="false">Scoring!BB437</f>
        <v/>
      </c>
      <c r="E431" s="136" t="str">
        <f aca="false">Scoring!AE437</f>
        <v/>
      </c>
      <c r="F431" s="136" t="n">
        <f aca="false">Scoring!B437</f>
        <v>0</v>
      </c>
      <c r="G431" s="136" t="n">
        <f aca="false">Scoring!D437</f>
        <v>0</v>
      </c>
      <c r="H431" s="136" t="str">
        <f aca="false">Scoring!BD437</f>
        <v/>
      </c>
      <c r="I431" s="138" t="str">
        <f aca="false">Scoring!BC437</f>
        <v/>
      </c>
    </row>
    <row r="432" customFormat="false" ht="15.75" hidden="false" customHeight="false" outlineLevel="0" collapsed="false">
      <c r="A432" s="136" t="str">
        <f aca="false">Scoring!BF438</f>
        <v/>
      </c>
      <c r="B432" s="136" t="str">
        <f aca="false">Scoring!BE438</f>
        <v/>
      </c>
      <c r="C432" s="136" t="n">
        <f aca="false">Scoring!C438</f>
        <v>0</v>
      </c>
      <c r="D432" s="137" t="str">
        <f aca="false">Scoring!BB438</f>
        <v/>
      </c>
      <c r="E432" s="136" t="str">
        <f aca="false">Scoring!AE438</f>
        <v/>
      </c>
      <c r="F432" s="136" t="n">
        <f aca="false">Scoring!B438</f>
        <v>0</v>
      </c>
      <c r="G432" s="136" t="n">
        <f aca="false">Scoring!D438</f>
        <v>0</v>
      </c>
      <c r="H432" s="136" t="str">
        <f aca="false">Scoring!BD438</f>
        <v/>
      </c>
      <c r="I432" s="138" t="str">
        <f aca="false">Scoring!BC438</f>
        <v/>
      </c>
    </row>
    <row r="433" customFormat="false" ht="15.75" hidden="false" customHeight="false" outlineLevel="0" collapsed="false">
      <c r="A433" s="136" t="str">
        <f aca="false">Scoring!BF439</f>
        <v/>
      </c>
      <c r="B433" s="136" t="str">
        <f aca="false">Scoring!BE439</f>
        <v/>
      </c>
      <c r="C433" s="136" t="n">
        <f aca="false">Scoring!C439</f>
        <v>0</v>
      </c>
      <c r="D433" s="137" t="str">
        <f aca="false">Scoring!BB439</f>
        <v/>
      </c>
      <c r="E433" s="136" t="str">
        <f aca="false">Scoring!AE439</f>
        <v/>
      </c>
      <c r="F433" s="136" t="n">
        <f aca="false">Scoring!B439</f>
        <v>0</v>
      </c>
      <c r="G433" s="136" t="n">
        <f aca="false">Scoring!D439</f>
        <v>0</v>
      </c>
      <c r="H433" s="136" t="str">
        <f aca="false">Scoring!BD439</f>
        <v/>
      </c>
      <c r="I433" s="138" t="str">
        <f aca="false">Scoring!BC439</f>
        <v/>
      </c>
    </row>
    <row r="434" customFormat="false" ht="15.75" hidden="false" customHeight="false" outlineLevel="0" collapsed="false">
      <c r="A434" s="136" t="str">
        <f aca="false">Scoring!BF440</f>
        <v/>
      </c>
      <c r="B434" s="136" t="str">
        <f aca="false">Scoring!BE440</f>
        <v/>
      </c>
      <c r="C434" s="136" t="n">
        <f aca="false">Scoring!C440</f>
        <v>0</v>
      </c>
      <c r="D434" s="137" t="str">
        <f aca="false">Scoring!BB440</f>
        <v/>
      </c>
      <c r="E434" s="136" t="str">
        <f aca="false">Scoring!AE440</f>
        <v/>
      </c>
      <c r="F434" s="136" t="n">
        <f aca="false">Scoring!B440</f>
        <v>0</v>
      </c>
      <c r="G434" s="136" t="n">
        <f aca="false">Scoring!D440</f>
        <v>0</v>
      </c>
      <c r="H434" s="136" t="str">
        <f aca="false">Scoring!BD440</f>
        <v/>
      </c>
      <c r="I434" s="138" t="str">
        <f aca="false">Scoring!BC440</f>
        <v/>
      </c>
    </row>
    <row r="435" customFormat="false" ht="15.75" hidden="false" customHeight="false" outlineLevel="0" collapsed="false">
      <c r="A435" s="136" t="str">
        <f aca="false">Scoring!BF441</f>
        <v/>
      </c>
      <c r="B435" s="136" t="str">
        <f aca="false">Scoring!BE441</f>
        <v/>
      </c>
      <c r="C435" s="136" t="n">
        <f aca="false">Scoring!C441</f>
        <v>0</v>
      </c>
      <c r="D435" s="137" t="str">
        <f aca="false">Scoring!BB441</f>
        <v/>
      </c>
      <c r="E435" s="136" t="str">
        <f aca="false">Scoring!AE441</f>
        <v/>
      </c>
      <c r="F435" s="136" t="n">
        <f aca="false">Scoring!B441</f>
        <v>0</v>
      </c>
      <c r="G435" s="136" t="n">
        <f aca="false">Scoring!D441</f>
        <v>0</v>
      </c>
      <c r="H435" s="136" t="str">
        <f aca="false">Scoring!BD441</f>
        <v/>
      </c>
      <c r="I435" s="138" t="str">
        <f aca="false">Scoring!BC441</f>
        <v/>
      </c>
    </row>
    <row r="436" customFormat="false" ht="15.75" hidden="false" customHeight="false" outlineLevel="0" collapsed="false">
      <c r="A436" s="136" t="str">
        <f aca="false">Scoring!BF442</f>
        <v/>
      </c>
      <c r="B436" s="136" t="str">
        <f aca="false">Scoring!BE442</f>
        <v/>
      </c>
      <c r="C436" s="136" t="n">
        <f aca="false">Scoring!C442</f>
        <v>0</v>
      </c>
      <c r="D436" s="137" t="str">
        <f aca="false">Scoring!BB442</f>
        <v/>
      </c>
      <c r="E436" s="136" t="str">
        <f aca="false">Scoring!AE442</f>
        <v/>
      </c>
      <c r="F436" s="136" t="n">
        <f aca="false">Scoring!B442</f>
        <v>0</v>
      </c>
      <c r="G436" s="136" t="n">
        <f aca="false">Scoring!D442</f>
        <v>0</v>
      </c>
      <c r="H436" s="136" t="str">
        <f aca="false">Scoring!BD442</f>
        <v/>
      </c>
      <c r="I436" s="138" t="str">
        <f aca="false">Scoring!BC442</f>
        <v/>
      </c>
    </row>
    <row r="437" customFormat="false" ht="15.75" hidden="false" customHeight="false" outlineLevel="0" collapsed="false">
      <c r="A437" s="136" t="str">
        <f aca="false">Scoring!BF443</f>
        <v/>
      </c>
      <c r="B437" s="136" t="str">
        <f aca="false">Scoring!BE443</f>
        <v/>
      </c>
      <c r="C437" s="136" t="n">
        <f aca="false">Scoring!C443</f>
        <v>0</v>
      </c>
      <c r="D437" s="137" t="str">
        <f aca="false">Scoring!BB443</f>
        <v/>
      </c>
      <c r="E437" s="136" t="str">
        <f aca="false">Scoring!AE443</f>
        <v/>
      </c>
      <c r="F437" s="136" t="n">
        <f aca="false">Scoring!B443</f>
        <v>0</v>
      </c>
      <c r="G437" s="136" t="n">
        <f aca="false">Scoring!D443</f>
        <v>0</v>
      </c>
      <c r="H437" s="136" t="str">
        <f aca="false">Scoring!BD443</f>
        <v/>
      </c>
      <c r="I437" s="138" t="str">
        <f aca="false">Scoring!BC443</f>
        <v/>
      </c>
    </row>
    <row r="438" customFormat="false" ht="15.75" hidden="false" customHeight="false" outlineLevel="0" collapsed="false">
      <c r="A438" s="136" t="str">
        <f aca="false">Scoring!BF444</f>
        <v/>
      </c>
      <c r="B438" s="136" t="str">
        <f aca="false">Scoring!BE444</f>
        <v/>
      </c>
      <c r="C438" s="136" t="n">
        <f aca="false">Scoring!C444</f>
        <v>0</v>
      </c>
      <c r="D438" s="137" t="str">
        <f aca="false">Scoring!BB444</f>
        <v/>
      </c>
      <c r="E438" s="136" t="str">
        <f aca="false">Scoring!AE444</f>
        <v/>
      </c>
      <c r="F438" s="136" t="n">
        <f aca="false">Scoring!B444</f>
        <v>0</v>
      </c>
      <c r="G438" s="136" t="n">
        <f aca="false">Scoring!D444</f>
        <v>0</v>
      </c>
      <c r="H438" s="136" t="str">
        <f aca="false">Scoring!BD444</f>
        <v/>
      </c>
      <c r="I438" s="138" t="str">
        <f aca="false">Scoring!BC444</f>
        <v/>
      </c>
    </row>
    <row r="439" customFormat="false" ht="15.75" hidden="false" customHeight="false" outlineLevel="0" collapsed="false">
      <c r="A439" s="136" t="str">
        <f aca="false">Scoring!BF445</f>
        <v/>
      </c>
      <c r="B439" s="136" t="str">
        <f aca="false">Scoring!BE445</f>
        <v/>
      </c>
      <c r="C439" s="136" t="n">
        <f aca="false">Scoring!C445</f>
        <v>0</v>
      </c>
      <c r="D439" s="137" t="str">
        <f aca="false">Scoring!BB445</f>
        <v/>
      </c>
      <c r="E439" s="136" t="str">
        <f aca="false">Scoring!AE445</f>
        <v/>
      </c>
      <c r="F439" s="136" t="n">
        <f aca="false">Scoring!B445</f>
        <v>0</v>
      </c>
      <c r="G439" s="136" t="n">
        <f aca="false">Scoring!D445</f>
        <v>0</v>
      </c>
      <c r="H439" s="136" t="str">
        <f aca="false">Scoring!BD445</f>
        <v/>
      </c>
      <c r="I439" s="138" t="str">
        <f aca="false">Scoring!BC445</f>
        <v/>
      </c>
    </row>
    <row r="440" customFormat="false" ht="15.75" hidden="false" customHeight="false" outlineLevel="0" collapsed="false">
      <c r="A440" s="136" t="str">
        <f aca="false">Scoring!BF446</f>
        <v/>
      </c>
      <c r="B440" s="136" t="str">
        <f aca="false">Scoring!BE446</f>
        <v/>
      </c>
      <c r="C440" s="136" t="n">
        <f aca="false">Scoring!C446</f>
        <v>0</v>
      </c>
      <c r="D440" s="137" t="str">
        <f aca="false">Scoring!BB446</f>
        <v/>
      </c>
      <c r="E440" s="136" t="str">
        <f aca="false">Scoring!AE446</f>
        <v/>
      </c>
      <c r="F440" s="136" t="n">
        <f aca="false">Scoring!B446</f>
        <v>0</v>
      </c>
      <c r="G440" s="136" t="n">
        <f aca="false">Scoring!D446</f>
        <v>0</v>
      </c>
      <c r="H440" s="136" t="str">
        <f aca="false">Scoring!BD446</f>
        <v/>
      </c>
      <c r="I440" s="138" t="str">
        <f aca="false">Scoring!BC446</f>
        <v/>
      </c>
    </row>
    <row r="441" customFormat="false" ht="15.75" hidden="false" customHeight="false" outlineLevel="0" collapsed="false">
      <c r="A441" s="136" t="str">
        <f aca="false">Scoring!BF447</f>
        <v/>
      </c>
      <c r="B441" s="136" t="str">
        <f aca="false">Scoring!BE447</f>
        <v/>
      </c>
      <c r="C441" s="136" t="n">
        <f aca="false">Scoring!C447</f>
        <v>0</v>
      </c>
      <c r="D441" s="137" t="str">
        <f aca="false">Scoring!BB447</f>
        <v/>
      </c>
      <c r="E441" s="136" t="str">
        <f aca="false">Scoring!AE447</f>
        <v/>
      </c>
      <c r="F441" s="136" t="n">
        <f aca="false">Scoring!B447</f>
        <v>0</v>
      </c>
      <c r="G441" s="136" t="n">
        <f aca="false">Scoring!D447</f>
        <v>0</v>
      </c>
      <c r="H441" s="136" t="str">
        <f aca="false">Scoring!BD447</f>
        <v/>
      </c>
      <c r="I441" s="138" t="str">
        <f aca="false">Scoring!BC447</f>
        <v/>
      </c>
    </row>
    <row r="442" customFormat="false" ht="15.75" hidden="false" customHeight="false" outlineLevel="0" collapsed="false">
      <c r="A442" s="136" t="str">
        <f aca="false">Scoring!BF448</f>
        <v/>
      </c>
      <c r="B442" s="136" t="str">
        <f aca="false">Scoring!BE448</f>
        <v/>
      </c>
      <c r="C442" s="136" t="n">
        <f aca="false">Scoring!C448</f>
        <v>0</v>
      </c>
      <c r="D442" s="137" t="str">
        <f aca="false">Scoring!BB448</f>
        <v/>
      </c>
      <c r="E442" s="136" t="str">
        <f aca="false">Scoring!AE448</f>
        <v/>
      </c>
      <c r="F442" s="136" t="n">
        <f aca="false">Scoring!B448</f>
        <v>0</v>
      </c>
      <c r="G442" s="136" t="n">
        <f aca="false">Scoring!D448</f>
        <v>0</v>
      </c>
      <c r="H442" s="136" t="str">
        <f aca="false">Scoring!BD448</f>
        <v/>
      </c>
      <c r="I442" s="138" t="str">
        <f aca="false">Scoring!BC448</f>
        <v/>
      </c>
    </row>
    <row r="443" customFormat="false" ht="15.75" hidden="false" customHeight="false" outlineLevel="0" collapsed="false">
      <c r="A443" s="136" t="str">
        <f aca="false">Scoring!BF449</f>
        <v/>
      </c>
      <c r="B443" s="136" t="str">
        <f aca="false">Scoring!BE449</f>
        <v/>
      </c>
      <c r="C443" s="136" t="n">
        <f aca="false">Scoring!C449</f>
        <v>0</v>
      </c>
      <c r="D443" s="137" t="str">
        <f aca="false">Scoring!BB449</f>
        <v/>
      </c>
      <c r="E443" s="136" t="str">
        <f aca="false">Scoring!AE449</f>
        <v/>
      </c>
      <c r="F443" s="136" t="n">
        <f aca="false">Scoring!B449</f>
        <v>0</v>
      </c>
      <c r="G443" s="136" t="n">
        <f aca="false">Scoring!D449</f>
        <v>0</v>
      </c>
      <c r="H443" s="136" t="str">
        <f aca="false">Scoring!BD449</f>
        <v/>
      </c>
      <c r="I443" s="138" t="str">
        <f aca="false">Scoring!BC449</f>
        <v/>
      </c>
    </row>
    <row r="444" customFormat="false" ht="15.75" hidden="false" customHeight="false" outlineLevel="0" collapsed="false">
      <c r="A444" s="136" t="str">
        <f aca="false">Scoring!BF450</f>
        <v/>
      </c>
      <c r="B444" s="136" t="str">
        <f aca="false">Scoring!BE450</f>
        <v/>
      </c>
      <c r="C444" s="136" t="n">
        <f aca="false">Scoring!C450</f>
        <v>0</v>
      </c>
      <c r="D444" s="137" t="str">
        <f aca="false">Scoring!BB450</f>
        <v/>
      </c>
      <c r="E444" s="136" t="str">
        <f aca="false">Scoring!AE450</f>
        <v/>
      </c>
      <c r="F444" s="136" t="n">
        <f aca="false">Scoring!B450</f>
        <v>0</v>
      </c>
      <c r="G444" s="136" t="n">
        <f aca="false">Scoring!D450</f>
        <v>0</v>
      </c>
      <c r="H444" s="136" t="str">
        <f aca="false">Scoring!BD450</f>
        <v/>
      </c>
      <c r="I444" s="138" t="str">
        <f aca="false">Scoring!BC450</f>
        <v/>
      </c>
    </row>
    <row r="445" customFormat="false" ht="15.75" hidden="false" customHeight="false" outlineLevel="0" collapsed="false">
      <c r="A445" s="136" t="str">
        <f aca="false">Scoring!BF451</f>
        <v/>
      </c>
      <c r="B445" s="136" t="str">
        <f aca="false">Scoring!BE451</f>
        <v/>
      </c>
      <c r="C445" s="136" t="n">
        <f aca="false">Scoring!C451</f>
        <v>0</v>
      </c>
      <c r="D445" s="137" t="str">
        <f aca="false">Scoring!BB451</f>
        <v/>
      </c>
      <c r="E445" s="136" t="str">
        <f aca="false">Scoring!AE451</f>
        <v/>
      </c>
      <c r="F445" s="136" t="n">
        <f aca="false">Scoring!B451</f>
        <v>0</v>
      </c>
      <c r="G445" s="136" t="n">
        <f aca="false">Scoring!D451</f>
        <v>0</v>
      </c>
      <c r="H445" s="136" t="str">
        <f aca="false">Scoring!BD451</f>
        <v/>
      </c>
      <c r="I445" s="138" t="str">
        <f aca="false">Scoring!BC451</f>
        <v/>
      </c>
    </row>
    <row r="446" customFormat="false" ht="15.75" hidden="false" customHeight="false" outlineLevel="0" collapsed="false">
      <c r="A446" s="136" t="str">
        <f aca="false">Scoring!BF452</f>
        <v/>
      </c>
      <c r="B446" s="136" t="str">
        <f aca="false">Scoring!BE452</f>
        <v/>
      </c>
      <c r="C446" s="136" t="n">
        <f aca="false">Scoring!C452</f>
        <v>0</v>
      </c>
      <c r="D446" s="137" t="str">
        <f aca="false">Scoring!BB452</f>
        <v/>
      </c>
      <c r="E446" s="136" t="str">
        <f aca="false">Scoring!AE452</f>
        <v/>
      </c>
      <c r="F446" s="136" t="n">
        <f aca="false">Scoring!B452</f>
        <v>0</v>
      </c>
      <c r="G446" s="136" t="n">
        <f aca="false">Scoring!D452</f>
        <v>0</v>
      </c>
      <c r="H446" s="136" t="str">
        <f aca="false">Scoring!BD452</f>
        <v/>
      </c>
      <c r="I446" s="138" t="str">
        <f aca="false">Scoring!BC452</f>
        <v/>
      </c>
    </row>
    <row r="447" customFormat="false" ht="15.75" hidden="false" customHeight="false" outlineLevel="0" collapsed="false">
      <c r="A447" s="136" t="str">
        <f aca="false">Scoring!BF453</f>
        <v/>
      </c>
      <c r="B447" s="136" t="str">
        <f aca="false">Scoring!BE453</f>
        <v/>
      </c>
      <c r="C447" s="136" t="n">
        <f aca="false">Scoring!C453</f>
        <v>0</v>
      </c>
      <c r="D447" s="137" t="str">
        <f aca="false">Scoring!BB453</f>
        <v/>
      </c>
      <c r="E447" s="136" t="str">
        <f aca="false">Scoring!AE453</f>
        <v/>
      </c>
      <c r="F447" s="136" t="n">
        <f aca="false">Scoring!B453</f>
        <v>0</v>
      </c>
      <c r="G447" s="136" t="n">
        <f aca="false">Scoring!D453</f>
        <v>0</v>
      </c>
      <c r="H447" s="136" t="str">
        <f aca="false">Scoring!BD453</f>
        <v/>
      </c>
      <c r="I447" s="138" t="str">
        <f aca="false">Scoring!BC453</f>
        <v/>
      </c>
    </row>
    <row r="448" customFormat="false" ht="15.75" hidden="false" customHeight="false" outlineLevel="0" collapsed="false">
      <c r="A448" s="136" t="str">
        <f aca="false">Scoring!BF454</f>
        <v/>
      </c>
      <c r="B448" s="136" t="str">
        <f aca="false">Scoring!BE454</f>
        <v/>
      </c>
      <c r="C448" s="136" t="n">
        <f aca="false">Scoring!C454</f>
        <v>0</v>
      </c>
      <c r="D448" s="137" t="str">
        <f aca="false">Scoring!BB454</f>
        <v/>
      </c>
      <c r="E448" s="136" t="str">
        <f aca="false">Scoring!AE454</f>
        <v/>
      </c>
      <c r="F448" s="136" t="n">
        <f aca="false">Scoring!B454</f>
        <v>0</v>
      </c>
      <c r="G448" s="136" t="n">
        <f aca="false">Scoring!D454</f>
        <v>0</v>
      </c>
      <c r="H448" s="136" t="str">
        <f aca="false">Scoring!BD454</f>
        <v/>
      </c>
      <c r="I448" s="138" t="str">
        <f aca="false">Scoring!BC454</f>
        <v/>
      </c>
    </row>
    <row r="449" customFormat="false" ht="15.75" hidden="false" customHeight="false" outlineLevel="0" collapsed="false">
      <c r="A449" s="136" t="str">
        <f aca="false">Scoring!BF455</f>
        <v/>
      </c>
      <c r="B449" s="136" t="str">
        <f aca="false">Scoring!BE455</f>
        <v/>
      </c>
      <c r="C449" s="136" t="n">
        <f aca="false">Scoring!C455</f>
        <v>0</v>
      </c>
      <c r="D449" s="137" t="str">
        <f aca="false">Scoring!BB455</f>
        <v/>
      </c>
      <c r="E449" s="136" t="str">
        <f aca="false">Scoring!AE455</f>
        <v/>
      </c>
      <c r="F449" s="136" t="n">
        <f aca="false">Scoring!B455</f>
        <v>0</v>
      </c>
      <c r="G449" s="136" t="n">
        <f aca="false">Scoring!D455</f>
        <v>0</v>
      </c>
      <c r="H449" s="136" t="str">
        <f aca="false">Scoring!BD455</f>
        <v/>
      </c>
      <c r="I449" s="138" t="str">
        <f aca="false">Scoring!BC455</f>
        <v/>
      </c>
    </row>
    <row r="450" customFormat="false" ht="15.75" hidden="false" customHeight="false" outlineLevel="0" collapsed="false">
      <c r="A450" s="136" t="str">
        <f aca="false">Scoring!BF456</f>
        <v/>
      </c>
      <c r="B450" s="136" t="str">
        <f aca="false">Scoring!BE456</f>
        <v/>
      </c>
      <c r="C450" s="136" t="n">
        <f aca="false">Scoring!C456</f>
        <v>0</v>
      </c>
      <c r="D450" s="137" t="str">
        <f aca="false">Scoring!BB456</f>
        <v/>
      </c>
      <c r="E450" s="136" t="str">
        <f aca="false">Scoring!AE456</f>
        <v/>
      </c>
      <c r="F450" s="136" t="n">
        <f aca="false">Scoring!B456</f>
        <v>0</v>
      </c>
      <c r="G450" s="136" t="n">
        <f aca="false">Scoring!D456</f>
        <v>0</v>
      </c>
      <c r="H450" s="136" t="str">
        <f aca="false">Scoring!BD456</f>
        <v/>
      </c>
      <c r="I450" s="138" t="str">
        <f aca="false">Scoring!BC456</f>
        <v/>
      </c>
    </row>
    <row r="451" customFormat="false" ht="15.75" hidden="false" customHeight="false" outlineLevel="0" collapsed="false">
      <c r="A451" s="136" t="str">
        <f aca="false">Scoring!BF457</f>
        <v/>
      </c>
      <c r="B451" s="136" t="str">
        <f aca="false">Scoring!BE457</f>
        <v/>
      </c>
      <c r="C451" s="136" t="n">
        <f aca="false">Scoring!C457</f>
        <v>0</v>
      </c>
      <c r="D451" s="137" t="str">
        <f aca="false">Scoring!BB457</f>
        <v/>
      </c>
      <c r="E451" s="136" t="str">
        <f aca="false">Scoring!AE457</f>
        <v/>
      </c>
      <c r="F451" s="136" t="n">
        <f aca="false">Scoring!B457</f>
        <v>0</v>
      </c>
      <c r="G451" s="136" t="n">
        <f aca="false">Scoring!D457</f>
        <v>0</v>
      </c>
      <c r="H451" s="136" t="str">
        <f aca="false">Scoring!BD457</f>
        <v/>
      </c>
      <c r="I451" s="138" t="str">
        <f aca="false">Scoring!BC457</f>
        <v/>
      </c>
    </row>
    <row r="452" customFormat="false" ht="15.75" hidden="false" customHeight="false" outlineLevel="0" collapsed="false">
      <c r="A452" s="136" t="str">
        <f aca="false">Scoring!BF458</f>
        <v/>
      </c>
      <c r="B452" s="136" t="str">
        <f aca="false">Scoring!BE458</f>
        <v/>
      </c>
      <c r="C452" s="136" t="n">
        <f aca="false">Scoring!C458</f>
        <v>0</v>
      </c>
      <c r="D452" s="137" t="str">
        <f aca="false">Scoring!BB458</f>
        <v/>
      </c>
      <c r="E452" s="136" t="str">
        <f aca="false">Scoring!AE458</f>
        <v/>
      </c>
      <c r="F452" s="136" t="n">
        <f aca="false">Scoring!B458</f>
        <v>0</v>
      </c>
      <c r="G452" s="136" t="n">
        <f aca="false">Scoring!D458</f>
        <v>0</v>
      </c>
      <c r="H452" s="136" t="str">
        <f aca="false">Scoring!BD458</f>
        <v/>
      </c>
      <c r="I452" s="138" t="str">
        <f aca="false">Scoring!BC458</f>
        <v/>
      </c>
    </row>
    <row r="453" customFormat="false" ht="15.75" hidden="false" customHeight="false" outlineLevel="0" collapsed="false">
      <c r="A453" s="136" t="str">
        <f aca="false">Scoring!BF459</f>
        <v/>
      </c>
      <c r="B453" s="136" t="str">
        <f aca="false">Scoring!BE459</f>
        <v/>
      </c>
      <c r="C453" s="136" t="n">
        <f aca="false">Scoring!C459</f>
        <v>0</v>
      </c>
      <c r="D453" s="137" t="str">
        <f aca="false">Scoring!BB459</f>
        <v/>
      </c>
      <c r="E453" s="136" t="str">
        <f aca="false">Scoring!AE459</f>
        <v/>
      </c>
      <c r="F453" s="136" t="n">
        <f aca="false">Scoring!B459</f>
        <v>0</v>
      </c>
      <c r="G453" s="136" t="n">
        <f aca="false">Scoring!D459</f>
        <v>0</v>
      </c>
      <c r="H453" s="136" t="str">
        <f aca="false">Scoring!BD459</f>
        <v/>
      </c>
      <c r="I453" s="138" t="str">
        <f aca="false">Scoring!BC459</f>
        <v/>
      </c>
    </row>
    <row r="454" customFormat="false" ht="15.75" hidden="false" customHeight="false" outlineLevel="0" collapsed="false">
      <c r="A454" s="136" t="str">
        <f aca="false">Scoring!BF460</f>
        <v/>
      </c>
      <c r="B454" s="136" t="str">
        <f aca="false">Scoring!BE460</f>
        <v/>
      </c>
      <c r="C454" s="136" t="n">
        <f aca="false">Scoring!C460</f>
        <v>0</v>
      </c>
      <c r="D454" s="137" t="str">
        <f aca="false">Scoring!BB460</f>
        <v/>
      </c>
      <c r="E454" s="136" t="str">
        <f aca="false">Scoring!AE460</f>
        <v/>
      </c>
      <c r="F454" s="136" t="n">
        <f aca="false">Scoring!B460</f>
        <v>0</v>
      </c>
      <c r="G454" s="136" t="n">
        <f aca="false">Scoring!D460</f>
        <v>0</v>
      </c>
      <c r="H454" s="136" t="str">
        <f aca="false">Scoring!BD460</f>
        <v/>
      </c>
      <c r="I454" s="138" t="str">
        <f aca="false">Scoring!BC460</f>
        <v/>
      </c>
    </row>
    <row r="455" customFormat="false" ht="15.75" hidden="false" customHeight="false" outlineLevel="0" collapsed="false">
      <c r="A455" s="136" t="str">
        <f aca="false">Scoring!BF461</f>
        <v/>
      </c>
      <c r="B455" s="136" t="str">
        <f aca="false">Scoring!BE461</f>
        <v/>
      </c>
      <c r="C455" s="136" t="n">
        <f aca="false">Scoring!C461</f>
        <v>0</v>
      </c>
      <c r="D455" s="137" t="str">
        <f aca="false">Scoring!BB461</f>
        <v/>
      </c>
      <c r="E455" s="136" t="str">
        <f aca="false">Scoring!AE461</f>
        <v/>
      </c>
      <c r="F455" s="136" t="n">
        <f aca="false">Scoring!B461</f>
        <v>0</v>
      </c>
      <c r="G455" s="136" t="n">
        <f aca="false">Scoring!D461</f>
        <v>0</v>
      </c>
      <c r="H455" s="136" t="str">
        <f aca="false">Scoring!BD461</f>
        <v/>
      </c>
      <c r="I455" s="138" t="str">
        <f aca="false">Scoring!BC461</f>
        <v/>
      </c>
    </row>
    <row r="456" customFormat="false" ht="15.75" hidden="false" customHeight="false" outlineLevel="0" collapsed="false">
      <c r="A456" s="136" t="str">
        <f aca="false">Scoring!BF462</f>
        <v/>
      </c>
      <c r="B456" s="136" t="str">
        <f aca="false">Scoring!BE462</f>
        <v/>
      </c>
      <c r="C456" s="136" t="n">
        <f aca="false">Scoring!C462</f>
        <v>0</v>
      </c>
      <c r="D456" s="137" t="str">
        <f aca="false">Scoring!BB462</f>
        <v/>
      </c>
      <c r="E456" s="136" t="str">
        <f aca="false">Scoring!AE462</f>
        <v/>
      </c>
      <c r="F456" s="136" t="n">
        <f aca="false">Scoring!B462</f>
        <v>0</v>
      </c>
      <c r="G456" s="136" t="n">
        <f aca="false">Scoring!D462</f>
        <v>0</v>
      </c>
      <c r="H456" s="136" t="str">
        <f aca="false">Scoring!BD462</f>
        <v/>
      </c>
      <c r="I456" s="138" t="str">
        <f aca="false">Scoring!BC462</f>
        <v/>
      </c>
    </row>
    <row r="457" customFormat="false" ht="15.75" hidden="false" customHeight="false" outlineLevel="0" collapsed="false">
      <c r="A457" s="136" t="str">
        <f aca="false">Scoring!BF463</f>
        <v/>
      </c>
      <c r="B457" s="136" t="str">
        <f aca="false">Scoring!BE463</f>
        <v/>
      </c>
      <c r="C457" s="136" t="n">
        <f aca="false">Scoring!C463</f>
        <v>0</v>
      </c>
      <c r="D457" s="137" t="str">
        <f aca="false">Scoring!BB463</f>
        <v/>
      </c>
      <c r="E457" s="136" t="str">
        <f aca="false">Scoring!AE463</f>
        <v/>
      </c>
      <c r="F457" s="136" t="n">
        <f aca="false">Scoring!B463</f>
        <v>0</v>
      </c>
      <c r="G457" s="136" t="n">
        <f aca="false">Scoring!D463</f>
        <v>0</v>
      </c>
      <c r="H457" s="136" t="str">
        <f aca="false">Scoring!BD463</f>
        <v/>
      </c>
      <c r="I457" s="138" t="str">
        <f aca="false">Scoring!BC463</f>
        <v/>
      </c>
    </row>
    <row r="458" customFormat="false" ht="15.75" hidden="false" customHeight="false" outlineLevel="0" collapsed="false">
      <c r="A458" s="136" t="str">
        <f aca="false">Scoring!BF464</f>
        <v/>
      </c>
      <c r="B458" s="136" t="str">
        <f aca="false">Scoring!BE464</f>
        <v/>
      </c>
      <c r="C458" s="136" t="n">
        <f aca="false">Scoring!C464</f>
        <v>0</v>
      </c>
      <c r="D458" s="137" t="str">
        <f aca="false">Scoring!BB464</f>
        <v/>
      </c>
      <c r="E458" s="136" t="str">
        <f aca="false">Scoring!AE464</f>
        <v/>
      </c>
      <c r="F458" s="136" t="n">
        <f aca="false">Scoring!B464</f>
        <v>0</v>
      </c>
      <c r="G458" s="136" t="n">
        <f aca="false">Scoring!D464</f>
        <v>0</v>
      </c>
      <c r="H458" s="136" t="str">
        <f aca="false">Scoring!BD464</f>
        <v/>
      </c>
      <c r="I458" s="138" t="str">
        <f aca="false">Scoring!BC464</f>
        <v/>
      </c>
    </row>
    <row r="459" customFormat="false" ht="15.75" hidden="false" customHeight="false" outlineLevel="0" collapsed="false">
      <c r="A459" s="136" t="str">
        <f aca="false">Scoring!BF465</f>
        <v/>
      </c>
      <c r="B459" s="136" t="str">
        <f aca="false">Scoring!BE465</f>
        <v/>
      </c>
      <c r="C459" s="136" t="n">
        <f aca="false">Scoring!C465</f>
        <v>0</v>
      </c>
      <c r="D459" s="137" t="str">
        <f aca="false">Scoring!BB465</f>
        <v/>
      </c>
      <c r="E459" s="136" t="str">
        <f aca="false">Scoring!AE465</f>
        <v/>
      </c>
      <c r="F459" s="136" t="n">
        <f aca="false">Scoring!B465</f>
        <v>0</v>
      </c>
      <c r="G459" s="136" t="n">
        <f aca="false">Scoring!D465</f>
        <v>0</v>
      </c>
      <c r="H459" s="136" t="str">
        <f aca="false">Scoring!BD465</f>
        <v/>
      </c>
      <c r="I459" s="138" t="str">
        <f aca="false">Scoring!BC465</f>
        <v/>
      </c>
    </row>
    <row r="460" customFormat="false" ht="15.75" hidden="false" customHeight="false" outlineLevel="0" collapsed="false">
      <c r="A460" s="136" t="str">
        <f aca="false">Scoring!BF466</f>
        <v/>
      </c>
      <c r="B460" s="136" t="str">
        <f aca="false">Scoring!BE466</f>
        <v/>
      </c>
      <c r="C460" s="136" t="n">
        <f aca="false">Scoring!C466</f>
        <v>0</v>
      </c>
      <c r="D460" s="137" t="str">
        <f aca="false">Scoring!BB466</f>
        <v/>
      </c>
      <c r="E460" s="136" t="str">
        <f aca="false">Scoring!AE466</f>
        <v/>
      </c>
      <c r="F460" s="136" t="n">
        <f aca="false">Scoring!B466</f>
        <v>0</v>
      </c>
      <c r="G460" s="136" t="n">
        <f aca="false">Scoring!D466</f>
        <v>0</v>
      </c>
      <c r="H460" s="136" t="str">
        <f aca="false">Scoring!BD466</f>
        <v/>
      </c>
      <c r="I460" s="138" t="str">
        <f aca="false">Scoring!BC466</f>
        <v/>
      </c>
    </row>
    <row r="461" customFormat="false" ht="15.75" hidden="false" customHeight="false" outlineLevel="0" collapsed="false">
      <c r="A461" s="136" t="str">
        <f aca="false">Scoring!BF467</f>
        <v/>
      </c>
      <c r="B461" s="136" t="str">
        <f aca="false">Scoring!BE467</f>
        <v/>
      </c>
      <c r="C461" s="136" t="n">
        <f aca="false">Scoring!C467</f>
        <v>0</v>
      </c>
      <c r="D461" s="137" t="str">
        <f aca="false">Scoring!BB467</f>
        <v/>
      </c>
      <c r="E461" s="136" t="str">
        <f aca="false">Scoring!AE467</f>
        <v/>
      </c>
      <c r="F461" s="136" t="n">
        <f aca="false">Scoring!B467</f>
        <v>0</v>
      </c>
      <c r="G461" s="136" t="n">
        <f aca="false">Scoring!D467</f>
        <v>0</v>
      </c>
      <c r="H461" s="136" t="str">
        <f aca="false">Scoring!BD467</f>
        <v/>
      </c>
      <c r="I461" s="138" t="str">
        <f aca="false">Scoring!BC467</f>
        <v/>
      </c>
    </row>
    <row r="462" customFormat="false" ht="15.75" hidden="false" customHeight="false" outlineLevel="0" collapsed="false">
      <c r="A462" s="136" t="str">
        <f aca="false">Scoring!BF468</f>
        <v/>
      </c>
      <c r="B462" s="136" t="str">
        <f aca="false">Scoring!BE468</f>
        <v/>
      </c>
      <c r="C462" s="136" t="n">
        <f aca="false">Scoring!C468</f>
        <v>0</v>
      </c>
      <c r="D462" s="137" t="str">
        <f aca="false">Scoring!BB468</f>
        <v/>
      </c>
      <c r="E462" s="136" t="str">
        <f aca="false">Scoring!AE468</f>
        <v/>
      </c>
      <c r="F462" s="136" t="n">
        <f aca="false">Scoring!B468</f>
        <v>0</v>
      </c>
      <c r="G462" s="136" t="n">
        <f aca="false">Scoring!D468</f>
        <v>0</v>
      </c>
      <c r="H462" s="136" t="str">
        <f aca="false">Scoring!BD468</f>
        <v/>
      </c>
      <c r="I462" s="138" t="str">
        <f aca="false">Scoring!BC468</f>
        <v/>
      </c>
    </row>
    <row r="463" customFormat="false" ht="15.75" hidden="false" customHeight="false" outlineLevel="0" collapsed="false">
      <c r="A463" s="136" t="str">
        <f aca="false">Scoring!BF469</f>
        <v/>
      </c>
      <c r="B463" s="136" t="str">
        <f aca="false">Scoring!BE469</f>
        <v/>
      </c>
      <c r="C463" s="136" t="n">
        <f aca="false">Scoring!C469</f>
        <v>0</v>
      </c>
      <c r="D463" s="137" t="str">
        <f aca="false">Scoring!BB469</f>
        <v/>
      </c>
      <c r="E463" s="136" t="str">
        <f aca="false">Scoring!AE469</f>
        <v/>
      </c>
      <c r="F463" s="136" t="n">
        <f aca="false">Scoring!B469</f>
        <v>0</v>
      </c>
      <c r="G463" s="136" t="n">
        <f aca="false">Scoring!D469</f>
        <v>0</v>
      </c>
      <c r="H463" s="136" t="str">
        <f aca="false">Scoring!BD469</f>
        <v/>
      </c>
      <c r="I463" s="138" t="str">
        <f aca="false">Scoring!BC469</f>
        <v/>
      </c>
    </row>
    <row r="464" customFormat="false" ht="15.75" hidden="false" customHeight="false" outlineLevel="0" collapsed="false">
      <c r="A464" s="136" t="str">
        <f aca="false">Scoring!BF470</f>
        <v/>
      </c>
      <c r="B464" s="136" t="str">
        <f aca="false">Scoring!BE470</f>
        <v/>
      </c>
      <c r="C464" s="136" t="n">
        <f aca="false">Scoring!C470</f>
        <v>0</v>
      </c>
      <c r="D464" s="137" t="str">
        <f aca="false">Scoring!BB470</f>
        <v/>
      </c>
      <c r="E464" s="136" t="str">
        <f aca="false">Scoring!AE470</f>
        <v/>
      </c>
      <c r="F464" s="136" t="n">
        <f aca="false">Scoring!B470</f>
        <v>0</v>
      </c>
      <c r="G464" s="136" t="n">
        <f aca="false">Scoring!D470</f>
        <v>0</v>
      </c>
      <c r="H464" s="136" t="str">
        <f aca="false">Scoring!BD470</f>
        <v/>
      </c>
      <c r="I464" s="138" t="str">
        <f aca="false">Scoring!BC470</f>
        <v/>
      </c>
    </row>
    <row r="465" customFormat="false" ht="15.75" hidden="false" customHeight="false" outlineLevel="0" collapsed="false">
      <c r="A465" s="136" t="str">
        <f aca="false">Scoring!BF471</f>
        <v/>
      </c>
      <c r="B465" s="136" t="str">
        <f aca="false">Scoring!BE471</f>
        <v/>
      </c>
      <c r="C465" s="136" t="n">
        <f aca="false">Scoring!C471</f>
        <v>0</v>
      </c>
      <c r="D465" s="137" t="str">
        <f aca="false">Scoring!BB471</f>
        <v/>
      </c>
      <c r="E465" s="136" t="str">
        <f aca="false">Scoring!AE471</f>
        <v/>
      </c>
      <c r="F465" s="136" t="n">
        <f aca="false">Scoring!B471</f>
        <v>0</v>
      </c>
      <c r="G465" s="136" t="n">
        <f aca="false">Scoring!D471</f>
        <v>0</v>
      </c>
      <c r="H465" s="136" t="str">
        <f aca="false">Scoring!BD471</f>
        <v/>
      </c>
      <c r="I465" s="138" t="str">
        <f aca="false">Scoring!BC471</f>
        <v/>
      </c>
    </row>
    <row r="466" customFormat="false" ht="15.75" hidden="false" customHeight="false" outlineLevel="0" collapsed="false">
      <c r="A466" s="136" t="str">
        <f aca="false">Scoring!BF472</f>
        <v/>
      </c>
      <c r="B466" s="136" t="str">
        <f aca="false">Scoring!BE472</f>
        <v/>
      </c>
      <c r="C466" s="136" t="n">
        <f aca="false">Scoring!C472</f>
        <v>0</v>
      </c>
      <c r="D466" s="137" t="str">
        <f aca="false">Scoring!BB472</f>
        <v/>
      </c>
      <c r="E466" s="136" t="str">
        <f aca="false">Scoring!AE472</f>
        <v/>
      </c>
      <c r="F466" s="136" t="n">
        <f aca="false">Scoring!B472</f>
        <v>0</v>
      </c>
      <c r="G466" s="136" t="n">
        <f aca="false">Scoring!D472</f>
        <v>0</v>
      </c>
      <c r="H466" s="136" t="str">
        <f aca="false">Scoring!BD472</f>
        <v/>
      </c>
      <c r="I466" s="138" t="str">
        <f aca="false">Scoring!BC472</f>
        <v/>
      </c>
    </row>
    <row r="467" customFormat="false" ht="15.75" hidden="false" customHeight="false" outlineLevel="0" collapsed="false">
      <c r="A467" s="136" t="str">
        <f aca="false">Scoring!BF473</f>
        <v/>
      </c>
      <c r="B467" s="136" t="str">
        <f aca="false">Scoring!BE473</f>
        <v/>
      </c>
      <c r="C467" s="136" t="n">
        <f aca="false">Scoring!C473</f>
        <v>0</v>
      </c>
      <c r="D467" s="137" t="str">
        <f aca="false">Scoring!BB473</f>
        <v/>
      </c>
      <c r="E467" s="136" t="str">
        <f aca="false">Scoring!AE473</f>
        <v/>
      </c>
      <c r="F467" s="136" t="n">
        <f aca="false">Scoring!B473</f>
        <v>0</v>
      </c>
      <c r="G467" s="136" t="n">
        <f aca="false">Scoring!D473</f>
        <v>0</v>
      </c>
      <c r="H467" s="136" t="str">
        <f aca="false">Scoring!BD473</f>
        <v/>
      </c>
      <c r="I467" s="138" t="str">
        <f aca="false">Scoring!BC473</f>
        <v/>
      </c>
    </row>
    <row r="468" customFormat="false" ht="15.75" hidden="false" customHeight="false" outlineLevel="0" collapsed="false">
      <c r="A468" s="136" t="str">
        <f aca="false">Scoring!BF474</f>
        <v/>
      </c>
      <c r="B468" s="136" t="str">
        <f aca="false">Scoring!BE474</f>
        <v/>
      </c>
      <c r="C468" s="136" t="n">
        <f aca="false">Scoring!C474</f>
        <v>0</v>
      </c>
      <c r="D468" s="137" t="str">
        <f aca="false">Scoring!BB474</f>
        <v/>
      </c>
      <c r="E468" s="136" t="str">
        <f aca="false">Scoring!AE474</f>
        <v/>
      </c>
      <c r="F468" s="136" t="n">
        <f aca="false">Scoring!B474</f>
        <v>0</v>
      </c>
      <c r="G468" s="136" t="n">
        <f aca="false">Scoring!D474</f>
        <v>0</v>
      </c>
      <c r="H468" s="136" t="str">
        <f aca="false">Scoring!BD474</f>
        <v/>
      </c>
      <c r="I468" s="138" t="str">
        <f aca="false">Scoring!BC474</f>
        <v/>
      </c>
    </row>
    <row r="469" customFormat="false" ht="15.75" hidden="false" customHeight="false" outlineLevel="0" collapsed="false">
      <c r="A469" s="136" t="str">
        <f aca="false">Scoring!BF475</f>
        <v/>
      </c>
      <c r="B469" s="136" t="str">
        <f aca="false">Scoring!BE475</f>
        <v/>
      </c>
      <c r="C469" s="136" t="n">
        <f aca="false">Scoring!C475</f>
        <v>0</v>
      </c>
      <c r="D469" s="137" t="str">
        <f aca="false">Scoring!BB475</f>
        <v/>
      </c>
      <c r="E469" s="136" t="str">
        <f aca="false">Scoring!AE475</f>
        <v/>
      </c>
      <c r="F469" s="136" t="n">
        <f aca="false">Scoring!B475</f>
        <v>0</v>
      </c>
      <c r="G469" s="136" t="n">
        <f aca="false">Scoring!D475</f>
        <v>0</v>
      </c>
      <c r="H469" s="136" t="str">
        <f aca="false">Scoring!BD475</f>
        <v/>
      </c>
      <c r="I469" s="138" t="str">
        <f aca="false">Scoring!BC475</f>
        <v/>
      </c>
    </row>
    <row r="470" customFormat="false" ht="15.75" hidden="false" customHeight="false" outlineLevel="0" collapsed="false">
      <c r="A470" s="136" t="str">
        <f aca="false">Scoring!BF476</f>
        <v/>
      </c>
      <c r="B470" s="136" t="str">
        <f aca="false">Scoring!BE476</f>
        <v/>
      </c>
      <c r="C470" s="136" t="n">
        <f aca="false">Scoring!C476</f>
        <v>0</v>
      </c>
      <c r="D470" s="137" t="str">
        <f aca="false">Scoring!BB476</f>
        <v/>
      </c>
      <c r="E470" s="136" t="str">
        <f aca="false">Scoring!AE476</f>
        <v/>
      </c>
      <c r="F470" s="136" t="n">
        <f aca="false">Scoring!B476</f>
        <v>0</v>
      </c>
      <c r="G470" s="136" t="n">
        <f aca="false">Scoring!D476</f>
        <v>0</v>
      </c>
      <c r="H470" s="136" t="str">
        <f aca="false">Scoring!BD476</f>
        <v/>
      </c>
      <c r="I470" s="138" t="str">
        <f aca="false">Scoring!BC476</f>
        <v/>
      </c>
    </row>
    <row r="471" customFormat="false" ht="15.75" hidden="false" customHeight="false" outlineLevel="0" collapsed="false">
      <c r="A471" s="136" t="str">
        <f aca="false">Scoring!BF477</f>
        <v/>
      </c>
      <c r="B471" s="136" t="str">
        <f aca="false">Scoring!BE477</f>
        <v/>
      </c>
      <c r="C471" s="136" t="n">
        <f aca="false">Scoring!C477</f>
        <v>0</v>
      </c>
      <c r="D471" s="137" t="str">
        <f aca="false">Scoring!BB477</f>
        <v/>
      </c>
      <c r="E471" s="136" t="str">
        <f aca="false">Scoring!AE477</f>
        <v/>
      </c>
      <c r="F471" s="136" t="n">
        <f aca="false">Scoring!B477</f>
        <v>0</v>
      </c>
      <c r="G471" s="136" t="n">
        <f aca="false">Scoring!D477</f>
        <v>0</v>
      </c>
      <c r="H471" s="136" t="str">
        <f aca="false">Scoring!BD477</f>
        <v/>
      </c>
      <c r="I471" s="138" t="str">
        <f aca="false">Scoring!BC477</f>
        <v/>
      </c>
    </row>
    <row r="472" customFormat="false" ht="15.75" hidden="false" customHeight="false" outlineLevel="0" collapsed="false">
      <c r="A472" s="136" t="str">
        <f aca="false">Scoring!BF478</f>
        <v/>
      </c>
      <c r="B472" s="136" t="str">
        <f aca="false">Scoring!BE478</f>
        <v/>
      </c>
      <c r="C472" s="136" t="n">
        <f aca="false">Scoring!C478</f>
        <v>0</v>
      </c>
      <c r="D472" s="137" t="str">
        <f aca="false">Scoring!BB478</f>
        <v/>
      </c>
      <c r="E472" s="136" t="str">
        <f aca="false">Scoring!AE478</f>
        <v/>
      </c>
      <c r="F472" s="136" t="n">
        <f aca="false">Scoring!B478</f>
        <v>0</v>
      </c>
      <c r="G472" s="136" t="n">
        <f aca="false">Scoring!D478</f>
        <v>0</v>
      </c>
      <c r="H472" s="136" t="str">
        <f aca="false">Scoring!BD478</f>
        <v/>
      </c>
      <c r="I472" s="138" t="str">
        <f aca="false">Scoring!BC478</f>
        <v/>
      </c>
    </row>
    <row r="473" customFormat="false" ht="15.75" hidden="false" customHeight="false" outlineLevel="0" collapsed="false">
      <c r="A473" s="136" t="str">
        <f aca="false">Scoring!BF479</f>
        <v/>
      </c>
      <c r="B473" s="136" t="str">
        <f aca="false">Scoring!BE479</f>
        <v/>
      </c>
      <c r="C473" s="136" t="n">
        <f aca="false">Scoring!C479</f>
        <v>0</v>
      </c>
      <c r="D473" s="137" t="str">
        <f aca="false">Scoring!BB479</f>
        <v/>
      </c>
      <c r="E473" s="136" t="str">
        <f aca="false">Scoring!AE479</f>
        <v/>
      </c>
      <c r="F473" s="136" t="n">
        <f aca="false">Scoring!B479</f>
        <v>0</v>
      </c>
      <c r="G473" s="136" t="n">
        <f aca="false">Scoring!D479</f>
        <v>0</v>
      </c>
      <c r="H473" s="136" t="str">
        <f aca="false">Scoring!BD479</f>
        <v/>
      </c>
      <c r="I473" s="138" t="str">
        <f aca="false">Scoring!BC479</f>
        <v/>
      </c>
    </row>
    <row r="474" customFormat="false" ht="15.75" hidden="false" customHeight="false" outlineLevel="0" collapsed="false">
      <c r="A474" s="136" t="str">
        <f aca="false">Scoring!BF480</f>
        <v/>
      </c>
      <c r="B474" s="136" t="str">
        <f aca="false">Scoring!BE480</f>
        <v/>
      </c>
      <c r="C474" s="136" t="n">
        <f aca="false">Scoring!C480</f>
        <v>0</v>
      </c>
      <c r="D474" s="137" t="str">
        <f aca="false">Scoring!BB480</f>
        <v/>
      </c>
      <c r="E474" s="136" t="str">
        <f aca="false">Scoring!AE480</f>
        <v/>
      </c>
      <c r="F474" s="136" t="n">
        <f aca="false">Scoring!B480</f>
        <v>0</v>
      </c>
      <c r="G474" s="136" t="n">
        <f aca="false">Scoring!D480</f>
        <v>0</v>
      </c>
      <c r="H474" s="136" t="str">
        <f aca="false">Scoring!BD480</f>
        <v/>
      </c>
      <c r="I474" s="138" t="str">
        <f aca="false">Scoring!BC480</f>
        <v/>
      </c>
    </row>
    <row r="475" customFormat="false" ht="15.75" hidden="false" customHeight="false" outlineLevel="0" collapsed="false">
      <c r="A475" s="136" t="str">
        <f aca="false">Scoring!BF481</f>
        <v/>
      </c>
      <c r="B475" s="136" t="str">
        <f aca="false">Scoring!BE481</f>
        <v/>
      </c>
      <c r="C475" s="136" t="n">
        <f aca="false">Scoring!C481</f>
        <v>0</v>
      </c>
      <c r="D475" s="137" t="str">
        <f aca="false">Scoring!BB481</f>
        <v/>
      </c>
      <c r="E475" s="136" t="str">
        <f aca="false">Scoring!AE481</f>
        <v/>
      </c>
      <c r="F475" s="136" t="n">
        <f aca="false">Scoring!B481</f>
        <v>0</v>
      </c>
      <c r="G475" s="136" t="n">
        <f aca="false">Scoring!D481</f>
        <v>0</v>
      </c>
      <c r="H475" s="136" t="str">
        <f aca="false">Scoring!BD481</f>
        <v/>
      </c>
      <c r="I475" s="138" t="str">
        <f aca="false">Scoring!BC481</f>
        <v/>
      </c>
    </row>
    <row r="476" customFormat="false" ht="15.75" hidden="false" customHeight="false" outlineLevel="0" collapsed="false">
      <c r="A476" s="136" t="str">
        <f aca="false">Scoring!BF482</f>
        <v/>
      </c>
      <c r="B476" s="136" t="str">
        <f aca="false">Scoring!BE482</f>
        <v/>
      </c>
      <c r="C476" s="136" t="n">
        <f aca="false">Scoring!C482</f>
        <v>0</v>
      </c>
      <c r="D476" s="137" t="str">
        <f aca="false">Scoring!BB482</f>
        <v/>
      </c>
      <c r="E476" s="136" t="str">
        <f aca="false">Scoring!AE482</f>
        <v/>
      </c>
      <c r="F476" s="136" t="n">
        <f aca="false">Scoring!B482</f>
        <v>0</v>
      </c>
      <c r="G476" s="136" t="n">
        <f aca="false">Scoring!D482</f>
        <v>0</v>
      </c>
      <c r="H476" s="136" t="str">
        <f aca="false">Scoring!BD482</f>
        <v/>
      </c>
      <c r="I476" s="138" t="str">
        <f aca="false">Scoring!BC482</f>
        <v/>
      </c>
    </row>
    <row r="477" customFormat="false" ht="15.75" hidden="false" customHeight="false" outlineLevel="0" collapsed="false">
      <c r="A477" s="136" t="str">
        <f aca="false">Scoring!BF483</f>
        <v/>
      </c>
      <c r="B477" s="136" t="str">
        <f aca="false">Scoring!BE483</f>
        <v/>
      </c>
      <c r="C477" s="136" t="n">
        <f aca="false">Scoring!C483</f>
        <v>0</v>
      </c>
      <c r="D477" s="137" t="str">
        <f aca="false">Scoring!BB483</f>
        <v/>
      </c>
      <c r="E477" s="136" t="str">
        <f aca="false">Scoring!AE483</f>
        <v/>
      </c>
      <c r="F477" s="136" t="n">
        <f aca="false">Scoring!B483</f>
        <v>0</v>
      </c>
      <c r="G477" s="136" t="n">
        <f aca="false">Scoring!D483</f>
        <v>0</v>
      </c>
      <c r="H477" s="136" t="str">
        <f aca="false">Scoring!BD483</f>
        <v/>
      </c>
      <c r="I477" s="138" t="str">
        <f aca="false">Scoring!BC483</f>
        <v/>
      </c>
    </row>
    <row r="478" customFormat="false" ht="15.75" hidden="false" customHeight="false" outlineLevel="0" collapsed="false">
      <c r="A478" s="136" t="str">
        <f aca="false">Scoring!BF484</f>
        <v/>
      </c>
      <c r="B478" s="136" t="str">
        <f aca="false">Scoring!BE484</f>
        <v/>
      </c>
      <c r="C478" s="136" t="n">
        <f aca="false">Scoring!C484</f>
        <v>0</v>
      </c>
      <c r="D478" s="137" t="str">
        <f aca="false">Scoring!BB484</f>
        <v/>
      </c>
      <c r="E478" s="136" t="str">
        <f aca="false">Scoring!AE484</f>
        <v/>
      </c>
      <c r="F478" s="136" t="n">
        <f aca="false">Scoring!B484</f>
        <v>0</v>
      </c>
      <c r="G478" s="136" t="n">
        <f aca="false">Scoring!D484</f>
        <v>0</v>
      </c>
      <c r="H478" s="136" t="str">
        <f aca="false">Scoring!BD484</f>
        <v/>
      </c>
      <c r="I478" s="138" t="str">
        <f aca="false">Scoring!BC484</f>
        <v/>
      </c>
    </row>
    <row r="479" customFormat="false" ht="15.75" hidden="false" customHeight="false" outlineLevel="0" collapsed="false">
      <c r="A479" s="136" t="str">
        <f aca="false">Scoring!BF485</f>
        <v/>
      </c>
      <c r="B479" s="136" t="str">
        <f aca="false">Scoring!BE485</f>
        <v/>
      </c>
      <c r="C479" s="136" t="n">
        <f aca="false">Scoring!C485</f>
        <v>0</v>
      </c>
      <c r="D479" s="137" t="str">
        <f aca="false">Scoring!BB485</f>
        <v/>
      </c>
      <c r="E479" s="136" t="str">
        <f aca="false">Scoring!AE485</f>
        <v/>
      </c>
      <c r="F479" s="136" t="n">
        <f aca="false">Scoring!B485</f>
        <v>0</v>
      </c>
      <c r="G479" s="136" t="n">
        <f aca="false">Scoring!D485</f>
        <v>0</v>
      </c>
      <c r="H479" s="136" t="str">
        <f aca="false">Scoring!BD485</f>
        <v/>
      </c>
      <c r="I479" s="138" t="str">
        <f aca="false">Scoring!BC485</f>
        <v/>
      </c>
    </row>
    <row r="480" customFormat="false" ht="15.75" hidden="false" customHeight="false" outlineLevel="0" collapsed="false">
      <c r="A480" s="136" t="str">
        <f aca="false">Scoring!BF486</f>
        <v/>
      </c>
      <c r="B480" s="136" t="str">
        <f aca="false">Scoring!BE486</f>
        <v/>
      </c>
      <c r="C480" s="136" t="n">
        <f aca="false">Scoring!C486</f>
        <v>0</v>
      </c>
      <c r="D480" s="137" t="str">
        <f aca="false">Scoring!BB486</f>
        <v/>
      </c>
      <c r="E480" s="136" t="str">
        <f aca="false">Scoring!AE486</f>
        <v/>
      </c>
      <c r="F480" s="136" t="n">
        <f aca="false">Scoring!B486</f>
        <v>0</v>
      </c>
      <c r="G480" s="136" t="n">
        <f aca="false">Scoring!D486</f>
        <v>0</v>
      </c>
      <c r="H480" s="136" t="str">
        <f aca="false">Scoring!BD486</f>
        <v/>
      </c>
      <c r="I480" s="138" t="str">
        <f aca="false">Scoring!BC486</f>
        <v/>
      </c>
    </row>
    <row r="481" customFormat="false" ht="15.75" hidden="false" customHeight="false" outlineLevel="0" collapsed="false">
      <c r="A481" s="136" t="str">
        <f aca="false">Scoring!BF487</f>
        <v/>
      </c>
      <c r="B481" s="136" t="str">
        <f aca="false">Scoring!BE487</f>
        <v/>
      </c>
      <c r="C481" s="136" t="n">
        <f aca="false">Scoring!C487</f>
        <v>0</v>
      </c>
      <c r="D481" s="137" t="str">
        <f aca="false">Scoring!BB487</f>
        <v/>
      </c>
      <c r="E481" s="136" t="str">
        <f aca="false">Scoring!AE487</f>
        <v/>
      </c>
      <c r="F481" s="136" t="n">
        <f aca="false">Scoring!B487</f>
        <v>0</v>
      </c>
      <c r="G481" s="136" t="n">
        <f aca="false">Scoring!D487</f>
        <v>0</v>
      </c>
      <c r="H481" s="136" t="str">
        <f aca="false">Scoring!BD487</f>
        <v/>
      </c>
      <c r="I481" s="138" t="str">
        <f aca="false">Scoring!BC487</f>
        <v/>
      </c>
    </row>
    <row r="482" customFormat="false" ht="15.75" hidden="false" customHeight="false" outlineLevel="0" collapsed="false">
      <c r="A482" s="136" t="str">
        <f aca="false">Scoring!BF488</f>
        <v/>
      </c>
      <c r="B482" s="136" t="str">
        <f aca="false">Scoring!BE488</f>
        <v/>
      </c>
      <c r="C482" s="136" t="n">
        <f aca="false">Scoring!C488</f>
        <v>0</v>
      </c>
      <c r="D482" s="137" t="str">
        <f aca="false">Scoring!BB488</f>
        <v/>
      </c>
      <c r="E482" s="136" t="str">
        <f aca="false">Scoring!AE488</f>
        <v/>
      </c>
      <c r="F482" s="136" t="n">
        <f aca="false">Scoring!B488</f>
        <v>0</v>
      </c>
      <c r="G482" s="136" t="n">
        <f aca="false">Scoring!D488</f>
        <v>0</v>
      </c>
      <c r="H482" s="136" t="str">
        <f aca="false">Scoring!BD488</f>
        <v/>
      </c>
      <c r="I482" s="138" t="str">
        <f aca="false">Scoring!BC488</f>
        <v/>
      </c>
    </row>
    <row r="483" customFormat="false" ht="15.75" hidden="false" customHeight="false" outlineLevel="0" collapsed="false">
      <c r="A483" s="136" t="str">
        <f aca="false">Scoring!BF489</f>
        <v/>
      </c>
      <c r="B483" s="136" t="str">
        <f aca="false">Scoring!BE489</f>
        <v/>
      </c>
      <c r="C483" s="136" t="n">
        <f aca="false">Scoring!C489</f>
        <v>0</v>
      </c>
      <c r="D483" s="137" t="str">
        <f aca="false">Scoring!BB489</f>
        <v/>
      </c>
      <c r="E483" s="136" t="str">
        <f aca="false">Scoring!AE489</f>
        <v/>
      </c>
      <c r="F483" s="136" t="n">
        <f aca="false">Scoring!B489</f>
        <v>0</v>
      </c>
      <c r="G483" s="136" t="n">
        <f aca="false">Scoring!D489</f>
        <v>0</v>
      </c>
      <c r="H483" s="136" t="str">
        <f aca="false">Scoring!BD489</f>
        <v/>
      </c>
      <c r="I483" s="138" t="str">
        <f aca="false">Scoring!BC489</f>
        <v/>
      </c>
    </row>
    <row r="484" customFormat="false" ht="15.75" hidden="false" customHeight="false" outlineLevel="0" collapsed="false">
      <c r="A484" s="136" t="str">
        <f aca="false">Scoring!BF490</f>
        <v/>
      </c>
      <c r="B484" s="136" t="str">
        <f aca="false">Scoring!BE490</f>
        <v/>
      </c>
      <c r="C484" s="136" t="n">
        <f aca="false">Scoring!C490</f>
        <v>0</v>
      </c>
      <c r="D484" s="137" t="str">
        <f aca="false">Scoring!BB490</f>
        <v/>
      </c>
      <c r="E484" s="136" t="str">
        <f aca="false">Scoring!AE490</f>
        <v/>
      </c>
      <c r="F484" s="136" t="n">
        <f aca="false">Scoring!B490</f>
        <v>0</v>
      </c>
      <c r="G484" s="136" t="n">
        <f aca="false">Scoring!D490</f>
        <v>0</v>
      </c>
      <c r="H484" s="136" t="str">
        <f aca="false">Scoring!BD490</f>
        <v/>
      </c>
      <c r="I484" s="138" t="str">
        <f aca="false">Scoring!BC490</f>
        <v/>
      </c>
    </row>
    <row r="485" customFormat="false" ht="15.75" hidden="false" customHeight="false" outlineLevel="0" collapsed="false">
      <c r="A485" s="136" t="str">
        <f aca="false">Scoring!BF491</f>
        <v/>
      </c>
      <c r="B485" s="136" t="str">
        <f aca="false">Scoring!BE491</f>
        <v/>
      </c>
      <c r="C485" s="136" t="n">
        <f aca="false">Scoring!C491</f>
        <v>0</v>
      </c>
      <c r="D485" s="137" t="str">
        <f aca="false">Scoring!BB491</f>
        <v/>
      </c>
      <c r="E485" s="136" t="str">
        <f aca="false">Scoring!AE491</f>
        <v/>
      </c>
      <c r="F485" s="136" t="n">
        <f aca="false">Scoring!B491</f>
        <v>0</v>
      </c>
      <c r="G485" s="136" t="n">
        <f aca="false">Scoring!D491</f>
        <v>0</v>
      </c>
      <c r="H485" s="136" t="str">
        <f aca="false">Scoring!BD491</f>
        <v/>
      </c>
      <c r="I485" s="138" t="str">
        <f aca="false">Scoring!BC491</f>
        <v/>
      </c>
    </row>
    <row r="486" customFormat="false" ht="15.75" hidden="false" customHeight="false" outlineLevel="0" collapsed="false">
      <c r="A486" s="136" t="str">
        <f aca="false">Scoring!BF492</f>
        <v/>
      </c>
      <c r="B486" s="136" t="str">
        <f aca="false">Scoring!BE492</f>
        <v/>
      </c>
      <c r="C486" s="136" t="n">
        <f aca="false">Scoring!C492</f>
        <v>0</v>
      </c>
      <c r="D486" s="137" t="str">
        <f aca="false">Scoring!BB492</f>
        <v/>
      </c>
      <c r="E486" s="136" t="str">
        <f aca="false">Scoring!AE492</f>
        <v/>
      </c>
      <c r="F486" s="136" t="n">
        <f aca="false">Scoring!B492</f>
        <v>0</v>
      </c>
      <c r="G486" s="136" t="n">
        <f aca="false">Scoring!D492</f>
        <v>0</v>
      </c>
      <c r="H486" s="136" t="str">
        <f aca="false">Scoring!BD492</f>
        <v/>
      </c>
      <c r="I486" s="138" t="str">
        <f aca="false">Scoring!BC492</f>
        <v/>
      </c>
    </row>
    <row r="487" customFormat="false" ht="15.75" hidden="false" customHeight="false" outlineLevel="0" collapsed="false">
      <c r="A487" s="136" t="str">
        <f aca="false">Scoring!BF493</f>
        <v/>
      </c>
      <c r="B487" s="136" t="str">
        <f aca="false">Scoring!BE493</f>
        <v/>
      </c>
      <c r="C487" s="136" t="n">
        <f aca="false">Scoring!C493</f>
        <v>0</v>
      </c>
      <c r="D487" s="137" t="str">
        <f aca="false">Scoring!BB493</f>
        <v/>
      </c>
      <c r="E487" s="136" t="str">
        <f aca="false">Scoring!AE493</f>
        <v/>
      </c>
      <c r="F487" s="136" t="n">
        <f aca="false">Scoring!B493</f>
        <v>0</v>
      </c>
      <c r="G487" s="136" t="n">
        <f aca="false">Scoring!D493</f>
        <v>0</v>
      </c>
      <c r="H487" s="136" t="str">
        <f aca="false">Scoring!BD493</f>
        <v/>
      </c>
      <c r="I487" s="138" t="str">
        <f aca="false">Scoring!BC493</f>
        <v/>
      </c>
    </row>
    <row r="488" customFormat="false" ht="15.75" hidden="false" customHeight="false" outlineLevel="0" collapsed="false">
      <c r="A488" s="136" t="str">
        <f aca="false">Scoring!BF494</f>
        <v/>
      </c>
      <c r="B488" s="136" t="str">
        <f aca="false">Scoring!BE494</f>
        <v/>
      </c>
      <c r="C488" s="136" t="n">
        <f aca="false">Scoring!C494</f>
        <v>0</v>
      </c>
      <c r="D488" s="137" t="str">
        <f aca="false">Scoring!BB494</f>
        <v/>
      </c>
      <c r="E488" s="136" t="str">
        <f aca="false">Scoring!AE494</f>
        <v/>
      </c>
      <c r="F488" s="136" t="n">
        <f aca="false">Scoring!B494</f>
        <v>0</v>
      </c>
      <c r="G488" s="136" t="n">
        <f aca="false">Scoring!D494</f>
        <v>0</v>
      </c>
      <c r="H488" s="136" t="str">
        <f aca="false">Scoring!BD494</f>
        <v/>
      </c>
      <c r="I488" s="138" t="str">
        <f aca="false">Scoring!BC494</f>
        <v/>
      </c>
    </row>
    <row r="489" customFormat="false" ht="15.75" hidden="false" customHeight="false" outlineLevel="0" collapsed="false">
      <c r="A489" s="136" t="str">
        <f aca="false">Scoring!BF495</f>
        <v/>
      </c>
      <c r="B489" s="136" t="str">
        <f aca="false">Scoring!BE495</f>
        <v/>
      </c>
      <c r="C489" s="136" t="n">
        <f aca="false">Scoring!C495</f>
        <v>0</v>
      </c>
      <c r="D489" s="137" t="str">
        <f aca="false">Scoring!BB495</f>
        <v/>
      </c>
      <c r="E489" s="136" t="str">
        <f aca="false">Scoring!AE495</f>
        <v/>
      </c>
      <c r="F489" s="136" t="n">
        <f aca="false">Scoring!B495</f>
        <v>0</v>
      </c>
      <c r="G489" s="136" t="n">
        <f aca="false">Scoring!D495</f>
        <v>0</v>
      </c>
      <c r="H489" s="136" t="str">
        <f aca="false">Scoring!BD495</f>
        <v/>
      </c>
      <c r="I489" s="138" t="str">
        <f aca="false">Scoring!BC495</f>
        <v/>
      </c>
    </row>
    <row r="490" customFormat="false" ht="15.75" hidden="false" customHeight="false" outlineLevel="0" collapsed="false">
      <c r="A490" s="136" t="str">
        <f aca="false">Scoring!BF496</f>
        <v/>
      </c>
      <c r="B490" s="136" t="str">
        <f aca="false">Scoring!BE496</f>
        <v/>
      </c>
      <c r="C490" s="136" t="n">
        <f aca="false">Scoring!C496</f>
        <v>0</v>
      </c>
      <c r="D490" s="137" t="str">
        <f aca="false">Scoring!BB496</f>
        <v/>
      </c>
      <c r="E490" s="136" t="str">
        <f aca="false">Scoring!AE496</f>
        <v/>
      </c>
      <c r="F490" s="136" t="n">
        <f aca="false">Scoring!B496</f>
        <v>0</v>
      </c>
      <c r="G490" s="136" t="n">
        <f aca="false">Scoring!D496</f>
        <v>0</v>
      </c>
      <c r="H490" s="136" t="str">
        <f aca="false">Scoring!BD496</f>
        <v/>
      </c>
      <c r="I490" s="138" t="str">
        <f aca="false">Scoring!BC496</f>
        <v/>
      </c>
    </row>
    <row r="491" customFormat="false" ht="15.75" hidden="false" customHeight="false" outlineLevel="0" collapsed="false">
      <c r="A491" s="136" t="str">
        <f aca="false">Scoring!BF497</f>
        <v/>
      </c>
      <c r="B491" s="136" t="str">
        <f aca="false">Scoring!BE497</f>
        <v/>
      </c>
      <c r="C491" s="136" t="n">
        <f aca="false">Scoring!C497</f>
        <v>0</v>
      </c>
      <c r="D491" s="137" t="str">
        <f aca="false">Scoring!BB497</f>
        <v/>
      </c>
      <c r="E491" s="136" t="str">
        <f aca="false">Scoring!AE497</f>
        <v/>
      </c>
      <c r="F491" s="136" t="n">
        <f aca="false">Scoring!B497</f>
        <v>0</v>
      </c>
      <c r="G491" s="136" t="n">
        <f aca="false">Scoring!D497</f>
        <v>0</v>
      </c>
      <c r="H491" s="136" t="str">
        <f aca="false">Scoring!BD497</f>
        <v/>
      </c>
      <c r="I491" s="138" t="str">
        <f aca="false">Scoring!BC497</f>
        <v/>
      </c>
    </row>
    <row r="492" customFormat="false" ht="15.75" hidden="false" customHeight="false" outlineLevel="0" collapsed="false">
      <c r="A492" s="136" t="str">
        <f aca="false">Scoring!BF498</f>
        <v/>
      </c>
      <c r="B492" s="136" t="str">
        <f aca="false">Scoring!BE498</f>
        <v/>
      </c>
      <c r="C492" s="136" t="n">
        <f aca="false">Scoring!C498</f>
        <v>0</v>
      </c>
      <c r="D492" s="137" t="str">
        <f aca="false">Scoring!BB498</f>
        <v/>
      </c>
      <c r="E492" s="136" t="str">
        <f aca="false">Scoring!AE498</f>
        <v/>
      </c>
      <c r="F492" s="136" t="n">
        <f aca="false">Scoring!B498</f>
        <v>0</v>
      </c>
      <c r="G492" s="136" t="n">
        <f aca="false">Scoring!D498</f>
        <v>0</v>
      </c>
      <c r="H492" s="136" t="str">
        <f aca="false">Scoring!BD498</f>
        <v/>
      </c>
      <c r="I492" s="138" t="str">
        <f aca="false">Scoring!BC498</f>
        <v/>
      </c>
    </row>
    <row r="493" customFormat="false" ht="15.75" hidden="false" customHeight="false" outlineLevel="0" collapsed="false">
      <c r="A493" s="136" t="str">
        <f aca="false">Scoring!BF499</f>
        <v/>
      </c>
      <c r="B493" s="136" t="str">
        <f aca="false">Scoring!BE499</f>
        <v/>
      </c>
      <c r="C493" s="136" t="n">
        <f aca="false">Scoring!C499</f>
        <v>0</v>
      </c>
      <c r="D493" s="137" t="str">
        <f aca="false">Scoring!BB499</f>
        <v/>
      </c>
      <c r="E493" s="136" t="str">
        <f aca="false">Scoring!AE499</f>
        <v/>
      </c>
      <c r="F493" s="136" t="n">
        <f aca="false">Scoring!B499</f>
        <v>0</v>
      </c>
      <c r="G493" s="136" t="n">
        <f aca="false">Scoring!D499</f>
        <v>0</v>
      </c>
      <c r="H493" s="136" t="str">
        <f aca="false">Scoring!BD499</f>
        <v/>
      </c>
      <c r="I493" s="138" t="str">
        <f aca="false">Scoring!BC499</f>
        <v/>
      </c>
    </row>
    <row r="494" customFormat="false" ht="15.75" hidden="false" customHeight="false" outlineLevel="0" collapsed="false">
      <c r="A494" s="136" t="str">
        <f aca="false">Scoring!BF500</f>
        <v/>
      </c>
      <c r="B494" s="136" t="str">
        <f aca="false">Scoring!BE500</f>
        <v/>
      </c>
      <c r="C494" s="136" t="n">
        <f aca="false">Scoring!C500</f>
        <v>0</v>
      </c>
      <c r="D494" s="137" t="str">
        <f aca="false">Scoring!BB500</f>
        <v/>
      </c>
      <c r="E494" s="136" t="str">
        <f aca="false">Scoring!AE500</f>
        <v/>
      </c>
      <c r="F494" s="136" t="n">
        <f aca="false">Scoring!B500</f>
        <v>0</v>
      </c>
      <c r="G494" s="136" t="n">
        <f aca="false">Scoring!D500</f>
        <v>0</v>
      </c>
      <c r="H494" s="136" t="str">
        <f aca="false">Scoring!BD500</f>
        <v/>
      </c>
      <c r="I494" s="138" t="str">
        <f aca="false">Scoring!BC500</f>
        <v/>
      </c>
    </row>
    <row r="495" customFormat="false" ht="15.75" hidden="false" customHeight="false" outlineLevel="0" collapsed="false">
      <c r="A495" s="136" t="str">
        <f aca="false">Scoring!BF501</f>
        <v/>
      </c>
      <c r="B495" s="136" t="str">
        <f aca="false">Scoring!BE501</f>
        <v/>
      </c>
      <c r="C495" s="136" t="n">
        <f aca="false">Scoring!C501</f>
        <v>0</v>
      </c>
      <c r="D495" s="137" t="str">
        <f aca="false">Scoring!BB501</f>
        <v/>
      </c>
      <c r="E495" s="136" t="str">
        <f aca="false">Scoring!AE501</f>
        <v/>
      </c>
      <c r="F495" s="136" t="n">
        <f aca="false">Scoring!B501</f>
        <v>0</v>
      </c>
      <c r="G495" s="136" t="n">
        <f aca="false">Scoring!D501</f>
        <v>0</v>
      </c>
      <c r="H495" s="136" t="str">
        <f aca="false">Scoring!BD501</f>
        <v/>
      </c>
      <c r="I495" s="138" t="str">
        <f aca="false">Scoring!BC501</f>
        <v/>
      </c>
    </row>
    <row r="496" customFormat="false" ht="15.75" hidden="false" customHeight="false" outlineLevel="0" collapsed="false">
      <c r="A496" s="136" t="str">
        <f aca="false">Scoring!BF502</f>
        <v/>
      </c>
      <c r="B496" s="136" t="str">
        <f aca="false">Scoring!BE502</f>
        <v/>
      </c>
      <c r="C496" s="136" t="n">
        <f aca="false">Scoring!C502</f>
        <v>0</v>
      </c>
      <c r="D496" s="137" t="str">
        <f aca="false">Scoring!BB502</f>
        <v/>
      </c>
      <c r="E496" s="136" t="str">
        <f aca="false">Scoring!AE502</f>
        <v/>
      </c>
      <c r="F496" s="136" t="n">
        <f aca="false">Scoring!B502</f>
        <v>0</v>
      </c>
      <c r="G496" s="136" t="n">
        <f aca="false">Scoring!D502</f>
        <v>0</v>
      </c>
      <c r="H496" s="136" t="str">
        <f aca="false">Scoring!BD502</f>
        <v/>
      </c>
      <c r="I496" s="138" t="str">
        <f aca="false">Scoring!BC502</f>
        <v/>
      </c>
    </row>
    <row r="497" customFormat="false" ht="15.75" hidden="false" customHeight="false" outlineLevel="0" collapsed="false">
      <c r="A497" s="136" t="str">
        <f aca="false">Scoring!BF503</f>
        <v/>
      </c>
      <c r="B497" s="136" t="str">
        <f aca="false">Scoring!BE503</f>
        <v/>
      </c>
      <c r="C497" s="136" t="n">
        <f aca="false">Scoring!C503</f>
        <v>0</v>
      </c>
      <c r="D497" s="137" t="str">
        <f aca="false">Scoring!BB503</f>
        <v/>
      </c>
      <c r="E497" s="136" t="str">
        <f aca="false">Scoring!AE503</f>
        <v/>
      </c>
      <c r="F497" s="136" t="n">
        <f aca="false">Scoring!B503</f>
        <v>0</v>
      </c>
      <c r="G497" s="136" t="n">
        <f aca="false">Scoring!D503</f>
        <v>0</v>
      </c>
      <c r="H497" s="136" t="str">
        <f aca="false">Scoring!BD503</f>
        <v/>
      </c>
      <c r="I497" s="138" t="str">
        <f aca="false">Scoring!BC503</f>
        <v/>
      </c>
    </row>
    <row r="498" customFormat="false" ht="15.75" hidden="false" customHeight="false" outlineLevel="0" collapsed="false">
      <c r="A498" s="136" t="str">
        <f aca="false">Scoring!BF504</f>
        <v/>
      </c>
      <c r="B498" s="136" t="str">
        <f aca="false">Scoring!BE504</f>
        <v/>
      </c>
      <c r="C498" s="136" t="n">
        <f aca="false">Scoring!C504</f>
        <v>0</v>
      </c>
      <c r="D498" s="137" t="str">
        <f aca="false">Scoring!BB504</f>
        <v/>
      </c>
      <c r="E498" s="136" t="str">
        <f aca="false">Scoring!AE504</f>
        <v/>
      </c>
      <c r="F498" s="136" t="n">
        <f aca="false">Scoring!B504</f>
        <v>0</v>
      </c>
      <c r="G498" s="136" t="n">
        <f aca="false">Scoring!D504</f>
        <v>0</v>
      </c>
      <c r="H498" s="136" t="str">
        <f aca="false">Scoring!BD504</f>
        <v/>
      </c>
      <c r="I498" s="138" t="str">
        <f aca="false">Scoring!BC504</f>
        <v/>
      </c>
    </row>
    <row r="499" customFormat="false" ht="15.75" hidden="false" customHeight="false" outlineLevel="0" collapsed="false">
      <c r="A499" s="136" t="str">
        <f aca="false">Scoring!BF505</f>
        <v/>
      </c>
      <c r="B499" s="136" t="str">
        <f aca="false">Scoring!BE505</f>
        <v/>
      </c>
      <c r="C499" s="136" t="n">
        <f aca="false">Scoring!C505</f>
        <v>0</v>
      </c>
      <c r="D499" s="137" t="str">
        <f aca="false">Scoring!BB505</f>
        <v/>
      </c>
      <c r="E499" s="136" t="str">
        <f aca="false">Scoring!AE505</f>
        <v/>
      </c>
      <c r="F499" s="136" t="n">
        <f aca="false">Scoring!B505</f>
        <v>0</v>
      </c>
      <c r="G499" s="136" t="n">
        <f aca="false">Scoring!D505</f>
        <v>0</v>
      </c>
      <c r="H499" s="136" t="str">
        <f aca="false">Scoring!BD505</f>
        <v/>
      </c>
      <c r="I499" s="138" t="str">
        <f aca="false">Scoring!BC505</f>
        <v/>
      </c>
    </row>
    <row r="500" customFormat="false" ht="15.75" hidden="false" customHeight="false" outlineLevel="0" collapsed="false">
      <c r="A500" s="136" t="str">
        <f aca="false">Scoring!BF506</f>
        <v/>
      </c>
      <c r="B500" s="136" t="str">
        <f aca="false">Scoring!BE506</f>
        <v/>
      </c>
      <c r="C500" s="136" t="n">
        <f aca="false">Scoring!C506</f>
        <v>0</v>
      </c>
      <c r="D500" s="137" t="str">
        <f aca="false">Scoring!BB506</f>
        <v/>
      </c>
      <c r="E500" s="136" t="str">
        <f aca="false">Scoring!AE506</f>
        <v/>
      </c>
      <c r="F500" s="136" t="n">
        <f aca="false">Scoring!B506</f>
        <v>0</v>
      </c>
      <c r="G500" s="136" t="n">
        <f aca="false">Scoring!D506</f>
        <v>0</v>
      </c>
      <c r="H500" s="136" t="str">
        <f aca="false">Scoring!BD506</f>
        <v/>
      </c>
      <c r="I500" s="138" t="str">
        <f aca="false">Scoring!BC506</f>
        <v/>
      </c>
    </row>
    <row r="501" customFormat="false" ht="15.75" hidden="false" customHeight="false" outlineLevel="0" collapsed="false">
      <c r="A501" s="136" t="str">
        <f aca="false">Scoring!BF507</f>
        <v/>
      </c>
      <c r="B501" s="136" t="str">
        <f aca="false">Scoring!BE507</f>
        <v/>
      </c>
      <c r="C501" s="136" t="n">
        <f aca="false">Scoring!C507</f>
        <v>0</v>
      </c>
      <c r="D501" s="137" t="str">
        <f aca="false">Scoring!BB507</f>
        <v/>
      </c>
      <c r="E501" s="136" t="str">
        <f aca="false">Scoring!AE507</f>
        <v/>
      </c>
      <c r="F501" s="136" t="n">
        <f aca="false">Scoring!B507</f>
        <v>0</v>
      </c>
      <c r="G501" s="136" t="n">
        <f aca="false">Scoring!D507</f>
        <v>0</v>
      </c>
      <c r="H501" s="136" t="str">
        <f aca="false">Scoring!BD507</f>
        <v/>
      </c>
      <c r="I501" s="138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2026-09-10T17:40:50Z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